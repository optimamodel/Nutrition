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A59F0CC0-C09A-47BC-8330-500C61379D12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7" i="2"/>
  <c r="A34" i="2"/>
  <c r="A31" i="2"/>
  <c r="A25" i="2"/>
  <c r="A24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6" i="2" l="1"/>
  <c r="I12" i="2"/>
  <c r="A35" i="2"/>
  <c r="I11" i="2"/>
  <c r="A36" i="2"/>
  <c r="A19" i="2"/>
  <c r="A22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<sst xmlns="http://schemas.openxmlformats.org/spreadsheetml/2006/main" count="2169" uniqueCount="373">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</sst>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333702.49999999988</v>
      </c>
    </row>
    <row r="8" spans="1:3" ht="15" customHeight="1" x14ac:dyDescent="0.25">
      <c r="B8" s="5" t="s">
        <v>8</v>
      </c>
      <c r="C8" s="44">
        <v>0.17399999999999999</v>
      </c>
    </row>
    <row r="9" spans="1:3" ht="15" customHeight="1" x14ac:dyDescent="0.25">
      <c r="B9" s="5" t="s">
        <v>9</v>
      </c>
      <c r="C9" s="45">
        <v>0.27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0.1114</v>
      </c>
    </row>
    <row r="24" spans="1:3" ht="15" customHeight="1" x14ac:dyDescent="0.25">
      <c r="B24" s="15" t="s">
        <v>22</v>
      </c>
      <c r="C24" s="45">
        <v>0.47339999999999999</v>
      </c>
    </row>
    <row r="25" spans="1:3" ht="15" customHeight="1" x14ac:dyDescent="0.25">
      <c r="B25" s="15" t="s">
        <v>23</v>
      </c>
      <c r="C25" s="45">
        <v>0.35499999999999998</v>
      </c>
    </row>
    <row r="26" spans="1:3" ht="15" customHeight="1" x14ac:dyDescent="0.25">
      <c r="B26" s="15" t="s">
        <v>24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7">
        <v>3.07454772021977E-2</v>
      </c>
    </row>
    <row r="31" spans="1:3" ht="14.25" customHeight="1" x14ac:dyDescent="0.25">
      <c r="B31" s="25" t="s">
        <v>28</v>
      </c>
      <c r="C31" s="97">
        <v>5.8505816356096703E-2</v>
      </c>
    </row>
    <row r="32" spans="1:3" ht="14.25" customHeight="1" x14ac:dyDescent="0.25">
      <c r="B32" s="25" t="s">
        <v>29</v>
      </c>
      <c r="C32" s="97">
        <v>0.56784403977727504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19.462630000000001</v>
      </c>
    </row>
    <row r="38" spans="1:5" ht="15" customHeight="1" x14ac:dyDescent="0.25">
      <c r="B38" s="11" t="s">
        <v>34</v>
      </c>
      <c r="C38" s="43">
        <v>29.38363</v>
      </c>
      <c r="D38" s="12"/>
      <c r="E38" s="13"/>
    </row>
    <row r="39" spans="1:5" ht="15" customHeight="1" x14ac:dyDescent="0.25">
      <c r="B39" s="11" t="s">
        <v>35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98">
        <v>2.15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7.928300000000001E-3</v>
      </c>
      <c r="D45" s="12"/>
    </row>
    <row r="46" spans="1:5" ht="15.75" customHeight="1" x14ac:dyDescent="0.25">
      <c r="B46" s="11" t="s">
        <v>41</v>
      </c>
      <c r="C46" s="45">
        <v>8.5188199999999992E-2</v>
      </c>
      <c r="D46" s="12"/>
    </row>
    <row r="47" spans="1:5" ht="15.75" customHeight="1" x14ac:dyDescent="0.25">
      <c r="B47" s="11" t="s">
        <v>42</v>
      </c>
      <c r="C47" s="45">
        <v>7.3460999999999999E-2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3.1720000000000002</v>
      </c>
      <c r="D51" s="12"/>
    </row>
    <row r="52" spans="1:4" ht="15" customHeight="1" x14ac:dyDescent="0.25">
      <c r="B52" s="11" t="s">
        <v>46</v>
      </c>
      <c r="C52" s="98">
        <v>3.1720000000000002</v>
      </c>
    </row>
    <row r="53" spans="1:4" ht="15.75" customHeight="1" x14ac:dyDescent="0.25">
      <c r="B53" s="11" t="s">
        <v>47</v>
      </c>
      <c r="C53" s="98">
        <v>7.8519999999999994</v>
      </c>
    </row>
    <row r="54" spans="1:4" ht="15.75" customHeight="1" x14ac:dyDescent="0.25">
      <c r="B54" s="11" t="s">
        <v>48</v>
      </c>
      <c r="C54" s="98">
        <v>7.3060000000000009</v>
      </c>
    </row>
    <row r="55" spans="1:4" ht="15.75" customHeight="1" x14ac:dyDescent="0.25">
      <c r="B55" s="11" t="s">
        <v>49</v>
      </c>
      <c r="C55" s="98">
        <v>3.102666666666666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0.53307799999999994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0.15581519429999999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78452</v>
      </c>
      <c r="C2" s="49">
        <v>141543.5</v>
      </c>
      <c r="D2" s="49">
        <v>258837</v>
      </c>
      <c r="E2" s="49">
        <v>227154.5</v>
      </c>
      <c r="F2" s="49">
        <v>151957.5</v>
      </c>
      <c r="G2" s="17">
        <f t="shared" ref="G2:G13" si="0">C2+D2+E2+F2</f>
        <v>779492.5</v>
      </c>
      <c r="H2" s="17">
        <f t="shared" ref="H2:H13" si="1">(B2 + stillbirth*B2/(1000-stillbirth))/(1-abortion)</f>
        <v>90717.437660075826</v>
      </c>
      <c r="I2" s="17">
        <f t="shared" ref="I2:I13" si="2">G2-H2</f>
        <v>688775.06233992416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78688</v>
      </c>
      <c r="C3" s="50">
        <v>146019</v>
      </c>
      <c r="D3" s="50">
        <v>258972</v>
      </c>
      <c r="E3" s="50">
        <v>234488</v>
      </c>
      <c r="F3" s="50">
        <v>158065.5</v>
      </c>
      <c r="G3" s="17">
        <f t="shared" si="0"/>
        <v>797544.5</v>
      </c>
      <c r="H3" s="17">
        <f t="shared" si="1"/>
        <v>90990.33465808451</v>
      </c>
      <c r="I3" s="17">
        <f t="shared" si="2"/>
        <v>706554.16534191545</v>
      </c>
    </row>
    <row r="4" spans="1:9" ht="15.75" customHeight="1" x14ac:dyDescent="0.25">
      <c r="A4" s="5">
        <f t="shared" si="3"/>
        <v>2026</v>
      </c>
      <c r="B4" s="49">
        <v>78927</v>
      </c>
      <c r="C4" s="50">
        <v>151270.5</v>
      </c>
      <c r="D4" s="50">
        <v>259418</v>
      </c>
      <c r="E4" s="50">
        <v>241112</v>
      </c>
      <c r="F4" s="50">
        <v>164205</v>
      </c>
      <c r="G4" s="17">
        <f t="shared" si="0"/>
        <v>816005.5</v>
      </c>
      <c r="H4" s="17">
        <f t="shared" si="1"/>
        <v>91266.700685728923</v>
      </c>
      <c r="I4" s="17">
        <f t="shared" si="2"/>
        <v>724738.79931427108</v>
      </c>
    </row>
    <row r="5" spans="1:9" ht="15.75" customHeight="1" x14ac:dyDescent="0.25">
      <c r="A5" s="5">
        <f t="shared" si="3"/>
        <v>2027</v>
      </c>
      <c r="B5" s="49">
        <v>79141</v>
      </c>
      <c r="C5" s="50">
        <v>155945.5</v>
      </c>
      <c r="D5" s="50">
        <v>260213.5</v>
      </c>
      <c r="E5" s="50">
        <v>247335.5</v>
      </c>
      <c r="F5" s="50">
        <v>170475.5</v>
      </c>
      <c r="G5" s="17">
        <f t="shared" si="0"/>
        <v>833970</v>
      </c>
      <c r="H5" s="17">
        <f t="shared" si="1"/>
        <v>91514.158133075776</v>
      </c>
      <c r="I5" s="17">
        <f t="shared" si="2"/>
        <v>742455.84186692419</v>
      </c>
    </row>
    <row r="6" spans="1:9" ht="15.75" customHeight="1" x14ac:dyDescent="0.25">
      <c r="A6" s="5">
        <f t="shared" si="3"/>
        <v>2028</v>
      </c>
      <c r="B6" s="49">
        <v>79377</v>
      </c>
      <c r="C6" s="50">
        <v>160496</v>
      </c>
      <c r="D6" s="50">
        <v>261438.5</v>
      </c>
      <c r="E6" s="50">
        <v>253058.5</v>
      </c>
      <c r="F6" s="50">
        <v>177186</v>
      </c>
      <c r="G6" s="17">
        <f t="shared" si="0"/>
        <v>852179</v>
      </c>
      <c r="H6" s="17">
        <f t="shared" si="1"/>
        <v>91787.055131084475</v>
      </c>
      <c r="I6" s="17">
        <f t="shared" si="2"/>
        <v>760391.94486891548</v>
      </c>
    </row>
    <row r="7" spans="1:9" ht="15.75" customHeight="1" x14ac:dyDescent="0.25">
      <c r="A7" s="5">
        <f t="shared" si="3"/>
        <v>2029</v>
      </c>
      <c r="B7" s="49">
        <v>79563</v>
      </c>
      <c r="C7" s="50">
        <v>165652.5</v>
      </c>
      <c r="D7" s="50">
        <v>262694</v>
      </c>
      <c r="E7" s="50">
        <v>258101.5</v>
      </c>
      <c r="F7" s="50">
        <v>184548</v>
      </c>
      <c r="G7" s="17">
        <f t="shared" si="0"/>
        <v>870996</v>
      </c>
      <c r="H7" s="17">
        <f t="shared" si="1"/>
        <v>92002.134968498096</v>
      </c>
      <c r="I7" s="17">
        <f t="shared" si="2"/>
        <v>778993.86503150186</v>
      </c>
    </row>
    <row r="8" spans="1:9" ht="15.75" customHeight="1" x14ac:dyDescent="0.25">
      <c r="A8" s="5">
        <f t="shared" si="3"/>
        <v>2030</v>
      </c>
      <c r="B8" s="49">
        <v>79751</v>
      </c>
      <c r="C8" s="50">
        <v>170769</v>
      </c>
      <c r="D8" s="50">
        <v>265358.5</v>
      </c>
      <c r="E8" s="50">
        <v>262015</v>
      </c>
      <c r="F8" s="50">
        <v>192623</v>
      </c>
      <c r="G8" s="17">
        <f t="shared" si="0"/>
        <v>890765.5</v>
      </c>
      <c r="H8" s="17">
        <f t="shared" si="1"/>
        <v>92219.527492335546</v>
      </c>
      <c r="I8" s="17">
        <f t="shared" si="2"/>
        <v>798545.97250766447</v>
      </c>
    </row>
    <row r="9" spans="1:9" ht="15.75" customHeight="1" x14ac:dyDescent="0.25">
      <c r="A9" s="5">
        <f t="shared" si="3"/>
        <v>2031</v>
      </c>
      <c r="B9" s="49">
        <v>80163</v>
      </c>
      <c r="C9" s="50">
        <v>175767</v>
      </c>
      <c r="D9" s="50">
        <v>270123</v>
      </c>
      <c r="E9" s="50">
        <v>264140.5</v>
      </c>
      <c r="F9" s="50">
        <v>201257.5</v>
      </c>
      <c r="G9" s="17">
        <f t="shared" si="0"/>
        <v>911288</v>
      </c>
      <c r="H9" s="17">
        <f t="shared" si="1"/>
        <v>92695.940895638836</v>
      </c>
      <c r="I9" s="17">
        <f t="shared" si="2"/>
        <v>818592.05910436111</v>
      </c>
    </row>
    <row r="10" spans="1:9" ht="15.75" customHeight="1" x14ac:dyDescent="0.25">
      <c r="A10" s="5">
        <f t="shared" si="3"/>
        <v>2032</v>
      </c>
      <c r="B10" s="49">
        <v>80561</v>
      </c>
      <c r="C10" s="50">
        <v>181135</v>
      </c>
      <c r="D10" s="50">
        <v>275943.99999999988</v>
      </c>
      <c r="E10" s="50">
        <v>264538.5</v>
      </c>
      <c r="F10" s="50">
        <v>210045</v>
      </c>
      <c r="G10" s="17">
        <f t="shared" si="0"/>
        <v>931662.49999999988</v>
      </c>
      <c r="H10" s="17">
        <f t="shared" si="1"/>
        <v>93156.165493975539</v>
      </c>
      <c r="I10" s="17">
        <f t="shared" si="2"/>
        <v>838506.33450602437</v>
      </c>
    </row>
    <row r="11" spans="1:9" ht="15.75" customHeight="1" x14ac:dyDescent="0.25">
      <c r="A11" s="5">
        <f t="shared" si="3"/>
        <v>2033</v>
      </c>
      <c r="B11" s="49">
        <v>81061</v>
      </c>
      <c r="C11" s="50">
        <v>186032</v>
      </c>
      <c r="D11" s="50">
        <v>282773</v>
      </c>
      <c r="E11" s="50">
        <v>263757</v>
      </c>
      <c r="F11" s="50">
        <v>218532.5</v>
      </c>
      <c r="G11" s="17">
        <f t="shared" si="0"/>
        <v>951094.5</v>
      </c>
      <c r="H11" s="17">
        <f t="shared" si="1"/>
        <v>93734.337099926153</v>
      </c>
      <c r="I11" s="17">
        <f t="shared" si="2"/>
        <v>857360.1629000738</v>
      </c>
    </row>
    <row r="12" spans="1:9" ht="15.75" customHeight="1" x14ac:dyDescent="0.25">
      <c r="A12" s="5">
        <f t="shared" si="3"/>
        <v>2034</v>
      </c>
      <c r="B12" s="49">
        <v>81466</v>
      </c>
      <c r="C12" s="50">
        <v>190012</v>
      </c>
      <c r="D12" s="50">
        <v>290690</v>
      </c>
      <c r="E12" s="50">
        <v>262740</v>
      </c>
      <c r="F12" s="50">
        <v>226329</v>
      </c>
      <c r="G12" s="17">
        <f t="shared" si="0"/>
        <v>969771</v>
      </c>
      <c r="H12" s="17">
        <f t="shared" si="1"/>
        <v>94202.656100746157</v>
      </c>
      <c r="I12" s="17">
        <f t="shared" si="2"/>
        <v>875568.34389925387</v>
      </c>
    </row>
    <row r="13" spans="1:9" ht="15.75" customHeight="1" x14ac:dyDescent="0.25">
      <c r="A13" s="5">
        <f t="shared" si="3"/>
        <v>2035</v>
      </c>
      <c r="B13" s="49">
        <v>81994</v>
      </c>
      <c r="C13" s="50">
        <v>194578</v>
      </c>
      <c r="D13" s="50">
        <v>299704.50000000012</v>
      </c>
      <c r="E13" s="50">
        <v>262500</v>
      </c>
      <c r="F13" s="50">
        <v>233335</v>
      </c>
      <c r="G13" s="17">
        <f t="shared" si="0"/>
        <v>990117.50000000012</v>
      </c>
      <c r="H13" s="17">
        <f t="shared" si="1"/>
        <v>94813.205316630017</v>
      </c>
      <c r="I13" s="17">
        <f t="shared" si="2"/>
        <v>895304.29468337004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1.0223598977640099E-2</v>
      </c>
    </row>
    <row r="4" spans="1:8" ht="15.75" customHeight="1" x14ac:dyDescent="0.25">
      <c r="B4" s="19" t="s">
        <v>69</v>
      </c>
      <c r="C4" s="99">
        <v>5.4527794547220461E-2</v>
      </c>
    </row>
    <row r="5" spans="1:8" ht="15.75" customHeight="1" x14ac:dyDescent="0.25">
      <c r="B5" s="19" t="s">
        <v>70</v>
      </c>
      <c r="C5" s="99">
        <v>6.7976193202380797E-2</v>
      </c>
    </row>
    <row r="6" spans="1:8" ht="15.75" customHeight="1" x14ac:dyDescent="0.25">
      <c r="B6" s="19" t="s">
        <v>71</v>
      </c>
      <c r="C6" s="99">
        <v>0.23703687629631159</v>
      </c>
    </row>
    <row r="7" spans="1:8" ht="15.75" customHeight="1" x14ac:dyDescent="0.25">
      <c r="B7" s="19" t="s">
        <v>72</v>
      </c>
      <c r="C7" s="99">
        <v>0.43144785685521458</v>
      </c>
    </row>
    <row r="8" spans="1:8" ht="15.75" customHeight="1" x14ac:dyDescent="0.25">
      <c r="B8" s="19" t="s">
        <v>73</v>
      </c>
      <c r="C8" s="99">
        <v>1.472199852780015E-3</v>
      </c>
    </row>
    <row r="9" spans="1:8" ht="15.75" customHeight="1" x14ac:dyDescent="0.25">
      <c r="B9" s="19" t="s">
        <v>74</v>
      </c>
      <c r="C9" s="99">
        <v>8.8945991105401023E-2</v>
      </c>
    </row>
    <row r="10" spans="1:8" ht="15.75" customHeight="1" x14ac:dyDescent="0.25">
      <c r="B10" s="19" t="s">
        <v>75</v>
      </c>
      <c r="C10" s="99">
        <v>0.1083694891630512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82</v>
      </c>
      <c r="C15" s="99">
        <v>0.1773419466739668</v>
      </c>
      <c r="D15" s="99">
        <v>0.1773419466739668</v>
      </c>
      <c r="E15" s="99">
        <v>0.1773419466739668</v>
      </c>
      <c r="F15" s="99">
        <v>0.1773419466739668</v>
      </c>
    </row>
    <row r="16" spans="1:8" ht="15.75" customHeight="1" x14ac:dyDescent="0.25">
      <c r="B16" s="19" t="s">
        <v>83</v>
      </c>
      <c r="C16" s="99">
        <v>2.0708961417743449E-2</v>
      </c>
      <c r="D16" s="99">
        <v>2.0708961417743449E-2</v>
      </c>
      <c r="E16" s="99">
        <v>2.0708961417743449E-2</v>
      </c>
      <c r="F16" s="99">
        <v>2.0708961417743449E-2</v>
      </c>
    </row>
    <row r="17" spans="1:8" ht="15.75" customHeight="1" x14ac:dyDescent="0.25">
      <c r="B17" s="19" t="s">
        <v>84</v>
      </c>
      <c r="C17" s="99">
        <v>1.200938691340392E-3</v>
      </c>
      <c r="D17" s="99">
        <v>1.200938691340392E-3</v>
      </c>
      <c r="E17" s="99">
        <v>1.200938691340392E-3</v>
      </c>
      <c r="F17" s="99">
        <v>1.200938691340392E-3</v>
      </c>
    </row>
    <row r="18" spans="1:8" ht="15.75" customHeight="1" x14ac:dyDescent="0.25">
      <c r="B18" s="19" t="s">
        <v>85</v>
      </c>
      <c r="C18" s="99">
        <v>2.0036074469009621E-3</v>
      </c>
      <c r="D18" s="99">
        <v>2.0036074469009621E-3</v>
      </c>
      <c r="E18" s="99">
        <v>2.0036074469009621E-3</v>
      </c>
      <c r="F18" s="99">
        <v>2.0036074469009621E-3</v>
      </c>
    </row>
    <row r="19" spans="1:8" ht="15.75" customHeight="1" x14ac:dyDescent="0.25">
      <c r="B19" s="19" t="s">
        <v>86</v>
      </c>
      <c r="C19" s="99">
        <v>3.8478101476373552E-2</v>
      </c>
      <c r="D19" s="99">
        <v>3.8478101476373552E-2</v>
      </c>
      <c r="E19" s="99">
        <v>3.8478101476373552E-2</v>
      </c>
      <c r="F19" s="99">
        <v>3.8478101476373552E-2</v>
      </c>
    </row>
    <row r="20" spans="1:8" ht="15.75" customHeight="1" x14ac:dyDescent="0.25">
      <c r="B20" s="19" t="s">
        <v>87</v>
      </c>
      <c r="C20" s="99">
        <v>0.28831162427767509</v>
      </c>
      <c r="D20" s="99">
        <v>0.28831162427767509</v>
      </c>
      <c r="E20" s="99">
        <v>0.28831162427767509</v>
      </c>
      <c r="F20" s="99">
        <v>0.28831162427767509</v>
      </c>
    </row>
    <row r="21" spans="1:8" ht="15.75" customHeight="1" x14ac:dyDescent="0.25">
      <c r="B21" s="19" t="s">
        <v>88</v>
      </c>
      <c r="C21" s="99">
        <v>0.1149372196793608</v>
      </c>
      <c r="D21" s="99">
        <v>0.1149372196793608</v>
      </c>
      <c r="E21" s="99">
        <v>0.1149372196793608</v>
      </c>
      <c r="F21" s="99">
        <v>0.1149372196793608</v>
      </c>
    </row>
    <row r="22" spans="1:8" ht="15.75" customHeight="1" x14ac:dyDescent="0.25">
      <c r="B22" s="19" t="s">
        <v>89</v>
      </c>
      <c r="C22" s="99">
        <v>0.2028221905242949</v>
      </c>
      <c r="D22" s="99">
        <v>0.2028221905242949</v>
      </c>
      <c r="E22" s="99">
        <v>0.2028221905242949</v>
      </c>
      <c r="F22" s="99">
        <v>0.2028221905242949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7.6914598000000015E-2</v>
      </c>
    </row>
    <row r="27" spans="1:8" ht="15.75" customHeight="1" x14ac:dyDescent="0.25">
      <c r="B27" s="19" t="s">
        <v>92</v>
      </c>
      <c r="C27" s="99">
        <v>7.5643810000000002E-3</v>
      </c>
    </row>
    <row r="28" spans="1:8" ht="15.75" customHeight="1" x14ac:dyDescent="0.25">
      <c r="B28" s="19" t="s">
        <v>93</v>
      </c>
      <c r="C28" s="99">
        <v>0.13334979499999999</v>
      </c>
    </row>
    <row r="29" spans="1:8" ht="15.75" customHeight="1" x14ac:dyDescent="0.25">
      <c r="B29" s="19" t="s">
        <v>94</v>
      </c>
      <c r="C29" s="99">
        <v>0.14638231299999999</v>
      </c>
    </row>
    <row r="30" spans="1:8" ht="15.75" customHeight="1" x14ac:dyDescent="0.25">
      <c r="B30" s="19" t="s">
        <v>95</v>
      </c>
      <c r="C30" s="99">
        <v>9.1820059999999995E-2</v>
      </c>
    </row>
    <row r="31" spans="1:8" ht="15.75" customHeight="1" x14ac:dyDescent="0.25">
      <c r="B31" s="19" t="s">
        <v>96</v>
      </c>
      <c r="C31" s="99">
        <v>9.6547411000000014E-2</v>
      </c>
    </row>
    <row r="32" spans="1:8" ht="15.75" customHeight="1" x14ac:dyDescent="0.25">
      <c r="B32" s="19" t="s">
        <v>97</v>
      </c>
      <c r="C32" s="99">
        <v>1.6333001E-2</v>
      </c>
    </row>
    <row r="33" spans="2:3" ht="15.75" customHeight="1" x14ac:dyDescent="0.25">
      <c r="B33" s="19" t="s">
        <v>98</v>
      </c>
      <c r="C33" s="99">
        <v>7.2137805999999999E-2</v>
      </c>
    </row>
    <row r="34" spans="2:3" ht="15.75" customHeight="1" x14ac:dyDescent="0.25">
      <c r="B34" s="19" t="s">
        <v>99</v>
      </c>
      <c r="C34" s="99">
        <v>0.35895063599999999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104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109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110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2.3477700000000046E-2</v>
      </c>
      <c r="D5" s="52">
        <f t="shared" si="0"/>
        <v>8.549209999999996E-2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5031.11503011478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0.51737999999999995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0.56798000000000004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1.5925949897969933E-2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95802.909700000004</v>
      </c>
      <c r="C22" s="107">
        <v>95231.704559999998</v>
      </c>
      <c r="D22" s="107">
        <v>94736.234509999995</v>
      </c>
      <c r="E22" s="107">
        <v>93963.133660000007</v>
      </c>
      <c r="F22" s="107">
        <v>93027.028210000004</v>
      </c>
      <c r="G22" s="107">
        <v>91832.462050000002</v>
      </c>
      <c r="H22" s="107">
        <v>90037.579700000002</v>
      </c>
      <c r="I22" s="107">
        <v>87382.673089999997</v>
      </c>
      <c r="J22" s="107">
        <v>83701.483229999998</v>
      </c>
      <c r="K22" s="107">
        <v>79075.091570000004</v>
      </c>
      <c r="L22" s="107">
        <v>73410.135949999996</v>
      </c>
      <c r="M22" s="107">
        <v>67040.048869999999</v>
      </c>
      <c r="N22" s="107">
        <v>59526.43159</v>
      </c>
      <c r="O22" s="107">
        <v>50523.108370000002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0.38645259999999998</v>
      </c>
      <c r="C10" s="96">
        <v>0.95</v>
      </c>
      <c r="D10" s="56">
        <v>13.05116778302235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13.05116778302235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13.05116778302235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13.05116778302235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13.05116778302235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4.9176999999999998E-2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0.67200000000000004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0.45918130000000001</v>
      </c>
      <c r="C19" s="96">
        <v>0.95</v>
      </c>
      <c r="D19" s="56">
        <v>10.16995323631398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0.22748450000000001</v>
      </c>
      <c r="C23" s="96">
        <v>0.95</v>
      </c>
      <c r="D23" s="56">
        <v>4.3037053742427069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0.85985686684090001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0.71619929999999998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0.24890229999999999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0.83599999999999997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0.44599899999999998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0.125864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8.1373999999999995E-3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0.83701589999999992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2E-3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3.1720000000000002</v>
      </c>
      <c r="C2" s="21">
        <f>'Baseline year population inputs'!C52</f>
        <v>3.1720000000000002</v>
      </c>
      <c r="D2" s="21">
        <f>'Baseline year population inputs'!C53</f>
        <v>7.8519999999999994</v>
      </c>
      <c r="E2" s="21">
        <f>'Baseline year population inputs'!C54</f>
        <v>7.3060000000000009</v>
      </c>
      <c r="F2" s="21">
        <f>'Baseline year population inputs'!C55</f>
        <v>3.102666666666666</v>
      </c>
    </row>
    <row r="3" spans="1:6" ht="15.75" customHeight="1" x14ac:dyDescent="0.25">
      <c r="A3" s="3" t="s">
        <v>197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198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0.17399999999999999</v>
      </c>
      <c r="F2" s="60">
        <f>food_insecure</f>
        <v>0.17399999999999999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0.17399999999999999</v>
      </c>
      <c r="F5" s="60">
        <f>food_insecure</f>
        <v>0.17399999999999999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6.9207272727272742E-2</v>
      </c>
      <c r="D7" s="60">
        <f>diarrhoea_1_5mo*frac_diarrhea_severe</f>
        <v>6.9207272727272742E-2</v>
      </c>
      <c r="E7" s="60">
        <f>diarrhoea_6_11mo*frac_diarrhea_severe</f>
        <v>0.17131636363636363</v>
      </c>
      <c r="F7" s="60">
        <f>diarrhoea_12_23mo*frac_diarrhea_severe</f>
        <v>0.15940363636363639</v>
      </c>
      <c r="G7" s="60">
        <f>diarrhoea_24_59mo*frac_diarrhea_severe</f>
        <v>6.7694545454545452E-2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0.17399999999999999</v>
      </c>
      <c r="F8" s="60">
        <f>food_insecure</f>
        <v>0.17399999999999999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0.17399999999999999</v>
      </c>
      <c r="F9" s="60">
        <f>food_insecure</f>
        <v>0.17399999999999999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6.9207272727272742E-2</v>
      </c>
      <c r="D12" s="60">
        <f>diarrhoea_1_5mo*frac_diarrhea_severe</f>
        <v>6.9207272727272742E-2</v>
      </c>
      <c r="E12" s="60">
        <f>diarrhoea_6_11mo*frac_diarrhea_severe</f>
        <v>0.17131636363636363</v>
      </c>
      <c r="F12" s="60">
        <f>diarrhoea_12_23mo*frac_diarrhea_severe</f>
        <v>0.15940363636363639</v>
      </c>
      <c r="G12" s="60">
        <f>diarrhoea_24_59mo*frac_diarrhea_severe</f>
        <v>6.7694545454545452E-2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0.17399999999999999</v>
      </c>
      <c r="I15" s="60">
        <f t="shared" si="0"/>
        <v>0.17399999999999999</v>
      </c>
      <c r="J15" s="60">
        <f t="shared" si="0"/>
        <v>0.17399999999999999</v>
      </c>
      <c r="K15" s="60">
        <f t="shared" si="0"/>
        <v>0.17399999999999999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0.17399999999999999</v>
      </c>
      <c r="I16" s="60">
        <f t="shared" si="0"/>
        <v>0.17399999999999999</v>
      </c>
      <c r="J16" s="60">
        <f t="shared" si="0"/>
        <v>0.17399999999999999</v>
      </c>
      <c r="K16" s="60">
        <f t="shared" si="0"/>
        <v>0.17399999999999999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0.35487047318536802</v>
      </c>
      <c r="M25" s="60">
        <f>(1-food_insecure)*(0.49)+food_insecure*(0.7)</f>
        <v>0.52654000000000001</v>
      </c>
      <c r="N25" s="60">
        <f>(1-food_insecure)*(0.49)+food_insecure*(0.7)</f>
        <v>0.52654000000000001</v>
      </c>
      <c r="O25" s="60">
        <f>(1-food_insecure)*(0.49)+food_insecure*(0.7)</f>
        <v>0.52654000000000001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0.15208734565087201</v>
      </c>
      <c r="M26" s="60">
        <f>(1-food_insecure)*(0.21)+food_insecure*(0.3)</f>
        <v>0.22566</v>
      </c>
      <c r="N26" s="60">
        <f>(1-food_insecure)*(0.21)+food_insecure*(0.3)</f>
        <v>0.22566</v>
      </c>
      <c r="O26" s="60">
        <f>(1-food_insecure)*(0.21)+food_insecure*(0.3)</f>
        <v>0.22566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0.16700897036376003</v>
      </c>
      <c r="M27" s="60">
        <f>(1-food_insecure)*(0.3)</f>
        <v>0.24780000000000002</v>
      </c>
      <c r="N27" s="60">
        <f>(1-food_insecure)*(0.3)</f>
        <v>0.24780000000000002</v>
      </c>
      <c r="O27" s="60">
        <f>(1-food_insecure)*(0.3)</f>
        <v>0.24780000000000002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0.27</v>
      </c>
      <c r="D34" s="60">
        <f t="shared" si="4"/>
        <v>0.27</v>
      </c>
      <c r="E34" s="60">
        <f t="shared" si="4"/>
        <v>0.27</v>
      </c>
      <c r="F34" s="60">
        <f t="shared" si="4"/>
        <v>0.27</v>
      </c>
      <c r="G34" s="60">
        <f t="shared" si="4"/>
        <v>0.27</v>
      </c>
      <c r="H34" s="60">
        <f t="shared" si="4"/>
        <v>0.27</v>
      </c>
      <c r="I34" s="60">
        <f t="shared" si="4"/>
        <v>0.27</v>
      </c>
      <c r="J34" s="60">
        <f t="shared" si="4"/>
        <v>0.27</v>
      </c>
      <c r="K34" s="60">
        <f t="shared" si="4"/>
        <v>0.27</v>
      </c>
      <c r="L34" s="60">
        <f t="shared" si="4"/>
        <v>0.27</v>
      </c>
      <c r="M34" s="60">
        <f t="shared" si="4"/>
        <v>0.27</v>
      </c>
      <c r="N34" s="60">
        <f t="shared" si="4"/>
        <v>0.27</v>
      </c>
      <c r="O34" s="60">
        <f t="shared" si="4"/>
        <v>0.27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