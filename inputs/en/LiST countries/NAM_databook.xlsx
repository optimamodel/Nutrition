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9A40030-663F-4C29-A892-813DA991EEA5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<sst xmlns="http://schemas.openxmlformats.org/spreadsheetml/2006/main" count="2169" uniqueCount="373">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</sst>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333702.49999999988</v>
      </c>
    </row>
    <row r="8" spans="1:3" ht="15" customHeight="1" x14ac:dyDescent="0.25">
      <c r="B8" s="5" t="s">
        <v>8</v>
      </c>
      <c r="C8" s="44">
        <v>0.17399999999999999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7">
        <v>3.07454772021977E-2</v>
      </c>
    </row>
    <row r="31" spans="1:3" ht="14.25" customHeight="1" x14ac:dyDescent="0.25">
      <c r="B31" s="25" t="s">
        <v>28</v>
      </c>
      <c r="C31" s="97">
        <v>5.8505816356096703E-2</v>
      </c>
    </row>
    <row r="32" spans="1:3" ht="14.25" customHeight="1" x14ac:dyDescent="0.25">
      <c r="B32" s="25" t="s">
        <v>29</v>
      </c>
      <c r="C32" s="97">
        <v>0.56784403977727504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98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3.1720000000000002</v>
      </c>
      <c r="D51" s="12"/>
    </row>
    <row r="52" spans="1:4" ht="15" customHeight="1" x14ac:dyDescent="0.25">
      <c r="B52" s="11" t="s">
        <v>46</v>
      </c>
      <c r="C52" s="98">
        <v>3.1720000000000002</v>
      </c>
    </row>
    <row r="53" spans="1:4" ht="15.75" customHeight="1" x14ac:dyDescent="0.25">
      <c r="B53" s="11" t="s">
        <v>47</v>
      </c>
      <c r="C53" s="98">
        <v>7.8519999999999994</v>
      </c>
    </row>
    <row r="54" spans="1:4" ht="15.75" customHeight="1" x14ac:dyDescent="0.25">
      <c r="B54" s="11" t="s">
        <v>48</v>
      </c>
      <c r="C54" s="98">
        <v>7.3060000000000009</v>
      </c>
    </row>
    <row r="55" spans="1:4" ht="15.75" customHeight="1" x14ac:dyDescent="0.25">
      <c r="B55" s="11" t="s">
        <v>49</v>
      </c>
      <c r="C55" s="98">
        <v>3.102666666666666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99">
        <v>5.4527794547220461E-2</v>
      </c>
    </row>
    <row r="5" spans="1:8" ht="15.75" customHeight="1" x14ac:dyDescent="0.25">
      <c r="B5" s="19" t="s">
        <v>70</v>
      </c>
      <c r="C5" s="99">
        <v>6.7976193202380797E-2</v>
      </c>
    </row>
    <row r="6" spans="1:8" ht="15.75" customHeight="1" x14ac:dyDescent="0.25">
      <c r="B6" s="19" t="s">
        <v>71</v>
      </c>
      <c r="C6" s="99">
        <v>0.23703687629631159</v>
      </c>
    </row>
    <row r="7" spans="1:8" ht="15.75" customHeight="1" x14ac:dyDescent="0.25">
      <c r="B7" s="19" t="s">
        <v>72</v>
      </c>
      <c r="C7" s="99">
        <v>0.43144785685521458</v>
      </c>
    </row>
    <row r="8" spans="1:8" ht="15.75" customHeight="1" x14ac:dyDescent="0.25">
      <c r="B8" s="19" t="s">
        <v>73</v>
      </c>
      <c r="C8" s="99">
        <v>1.472199852780015E-3</v>
      </c>
    </row>
    <row r="9" spans="1:8" ht="15.75" customHeight="1" x14ac:dyDescent="0.25">
      <c r="B9" s="19" t="s">
        <v>74</v>
      </c>
      <c r="C9" s="99">
        <v>8.8945991105401023E-2</v>
      </c>
    </row>
    <row r="10" spans="1:8" ht="15.75" customHeight="1" x14ac:dyDescent="0.25">
      <c r="B10" s="19" t="s">
        <v>75</v>
      </c>
      <c r="C10" s="99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99">
        <v>0.1773419466739668</v>
      </c>
      <c r="D15" s="99">
        <v>0.1773419466739668</v>
      </c>
      <c r="E15" s="99">
        <v>0.1773419466739668</v>
      </c>
      <c r="F15" s="99">
        <v>0.1773419466739668</v>
      </c>
    </row>
    <row r="16" spans="1:8" ht="15.75" customHeight="1" x14ac:dyDescent="0.25">
      <c r="B16" s="19" t="s">
        <v>83</v>
      </c>
      <c r="C16" s="99">
        <v>2.0708961417743449E-2</v>
      </c>
      <c r="D16" s="99">
        <v>2.0708961417743449E-2</v>
      </c>
      <c r="E16" s="99">
        <v>2.0708961417743449E-2</v>
      </c>
      <c r="F16" s="99">
        <v>2.0708961417743449E-2</v>
      </c>
    </row>
    <row r="17" spans="1:8" ht="15.75" customHeight="1" x14ac:dyDescent="0.25">
      <c r="B17" s="19" t="s">
        <v>84</v>
      </c>
      <c r="C17" s="99">
        <v>1.200938691340392E-3</v>
      </c>
      <c r="D17" s="99">
        <v>1.200938691340392E-3</v>
      </c>
      <c r="E17" s="99">
        <v>1.200938691340392E-3</v>
      </c>
      <c r="F17" s="99">
        <v>1.200938691340392E-3</v>
      </c>
    </row>
    <row r="18" spans="1:8" ht="15.75" customHeight="1" x14ac:dyDescent="0.25">
      <c r="B18" s="19" t="s">
        <v>85</v>
      </c>
      <c r="C18" s="99">
        <v>2.0036074469009621E-3</v>
      </c>
      <c r="D18" s="99">
        <v>2.0036074469009621E-3</v>
      </c>
      <c r="E18" s="99">
        <v>2.0036074469009621E-3</v>
      </c>
      <c r="F18" s="99">
        <v>2.0036074469009621E-3</v>
      </c>
    </row>
    <row r="19" spans="1:8" ht="15.75" customHeight="1" x14ac:dyDescent="0.25">
      <c r="B19" s="19" t="s">
        <v>86</v>
      </c>
      <c r="C19" s="99">
        <v>3.8478101476373552E-2</v>
      </c>
      <c r="D19" s="99">
        <v>3.8478101476373552E-2</v>
      </c>
      <c r="E19" s="99">
        <v>3.8478101476373552E-2</v>
      </c>
      <c r="F19" s="99">
        <v>3.8478101476373552E-2</v>
      </c>
    </row>
    <row r="20" spans="1:8" ht="15.75" customHeight="1" x14ac:dyDescent="0.25">
      <c r="B20" s="19" t="s">
        <v>87</v>
      </c>
      <c r="C20" s="99">
        <v>0.28831162427767509</v>
      </c>
      <c r="D20" s="99">
        <v>0.28831162427767509</v>
      </c>
      <c r="E20" s="99">
        <v>0.28831162427767509</v>
      </c>
      <c r="F20" s="99">
        <v>0.28831162427767509</v>
      </c>
    </row>
    <row r="21" spans="1:8" ht="15.75" customHeight="1" x14ac:dyDescent="0.25">
      <c r="B21" s="19" t="s">
        <v>88</v>
      </c>
      <c r="C21" s="99">
        <v>0.1149372196793608</v>
      </c>
      <c r="D21" s="99">
        <v>0.1149372196793608</v>
      </c>
      <c r="E21" s="99">
        <v>0.1149372196793608</v>
      </c>
      <c r="F21" s="99">
        <v>0.1149372196793608</v>
      </c>
    </row>
    <row r="22" spans="1:8" ht="15.75" customHeight="1" x14ac:dyDescent="0.25">
      <c r="B22" s="19" t="s">
        <v>89</v>
      </c>
      <c r="C22" s="99">
        <v>0.2028221905242949</v>
      </c>
      <c r="D22" s="99">
        <v>0.2028221905242949</v>
      </c>
      <c r="E22" s="99">
        <v>0.2028221905242949</v>
      </c>
      <c r="F22" s="99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99">
        <v>7.5643810000000002E-3</v>
      </c>
    </row>
    <row r="28" spans="1:8" ht="15.75" customHeight="1" x14ac:dyDescent="0.25">
      <c r="B28" s="19" t="s">
        <v>93</v>
      </c>
      <c r="C28" s="99">
        <v>0.13334979499999999</v>
      </c>
    </row>
    <row r="29" spans="1:8" ht="15.75" customHeight="1" x14ac:dyDescent="0.25">
      <c r="B29" s="19" t="s">
        <v>94</v>
      </c>
      <c r="C29" s="99">
        <v>0.14638231299999999</v>
      </c>
    </row>
    <row r="30" spans="1:8" ht="15.75" customHeight="1" x14ac:dyDescent="0.25">
      <c r="B30" s="19" t="s">
        <v>95</v>
      </c>
      <c r="C30" s="99">
        <v>9.1820059999999995E-2</v>
      </c>
    </row>
    <row r="31" spans="1:8" ht="15.75" customHeight="1" x14ac:dyDescent="0.25">
      <c r="B31" s="19" t="s">
        <v>96</v>
      </c>
      <c r="C31" s="99">
        <v>9.6547411000000014E-2</v>
      </c>
    </row>
    <row r="32" spans="1:8" ht="15.75" customHeight="1" x14ac:dyDescent="0.25">
      <c r="B32" s="19" t="s">
        <v>97</v>
      </c>
      <c r="C32" s="99">
        <v>1.6333001E-2</v>
      </c>
    </row>
    <row r="33" spans="2:3" ht="15.75" customHeight="1" x14ac:dyDescent="0.25">
      <c r="B33" s="19" t="s">
        <v>98</v>
      </c>
      <c r="C33" s="99">
        <v>7.2137805999999999E-2</v>
      </c>
    </row>
    <row r="34" spans="2:3" ht="15.75" customHeight="1" x14ac:dyDescent="0.25">
      <c r="B34" s="19" t="s">
        <v>99</v>
      </c>
      <c r="C34" s="99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5031.11503011478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0.51737999999999995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0.56798000000000004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1.5925949897969933E-2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95802.909700000004</v>
      </c>
      <c r="C22" s="107">
        <v>95231.704559999998</v>
      </c>
      <c r="D22" s="107">
        <v>94736.234509999995</v>
      </c>
      <c r="E22" s="107">
        <v>93963.133660000007</v>
      </c>
      <c r="F22" s="107">
        <v>93027.028210000004</v>
      </c>
      <c r="G22" s="107">
        <v>91832.462050000002</v>
      </c>
      <c r="H22" s="107">
        <v>90037.579700000002</v>
      </c>
      <c r="I22" s="107">
        <v>87382.673089999997</v>
      </c>
      <c r="J22" s="107">
        <v>83701.483229999998</v>
      </c>
      <c r="K22" s="107">
        <v>79075.091570000004</v>
      </c>
      <c r="L22" s="107">
        <v>73410.135949999996</v>
      </c>
      <c r="M22" s="107">
        <v>67040.048869999999</v>
      </c>
      <c r="N22" s="107">
        <v>59526.43159</v>
      </c>
      <c r="O22" s="107">
        <v>50523.108370000002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0.38645259999999998</v>
      </c>
      <c r="C10" s="96">
        <v>0.95</v>
      </c>
      <c r="D10" s="56">
        <v>13.05116778302235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13.05116778302235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13.05116778302235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13.05116778302235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13.05116778302235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4.9176999999999998E-2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0.67200000000000004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0.45918130000000001</v>
      </c>
      <c r="C19" s="96">
        <v>0.95</v>
      </c>
      <c r="D19" s="56">
        <v>10.16995323631398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0.22748450000000001</v>
      </c>
      <c r="C23" s="96">
        <v>0.95</v>
      </c>
      <c r="D23" s="56">
        <v>4.3037053742427069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0.85985686684090001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0.71619929999999998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0.24890229999999999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0.83599999999999997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0.44599899999999998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0.125864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8.1373999999999995E-3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0.83701589999999992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2E-3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3.1720000000000002</v>
      </c>
      <c r="C2" s="21">
        <f>'Baseline year population inputs'!C52</f>
        <v>3.1720000000000002</v>
      </c>
      <c r="D2" s="21">
        <f>'Baseline year population inputs'!C53</f>
        <v>7.8519999999999994</v>
      </c>
      <c r="E2" s="21">
        <f>'Baseline year population inputs'!C54</f>
        <v>7.3060000000000009</v>
      </c>
      <c r="F2" s="21">
        <f>'Baseline year population inputs'!C55</f>
        <v>3.102666666666666</v>
      </c>
    </row>
    <row r="3" spans="1:6" ht="15.75" customHeight="1" x14ac:dyDescent="0.25">
      <c r="A3" s="3" t="s">
        <v>197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198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