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2D8E854-0449-4650-9F66-FD621036D535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30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<sst xmlns="http://schemas.openxmlformats.org/spreadsheetml/2006/main" count="2092" uniqueCount="341">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</sst>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334619.72265625</v>
      </c>
    </row>
    <row r="8" spans="1:3" ht="15" customHeight="1" x14ac:dyDescent="0.25">
      <c r="B8" s="5" t="s">
        <v>8</v>
      </c>
      <c r="C8" s="44">
        <v>0.13400000000000001</v>
      </c>
    </row>
    <row r="9" spans="1:3" ht="15" customHeight="1" x14ac:dyDescent="0.25">
      <c r="B9" s="5" t="s">
        <v>9</v>
      </c>
      <c r="C9" s="45">
        <v>0.27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0.1114</v>
      </c>
    </row>
    <row r="24" spans="1:3" ht="15" customHeight="1" x14ac:dyDescent="0.25">
      <c r="B24" s="15" t="s">
        <v>22</v>
      </c>
      <c r="C24" s="45">
        <v>0.47339999999999999</v>
      </c>
    </row>
    <row r="25" spans="1:3" ht="15" customHeight="1" x14ac:dyDescent="0.25">
      <c r="B25" s="15" t="s">
        <v>23</v>
      </c>
      <c r="C25" s="45">
        <v>0.35499999999999998</v>
      </c>
    </row>
    <row r="26" spans="1:3" ht="15" customHeight="1" x14ac:dyDescent="0.25">
      <c r="B26" s="15" t="s">
        <v>24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9">
        <v>3.07454772021977E-2</v>
      </c>
    </row>
    <row r="31" spans="1:3" ht="14.25" customHeight="1" x14ac:dyDescent="0.25">
      <c r="B31" s="25" t="s">
        <v>28</v>
      </c>
      <c r="C31" s="99">
        <v>5.8505816356096703E-2</v>
      </c>
    </row>
    <row r="32" spans="1:3" ht="14.25" customHeight="1" x14ac:dyDescent="0.25">
      <c r="B32" s="25" t="s">
        <v>29</v>
      </c>
      <c r="C32" s="99">
        <v>0.56784403977727504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19.462630000000001</v>
      </c>
    </row>
    <row r="38" spans="1:5" ht="15" customHeight="1" x14ac:dyDescent="0.25">
      <c r="B38" s="11" t="s">
        <v>34</v>
      </c>
      <c r="C38" s="43">
        <v>29.38363</v>
      </c>
      <c r="D38" s="12"/>
      <c r="E38" s="13"/>
    </row>
    <row r="39" spans="1:5" ht="15" customHeight="1" x14ac:dyDescent="0.25">
      <c r="B39" s="11" t="s">
        <v>35</v>
      </c>
      <c r="C39" s="43">
        <v>39.043300000000002</v>
      </c>
      <c r="D39" s="12"/>
      <c r="E39" s="12"/>
    </row>
    <row r="40" spans="1:5" ht="15" customHeight="1" x14ac:dyDescent="0.25">
      <c r="B40" s="11" t="s">
        <v>36</v>
      </c>
      <c r="C40" s="100">
        <v>2.15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7.928300000000001E-3</v>
      </c>
      <c r="D45" s="12"/>
    </row>
    <row r="46" spans="1:5" ht="15.75" customHeight="1" x14ac:dyDescent="0.25">
      <c r="B46" s="11" t="s">
        <v>41</v>
      </c>
      <c r="C46" s="45">
        <v>8.5188199999999992E-2</v>
      </c>
      <c r="D46" s="12"/>
    </row>
    <row r="47" spans="1:5" ht="15.75" customHeight="1" x14ac:dyDescent="0.25">
      <c r="B47" s="11" t="s">
        <v>42</v>
      </c>
      <c r="C47" s="45">
        <v>7.3460999999999999E-2</v>
      </c>
      <c r="D47" s="12"/>
      <c r="E47" s="13"/>
    </row>
    <row r="48" spans="1:5" ht="15" customHeight="1" x14ac:dyDescent="0.25">
      <c r="B48" s="11" t="s">
        <v>43</v>
      </c>
      <c r="C48" s="46">
        <v>0.83342250000000007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0.53307799999999994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0.15525137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74655.481999999989</v>
      </c>
      <c r="C2" s="49">
        <v>141000</v>
      </c>
      <c r="D2" s="49">
        <v>265000</v>
      </c>
      <c r="E2" s="49">
        <v>221000</v>
      </c>
      <c r="F2" s="49">
        <v>147000</v>
      </c>
      <c r="G2" s="17">
        <f t="shared" ref="G2:G13" si="0">C2+D2+E2+F2</f>
        <v>774000</v>
      </c>
      <c r="H2" s="17">
        <f t="shared" ref="H2:H13" si="1">(B2 + stillbirth*B2/(1000-stillbirth))/(1-abortion)</f>
        <v>86327.359841914949</v>
      </c>
      <c r="I2" s="17">
        <f t="shared" ref="I2:I13" si="2">G2-H2</f>
        <v>687672.64015808504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74793.509999999995</v>
      </c>
      <c r="C3" s="50">
        <v>144000</v>
      </c>
      <c r="D3" s="50">
        <v>266000</v>
      </c>
      <c r="E3" s="50">
        <v>228000</v>
      </c>
      <c r="F3" s="50">
        <v>152000</v>
      </c>
      <c r="G3" s="17">
        <f t="shared" si="0"/>
        <v>790000</v>
      </c>
      <c r="H3" s="17">
        <f t="shared" si="1"/>
        <v>86486.967582767262</v>
      </c>
      <c r="I3" s="17">
        <f t="shared" si="2"/>
        <v>703513.03241723275</v>
      </c>
    </row>
    <row r="4" spans="1:9" ht="15.75" customHeight="1" x14ac:dyDescent="0.25">
      <c r="A4" s="5">
        <f t="shared" si="3"/>
        <v>2026</v>
      </c>
      <c r="B4" s="49">
        <v>75049.039999999994</v>
      </c>
      <c r="C4" s="50">
        <v>148000</v>
      </c>
      <c r="D4" s="50">
        <v>268000</v>
      </c>
      <c r="E4" s="50">
        <v>233000</v>
      </c>
      <c r="F4" s="50">
        <v>157000</v>
      </c>
      <c r="G4" s="17">
        <f t="shared" si="0"/>
        <v>806000</v>
      </c>
      <c r="H4" s="17">
        <f t="shared" si="1"/>
        <v>86782.447963704399</v>
      </c>
      <c r="I4" s="17">
        <f t="shared" si="2"/>
        <v>719217.55203629564</v>
      </c>
    </row>
    <row r="5" spans="1:9" ht="15.75" customHeight="1" x14ac:dyDescent="0.25">
      <c r="A5" s="5">
        <f t="shared" si="3"/>
        <v>2027</v>
      </c>
      <c r="B5" s="49">
        <v>75263.495999999999</v>
      </c>
      <c r="C5" s="50">
        <v>152000</v>
      </c>
      <c r="D5" s="50">
        <v>269000</v>
      </c>
      <c r="E5" s="50">
        <v>238000</v>
      </c>
      <c r="F5" s="50">
        <v>162000</v>
      </c>
      <c r="G5" s="17">
        <f t="shared" si="0"/>
        <v>821000</v>
      </c>
      <c r="H5" s="17">
        <f t="shared" si="1"/>
        <v>87030.432703555896</v>
      </c>
      <c r="I5" s="17">
        <f t="shared" si="2"/>
        <v>733969.56729644409</v>
      </c>
    </row>
    <row r="6" spans="1:9" ht="15.75" customHeight="1" x14ac:dyDescent="0.25">
      <c r="A6" s="5">
        <f t="shared" si="3"/>
        <v>2028</v>
      </c>
      <c r="B6" s="49">
        <v>75436.877999999997</v>
      </c>
      <c r="C6" s="50">
        <v>157000</v>
      </c>
      <c r="D6" s="50">
        <v>270000</v>
      </c>
      <c r="E6" s="50">
        <v>243000</v>
      </c>
      <c r="F6" s="50">
        <v>168000</v>
      </c>
      <c r="G6" s="17">
        <f t="shared" si="0"/>
        <v>838000</v>
      </c>
      <c r="H6" s="17">
        <f t="shared" si="1"/>
        <v>87230.92180232174</v>
      </c>
      <c r="I6" s="17">
        <f t="shared" si="2"/>
        <v>750769.07819767832</v>
      </c>
    </row>
    <row r="7" spans="1:9" ht="15.75" customHeight="1" x14ac:dyDescent="0.25">
      <c r="A7" s="5">
        <f t="shared" si="3"/>
        <v>2029</v>
      </c>
      <c r="B7" s="49">
        <v>75592.87539999999</v>
      </c>
      <c r="C7" s="50">
        <v>161000</v>
      </c>
      <c r="D7" s="50">
        <v>273000</v>
      </c>
      <c r="E7" s="50">
        <v>247000</v>
      </c>
      <c r="F7" s="50">
        <v>174000</v>
      </c>
      <c r="G7" s="17">
        <f t="shared" si="0"/>
        <v>855000</v>
      </c>
      <c r="H7" s="17">
        <f t="shared" si="1"/>
        <v>87411.308336885981</v>
      </c>
      <c r="I7" s="17">
        <f t="shared" si="2"/>
        <v>767588.691663114</v>
      </c>
    </row>
    <row r="8" spans="1:9" ht="15.75" customHeight="1" x14ac:dyDescent="0.25">
      <c r="A8" s="5">
        <f t="shared" si="3"/>
        <v>2030</v>
      </c>
      <c r="B8" s="49">
        <v>75683.736000000004</v>
      </c>
      <c r="C8" s="50">
        <v>165000</v>
      </c>
      <c r="D8" s="50">
        <v>277000</v>
      </c>
      <c r="E8" s="50">
        <v>250000</v>
      </c>
      <c r="F8" s="50">
        <v>180000</v>
      </c>
      <c r="G8" s="17">
        <f t="shared" si="0"/>
        <v>872000</v>
      </c>
      <c r="H8" s="17">
        <f t="shared" si="1"/>
        <v>87516.374374925261</v>
      </c>
      <c r="I8" s="17">
        <f t="shared" si="2"/>
        <v>784483.62562507472</v>
      </c>
    </row>
    <row r="9" spans="1:9" ht="15.75" customHeight="1" x14ac:dyDescent="0.25">
      <c r="A9" s="5">
        <f t="shared" si="3"/>
        <v>2031</v>
      </c>
      <c r="B9" s="49">
        <v>75830.629428571439</v>
      </c>
      <c r="C9" s="50">
        <v>168428.57142857139</v>
      </c>
      <c r="D9" s="50">
        <v>278714.28571428568</v>
      </c>
      <c r="E9" s="50">
        <v>254142.8571428571</v>
      </c>
      <c r="F9" s="50">
        <v>184714.28571428571</v>
      </c>
      <c r="G9" s="17">
        <f t="shared" si="0"/>
        <v>885999.99999999977</v>
      </c>
      <c r="H9" s="17">
        <f t="shared" si="1"/>
        <v>87686.233593926736</v>
      </c>
      <c r="I9" s="17">
        <f t="shared" si="2"/>
        <v>798313.766406073</v>
      </c>
    </row>
    <row r="10" spans="1:9" ht="15.75" customHeight="1" x14ac:dyDescent="0.25">
      <c r="A10" s="5">
        <f t="shared" si="3"/>
        <v>2032</v>
      </c>
      <c r="B10" s="49">
        <v>75978.789346938793</v>
      </c>
      <c r="C10" s="50">
        <v>171918.36734693879</v>
      </c>
      <c r="D10" s="50">
        <v>280530.61224489799</v>
      </c>
      <c r="E10" s="50">
        <v>257877.55102040811</v>
      </c>
      <c r="F10" s="50">
        <v>189387.7551020408</v>
      </c>
      <c r="G10" s="17">
        <f t="shared" si="0"/>
        <v>899714.2857142858</v>
      </c>
      <c r="H10" s="17">
        <f t="shared" si="1"/>
        <v>87857.557309806682</v>
      </c>
      <c r="I10" s="17">
        <f t="shared" si="2"/>
        <v>811856.7284044791</v>
      </c>
    </row>
    <row r="11" spans="1:9" ht="15.75" customHeight="1" x14ac:dyDescent="0.25">
      <c r="A11" s="5">
        <f t="shared" si="3"/>
        <v>2033</v>
      </c>
      <c r="B11" s="49">
        <v>76111.61068221576</v>
      </c>
      <c r="C11" s="50">
        <v>175335.27696793</v>
      </c>
      <c r="D11" s="50">
        <v>282320.69970845478</v>
      </c>
      <c r="E11" s="50">
        <v>261431.4868804664</v>
      </c>
      <c r="F11" s="50">
        <v>194014.57725947519</v>
      </c>
      <c r="G11" s="17">
        <f t="shared" si="0"/>
        <v>913102.04081632639</v>
      </c>
      <c r="H11" s="17">
        <f t="shared" si="1"/>
        <v>88011.144359249854</v>
      </c>
      <c r="I11" s="17">
        <f t="shared" si="2"/>
        <v>825090.89645707654</v>
      </c>
    </row>
    <row r="12" spans="1:9" ht="15.75" customHeight="1" x14ac:dyDescent="0.25">
      <c r="A12" s="5">
        <f t="shared" si="3"/>
        <v>2034</v>
      </c>
      <c r="B12" s="49">
        <v>76232.769922532301</v>
      </c>
      <c r="C12" s="50">
        <v>178668.88796334859</v>
      </c>
      <c r="D12" s="50">
        <v>284223.65680966259</v>
      </c>
      <c r="E12" s="50">
        <v>264778.84214910452</v>
      </c>
      <c r="F12" s="50">
        <v>198588.08829654311</v>
      </c>
      <c r="G12" s="17">
        <f t="shared" si="0"/>
        <v>926259.4752186588</v>
      </c>
      <c r="H12" s="17">
        <f t="shared" si="1"/>
        <v>88151.246024349006</v>
      </c>
      <c r="I12" s="17">
        <f t="shared" si="2"/>
        <v>838108.2291943098</v>
      </c>
    </row>
    <row r="13" spans="1:9" ht="15.75" customHeight="1" x14ac:dyDescent="0.25">
      <c r="A13" s="5">
        <f t="shared" si="3"/>
        <v>2035</v>
      </c>
      <c r="B13" s="49">
        <v>76346.468768608349</v>
      </c>
      <c r="C13" s="50">
        <v>181764.44338668411</v>
      </c>
      <c r="D13" s="50">
        <v>286255.60778247158</v>
      </c>
      <c r="E13" s="50">
        <v>267890.10531326232</v>
      </c>
      <c r="F13" s="50">
        <v>202957.8151960492</v>
      </c>
      <c r="G13" s="17">
        <f t="shared" si="0"/>
        <v>938867.97167846723</v>
      </c>
      <c r="H13" s="17">
        <f t="shared" si="1"/>
        <v>88282.72091321004</v>
      </c>
      <c r="I13" s="17">
        <f t="shared" si="2"/>
        <v>850585.25076525717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1.0223598977640099E-2</v>
      </c>
    </row>
    <row r="4" spans="1:8" ht="15.75" customHeight="1" x14ac:dyDescent="0.25">
      <c r="B4" s="19" t="s">
        <v>69</v>
      </c>
      <c r="C4" s="101">
        <v>5.4527794547220461E-2</v>
      </c>
    </row>
    <row r="5" spans="1:8" ht="15.75" customHeight="1" x14ac:dyDescent="0.25">
      <c r="B5" s="19" t="s">
        <v>70</v>
      </c>
      <c r="C5" s="101">
        <v>6.7976193202380797E-2</v>
      </c>
    </row>
    <row r="6" spans="1:8" ht="15.75" customHeight="1" x14ac:dyDescent="0.25">
      <c r="B6" s="19" t="s">
        <v>71</v>
      </c>
      <c r="C6" s="101">
        <v>0.23703687629631159</v>
      </c>
    </row>
    <row r="7" spans="1:8" ht="15.75" customHeight="1" x14ac:dyDescent="0.25">
      <c r="B7" s="19" t="s">
        <v>72</v>
      </c>
      <c r="C7" s="101">
        <v>0.43144785685521458</v>
      </c>
    </row>
    <row r="8" spans="1:8" ht="15.75" customHeight="1" x14ac:dyDescent="0.25">
      <c r="B8" s="19" t="s">
        <v>73</v>
      </c>
      <c r="C8" s="101">
        <v>1.472199852780015E-3</v>
      </c>
    </row>
    <row r="9" spans="1:8" ht="15.75" customHeight="1" x14ac:dyDescent="0.25">
      <c r="B9" s="19" t="s">
        <v>74</v>
      </c>
      <c r="C9" s="101">
        <v>8.8945991105401023E-2</v>
      </c>
    </row>
    <row r="10" spans="1:8" ht="15.75" customHeight="1" x14ac:dyDescent="0.25">
      <c r="B10" s="19" t="s">
        <v>75</v>
      </c>
      <c r="C10" s="101">
        <v>0.1083694891630512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82</v>
      </c>
      <c r="C15" s="101">
        <v>0.1773419466739668</v>
      </c>
      <c r="D15" s="101">
        <v>0.1773419466739668</v>
      </c>
      <c r="E15" s="101">
        <v>0.1773419466739668</v>
      </c>
      <c r="F15" s="101">
        <v>0.1773419466739668</v>
      </c>
    </row>
    <row r="16" spans="1:8" ht="15.75" customHeight="1" x14ac:dyDescent="0.25">
      <c r="B16" s="19" t="s">
        <v>83</v>
      </c>
      <c r="C16" s="101">
        <v>2.0708961417743449E-2</v>
      </c>
      <c r="D16" s="101">
        <v>2.0708961417743449E-2</v>
      </c>
      <c r="E16" s="101">
        <v>2.0708961417743449E-2</v>
      </c>
      <c r="F16" s="101">
        <v>2.0708961417743449E-2</v>
      </c>
    </row>
    <row r="17" spans="1:8" ht="15.75" customHeight="1" x14ac:dyDescent="0.25">
      <c r="B17" s="19" t="s">
        <v>84</v>
      </c>
      <c r="C17" s="101">
        <v>1.200938691340392E-3</v>
      </c>
      <c r="D17" s="101">
        <v>1.200938691340392E-3</v>
      </c>
      <c r="E17" s="101">
        <v>1.200938691340392E-3</v>
      </c>
      <c r="F17" s="101">
        <v>1.200938691340392E-3</v>
      </c>
    </row>
    <row r="18" spans="1:8" ht="15.75" customHeight="1" x14ac:dyDescent="0.25">
      <c r="B18" s="19" t="s">
        <v>85</v>
      </c>
      <c r="C18" s="101">
        <v>2.0036074469009621E-3</v>
      </c>
      <c r="D18" s="101">
        <v>2.0036074469009621E-3</v>
      </c>
      <c r="E18" s="101">
        <v>2.0036074469009621E-3</v>
      </c>
      <c r="F18" s="101">
        <v>2.0036074469009621E-3</v>
      </c>
    </row>
    <row r="19" spans="1:8" ht="15.75" customHeight="1" x14ac:dyDescent="0.25">
      <c r="B19" s="19" t="s">
        <v>86</v>
      </c>
      <c r="C19" s="101">
        <v>3.8478101476373552E-2</v>
      </c>
      <c r="D19" s="101">
        <v>3.8478101476373552E-2</v>
      </c>
      <c r="E19" s="101">
        <v>3.8478101476373552E-2</v>
      </c>
      <c r="F19" s="101">
        <v>3.8478101476373552E-2</v>
      </c>
    </row>
    <row r="20" spans="1:8" ht="15.75" customHeight="1" x14ac:dyDescent="0.25">
      <c r="B20" s="19" t="s">
        <v>87</v>
      </c>
      <c r="C20" s="101">
        <v>0.28831162427767509</v>
      </c>
      <c r="D20" s="101">
        <v>0.28831162427767509</v>
      </c>
      <c r="E20" s="101">
        <v>0.28831162427767509</v>
      </c>
      <c r="F20" s="101">
        <v>0.28831162427767509</v>
      </c>
    </row>
    <row r="21" spans="1:8" ht="15.75" customHeight="1" x14ac:dyDescent="0.25">
      <c r="B21" s="19" t="s">
        <v>88</v>
      </c>
      <c r="C21" s="101">
        <v>0.1149372196793608</v>
      </c>
      <c r="D21" s="101">
        <v>0.1149372196793608</v>
      </c>
      <c r="E21" s="101">
        <v>0.1149372196793608</v>
      </c>
      <c r="F21" s="101">
        <v>0.1149372196793608</v>
      </c>
    </row>
    <row r="22" spans="1:8" ht="15.75" customHeight="1" x14ac:dyDescent="0.25">
      <c r="B22" s="19" t="s">
        <v>89</v>
      </c>
      <c r="C22" s="101">
        <v>0.2028221905242949</v>
      </c>
      <c r="D22" s="101">
        <v>0.2028221905242949</v>
      </c>
      <c r="E22" s="101">
        <v>0.2028221905242949</v>
      </c>
      <c r="F22" s="101">
        <v>0.2028221905242949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7.6914598000000015E-2</v>
      </c>
    </row>
    <row r="27" spans="1:8" ht="15.75" customHeight="1" x14ac:dyDescent="0.25">
      <c r="B27" s="19" t="s">
        <v>92</v>
      </c>
      <c r="C27" s="101">
        <v>7.5643810000000002E-3</v>
      </c>
    </row>
    <row r="28" spans="1:8" ht="15.75" customHeight="1" x14ac:dyDescent="0.25">
      <c r="B28" s="19" t="s">
        <v>93</v>
      </c>
      <c r="C28" s="101">
        <v>0.13334979499999999</v>
      </c>
    </row>
    <row r="29" spans="1:8" ht="15.75" customHeight="1" x14ac:dyDescent="0.25">
      <c r="B29" s="19" t="s">
        <v>94</v>
      </c>
      <c r="C29" s="101">
        <v>0.14638231299999999</v>
      </c>
    </row>
    <row r="30" spans="1:8" ht="15.75" customHeight="1" x14ac:dyDescent="0.25">
      <c r="B30" s="19" t="s">
        <v>95</v>
      </c>
      <c r="C30" s="101">
        <v>9.1820059999999995E-2</v>
      </c>
    </row>
    <row r="31" spans="1:8" ht="15.75" customHeight="1" x14ac:dyDescent="0.25">
      <c r="B31" s="19" t="s">
        <v>96</v>
      </c>
      <c r="C31" s="101">
        <v>9.6547411000000014E-2</v>
      </c>
    </row>
    <row r="32" spans="1:8" ht="15.75" customHeight="1" x14ac:dyDescent="0.25">
      <c r="B32" s="19" t="s">
        <v>97</v>
      </c>
      <c r="C32" s="101">
        <v>1.6333001E-2</v>
      </c>
    </row>
    <row r="33" spans="2:3" ht="15.75" customHeight="1" x14ac:dyDescent="0.25">
      <c r="B33" s="19" t="s">
        <v>98</v>
      </c>
      <c r="C33" s="101">
        <v>7.2137805999999999E-2</v>
      </c>
    </row>
    <row r="34" spans="2:3" ht="15.75" customHeight="1" x14ac:dyDescent="0.25">
      <c r="B34" s="19" t="s">
        <v>99</v>
      </c>
      <c r="C34" s="101">
        <v>0.35895063599999999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104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105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109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110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122</v>
      </c>
      <c r="C5" s="52">
        <v>2.3477700000000001E-2</v>
      </c>
      <c r="D5" s="52">
        <v>8.5492100000000001E-2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0.32177023179879</v>
      </c>
      <c r="C2" s="98">
        <v>0.95</v>
      </c>
      <c r="D2" s="56">
        <v>59.757730837177341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39.918868339226442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441.49789473503643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1.4695112663172401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13.05116778302235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13.05116778302235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13.05116778302235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13.05116778302235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13.05116778302235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13.05116778302235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0.92588462682859995</v>
      </c>
      <c r="C16" s="98">
        <v>0.95</v>
      </c>
      <c r="D16" s="56">
        <v>0.75814631923040521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10.16995323631398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10.16995323631398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0.125864</v>
      </c>
      <c r="C21" s="98">
        <v>0.95</v>
      </c>
      <c r="D21" s="56">
        <v>12.173502103595631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22.54259034226105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8.1373999999999995E-3</v>
      </c>
      <c r="C23" s="98">
        <v>0.95</v>
      </c>
      <c r="D23" s="56">
        <v>4.3037053742427069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0.81891578317094993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0.42073999180286997</v>
      </c>
      <c r="C27" s="98">
        <v>0.95</v>
      </c>
      <c r="D27" s="56">
        <v>18.626611965744981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0.71619929999999998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117.5926597258641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2.1005836053346112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0.45918130000000001</v>
      </c>
      <c r="C32" s="98">
        <v>0.95</v>
      </c>
      <c r="D32" s="56">
        <v>1.6314175230449219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0.35840539999999999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1.6271E-3</v>
      </c>
      <c r="C38" s="98">
        <v>0.95</v>
      </c>
      <c r="D38" s="56">
        <v>4.5084408768645172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0.24890229999999999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205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0.13400000000000001</v>
      </c>
      <c r="E2" s="60">
        <f>food_insecure</f>
        <v>0.13400000000000001</v>
      </c>
      <c r="F2" s="60">
        <f>food_insecure</f>
        <v>0.13400000000000001</v>
      </c>
      <c r="G2" s="60">
        <f>food_insecure</f>
        <v>0.13400000000000001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0.13400000000000001</v>
      </c>
      <c r="F5" s="60">
        <f>food_insecure</f>
        <v>0.13400000000000001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0.13400000000000001</v>
      </c>
      <c r="F8" s="60">
        <f>food_insecure</f>
        <v>0.13400000000000001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0.13400000000000001</v>
      </c>
      <c r="F9" s="60">
        <f>food_insecure</f>
        <v>0.13400000000000001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0.13400000000000001</v>
      </c>
      <c r="I15" s="60">
        <f>food_insecure</f>
        <v>0.13400000000000001</v>
      </c>
      <c r="J15" s="60">
        <f>food_insecure</f>
        <v>0.13400000000000001</v>
      </c>
      <c r="K15" s="60">
        <f>food_insecure</f>
        <v>0.13400000000000001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0.34920915215608805</v>
      </c>
      <c r="M25" s="60">
        <f>(1-food_insecure)*(0.49)+food_insecure*(0.7)</f>
        <v>0.51814000000000004</v>
      </c>
      <c r="N25" s="60">
        <f>(1-food_insecure)*(0.49)+food_insecure*(0.7)</f>
        <v>0.51814000000000004</v>
      </c>
      <c r="O25" s="60">
        <f>(1-food_insecure)*(0.49)+food_insecure*(0.7)</f>
        <v>0.51814000000000004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0.14966106520975203</v>
      </c>
      <c r="M26" s="60">
        <f>(1-food_insecure)*(0.21)+food_insecure*(0.3)</f>
        <v>0.22205999999999998</v>
      </c>
      <c r="N26" s="60">
        <f>(1-food_insecure)*(0.21)+food_insecure*(0.3)</f>
        <v>0.22205999999999998</v>
      </c>
      <c r="O26" s="60">
        <f>(1-food_insecure)*(0.21)+food_insecure*(0.3)</f>
        <v>0.22205999999999998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0.17509657183416</v>
      </c>
      <c r="M27" s="60">
        <f>(1-food_insecure)*(0.3)</f>
        <v>0.25979999999999998</v>
      </c>
      <c r="N27" s="60">
        <f>(1-food_insecure)*(0.3)</f>
        <v>0.25979999999999998</v>
      </c>
      <c r="O27" s="60">
        <f>(1-food_insecure)*(0.3)</f>
        <v>0.25979999999999998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0.27</v>
      </c>
      <c r="D34" s="60">
        <f t="shared" si="3"/>
        <v>0.27</v>
      </c>
      <c r="E34" s="60">
        <f t="shared" si="3"/>
        <v>0.27</v>
      </c>
      <c r="F34" s="60">
        <f t="shared" si="3"/>
        <v>0.27</v>
      </c>
      <c r="G34" s="60">
        <f t="shared" si="3"/>
        <v>0.27</v>
      </c>
      <c r="H34" s="60">
        <f t="shared" si="3"/>
        <v>0.27</v>
      </c>
      <c r="I34" s="60">
        <f t="shared" si="3"/>
        <v>0.27</v>
      </c>
      <c r="J34" s="60">
        <f t="shared" si="3"/>
        <v>0.27</v>
      </c>
      <c r="K34" s="60">
        <f t="shared" si="3"/>
        <v>0.27</v>
      </c>
      <c r="L34" s="60">
        <f t="shared" si="3"/>
        <v>0.27</v>
      </c>
      <c r="M34" s="60">
        <f t="shared" si="3"/>
        <v>0.27</v>
      </c>
      <c r="N34" s="60">
        <f t="shared" si="3"/>
        <v>0.27</v>
      </c>
      <c r="O34" s="60">
        <f t="shared" si="3"/>
        <v>0.27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0.89852866565195344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2024-03-28T03:04:27Z</dcterms:modified>
</cp:coreProperties>
</file>