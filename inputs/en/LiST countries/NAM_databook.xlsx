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F438874-693D-4732-B793-406370F2944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<sst xmlns="http://schemas.openxmlformats.org/spreadsheetml/2006/main" count="2103" uniqueCount="341">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</sst>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334619.72265625</v>
      </c>
    </row>
    <row r="8" spans="1:3" ht="15" customHeight="1" x14ac:dyDescent="0.25">
      <c r="B8" s="5" t="s">
        <v>8</v>
      </c>
      <c r="C8" s="44">
        <v>0.13400000000000001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0.15525137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101">
        <v>5.4527794547220461E-2</v>
      </c>
    </row>
    <row r="5" spans="1:8" ht="15.75" customHeight="1" x14ac:dyDescent="0.25">
      <c r="B5" s="19" t="s">
        <v>70</v>
      </c>
      <c r="C5" s="101">
        <v>6.7976193202380797E-2</v>
      </c>
    </row>
    <row r="6" spans="1:8" ht="15.75" customHeight="1" x14ac:dyDescent="0.25">
      <c r="B6" s="19" t="s">
        <v>71</v>
      </c>
      <c r="C6" s="101">
        <v>0.23703687629631159</v>
      </c>
    </row>
    <row r="7" spans="1:8" ht="15.75" customHeight="1" x14ac:dyDescent="0.25">
      <c r="B7" s="19" t="s">
        <v>72</v>
      </c>
      <c r="C7" s="101">
        <v>0.43144785685521458</v>
      </c>
    </row>
    <row r="8" spans="1:8" ht="15.75" customHeight="1" x14ac:dyDescent="0.25">
      <c r="B8" s="19" t="s">
        <v>73</v>
      </c>
      <c r="C8" s="101">
        <v>1.472199852780015E-3</v>
      </c>
    </row>
    <row r="9" spans="1:8" ht="15.75" customHeight="1" x14ac:dyDescent="0.25">
      <c r="B9" s="19" t="s">
        <v>74</v>
      </c>
      <c r="C9" s="101">
        <v>8.8945991105401023E-2</v>
      </c>
    </row>
    <row r="10" spans="1:8" ht="15.75" customHeight="1" x14ac:dyDescent="0.25">
      <c r="B10" s="19" t="s">
        <v>75</v>
      </c>
      <c r="C10" s="101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83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84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85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86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87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89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101">
        <v>7.5643810000000002E-3</v>
      </c>
    </row>
    <row r="28" spans="1:8" ht="15.75" customHeight="1" x14ac:dyDescent="0.25">
      <c r="B28" s="19" t="s">
        <v>93</v>
      </c>
      <c r="C28" s="101">
        <v>0.13334979499999999</v>
      </c>
    </row>
    <row r="29" spans="1:8" ht="15.75" customHeight="1" x14ac:dyDescent="0.25">
      <c r="B29" s="19" t="s">
        <v>94</v>
      </c>
      <c r="C29" s="101">
        <v>0.14638231299999999</v>
      </c>
    </row>
    <row r="30" spans="1:8" ht="15.75" customHeight="1" x14ac:dyDescent="0.25">
      <c r="B30" s="19" t="s">
        <v>95</v>
      </c>
      <c r="C30" s="101">
        <v>9.1820059999999995E-2</v>
      </c>
    </row>
    <row r="31" spans="1:8" ht="15.75" customHeight="1" x14ac:dyDescent="0.25">
      <c r="B31" s="19" t="s">
        <v>96</v>
      </c>
      <c r="C31" s="101">
        <v>9.6547411000000014E-2</v>
      </c>
    </row>
    <row r="32" spans="1:8" ht="15.75" customHeight="1" x14ac:dyDescent="0.25">
      <c r="B32" s="19" t="s">
        <v>97</v>
      </c>
      <c r="C32" s="101">
        <v>1.6333001E-2</v>
      </c>
    </row>
    <row r="33" spans="2:3" ht="15.75" customHeight="1" x14ac:dyDescent="0.25">
      <c r="B33" s="19" t="s">
        <v>98</v>
      </c>
      <c r="C33" s="101">
        <v>7.2137805999999999E-2</v>
      </c>
    </row>
    <row r="34" spans="2:3" ht="15.75" customHeight="1" x14ac:dyDescent="0.25">
      <c r="B34" s="19" t="s">
        <v>99</v>
      </c>
      <c r="C34" s="101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59.757730837177341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39.918868339226442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441.49789473503643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1.5590045024359589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0.38645259999999998</v>
      </c>
      <c r="C10" s="98">
        <v>0.95</v>
      </c>
      <c r="D10" s="56">
        <v>13.05116778302235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13.05116778302235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13.05116778302235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13.05116778302235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0.38645259999999998</v>
      </c>
      <c r="C14" s="98">
        <v>0.95</v>
      </c>
      <c r="D14" s="56">
        <v>13.05116778302235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13.05116778302235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4.9176999999999998E-2</v>
      </c>
      <c r="C16" s="98">
        <v>0.95</v>
      </c>
      <c r="D16" s="56">
        <v>0.75814631923040521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0.45918130000000001</v>
      </c>
      <c r="C18" s="98">
        <v>0.95</v>
      </c>
      <c r="D18" s="56">
        <v>10.16995323631398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0.45918130000000001</v>
      </c>
      <c r="C19" s="98">
        <v>0.95</v>
      </c>
      <c r="D19" s="56">
        <v>10.16995323631398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12.173502103595631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0.22748450000000001</v>
      </c>
      <c r="C23" s="98">
        <v>0.95</v>
      </c>
      <c r="D23" s="56">
        <v>4.3037053742427069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0.85985686684090001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0.38645259999999998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18.626611965744981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0.71619929999999998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0.24890229999999999</v>
      </c>
      <c r="C29" s="98">
        <v>0.95</v>
      </c>
      <c r="D29" s="56">
        <v>117.5926597258641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2.1005836053346112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0.59</v>
      </c>
      <c r="C32" s="98">
        <v>0.95</v>
      </c>
      <c r="D32" s="56">
        <v>1.6314175230449219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0.44599899999999998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0.125864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8.1373999999999995E-3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0.83701589999999992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1.6271E-3</v>
      </c>
      <c r="C38" s="98">
        <v>0.95</v>
      </c>
      <c r="D38" s="56">
        <v>4.5084408768645172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205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0.10408379945135304</v>
      </c>
      <c r="G18" s="90">
        <f>MIN(MAX(1-0.89/(1-frac_sam_12_23months+(frac_sam_12_23months*0.89)),0),1)</f>
        <v>0.10570170818540103</v>
      </c>
      <c r="H18" s="90">
        <f>MIN(MAX(1-0.89/(1-frac_sam_24_59months+(frac_sam_24_59months*0.89)),0),1)</f>
        <v>0.10903289262556359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9.9998198075044065E-2</v>
      </c>
      <c r="G20" s="90">
        <f>MIN(MAX(1-0.89/(1-frac_mam_12_23months+(frac_mam_12_23months*0.89)),0),1)</f>
        <v>0.10559612615633363</v>
      </c>
      <c r="H20" s="90">
        <f>MIN(MAX(1-0.89/(1-frac_mam_24_59months+(frac_mam_24_59months*0.89)),0),1)</f>
        <v>0.10682373479720408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9.4053262054276665E-3</v>
      </c>
      <c r="G73" s="90">
        <f>MIN(MAX(1-0.99/(1-frac_sam_12_23months+(frac_sam_12_23months*0.99)),0),1)</f>
        <v>9.5672413008467405E-3</v>
      </c>
      <c r="H73" s="90">
        <f>MIN(MAX(1-0.99/(1-frac_sam_24_59months+(frac_sam_24_59months*0.99)),0),1)</f>
        <v>9.9022991390744775E-3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8.9988103270960407E-3</v>
      </c>
      <c r="G75" s="90">
        <f>MIN(MAX(1-0.99/(1-frac_mam_12_23months+(frac_mam_12_23months*0.99)),0),1)</f>
        <v>9.5566587420294891E-3</v>
      </c>
      <c r="H75" s="90">
        <f>MIN(MAX(1-0.99/(1-frac_mam_24_59months+(frac_mam_24_59months*0.99)),0),1)</f>
        <v>9.6798433578396681E-3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0.19027815564797179</v>
      </c>
      <c r="G128" s="90">
        <f>MIN(MAX(1-0.8/(1-frac_sam_12_23months+(frac_sam_12_23months*0.8)),0),1)</f>
        <v>0.19294734439424555</v>
      </c>
      <c r="H128" s="90">
        <f>MIN(MAX(1-0.8/(1-frac_sam_24_59months+(frac_sam_24_59months*0.8)),0),1)</f>
        <v>0.19841802988706392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0.18350215480925702</v>
      </c>
      <c r="G130" s="90">
        <f>MIN(MAX(1-0.8/(1-frac_mam_12_23months+(frac_mam_12_23months*0.8)),0),1)</f>
        <v>0.19277340073729254</v>
      </c>
      <c r="H130" s="90">
        <f>MIN(MAX(1-0.8/(1-frac_mam_24_59months+(frac_mam_24_59months*0.8)),0),1)</f>
        <v>0.19479376192233644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2024-06-18T06:56:29Z</dcterms:modified>
</cp:coreProperties>
</file>