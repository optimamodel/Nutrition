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/All_databooks/"/>
    </mc:Choice>
  </mc:AlternateContent>
  <xr:revisionPtr revIDLastSave="2" documentId="8_{D57B4946-D43E-4E32-95DC-3385478B8515}" xr6:coauthVersionLast="47" xr6:coauthVersionMax="47" xr10:uidLastSave="{F6F37935-B9AA-4728-B5F3-1967261C669E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29" i="2"/>
  <c r="A28" i="2"/>
  <c r="A27" i="2"/>
  <c r="A21" i="2"/>
  <c r="A20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14" i="2" l="1"/>
  <c r="A22" i="2"/>
  <c r="A38" i="2"/>
  <c r="A40" i="2"/>
  <c r="A15" i="2"/>
  <c r="A23" i="2"/>
  <c r="A31" i="2"/>
  <c r="A3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<sst xmlns="http://schemas.openxmlformats.org/spreadsheetml/2006/main" count="2092" uniqueCount="341">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</sst>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8" sqref="C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6050583.625</v>
      </c>
    </row>
    <row r="8" spans="1:3" ht="15" customHeight="1" x14ac:dyDescent="0.25">
      <c r="B8" s="5" t="s">
        <v>8</v>
      </c>
      <c r="C8" s="44">
        <v>0.126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0.8498191070556641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1227488.4288000001</v>
      </c>
      <c r="C2" s="49">
        <v>3235000</v>
      </c>
      <c r="D2" s="49">
        <v>6516000</v>
      </c>
      <c r="E2" s="49">
        <v>528000</v>
      </c>
      <c r="F2" s="49">
        <v>394000</v>
      </c>
      <c r="G2" s="17">
        <f t="shared" ref="G2:G13" si="0">C2+D2+E2+F2</f>
        <v>10673000</v>
      </c>
      <c r="H2" s="17">
        <f t="shared" ref="H2:H13" si="1">(B2 + stillbirth*B2/(1000-stillbirth))/(1-abortion)</f>
        <v>1400790.3209560113</v>
      </c>
      <c r="I2" s="17">
        <f t="shared" ref="I2:I13" si="2">G2-H2</f>
        <v>9272209.6790439896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1214448.625</v>
      </c>
      <c r="C3" s="50">
        <v>3214000</v>
      </c>
      <c r="D3" s="50">
        <v>6497000</v>
      </c>
      <c r="E3" s="50">
        <v>530000</v>
      </c>
      <c r="F3" s="50">
        <v>405000</v>
      </c>
      <c r="G3" s="17">
        <f t="shared" si="0"/>
        <v>10646000</v>
      </c>
      <c r="H3" s="17">
        <f t="shared" si="1"/>
        <v>1385909.5037347341</v>
      </c>
      <c r="I3" s="17">
        <f t="shared" si="2"/>
        <v>9260090.4962652661</v>
      </c>
    </row>
    <row r="4" spans="1:9" ht="15.75" customHeight="1" x14ac:dyDescent="0.25">
      <c r="A4" s="5">
        <f t="shared" si="3"/>
        <v>2026</v>
      </c>
      <c r="B4" s="49">
        <v>1205093.5728</v>
      </c>
      <c r="C4" s="50">
        <v>3202000</v>
      </c>
      <c r="D4" s="50">
        <v>6473000</v>
      </c>
      <c r="E4" s="50">
        <v>527000</v>
      </c>
      <c r="F4" s="50">
        <v>417000</v>
      </c>
      <c r="G4" s="17">
        <f t="shared" si="0"/>
        <v>10619000</v>
      </c>
      <c r="H4" s="17">
        <f t="shared" si="1"/>
        <v>1375233.6665811331</v>
      </c>
      <c r="I4" s="17">
        <f t="shared" si="2"/>
        <v>9243766.3334188666</v>
      </c>
    </row>
    <row r="5" spans="1:9" ht="15.75" customHeight="1" x14ac:dyDescent="0.25">
      <c r="A5" s="5">
        <f t="shared" si="3"/>
        <v>2027</v>
      </c>
      <c r="B5" s="49">
        <v>1195992.3959999999</v>
      </c>
      <c r="C5" s="50">
        <v>3195000</v>
      </c>
      <c r="D5" s="50">
        <v>6441000</v>
      </c>
      <c r="E5" s="50">
        <v>521000</v>
      </c>
      <c r="F5" s="50">
        <v>429000</v>
      </c>
      <c r="G5" s="17">
        <f t="shared" si="0"/>
        <v>10586000</v>
      </c>
      <c r="H5" s="17">
        <f t="shared" si="1"/>
        <v>1364847.5480063024</v>
      </c>
      <c r="I5" s="17">
        <f t="shared" si="2"/>
        <v>9221152.4519936983</v>
      </c>
    </row>
    <row r="6" spans="1:9" ht="15.75" customHeight="1" x14ac:dyDescent="0.25">
      <c r="A6" s="5">
        <f t="shared" si="3"/>
        <v>2028</v>
      </c>
      <c r="B6" s="49">
        <v>1187089.1103999999</v>
      </c>
      <c r="C6" s="50">
        <v>3189000</v>
      </c>
      <c r="D6" s="50">
        <v>6404000</v>
      </c>
      <c r="E6" s="50">
        <v>511000</v>
      </c>
      <c r="F6" s="50">
        <v>443000</v>
      </c>
      <c r="G6" s="17">
        <f t="shared" si="0"/>
        <v>10547000</v>
      </c>
      <c r="H6" s="17">
        <f t="shared" si="1"/>
        <v>1354687.2597293863</v>
      </c>
      <c r="I6" s="17">
        <f t="shared" si="2"/>
        <v>9192312.7402706146</v>
      </c>
    </row>
    <row r="7" spans="1:9" ht="15.75" customHeight="1" x14ac:dyDescent="0.25">
      <c r="A7" s="5">
        <f t="shared" si="3"/>
        <v>2029</v>
      </c>
      <c r="B7" s="49">
        <v>1178209.2420000001</v>
      </c>
      <c r="C7" s="50">
        <v>3179000</v>
      </c>
      <c r="D7" s="50">
        <v>6368000</v>
      </c>
      <c r="E7" s="50">
        <v>501000</v>
      </c>
      <c r="F7" s="50">
        <v>456000</v>
      </c>
      <c r="G7" s="17">
        <f t="shared" si="0"/>
        <v>10504000</v>
      </c>
      <c r="H7" s="17">
        <f t="shared" si="1"/>
        <v>1344553.6947895985</v>
      </c>
      <c r="I7" s="17">
        <f t="shared" si="2"/>
        <v>9159446.3052104022</v>
      </c>
    </row>
    <row r="8" spans="1:9" ht="15.75" customHeight="1" x14ac:dyDescent="0.25">
      <c r="A8" s="5">
        <f t="shared" si="3"/>
        <v>2030</v>
      </c>
      <c r="B8" s="49">
        <v>1169226.4080000001</v>
      </c>
      <c r="C8" s="50">
        <v>3163000</v>
      </c>
      <c r="D8" s="50">
        <v>6335000</v>
      </c>
      <c r="E8" s="50">
        <v>491000</v>
      </c>
      <c r="F8" s="50">
        <v>469000</v>
      </c>
      <c r="G8" s="17">
        <f t="shared" si="0"/>
        <v>10458000</v>
      </c>
      <c r="H8" s="17">
        <f t="shared" si="1"/>
        <v>1334302.6271406303</v>
      </c>
      <c r="I8" s="17">
        <f t="shared" si="2"/>
        <v>9123697.37285937</v>
      </c>
    </row>
    <row r="9" spans="1:9" ht="15.75" customHeight="1" x14ac:dyDescent="0.25">
      <c r="A9" s="5">
        <f t="shared" si="3"/>
        <v>2031</v>
      </c>
      <c r="B9" s="49">
        <v>1160903.2621714291</v>
      </c>
      <c r="C9" s="50">
        <v>3152714.2857142859</v>
      </c>
      <c r="D9" s="50">
        <v>6309142.8571428573</v>
      </c>
      <c r="E9" s="50">
        <v>485714.28571428568</v>
      </c>
      <c r="F9" s="50">
        <v>479714.28571428568</v>
      </c>
      <c r="G9" s="17">
        <f t="shared" si="0"/>
        <v>10427285.714285715</v>
      </c>
      <c r="H9" s="17">
        <f t="shared" si="1"/>
        <v>1324804.3851670048</v>
      </c>
      <c r="I9" s="17">
        <f t="shared" si="2"/>
        <v>9102481.32911871</v>
      </c>
    </row>
    <row r="10" spans="1:9" ht="15.75" customHeight="1" x14ac:dyDescent="0.25">
      <c r="A10" s="5">
        <f t="shared" si="3"/>
        <v>2032</v>
      </c>
      <c r="B10" s="49">
        <v>1153253.9246244901</v>
      </c>
      <c r="C10" s="50">
        <v>3143959.1836734698</v>
      </c>
      <c r="D10" s="50">
        <v>6282306.1224489799</v>
      </c>
      <c r="E10" s="50">
        <v>479387.75510204083</v>
      </c>
      <c r="F10" s="50">
        <v>490387.75510204083</v>
      </c>
      <c r="G10" s="17">
        <f t="shared" si="0"/>
        <v>10396040.816326531</v>
      </c>
      <c r="H10" s="17">
        <f t="shared" si="1"/>
        <v>1316075.0825144716</v>
      </c>
      <c r="I10" s="17">
        <f t="shared" si="2"/>
        <v>9079965.7338120583</v>
      </c>
    </row>
    <row r="11" spans="1:9" ht="15.75" customHeight="1" x14ac:dyDescent="0.25">
      <c r="A11" s="5">
        <f t="shared" si="3"/>
        <v>2033</v>
      </c>
      <c r="B11" s="49">
        <v>1145848.2605994169</v>
      </c>
      <c r="C11" s="50">
        <v>3135667.6384839648</v>
      </c>
      <c r="D11" s="50">
        <v>6255064.1399416914</v>
      </c>
      <c r="E11" s="50">
        <v>472586.00583090383</v>
      </c>
      <c r="F11" s="50">
        <v>500871.72011661809</v>
      </c>
      <c r="G11" s="17">
        <f t="shared" si="0"/>
        <v>10364189.504373178</v>
      </c>
      <c r="H11" s="17">
        <f t="shared" si="1"/>
        <v>1307623.8562192339</v>
      </c>
      <c r="I11" s="17">
        <f t="shared" si="2"/>
        <v>9056565.6481539439</v>
      </c>
    </row>
    <row r="12" spans="1:9" ht="15.75" customHeight="1" x14ac:dyDescent="0.25">
      <c r="A12" s="5">
        <f t="shared" si="3"/>
        <v>2034</v>
      </c>
      <c r="B12" s="49">
        <v>1138684.812685048</v>
      </c>
      <c r="C12" s="50">
        <v>3127191.5868388182</v>
      </c>
      <c r="D12" s="50">
        <v>6228501.8742190758</v>
      </c>
      <c r="E12" s="50">
        <v>465669.72094960441</v>
      </c>
      <c r="F12" s="50">
        <v>511139.10870470642</v>
      </c>
      <c r="G12" s="17">
        <f t="shared" si="0"/>
        <v>10332502.290712206</v>
      </c>
      <c r="H12" s="17">
        <f t="shared" si="1"/>
        <v>1299449.0431067955</v>
      </c>
      <c r="I12" s="17">
        <f t="shared" si="2"/>
        <v>9033053.2476054095</v>
      </c>
    </row>
    <row r="13" spans="1:9" ht="15.75" customHeight="1" x14ac:dyDescent="0.25">
      <c r="A13" s="5">
        <f t="shared" si="3"/>
        <v>2035</v>
      </c>
      <c r="B13" s="49">
        <v>1131769.9130114829</v>
      </c>
      <c r="C13" s="50">
        <v>3118361.8135300772</v>
      </c>
      <c r="D13" s="50">
        <v>6203430.7133932291</v>
      </c>
      <c r="E13" s="50">
        <v>459193.96679954778</v>
      </c>
      <c r="F13" s="50">
        <v>520873.267091093</v>
      </c>
      <c r="G13" s="17">
        <f t="shared" si="0"/>
        <v>10301859.760813948</v>
      </c>
      <c r="H13" s="17">
        <f t="shared" si="1"/>
        <v>1291557.8693035678</v>
      </c>
      <c r="I13" s="17">
        <f t="shared" si="2"/>
        <v>9010301.8915103804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8.5716908571690814E-2</v>
      </c>
    </row>
    <row r="5" spans="1:8" ht="15.75" customHeight="1" x14ac:dyDescent="0.25">
      <c r="B5" s="19" t="s">
        <v>70</v>
      </c>
      <c r="C5" s="101">
        <v>1.9132901913290239E-2</v>
      </c>
    </row>
    <row r="6" spans="1:8" ht="15.75" customHeight="1" x14ac:dyDescent="0.25">
      <c r="B6" s="19" t="s">
        <v>71</v>
      </c>
      <c r="C6" s="101">
        <v>7.7509707750970658E-2</v>
      </c>
    </row>
    <row r="7" spans="1:8" ht="15.75" customHeight="1" x14ac:dyDescent="0.25">
      <c r="B7" s="19" t="s">
        <v>72</v>
      </c>
      <c r="C7" s="101">
        <v>0.42196434219643392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0.27333552733355321</v>
      </c>
    </row>
    <row r="10" spans="1:8" ht="15.75" customHeight="1" x14ac:dyDescent="0.25">
      <c r="B10" s="19" t="s">
        <v>75</v>
      </c>
      <c r="C10" s="101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83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89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101">
        <v>2.3007410999999998E-2</v>
      </c>
    </row>
    <row r="28" spans="1:8" ht="15.75" customHeight="1" x14ac:dyDescent="0.25">
      <c r="B28" s="19" t="s">
        <v>93</v>
      </c>
      <c r="C28" s="101">
        <v>0.18789456399999999</v>
      </c>
    </row>
    <row r="29" spans="1:8" ht="15.75" customHeight="1" x14ac:dyDescent="0.25">
      <c r="B29" s="19" t="s">
        <v>94</v>
      </c>
      <c r="C29" s="101">
        <v>0.14356665699999999</v>
      </c>
    </row>
    <row r="30" spans="1:8" ht="15.75" customHeight="1" x14ac:dyDescent="0.25">
      <c r="B30" s="19" t="s">
        <v>95</v>
      </c>
      <c r="C30" s="101">
        <v>5.2092121999999998E-2</v>
      </c>
    </row>
    <row r="31" spans="1:8" ht="15.75" customHeight="1" x14ac:dyDescent="0.25">
      <c r="B31" s="19" t="s">
        <v>96</v>
      </c>
      <c r="C31" s="101">
        <v>2.4076997999999999E-2</v>
      </c>
    </row>
    <row r="32" spans="1:8" ht="15.75" customHeight="1" x14ac:dyDescent="0.25">
      <c r="B32" s="19" t="s">
        <v>97</v>
      </c>
      <c r="C32" s="101">
        <v>8.5285021000000003E-2</v>
      </c>
    </row>
    <row r="33" spans="2:3" ht="15.75" customHeight="1" x14ac:dyDescent="0.25">
      <c r="B33" s="19" t="s">
        <v>98</v>
      </c>
      <c r="C33" s="101">
        <v>0.223807599</v>
      </c>
    </row>
    <row r="34" spans="2:3" ht="15.75" customHeight="1" x14ac:dyDescent="0.25">
      <c r="B34" s="19" t="s">
        <v>99</v>
      </c>
      <c r="C34" s="101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0.16798239251293001</v>
      </c>
      <c r="C2" s="98">
        <v>0.95</v>
      </c>
      <c r="D2" s="56">
        <v>100.8838400123179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40.840660619620337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1086.2600399420769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2.9040093126562878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13.972960063416251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13.972960063416251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13.972960063416251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13.972960063416251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13.972960063416251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13.972960063416251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0.23893208687459999</v>
      </c>
      <c r="C16" s="98">
        <v>0.95</v>
      </c>
      <c r="D16" s="56">
        <v>1.6797258633116019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24.839970481111401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24.839970481111401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27.799382182381819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0.73994385379266003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0.21537928937948</v>
      </c>
      <c r="C27" s="98">
        <v>0.95</v>
      </c>
      <c r="D27" s="56">
        <v>19.534604961991612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0.1587344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211.45682792792479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0.56632019569628533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0.36119299999999999</v>
      </c>
      <c r="C32" s="98">
        <v>0.95</v>
      </c>
      <c r="D32" s="56">
        <v>3.7054411364622579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3.7084194520624441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205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0.126</v>
      </c>
      <c r="E2" s="60">
        <f>food_insecure</f>
        <v>0.126</v>
      </c>
      <c r="F2" s="60">
        <f>food_insecure</f>
        <v>0.126</v>
      </c>
      <c r="G2" s="60">
        <f>food_insecure</f>
        <v>0.126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0.126</v>
      </c>
      <c r="F5" s="60">
        <f>food_insecure</f>
        <v>0.126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0.126</v>
      </c>
      <c r="F8" s="60">
        <f>food_insecure</f>
        <v>0.126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0.126</v>
      </c>
      <c r="F9" s="60">
        <f>food_insecure</f>
        <v>0.126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0.126</v>
      </c>
      <c r="I15" s="60">
        <f>food_insecure</f>
        <v>0.126</v>
      </c>
      <c r="J15" s="60">
        <f>food_insecure</f>
        <v>0.126</v>
      </c>
      <c r="K15" s="60">
        <f>food_insecure</f>
        <v>0.126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7.7562423970031713E-2</v>
      </c>
      <c r="M25" s="60">
        <f>(1-food_insecure)*(0.49)+food_insecure*(0.7)</f>
        <v>0.51645999999999992</v>
      </c>
      <c r="N25" s="60">
        <f>(1-food_insecure)*(0.49)+food_insecure*(0.7)</f>
        <v>0.51645999999999992</v>
      </c>
      <c r="O25" s="60">
        <f>(1-food_insecure)*(0.49)+food_insecure*(0.7)</f>
        <v>0.51645999999999992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3.3241038844299305E-2</v>
      </c>
      <c r="M26" s="60">
        <f>(1-food_insecure)*(0.21)+food_insecure*(0.3)</f>
        <v>0.22133999999999998</v>
      </c>
      <c r="N26" s="60">
        <f>(1-food_insecure)*(0.21)+food_insecure*(0.3)</f>
        <v>0.22133999999999998</v>
      </c>
      <c r="O26" s="60">
        <f>(1-food_insecure)*(0.21)+food_insecure*(0.3)</f>
        <v>0.22133999999999998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3.9377430130004873E-2</v>
      </c>
      <c r="M27" s="60">
        <f>(1-food_insecure)*(0.3)</f>
        <v>0.26219999999999999</v>
      </c>
      <c r="N27" s="60">
        <f>(1-food_insecure)*(0.3)</f>
        <v>0.26219999999999999</v>
      </c>
      <c r="O27" s="60">
        <f>(1-food_insecure)*(0.3)</f>
        <v>0.26219999999999999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0.88851106527677159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2024-03-28T03:08:48Z</dcterms:modified>
</cp:coreProperties>
</file>