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12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0.xml" ContentType="application/vnd.openxmlformats-officedocument.spreadsheetml.comments+xml"/>
  <Override PartName="/xl/comments14.xml" ContentType="application/vnd.openxmlformats-officedocument.spreadsheetml.comments+xml"/>
  <Override PartName="/xl/comments7.xml" ContentType="application/vnd.openxmlformats-officedocument.spreadsheetml.comments+xml"/>
  <Override PartName="/xl/comments1.xml" ContentType="application/vnd.openxmlformats-officedocument.spreadsheetml.comments+xml"/>
  <Override PartName="/xl/comments15.xml" ContentType="application/vnd.openxmlformats-officedocument.spreadsheetml.comments+xml"/>
  <Override PartName="/xl/comments11.xml" ContentType="application/vnd.openxmlformats-officedocument.spreadsheetml.comments+xml"/>
  <Override PartName="/xl/comments16.xml" ContentType="application/vnd.openxmlformats-officedocument.spreadsheetml.comments+xml"/>
  <Override PartName="/xl/comments9.xml" ContentType="application/vnd.openxmlformats-officedocument.spreadsheetml.comments+xml"/>
  <Override PartName="/xl/comments17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3CA4D10B-3F17-4674-B8BD-01824C3B3E69}" xr6:coauthVersionLast="47" xr6:coauthVersionMax="47" xr10:uidLastSave="{00000000-0000-0000-0000-000000000000}"/>
  <bookViews>
    <workbookView xWindow="0" yWindow="3670" windowWidth="19200" windowHeight="6530" tabRatio="961" firstSheet="6" activeTab="7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D131" i="27"/>
  <c r="E130" i="27"/>
  <c r="D130" i="27"/>
  <c r="H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F112" i="27"/>
  <c r="E112" i="27"/>
  <c r="D112" i="27"/>
  <c r="H97" i="27"/>
  <c r="H152" i="27" s="1"/>
  <c r="G97" i="27"/>
  <c r="G152" i="27" s="1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E75" i="27"/>
  <c r="D75" i="27"/>
  <c r="H74" i="27"/>
  <c r="G74" i="27"/>
  <c r="G129" i="27" s="1"/>
  <c r="F74" i="27"/>
  <c r="F129" i="27" s="1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I40" i="2"/>
  <c r="H40" i="2"/>
  <c r="G40" i="2"/>
  <c r="H39" i="2"/>
  <c r="G39" i="2"/>
  <c r="I39" i="2" s="1"/>
  <c r="A39" i="2"/>
  <c r="I38" i="2"/>
  <c r="H38" i="2"/>
  <c r="G38" i="2"/>
  <c r="A37" i="2"/>
  <c r="A36" i="2"/>
  <c r="A35" i="2"/>
  <c r="A34" i="2"/>
  <c r="A33" i="2"/>
  <c r="A31" i="2"/>
  <c r="A29" i="2"/>
  <c r="A28" i="2"/>
  <c r="A27" i="2"/>
  <c r="A26" i="2"/>
  <c r="A25" i="2"/>
  <c r="A23" i="2"/>
  <c r="A21" i="2"/>
  <c r="A20" i="2"/>
  <c r="A19" i="2"/>
  <c r="A18" i="2"/>
  <c r="A17" i="2"/>
  <c r="A15" i="2"/>
  <c r="H13" i="2"/>
  <c r="G13" i="2"/>
  <c r="I13" i="2" s="1"/>
  <c r="I12" i="2"/>
  <c r="H12" i="2"/>
  <c r="G12" i="2"/>
  <c r="H11" i="2"/>
  <c r="G11" i="2"/>
  <c r="I11" i="2" s="1"/>
  <c r="I10" i="2"/>
  <c r="H10" i="2"/>
  <c r="G10" i="2"/>
  <c r="H9" i="2"/>
  <c r="G9" i="2"/>
  <c r="I9" i="2" s="1"/>
  <c r="I8" i="2"/>
  <c r="H8" i="2"/>
  <c r="G8" i="2"/>
  <c r="H7" i="2"/>
  <c r="G7" i="2"/>
  <c r="I7" i="2" s="1"/>
  <c r="I6" i="2"/>
  <c r="H6" i="2"/>
  <c r="G6" i="2"/>
  <c r="H5" i="2"/>
  <c r="G5" i="2"/>
  <c r="I5" i="2" s="1"/>
  <c r="I4" i="2"/>
  <c r="H4" i="2"/>
  <c r="G4" i="2"/>
  <c r="H3" i="2"/>
  <c r="G3" i="2"/>
  <c r="I3" i="2" s="1"/>
  <c r="A3" i="2"/>
  <c r="I2" i="2"/>
  <c r="H2" i="2"/>
  <c r="G2" i="2"/>
  <c r="A2" i="2"/>
  <c r="A32" i="2" s="1"/>
  <c r="C33" i="1"/>
  <c r="C20" i="1"/>
  <c r="A4" i="2" l="1"/>
  <c r="A5" i="2" s="1"/>
  <c r="A6" i="2"/>
  <c r="A7" i="2" s="1"/>
  <c r="A8" i="2"/>
  <c r="A9" i="2" s="1"/>
  <c r="A10" i="2"/>
  <c r="A11" i="2" s="1"/>
  <c r="A12" i="2"/>
  <c r="A13" i="2" s="1"/>
  <c r="A14" i="2"/>
  <c r="A22" i="2"/>
  <c r="A30" i="2"/>
  <c r="A38" i="2"/>
  <c r="A40" i="2"/>
  <c r="A16" i="2"/>
  <c r="A2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<sst xmlns="http://schemas.openxmlformats.org/spreadsheetml/2006/main" count="2094" uniqueCount="341">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</sst>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opLeftCell="A32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6050583.625</v>
      </c>
    </row>
    <row r="8" spans="1:3" ht="15" customHeight="1" x14ac:dyDescent="0.25">
      <c r="B8" s="5" t="s">
        <v>8</v>
      </c>
      <c r="C8" s="44">
        <v>1E-3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0.8498191070556641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0.40300000000000002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0.7</v>
      </c>
    </row>
    <row r="18" spans="1:3" ht="15" customHeight="1" x14ac:dyDescent="0.25">
      <c r="B18" s="5" t="s">
        <v>17</v>
      </c>
      <c r="C18" s="45">
        <v>0.05</v>
      </c>
    </row>
    <row r="19" spans="1:3" ht="15" customHeight="1" x14ac:dyDescent="0.25">
      <c r="B19" s="5" t="s">
        <v>18</v>
      </c>
      <c r="C19" s="45">
        <v>0.05</v>
      </c>
    </row>
    <row r="20" spans="1:3" ht="15" customHeight="1" x14ac:dyDescent="0.25">
      <c r="B20" s="5" t="s">
        <v>19</v>
      </c>
      <c r="C20" s="46">
        <f>1-frac_rice-frac_wheat-frac_maize</f>
        <v>0.20000000000000007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7.0099999999999996E-2</v>
      </c>
    </row>
    <row r="24" spans="1:3" ht="15" customHeight="1" x14ac:dyDescent="0.25">
      <c r="B24" s="15" t="s">
        <v>22</v>
      </c>
      <c r="C24" s="45">
        <v>0.54359999999999997</v>
      </c>
    </row>
    <row r="25" spans="1:3" ht="15" customHeight="1" x14ac:dyDescent="0.25">
      <c r="B25" s="15" t="s">
        <v>23</v>
      </c>
      <c r="C25" s="45">
        <v>0.36299999999999999</v>
      </c>
    </row>
    <row r="26" spans="1:3" ht="15" customHeight="1" x14ac:dyDescent="0.25">
      <c r="B26" s="15" t="s">
        <v>24</v>
      </c>
      <c r="C26" s="45">
        <v>2.3300000000000001E-2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0.34453989050682299</v>
      </c>
    </row>
    <row r="30" spans="1:3" ht="14.25" customHeight="1" x14ac:dyDescent="0.25">
      <c r="B30" s="25" t="s">
        <v>27</v>
      </c>
      <c r="C30" s="99">
        <v>4.9975046177627103E-2</v>
      </c>
    </row>
    <row r="31" spans="1:3" ht="14.25" customHeight="1" x14ac:dyDescent="0.25">
      <c r="B31" s="25" t="s">
        <v>28</v>
      </c>
      <c r="C31" s="99">
        <v>6.4980512501330898E-2</v>
      </c>
    </row>
    <row r="32" spans="1:3" ht="14.25" customHeight="1" x14ac:dyDescent="0.25">
      <c r="B32" s="25" t="s">
        <v>29</v>
      </c>
      <c r="C32" s="99">
        <v>0.540504550814219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4.7240500000000001</v>
      </c>
    </row>
    <row r="38" spans="1:5" ht="15" customHeight="1" x14ac:dyDescent="0.25">
      <c r="B38" s="11" t="s">
        <v>34</v>
      </c>
      <c r="C38" s="43">
        <v>7.6910100000000003</v>
      </c>
      <c r="D38" s="12"/>
      <c r="E38" s="13"/>
    </row>
    <row r="39" spans="1:5" ht="15" customHeight="1" x14ac:dyDescent="0.25">
      <c r="B39" s="11" t="s">
        <v>35</v>
      </c>
      <c r="C39" s="43">
        <v>8.9801699999999993</v>
      </c>
      <c r="D39" s="12"/>
      <c r="E39" s="12"/>
    </row>
    <row r="40" spans="1:5" ht="15" customHeight="1" x14ac:dyDescent="0.25">
      <c r="B40" s="11" t="s">
        <v>36</v>
      </c>
      <c r="C40" s="100">
        <v>0.17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4.2241200000000001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9.3725000000000006E-3</v>
      </c>
      <c r="D45" s="12"/>
    </row>
    <row r="46" spans="1:5" ht="15.75" customHeight="1" x14ac:dyDescent="0.25">
      <c r="B46" s="11" t="s">
        <v>41</v>
      </c>
      <c r="C46" s="45">
        <v>0.1007064</v>
      </c>
      <c r="D46" s="12"/>
    </row>
    <row r="47" spans="1:5" ht="15.75" customHeight="1" x14ac:dyDescent="0.25">
      <c r="B47" s="11" t="s">
        <v>42</v>
      </c>
      <c r="C47" s="45">
        <v>7.2086999999999998E-2</v>
      </c>
      <c r="D47" s="12"/>
      <c r="E47" s="13"/>
    </row>
    <row r="48" spans="1:5" ht="15" customHeight="1" x14ac:dyDescent="0.25">
      <c r="B48" s="11" t="s">
        <v>43</v>
      </c>
      <c r="C48" s="46">
        <v>0.81783410000000001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0.59711100000000006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0.11396655999999999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1195978</v>
      </c>
      <c r="C2" s="49">
        <v>3703738.5</v>
      </c>
      <c r="D2" s="49">
        <v>6322805.5</v>
      </c>
      <c r="E2" s="49">
        <v>6500626.5</v>
      </c>
      <c r="F2" s="49">
        <v>5419678.5</v>
      </c>
      <c r="G2" s="17">
        <f t="shared" ref="G2:G13" si="0">C2+D2+E2+F2</f>
        <v>21946849</v>
      </c>
      <c r="H2" s="17">
        <f t="shared" ref="H2:H13" si="1">(B2 + stillbirth*B2/(1000-stillbirth))/(1-abortion)</f>
        <v>1364831.1195194938</v>
      </c>
      <c r="I2" s="17">
        <f t="shared" ref="I2:I13" si="2">G2-H2</f>
        <v>20582017.880480506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1176729</v>
      </c>
      <c r="C3" s="50">
        <v>3715798.5</v>
      </c>
      <c r="D3" s="50">
        <v>6210153.0000000009</v>
      </c>
      <c r="E3" s="50">
        <v>6476308.5</v>
      </c>
      <c r="F3" s="50">
        <v>5485263</v>
      </c>
      <c r="G3" s="17">
        <f t="shared" si="0"/>
        <v>21887523</v>
      </c>
      <c r="H3" s="17">
        <f t="shared" si="1"/>
        <v>1342864.4661031009</v>
      </c>
      <c r="I3" s="17">
        <f t="shared" si="2"/>
        <v>20544658.533896901</v>
      </c>
    </row>
    <row r="4" spans="1:9" ht="15.75" customHeight="1" x14ac:dyDescent="0.25">
      <c r="A4" s="5">
        <f t="shared" si="3"/>
        <v>2026</v>
      </c>
      <c r="B4" s="49">
        <v>1159738</v>
      </c>
      <c r="C4" s="50">
        <v>3729632.5</v>
      </c>
      <c r="D4" s="50">
        <v>6111654.5</v>
      </c>
      <c r="E4" s="50">
        <v>6452530</v>
      </c>
      <c r="F4" s="50">
        <v>5537964.5</v>
      </c>
      <c r="G4" s="17">
        <f t="shared" si="0"/>
        <v>21831781.5</v>
      </c>
      <c r="H4" s="17">
        <f t="shared" si="1"/>
        <v>1323474.6064637464</v>
      </c>
      <c r="I4" s="17">
        <f t="shared" si="2"/>
        <v>20508306.893536255</v>
      </c>
    </row>
    <row r="5" spans="1:9" ht="15.75" customHeight="1" x14ac:dyDescent="0.25">
      <c r="A5" s="5">
        <f t="shared" si="3"/>
        <v>2027</v>
      </c>
      <c r="B5" s="49">
        <v>1141354</v>
      </c>
      <c r="C5" s="50">
        <v>3753388.5</v>
      </c>
      <c r="D5" s="50">
        <v>6026252.5</v>
      </c>
      <c r="E5" s="50">
        <v>6427381.5</v>
      </c>
      <c r="F5" s="50">
        <v>5582836</v>
      </c>
      <c r="G5" s="17">
        <f t="shared" si="0"/>
        <v>21789858.5</v>
      </c>
      <c r="H5" s="17">
        <f t="shared" si="1"/>
        <v>1302495.0773242086</v>
      </c>
      <c r="I5" s="17">
        <f t="shared" si="2"/>
        <v>20487363.422675792</v>
      </c>
    </row>
    <row r="6" spans="1:9" ht="15.75" customHeight="1" x14ac:dyDescent="0.25">
      <c r="A6" s="5">
        <f t="shared" si="3"/>
        <v>2028</v>
      </c>
      <c r="B6" s="49">
        <v>1127231</v>
      </c>
      <c r="C6" s="50">
        <v>3794386</v>
      </c>
      <c r="D6" s="50">
        <v>5957540.5</v>
      </c>
      <c r="E6" s="50">
        <v>6393486.5</v>
      </c>
      <c r="F6" s="50">
        <v>5623595</v>
      </c>
      <c r="G6" s="17">
        <f t="shared" si="0"/>
        <v>21769008</v>
      </c>
      <c r="H6" s="17">
        <f t="shared" si="1"/>
        <v>1286378.133784299</v>
      </c>
      <c r="I6" s="17">
        <f t="shared" si="2"/>
        <v>20482629.866215702</v>
      </c>
    </row>
    <row r="7" spans="1:9" ht="15.75" customHeight="1" x14ac:dyDescent="0.25">
      <c r="A7" s="5">
        <f t="shared" si="3"/>
        <v>2029</v>
      </c>
      <c r="B7" s="49">
        <v>1111806</v>
      </c>
      <c r="C7" s="50">
        <v>3848719.5</v>
      </c>
      <c r="D7" s="50">
        <v>5909512.5</v>
      </c>
      <c r="E7" s="50">
        <v>6349038.5</v>
      </c>
      <c r="F7" s="50">
        <v>5651692</v>
      </c>
      <c r="G7" s="17">
        <f t="shared" si="0"/>
        <v>21758962.5</v>
      </c>
      <c r="H7" s="17">
        <f t="shared" si="1"/>
        <v>1268775.3685004993</v>
      </c>
      <c r="I7" s="17">
        <f t="shared" si="2"/>
        <v>20490187.131499499</v>
      </c>
    </row>
    <row r="8" spans="1:9" ht="15.75" customHeight="1" x14ac:dyDescent="0.25">
      <c r="A8" s="5">
        <f t="shared" si="3"/>
        <v>2030</v>
      </c>
      <c r="B8" s="49">
        <v>1097096</v>
      </c>
      <c r="C8" s="50">
        <v>3908817.5</v>
      </c>
      <c r="D8" s="50">
        <v>5886441.0000000009</v>
      </c>
      <c r="E8" s="50">
        <v>6296328</v>
      </c>
      <c r="F8" s="50">
        <v>5674067.5</v>
      </c>
      <c r="G8" s="17">
        <f t="shared" si="0"/>
        <v>21765654</v>
      </c>
      <c r="H8" s="17">
        <f t="shared" si="1"/>
        <v>1251988.5498732908</v>
      </c>
      <c r="I8" s="17">
        <f t="shared" si="2"/>
        <v>20513665.450126708</v>
      </c>
    </row>
    <row r="9" spans="1:9" ht="15.75" customHeight="1" x14ac:dyDescent="0.25">
      <c r="A9" s="5">
        <f t="shared" si="3"/>
        <v>2031</v>
      </c>
      <c r="B9" s="49">
        <v>1087408</v>
      </c>
      <c r="C9" s="50">
        <v>3964340</v>
      </c>
      <c r="D9" s="50">
        <v>5876339</v>
      </c>
      <c r="E9" s="50">
        <v>6249469</v>
      </c>
      <c r="F9" s="50">
        <v>5688006.5</v>
      </c>
      <c r="G9" s="17">
        <f t="shared" si="0"/>
        <v>21778154.5</v>
      </c>
      <c r="H9" s="17">
        <f t="shared" si="1"/>
        <v>1240932.7579725161</v>
      </c>
      <c r="I9" s="17">
        <f t="shared" si="2"/>
        <v>20537221.742027484</v>
      </c>
    </row>
    <row r="10" spans="1:9" ht="15.75" customHeight="1" x14ac:dyDescent="0.25">
      <c r="A10" s="5">
        <f t="shared" si="3"/>
        <v>2032</v>
      </c>
      <c r="B10" s="49">
        <v>1078737</v>
      </c>
      <c r="C10" s="50">
        <v>3994178</v>
      </c>
      <c r="D10" s="50">
        <v>5897778</v>
      </c>
      <c r="E10" s="50">
        <v>6194312.5</v>
      </c>
      <c r="F10" s="50">
        <v>5695680.5</v>
      </c>
      <c r="G10" s="17">
        <f t="shared" si="0"/>
        <v>21781949</v>
      </c>
      <c r="H10" s="17">
        <f t="shared" si="1"/>
        <v>1231037.55033713</v>
      </c>
      <c r="I10" s="17">
        <f t="shared" si="2"/>
        <v>20550911.449662872</v>
      </c>
    </row>
    <row r="11" spans="1:9" ht="15.75" customHeight="1" x14ac:dyDescent="0.25">
      <c r="A11" s="5">
        <f t="shared" si="3"/>
        <v>2033</v>
      </c>
      <c r="B11" s="49">
        <v>1071839</v>
      </c>
      <c r="C11" s="50">
        <v>3982966.5</v>
      </c>
      <c r="D11" s="50">
        <v>5965684</v>
      </c>
      <c r="E11" s="50">
        <v>6113765.5</v>
      </c>
      <c r="F11" s="50">
        <v>5697461.5</v>
      </c>
      <c r="G11" s="17">
        <f t="shared" si="0"/>
        <v>21759877.5</v>
      </c>
      <c r="H11" s="17">
        <f t="shared" si="1"/>
        <v>1223165.662173263</v>
      </c>
      <c r="I11" s="17">
        <f t="shared" si="2"/>
        <v>20536711.837826736</v>
      </c>
    </row>
    <row r="12" spans="1:9" ht="15.75" customHeight="1" x14ac:dyDescent="0.25">
      <c r="A12" s="5">
        <f t="shared" si="3"/>
        <v>2034</v>
      </c>
      <c r="B12" s="49">
        <v>1067760</v>
      </c>
      <c r="C12" s="50">
        <v>3931601.5</v>
      </c>
      <c r="D12" s="50">
        <v>6054710.0000000009</v>
      </c>
      <c r="E12" s="50">
        <v>6027664</v>
      </c>
      <c r="F12" s="50">
        <v>5692672</v>
      </c>
      <c r="G12" s="17">
        <f t="shared" si="0"/>
        <v>21706647.5</v>
      </c>
      <c r="H12" s="17">
        <f t="shared" si="1"/>
        <v>1218510.7720862213</v>
      </c>
      <c r="I12" s="17">
        <f t="shared" si="2"/>
        <v>20488136.727913778</v>
      </c>
    </row>
    <row r="13" spans="1:9" ht="15.75" customHeight="1" x14ac:dyDescent="0.25">
      <c r="A13" s="5">
        <f t="shared" si="3"/>
        <v>2035</v>
      </c>
      <c r="B13" s="49">
        <v>1063122</v>
      </c>
      <c r="C13" s="50">
        <v>3851667.5</v>
      </c>
      <c r="D13" s="50">
        <v>6148425.5</v>
      </c>
      <c r="E13" s="50">
        <v>5953262</v>
      </c>
      <c r="F13" s="50">
        <v>5687859</v>
      </c>
      <c r="G13" s="17">
        <f t="shared" si="0"/>
        <v>21641214</v>
      </c>
      <c r="H13" s="17">
        <f t="shared" si="1"/>
        <v>1213217.9600676626</v>
      </c>
      <c r="I13" s="17">
        <f t="shared" si="2"/>
        <v>20427996.039932337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8.5716908571690814E-2</v>
      </c>
    </row>
    <row r="5" spans="1:8" ht="15.75" customHeight="1" x14ac:dyDescent="0.25">
      <c r="B5" s="19" t="s">
        <v>70</v>
      </c>
      <c r="C5" s="101">
        <v>1.9132901913290239E-2</v>
      </c>
    </row>
    <row r="6" spans="1:8" ht="15.75" customHeight="1" x14ac:dyDescent="0.25">
      <c r="B6" s="19" t="s">
        <v>71</v>
      </c>
      <c r="C6" s="101">
        <v>7.7509707750970658E-2</v>
      </c>
    </row>
    <row r="7" spans="1:8" ht="15.75" customHeight="1" x14ac:dyDescent="0.25">
      <c r="B7" s="19" t="s">
        <v>72</v>
      </c>
      <c r="C7" s="101">
        <v>0.42196434219643392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0.27333552733355321</v>
      </c>
    </row>
    <row r="10" spans="1:8" ht="15.75" customHeight="1" x14ac:dyDescent="0.25">
      <c r="B10" s="19" t="s">
        <v>75</v>
      </c>
      <c r="C10" s="101">
        <v>0.1223406122340612</v>
      </c>
    </row>
    <row r="11" spans="1:8" ht="15.75" customHeight="1" x14ac:dyDescent="0.25">
      <c r="B11" s="27" t="s">
        <v>30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6.9647158173006318E-2</v>
      </c>
      <c r="D14" s="55">
        <v>6.9647158173006318E-2</v>
      </c>
      <c r="E14" s="55">
        <v>6.9647158173006318E-2</v>
      </c>
      <c r="F14" s="55">
        <v>6.9647158173006318E-2</v>
      </c>
    </row>
    <row r="15" spans="1:8" ht="15.75" customHeight="1" x14ac:dyDescent="0.25">
      <c r="B15" s="19" t="s">
        <v>82</v>
      </c>
      <c r="C15" s="101">
        <v>0.26352327801439279</v>
      </c>
      <c r="D15" s="101">
        <v>0.26352327801439279</v>
      </c>
      <c r="E15" s="101">
        <v>0.26352327801439279</v>
      </c>
      <c r="F15" s="101">
        <v>0.26352327801439279</v>
      </c>
    </row>
    <row r="16" spans="1:8" ht="15.75" customHeight="1" x14ac:dyDescent="0.25">
      <c r="B16" s="19" t="s">
        <v>83</v>
      </c>
      <c r="C16" s="101">
        <v>3.3875385519165843E-2</v>
      </c>
      <c r="D16" s="101">
        <v>3.3875385519165843E-2</v>
      </c>
      <c r="E16" s="101">
        <v>3.3875385519165843E-2</v>
      </c>
      <c r="F16" s="101">
        <v>3.3875385519165843E-2</v>
      </c>
    </row>
    <row r="17" spans="1:8" ht="15.75" customHeight="1" x14ac:dyDescent="0.25">
      <c r="B17" s="19" t="s">
        <v>84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0</v>
      </c>
      <c r="D19" s="101">
        <v>0</v>
      </c>
      <c r="E19" s="101">
        <v>0</v>
      </c>
      <c r="F19" s="101">
        <v>0</v>
      </c>
    </row>
    <row r="20" spans="1:8" ht="15.75" customHeight="1" x14ac:dyDescent="0.25">
      <c r="B20" s="19" t="s">
        <v>87</v>
      </c>
      <c r="C20" s="101">
        <v>0</v>
      </c>
      <c r="D20" s="101">
        <v>0</v>
      </c>
      <c r="E20" s="101">
        <v>0</v>
      </c>
      <c r="F20" s="101">
        <v>0</v>
      </c>
    </row>
    <row r="21" spans="1:8" ht="15.75" customHeight="1" x14ac:dyDescent="0.25">
      <c r="B21" s="19" t="s">
        <v>88</v>
      </c>
      <c r="C21" s="101">
        <v>0.35043471875458948</v>
      </c>
      <c r="D21" s="101">
        <v>0.35043471875458948</v>
      </c>
      <c r="E21" s="101">
        <v>0.35043471875458948</v>
      </c>
      <c r="F21" s="101">
        <v>0.35043471875458948</v>
      </c>
    </row>
    <row r="22" spans="1:8" ht="15.75" customHeight="1" x14ac:dyDescent="0.25">
      <c r="B22" s="19" t="s">
        <v>89</v>
      </c>
      <c r="C22" s="101">
        <v>0.2825194595388455</v>
      </c>
      <c r="D22" s="101">
        <v>0.2825194595388455</v>
      </c>
      <c r="E22" s="101">
        <v>0.2825194595388455</v>
      </c>
      <c r="F22" s="101">
        <v>0.2825194595388455</v>
      </c>
    </row>
    <row r="23" spans="1:8" ht="15.75" customHeight="1" x14ac:dyDescent="0.25">
      <c r="B23" s="27" t="s">
        <v>30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3.9700850000000003E-2</v>
      </c>
    </row>
    <row r="27" spans="1:8" ht="15.75" customHeight="1" x14ac:dyDescent="0.25">
      <c r="B27" s="19" t="s">
        <v>92</v>
      </c>
      <c r="C27" s="101">
        <v>2.3007410999999998E-2</v>
      </c>
    </row>
    <row r="28" spans="1:8" ht="15.75" customHeight="1" x14ac:dyDescent="0.25">
      <c r="B28" s="19" t="s">
        <v>93</v>
      </c>
      <c r="C28" s="101">
        <v>0.18789456399999999</v>
      </c>
    </row>
    <row r="29" spans="1:8" ht="15.75" customHeight="1" x14ac:dyDescent="0.25">
      <c r="B29" s="19" t="s">
        <v>94</v>
      </c>
      <c r="C29" s="101">
        <v>0.14356665699999999</v>
      </c>
    </row>
    <row r="30" spans="1:8" ht="15.75" customHeight="1" x14ac:dyDescent="0.25">
      <c r="B30" s="19" t="s">
        <v>95</v>
      </c>
      <c r="C30" s="101">
        <v>5.2092121999999998E-2</v>
      </c>
    </row>
    <row r="31" spans="1:8" ht="15.75" customHeight="1" x14ac:dyDescent="0.25">
      <c r="B31" s="19" t="s">
        <v>96</v>
      </c>
      <c r="C31" s="101">
        <v>2.4076997999999999E-2</v>
      </c>
    </row>
    <row r="32" spans="1:8" ht="15.75" customHeight="1" x14ac:dyDescent="0.25">
      <c r="B32" s="19" t="s">
        <v>97</v>
      </c>
      <c r="C32" s="101">
        <v>8.5285021000000003E-2</v>
      </c>
    </row>
    <row r="33" spans="2:3" ht="15.75" customHeight="1" x14ac:dyDescent="0.25">
      <c r="B33" s="19" t="s">
        <v>98</v>
      </c>
      <c r="C33" s="101">
        <v>0.223807599</v>
      </c>
    </row>
    <row r="34" spans="2:3" ht="15.75" customHeight="1" x14ac:dyDescent="0.25">
      <c r="B34" s="19" t="s">
        <v>99</v>
      </c>
      <c r="C34" s="101">
        <v>0.22056877799999999</v>
      </c>
    </row>
    <row r="35" spans="2:3" ht="15.75" customHeight="1" x14ac:dyDescent="0.25">
      <c r="B35" s="27" t="s">
        <v>30</v>
      </c>
      <c r="C35" s="48">
        <f>SUM(C26:C34)</f>
        <v>1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0.76320215731038854</v>
      </c>
      <c r="D2" s="52">
        <f>IFERROR(1-_xlfn.NORM.DIST(_xlfn.NORM.INV(SUM(D4:D5), 0, 1) + 1, 0, 1, TRUE), "")</f>
        <v>0.76320215731038854</v>
      </c>
      <c r="E2" s="52">
        <f>IFERROR(1-_xlfn.NORM.DIST(_xlfn.NORM.INV(SUM(E4:E5), 0, 1) + 1, 0, 1, TRUE), "")</f>
        <v>0.81245159489133334</v>
      </c>
      <c r="F2" s="52">
        <f>IFERROR(1-_xlfn.NORM.DIST(_xlfn.NORM.INV(SUM(F4:F5), 0, 1) + 1, 0, 1, TRUE), "")</f>
        <v>0.65837762988419757</v>
      </c>
      <c r="G2" s="52">
        <f>IFERROR(1-_xlfn.NORM.DIST(_xlfn.NORM.INV(SUM(G4:G5), 0, 1) + 1, 0, 1, TRUE), "")</f>
        <v>0.68856799245129263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0.1937754426896115</v>
      </c>
      <c r="D3" s="52">
        <f>IFERROR(_xlfn.NORM.DIST(_xlfn.NORM.INV(SUM(D4:D5), 0, 1) + 1, 0, 1, TRUE) - SUM(D4:D5), "")</f>
        <v>0.1937754426896115</v>
      </c>
      <c r="E3" s="52">
        <f>IFERROR(_xlfn.NORM.DIST(_xlfn.NORM.INV(SUM(E4:E5), 0, 1) + 1, 0, 1, TRUE) - SUM(E4:E5), "")</f>
        <v>0.1579660051086666</v>
      </c>
      <c r="F3" s="52">
        <f>IFERROR(_xlfn.NORM.DIST(_xlfn.NORM.INV(SUM(F4:F5), 0, 1) + 1, 0, 1, TRUE) - SUM(F4:F5), "")</f>
        <v>0.26206267011580242</v>
      </c>
      <c r="G3" s="52">
        <f>IFERROR(_xlfn.NORM.DIST(_xlfn.NORM.INV(SUM(G4:G5), 0, 1) + 1, 0, 1, TRUE) - SUM(G4:G5), "")</f>
        <v>0.24355560754870742</v>
      </c>
    </row>
    <row r="4" spans="1:15" ht="15.75" customHeight="1" x14ac:dyDescent="0.25">
      <c r="B4" s="5" t="s">
        <v>104</v>
      </c>
      <c r="C4" s="45">
        <v>1.2064399999999999E-2</v>
      </c>
      <c r="D4" s="53">
        <v>1.2064399999999999E-2</v>
      </c>
      <c r="E4" s="53">
        <v>2.33844E-2</v>
      </c>
      <c r="F4" s="53">
        <v>5.81874E-2</v>
      </c>
      <c r="G4" s="53">
        <v>5.3404299999999988E-2</v>
      </c>
    </row>
    <row r="5" spans="1:15" ht="15.75" customHeight="1" x14ac:dyDescent="0.25">
      <c r="B5" s="5" t="s">
        <v>105</v>
      </c>
      <c r="C5" s="45">
        <v>3.0957999999999999E-2</v>
      </c>
      <c r="D5" s="53">
        <v>3.0957999999999999E-2</v>
      </c>
      <c r="E5" s="53">
        <v>6.1980000000000004E-3</v>
      </c>
      <c r="F5" s="53">
        <v>2.13723E-2</v>
      </c>
      <c r="G5" s="53">
        <v>1.44721E-2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0.69376120091511995</v>
      </c>
      <c r="D8" s="52">
        <f>IFERROR(1-_xlfn.NORM.DIST(_xlfn.NORM.INV(SUM(D10:D11), 0, 1) + 1, 0, 1, TRUE), "")</f>
        <v>0.69376120091511995</v>
      </c>
      <c r="E8" s="52">
        <f>IFERROR(1-_xlfn.NORM.DIST(_xlfn.NORM.INV(SUM(E10:E11), 0, 1) + 1, 0, 1, TRUE), "")</f>
        <v>0.72791207852096185</v>
      </c>
      <c r="F8" s="52">
        <f>IFERROR(1-_xlfn.NORM.DIST(_xlfn.NORM.INV(SUM(F10:F11), 0, 1) + 1, 0, 1, TRUE), "")</f>
        <v>0.88185663673910974</v>
      </c>
      <c r="G8" s="52">
        <f>IFERROR(1-_xlfn.NORM.DIST(_xlfn.NORM.INV(SUM(G10:G11), 0, 1) + 1, 0, 1, TRUE), "")</f>
        <v>0.9279426733166809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0.24027449908488005</v>
      </c>
      <c r="D9" s="52">
        <f>IFERROR(_xlfn.NORM.DIST(_xlfn.NORM.INV(SUM(D10:D11), 0, 1) + 1, 0, 1, TRUE) - SUM(D10:D11), "")</f>
        <v>0.24027449908488005</v>
      </c>
      <c r="E9" s="52">
        <f>IFERROR(_xlfn.NORM.DIST(_xlfn.NORM.INV(SUM(E10:E11), 0, 1) + 1, 0, 1, TRUE) - SUM(E10:E11), "")</f>
        <v>0.21800702147903817</v>
      </c>
      <c r="F9" s="52">
        <f>IFERROR(_xlfn.NORM.DIST(_xlfn.NORM.INV(SUM(F10:F11), 0, 1) + 1, 0, 1, TRUE) - SUM(F10:F11), "")</f>
        <v>0.10367396326089023</v>
      </c>
      <c r="G9" s="52">
        <f>IFERROR(_xlfn.NORM.DIST(_xlfn.NORM.INV(SUM(G10:G11), 0, 1) + 1, 0, 1, TRUE) - SUM(G10:G11), "")</f>
        <v>6.5122826683319118E-2</v>
      </c>
    </row>
    <row r="10" spans="1:15" ht="15.75" customHeight="1" x14ac:dyDescent="0.25">
      <c r="B10" s="5" t="s">
        <v>109</v>
      </c>
      <c r="C10" s="45">
        <v>3.9002299999999997E-2</v>
      </c>
      <c r="D10" s="53">
        <v>3.9002299999999997E-2</v>
      </c>
      <c r="E10" s="53">
        <v>2.7101400000000001E-2</v>
      </c>
      <c r="F10" s="53">
        <v>5.1676999999999999E-3</v>
      </c>
      <c r="G10" s="53">
        <v>5.1678999999999996E-3</v>
      </c>
    </row>
    <row r="11" spans="1:15" ht="15.75" customHeight="1" x14ac:dyDescent="0.25">
      <c r="B11" s="5" t="s">
        <v>110</v>
      </c>
      <c r="C11" s="45">
        <v>2.6962E-2</v>
      </c>
      <c r="D11" s="53">
        <v>2.6962E-2</v>
      </c>
      <c r="E11" s="53">
        <v>2.69795E-2</v>
      </c>
      <c r="F11" s="53">
        <v>9.3017000000000013E-3</v>
      </c>
      <c r="G11" s="53">
        <v>1.7665999999999999E-3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0.22474285975</v>
      </c>
      <c r="D14" s="54">
        <v>0.234737514727</v>
      </c>
      <c r="E14" s="54">
        <v>0.234737514727</v>
      </c>
      <c r="F14" s="54">
        <v>0.223199456702</v>
      </c>
      <c r="G14" s="54">
        <v>0.223199456702</v>
      </c>
      <c r="H14" s="45">
        <v>0.34399999999999997</v>
      </c>
      <c r="I14" s="55">
        <v>0.34399999999999997</v>
      </c>
      <c r="J14" s="55">
        <v>0.34399999999999997</v>
      </c>
      <c r="K14" s="55">
        <v>0.34399999999999997</v>
      </c>
      <c r="L14" s="45">
        <v>0.307</v>
      </c>
      <c r="M14" s="55">
        <v>0.307</v>
      </c>
      <c r="N14" s="55">
        <v>0.307</v>
      </c>
      <c r="O14" s="55">
        <v>0.307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0.13419643372818227</v>
      </c>
      <c r="D15" s="52">
        <f t="shared" si="0"/>
        <v>0.14016435215615372</v>
      </c>
      <c r="E15" s="52">
        <f t="shared" si="0"/>
        <v>0.14016435215615372</v>
      </c>
      <c r="F15" s="52">
        <f t="shared" si="0"/>
        <v>0.13327485079078794</v>
      </c>
      <c r="G15" s="52">
        <f t="shared" si="0"/>
        <v>0.13327485079078794</v>
      </c>
      <c r="H15" s="52">
        <f t="shared" si="0"/>
        <v>0.20540618399999999</v>
      </c>
      <c r="I15" s="52">
        <f t="shared" si="0"/>
        <v>0.20540618399999999</v>
      </c>
      <c r="J15" s="52">
        <f t="shared" si="0"/>
        <v>0.20540618399999999</v>
      </c>
      <c r="K15" s="52">
        <f t="shared" si="0"/>
        <v>0.20540618399999999</v>
      </c>
      <c r="L15" s="52">
        <f t="shared" si="0"/>
        <v>0.18331307700000002</v>
      </c>
      <c r="M15" s="52">
        <f t="shared" si="0"/>
        <v>0.18331307700000002</v>
      </c>
      <c r="N15" s="52">
        <f t="shared" si="0"/>
        <v>0.18331307700000002</v>
      </c>
      <c r="O15" s="52">
        <f t="shared" si="0"/>
        <v>0.18331307700000002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0.59230890000000003</v>
      </c>
      <c r="D2" s="53">
        <v>0.36119299999999999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0.12754789999999999</v>
      </c>
      <c r="D3" s="53">
        <v>0.1872413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0.23345560000000001</v>
      </c>
      <c r="D4" s="53">
        <v>0.36847469999999999</v>
      </c>
      <c r="E4" s="53">
        <v>0.77363979999999999</v>
      </c>
      <c r="F4" s="53">
        <v>0.52710790000000007</v>
      </c>
      <c r="G4" s="53">
        <v>0</v>
      </c>
    </row>
    <row r="5" spans="1:7" x14ac:dyDescent="0.25">
      <c r="B5" s="3" t="s">
        <v>122</v>
      </c>
      <c r="C5" s="52">
        <v>4.6687600000000003E-2</v>
      </c>
      <c r="D5" s="52">
        <v>8.3091000000000012E-2</v>
      </c>
      <c r="E5" s="52">
        <f>1-SUM(E2:E4)</f>
        <v>0.22636020000000001</v>
      </c>
      <c r="F5" s="52">
        <f>1-SUM(F2:F4)</f>
        <v>0.47289209999999993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x14ac:dyDescent="0.25">
      <c r="A2" s="8" t="s">
        <v>137</v>
      </c>
      <c r="B2" s="41">
        <v>10</v>
      </c>
    </row>
    <row r="3" spans="1:2" x14ac:dyDescent="0.25">
      <c r="A3" s="8" t="s">
        <v>138</v>
      </c>
      <c r="B3" s="41">
        <v>10</v>
      </c>
    </row>
    <row r="4" spans="1:2" x14ac:dyDescent="0.25">
      <c r="A4" s="8" t="s">
        <v>139</v>
      </c>
      <c r="B4" s="41">
        <v>10</v>
      </c>
    </row>
    <row r="5" spans="1:2" x14ac:dyDescent="0.25">
      <c r="A5" s="8" t="s">
        <v>140</v>
      </c>
      <c r="B5" s="41">
        <v>10</v>
      </c>
    </row>
    <row r="6" spans="1:2" x14ac:dyDescent="0.25">
      <c r="A6" s="8" t="s">
        <v>141</v>
      </c>
      <c r="B6" s="41">
        <v>10</v>
      </c>
    </row>
    <row r="7" spans="1:2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tabSelected="1"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x14ac:dyDescent="0.25">
      <c r="B10" s="32" t="s">
        <v>67</v>
      </c>
      <c r="C10" s="47"/>
      <c r="D10" s="47"/>
      <c r="E10" s="38" t="str">
        <f>IF(E$7="","",E$7)</f>
        <v/>
      </c>
    </row>
    <row r="11" spans="1:5" x14ac:dyDescent="0.25">
      <c r="B11" s="32" t="s">
        <v>77</v>
      </c>
      <c r="C11" s="47"/>
      <c r="D11" s="47"/>
      <c r="E11" s="38" t="str">
        <f>IF(E$7="","",E$7)</f>
        <v/>
      </c>
    </row>
    <row r="12" spans="1:5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100.8838400123179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0.23893208687459999</v>
      </c>
      <c r="C3" s="98">
        <v>0.95</v>
      </c>
      <c r="D3" s="56">
        <v>40.840660619620337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1086.2600399420769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3.0808634797970562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13.972960063416251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13.972960063416251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13.972960063416251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13.972960063416251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13.972960063416251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13.972960063416251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0.97</v>
      </c>
      <c r="C16" s="98">
        <v>0.95</v>
      </c>
      <c r="D16" s="56">
        <v>1.6797258633116019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0.12451952521206</v>
      </c>
      <c r="C18" s="98">
        <v>0.95</v>
      </c>
      <c r="D18" s="56">
        <v>24.839970481111401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0.99</v>
      </c>
      <c r="C19" s="98">
        <v>0.95</v>
      </c>
      <c r="D19" s="56">
        <v>24.839970481111401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0.95352400000000004</v>
      </c>
      <c r="C21" s="98">
        <v>0.95</v>
      </c>
      <c r="D21" s="56">
        <v>27.799382182381819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24.616622973147329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4.8798255494888956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0.94356790700472004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19.534604961991612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0.73994385379266003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211.45682792792479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0.56632019569628533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3.7054411364622579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0.1587344</v>
      </c>
      <c r="C38" s="98">
        <v>0.95</v>
      </c>
      <c r="D38" s="56">
        <v>3.7084194520624441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6" sqref="B16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x14ac:dyDescent="0.25">
      <c r="A2" s="57" t="s">
        <v>179</v>
      </c>
      <c r="B2" s="47" t="s">
        <v>189</v>
      </c>
      <c r="C2" s="47"/>
    </row>
    <row r="3" spans="1:3" x14ac:dyDescent="0.25">
      <c r="A3" s="57" t="s">
        <v>180</v>
      </c>
      <c r="B3" s="47" t="s">
        <v>189</v>
      </c>
      <c r="C3" s="47"/>
    </row>
    <row r="4" spans="1:3" x14ac:dyDescent="0.25">
      <c r="A4" s="57" t="s">
        <v>191</v>
      </c>
      <c r="B4" s="47" t="s">
        <v>184</v>
      </c>
      <c r="C4" s="47"/>
    </row>
    <row r="5" spans="1:3" x14ac:dyDescent="0.25">
      <c r="A5" s="57" t="s">
        <v>188</v>
      </c>
      <c r="B5" s="47" t="s">
        <v>184</v>
      </c>
      <c r="C5" s="47"/>
    </row>
    <row r="6" spans="1:3" x14ac:dyDescent="0.25">
      <c r="A6" s="57"/>
      <c r="B6" s="58"/>
      <c r="C6" s="58"/>
    </row>
    <row r="7" spans="1:3" x14ac:dyDescent="0.25">
      <c r="A7" s="57"/>
      <c r="B7" s="58"/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x14ac:dyDescent="0.25">
      <c r="A2" s="33" t="s">
        <v>171</v>
      </c>
    </row>
    <row r="3" spans="1:1" x14ac:dyDescent="0.25">
      <c r="A3" s="33" t="s">
        <v>181</v>
      </c>
    </row>
    <row r="4" spans="1:1" x14ac:dyDescent="0.25">
      <c r="A4" s="33" t="s">
        <v>185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0.10140597999999999</v>
      </c>
      <c r="C3" s="21">
        <f>frac_mam_1_5months * 2.6</f>
        <v>0.10140597999999999</v>
      </c>
      <c r="D3" s="21">
        <f>frac_mam_6_11months * 2.6</f>
        <v>7.0463640000000008E-2</v>
      </c>
      <c r="E3" s="21">
        <f>frac_mam_12_23months * 2.6</f>
        <v>1.343602E-2</v>
      </c>
      <c r="F3" s="21">
        <f>frac_mam_24_59months * 2.6</f>
        <v>1.3436539999999999E-2</v>
      </c>
    </row>
    <row r="4" spans="1:6" ht="15.75" customHeight="1" x14ac:dyDescent="0.25">
      <c r="A4" s="3" t="s">
        <v>205</v>
      </c>
      <c r="B4" s="21">
        <f>frac_sam_1month * 2.6</f>
        <v>7.0101200000000002E-2</v>
      </c>
      <c r="C4" s="21">
        <f>frac_sam_1_5months * 2.6</f>
        <v>7.0101200000000002E-2</v>
      </c>
      <c r="D4" s="21">
        <f>frac_sam_6_11months * 2.6</f>
        <v>7.0146700000000006E-2</v>
      </c>
      <c r="E4" s="21">
        <f>frac_sam_12_23months * 2.6</f>
        <v>2.4184420000000005E-2</v>
      </c>
      <c r="F4" s="21">
        <f>frac_sam_24_59months * 2.6</f>
        <v>4.5931599999999998E-3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1E-3</v>
      </c>
      <c r="E2" s="60">
        <f>food_insecure</f>
        <v>1E-3</v>
      </c>
      <c r="F2" s="60">
        <f>food_insecure</f>
        <v>1E-3</v>
      </c>
      <c r="G2" s="60">
        <f>food_insecure</f>
        <v>1E-3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1E-3</v>
      </c>
      <c r="F5" s="60">
        <f>food_insecure</f>
        <v>1E-3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1E-3</v>
      </c>
      <c r="F8" s="60">
        <f>food_insecure</f>
        <v>1E-3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1E-3</v>
      </c>
      <c r="F9" s="60">
        <f>food_insecure</f>
        <v>1E-3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1E-3</v>
      </c>
      <c r="I15" s="60">
        <f>food_insecure</f>
        <v>1E-3</v>
      </c>
      <c r="J15" s="60">
        <f>food_insecure</f>
        <v>1E-3</v>
      </c>
      <c r="K15" s="60">
        <f>food_insecure</f>
        <v>1E-3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0.40300000000000002</v>
      </c>
      <c r="M24" s="60">
        <f>famplan_unmet_need</f>
        <v>0.40300000000000002</v>
      </c>
      <c r="N24" s="60">
        <f>famplan_unmet_need</f>
        <v>0.40300000000000002</v>
      </c>
      <c r="O24" s="60">
        <f>famplan_unmet_need</f>
        <v>0.40300000000000002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7.3620175530242901E-2</v>
      </c>
      <c r="M25" s="60">
        <f>(1-food_insecure)*(0.49)+food_insecure*(0.7)</f>
        <v>0.49020999999999998</v>
      </c>
      <c r="N25" s="60">
        <f>(1-food_insecure)*(0.49)+food_insecure*(0.7)</f>
        <v>0.49020999999999998</v>
      </c>
      <c r="O25" s="60">
        <f>(1-food_insecure)*(0.49)+food_insecure*(0.7)</f>
        <v>0.49020999999999998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3.155150379867553E-2</v>
      </c>
      <c r="M26" s="60">
        <f>(1-food_insecure)*(0.21)+food_insecure*(0.3)</f>
        <v>0.21009</v>
      </c>
      <c r="N26" s="60">
        <f>(1-food_insecure)*(0.21)+food_insecure*(0.3)</f>
        <v>0.21009</v>
      </c>
      <c r="O26" s="60">
        <f>(1-food_insecure)*(0.21)+food_insecure*(0.3)</f>
        <v>0.21009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4.5009213615417466E-2</v>
      </c>
      <c r="M27" s="60">
        <f>(1-food_insecure)*(0.3)</f>
        <v>0.29969999999999997</v>
      </c>
      <c r="N27" s="60">
        <f>(1-food_insecure)*(0.3)</f>
        <v>0.29969999999999997</v>
      </c>
      <c r="O27" s="60">
        <f>(1-food_insecure)*(0.3)</f>
        <v>0.29969999999999997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0.8498191070556641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0.05</v>
      </c>
      <c r="F30" s="60">
        <f t="shared" si="0"/>
        <v>0.05</v>
      </c>
      <c r="G30" s="60">
        <f t="shared" si="0"/>
        <v>0.05</v>
      </c>
      <c r="H30" s="60">
        <f t="shared" si="0"/>
        <v>0.05</v>
      </c>
      <c r="I30" s="60">
        <f t="shared" si="0"/>
        <v>0.05</v>
      </c>
      <c r="J30" s="60">
        <f t="shared" si="0"/>
        <v>0.05</v>
      </c>
      <c r="K30" s="60">
        <f t="shared" si="0"/>
        <v>0.05</v>
      </c>
      <c r="L30" s="60">
        <f t="shared" si="0"/>
        <v>0.05</v>
      </c>
      <c r="M30" s="60">
        <f t="shared" si="0"/>
        <v>0.05</v>
      </c>
      <c r="N30" s="60">
        <f t="shared" si="0"/>
        <v>0.05</v>
      </c>
      <c r="O30" s="60">
        <f t="shared" si="0"/>
        <v>0.05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0.7</v>
      </c>
      <c r="F31" s="60">
        <f t="shared" si="1"/>
        <v>0.7</v>
      </c>
      <c r="G31" s="60">
        <f t="shared" si="1"/>
        <v>0.7</v>
      </c>
      <c r="H31" s="60">
        <f t="shared" si="1"/>
        <v>0.7</v>
      </c>
      <c r="I31" s="60">
        <f t="shared" si="1"/>
        <v>0.7</v>
      </c>
      <c r="J31" s="60">
        <f t="shared" si="1"/>
        <v>0.7</v>
      </c>
      <c r="K31" s="60">
        <f t="shared" si="1"/>
        <v>0.7</v>
      </c>
      <c r="L31" s="60">
        <f t="shared" si="1"/>
        <v>0.7</v>
      </c>
      <c r="M31" s="60">
        <f t="shared" si="1"/>
        <v>0.7</v>
      </c>
      <c r="N31" s="60">
        <f t="shared" si="1"/>
        <v>0.7</v>
      </c>
      <c r="O31" s="60">
        <f t="shared" si="1"/>
        <v>0.7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0.05</v>
      </c>
      <c r="F32" s="60">
        <f t="shared" si="2"/>
        <v>0.05</v>
      </c>
      <c r="G32" s="60">
        <f t="shared" si="2"/>
        <v>0.05</v>
      </c>
      <c r="H32" s="60">
        <f t="shared" si="2"/>
        <v>0.05</v>
      </c>
      <c r="I32" s="60">
        <f t="shared" si="2"/>
        <v>0.05</v>
      </c>
      <c r="J32" s="60">
        <f t="shared" si="2"/>
        <v>0.05</v>
      </c>
      <c r="K32" s="60">
        <f t="shared" si="2"/>
        <v>0.05</v>
      </c>
      <c r="L32" s="60">
        <f t="shared" si="2"/>
        <v>0.05</v>
      </c>
      <c r="M32" s="60">
        <f t="shared" si="2"/>
        <v>0.05</v>
      </c>
      <c r="N32" s="60">
        <f t="shared" si="2"/>
        <v>0.05</v>
      </c>
      <c r="O32" s="60">
        <f t="shared" si="2"/>
        <v>0.05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67</v>
      </c>
      <c r="C5" s="8" t="s">
        <v>145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146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77</v>
      </c>
      <c r="C8" s="8" t="s">
        <v>145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146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146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67</v>
      </c>
      <c r="C58" s="8" t="s">
        <v>145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146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77</v>
      </c>
      <c r="C61" s="8" t="s">
        <v>145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146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67</v>
      </c>
      <c r="C111" s="8" t="s">
        <v>145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146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147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77</v>
      </c>
      <c r="C114" s="8" t="s">
        <v>145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146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147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78</v>
      </c>
      <c r="C117" s="8" t="s">
        <v>145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146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147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79</v>
      </c>
      <c r="C120" s="8" t="s">
        <v>145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146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147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146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147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67</v>
      </c>
      <c r="C128" s="8" t="s">
        <v>145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146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147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77</v>
      </c>
      <c r="C131" s="8" t="s">
        <v>145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146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147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78</v>
      </c>
      <c r="C134" s="8" t="s">
        <v>145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146</v>
      </c>
      <c r="D135" s="88">
        <f t="shared" ref="D135:H144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147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79</v>
      </c>
      <c r="C137" s="8" t="s">
        <v>145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146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147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146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147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67</v>
      </c>
      <c r="C145" s="8" t="s">
        <v>145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146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147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77</v>
      </c>
      <c r="C148" s="8" t="s">
        <v>145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146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147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78</v>
      </c>
      <c r="C151" s="8" t="s">
        <v>145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146</v>
      </c>
      <c r="D152" s="88">
        <f t="shared" ref="D152:H161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147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79</v>
      </c>
      <c r="C154" s="8" t="s">
        <v>145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146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147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F28" sqref="F2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F28" sqref="F2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1gEiboypgN1VYdmLYuHEsviiXDH91vsC32xKqzOEbclcsh2pOXs0vX071vry3NRJsC+T2/BNfpXbXWW7dldjVQ==" saltValue="XZihSWmo245BlR0GYalyd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289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302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111</v>
      </c>
      <c r="B40" s="11" t="s">
        <v>303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307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316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111</v>
      </c>
      <c r="B63" s="11" t="s">
        <v>317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topLeftCell="A28" zoomScale="70" zoomScaleNormal="70" workbookViewId="0">
      <selection activeCell="C27" sqref="C27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F51" sqref="F51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v>1</v>
      </c>
      <c r="M14" s="90">
        <v>1</v>
      </c>
      <c r="N14" s="90">
        <v>1</v>
      </c>
      <c r="O14" s="90">
        <v>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90">
        <v>1</v>
      </c>
      <c r="J20" s="90">
        <v>1</v>
      </c>
      <c r="K20" s="90">
        <v>1</v>
      </c>
      <c r="L20" s="90">
        <v>1</v>
      </c>
      <c r="M20" s="90">
        <v>1</v>
      </c>
      <c r="N20" s="90">
        <v>1</v>
      </c>
      <c r="O20" s="90">
        <v>1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0.4</v>
      </c>
      <c r="E26" s="90">
        <f t="shared" ref="E26:O26" si="0">IF(E3=1,1,E3*0.9)</f>
        <v>1</v>
      </c>
      <c r="F26" s="90">
        <f t="shared" si="0"/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O41" si="8">IF(C18=1,1,C18*0.9)</f>
        <v>1</v>
      </c>
      <c r="D41" s="90">
        <f t="shared" si="8"/>
        <v>1</v>
      </c>
      <c r="E41" s="90">
        <f t="shared" si="8"/>
        <v>1</v>
      </c>
      <c r="F41" s="90">
        <f t="shared" si="8"/>
        <v>1</v>
      </c>
      <c r="G41" s="90">
        <f t="shared" si="8"/>
        <v>1</v>
      </c>
      <c r="H41" s="90">
        <f t="shared" si="8"/>
        <v>1</v>
      </c>
      <c r="I41" s="90">
        <f t="shared" si="8"/>
        <v>1</v>
      </c>
      <c r="J41" s="90">
        <f t="shared" si="8"/>
        <v>1</v>
      </c>
      <c r="K41" s="90">
        <f t="shared" si="8"/>
        <v>1</v>
      </c>
      <c r="L41" s="90">
        <f t="shared" si="8"/>
        <v>1</v>
      </c>
      <c r="M41" s="90">
        <f t="shared" si="8"/>
        <v>1</v>
      </c>
      <c r="N41" s="90">
        <f t="shared" si="8"/>
        <v>1</v>
      </c>
      <c r="O41" s="90">
        <f t="shared" si="8"/>
        <v>1</v>
      </c>
    </row>
    <row r="42" spans="1:15" x14ac:dyDescent="0.25">
      <c r="B42" s="5" t="s">
        <v>173</v>
      </c>
      <c r="C42" s="90">
        <f t="shared" ref="C42:D44" si="9">IF(C19=1,1,C19*0.9)</f>
        <v>1</v>
      </c>
      <c r="D42" s="90">
        <f t="shared" si="9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9"/>
        <v>1</v>
      </c>
      <c r="D43" s="90">
        <f t="shared" si="9"/>
        <v>1</v>
      </c>
      <c r="E43" s="90">
        <f t="shared" ref="E43:O43" si="10">IF(E20=1,1,E20*0.9)</f>
        <v>1</v>
      </c>
      <c r="F43" s="90">
        <f t="shared" si="10"/>
        <v>1</v>
      </c>
      <c r="G43" s="90">
        <f t="shared" si="10"/>
        <v>1</v>
      </c>
      <c r="H43" s="90">
        <f t="shared" si="10"/>
        <v>1</v>
      </c>
      <c r="I43" s="90">
        <f t="shared" si="10"/>
        <v>1</v>
      </c>
      <c r="J43" s="90">
        <f t="shared" si="10"/>
        <v>1</v>
      </c>
      <c r="K43" s="90">
        <f t="shared" si="10"/>
        <v>1</v>
      </c>
      <c r="L43" s="90">
        <f t="shared" si="10"/>
        <v>1</v>
      </c>
      <c r="M43" s="90">
        <f t="shared" si="10"/>
        <v>1</v>
      </c>
      <c r="N43" s="90">
        <f t="shared" si="10"/>
        <v>1</v>
      </c>
      <c r="O43" s="90">
        <f t="shared" si="10"/>
        <v>1</v>
      </c>
    </row>
    <row r="44" spans="1:15" x14ac:dyDescent="0.25">
      <c r="B44" s="5" t="s">
        <v>182</v>
      </c>
      <c r="C44" s="90">
        <f t="shared" si="9"/>
        <v>1</v>
      </c>
      <c r="D44" s="90">
        <f t="shared" si="9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0.7</v>
      </c>
      <c r="E49" s="90">
        <f t="shared" ref="E49:O49" si="11">IF(E3=1,1,E3*1.05)</f>
        <v>1</v>
      </c>
      <c r="F49" s="90">
        <f t="shared" si="11"/>
        <v>1</v>
      </c>
      <c r="G49" s="90">
        <f t="shared" si="11"/>
        <v>1</v>
      </c>
      <c r="H49" s="90">
        <f t="shared" si="11"/>
        <v>1</v>
      </c>
      <c r="I49" s="90">
        <f t="shared" si="11"/>
        <v>1</v>
      </c>
      <c r="J49" s="90">
        <f t="shared" si="11"/>
        <v>1</v>
      </c>
      <c r="K49" s="90">
        <f t="shared" si="11"/>
        <v>1</v>
      </c>
      <c r="L49" s="90">
        <f t="shared" si="11"/>
        <v>1</v>
      </c>
      <c r="M49" s="90">
        <f t="shared" si="11"/>
        <v>1</v>
      </c>
      <c r="N49" s="90">
        <f t="shared" si="11"/>
        <v>1</v>
      </c>
      <c r="O49" s="90">
        <f t="shared" si="11"/>
        <v>1</v>
      </c>
    </row>
    <row r="50" spans="1:15" x14ac:dyDescent="0.25">
      <c r="B50" s="11" t="s">
        <v>175</v>
      </c>
      <c r="C50" s="90">
        <f t="shared" ref="C50:G56" si="12">IF(C4=1,1,C4*1.05)</f>
        <v>1</v>
      </c>
      <c r="D50" s="90">
        <f t="shared" si="12"/>
        <v>1</v>
      </c>
      <c r="E50" s="90">
        <f t="shared" si="12"/>
        <v>1</v>
      </c>
      <c r="F50" s="90">
        <f t="shared" si="12"/>
        <v>1</v>
      </c>
      <c r="G50" s="90">
        <f t="shared" si="12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3">IF(L4=1,1,L4*1.05)</f>
        <v>1</v>
      </c>
      <c r="M50" s="90">
        <f t="shared" si="13"/>
        <v>1</v>
      </c>
      <c r="N50" s="90">
        <f t="shared" si="13"/>
        <v>1</v>
      </c>
      <c r="O50" s="90">
        <f t="shared" si="13"/>
        <v>1</v>
      </c>
    </row>
    <row r="51" spans="1:15" x14ac:dyDescent="0.25">
      <c r="B51" s="11" t="s">
        <v>176</v>
      </c>
      <c r="C51" s="90">
        <f t="shared" si="12"/>
        <v>1</v>
      </c>
      <c r="D51" s="90">
        <f t="shared" si="12"/>
        <v>1</v>
      </c>
      <c r="E51" s="90">
        <f t="shared" si="12"/>
        <v>1</v>
      </c>
      <c r="F51" s="90">
        <f t="shared" si="12"/>
        <v>1</v>
      </c>
      <c r="G51" s="90">
        <f t="shared" si="12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3"/>
        <v>1</v>
      </c>
      <c r="M51" s="90">
        <f t="shared" si="13"/>
        <v>1</v>
      </c>
      <c r="N51" s="90">
        <f t="shared" si="13"/>
        <v>1</v>
      </c>
      <c r="O51" s="90">
        <f t="shared" si="13"/>
        <v>1</v>
      </c>
    </row>
    <row r="52" spans="1:15" x14ac:dyDescent="0.25">
      <c r="B52" s="11" t="s">
        <v>177</v>
      </c>
      <c r="C52" s="90">
        <f t="shared" si="12"/>
        <v>1</v>
      </c>
      <c r="D52" s="90">
        <f t="shared" si="12"/>
        <v>1</v>
      </c>
      <c r="E52" s="90">
        <f t="shared" si="12"/>
        <v>1</v>
      </c>
      <c r="F52" s="90">
        <f t="shared" si="12"/>
        <v>1</v>
      </c>
      <c r="G52" s="90">
        <f t="shared" si="12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3"/>
        <v>1</v>
      </c>
      <c r="M52" s="90">
        <f t="shared" si="13"/>
        <v>1</v>
      </c>
      <c r="N52" s="90">
        <f t="shared" si="13"/>
        <v>1</v>
      </c>
      <c r="O52" s="90">
        <f t="shared" si="13"/>
        <v>1</v>
      </c>
    </row>
    <row r="53" spans="1:15" x14ac:dyDescent="0.25">
      <c r="B53" s="11" t="s">
        <v>178</v>
      </c>
      <c r="C53" s="90">
        <f t="shared" si="12"/>
        <v>1</v>
      </c>
      <c r="D53" s="90">
        <f t="shared" si="12"/>
        <v>1</v>
      </c>
      <c r="E53" s="90">
        <f t="shared" si="12"/>
        <v>1</v>
      </c>
      <c r="F53" s="90">
        <f t="shared" si="12"/>
        <v>1</v>
      </c>
      <c r="G53" s="90">
        <f t="shared" si="12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3"/>
        <v>1</v>
      </c>
      <c r="M53" s="90">
        <f t="shared" si="13"/>
        <v>1</v>
      </c>
      <c r="N53" s="90">
        <f t="shared" si="13"/>
        <v>1</v>
      </c>
      <c r="O53" s="90">
        <f t="shared" si="13"/>
        <v>1</v>
      </c>
    </row>
    <row r="54" spans="1:15" x14ac:dyDescent="0.25">
      <c r="B54" s="5" t="s">
        <v>179</v>
      </c>
      <c r="C54" s="90">
        <f t="shared" si="12"/>
        <v>1</v>
      </c>
      <c r="D54" s="90">
        <f t="shared" si="12"/>
        <v>1</v>
      </c>
      <c r="E54" s="90">
        <f t="shared" si="12"/>
        <v>1</v>
      </c>
      <c r="F54" s="90">
        <f t="shared" si="12"/>
        <v>1</v>
      </c>
      <c r="G54" s="90">
        <f t="shared" si="12"/>
        <v>1</v>
      </c>
      <c r="H54" s="90">
        <f t="shared" ref="H54:K57" si="14">IF(H8=1,1,H8*1.05)</f>
        <v>1</v>
      </c>
      <c r="I54" s="90">
        <f t="shared" si="14"/>
        <v>1</v>
      </c>
      <c r="J54" s="90">
        <f t="shared" si="14"/>
        <v>1</v>
      </c>
      <c r="K54" s="90">
        <f t="shared" si="14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2"/>
        <v>1</v>
      </c>
      <c r="D55" s="90">
        <f t="shared" si="12"/>
        <v>1</v>
      </c>
      <c r="E55" s="90">
        <f t="shared" si="12"/>
        <v>1</v>
      </c>
      <c r="F55" s="90">
        <f t="shared" si="12"/>
        <v>1</v>
      </c>
      <c r="G55" s="90">
        <f t="shared" si="12"/>
        <v>1</v>
      </c>
      <c r="H55" s="90">
        <f t="shared" si="14"/>
        <v>1</v>
      </c>
      <c r="I55" s="90">
        <f t="shared" si="14"/>
        <v>1</v>
      </c>
      <c r="J55" s="90">
        <f t="shared" si="14"/>
        <v>1</v>
      </c>
      <c r="K55" s="90">
        <f t="shared" si="14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2"/>
        <v>1</v>
      </c>
      <c r="D56" s="90">
        <f t="shared" si="12"/>
        <v>1</v>
      </c>
      <c r="E56" s="90">
        <f t="shared" si="12"/>
        <v>1</v>
      </c>
      <c r="F56" s="90">
        <f t="shared" si="12"/>
        <v>1</v>
      </c>
      <c r="G56" s="90">
        <f t="shared" si="12"/>
        <v>1</v>
      </c>
      <c r="H56" s="90">
        <f t="shared" si="14"/>
        <v>1</v>
      </c>
      <c r="I56" s="90">
        <f t="shared" si="14"/>
        <v>1</v>
      </c>
      <c r="J56" s="90">
        <f t="shared" si="14"/>
        <v>1</v>
      </c>
      <c r="K56" s="90">
        <f t="shared" si="14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4"/>
        <v>1</v>
      </c>
      <c r="I57" s="90">
        <f t="shared" si="14"/>
        <v>1</v>
      </c>
      <c r="J57" s="90">
        <f t="shared" si="14"/>
        <v>1</v>
      </c>
      <c r="K57" s="90">
        <f t="shared" si="14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5">IF(C13=1,1,C13*1.05)</f>
        <v>1</v>
      </c>
      <c r="D59" s="90">
        <f t="shared" si="15"/>
        <v>1</v>
      </c>
      <c r="E59" s="90">
        <v>0.77</v>
      </c>
      <c r="F59" s="90">
        <v>0.77</v>
      </c>
      <c r="G59" s="90">
        <v>0.77</v>
      </c>
      <c r="H59" s="90">
        <f t="shared" ref="H59:O59" si="16">IF(H13=1,1,H13*1.05)</f>
        <v>1</v>
      </c>
      <c r="I59" s="90">
        <f t="shared" si="16"/>
        <v>1</v>
      </c>
      <c r="J59" s="90">
        <f t="shared" si="16"/>
        <v>1</v>
      </c>
      <c r="K59" s="90">
        <f t="shared" si="16"/>
        <v>1</v>
      </c>
      <c r="L59" s="90">
        <f t="shared" si="16"/>
        <v>1</v>
      </c>
      <c r="M59" s="90">
        <f t="shared" si="16"/>
        <v>1</v>
      </c>
      <c r="N59" s="90">
        <f t="shared" si="16"/>
        <v>1</v>
      </c>
      <c r="O59" s="90">
        <f t="shared" si="16"/>
        <v>1</v>
      </c>
    </row>
    <row r="60" spans="1:15" x14ac:dyDescent="0.25">
      <c r="B60" s="11" t="s">
        <v>189</v>
      </c>
      <c r="C60" s="90">
        <f t="shared" si="15"/>
        <v>1</v>
      </c>
      <c r="D60" s="90">
        <f t="shared" si="15"/>
        <v>1</v>
      </c>
      <c r="E60" s="90">
        <f t="shared" ref="E60:K60" si="17">IF(E14=1,1,E14*1.05)</f>
        <v>1</v>
      </c>
      <c r="F60" s="90">
        <f t="shared" si="17"/>
        <v>1</v>
      </c>
      <c r="G60" s="90">
        <f t="shared" si="17"/>
        <v>1</v>
      </c>
      <c r="H60" s="90">
        <f t="shared" si="17"/>
        <v>1</v>
      </c>
      <c r="I60" s="90">
        <f t="shared" si="17"/>
        <v>1</v>
      </c>
      <c r="J60" s="90">
        <f t="shared" si="17"/>
        <v>1</v>
      </c>
      <c r="K60" s="90">
        <f t="shared" si="17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5"/>
        <v>1</v>
      </c>
      <c r="D61" s="90">
        <f t="shared" si="15"/>
        <v>1</v>
      </c>
      <c r="E61" s="90">
        <v>0.44</v>
      </c>
      <c r="F61" s="90">
        <v>0.44</v>
      </c>
      <c r="G61" s="90">
        <f t="shared" ref="G61:O61" si="18">IF(G15=1,1,G15*1.05)</f>
        <v>1</v>
      </c>
      <c r="H61" s="90">
        <f t="shared" si="18"/>
        <v>1</v>
      </c>
      <c r="I61" s="90">
        <f t="shared" si="18"/>
        <v>1</v>
      </c>
      <c r="J61" s="90">
        <f t="shared" si="18"/>
        <v>1</v>
      </c>
      <c r="K61" s="90">
        <f t="shared" si="18"/>
        <v>1</v>
      </c>
      <c r="L61" s="90">
        <f t="shared" si="18"/>
        <v>1</v>
      </c>
      <c r="M61" s="90">
        <f t="shared" si="18"/>
        <v>1</v>
      </c>
      <c r="N61" s="90">
        <f t="shared" si="18"/>
        <v>1</v>
      </c>
      <c r="O61" s="90">
        <f t="shared" si="18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O64" si="19">IF(C18=1,1,C18*1.05)</f>
        <v>1</v>
      </c>
      <c r="D64" s="90">
        <f t="shared" si="19"/>
        <v>1</v>
      </c>
      <c r="E64" s="90">
        <f t="shared" si="19"/>
        <v>1</v>
      </c>
      <c r="F64" s="90">
        <f t="shared" si="19"/>
        <v>1</v>
      </c>
      <c r="G64" s="90">
        <f t="shared" si="19"/>
        <v>1</v>
      </c>
      <c r="H64" s="90">
        <f t="shared" si="19"/>
        <v>1</v>
      </c>
      <c r="I64" s="90">
        <f t="shared" si="19"/>
        <v>1</v>
      </c>
      <c r="J64" s="90">
        <f t="shared" si="19"/>
        <v>1</v>
      </c>
      <c r="K64" s="90">
        <f t="shared" si="19"/>
        <v>1</v>
      </c>
      <c r="L64" s="90">
        <f t="shared" si="19"/>
        <v>1</v>
      </c>
      <c r="M64" s="90">
        <f t="shared" si="19"/>
        <v>1</v>
      </c>
      <c r="N64" s="90">
        <f t="shared" si="19"/>
        <v>1</v>
      </c>
      <c r="O64" s="90">
        <f t="shared" si="19"/>
        <v>1</v>
      </c>
    </row>
    <row r="65" spans="2:15" x14ac:dyDescent="0.25">
      <c r="B65" s="5" t="s">
        <v>173</v>
      </c>
      <c r="C65" s="90">
        <f t="shared" ref="C65:D67" si="20">IF(C19=1,1,C19*1.05)</f>
        <v>1</v>
      </c>
      <c r="D65" s="90">
        <f t="shared" si="20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20"/>
        <v>1</v>
      </c>
      <c r="D66" s="90">
        <f t="shared" si="20"/>
        <v>1</v>
      </c>
      <c r="E66" s="90">
        <f t="shared" ref="E66:O66" si="21">IF(E20=1,1,E20*1.05)</f>
        <v>1</v>
      </c>
      <c r="F66" s="90">
        <f t="shared" si="21"/>
        <v>1</v>
      </c>
      <c r="G66" s="90">
        <f t="shared" si="21"/>
        <v>1</v>
      </c>
      <c r="H66" s="90">
        <f t="shared" si="21"/>
        <v>1</v>
      </c>
      <c r="I66" s="90">
        <f t="shared" si="21"/>
        <v>1</v>
      </c>
      <c r="J66" s="90">
        <f t="shared" si="21"/>
        <v>1</v>
      </c>
      <c r="K66" s="90">
        <f t="shared" si="21"/>
        <v>1</v>
      </c>
      <c r="L66" s="90">
        <f t="shared" si="21"/>
        <v>1</v>
      </c>
      <c r="M66" s="90">
        <f t="shared" si="21"/>
        <v>1</v>
      </c>
      <c r="N66" s="90">
        <f t="shared" si="21"/>
        <v>1</v>
      </c>
      <c r="O66" s="90">
        <f t="shared" si="21"/>
        <v>1</v>
      </c>
    </row>
    <row r="67" spans="2:15" x14ac:dyDescent="0.25">
      <c r="B67" s="5" t="s">
        <v>182</v>
      </c>
      <c r="C67" s="90">
        <f t="shared" si="20"/>
        <v>1</v>
      </c>
      <c r="D67" s="90">
        <f t="shared" si="20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340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340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6" ma:contentTypeDescription="Create a new document." ma:contentTypeScope="" ma:versionID="107b52809c0cc4b5077f1ac81d3c69cc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82b7e1b740270cfb0676be859a78f3d0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39A52B-FFF9-42AE-B66C-28DF022C20C8}"/>
</file>

<file path=customXml/itemProps2.xml><?xml version="1.0" encoding="utf-8"?>
<ds:datastoreItem xmlns:ds="http://schemas.openxmlformats.org/officeDocument/2006/customXml" ds:itemID="{798DF3F3-1EBF-43AA-968C-C4962E1A10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2024-04-11T00:42:17Z</dcterms:modified>
</cp:coreProperties>
</file>