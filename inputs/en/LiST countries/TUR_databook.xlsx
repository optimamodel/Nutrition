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4CBD4F7-8194-4600-84AD-59B4A89CFFB1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<sst xmlns="http://schemas.openxmlformats.org/spreadsheetml/2006/main" count="2101" uniqueCount="341">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</sst>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6050583.625</v>
      </c>
    </row>
    <row r="8" spans="1:3" ht="15" customHeight="1" x14ac:dyDescent="0.25">
      <c r="B8" s="5" t="s">
        <v>8</v>
      </c>
      <c r="C8" s="44">
        <v>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0.8498191070556641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0.40300000000000002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7.0099999999999996E-2</v>
      </c>
    </row>
    <row r="24" spans="1:3" ht="15" customHeight="1" x14ac:dyDescent="0.25">
      <c r="B24" s="15" t="s">
        <v>22</v>
      </c>
      <c r="C24" s="45">
        <v>0.54359999999999997</v>
      </c>
    </row>
    <row r="25" spans="1:3" ht="15" customHeight="1" x14ac:dyDescent="0.25">
      <c r="B25" s="15" t="s">
        <v>23</v>
      </c>
      <c r="C25" s="45">
        <v>0.36299999999999999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4.7240500000000001</v>
      </c>
    </row>
    <row r="38" spans="1:5" ht="15" customHeight="1" x14ac:dyDescent="0.25">
      <c r="B38" s="11" t="s">
        <v>34</v>
      </c>
      <c r="C38" s="43">
        <v>7.6910100000000003</v>
      </c>
      <c r="D38" s="12"/>
      <c r="E38" s="13"/>
    </row>
    <row r="39" spans="1:5" ht="15" customHeight="1" x14ac:dyDescent="0.25">
      <c r="B39" s="11" t="s">
        <v>35</v>
      </c>
      <c r="C39" s="43">
        <v>8.9801699999999993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9.3725000000000006E-3</v>
      </c>
      <c r="D45" s="12"/>
    </row>
    <row r="46" spans="1:5" ht="15.75" customHeight="1" x14ac:dyDescent="0.25">
      <c r="B46" s="11" t="s">
        <v>41</v>
      </c>
      <c r="C46" s="45">
        <v>0.1007064</v>
      </c>
      <c r="D46" s="12"/>
    </row>
    <row r="47" spans="1:5" ht="15.75" customHeight="1" x14ac:dyDescent="0.25">
      <c r="B47" s="11" t="s">
        <v>42</v>
      </c>
      <c r="C47" s="45">
        <v>7.2086999999999998E-2</v>
      </c>
      <c r="D47" s="12"/>
      <c r="E47" s="13"/>
    </row>
    <row r="48" spans="1:5" ht="15" customHeight="1" x14ac:dyDescent="0.25">
      <c r="B48" s="11" t="s">
        <v>43</v>
      </c>
      <c r="C48" s="46">
        <v>0.81783410000000001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0.59711100000000006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0.11396655999999999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1195978</v>
      </c>
      <c r="C2" s="49">
        <v>3703738.5</v>
      </c>
      <c r="D2" s="49">
        <v>6322805.5</v>
      </c>
      <c r="E2" s="49">
        <v>6500626.5</v>
      </c>
      <c r="F2" s="49">
        <v>5419678.5</v>
      </c>
      <c r="G2" s="17">
        <f t="shared" ref="G2:G13" si="0">C2+D2+E2+F2</f>
        <v>21946849</v>
      </c>
      <c r="H2" s="17">
        <f t="shared" ref="H2:H13" si="1">(B2 + stillbirth*B2/(1000-stillbirth))/(1-abortion)</f>
        <v>1364831.1195194938</v>
      </c>
      <c r="I2" s="17">
        <f t="shared" ref="I2:I13" si="2">G2-H2</f>
        <v>20582017.880480506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1176729</v>
      </c>
      <c r="C3" s="50">
        <v>3715798.5</v>
      </c>
      <c r="D3" s="50">
        <v>6210153.0000000009</v>
      </c>
      <c r="E3" s="50">
        <v>6476308.5</v>
      </c>
      <c r="F3" s="50">
        <v>5485263</v>
      </c>
      <c r="G3" s="17">
        <f t="shared" si="0"/>
        <v>21887523</v>
      </c>
      <c r="H3" s="17">
        <f t="shared" si="1"/>
        <v>1342864.4661031009</v>
      </c>
      <c r="I3" s="17">
        <f t="shared" si="2"/>
        <v>20544658.533896901</v>
      </c>
    </row>
    <row r="4" spans="1:9" ht="15.75" customHeight="1" x14ac:dyDescent="0.25">
      <c r="A4" s="5">
        <f t="shared" si="3"/>
        <v>2026</v>
      </c>
      <c r="B4" s="49">
        <v>1159738</v>
      </c>
      <c r="C4" s="50">
        <v>3729632.5</v>
      </c>
      <c r="D4" s="50">
        <v>6111654.5</v>
      </c>
      <c r="E4" s="50">
        <v>6452530</v>
      </c>
      <c r="F4" s="50">
        <v>5537964.5</v>
      </c>
      <c r="G4" s="17">
        <f t="shared" si="0"/>
        <v>21831781.5</v>
      </c>
      <c r="H4" s="17">
        <f t="shared" si="1"/>
        <v>1323474.6064637464</v>
      </c>
      <c r="I4" s="17">
        <f t="shared" si="2"/>
        <v>20508306.893536255</v>
      </c>
    </row>
    <row r="5" spans="1:9" ht="15.75" customHeight="1" x14ac:dyDescent="0.25">
      <c r="A5" s="5">
        <f t="shared" si="3"/>
        <v>2027</v>
      </c>
      <c r="B5" s="49">
        <v>1141354</v>
      </c>
      <c r="C5" s="50">
        <v>3753388.5</v>
      </c>
      <c r="D5" s="50">
        <v>6026252.5</v>
      </c>
      <c r="E5" s="50">
        <v>6427381.5</v>
      </c>
      <c r="F5" s="50">
        <v>5582836</v>
      </c>
      <c r="G5" s="17">
        <f t="shared" si="0"/>
        <v>21789858.5</v>
      </c>
      <c r="H5" s="17">
        <f t="shared" si="1"/>
        <v>1302495.0773242086</v>
      </c>
      <c r="I5" s="17">
        <f t="shared" si="2"/>
        <v>20487363.422675792</v>
      </c>
    </row>
    <row r="6" spans="1:9" ht="15.75" customHeight="1" x14ac:dyDescent="0.25">
      <c r="A6" s="5">
        <f t="shared" si="3"/>
        <v>2028</v>
      </c>
      <c r="B6" s="49">
        <v>1127231</v>
      </c>
      <c r="C6" s="50">
        <v>3794386</v>
      </c>
      <c r="D6" s="50">
        <v>5957540.5</v>
      </c>
      <c r="E6" s="50">
        <v>6393486.5</v>
      </c>
      <c r="F6" s="50">
        <v>5623595</v>
      </c>
      <c r="G6" s="17">
        <f t="shared" si="0"/>
        <v>21769008</v>
      </c>
      <c r="H6" s="17">
        <f t="shared" si="1"/>
        <v>1286378.133784299</v>
      </c>
      <c r="I6" s="17">
        <f t="shared" si="2"/>
        <v>20482629.866215702</v>
      </c>
    </row>
    <row r="7" spans="1:9" ht="15.75" customHeight="1" x14ac:dyDescent="0.25">
      <c r="A7" s="5">
        <f t="shared" si="3"/>
        <v>2029</v>
      </c>
      <c r="B7" s="49">
        <v>1111806</v>
      </c>
      <c r="C7" s="50">
        <v>3848719.5</v>
      </c>
      <c r="D7" s="50">
        <v>5909512.5</v>
      </c>
      <c r="E7" s="50">
        <v>6349038.5</v>
      </c>
      <c r="F7" s="50">
        <v>5651692</v>
      </c>
      <c r="G7" s="17">
        <f t="shared" si="0"/>
        <v>21758962.5</v>
      </c>
      <c r="H7" s="17">
        <f t="shared" si="1"/>
        <v>1268775.3685004993</v>
      </c>
      <c r="I7" s="17">
        <f t="shared" si="2"/>
        <v>20490187.131499499</v>
      </c>
    </row>
    <row r="8" spans="1:9" ht="15.75" customHeight="1" x14ac:dyDescent="0.25">
      <c r="A8" s="5">
        <f t="shared" si="3"/>
        <v>2030</v>
      </c>
      <c r="B8" s="49">
        <v>1097096</v>
      </c>
      <c r="C8" s="50">
        <v>3908817.5</v>
      </c>
      <c r="D8" s="50">
        <v>5886441.0000000009</v>
      </c>
      <c r="E8" s="50">
        <v>6296328</v>
      </c>
      <c r="F8" s="50">
        <v>5674067.5</v>
      </c>
      <c r="G8" s="17">
        <f t="shared" si="0"/>
        <v>21765654</v>
      </c>
      <c r="H8" s="17">
        <f t="shared" si="1"/>
        <v>1251988.5498732908</v>
      </c>
      <c r="I8" s="17">
        <f t="shared" si="2"/>
        <v>20513665.450126708</v>
      </c>
    </row>
    <row r="9" spans="1:9" ht="15.75" customHeight="1" x14ac:dyDescent="0.25">
      <c r="A9" s="5">
        <f t="shared" si="3"/>
        <v>2031</v>
      </c>
      <c r="B9" s="49">
        <v>1087408</v>
      </c>
      <c r="C9" s="50">
        <v>3964340</v>
      </c>
      <c r="D9" s="50">
        <v>5876339</v>
      </c>
      <c r="E9" s="50">
        <v>6249469</v>
      </c>
      <c r="F9" s="50">
        <v>5688006.5</v>
      </c>
      <c r="G9" s="17">
        <f t="shared" si="0"/>
        <v>21778154.5</v>
      </c>
      <c r="H9" s="17">
        <f t="shared" si="1"/>
        <v>1240932.7579725161</v>
      </c>
      <c r="I9" s="17">
        <f t="shared" si="2"/>
        <v>20537221.742027484</v>
      </c>
    </row>
    <row r="10" spans="1:9" ht="15.75" customHeight="1" x14ac:dyDescent="0.25">
      <c r="A10" s="5">
        <f t="shared" si="3"/>
        <v>2032</v>
      </c>
      <c r="B10" s="49">
        <v>1078737</v>
      </c>
      <c r="C10" s="50">
        <v>3994178</v>
      </c>
      <c r="D10" s="50">
        <v>5897778</v>
      </c>
      <c r="E10" s="50">
        <v>6194312.5</v>
      </c>
      <c r="F10" s="50">
        <v>5695680.5</v>
      </c>
      <c r="G10" s="17">
        <f t="shared" si="0"/>
        <v>21781949</v>
      </c>
      <c r="H10" s="17">
        <f t="shared" si="1"/>
        <v>1231037.55033713</v>
      </c>
      <c r="I10" s="17">
        <f t="shared" si="2"/>
        <v>20550911.449662872</v>
      </c>
    </row>
    <row r="11" spans="1:9" ht="15.75" customHeight="1" x14ac:dyDescent="0.25">
      <c r="A11" s="5">
        <f t="shared" si="3"/>
        <v>2033</v>
      </c>
      <c r="B11" s="49">
        <v>1071839</v>
      </c>
      <c r="C11" s="50">
        <v>3982966.5</v>
      </c>
      <c r="D11" s="50">
        <v>5965684</v>
      </c>
      <c r="E11" s="50">
        <v>6113765.5</v>
      </c>
      <c r="F11" s="50">
        <v>5697461.5</v>
      </c>
      <c r="G11" s="17">
        <f t="shared" si="0"/>
        <v>21759877.5</v>
      </c>
      <c r="H11" s="17">
        <f t="shared" si="1"/>
        <v>1223165.662173263</v>
      </c>
      <c r="I11" s="17">
        <f t="shared" si="2"/>
        <v>20536711.837826736</v>
      </c>
    </row>
    <row r="12" spans="1:9" ht="15.75" customHeight="1" x14ac:dyDescent="0.25">
      <c r="A12" s="5">
        <f t="shared" si="3"/>
        <v>2034</v>
      </c>
      <c r="B12" s="49">
        <v>1067760</v>
      </c>
      <c r="C12" s="50">
        <v>3931601.5</v>
      </c>
      <c r="D12" s="50">
        <v>6054710.0000000009</v>
      </c>
      <c r="E12" s="50">
        <v>6027664</v>
      </c>
      <c r="F12" s="50">
        <v>5692672</v>
      </c>
      <c r="G12" s="17">
        <f t="shared" si="0"/>
        <v>21706647.5</v>
      </c>
      <c r="H12" s="17">
        <f t="shared" si="1"/>
        <v>1218510.7720862213</v>
      </c>
      <c r="I12" s="17">
        <f t="shared" si="2"/>
        <v>20488136.727913778</v>
      </c>
    </row>
    <row r="13" spans="1:9" ht="15.75" customHeight="1" x14ac:dyDescent="0.25">
      <c r="A13" s="5">
        <f t="shared" si="3"/>
        <v>2035</v>
      </c>
      <c r="B13" s="49">
        <v>1063122</v>
      </c>
      <c r="C13" s="50">
        <v>3851667.5</v>
      </c>
      <c r="D13" s="50">
        <v>6148425.5</v>
      </c>
      <c r="E13" s="50">
        <v>5953262</v>
      </c>
      <c r="F13" s="50">
        <v>5687859</v>
      </c>
      <c r="G13" s="17">
        <f t="shared" si="0"/>
        <v>21641214</v>
      </c>
      <c r="H13" s="17">
        <f t="shared" si="1"/>
        <v>1213217.9600676626</v>
      </c>
      <c r="I13" s="17">
        <f t="shared" si="2"/>
        <v>20427996.039932337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8.5716908571690814E-2</v>
      </c>
    </row>
    <row r="5" spans="1:8" ht="15.75" customHeight="1" x14ac:dyDescent="0.25">
      <c r="B5" s="19" t="s">
        <v>70</v>
      </c>
      <c r="C5" s="101">
        <v>1.9132901913290239E-2</v>
      </c>
    </row>
    <row r="6" spans="1:8" ht="15.75" customHeight="1" x14ac:dyDescent="0.25">
      <c r="B6" s="19" t="s">
        <v>71</v>
      </c>
      <c r="C6" s="101">
        <v>7.7509707750970658E-2</v>
      </c>
    </row>
    <row r="7" spans="1:8" ht="15.75" customHeight="1" x14ac:dyDescent="0.25">
      <c r="B7" s="19" t="s">
        <v>72</v>
      </c>
      <c r="C7" s="101">
        <v>0.42196434219643392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0.27333552733355321</v>
      </c>
    </row>
    <row r="10" spans="1:8" ht="15.75" customHeight="1" x14ac:dyDescent="0.25">
      <c r="B10" s="19" t="s">
        <v>75</v>
      </c>
      <c r="C10" s="101">
        <v>0.1223406122340612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82</v>
      </c>
      <c r="C15" s="101">
        <v>0.26352327801439279</v>
      </c>
      <c r="D15" s="101">
        <v>0.26352327801439279</v>
      </c>
      <c r="E15" s="101">
        <v>0.26352327801439279</v>
      </c>
      <c r="F15" s="101">
        <v>0.26352327801439279</v>
      </c>
    </row>
    <row r="16" spans="1:8" ht="15.75" customHeight="1" x14ac:dyDescent="0.25">
      <c r="B16" s="19" t="s">
        <v>83</v>
      </c>
      <c r="C16" s="101">
        <v>3.3875385519165843E-2</v>
      </c>
      <c r="D16" s="101">
        <v>3.3875385519165843E-2</v>
      </c>
      <c r="E16" s="101">
        <v>3.3875385519165843E-2</v>
      </c>
      <c r="F16" s="101">
        <v>3.3875385519165843E-2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0.35043471875458948</v>
      </c>
      <c r="D21" s="101">
        <v>0.35043471875458948</v>
      </c>
      <c r="E21" s="101">
        <v>0.35043471875458948</v>
      </c>
      <c r="F21" s="101">
        <v>0.35043471875458948</v>
      </c>
    </row>
    <row r="22" spans="1:8" ht="15.75" customHeight="1" x14ac:dyDescent="0.25">
      <c r="B22" s="19" t="s">
        <v>89</v>
      </c>
      <c r="C22" s="101">
        <v>0.2825194595388455</v>
      </c>
      <c r="D22" s="101">
        <v>0.2825194595388455</v>
      </c>
      <c r="E22" s="101">
        <v>0.2825194595388455</v>
      </c>
      <c r="F22" s="101">
        <v>0.2825194595388455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3.9700850000000003E-2</v>
      </c>
    </row>
    <row r="27" spans="1:8" ht="15.75" customHeight="1" x14ac:dyDescent="0.25">
      <c r="B27" s="19" t="s">
        <v>92</v>
      </c>
      <c r="C27" s="101">
        <v>2.3007410999999998E-2</v>
      </c>
    </row>
    <row r="28" spans="1:8" ht="15.75" customHeight="1" x14ac:dyDescent="0.25">
      <c r="B28" s="19" t="s">
        <v>93</v>
      </c>
      <c r="C28" s="101">
        <v>0.18789456399999999</v>
      </c>
    </row>
    <row r="29" spans="1:8" ht="15.75" customHeight="1" x14ac:dyDescent="0.25">
      <c r="B29" s="19" t="s">
        <v>94</v>
      </c>
      <c r="C29" s="101">
        <v>0.14356665699999999</v>
      </c>
    </row>
    <row r="30" spans="1:8" ht="15.75" customHeight="1" x14ac:dyDescent="0.25">
      <c r="B30" s="19" t="s">
        <v>95</v>
      </c>
      <c r="C30" s="101">
        <v>5.2092121999999998E-2</v>
      </c>
    </row>
    <row r="31" spans="1:8" ht="15.75" customHeight="1" x14ac:dyDescent="0.25">
      <c r="B31" s="19" t="s">
        <v>96</v>
      </c>
      <c r="C31" s="101">
        <v>2.4076997999999999E-2</v>
      </c>
    </row>
    <row r="32" spans="1:8" ht="15.75" customHeight="1" x14ac:dyDescent="0.25">
      <c r="B32" s="19" t="s">
        <v>97</v>
      </c>
      <c r="C32" s="101">
        <v>8.5285021000000003E-2</v>
      </c>
    </row>
    <row r="33" spans="2:3" ht="15.75" customHeight="1" x14ac:dyDescent="0.25">
      <c r="B33" s="19" t="s">
        <v>98</v>
      </c>
      <c r="C33" s="101">
        <v>0.223807599</v>
      </c>
    </row>
    <row r="34" spans="2:3" ht="15.75" customHeight="1" x14ac:dyDescent="0.25">
      <c r="B34" s="19" t="s">
        <v>99</v>
      </c>
      <c r="C34" s="101">
        <v>0.22056877799999999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104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105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109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110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122</v>
      </c>
      <c r="C5" s="52">
        <v>4.6687600000000003E-2</v>
      </c>
      <c r="D5" s="52">
        <v>8.3091000000000012E-2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144.3361538195548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16.029464016122279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3.0808634797970562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0.47070171463489502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0.61278763993956276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0.51473162888623747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13.972960063416251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13.972960063416251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13.972960063416251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13.972960063416251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13.972960063416251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13.972960063416251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5.5080133892626542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0.76700000000000002</v>
      </c>
      <c r="C18" s="98">
        <v>0.95</v>
      </c>
      <c r="D18" s="56">
        <v>16.029464016122279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0.36119299999999999</v>
      </c>
      <c r="C19" s="98">
        <v>0.95</v>
      </c>
      <c r="D19" s="56">
        <v>16.029464016122279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16.46619599914094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24.616622973147329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4.8798255494888956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0.70705347649884009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7.6264796156856711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30.36727751762248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0.1587344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193.6128732031849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398.07273654067848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1.4358697255793671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0.95352400000000004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5.3874863984233787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7.541139000710408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205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0.40300000000000002</v>
      </c>
      <c r="M24" s="60">
        <f>famplan_unmet_need</f>
        <v>0.40300000000000002</v>
      </c>
      <c r="N24" s="60">
        <f>famplan_unmet_need</f>
        <v>0.40300000000000002</v>
      </c>
      <c r="O24" s="60">
        <f>famplan_unmet_need</f>
        <v>0.40300000000000002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7.3620175530242901E-2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3.155150379867553E-2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4.5009213615417466E-2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0.8498191070556641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0.1073508449332965</v>
      </c>
      <c r="G18" s="90">
        <f>MIN(MAX(1-0.89/(1-frac_sam_12_23months+(frac_sam_12_23months*0.89)),0),1)</f>
        <v>0.10908843086431086</v>
      </c>
      <c r="H18" s="90">
        <f>MIN(MAX(1-0.89/(1-frac_sam_24_59months+(frac_sam_24_59months*0.89)),0),1)</f>
        <v>0.10982701624475888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0.10733883961106172</v>
      </c>
      <c r="G20" s="90">
        <f>MIN(MAX(1-0.89/(1-frac_mam_12_23months+(frac_mam_12_23months*0.89)),0),1)</f>
        <v>0.10949379441895601</v>
      </c>
      <c r="H20" s="90">
        <f>MIN(MAX(1-0.89/(1-frac_mam_24_59months+(frac_mam_24_59months*0.89)),0),1)</f>
        <v>0.10949377481667633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9.7328308691043697E-3</v>
      </c>
      <c r="G73" s="90">
        <f>MIN(MAX(1-0.99/(1-frac_sam_12_23months+(frac_sam_12_23months*0.99)),0),1)</f>
        <v>9.9079046035625007E-3</v>
      </c>
      <c r="H73" s="90">
        <f>MIN(MAX(1-0.99/(1-frac_sam_24_59months+(frac_sam_24_59months*0.99)),0),1)</f>
        <v>9.9825103510279289E-3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9.7316234061857187E-3</v>
      </c>
      <c r="G75" s="90">
        <f>MIN(MAX(1-0.99/(1-frac_mam_12_23months+(frac_mam_12_23months*0.99)),0),1)</f>
        <v>9.9488371260562092E-3</v>
      </c>
      <c r="H75" s="90">
        <f>MIN(MAX(1-0.99/(1-frac_mam_24_59months+(frac_mam_24_59months*0.99)),0),1)</f>
        <v>9.9488351458514312E-3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0.19565986104420841</v>
      </c>
      <c r="G128" s="90">
        <f>MIN(MAX(1-0.8/(1-frac_sam_12_23months+(frac_sam_12_23months*0.8)),0),1)</f>
        <v>0.19850895414775915</v>
      </c>
      <c r="H128" s="90">
        <f>MIN(MAX(1-0.8/(1-frac_sam_24_59months+(frac_sam_24_59months*0.8)),0),1)</f>
        <v>0.19971724409668423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0.19564014436168065</v>
      </c>
      <c r="G130" s="90">
        <f>MIN(MAX(1-0.8/(1-frac_mam_12_23months+(frac_mam_12_23months*0.8)),0),1)</f>
        <v>0.19917231255191481</v>
      </c>
      <c r="H130" s="90">
        <f>MIN(MAX(1-0.8/(1-frac_mam_24_59months+(frac_mam_24_59months*0.8)),0),1)</f>
        <v>0.19917228048566438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2024-08-06T06:32:29Z</dcterms:modified>
</cp:coreProperties>
</file>