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7DF8467-2C06-4D40-87D2-52C5C914371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<sst xmlns="http://schemas.openxmlformats.org/spreadsheetml/2006/main" count="2101" uniqueCount="341">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</sst>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5896681.375</v>
      </c>
    </row>
    <row r="8" spans="1:3" ht="15" customHeight="1" x14ac:dyDescent="0.25">
      <c r="B8" s="5" t="s">
        <v>8</v>
      </c>
      <c r="C8" s="44">
        <v>2.5000000000000001E-2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9.7699999999999995E-2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0.35959999999999998</v>
      </c>
    </row>
    <row r="26" spans="1:3" ht="15" customHeight="1" x14ac:dyDescent="0.25">
      <c r="B26" s="15" t="s">
        <v>24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14.07315</v>
      </c>
    </row>
    <row r="38" spans="1:5" ht="15" customHeight="1" x14ac:dyDescent="0.25">
      <c r="B38" s="11" t="s">
        <v>34</v>
      </c>
      <c r="C38" s="43">
        <v>20.749110000000002</v>
      </c>
      <c r="D38" s="12"/>
      <c r="E38" s="13"/>
    </row>
    <row r="39" spans="1:5" ht="15" customHeight="1" x14ac:dyDescent="0.25">
      <c r="B39" s="11" t="s">
        <v>35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7.5027000000000002E-3</v>
      </c>
      <c r="D45" s="12"/>
    </row>
    <row r="46" spans="1:5" ht="15.75" customHeight="1" x14ac:dyDescent="0.25">
      <c r="B46" s="11" t="s">
        <v>41</v>
      </c>
      <c r="C46" s="45">
        <v>8.0615500000000007E-2</v>
      </c>
      <c r="D46" s="12"/>
    </row>
    <row r="47" spans="1:5" ht="15.75" customHeight="1" x14ac:dyDescent="0.25">
      <c r="B47" s="11" t="s">
        <v>42</v>
      </c>
      <c r="C47" s="45">
        <v>7.3865899999999998E-2</v>
      </c>
      <c r="D47" s="12"/>
      <c r="E47" s="13"/>
    </row>
    <row r="48" spans="1:5" ht="15" customHeight="1" x14ac:dyDescent="0.25">
      <c r="B48" s="11" t="s">
        <v>43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0.57473999999999992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8.5402008540200851E-3</v>
      </c>
    </row>
    <row r="4" spans="1:8" ht="15.75" customHeight="1" x14ac:dyDescent="0.25">
      <c r="B4" s="19" t="s">
        <v>69</v>
      </c>
      <c r="C4" s="101">
        <v>3.9174803917480412E-2</v>
      </c>
    </row>
    <row r="5" spans="1:8" ht="15.75" customHeight="1" x14ac:dyDescent="0.25">
      <c r="B5" s="19" t="s">
        <v>70</v>
      </c>
      <c r="C5" s="101">
        <v>4.0943404094340358E-2</v>
      </c>
    </row>
    <row r="6" spans="1:8" ht="15.75" customHeight="1" x14ac:dyDescent="0.25">
      <c r="B6" s="19" t="s">
        <v>71</v>
      </c>
      <c r="C6" s="101">
        <v>0.1985424198542417</v>
      </c>
    </row>
    <row r="7" spans="1:8" ht="15.75" customHeight="1" x14ac:dyDescent="0.25">
      <c r="B7" s="19" t="s">
        <v>72</v>
      </c>
      <c r="C7" s="101">
        <v>0.46786794678679522</v>
      </c>
    </row>
    <row r="8" spans="1:8" ht="15.75" customHeight="1" x14ac:dyDescent="0.25">
      <c r="B8" s="19" t="s">
        <v>73</v>
      </c>
      <c r="C8" s="101">
        <v>1.280800128080012E-3</v>
      </c>
    </row>
    <row r="9" spans="1:8" ht="15.75" customHeight="1" x14ac:dyDescent="0.25">
      <c r="B9" s="19" t="s">
        <v>74</v>
      </c>
      <c r="C9" s="101">
        <v>0.1650498165049816</v>
      </c>
    </row>
    <row r="10" spans="1:8" ht="15.75" customHeight="1" x14ac:dyDescent="0.25">
      <c r="B10" s="19" t="s">
        <v>75</v>
      </c>
      <c r="C10" s="101">
        <v>7.8600607860060706E-2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83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84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89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7.1492997000000003E-2</v>
      </c>
    </row>
    <row r="27" spans="1:8" ht="15.75" customHeight="1" x14ac:dyDescent="0.25">
      <c r="B27" s="19" t="s">
        <v>92</v>
      </c>
      <c r="C27" s="101">
        <v>2.4622926999999999E-2</v>
      </c>
    </row>
    <row r="28" spans="1:8" ht="15.75" customHeight="1" x14ac:dyDescent="0.25">
      <c r="B28" s="19" t="s">
        <v>93</v>
      </c>
      <c r="C28" s="101">
        <v>0.300465973</v>
      </c>
    </row>
    <row r="29" spans="1:8" ht="15.75" customHeight="1" x14ac:dyDescent="0.25">
      <c r="B29" s="19" t="s">
        <v>94</v>
      </c>
      <c r="C29" s="101">
        <v>0.10581837400000001</v>
      </c>
    </row>
    <row r="30" spans="1:8" ht="15.75" customHeight="1" x14ac:dyDescent="0.25">
      <c r="B30" s="19" t="s">
        <v>95</v>
      </c>
      <c r="C30" s="101">
        <v>3.6280391000000002E-2</v>
      </c>
    </row>
    <row r="31" spans="1:8" ht="15.75" customHeight="1" x14ac:dyDescent="0.25">
      <c r="B31" s="19" t="s">
        <v>96</v>
      </c>
      <c r="C31" s="101">
        <v>4.1639915E-2</v>
      </c>
    </row>
    <row r="32" spans="1:8" ht="15.75" customHeight="1" x14ac:dyDescent="0.25">
      <c r="B32" s="19" t="s">
        <v>97</v>
      </c>
      <c r="C32" s="101">
        <v>9.9941725999999995E-2</v>
      </c>
    </row>
    <row r="33" spans="2:3" ht="15.75" customHeight="1" x14ac:dyDescent="0.25">
      <c r="B33" s="19" t="s">
        <v>98</v>
      </c>
      <c r="C33" s="101">
        <v>9.6583884999999994E-2</v>
      </c>
    </row>
    <row r="34" spans="2:3" ht="15.75" customHeight="1" x14ac:dyDescent="0.25">
      <c r="B34" s="19" t="s">
        <v>99</v>
      </c>
      <c r="C34" s="101">
        <v>0.22315381200000001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104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122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144.3361538195548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16.029464016122279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1.1116611428744601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0.25</v>
      </c>
      <c r="C9" s="98">
        <v>0.95</v>
      </c>
      <c r="D9" s="56">
        <v>0.21140459373206369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13.078992124843991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13.078992124843991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13.078992124843991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13.078992124843991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13.078992124843991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13.078992124843991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5.5080133892626542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0.45184999999999997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0.2296231</v>
      </c>
      <c r="C18" s="98">
        <v>0.95</v>
      </c>
      <c r="D18" s="56">
        <v>16.029464016122279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0.2296231</v>
      </c>
      <c r="C19" s="98">
        <v>0.95</v>
      </c>
      <c r="D19" s="56">
        <v>16.029464016122279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16.46619599914094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22.60519511135972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4.3210955878812296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0.67891314657797597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7.6264796156856711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30.36727751762248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0.25434099999999998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0.44582569999999999</v>
      </c>
      <c r="C29" s="98">
        <v>0.95</v>
      </c>
      <c r="D29" s="56">
        <v>193.6128732031849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398.07273654067848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1.4358697255793671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0.97391609999999995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0.1581882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7.8589800000000001E-2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0.83547650000000007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7.35566E-2</v>
      </c>
      <c r="C38" s="98">
        <v>0.95</v>
      </c>
      <c r="D38" s="56">
        <v>5.3874863984233787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205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0.10881454778502009</v>
      </c>
      <c r="G18" s="90">
        <f>MIN(MAX(1-0.89/(1-frac_sam_12_23months+(frac_sam_12_23months*0.89)),0),1)</f>
        <v>0.10942061309652396</v>
      </c>
      <c r="H18" s="90">
        <f>MIN(MAX(1-0.89/(1-frac_sam_24_59months+(frac_sam_24_59months*0.89)),0),1)</f>
        <v>0.10954585502925274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0.10665891416573181</v>
      </c>
      <c r="G20" s="90">
        <f>MIN(MAX(1-0.89/(1-frac_mam_12_23months+(frac_mam_12_23months*0.89)),0),1)</f>
        <v>0.10813628934926367</v>
      </c>
      <c r="H20" s="90">
        <f>MIN(MAX(1-0.89/(1-frac_mam_24_59months+(frac_mam_24_59months*0.89)),0),1)</f>
        <v>0.10863335487696402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9.8802677911431491E-3</v>
      </c>
      <c r="G73" s="90">
        <f>MIN(MAX(1-0.99/(1-frac_sam_12_23months+(frac_sam_12_23months*0.99)),0),1)</f>
        <v>9.9414449668795424E-3</v>
      </c>
      <c r="H73" s="90">
        <f>MIN(MAX(1-0.99/(1-frac_sam_24_59months+(frac_sam_24_59months*0.99)),0),1)</f>
        <v>9.9540965216852184E-3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9.6632865077493912E-3</v>
      </c>
      <c r="G75" s="90">
        <f>MIN(MAX(1-0.99/(1-frac_mam_12_23months+(frac_mam_12_23months*0.99)),0),1)</f>
        <v>9.8118929751204176E-3</v>
      </c>
      <c r="H75" s="90">
        <f>MIN(MAX(1-0.99/(1-frac_mam_24_59months+(frac_mam_24_59months*0.99)),0),1)</f>
        <v>9.8619925842504674E-3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0.19806047718649455</v>
      </c>
      <c r="G128" s="90">
        <f>MIN(MAX(1-0.8/(1-frac_sam_12_23months+(frac_sam_12_23months*0.8)),0),1)</f>
        <v>0.19905259134820208</v>
      </c>
      <c r="H128" s="90">
        <f>MIN(MAX(1-0.8/(1-frac_sam_24_59months+(frac_sam_24_59months*0.8)),0),1)</f>
        <v>0.19925747145327855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0.19452277095201831</v>
      </c>
      <c r="G130" s="90">
        <f>MIN(MAX(1-0.8/(1-frac_mam_12_23months+(frac_mam_12_23months*0.8)),0),1)</f>
        <v>0.19694887148128337</v>
      </c>
      <c r="H130" s="90">
        <f>MIN(MAX(1-0.8/(1-frac_mam_24_59months+(frac_mam_24_59months*0.8)),0),1)</f>
        <v>0.19776365387207995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2024-08-06T06:31:38Z</dcterms:modified>
</cp:coreProperties>
</file>