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3359112-BC06-4164-A91C-8F44B551A329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7" i="2"/>
  <c r="A36" i="2"/>
  <c r="A31" i="2"/>
  <c r="A24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<sst xmlns="http://schemas.openxmlformats.org/spreadsheetml/2006/main" count="2169" uniqueCount="373">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</sst>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5857402</v>
      </c>
    </row>
    <row r="8" spans="1:3" ht="15" customHeight="1" x14ac:dyDescent="0.25">
      <c r="B8" s="5" t="s">
        <v>8</v>
      </c>
      <c r="C8" s="44">
        <v>2.5000000000000001E-2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0.68451698300000008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0.14336677859999999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9.7699999999999995E-2</v>
      </c>
    </row>
    <row r="24" spans="1:3" ht="15" customHeight="1" x14ac:dyDescent="0.25">
      <c r="B24" s="15" t="s">
        <v>22</v>
      </c>
      <c r="C24" s="45">
        <v>0.48899999999999999</v>
      </c>
    </row>
    <row r="25" spans="1:3" ht="15" customHeight="1" x14ac:dyDescent="0.25">
      <c r="B25" s="15" t="s">
        <v>23</v>
      </c>
      <c r="C25" s="45">
        <v>0.35959999999999998</v>
      </c>
    </row>
    <row r="26" spans="1:3" ht="15" customHeight="1" x14ac:dyDescent="0.25">
      <c r="B26" s="15" t="s">
        <v>24</v>
      </c>
      <c r="C26" s="45">
        <v>5.3699999999999998E-2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0.34453989050682299</v>
      </c>
    </row>
    <row r="30" spans="1:3" ht="14.25" customHeight="1" x14ac:dyDescent="0.25">
      <c r="B30" s="25" t="s">
        <v>27</v>
      </c>
      <c r="C30" s="97">
        <v>4.9975046177627103E-2</v>
      </c>
    </row>
    <row r="31" spans="1:3" ht="14.25" customHeight="1" x14ac:dyDescent="0.25">
      <c r="B31" s="25" t="s">
        <v>28</v>
      </c>
      <c r="C31" s="97">
        <v>6.4980512501330898E-2</v>
      </c>
    </row>
    <row r="32" spans="1:3" ht="14.25" customHeight="1" x14ac:dyDescent="0.25">
      <c r="B32" s="25" t="s">
        <v>29</v>
      </c>
      <c r="C32" s="97">
        <v>0.540504550814219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14.07315</v>
      </c>
    </row>
    <row r="38" spans="1:5" ht="15" customHeight="1" x14ac:dyDescent="0.25">
      <c r="B38" s="11" t="s">
        <v>34</v>
      </c>
      <c r="C38" s="43">
        <v>20.749110000000002</v>
      </c>
      <c r="D38" s="12"/>
      <c r="E38" s="13"/>
    </row>
    <row r="39" spans="1:5" ht="15" customHeight="1" x14ac:dyDescent="0.25">
      <c r="B39" s="11" t="s">
        <v>35</v>
      </c>
      <c r="C39" s="43">
        <v>24.521650000000001</v>
      </c>
      <c r="D39" s="12"/>
      <c r="E39" s="12"/>
    </row>
    <row r="40" spans="1:5" ht="15" customHeight="1" x14ac:dyDescent="0.25">
      <c r="B40" s="11" t="s">
        <v>36</v>
      </c>
      <c r="C40" s="98">
        <v>0.76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11.679830000000001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7.5027000000000002E-3</v>
      </c>
      <c r="D45" s="12"/>
    </row>
    <row r="46" spans="1:5" ht="15.75" customHeight="1" x14ac:dyDescent="0.25">
      <c r="B46" s="11" t="s">
        <v>41</v>
      </c>
      <c r="C46" s="45">
        <v>8.0615500000000007E-2</v>
      </c>
      <c r="D46" s="12"/>
    </row>
    <row r="47" spans="1:5" ht="15.75" customHeight="1" x14ac:dyDescent="0.25">
      <c r="B47" s="11" t="s">
        <v>42</v>
      </c>
      <c r="C47" s="45">
        <v>7.3865899999999998E-2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2.9</v>
      </c>
      <c r="D51" s="12"/>
    </row>
    <row r="52" spans="1:4" ht="15" customHeight="1" x14ac:dyDescent="0.25">
      <c r="B52" s="11" t="s">
        <v>46</v>
      </c>
      <c r="C52" s="98">
        <v>2.9</v>
      </c>
    </row>
    <row r="53" spans="1:4" ht="15.75" customHeight="1" x14ac:dyDescent="0.25">
      <c r="B53" s="11" t="s">
        <v>47</v>
      </c>
      <c r="C53" s="98">
        <v>2.9</v>
      </c>
    </row>
    <row r="54" spans="1:4" ht="15.75" customHeight="1" x14ac:dyDescent="0.25">
      <c r="B54" s="11" t="s">
        <v>48</v>
      </c>
      <c r="C54" s="98">
        <v>2.9</v>
      </c>
    </row>
    <row r="55" spans="1:4" ht="15.75" customHeight="1" x14ac:dyDescent="0.25">
      <c r="B55" s="11" t="s">
        <v>49</v>
      </c>
      <c r="C55" s="98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0.57473999999999992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0.108613574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1225578</v>
      </c>
      <c r="C2" s="49">
        <v>2853668</v>
      </c>
      <c r="D2" s="49">
        <v>4020944.5</v>
      </c>
      <c r="E2" s="49">
        <v>3076029</v>
      </c>
      <c r="F2" s="49">
        <v>2017523</v>
      </c>
      <c r="G2" s="17">
        <f t="shared" ref="G2:G13" si="0">C2+D2+E2+F2</f>
        <v>11968164.5</v>
      </c>
      <c r="H2" s="17">
        <f t="shared" ref="H2:H13" si="1">(B2 + stillbirth*B2/(1000-stillbirth))/(1-abortion)</f>
        <v>1409161.0340475726</v>
      </c>
      <c r="I2" s="17">
        <f t="shared" ref="I2:I13" si="2">G2-H2</f>
        <v>10559003.465952428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1240380</v>
      </c>
      <c r="C3" s="50">
        <v>2943360</v>
      </c>
      <c r="D3" s="50">
        <v>4100439.5</v>
      </c>
      <c r="E3" s="50">
        <v>3171546</v>
      </c>
      <c r="F3" s="50">
        <v>2067499.5</v>
      </c>
      <c r="G3" s="17">
        <f t="shared" si="0"/>
        <v>12282845</v>
      </c>
      <c r="H3" s="17">
        <f t="shared" si="1"/>
        <v>1426180.2703801212</v>
      </c>
      <c r="I3" s="17">
        <f t="shared" si="2"/>
        <v>10856664.729619879</v>
      </c>
    </row>
    <row r="4" spans="1:9" ht="15.75" customHeight="1" x14ac:dyDescent="0.25">
      <c r="A4" s="5">
        <f t="shared" si="3"/>
        <v>2026</v>
      </c>
      <c r="B4" s="49">
        <v>1252833</v>
      </c>
      <c r="C4" s="50">
        <v>3044395</v>
      </c>
      <c r="D4" s="50">
        <v>4181569</v>
      </c>
      <c r="E4" s="50">
        <v>3267616.5</v>
      </c>
      <c r="F4" s="50">
        <v>2120027.5</v>
      </c>
      <c r="G4" s="17">
        <f t="shared" si="0"/>
        <v>12613608</v>
      </c>
      <c r="H4" s="17">
        <f t="shared" si="1"/>
        <v>1440498.6429006741</v>
      </c>
      <c r="I4" s="17">
        <f t="shared" si="2"/>
        <v>11173109.357099326</v>
      </c>
    </row>
    <row r="5" spans="1:9" ht="15.75" customHeight="1" x14ac:dyDescent="0.25">
      <c r="A5" s="5">
        <f t="shared" si="3"/>
        <v>2027</v>
      </c>
      <c r="B5" s="49">
        <v>1263818</v>
      </c>
      <c r="C5" s="50">
        <v>3142151</v>
      </c>
      <c r="D5" s="50">
        <v>4263799.4999999991</v>
      </c>
      <c r="E5" s="50">
        <v>3366517</v>
      </c>
      <c r="F5" s="50">
        <v>2173698</v>
      </c>
      <c r="G5" s="17">
        <f t="shared" si="0"/>
        <v>12946165.5</v>
      </c>
      <c r="H5" s="17">
        <f t="shared" si="1"/>
        <v>1453129.1192628581</v>
      </c>
      <c r="I5" s="17">
        <f t="shared" si="2"/>
        <v>11493036.380737143</v>
      </c>
    </row>
    <row r="6" spans="1:9" ht="15.75" customHeight="1" x14ac:dyDescent="0.25">
      <c r="A6" s="5">
        <f t="shared" si="3"/>
        <v>2028</v>
      </c>
      <c r="B6" s="49">
        <v>1281195</v>
      </c>
      <c r="C6" s="50">
        <v>3232911.5</v>
      </c>
      <c r="D6" s="50">
        <v>4346687</v>
      </c>
      <c r="E6" s="50">
        <v>3467365.5</v>
      </c>
      <c r="F6" s="50">
        <v>2228752.5</v>
      </c>
      <c r="G6" s="17">
        <f t="shared" si="0"/>
        <v>13275716.5</v>
      </c>
      <c r="H6" s="17">
        <f t="shared" si="1"/>
        <v>1473109.0726306932</v>
      </c>
      <c r="I6" s="17">
        <f t="shared" si="2"/>
        <v>11802607.427369308</v>
      </c>
    </row>
    <row r="7" spans="1:9" ht="15.75" customHeight="1" x14ac:dyDescent="0.25">
      <c r="A7" s="5">
        <f t="shared" si="3"/>
        <v>2029</v>
      </c>
      <c r="B7" s="49">
        <v>1298371</v>
      </c>
      <c r="C7" s="50">
        <v>3305907.5</v>
      </c>
      <c r="D7" s="50">
        <v>4435266.5</v>
      </c>
      <c r="E7" s="50">
        <v>3565914</v>
      </c>
      <c r="F7" s="50">
        <v>2286962</v>
      </c>
      <c r="G7" s="17">
        <f t="shared" si="0"/>
        <v>13594050</v>
      </c>
      <c r="H7" s="17">
        <f t="shared" si="1"/>
        <v>1492857.9176008224</v>
      </c>
      <c r="I7" s="17">
        <f t="shared" si="2"/>
        <v>12101192.082399178</v>
      </c>
    </row>
    <row r="8" spans="1:9" ht="15.75" customHeight="1" x14ac:dyDescent="0.25">
      <c r="A8" s="5">
        <f t="shared" si="3"/>
        <v>2030</v>
      </c>
      <c r="B8" s="49">
        <v>1315984</v>
      </c>
      <c r="C8" s="50">
        <v>3347958.5</v>
      </c>
      <c r="D8" s="50">
        <v>4536124.5</v>
      </c>
      <c r="E8" s="50">
        <v>3659798</v>
      </c>
      <c r="F8" s="50">
        <v>2350862.5</v>
      </c>
      <c r="G8" s="17">
        <f t="shared" si="0"/>
        <v>13894743.5</v>
      </c>
      <c r="H8" s="17">
        <f t="shared" si="1"/>
        <v>1513109.2221221831</v>
      </c>
      <c r="I8" s="17">
        <f t="shared" si="2"/>
        <v>12381634.277877817</v>
      </c>
    </row>
    <row r="9" spans="1:9" ht="15.75" customHeight="1" x14ac:dyDescent="0.25">
      <c r="A9" s="5">
        <f t="shared" si="3"/>
        <v>2031</v>
      </c>
      <c r="B9" s="49">
        <v>1329073</v>
      </c>
      <c r="C9" s="50">
        <v>3353973</v>
      </c>
      <c r="D9" s="50">
        <v>4656659</v>
      </c>
      <c r="E9" s="50">
        <v>3746743.5</v>
      </c>
      <c r="F9" s="50">
        <v>2421551.5</v>
      </c>
      <c r="G9" s="17">
        <f t="shared" si="0"/>
        <v>14178927</v>
      </c>
      <c r="H9" s="17">
        <f t="shared" si="1"/>
        <v>1528158.8630056262</v>
      </c>
      <c r="I9" s="17">
        <f t="shared" si="2"/>
        <v>12650768.136994373</v>
      </c>
    </row>
    <row r="10" spans="1:9" ht="15.75" customHeight="1" x14ac:dyDescent="0.25">
      <c r="A10" s="5">
        <f t="shared" si="3"/>
        <v>2032</v>
      </c>
      <c r="B10" s="49">
        <v>1347387</v>
      </c>
      <c r="C10" s="50">
        <v>3338457.5</v>
      </c>
      <c r="D10" s="50">
        <v>4791280</v>
      </c>
      <c r="E10" s="50">
        <v>3826860</v>
      </c>
      <c r="F10" s="50">
        <v>2499238</v>
      </c>
      <c r="G10" s="17">
        <f t="shared" si="0"/>
        <v>14455835.5</v>
      </c>
      <c r="H10" s="17">
        <f t="shared" si="1"/>
        <v>1549216.1724363989</v>
      </c>
      <c r="I10" s="17">
        <f t="shared" si="2"/>
        <v>12906619.327563601</v>
      </c>
    </row>
    <row r="11" spans="1:9" ht="15.75" customHeight="1" x14ac:dyDescent="0.25">
      <c r="A11" s="5">
        <f t="shared" si="3"/>
        <v>2033</v>
      </c>
      <c r="B11" s="49">
        <v>1358931</v>
      </c>
      <c r="C11" s="50">
        <v>3321773</v>
      </c>
      <c r="D11" s="50">
        <v>4926317.5</v>
      </c>
      <c r="E11" s="50">
        <v>3902664.5</v>
      </c>
      <c r="F11" s="50">
        <v>2582149</v>
      </c>
      <c r="G11" s="17">
        <f t="shared" si="0"/>
        <v>14732904</v>
      </c>
      <c r="H11" s="17">
        <f t="shared" si="1"/>
        <v>1562489.38309867</v>
      </c>
      <c r="I11" s="17">
        <f t="shared" si="2"/>
        <v>13170414.616901331</v>
      </c>
    </row>
    <row r="12" spans="1:9" ht="15.75" customHeight="1" x14ac:dyDescent="0.25">
      <c r="A12" s="5">
        <f t="shared" si="3"/>
        <v>2034</v>
      </c>
      <c r="B12" s="49">
        <v>1372440</v>
      </c>
      <c r="C12" s="50">
        <v>3307870.5</v>
      </c>
      <c r="D12" s="50">
        <v>5054703.5</v>
      </c>
      <c r="E12" s="50">
        <v>3979642</v>
      </c>
      <c r="F12" s="50">
        <v>2667728.5</v>
      </c>
      <c r="G12" s="17">
        <f t="shared" si="0"/>
        <v>15009944.5</v>
      </c>
      <c r="H12" s="17">
        <f t="shared" si="1"/>
        <v>1578021.9370519465</v>
      </c>
      <c r="I12" s="17">
        <f t="shared" si="2"/>
        <v>13431922.562948054</v>
      </c>
    </row>
    <row r="13" spans="1:9" ht="15.75" customHeight="1" x14ac:dyDescent="0.25">
      <c r="A13" s="5">
        <f t="shared" si="3"/>
        <v>2035</v>
      </c>
      <c r="B13" s="49">
        <v>1384256</v>
      </c>
      <c r="C13" s="50">
        <v>3303294</v>
      </c>
      <c r="D13" s="50">
        <v>5170587</v>
      </c>
      <c r="E13" s="50">
        <v>4058892</v>
      </c>
      <c r="F13" s="50">
        <v>2755396.5</v>
      </c>
      <c r="G13" s="17">
        <f t="shared" si="0"/>
        <v>15288169.5</v>
      </c>
      <c r="H13" s="17">
        <f t="shared" si="1"/>
        <v>1591607.891416586</v>
      </c>
      <c r="I13" s="17">
        <f t="shared" si="2"/>
        <v>13696561.608583413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8.5402008540200851E-3</v>
      </c>
    </row>
    <row r="4" spans="1:8" ht="15.75" customHeight="1" x14ac:dyDescent="0.25">
      <c r="B4" s="19" t="s">
        <v>69</v>
      </c>
      <c r="C4" s="99">
        <v>3.9174803917480412E-2</v>
      </c>
    </row>
    <row r="5" spans="1:8" ht="15.75" customHeight="1" x14ac:dyDescent="0.25">
      <c r="B5" s="19" t="s">
        <v>70</v>
      </c>
      <c r="C5" s="99">
        <v>4.0943404094340358E-2</v>
      </c>
    </row>
    <row r="6" spans="1:8" ht="15.75" customHeight="1" x14ac:dyDescent="0.25">
      <c r="B6" s="19" t="s">
        <v>71</v>
      </c>
      <c r="C6" s="99">
        <v>0.1985424198542417</v>
      </c>
    </row>
    <row r="7" spans="1:8" ht="15.75" customHeight="1" x14ac:dyDescent="0.25">
      <c r="B7" s="19" t="s">
        <v>72</v>
      </c>
      <c r="C7" s="99">
        <v>0.46786794678679522</v>
      </c>
    </row>
    <row r="8" spans="1:8" ht="15.75" customHeight="1" x14ac:dyDescent="0.25">
      <c r="B8" s="19" t="s">
        <v>73</v>
      </c>
      <c r="C8" s="99">
        <v>1.280800128080012E-3</v>
      </c>
    </row>
    <row r="9" spans="1:8" ht="15.75" customHeight="1" x14ac:dyDescent="0.25">
      <c r="B9" s="19" t="s">
        <v>74</v>
      </c>
      <c r="C9" s="99">
        <v>0.1650498165049816</v>
      </c>
    </row>
    <row r="10" spans="1:8" ht="15.75" customHeight="1" x14ac:dyDescent="0.25">
      <c r="B10" s="19" t="s">
        <v>75</v>
      </c>
      <c r="C10" s="99">
        <v>7.8600607860060706E-2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8.5069069706236899E-2</v>
      </c>
      <c r="D14" s="55">
        <v>8.5069069706236899E-2</v>
      </c>
      <c r="E14" s="55">
        <v>8.5069069706236899E-2</v>
      </c>
      <c r="F14" s="55">
        <v>8.5069069706236899E-2</v>
      </c>
    </row>
    <row r="15" spans="1:8" ht="15.75" customHeight="1" x14ac:dyDescent="0.25">
      <c r="B15" s="19" t="s">
        <v>82</v>
      </c>
      <c r="C15" s="99">
        <v>0.51331124517246551</v>
      </c>
      <c r="D15" s="99">
        <v>0.51331124517246551</v>
      </c>
      <c r="E15" s="99">
        <v>0.51331124517246551</v>
      </c>
      <c r="F15" s="99">
        <v>0.51331124517246551</v>
      </c>
    </row>
    <row r="16" spans="1:8" ht="15.75" customHeight="1" x14ac:dyDescent="0.25">
      <c r="B16" s="19" t="s">
        <v>83</v>
      </c>
      <c r="C16" s="99">
        <v>1.204797646468374E-2</v>
      </c>
      <c r="D16" s="99">
        <v>1.204797646468374E-2</v>
      </c>
      <c r="E16" s="99">
        <v>1.204797646468374E-2</v>
      </c>
      <c r="F16" s="99">
        <v>1.204797646468374E-2</v>
      </c>
    </row>
    <row r="17" spans="1:8" ht="15.75" customHeight="1" x14ac:dyDescent="0.25">
      <c r="B17" s="19" t="s">
        <v>84</v>
      </c>
      <c r="C17" s="99">
        <v>8.7439330663440316E-3</v>
      </c>
      <c r="D17" s="99">
        <v>8.7439330663440316E-3</v>
      </c>
      <c r="E17" s="99">
        <v>8.7439330663440316E-3</v>
      </c>
      <c r="F17" s="99">
        <v>8.7439330663440316E-3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2.3634672156064261E-2</v>
      </c>
      <c r="D19" s="99">
        <v>2.3634672156064261E-2</v>
      </c>
      <c r="E19" s="99">
        <v>2.3634672156064261E-2</v>
      </c>
      <c r="F19" s="99">
        <v>2.3634672156064261E-2</v>
      </c>
    </row>
    <row r="20" spans="1:8" ht="15.75" customHeight="1" x14ac:dyDescent="0.25">
      <c r="B20" s="19" t="s">
        <v>87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88</v>
      </c>
      <c r="C21" s="99">
        <v>0.222793513098864</v>
      </c>
      <c r="D21" s="99">
        <v>0.222793513098864</v>
      </c>
      <c r="E21" s="99">
        <v>0.222793513098864</v>
      </c>
      <c r="F21" s="99">
        <v>0.222793513098864</v>
      </c>
    </row>
    <row r="22" spans="1:8" ht="15.75" customHeight="1" x14ac:dyDescent="0.25">
      <c r="B22" s="19" t="s">
        <v>89</v>
      </c>
      <c r="C22" s="99">
        <v>0.13439959033534171</v>
      </c>
      <c r="D22" s="99">
        <v>0.13439959033534171</v>
      </c>
      <c r="E22" s="99">
        <v>0.13439959033534171</v>
      </c>
      <c r="F22" s="99">
        <v>0.13439959033534171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7.1492997000000003E-2</v>
      </c>
    </row>
    <row r="27" spans="1:8" ht="15.75" customHeight="1" x14ac:dyDescent="0.25">
      <c r="B27" s="19" t="s">
        <v>92</v>
      </c>
      <c r="C27" s="99">
        <v>2.4622926999999999E-2</v>
      </c>
    </row>
    <row r="28" spans="1:8" ht="15.75" customHeight="1" x14ac:dyDescent="0.25">
      <c r="B28" s="19" t="s">
        <v>93</v>
      </c>
      <c r="C28" s="99">
        <v>0.300465973</v>
      </c>
    </row>
    <row r="29" spans="1:8" ht="15.75" customHeight="1" x14ac:dyDescent="0.25">
      <c r="B29" s="19" t="s">
        <v>94</v>
      </c>
      <c r="C29" s="99">
        <v>0.10581837400000001</v>
      </c>
    </row>
    <row r="30" spans="1:8" ht="15.75" customHeight="1" x14ac:dyDescent="0.25">
      <c r="B30" s="19" t="s">
        <v>95</v>
      </c>
      <c r="C30" s="99">
        <v>3.6280391000000002E-2</v>
      </c>
    </row>
    <row r="31" spans="1:8" ht="15.75" customHeight="1" x14ac:dyDescent="0.25">
      <c r="B31" s="19" t="s">
        <v>96</v>
      </c>
      <c r="C31" s="99">
        <v>4.1639915E-2</v>
      </c>
    </row>
    <row r="32" spans="1:8" ht="15.75" customHeight="1" x14ac:dyDescent="0.25">
      <c r="B32" s="19" t="s">
        <v>97</v>
      </c>
      <c r="C32" s="99">
        <v>9.9941725999999995E-2</v>
      </c>
    </row>
    <row r="33" spans="2:3" ht="15.75" customHeight="1" x14ac:dyDescent="0.25">
      <c r="B33" s="19" t="s">
        <v>98</v>
      </c>
      <c r="C33" s="99">
        <v>9.6583884999999994E-2</v>
      </c>
    </row>
    <row r="34" spans="2:3" ht="15.75" customHeight="1" x14ac:dyDescent="0.25">
      <c r="B34" s="19" t="s">
        <v>99</v>
      </c>
      <c r="C34" s="99">
        <v>0.22315381200000001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0.56317057409589366</v>
      </c>
      <c r="D2" s="52">
        <f>IFERROR(1-_xlfn.NORM.DIST(_xlfn.NORM.INV(SUM(D4:D5), 0, 1) + 1, 0, 1, TRUE), "")</f>
        <v>0.56317057409589366</v>
      </c>
      <c r="E2" s="52">
        <f>IFERROR(1-_xlfn.NORM.DIST(_xlfn.NORM.INV(SUM(E4:E5), 0, 1) + 1, 0, 1, TRUE), "")</f>
        <v>0.62668537632574395</v>
      </c>
      <c r="F2" s="52">
        <f>IFERROR(1-_xlfn.NORM.DIST(_xlfn.NORM.INV(SUM(F4:F5), 0, 1) + 1, 0, 1, TRUE), "")</f>
        <v>0.52192443162125235</v>
      </c>
      <c r="G2" s="52">
        <f>IFERROR(1-_xlfn.NORM.DIST(_xlfn.NORM.INV(SUM(G4:G5), 0, 1) + 1, 0, 1, TRUE), "")</f>
        <v>0.56622630441502286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0.31360392590410641</v>
      </c>
      <c r="D3" s="52">
        <f>IFERROR(_xlfn.NORM.DIST(_xlfn.NORM.INV(SUM(D4:D5), 0, 1) + 1, 0, 1, TRUE) - SUM(D4:D5), "")</f>
        <v>0.31360392590410641</v>
      </c>
      <c r="E3" s="52">
        <f>IFERROR(_xlfn.NORM.DIST(_xlfn.NORM.INV(SUM(E4:E5), 0, 1) + 1, 0, 1, TRUE) - SUM(E4:E5), "")</f>
        <v>0.28041142367425603</v>
      </c>
      <c r="F3" s="52">
        <f>IFERROR(_xlfn.NORM.DIST(_xlfn.NORM.INV(SUM(F4:F5), 0, 1) + 1, 0, 1, TRUE) - SUM(F4:F5), "")</f>
        <v>0.33235926837874774</v>
      </c>
      <c r="G3" s="52">
        <f>IFERROR(_xlfn.NORM.DIST(_xlfn.NORM.INV(SUM(G4:G5), 0, 1) + 1, 0, 1, TRUE) - SUM(G4:G5), "")</f>
        <v>0.31212299558497719</v>
      </c>
    </row>
    <row r="4" spans="1:15" ht="15.75" customHeight="1" x14ac:dyDescent="0.25">
      <c r="B4" s="5" t="s">
        <v>104</v>
      </c>
      <c r="C4" s="45">
        <v>7.3705199999999998E-2</v>
      </c>
      <c r="D4" s="53">
        <v>7.3705199999999998E-2</v>
      </c>
      <c r="E4" s="53">
        <v>4.3158500000000002E-2</v>
      </c>
      <c r="F4" s="53">
        <v>9.2870799999999989E-2</v>
      </c>
      <c r="G4" s="53">
        <v>8.613670000000001E-2</v>
      </c>
    </row>
    <row r="5" spans="1:15" ht="15.75" customHeight="1" x14ac:dyDescent="0.25">
      <c r="B5" s="5" t="s">
        <v>105</v>
      </c>
      <c r="C5" s="45">
        <v>4.9520300000000003E-2</v>
      </c>
      <c r="D5" s="53">
        <v>4.9520300000000003E-2</v>
      </c>
      <c r="E5" s="53">
        <v>4.9744700000000003E-2</v>
      </c>
      <c r="F5" s="53">
        <v>5.2845499999999997E-2</v>
      </c>
      <c r="G5" s="53">
        <v>3.5513999999999997E-2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0.59699149608488467</v>
      </c>
      <c r="D8" s="52">
        <f>IFERROR(1-_xlfn.NORM.DIST(_xlfn.NORM.INV(SUM(D10:D11), 0, 1) + 1, 0, 1, TRUE), "")</f>
        <v>0.59699149608488467</v>
      </c>
      <c r="E8" s="52">
        <f>IFERROR(1-_xlfn.NORM.DIST(_xlfn.NORM.INV(SUM(E10:E11), 0, 1) + 1, 0, 1, TRUE), "")</f>
        <v>0.75300664809991891</v>
      </c>
      <c r="F8" s="52">
        <f>IFERROR(1-_xlfn.NORM.DIST(_xlfn.NORM.INV(SUM(F10:F11), 0, 1) + 1, 0, 1, TRUE), "")</f>
        <v>0.83184511316120591</v>
      </c>
      <c r="G8" s="52">
        <f>IFERROR(1-_xlfn.NORM.DIST(_xlfn.NORM.INV(SUM(G10:G11), 0, 1) + 1, 0, 1, TRUE), "")</f>
        <v>0.86084384418868432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0.29654690391511529</v>
      </c>
      <c r="D9" s="52">
        <f>IFERROR(_xlfn.NORM.DIST(_xlfn.NORM.INV(SUM(D10:D11), 0, 1) + 1, 0, 1, TRUE) - SUM(D10:D11), "")</f>
        <v>0.29654690391511529</v>
      </c>
      <c r="E9" s="52">
        <f>IFERROR(_xlfn.NORM.DIST(_xlfn.NORM.INV(SUM(E10:E11), 0, 1) + 1, 0, 1, TRUE) - SUM(E10:E11), "")</f>
        <v>0.20090075190008111</v>
      </c>
      <c r="F9" s="52">
        <f>IFERROR(_xlfn.NORM.DIST(_xlfn.NORM.INV(SUM(F10:F11), 0, 1) + 1, 0, 1, TRUE) - SUM(F10:F11), "")</f>
        <v>0.14324348683879404</v>
      </c>
      <c r="G9" s="52">
        <f>IFERROR(_xlfn.NORM.DIST(_xlfn.NORM.INV(SUM(G10:G11), 0, 1) + 1, 0, 1, TRUE) - SUM(G10:G11), "")</f>
        <v>0.12058145581131569</v>
      </c>
    </row>
    <row r="10" spans="1:15" ht="15.75" customHeight="1" x14ac:dyDescent="0.25">
      <c r="B10" s="5" t="s">
        <v>109</v>
      </c>
      <c r="C10" s="45">
        <v>6.7019900000000007E-2</v>
      </c>
      <c r="D10" s="53">
        <v>6.7019900000000007E-2</v>
      </c>
      <c r="E10" s="53">
        <v>3.39999E-2</v>
      </c>
      <c r="F10" s="53">
        <v>1.8997099999999999E-2</v>
      </c>
      <c r="G10" s="53">
        <v>1.39382E-2</v>
      </c>
    </row>
    <row r="11" spans="1:15" ht="15.75" customHeight="1" x14ac:dyDescent="0.25">
      <c r="B11" s="5" t="s">
        <v>110</v>
      </c>
      <c r="C11" s="45">
        <v>3.9441700000000003E-2</v>
      </c>
      <c r="D11" s="53">
        <v>3.9441700000000003E-2</v>
      </c>
      <c r="E11" s="53">
        <v>1.20927E-2</v>
      </c>
      <c r="F11" s="53">
        <v>5.9142999999999999E-3</v>
      </c>
      <c r="G11" s="53">
        <v>4.6365E-3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0.54937793849999994</v>
      </c>
      <c r="D14" s="54">
        <v>0.54968166127100004</v>
      </c>
      <c r="E14" s="54">
        <v>0.54968166127100004</v>
      </c>
      <c r="F14" s="54">
        <v>0.41497549182100002</v>
      </c>
      <c r="G14" s="54">
        <v>0.41497549182100002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0.28699999999999998</v>
      </c>
      <c r="M14" s="55">
        <v>0.28699999999999998</v>
      </c>
      <c r="N14" s="55">
        <v>0.28699999999999998</v>
      </c>
      <c r="O14" s="55">
        <v>0.28699999999999998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0.31574947637348993</v>
      </c>
      <c r="D15" s="52">
        <f t="shared" si="0"/>
        <v>0.31592403799889451</v>
      </c>
      <c r="E15" s="52">
        <f t="shared" si="0"/>
        <v>0.31592403799889451</v>
      </c>
      <c r="F15" s="52">
        <f t="shared" si="0"/>
        <v>0.23850301416920153</v>
      </c>
      <c r="G15" s="52">
        <f t="shared" si="0"/>
        <v>0.23850301416920153</v>
      </c>
      <c r="H15" s="52">
        <f t="shared" si="0"/>
        <v>0.19253789999999998</v>
      </c>
      <c r="I15" s="52">
        <f t="shared" si="0"/>
        <v>0.19253789999999998</v>
      </c>
      <c r="J15" s="52">
        <f t="shared" si="0"/>
        <v>0.19253789999999998</v>
      </c>
      <c r="K15" s="52">
        <f t="shared" si="0"/>
        <v>0.19253789999999998</v>
      </c>
      <c r="L15" s="52">
        <f t="shared" si="0"/>
        <v>0.16495037999999995</v>
      </c>
      <c r="M15" s="52">
        <f t="shared" si="0"/>
        <v>0.16495037999999995</v>
      </c>
      <c r="N15" s="52">
        <f t="shared" si="0"/>
        <v>0.16495037999999995</v>
      </c>
      <c r="O15" s="52">
        <f t="shared" si="0"/>
        <v>0.16495037999999995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0.4494938</v>
      </c>
      <c r="D2" s="53">
        <v>0.2296231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0.18113000000000001</v>
      </c>
      <c r="D3" s="53">
        <v>0.16158719999999999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0.27054450000000002</v>
      </c>
      <c r="D4" s="53">
        <v>0.34594730000000001</v>
      </c>
      <c r="E4" s="53">
        <v>0.60375319999999999</v>
      </c>
      <c r="F4" s="53">
        <v>0.35332019999999997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9.8831700000000078E-2</v>
      </c>
      <c r="D5" s="52">
        <f t="shared" si="0"/>
        <v>0.26284240000000003</v>
      </c>
      <c r="E5" s="52">
        <f>1-SUM(E2:E4)</f>
        <v>0.39624680000000001</v>
      </c>
      <c r="F5" s="52">
        <f>1-SUM(F2:F4)</f>
        <v>0.64667980000000003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5937.1954660027104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0.40344000000000002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0.11663999999999999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1.0879761515328849E-2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97304.985430000001</v>
      </c>
      <c r="C22" s="107">
        <v>97107.73977</v>
      </c>
      <c r="D22" s="107">
        <v>96924.003700000001</v>
      </c>
      <c r="E22" s="107">
        <v>96565.643960000001</v>
      </c>
      <c r="F22" s="107">
        <v>96020.317349999998</v>
      </c>
      <c r="G22" s="107">
        <v>95458.675749999995</v>
      </c>
      <c r="H22" s="107">
        <v>94796.104579999999</v>
      </c>
      <c r="I22" s="107">
        <v>93941.191170000006</v>
      </c>
      <c r="J22" s="107">
        <v>92716.333840000007</v>
      </c>
      <c r="K22" s="107">
        <v>90678.213010000007</v>
      </c>
      <c r="L22" s="107">
        <v>87615.477729999999</v>
      </c>
      <c r="M22" s="107">
        <v>83086.606639999998</v>
      </c>
      <c r="N22" s="107">
        <v>76399.769589999996</v>
      </c>
      <c r="O22" s="107">
        <v>67197.552809999994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7.4289688625382997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0.10284547803181469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0.25</v>
      </c>
      <c r="C9" s="96">
        <v>0.95</v>
      </c>
      <c r="D9" s="56">
        <v>0.4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13.078992124843991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13.078992124843991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13.078992124843991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13.078992124843991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13.078992124843991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13.078992124843991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0.45184999999999997</v>
      </c>
      <c r="C17" s="96">
        <v>0.95</v>
      </c>
      <c r="D17" s="56">
        <v>7.992352075384429E-2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0.2296231</v>
      </c>
      <c r="C18" s="96">
        <v>0.95</v>
      </c>
      <c r="D18" s="56">
        <v>7.4289688625382997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0.2296231</v>
      </c>
      <c r="C19" s="96">
        <v>0.95</v>
      </c>
      <c r="D19" s="56">
        <v>10.612768372685171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7.4289688625382997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4.3210955878812296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0.67891314657797597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2.9567118730808599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0.25434099999999998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0.44582569999999999</v>
      </c>
      <c r="C29" s="96">
        <v>0.95</v>
      </c>
      <c r="D29" s="56">
        <v>193.6128732031849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173.50469037871034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0.53033228587019021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0.97391609999999995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0.1581882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7.8589800000000001E-2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0.83547650000000007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7.35566E-2</v>
      </c>
      <c r="C38" s="96">
        <v>0.95</v>
      </c>
      <c r="D38" s="56">
        <v>2.6612563971340846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197</v>
      </c>
      <c r="B3" s="21">
        <f>frac_mam_1month * 2.6</f>
        <v>0.17425174000000002</v>
      </c>
      <c r="C3" s="21">
        <f>frac_mam_1_5months * 2.6</f>
        <v>0.17425174000000002</v>
      </c>
      <c r="D3" s="21">
        <f>frac_mam_6_11months * 2.6</f>
        <v>8.8399740000000004E-2</v>
      </c>
      <c r="E3" s="21">
        <f>frac_mam_12_23months * 2.6</f>
        <v>4.9392459999999999E-2</v>
      </c>
      <c r="F3" s="21">
        <f>frac_mam_24_59months * 2.6</f>
        <v>3.6239319999999998E-2</v>
      </c>
    </row>
    <row r="4" spans="1:6" ht="15.75" customHeight="1" x14ac:dyDescent="0.25">
      <c r="A4" s="3" t="s">
        <v>198</v>
      </c>
      <c r="B4" s="21">
        <f>frac_sam_1month * 2.6</f>
        <v>0.10254842000000002</v>
      </c>
      <c r="C4" s="21">
        <f>frac_sam_1_5months * 2.6</f>
        <v>0.10254842000000002</v>
      </c>
      <c r="D4" s="21">
        <f>frac_sam_6_11months * 2.6</f>
        <v>3.144102E-2</v>
      </c>
      <c r="E4" s="21">
        <f>frac_sam_12_23months * 2.6</f>
        <v>1.5377180000000001E-2</v>
      </c>
      <c r="F4" s="21">
        <f>frac_sam_24_59months * 2.6</f>
        <v>1.20549E-2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2.5000000000000001E-2</v>
      </c>
      <c r="F2" s="60">
        <f>food_insecure</f>
        <v>2.5000000000000001E-2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2.5000000000000001E-2</v>
      </c>
      <c r="F5" s="60">
        <f>food_insecure</f>
        <v>2.5000000000000001E-2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2.5000000000000001E-2</v>
      </c>
      <c r="F8" s="60">
        <f>food_insecure</f>
        <v>2.5000000000000001E-2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2.5000000000000001E-2</v>
      </c>
      <c r="F9" s="60">
        <f>food_insecure</f>
        <v>2.5000000000000001E-2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2.5000000000000001E-2</v>
      </c>
      <c r="I15" s="60">
        <f t="shared" si="0"/>
        <v>2.5000000000000001E-2</v>
      </c>
      <c r="J15" s="60">
        <f t="shared" si="0"/>
        <v>2.5000000000000001E-2</v>
      </c>
      <c r="K15" s="60">
        <f t="shared" si="0"/>
        <v>2.5000000000000001E-2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2.5000000000000001E-2</v>
      </c>
      <c r="I16" s="60">
        <f t="shared" si="0"/>
        <v>2.5000000000000001E-2</v>
      </c>
      <c r="J16" s="60">
        <f t="shared" si="0"/>
        <v>2.5000000000000001E-2</v>
      </c>
      <c r="K16" s="60">
        <f t="shared" si="0"/>
        <v>2.5000000000000001E-2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0.14336677859999999</v>
      </c>
      <c r="M24" s="60">
        <f>famplan_unmet_need</f>
        <v>0.14336677859999999</v>
      </c>
      <c r="N24" s="60">
        <f>famplan_unmet_need</f>
        <v>0.14336677859999999</v>
      </c>
      <c r="O24" s="60">
        <f>famplan_unmet_need</f>
        <v>0.14336677859999999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0.15624296416924996</v>
      </c>
      <c r="M25" s="60">
        <f>(1-food_insecure)*(0.49)+food_insecure*(0.7)</f>
        <v>0.49525000000000002</v>
      </c>
      <c r="N25" s="60">
        <f>(1-food_insecure)*(0.49)+food_insecure*(0.7)</f>
        <v>0.49525000000000002</v>
      </c>
      <c r="O25" s="60">
        <f>(1-food_insecure)*(0.49)+food_insecure*(0.7)</f>
        <v>0.49525000000000002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6.6961270358249975E-2</v>
      </c>
      <c r="M26" s="60">
        <f>(1-food_insecure)*(0.21)+food_insecure*(0.3)</f>
        <v>0.21224999999999999</v>
      </c>
      <c r="N26" s="60">
        <f>(1-food_insecure)*(0.21)+food_insecure*(0.3)</f>
        <v>0.21224999999999999</v>
      </c>
      <c r="O26" s="60">
        <f>(1-food_insecure)*(0.21)+food_insecure*(0.3)</f>
        <v>0.21224999999999999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9.2278782472499973E-2</v>
      </c>
      <c r="M27" s="60">
        <f>(1-food_insecure)*(0.3)</f>
        <v>0.29249999999999998</v>
      </c>
      <c r="N27" s="60">
        <f>(1-food_insecure)*(0.3)</f>
        <v>0.29249999999999998</v>
      </c>
      <c r="O27" s="60">
        <f>(1-food_insecure)*(0.3)</f>
        <v>0.29249999999999998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