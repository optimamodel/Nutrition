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A9E5319-EF5B-4684-A246-AC0AC106556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4" i="2"/>
  <c r="A29" i="2"/>
  <c r="A26" i="2"/>
  <c r="A21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H3" i="2"/>
  <c r="I3" i="2" s="1"/>
  <c r="G3" i="2"/>
  <c r="A3" i="2"/>
  <c r="H2" i="2"/>
  <c r="G2" i="2"/>
  <c r="I2" i="2" s="1"/>
  <c r="A2" i="2"/>
  <c r="A32" i="2" s="1"/>
  <c r="C33" i="1"/>
  <c r="C20" i="1"/>
  <c r="A17" i="2" l="1"/>
  <c r="A25" i="2"/>
  <c r="A33" i="2"/>
  <c r="A19" i="2"/>
  <c r="A27" i="2"/>
  <c r="A35" i="2"/>
  <c r="A20" i="2"/>
  <c r="A28" i="2"/>
  <c r="A36" i="2"/>
  <c r="A4" i="2"/>
  <c r="A5" i="2" s="1"/>
  <c r="A6" i="2"/>
  <c r="A7" i="2" s="1"/>
  <c r="A8" i="2"/>
  <c r="A9" i="2" s="1"/>
  <c r="A10" i="2"/>
  <c r="A11" i="2" s="1"/>
  <c r="A12" i="2"/>
  <c r="A13" i="2" s="1"/>
  <c r="A14" i="2"/>
  <c r="A22" i="2"/>
  <c r="A30" i="2"/>
  <c r="A38" i="2"/>
  <c r="A4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<sst xmlns="http://schemas.openxmlformats.org/spreadsheetml/2006/main" count="2103" uniqueCount="341">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</sst>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5896681.375</v>
      </c>
    </row>
    <row r="8" spans="1:3" ht="15" customHeight="1" x14ac:dyDescent="0.25">
      <c r="B8" s="5" t="s">
        <v>8</v>
      </c>
      <c r="C8" s="44">
        <v>2.5000000000000001E-2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0.40699999999999997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9.7699999999999995E-2</v>
      </c>
    </row>
    <row r="24" spans="1:3" ht="15" customHeight="1" x14ac:dyDescent="0.25">
      <c r="B24" s="15" t="s">
        <v>22</v>
      </c>
      <c r="C24" s="45">
        <v>0.48899999999999999</v>
      </c>
    </row>
    <row r="25" spans="1:3" ht="15" customHeight="1" x14ac:dyDescent="0.25">
      <c r="B25" s="15" t="s">
        <v>23</v>
      </c>
      <c r="C25" s="45">
        <v>0.35959999999999998</v>
      </c>
    </row>
    <row r="26" spans="1:3" ht="15" customHeight="1" x14ac:dyDescent="0.25">
      <c r="B26" s="15" t="s">
        <v>24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14.07315</v>
      </c>
    </row>
    <row r="38" spans="1:5" ht="15" customHeight="1" x14ac:dyDescent="0.25">
      <c r="B38" s="11" t="s">
        <v>34</v>
      </c>
      <c r="C38" s="43">
        <v>20.749110000000002</v>
      </c>
      <c r="D38" s="12"/>
      <c r="E38" s="13"/>
    </row>
    <row r="39" spans="1:5" ht="15" customHeight="1" x14ac:dyDescent="0.25">
      <c r="B39" s="11" t="s">
        <v>35</v>
      </c>
      <c r="C39" s="43">
        <v>24.521650000000001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7.5027000000000002E-3</v>
      </c>
      <c r="D45" s="12"/>
    </row>
    <row r="46" spans="1:5" ht="15.75" customHeight="1" x14ac:dyDescent="0.25">
      <c r="B46" s="11" t="s">
        <v>41</v>
      </c>
      <c r="C46" s="45">
        <v>8.0615500000000007E-2</v>
      </c>
      <c r="D46" s="12"/>
    </row>
    <row r="47" spans="1:5" ht="15.75" customHeight="1" x14ac:dyDescent="0.25">
      <c r="B47" s="11" t="s">
        <v>42</v>
      </c>
      <c r="C47" s="45">
        <v>7.3865899999999998E-2</v>
      </c>
      <c r="D47" s="12"/>
      <c r="E47" s="13"/>
    </row>
    <row r="48" spans="1:5" ht="15" customHeight="1" x14ac:dyDescent="0.25">
      <c r="B48" s="11" t="s">
        <v>43</v>
      </c>
      <c r="C48" s="46">
        <v>0.83801590000000004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0.57473999999999992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8.5402008540200851E-3</v>
      </c>
    </row>
    <row r="4" spans="1:8" ht="15.75" customHeight="1" x14ac:dyDescent="0.25">
      <c r="B4" s="19" t="s">
        <v>69</v>
      </c>
      <c r="C4" s="101">
        <v>3.9174803917480412E-2</v>
      </c>
    </row>
    <row r="5" spans="1:8" ht="15.75" customHeight="1" x14ac:dyDescent="0.25">
      <c r="B5" s="19" t="s">
        <v>70</v>
      </c>
      <c r="C5" s="101">
        <v>4.0943404094340358E-2</v>
      </c>
    </row>
    <row r="6" spans="1:8" ht="15.75" customHeight="1" x14ac:dyDescent="0.25">
      <c r="B6" s="19" t="s">
        <v>71</v>
      </c>
      <c r="C6" s="101">
        <v>0.1985424198542417</v>
      </c>
    </row>
    <row r="7" spans="1:8" ht="15.75" customHeight="1" x14ac:dyDescent="0.25">
      <c r="B7" s="19" t="s">
        <v>72</v>
      </c>
      <c r="C7" s="101">
        <v>0.46786794678679522</v>
      </c>
    </row>
    <row r="8" spans="1:8" ht="15.75" customHeight="1" x14ac:dyDescent="0.25">
      <c r="B8" s="19" t="s">
        <v>73</v>
      </c>
      <c r="C8" s="101">
        <v>1.280800128080012E-3</v>
      </c>
    </row>
    <row r="9" spans="1:8" ht="15.75" customHeight="1" x14ac:dyDescent="0.25">
      <c r="B9" s="19" t="s">
        <v>74</v>
      </c>
      <c r="C9" s="101">
        <v>0.1650498165049816</v>
      </c>
    </row>
    <row r="10" spans="1:8" ht="15.75" customHeight="1" x14ac:dyDescent="0.25">
      <c r="B10" s="19" t="s">
        <v>75</v>
      </c>
      <c r="C10" s="101">
        <v>7.8600607860060706E-2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82</v>
      </c>
      <c r="C15" s="101">
        <v>0.51331124517246551</v>
      </c>
      <c r="D15" s="101">
        <v>0.51331124517246551</v>
      </c>
      <c r="E15" s="101">
        <v>0.51331124517246551</v>
      </c>
      <c r="F15" s="101">
        <v>0.51331124517246551</v>
      </c>
    </row>
    <row r="16" spans="1:8" ht="15.75" customHeight="1" x14ac:dyDescent="0.25">
      <c r="B16" s="19" t="s">
        <v>83</v>
      </c>
      <c r="C16" s="101">
        <v>1.204797646468374E-2</v>
      </c>
      <c r="D16" s="101">
        <v>1.204797646468374E-2</v>
      </c>
      <c r="E16" s="101">
        <v>1.204797646468374E-2</v>
      </c>
      <c r="F16" s="101">
        <v>1.204797646468374E-2</v>
      </c>
    </row>
    <row r="17" spans="1:8" ht="15.75" customHeight="1" x14ac:dyDescent="0.25">
      <c r="B17" s="19" t="s">
        <v>84</v>
      </c>
      <c r="C17" s="101">
        <v>8.7439330663440316E-3</v>
      </c>
      <c r="D17" s="101">
        <v>8.7439330663440316E-3</v>
      </c>
      <c r="E17" s="101">
        <v>8.7439330663440316E-3</v>
      </c>
      <c r="F17" s="101">
        <v>8.7439330663440316E-3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2.3634672156064261E-2</v>
      </c>
      <c r="D19" s="101">
        <v>2.3634672156064261E-2</v>
      </c>
      <c r="E19" s="101">
        <v>2.3634672156064261E-2</v>
      </c>
      <c r="F19" s="101">
        <v>2.3634672156064261E-2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0.222793513098864</v>
      </c>
      <c r="D21" s="101">
        <v>0.222793513098864</v>
      </c>
      <c r="E21" s="101">
        <v>0.222793513098864</v>
      </c>
      <c r="F21" s="101">
        <v>0.222793513098864</v>
      </c>
    </row>
    <row r="22" spans="1:8" ht="15.75" customHeight="1" x14ac:dyDescent="0.25">
      <c r="B22" s="19" t="s">
        <v>89</v>
      </c>
      <c r="C22" s="101">
        <v>0.13439959033534171</v>
      </c>
      <c r="D22" s="101">
        <v>0.13439959033534171</v>
      </c>
      <c r="E22" s="101">
        <v>0.13439959033534171</v>
      </c>
      <c r="F22" s="101">
        <v>0.13439959033534171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7.1492997000000003E-2</v>
      </c>
    </row>
    <row r="27" spans="1:8" ht="15.75" customHeight="1" x14ac:dyDescent="0.25">
      <c r="B27" s="19" t="s">
        <v>92</v>
      </c>
      <c r="C27" s="101">
        <v>2.4622926999999999E-2</v>
      </c>
    </row>
    <row r="28" spans="1:8" ht="15.75" customHeight="1" x14ac:dyDescent="0.25">
      <c r="B28" s="19" t="s">
        <v>93</v>
      </c>
      <c r="C28" s="101">
        <v>0.300465973</v>
      </c>
    </row>
    <row r="29" spans="1:8" ht="15.75" customHeight="1" x14ac:dyDescent="0.25">
      <c r="B29" s="19" t="s">
        <v>94</v>
      </c>
      <c r="C29" s="101">
        <v>0.10581837400000001</v>
      </c>
    </row>
    <row r="30" spans="1:8" ht="15.75" customHeight="1" x14ac:dyDescent="0.25">
      <c r="B30" s="19" t="s">
        <v>95</v>
      </c>
      <c r="C30" s="101">
        <v>3.6280391000000002E-2</v>
      </c>
    </row>
    <row r="31" spans="1:8" ht="15.75" customHeight="1" x14ac:dyDescent="0.25">
      <c r="B31" s="19" t="s">
        <v>96</v>
      </c>
      <c r="C31" s="101">
        <v>4.1639915E-2</v>
      </c>
    </row>
    <row r="32" spans="1:8" ht="15.75" customHeight="1" x14ac:dyDescent="0.25">
      <c r="B32" s="19" t="s">
        <v>97</v>
      </c>
      <c r="C32" s="101">
        <v>9.9941725999999995E-2</v>
      </c>
    </row>
    <row r="33" spans="2:3" ht="15.75" customHeight="1" x14ac:dyDescent="0.25">
      <c r="B33" s="19" t="s">
        <v>98</v>
      </c>
      <c r="C33" s="101">
        <v>9.6583884999999994E-2</v>
      </c>
    </row>
    <row r="34" spans="2:3" ht="15.75" customHeight="1" x14ac:dyDescent="0.25">
      <c r="B34" s="19" t="s">
        <v>99</v>
      </c>
      <c r="C34" s="101">
        <v>0.22315381200000001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104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105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109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110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122</v>
      </c>
      <c r="C5" s="52">
        <v>9.8831699999999995E-2</v>
      </c>
      <c r="D5" s="52">
        <v>0.26284239999999998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60.999124309244628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39.946692681048077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460.96006935232163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1.1116611428744601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13.078992124843991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13.078992124843991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13.078992124843991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13.078992124843991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13.078992124843991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13.078992124843991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0.78575792473933481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0.45184999999999997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0.2296231</v>
      </c>
      <c r="C18" s="98">
        <v>0.95</v>
      </c>
      <c r="D18" s="56">
        <v>10.612768372685171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0.2296231</v>
      </c>
      <c r="C19" s="98">
        <v>0.95</v>
      </c>
      <c r="D19" s="56">
        <v>10.612768372685171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14.651964526226051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22.60519511135972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4.3210955878812296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0.67891314657797597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18.641046941214839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0.25434099999999998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0.44582569999999999</v>
      </c>
      <c r="C29" s="98">
        <v>0.95</v>
      </c>
      <c r="D29" s="56">
        <v>120.4259539033133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2.2583380955776229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1.694013274674657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0.97391609999999995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0.1581882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7.8589800000000001E-2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0.83547650000000007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7.35566E-2</v>
      </c>
      <c r="C38" s="98">
        <v>0.95</v>
      </c>
      <c r="D38" s="56">
        <v>3.1210547735760681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205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2.5000000000000001E-2</v>
      </c>
      <c r="E2" s="60">
        <f>food_insecure</f>
        <v>2.5000000000000001E-2</v>
      </c>
      <c r="F2" s="60">
        <f>food_insecure</f>
        <v>2.5000000000000001E-2</v>
      </c>
      <c r="G2" s="60">
        <f>food_insecure</f>
        <v>2.5000000000000001E-2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2.5000000000000001E-2</v>
      </c>
      <c r="I15" s="60">
        <f>food_insecure</f>
        <v>2.5000000000000001E-2</v>
      </c>
      <c r="J15" s="60">
        <f>food_insecure</f>
        <v>2.5000000000000001E-2</v>
      </c>
      <c r="K15" s="60">
        <f>food_insecure</f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0.40699999999999997</v>
      </c>
      <c r="M24" s="60">
        <f>famplan_unmet_need</f>
        <v>0.40699999999999997</v>
      </c>
      <c r="N24" s="60">
        <f>famplan_unmet_need</f>
        <v>0.40699999999999997</v>
      </c>
      <c r="O24" s="60">
        <f>famplan_unmet_need</f>
        <v>0.40699999999999997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0.10881454778502009</v>
      </c>
      <c r="G18" s="90">
        <f>MIN(MAX(1-0.89/(1-frac_sam_12_23months+(frac_sam_12_23months*0.89)),0),1)</f>
        <v>0.10942061309652396</v>
      </c>
      <c r="H18" s="90">
        <f>MIN(MAX(1-0.89/(1-frac_sam_24_59months+(frac_sam_24_59months*0.89)),0),1)</f>
        <v>0.10954585502925274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0.10665891416573181</v>
      </c>
      <c r="G20" s="90">
        <f>MIN(MAX(1-0.89/(1-frac_mam_12_23months+(frac_mam_12_23months*0.89)),0),1)</f>
        <v>0.10813628934926367</v>
      </c>
      <c r="H20" s="90">
        <f>MIN(MAX(1-0.89/(1-frac_mam_24_59months+(frac_mam_24_59months*0.89)),0),1)</f>
        <v>0.10863335487696402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9.8802677911431491E-3</v>
      </c>
      <c r="G73" s="90">
        <f>MIN(MAX(1-0.99/(1-frac_sam_12_23months+(frac_sam_12_23months*0.99)),0),1)</f>
        <v>9.9414449668795424E-3</v>
      </c>
      <c r="H73" s="90">
        <f>MIN(MAX(1-0.99/(1-frac_sam_24_59months+(frac_sam_24_59months*0.99)),0),1)</f>
        <v>9.9540965216852184E-3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9.6632865077493912E-3</v>
      </c>
      <c r="G75" s="90">
        <f>MIN(MAX(1-0.99/(1-frac_mam_12_23months+(frac_mam_12_23months*0.99)),0),1)</f>
        <v>9.8118929751204176E-3</v>
      </c>
      <c r="H75" s="90">
        <f>MIN(MAX(1-0.99/(1-frac_mam_24_59months+(frac_mam_24_59months*0.99)),0),1)</f>
        <v>9.8619925842504674E-3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0.19806047718649455</v>
      </c>
      <c r="G128" s="90">
        <f>MIN(MAX(1-0.8/(1-frac_sam_12_23months+(frac_sam_12_23months*0.8)),0),1)</f>
        <v>0.19905259134820208</v>
      </c>
      <c r="H128" s="90">
        <f>MIN(MAX(1-0.8/(1-frac_sam_24_59months+(frac_sam_24_59months*0.8)),0),1)</f>
        <v>0.19925747145327855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0.19452277095201831</v>
      </c>
      <c r="G130" s="90">
        <f>MIN(MAX(1-0.8/(1-frac_mam_12_23months+(frac_mam_12_23months*0.8)),0),1)</f>
        <v>0.19694887148128337</v>
      </c>
      <c r="H130" s="90">
        <f>MIN(MAX(1-0.8/(1-frac_mam_24_59months+(frac_mam_24_59months*0.8)),0),1)</f>
        <v>0.19776365387207995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2024-06-18T06:55:39Z</dcterms:modified>
</cp:coreProperties>
</file>