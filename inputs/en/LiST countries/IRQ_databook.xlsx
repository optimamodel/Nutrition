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5561989-9A86-48BB-BB75-9B1F9F7A1A5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3" i="2"/>
  <c r="A29" i="2"/>
  <c r="A25" i="2"/>
  <c r="A21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C33" i="1"/>
  <c r="C20" i="1"/>
  <c r="A35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20" i="2"/>
  <c r="A28" i="2"/>
  <c r="A36" i="2"/>
  <c r="A14" i="2"/>
  <c r="A22" i="2"/>
  <c r="A30" i="2"/>
  <c r="A38" i="2"/>
  <c r="A40" i="2"/>
  <c r="A15" i="2"/>
  <c r="A23" i="2"/>
  <c r="A31" i="2"/>
  <c r="A16" i="2"/>
  <c r="A24" i="2"/>
  <c r="A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<sst xmlns="http://schemas.openxmlformats.org/spreadsheetml/2006/main" count="2094" uniqueCount="341">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</sst>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5896681.375</v>
      </c>
    </row>
    <row r="8" spans="1:3" ht="15" customHeight="1" x14ac:dyDescent="0.25">
      <c r="B8" s="5" t="s">
        <v>8</v>
      </c>
      <c r="C8" s="44">
        <v>2.5000000000000001E-2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9.7699999999999995E-2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0.35959999999999998</v>
      </c>
    </row>
    <row r="26" spans="1:3" ht="15" customHeight="1" x14ac:dyDescent="0.25">
      <c r="B26" s="15" t="s">
        <v>24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14.07315</v>
      </c>
    </row>
    <row r="38" spans="1:5" ht="15" customHeight="1" x14ac:dyDescent="0.25">
      <c r="B38" s="11" t="s">
        <v>34</v>
      </c>
      <c r="C38" s="43">
        <v>20.749110000000002</v>
      </c>
      <c r="D38" s="12"/>
      <c r="E38" s="13"/>
    </row>
    <row r="39" spans="1:5" ht="15" customHeight="1" x14ac:dyDescent="0.25">
      <c r="B39" s="11" t="s">
        <v>35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7.5027000000000002E-3</v>
      </c>
      <c r="D45" s="12"/>
    </row>
    <row r="46" spans="1:5" ht="15.75" customHeight="1" x14ac:dyDescent="0.25">
      <c r="B46" s="11" t="s">
        <v>41</v>
      </c>
      <c r="C46" s="45">
        <v>8.0615500000000007E-2</v>
      </c>
      <c r="D46" s="12"/>
    </row>
    <row r="47" spans="1:5" ht="15.75" customHeight="1" x14ac:dyDescent="0.25">
      <c r="B47" s="11" t="s">
        <v>42</v>
      </c>
      <c r="C47" s="45">
        <v>7.3865899999999998E-2</v>
      </c>
      <c r="D47" s="12"/>
      <c r="E47" s="13"/>
    </row>
    <row r="48" spans="1:5" ht="15" customHeight="1" x14ac:dyDescent="0.25">
      <c r="B48" s="11" t="s">
        <v>43</v>
      </c>
      <c r="C48" s="46">
        <v>0.83801590000000004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0.57473999999999992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8.5402008540200851E-3</v>
      </c>
    </row>
    <row r="4" spans="1:8" ht="15.75" customHeight="1" x14ac:dyDescent="0.25">
      <c r="B4" s="19" t="s">
        <v>69</v>
      </c>
      <c r="C4" s="101">
        <v>3.9174803917480412E-2</v>
      </c>
    </row>
    <row r="5" spans="1:8" ht="15.75" customHeight="1" x14ac:dyDescent="0.25">
      <c r="B5" s="19" t="s">
        <v>70</v>
      </c>
      <c r="C5" s="101">
        <v>4.0943404094340358E-2</v>
      </c>
    </row>
    <row r="6" spans="1:8" ht="15.75" customHeight="1" x14ac:dyDescent="0.25">
      <c r="B6" s="19" t="s">
        <v>71</v>
      </c>
      <c r="C6" s="101">
        <v>0.1985424198542417</v>
      </c>
    </row>
    <row r="7" spans="1:8" ht="15.75" customHeight="1" x14ac:dyDescent="0.25">
      <c r="B7" s="19" t="s">
        <v>72</v>
      </c>
      <c r="C7" s="101">
        <v>0.46786794678679522</v>
      </c>
    </row>
    <row r="8" spans="1:8" ht="15.75" customHeight="1" x14ac:dyDescent="0.25">
      <c r="B8" s="19" t="s">
        <v>73</v>
      </c>
      <c r="C8" s="101">
        <v>1.280800128080012E-3</v>
      </c>
    </row>
    <row r="9" spans="1:8" ht="15.75" customHeight="1" x14ac:dyDescent="0.25">
      <c r="B9" s="19" t="s">
        <v>74</v>
      </c>
      <c r="C9" s="101">
        <v>0.1650498165049816</v>
      </c>
    </row>
    <row r="10" spans="1:8" ht="15.75" customHeight="1" x14ac:dyDescent="0.25">
      <c r="B10" s="19" t="s">
        <v>75</v>
      </c>
      <c r="C10" s="101">
        <v>7.8600607860060706E-2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82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83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84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89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7.1492997000000003E-2</v>
      </c>
    </row>
    <row r="27" spans="1:8" ht="15.75" customHeight="1" x14ac:dyDescent="0.25">
      <c r="B27" s="19" t="s">
        <v>92</v>
      </c>
      <c r="C27" s="101">
        <v>2.4622926999999999E-2</v>
      </c>
    </row>
    <row r="28" spans="1:8" ht="15.75" customHeight="1" x14ac:dyDescent="0.25">
      <c r="B28" s="19" t="s">
        <v>93</v>
      </c>
      <c r="C28" s="101">
        <v>0.300465973</v>
      </c>
    </row>
    <row r="29" spans="1:8" ht="15.75" customHeight="1" x14ac:dyDescent="0.25">
      <c r="B29" s="19" t="s">
        <v>94</v>
      </c>
      <c r="C29" s="101">
        <v>0.10581837400000001</v>
      </c>
    </row>
    <row r="30" spans="1:8" ht="15.75" customHeight="1" x14ac:dyDescent="0.25">
      <c r="B30" s="19" t="s">
        <v>95</v>
      </c>
      <c r="C30" s="101">
        <v>3.6280391000000002E-2</v>
      </c>
    </row>
    <row r="31" spans="1:8" ht="15.75" customHeight="1" x14ac:dyDescent="0.25">
      <c r="B31" s="19" t="s">
        <v>96</v>
      </c>
      <c r="C31" s="101">
        <v>4.1639915E-2</v>
      </c>
    </row>
    <row r="32" spans="1:8" ht="15.75" customHeight="1" x14ac:dyDescent="0.25">
      <c r="B32" s="19" t="s">
        <v>97</v>
      </c>
      <c r="C32" s="101">
        <v>9.9941725999999995E-2</v>
      </c>
    </row>
    <row r="33" spans="2:3" ht="15.75" customHeight="1" x14ac:dyDescent="0.25">
      <c r="B33" s="19" t="s">
        <v>98</v>
      </c>
      <c r="C33" s="101">
        <v>9.6583884999999994E-2</v>
      </c>
    </row>
    <row r="34" spans="2:3" ht="15.75" customHeight="1" x14ac:dyDescent="0.25">
      <c r="B34" s="19" t="s">
        <v>99</v>
      </c>
      <c r="C34" s="101">
        <v>0.22315381200000001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104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109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110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122</v>
      </c>
      <c r="C5" s="52">
        <v>9.8831699999999995E-2</v>
      </c>
      <c r="D5" s="52">
        <v>0.26284239999999998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60.999124309244628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0.37637351333082802</v>
      </c>
      <c r="C3" s="98">
        <v>0.95</v>
      </c>
      <c r="D3" s="56">
        <v>39.946692681048077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460.96006935232163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1.1116611428744601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13.078992124843991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13.078992124843991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13.078992124843991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13.078992124843991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13.078992124843991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13.078992124843991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0.73</v>
      </c>
      <c r="C16" s="98">
        <v>0.95</v>
      </c>
      <c r="D16" s="56">
        <v>0.78575792473933481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0.45184999999999997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0.30407319606886202</v>
      </c>
      <c r="C18" s="98">
        <v>0.95</v>
      </c>
      <c r="D18" s="56">
        <v>10.612768372685171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0.98498779999999997</v>
      </c>
      <c r="C19" s="98">
        <v>0.95</v>
      </c>
      <c r="D19" s="56">
        <v>10.612768372685171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0.83547650000000007</v>
      </c>
      <c r="C21" s="98">
        <v>0.95</v>
      </c>
      <c r="D21" s="56">
        <v>14.651964526226051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22.60519511135972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4.3210955878812296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0.83576336365205195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18.641046941214839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0.70069243590474695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120.4259539033133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2.2583380955776229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1.694013274674657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0.44582569999999999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0.25434099999999998</v>
      </c>
      <c r="C38" s="98">
        <v>0.95</v>
      </c>
      <c r="D38" s="56">
        <v>3.1210547735760681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205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2.5000000000000001E-2</v>
      </c>
      <c r="E2" s="60">
        <f>food_insecure</f>
        <v>2.5000000000000001E-2</v>
      </c>
      <c r="F2" s="60">
        <f>food_insecure</f>
        <v>2.5000000000000001E-2</v>
      </c>
      <c r="G2" s="60">
        <f>food_insecure</f>
        <v>2.5000000000000001E-2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2.5000000000000001E-2</v>
      </c>
      <c r="I15" s="60">
        <f>food_insecure</f>
        <v>2.5000000000000001E-2</v>
      </c>
      <c r="J15" s="60">
        <f>food_insecure</f>
        <v>2.5000000000000001E-2</v>
      </c>
      <c r="K15" s="60">
        <f>food_insecure</f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0.40699999999999997</v>
      </c>
      <c r="M24" s="60">
        <f>famplan_unmet_need</f>
        <v>0.40699999999999997</v>
      </c>
      <c r="N24" s="60">
        <f>famplan_unmet_need</f>
        <v>0.40699999999999997</v>
      </c>
      <c r="O24" s="60">
        <f>famplan_unmet_need</f>
        <v>0.40699999999999997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0D1B99-B6AB-49E4-B727-E418F1696112}"/>
</file>

<file path=customXml/itemProps2.xml><?xml version="1.0" encoding="utf-8"?>
<ds:datastoreItem xmlns:ds="http://schemas.openxmlformats.org/officeDocument/2006/customXml" ds:itemID="{B6E1E870-162E-4227-A299-02C57DACDE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2024-04-11T00:40:52Z</dcterms:modified>
</cp:coreProperties>
</file>