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88BEA86-357E-45A0-8C41-5A7E2C8EEE3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38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<sst xmlns="http://schemas.openxmlformats.org/spreadsheetml/2006/main" count="2103" uniqueCount="341">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</sst>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1104076.8046875</v>
      </c>
    </row>
    <row r="8" spans="1:3" ht="15" customHeight="1" x14ac:dyDescent="0.25">
      <c r="B8" s="5" t="s">
        <v>8</v>
      </c>
      <c r="C8" s="44">
        <v>0.66299999999999992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9.845620155334471E-2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9">
        <v>7.7568108542825601E-2</v>
      </c>
    </row>
    <row r="31" spans="1:3" ht="14.25" customHeight="1" x14ac:dyDescent="0.25">
      <c r="B31" s="25" t="s">
        <v>28</v>
      </c>
      <c r="C31" s="99">
        <v>0.12339958874324899</v>
      </c>
    </row>
    <row r="32" spans="1:3" ht="14.25" customHeight="1" x14ac:dyDescent="0.25">
      <c r="B32" s="25" t="s">
        <v>29</v>
      </c>
      <c r="C32" s="99">
        <v>0.58066738758472702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100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250590</v>
      </c>
      <c r="C2" s="49">
        <v>440245.5</v>
      </c>
      <c r="D2" s="49">
        <v>516756.00000000012</v>
      </c>
      <c r="E2" s="49">
        <v>268176</v>
      </c>
      <c r="F2" s="49">
        <v>140025</v>
      </c>
      <c r="G2" s="17">
        <f t="shared" ref="G2:G13" si="0">C2+D2+E2+F2</f>
        <v>1365202.5</v>
      </c>
      <c r="H2" s="17">
        <f t="shared" ref="H2:H13" si="1">(B2 + stillbirth*B2/(1000-stillbirth))/(1-abortion)</f>
        <v>292446.2065631898</v>
      </c>
      <c r="I2" s="17">
        <f t="shared" ref="I2:I13" si="2">G2-H2</f>
        <v>1072756.2934368101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257884</v>
      </c>
      <c r="C3" s="50">
        <v>453375.99999999988</v>
      </c>
      <c r="D3" s="50">
        <v>541329</v>
      </c>
      <c r="E3" s="50">
        <v>282306</v>
      </c>
      <c r="F3" s="50">
        <v>144412</v>
      </c>
      <c r="G3" s="17">
        <f t="shared" si="0"/>
        <v>1421423</v>
      </c>
      <c r="H3" s="17">
        <f t="shared" si="1"/>
        <v>300958.52800726943</v>
      </c>
      <c r="I3" s="17">
        <f t="shared" si="2"/>
        <v>1120464.4719927306</v>
      </c>
    </row>
    <row r="4" spans="1:9" ht="15.75" customHeight="1" x14ac:dyDescent="0.25">
      <c r="A4" s="5">
        <f t="shared" si="3"/>
        <v>2026</v>
      </c>
      <c r="B4" s="49">
        <v>265163</v>
      </c>
      <c r="C4" s="50">
        <v>465772.50000000012</v>
      </c>
      <c r="D4" s="50">
        <v>565792.5</v>
      </c>
      <c r="E4" s="50">
        <v>298411</v>
      </c>
      <c r="F4" s="50">
        <v>149645</v>
      </c>
      <c r="G4" s="17">
        <f t="shared" si="0"/>
        <v>1479621</v>
      </c>
      <c r="H4" s="17">
        <f t="shared" si="1"/>
        <v>309453.34399183968</v>
      </c>
      <c r="I4" s="17">
        <f t="shared" si="2"/>
        <v>1170167.6560081602</v>
      </c>
    </row>
    <row r="5" spans="1:9" ht="15.75" customHeight="1" x14ac:dyDescent="0.25">
      <c r="A5" s="5">
        <f t="shared" si="3"/>
        <v>2027</v>
      </c>
      <c r="B5" s="49">
        <v>271467</v>
      </c>
      <c r="C5" s="50">
        <v>476720.5</v>
      </c>
      <c r="D5" s="50">
        <v>590066.5</v>
      </c>
      <c r="E5" s="50">
        <v>316086</v>
      </c>
      <c r="F5" s="50">
        <v>155352</v>
      </c>
      <c r="G5" s="17">
        <f t="shared" si="0"/>
        <v>1538225</v>
      </c>
      <c r="H5" s="17">
        <f t="shared" si="1"/>
        <v>316810.30510830221</v>
      </c>
      <c r="I5" s="17">
        <f t="shared" si="2"/>
        <v>1221414.6948916977</v>
      </c>
    </row>
    <row r="6" spans="1:9" ht="15.75" customHeight="1" x14ac:dyDescent="0.25">
      <c r="A6" s="5">
        <f t="shared" si="3"/>
        <v>2028</v>
      </c>
      <c r="B6" s="49">
        <v>277414</v>
      </c>
      <c r="C6" s="50">
        <v>485892.5</v>
      </c>
      <c r="D6" s="50">
        <v>613889</v>
      </c>
      <c r="E6" s="50">
        <v>335375.5</v>
      </c>
      <c r="F6" s="50">
        <v>161568</v>
      </c>
      <c r="G6" s="17">
        <f t="shared" si="0"/>
        <v>1596725</v>
      </c>
      <c r="H6" s="17">
        <f t="shared" si="1"/>
        <v>323750.63628844224</v>
      </c>
      <c r="I6" s="17">
        <f t="shared" si="2"/>
        <v>1272974.3637115578</v>
      </c>
    </row>
    <row r="7" spans="1:9" ht="15.75" customHeight="1" x14ac:dyDescent="0.25">
      <c r="A7" s="5">
        <f t="shared" si="3"/>
        <v>2029</v>
      </c>
      <c r="B7" s="49">
        <v>282558</v>
      </c>
      <c r="C7" s="50">
        <v>492599.50000000012</v>
      </c>
      <c r="D7" s="50">
        <v>637158</v>
      </c>
      <c r="E7" s="50">
        <v>356603.5</v>
      </c>
      <c r="F7" s="50">
        <v>168161</v>
      </c>
      <c r="G7" s="17">
        <f t="shared" si="0"/>
        <v>1654522</v>
      </c>
      <c r="H7" s="17">
        <f t="shared" si="1"/>
        <v>329753.84186951513</v>
      </c>
      <c r="I7" s="17">
        <f t="shared" si="2"/>
        <v>1324768.1581304849</v>
      </c>
    </row>
    <row r="8" spans="1:9" ht="15.75" customHeight="1" x14ac:dyDescent="0.25">
      <c r="A8" s="5">
        <f t="shared" si="3"/>
        <v>2030</v>
      </c>
      <c r="B8" s="49">
        <v>286767</v>
      </c>
      <c r="C8" s="50">
        <v>497756.5</v>
      </c>
      <c r="D8" s="50">
        <v>659897</v>
      </c>
      <c r="E8" s="50">
        <v>379597</v>
      </c>
      <c r="F8" s="50">
        <v>174975</v>
      </c>
      <c r="G8" s="17">
        <f t="shared" si="0"/>
        <v>1712225.5</v>
      </c>
      <c r="H8" s="17">
        <f t="shared" si="1"/>
        <v>334665.87380783854</v>
      </c>
      <c r="I8" s="17">
        <f t="shared" si="2"/>
        <v>1377559.6261921613</v>
      </c>
    </row>
    <row r="9" spans="1:9" ht="15.75" customHeight="1" x14ac:dyDescent="0.25">
      <c r="A9" s="5">
        <f t="shared" si="3"/>
        <v>2031</v>
      </c>
      <c r="B9" s="49">
        <v>290502</v>
      </c>
      <c r="C9" s="50">
        <v>503479.5</v>
      </c>
      <c r="D9" s="50">
        <v>682319.5</v>
      </c>
      <c r="E9" s="50">
        <v>403655.5</v>
      </c>
      <c r="F9" s="50">
        <v>182270.5</v>
      </c>
      <c r="G9" s="17">
        <f t="shared" si="0"/>
        <v>1771725</v>
      </c>
      <c r="H9" s="17">
        <f t="shared" si="1"/>
        <v>339024.73322566651</v>
      </c>
      <c r="I9" s="17">
        <f t="shared" si="2"/>
        <v>1432700.2667743335</v>
      </c>
    </row>
    <row r="10" spans="1:9" ht="15.75" customHeight="1" x14ac:dyDescent="0.25">
      <c r="A10" s="5">
        <f t="shared" si="3"/>
        <v>2032</v>
      </c>
      <c r="B10" s="49">
        <v>293644</v>
      </c>
      <c r="C10" s="50">
        <v>510629.50000000012</v>
      </c>
      <c r="D10" s="50">
        <v>704210</v>
      </c>
      <c r="E10" s="50">
        <v>428171</v>
      </c>
      <c r="F10" s="50">
        <v>190366</v>
      </c>
      <c r="G10" s="17">
        <f t="shared" si="0"/>
        <v>1833376.5</v>
      </c>
      <c r="H10" s="17">
        <f t="shared" si="1"/>
        <v>342691.54347755824</v>
      </c>
      <c r="I10" s="17">
        <f t="shared" si="2"/>
        <v>1490684.9565224417</v>
      </c>
    </row>
    <row r="11" spans="1:9" ht="15.75" customHeight="1" x14ac:dyDescent="0.25">
      <c r="A11" s="5">
        <f t="shared" si="3"/>
        <v>2033</v>
      </c>
      <c r="B11" s="49">
        <v>297223</v>
      </c>
      <c r="C11" s="50">
        <v>519900.00000000012</v>
      </c>
      <c r="D11" s="50">
        <v>724364</v>
      </c>
      <c r="E11" s="50">
        <v>453212.99999999988</v>
      </c>
      <c r="F11" s="50">
        <v>199372.5</v>
      </c>
      <c r="G11" s="17">
        <f t="shared" si="0"/>
        <v>1896849.5</v>
      </c>
      <c r="H11" s="17">
        <f t="shared" si="1"/>
        <v>346868.34611648897</v>
      </c>
      <c r="I11" s="17">
        <f t="shared" si="2"/>
        <v>1549981.153883511</v>
      </c>
    </row>
    <row r="12" spans="1:9" ht="15.75" customHeight="1" x14ac:dyDescent="0.25">
      <c r="A12" s="5">
        <f t="shared" si="3"/>
        <v>2034</v>
      </c>
      <c r="B12" s="49">
        <v>300095</v>
      </c>
      <c r="C12" s="50">
        <v>531908.5</v>
      </c>
      <c r="D12" s="50">
        <v>742425.5</v>
      </c>
      <c r="E12" s="50">
        <v>478382</v>
      </c>
      <c r="F12" s="50">
        <v>209399</v>
      </c>
      <c r="G12" s="17">
        <f t="shared" si="0"/>
        <v>1962115</v>
      </c>
      <c r="H12" s="17">
        <f t="shared" si="1"/>
        <v>350220.0580972124</v>
      </c>
      <c r="I12" s="17">
        <f t="shared" si="2"/>
        <v>1611894.9419027877</v>
      </c>
    </row>
    <row r="13" spans="1:9" ht="15.75" customHeight="1" x14ac:dyDescent="0.25">
      <c r="A13" s="5">
        <f t="shared" si="3"/>
        <v>2035</v>
      </c>
      <c r="B13" s="49">
        <v>302341</v>
      </c>
      <c r="C13" s="50">
        <v>547922</v>
      </c>
      <c r="D13" s="50">
        <v>758124.00000000012</v>
      </c>
      <c r="E13" s="50">
        <v>503018</v>
      </c>
      <c r="F13" s="50">
        <v>220685.5</v>
      </c>
      <c r="G13" s="17">
        <f t="shared" si="0"/>
        <v>2029749.5</v>
      </c>
      <c r="H13" s="17">
        <f t="shared" si="1"/>
        <v>352841.20890107891</v>
      </c>
      <c r="I13" s="17">
        <f t="shared" si="2"/>
        <v>1676908.2910989211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101">
        <v>7.0187992981200861E-2</v>
      </c>
    </row>
    <row r="5" spans="1:8" ht="15.75" customHeight="1" x14ac:dyDescent="0.25">
      <c r="B5" s="19" t="s">
        <v>70</v>
      </c>
      <c r="C5" s="101">
        <v>0.1133985886601412</v>
      </c>
    </row>
    <row r="6" spans="1:8" ht="15.75" customHeight="1" x14ac:dyDescent="0.25">
      <c r="B6" s="19" t="s">
        <v>71</v>
      </c>
      <c r="C6" s="101">
        <v>0.24461647553835281</v>
      </c>
    </row>
    <row r="7" spans="1:8" ht="15.75" customHeight="1" x14ac:dyDescent="0.25">
      <c r="B7" s="19" t="s">
        <v>72</v>
      </c>
      <c r="C7" s="101">
        <v>0.38315536168446312</v>
      </c>
    </row>
    <row r="8" spans="1:8" ht="15.75" customHeight="1" x14ac:dyDescent="0.25">
      <c r="B8" s="19" t="s">
        <v>73</v>
      </c>
      <c r="C8" s="101">
        <v>1.542919845708019E-2</v>
      </c>
    </row>
    <row r="9" spans="1:8" ht="15.75" customHeight="1" x14ac:dyDescent="0.25">
      <c r="B9" s="19" t="s">
        <v>74</v>
      </c>
      <c r="C9" s="101">
        <v>4.0559195944080341E-2</v>
      </c>
    </row>
    <row r="10" spans="1:8" ht="15.75" customHeight="1" x14ac:dyDescent="0.25">
      <c r="B10" s="19" t="s">
        <v>75</v>
      </c>
      <c r="C10" s="101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83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84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85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86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87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88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89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101">
        <v>8.5227879999999999E-3</v>
      </c>
    </row>
    <row r="28" spans="1:8" ht="15.75" customHeight="1" x14ac:dyDescent="0.25">
      <c r="B28" s="19" t="s">
        <v>93</v>
      </c>
      <c r="C28" s="101">
        <v>0.151297399</v>
      </c>
    </row>
    <row r="29" spans="1:8" ht="15.75" customHeight="1" x14ac:dyDescent="0.25">
      <c r="B29" s="19" t="s">
        <v>94</v>
      </c>
      <c r="C29" s="101">
        <v>0.16589246799999999</v>
      </c>
    </row>
    <row r="30" spans="1:8" ht="15.75" customHeight="1" x14ac:dyDescent="0.25">
      <c r="B30" s="19" t="s">
        <v>95</v>
      </c>
      <c r="C30" s="101">
        <v>0.10344083900000001</v>
      </c>
    </row>
    <row r="31" spans="1:8" ht="15.75" customHeight="1" x14ac:dyDescent="0.25">
      <c r="B31" s="19" t="s">
        <v>96</v>
      </c>
      <c r="C31" s="101">
        <v>0.10754699400000001</v>
      </c>
    </row>
    <row r="32" spans="1:8" ht="15.75" customHeight="1" x14ac:dyDescent="0.25">
      <c r="B32" s="19" t="s">
        <v>97</v>
      </c>
      <c r="C32" s="101">
        <v>1.8445415E-2</v>
      </c>
    </row>
    <row r="33" spans="2:3" ht="15.75" customHeight="1" x14ac:dyDescent="0.25">
      <c r="B33" s="19" t="s">
        <v>98</v>
      </c>
      <c r="C33" s="101">
        <v>8.3029338999999994E-2</v>
      </c>
    </row>
    <row r="34" spans="2:3" ht="15.75" customHeight="1" x14ac:dyDescent="0.25">
      <c r="B34" s="19" t="s">
        <v>99</v>
      </c>
      <c r="C34" s="101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34.034762035053411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54.620859337665578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38.221317431768732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0.1238331639462925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17.30460856515991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17.30460856515991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17.30460856515991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17.30460856515991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17.30460856515991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17.30460856515991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0.59670389999999995</v>
      </c>
      <c r="C16" s="98">
        <v>0.95</v>
      </c>
      <c r="D16" s="56">
        <v>0.23067217612567081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0.3043807</v>
      </c>
      <c r="C18" s="98">
        <v>0.95</v>
      </c>
      <c r="D18" s="56">
        <v>0.99436129525469097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0.3043807</v>
      </c>
      <c r="C19" s="98">
        <v>0.95</v>
      </c>
      <c r="D19" s="56">
        <v>0.99436129525469097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1.066205212290068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29.45962320280529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0.60746149999999999</v>
      </c>
      <c r="C23" s="98">
        <v>0.95</v>
      </c>
      <c r="D23" s="56">
        <v>5.6236363581689766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0.35289840412538298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25.024511947401859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0.2339136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9.1486800000000007E-2</v>
      </c>
      <c r="C29" s="98">
        <v>0.95</v>
      </c>
      <c r="D29" s="56">
        <v>58.883846304768888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0.17560000000000001</v>
      </c>
      <c r="C31" s="98">
        <v>0.95</v>
      </c>
      <c r="D31" s="56">
        <v>1.226522058081233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</v>
      </c>
      <c r="C32" s="98">
        <v>0.95</v>
      </c>
      <c r="D32" s="56">
        <v>0.41624618403907598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0.22176409999999999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0.46673049999999999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3.8961999999999998E-3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0.13799710000000001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0.12971460000000001</v>
      </c>
      <c r="C38" s="98">
        <v>0.95</v>
      </c>
      <c r="D38" s="56">
        <v>7.7139026016212213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205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0.10816767876975786</v>
      </c>
      <c r="G18" s="90">
        <f>MIN(MAX(1-0.89/(1-frac_sam_12_23months+(frac_sam_12_23months*0.89)),0),1)</f>
        <v>0.1079384743602152</v>
      </c>
      <c r="H18" s="90">
        <f>MIN(MAX(1-0.89/(1-frac_sam_24_59months+(frac_sam_24_59months*0.89)),0),1)</f>
        <v>0.10901422135337735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0.10296934462643992</v>
      </c>
      <c r="G20" s="90">
        <f>MIN(MAX(1-0.89/(1-frac_mam_12_23months+(frac_mam_12_23months*0.89)),0),1)</f>
        <v>0.1046997617089005</v>
      </c>
      <c r="H20" s="90">
        <f>MIN(MAX(1-0.89/(1-frac_mam_24_59months+(frac_mam_24_59months*0.89)),0),1)</f>
        <v>0.10721170520007317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9.815055236386927E-3</v>
      </c>
      <c r="G73" s="90">
        <f>MIN(MAX(1-0.99/(1-frac_sam_12_23months+(frac_sam_12_23months*0.99)),0),1)</f>
        <v>9.7919691752200722E-3</v>
      </c>
      <c r="H73" s="90">
        <f>MIN(MAX(1-0.99/(1-frac_sam_24_59months+(frac_sam_24_59months*0.99)),0),1)</f>
        <v>9.9004147936203601E-3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9.2941042165481935E-3</v>
      </c>
      <c r="G75" s="90">
        <f>MIN(MAX(1-0.99/(1-frac_mam_12_23months+(frac_mam_12_23months*0.99)),0),1)</f>
        <v>9.4669069757314928E-3</v>
      </c>
      <c r="H75" s="90">
        <f>MIN(MAX(1-0.99/(1-frac_mam_24_59months+(frac_mam_24_59months*0.99)),0),1)</f>
        <v>9.7188383823122448E-3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0.19700034661480037</v>
      </c>
      <c r="G128" s="90">
        <f>MIN(MAX(1-0.8/(1-frac_sam_12_23months+(frac_sam_12_23months*0.8)),0),1)</f>
        <v>0.19662440857497387</v>
      </c>
      <c r="H128" s="90">
        <f>MIN(MAX(1-0.8/(1-frac_sam_24_59months+(frac_sam_24_59months*0.8)),0),1)</f>
        <v>0.19838746018265263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0.18843490523618145</v>
      </c>
      <c r="G130" s="90">
        <f>MIN(MAX(1-0.8/(1-frac_mam_12_23months+(frac_mam_12_23months*0.8)),0),1)</f>
        <v>0.19129529666240297</v>
      </c>
      <c r="H130" s="90">
        <f>MIN(MAX(1-0.8/(1-frac_mam_24_59months+(frac_mam_24_59months*0.8)),0),1)</f>
        <v>0.19543132112248829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2024-06-18T06:54:32Z</dcterms:modified>
</cp:coreProperties>
</file>