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85A0CDA-8CA7-4F3D-A97E-DFBE5E50EDDA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<sst xmlns="http://schemas.openxmlformats.org/spreadsheetml/2006/main" count="2102" uniqueCount="341">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</sst>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1104076.8046875</v>
      </c>
    </row>
    <row r="8" spans="1:3" ht="15" customHeight="1" x14ac:dyDescent="0.25">
      <c r="B8" s="5" t="s">
        <v>8</v>
      </c>
      <c r="C8" s="44">
        <v>0.66299999999999992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9.845620155334471E-2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0.10979999999999999</v>
      </c>
    </row>
    <row r="24" spans="1:3" ht="15" customHeight="1" x14ac:dyDescent="0.25">
      <c r="B24" s="15" t="s">
        <v>22</v>
      </c>
      <c r="C24" s="45">
        <v>0.4572</v>
      </c>
    </row>
    <row r="25" spans="1:3" ht="15" customHeight="1" x14ac:dyDescent="0.25">
      <c r="B25" s="15" t="s">
        <v>23</v>
      </c>
      <c r="C25" s="45">
        <v>0.30830000000000002</v>
      </c>
    </row>
    <row r="26" spans="1:3" ht="15" customHeight="1" x14ac:dyDescent="0.25">
      <c r="B26" s="15" t="s">
        <v>24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0.21836491512919801</v>
      </c>
    </row>
    <row r="30" spans="1:3" ht="14.25" customHeight="1" x14ac:dyDescent="0.25">
      <c r="B30" s="25" t="s">
        <v>27</v>
      </c>
      <c r="C30" s="99">
        <v>7.7568108542825601E-2</v>
      </c>
    </row>
    <row r="31" spans="1:3" ht="14.25" customHeight="1" x14ac:dyDescent="0.25">
      <c r="B31" s="25" t="s">
        <v>28</v>
      </c>
      <c r="C31" s="99">
        <v>0.12339958874324899</v>
      </c>
    </row>
    <row r="32" spans="1:3" ht="14.25" customHeight="1" x14ac:dyDescent="0.25">
      <c r="B32" s="25" t="s">
        <v>29</v>
      </c>
      <c r="C32" s="99">
        <v>0.58066738758472702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31.912410000000001</v>
      </c>
    </row>
    <row r="38" spans="1:5" ht="15" customHeight="1" x14ac:dyDescent="0.25">
      <c r="B38" s="11" t="s">
        <v>34</v>
      </c>
      <c r="C38" s="43">
        <v>75.422229999999999</v>
      </c>
      <c r="D38" s="12"/>
      <c r="E38" s="13"/>
    </row>
    <row r="39" spans="1:5" ht="15" customHeight="1" x14ac:dyDescent="0.25">
      <c r="B39" s="11" t="s">
        <v>35</v>
      </c>
      <c r="C39" s="43">
        <v>99.916079999999994</v>
      </c>
      <c r="D39" s="12"/>
      <c r="E39" s="12"/>
    </row>
    <row r="40" spans="1:5" ht="15" customHeight="1" x14ac:dyDescent="0.25">
      <c r="B40" s="11" t="s">
        <v>36</v>
      </c>
      <c r="C40" s="100">
        <v>8.35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7.9225000000000007E-3</v>
      </c>
      <c r="D45" s="12"/>
    </row>
    <row r="46" spans="1:5" ht="15.75" customHeight="1" x14ac:dyDescent="0.25">
      <c r="B46" s="11" t="s">
        <v>41</v>
      </c>
      <c r="C46" s="45">
        <v>8.512610000000001E-2</v>
      </c>
      <c r="D46" s="12"/>
    </row>
    <row r="47" spans="1:5" ht="15.75" customHeight="1" x14ac:dyDescent="0.25">
      <c r="B47" s="11" t="s">
        <v>42</v>
      </c>
      <c r="C47" s="45">
        <v>7.3466500000000004E-2</v>
      </c>
      <c r="D47" s="12"/>
      <c r="E47" s="13"/>
    </row>
    <row r="48" spans="1:5" ht="15" customHeight="1" x14ac:dyDescent="0.25">
      <c r="B48" s="11" t="s">
        <v>43</v>
      </c>
      <c r="C48" s="46">
        <v>0.83348489999999997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0.44318700000000011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250590</v>
      </c>
      <c r="C2" s="49">
        <v>440245.5</v>
      </c>
      <c r="D2" s="49">
        <v>516756.00000000012</v>
      </c>
      <c r="E2" s="49">
        <v>268176</v>
      </c>
      <c r="F2" s="49">
        <v>140025</v>
      </c>
      <c r="G2" s="17">
        <f t="shared" ref="G2:G13" si="0">C2+D2+E2+F2</f>
        <v>1365202.5</v>
      </c>
      <c r="H2" s="17">
        <f t="shared" ref="H2:H13" si="1">(B2 + stillbirth*B2/(1000-stillbirth))/(1-abortion)</f>
        <v>292446.2065631898</v>
      </c>
      <c r="I2" s="17">
        <f t="shared" ref="I2:I13" si="2">G2-H2</f>
        <v>1072756.2934368101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257884</v>
      </c>
      <c r="C3" s="50">
        <v>453375.99999999988</v>
      </c>
      <c r="D3" s="50">
        <v>541329</v>
      </c>
      <c r="E3" s="50">
        <v>282306</v>
      </c>
      <c r="F3" s="50">
        <v>144412</v>
      </c>
      <c r="G3" s="17">
        <f t="shared" si="0"/>
        <v>1421423</v>
      </c>
      <c r="H3" s="17">
        <f t="shared" si="1"/>
        <v>300958.52800726943</v>
      </c>
      <c r="I3" s="17">
        <f t="shared" si="2"/>
        <v>1120464.4719927306</v>
      </c>
    </row>
    <row r="4" spans="1:9" ht="15.75" customHeight="1" x14ac:dyDescent="0.25">
      <c r="A4" s="5">
        <f t="shared" si="3"/>
        <v>2026</v>
      </c>
      <c r="B4" s="49">
        <v>265163</v>
      </c>
      <c r="C4" s="50">
        <v>465772.50000000012</v>
      </c>
      <c r="D4" s="50">
        <v>565792.5</v>
      </c>
      <c r="E4" s="50">
        <v>298411</v>
      </c>
      <c r="F4" s="50">
        <v>149645</v>
      </c>
      <c r="G4" s="17">
        <f t="shared" si="0"/>
        <v>1479621</v>
      </c>
      <c r="H4" s="17">
        <f t="shared" si="1"/>
        <v>309453.34399183968</v>
      </c>
      <c r="I4" s="17">
        <f t="shared" si="2"/>
        <v>1170167.6560081602</v>
      </c>
    </row>
    <row r="5" spans="1:9" ht="15.75" customHeight="1" x14ac:dyDescent="0.25">
      <c r="A5" s="5">
        <f t="shared" si="3"/>
        <v>2027</v>
      </c>
      <c r="B5" s="49">
        <v>271467</v>
      </c>
      <c r="C5" s="50">
        <v>476720.5</v>
      </c>
      <c r="D5" s="50">
        <v>590066.5</v>
      </c>
      <c r="E5" s="50">
        <v>316086</v>
      </c>
      <c r="F5" s="50">
        <v>155352</v>
      </c>
      <c r="G5" s="17">
        <f t="shared" si="0"/>
        <v>1538225</v>
      </c>
      <c r="H5" s="17">
        <f t="shared" si="1"/>
        <v>316810.30510830221</v>
      </c>
      <c r="I5" s="17">
        <f t="shared" si="2"/>
        <v>1221414.6948916977</v>
      </c>
    </row>
    <row r="6" spans="1:9" ht="15.75" customHeight="1" x14ac:dyDescent="0.25">
      <c r="A6" s="5">
        <f t="shared" si="3"/>
        <v>2028</v>
      </c>
      <c r="B6" s="49">
        <v>277414</v>
      </c>
      <c r="C6" s="50">
        <v>485892.5</v>
      </c>
      <c r="D6" s="50">
        <v>613889</v>
      </c>
      <c r="E6" s="50">
        <v>335375.5</v>
      </c>
      <c r="F6" s="50">
        <v>161568</v>
      </c>
      <c r="G6" s="17">
        <f t="shared" si="0"/>
        <v>1596725</v>
      </c>
      <c r="H6" s="17">
        <f t="shared" si="1"/>
        <v>323750.63628844224</v>
      </c>
      <c r="I6" s="17">
        <f t="shared" si="2"/>
        <v>1272974.3637115578</v>
      </c>
    </row>
    <row r="7" spans="1:9" ht="15.75" customHeight="1" x14ac:dyDescent="0.25">
      <c r="A7" s="5">
        <f t="shared" si="3"/>
        <v>2029</v>
      </c>
      <c r="B7" s="49">
        <v>282558</v>
      </c>
      <c r="C7" s="50">
        <v>492599.50000000012</v>
      </c>
      <c r="D7" s="50">
        <v>637158</v>
      </c>
      <c r="E7" s="50">
        <v>356603.5</v>
      </c>
      <c r="F7" s="50">
        <v>168161</v>
      </c>
      <c r="G7" s="17">
        <f t="shared" si="0"/>
        <v>1654522</v>
      </c>
      <c r="H7" s="17">
        <f t="shared" si="1"/>
        <v>329753.84186951513</v>
      </c>
      <c r="I7" s="17">
        <f t="shared" si="2"/>
        <v>1324768.1581304849</v>
      </c>
    </row>
    <row r="8" spans="1:9" ht="15.75" customHeight="1" x14ac:dyDescent="0.25">
      <c r="A8" s="5">
        <f t="shared" si="3"/>
        <v>2030</v>
      </c>
      <c r="B8" s="49">
        <v>286767</v>
      </c>
      <c r="C8" s="50">
        <v>497756.5</v>
      </c>
      <c r="D8" s="50">
        <v>659897</v>
      </c>
      <c r="E8" s="50">
        <v>379597</v>
      </c>
      <c r="F8" s="50">
        <v>174975</v>
      </c>
      <c r="G8" s="17">
        <f t="shared" si="0"/>
        <v>1712225.5</v>
      </c>
      <c r="H8" s="17">
        <f t="shared" si="1"/>
        <v>334665.87380783854</v>
      </c>
      <c r="I8" s="17">
        <f t="shared" si="2"/>
        <v>1377559.6261921613</v>
      </c>
    </row>
    <row r="9" spans="1:9" ht="15.75" customHeight="1" x14ac:dyDescent="0.25">
      <c r="A9" s="5">
        <f t="shared" si="3"/>
        <v>2031</v>
      </c>
      <c r="B9" s="49">
        <v>290502</v>
      </c>
      <c r="C9" s="50">
        <v>503479.5</v>
      </c>
      <c r="D9" s="50">
        <v>682319.5</v>
      </c>
      <c r="E9" s="50">
        <v>403655.5</v>
      </c>
      <c r="F9" s="50">
        <v>182270.5</v>
      </c>
      <c r="G9" s="17">
        <f t="shared" si="0"/>
        <v>1771725</v>
      </c>
      <c r="H9" s="17">
        <f t="shared" si="1"/>
        <v>339024.73322566651</v>
      </c>
      <c r="I9" s="17">
        <f t="shared" si="2"/>
        <v>1432700.2667743335</v>
      </c>
    </row>
    <row r="10" spans="1:9" ht="15.75" customHeight="1" x14ac:dyDescent="0.25">
      <c r="A10" s="5">
        <f t="shared" si="3"/>
        <v>2032</v>
      </c>
      <c r="B10" s="49">
        <v>293644</v>
      </c>
      <c r="C10" s="50">
        <v>510629.50000000012</v>
      </c>
      <c r="D10" s="50">
        <v>704210</v>
      </c>
      <c r="E10" s="50">
        <v>428171</v>
      </c>
      <c r="F10" s="50">
        <v>190366</v>
      </c>
      <c r="G10" s="17">
        <f t="shared" si="0"/>
        <v>1833376.5</v>
      </c>
      <c r="H10" s="17">
        <f t="shared" si="1"/>
        <v>342691.54347755824</v>
      </c>
      <c r="I10" s="17">
        <f t="shared" si="2"/>
        <v>1490684.9565224417</v>
      </c>
    </row>
    <row r="11" spans="1:9" ht="15.75" customHeight="1" x14ac:dyDescent="0.25">
      <c r="A11" s="5">
        <f t="shared" si="3"/>
        <v>2033</v>
      </c>
      <c r="B11" s="49">
        <v>297223</v>
      </c>
      <c r="C11" s="50">
        <v>519900.00000000012</v>
      </c>
      <c r="D11" s="50">
        <v>724364</v>
      </c>
      <c r="E11" s="50">
        <v>453212.99999999988</v>
      </c>
      <c r="F11" s="50">
        <v>199372.5</v>
      </c>
      <c r="G11" s="17">
        <f t="shared" si="0"/>
        <v>1896849.5</v>
      </c>
      <c r="H11" s="17">
        <f t="shared" si="1"/>
        <v>346868.34611648897</v>
      </c>
      <c r="I11" s="17">
        <f t="shared" si="2"/>
        <v>1549981.153883511</v>
      </c>
    </row>
    <row r="12" spans="1:9" ht="15.75" customHeight="1" x14ac:dyDescent="0.25">
      <c r="A12" s="5">
        <f t="shared" si="3"/>
        <v>2034</v>
      </c>
      <c r="B12" s="49">
        <v>300095</v>
      </c>
      <c r="C12" s="50">
        <v>531908.5</v>
      </c>
      <c r="D12" s="50">
        <v>742425.5</v>
      </c>
      <c r="E12" s="50">
        <v>478382</v>
      </c>
      <c r="F12" s="50">
        <v>209399</v>
      </c>
      <c r="G12" s="17">
        <f t="shared" si="0"/>
        <v>1962115</v>
      </c>
      <c r="H12" s="17">
        <f t="shared" si="1"/>
        <v>350220.0580972124</v>
      </c>
      <c r="I12" s="17">
        <f t="shared" si="2"/>
        <v>1611894.9419027877</v>
      </c>
    </row>
    <row r="13" spans="1:9" ht="15.75" customHeight="1" x14ac:dyDescent="0.25">
      <c r="A13" s="5">
        <f t="shared" si="3"/>
        <v>2035</v>
      </c>
      <c r="B13" s="49">
        <v>302341</v>
      </c>
      <c r="C13" s="50">
        <v>547922</v>
      </c>
      <c r="D13" s="50">
        <v>758124.00000000012</v>
      </c>
      <c r="E13" s="50">
        <v>503018</v>
      </c>
      <c r="F13" s="50">
        <v>220685.5</v>
      </c>
      <c r="G13" s="17">
        <f t="shared" si="0"/>
        <v>2029749.5</v>
      </c>
      <c r="H13" s="17">
        <f t="shared" si="1"/>
        <v>352841.20890107891</v>
      </c>
      <c r="I13" s="17">
        <f t="shared" si="2"/>
        <v>1676908.2910989211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2.688439731156032E-2</v>
      </c>
    </row>
    <row r="4" spans="1:8" ht="15.75" customHeight="1" x14ac:dyDescent="0.25">
      <c r="B4" s="19" t="s">
        <v>69</v>
      </c>
      <c r="C4" s="101">
        <v>7.0187992981200861E-2</v>
      </c>
    </row>
    <row r="5" spans="1:8" ht="15.75" customHeight="1" x14ac:dyDescent="0.25">
      <c r="B5" s="19" t="s">
        <v>70</v>
      </c>
      <c r="C5" s="101">
        <v>0.1133985886601412</v>
      </c>
    </row>
    <row r="6" spans="1:8" ht="15.75" customHeight="1" x14ac:dyDescent="0.25">
      <c r="B6" s="19" t="s">
        <v>71</v>
      </c>
      <c r="C6" s="101">
        <v>0.24461647553835281</v>
      </c>
    </row>
    <row r="7" spans="1:8" ht="15.75" customHeight="1" x14ac:dyDescent="0.25">
      <c r="B7" s="19" t="s">
        <v>72</v>
      </c>
      <c r="C7" s="101">
        <v>0.38315536168446312</v>
      </c>
    </row>
    <row r="8" spans="1:8" ht="15.75" customHeight="1" x14ac:dyDescent="0.25">
      <c r="B8" s="19" t="s">
        <v>73</v>
      </c>
      <c r="C8" s="101">
        <v>1.542919845708019E-2</v>
      </c>
    </row>
    <row r="9" spans="1:8" ht="15.75" customHeight="1" x14ac:dyDescent="0.25">
      <c r="B9" s="19" t="s">
        <v>74</v>
      </c>
      <c r="C9" s="101">
        <v>4.0559195944080341E-2</v>
      </c>
    </row>
    <row r="10" spans="1:8" ht="15.75" customHeight="1" x14ac:dyDescent="0.25">
      <c r="B10" s="19" t="s">
        <v>75</v>
      </c>
      <c r="C10" s="101">
        <v>0.1057687894231211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82</v>
      </c>
      <c r="C15" s="101">
        <v>0.18058363148629969</v>
      </c>
      <c r="D15" s="101">
        <v>0.18058363148629969</v>
      </c>
      <c r="E15" s="101">
        <v>0.18058363148629969</v>
      </c>
      <c r="F15" s="101">
        <v>0.18058363148629969</v>
      </c>
    </row>
    <row r="16" spans="1:8" ht="15.75" customHeight="1" x14ac:dyDescent="0.25">
      <c r="B16" s="19" t="s">
        <v>83</v>
      </c>
      <c r="C16" s="101">
        <v>3.6025281426369758E-2</v>
      </c>
      <c r="D16" s="101">
        <v>3.6025281426369758E-2</v>
      </c>
      <c r="E16" s="101">
        <v>3.6025281426369758E-2</v>
      </c>
      <c r="F16" s="101">
        <v>3.6025281426369758E-2</v>
      </c>
    </row>
    <row r="17" spans="1:8" ht="15.75" customHeight="1" x14ac:dyDescent="0.25">
      <c r="B17" s="19" t="s">
        <v>84</v>
      </c>
      <c r="C17" s="101">
        <v>0.13883744675015419</v>
      </c>
      <c r="D17" s="101">
        <v>0.13883744675015419</v>
      </c>
      <c r="E17" s="101">
        <v>0.13883744675015419</v>
      </c>
      <c r="F17" s="101">
        <v>0.13883744675015419</v>
      </c>
    </row>
    <row r="18" spans="1:8" ht="15.75" customHeight="1" x14ac:dyDescent="0.25">
      <c r="B18" s="19" t="s">
        <v>85</v>
      </c>
      <c r="C18" s="101">
        <v>0.33438557402862412</v>
      </c>
      <c r="D18" s="101">
        <v>0.33438557402862412</v>
      </c>
      <c r="E18" s="101">
        <v>0.33438557402862412</v>
      </c>
      <c r="F18" s="101">
        <v>0.33438557402862412</v>
      </c>
    </row>
    <row r="19" spans="1:8" ht="15.75" customHeight="1" x14ac:dyDescent="0.25">
      <c r="B19" s="19" t="s">
        <v>86</v>
      </c>
      <c r="C19" s="101">
        <v>1.1710238862437151E-2</v>
      </c>
      <c r="D19" s="101">
        <v>1.1710238862437151E-2</v>
      </c>
      <c r="E19" s="101">
        <v>1.1710238862437151E-2</v>
      </c>
      <c r="F19" s="101">
        <v>1.1710238862437151E-2</v>
      </c>
    </row>
    <row r="20" spans="1:8" ht="15.75" customHeight="1" x14ac:dyDescent="0.25">
      <c r="B20" s="19" t="s">
        <v>87</v>
      </c>
      <c r="C20" s="101">
        <v>2.6569035418279138E-2</v>
      </c>
      <c r="D20" s="101">
        <v>2.6569035418279138E-2</v>
      </c>
      <c r="E20" s="101">
        <v>2.6569035418279138E-2</v>
      </c>
      <c r="F20" s="101">
        <v>2.6569035418279138E-2</v>
      </c>
    </row>
    <row r="21" spans="1:8" ht="15.75" customHeight="1" x14ac:dyDescent="0.25">
      <c r="B21" s="19" t="s">
        <v>88</v>
      </c>
      <c r="C21" s="101">
        <v>3.1875099182273318E-2</v>
      </c>
      <c r="D21" s="101">
        <v>3.1875099182273318E-2</v>
      </c>
      <c r="E21" s="101">
        <v>3.1875099182273318E-2</v>
      </c>
      <c r="F21" s="101">
        <v>3.1875099182273318E-2</v>
      </c>
    </row>
    <row r="22" spans="1:8" ht="15.75" customHeight="1" x14ac:dyDescent="0.25">
      <c r="B22" s="19" t="s">
        <v>89</v>
      </c>
      <c r="C22" s="101">
        <v>0.1069243589112856</v>
      </c>
      <c r="D22" s="101">
        <v>0.1069243589112856</v>
      </c>
      <c r="E22" s="101">
        <v>0.1069243589112856</v>
      </c>
      <c r="F22" s="101">
        <v>0.1069243589112856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8.640991000000002E-2</v>
      </c>
    </row>
    <row r="27" spans="1:8" ht="15.75" customHeight="1" x14ac:dyDescent="0.25">
      <c r="B27" s="19" t="s">
        <v>92</v>
      </c>
      <c r="C27" s="101">
        <v>8.5227879999999999E-3</v>
      </c>
    </row>
    <row r="28" spans="1:8" ht="15.75" customHeight="1" x14ac:dyDescent="0.25">
      <c r="B28" s="19" t="s">
        <v>93</v>
      </c>
      <c r="C28" s="101">
        <v>0.151297399</v>
      </c>
    </row>
    <row r="29" spans="1:8" ht="15.75" customHeight="1" x14ac:dyDescent="0.25">
      <c r="B29" s="19" t="s">
        <v>94</v>
      </c>
      <c r="C29" s="101">
        <v>0.16589246799999999</v>
      </c>
    </row>
    <row r="30" spans="1:8" ht="15.75" customHeight="1" x14ac:dyDescent="0.25">
      <c r="B30" s="19" t="s">
        <v>95</v>
      </c>
      <c r="C30" s="101">
        <v>0.10344083900000001</v>
      </c>
    </row>
    <row r="31" spans="1:8" ht="15.75" customHeight="1" x14ac:dyDescent="0.25">
      <c r="B31" s="19" t="s">
        <v>96</v>
      </c>
      <c r="C31" s="101">
        <v>0.10754699400000001</v>
      </c>
    </row>
    <row r="32" spans="1:8" ht="15.75" customHeight="1" x14ac:dyDescent="0.25">
      <c r="B32" s="19" t="s">
        <v>97</v>
      </c>
      <c r="C32" s="101">
        <v>1.8445415E-2</v>
      </c>
    </row>
    <row r="33" spans="2:3" ht="15.75" customHeight="1" x14ac:dyDescent="0.25">
      <c r="B33" s="19" t="s">
        <v>98</v>
      </c>
      <c r="C33" s="101">
        <v>8.3029338999999994E-2</v>
      </c>
    </row>
    <row r="34" spans="2:3" ht="15.75" customHeight="1" x14ac:dyDescent="0.25">
      <c r="B34" s="19" t="s">
        <v>99</v>
      </c>
      <c r="C34" s="101">
        <v>0.27541484799999999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104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105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109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110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122</v>
      </c>
      <c r="C5" s="52">
        <v>2.1199900000000001E-2</v>
      </c>
      <c r="D5" s="52">
        <v>2.5683399999999999E-2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34.034762035053411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0.26705541229469498</v>
      </c>
      <c r="C3" s="98">
        <v>0.95</v>
      </c>
      <c r="D3" s="56">
        <v>54.620859337665578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38.221317431768732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0.1238331639462925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17.30460856515991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17.30460856515991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17.30460856515991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17.30460856515991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17.30460856515991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17.30460856515991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0.65</v>
      </c>
      <c r="C16" s="98">
        <v>0.95</v>
      </c>
      <c r="D16" s="56">
        <v>0.23067217612567081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0.11950489274784599</v>
      </c>
      <c r="C18" s="98">
        <v>0.95</v>
      </c>
      <c r="D18" s="56">
        <v>0.99436129525469097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0.1384629</v>
      </c>
      <c r="C19" s="98">
        <v>0.95</v>
      </c>
      <c r="D19" s="56">
        <v>0.99436129525469097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0.13799710000000001</v>
      </c>
      <c r="C21" s="98">
        <v>0.95</v>
      </c>
      <c r="D21" s="56">
        <v>1.066205212290068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29.45962320280529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5.6236363581689766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0.52254451489167297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25.024511947401859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0.342074347054519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58.883846304768888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0.35</v>
      </c>
      <c r="C31" s="98">
        <v>0.95</v>
      </c>
      <c r="D31" s="56">
        <v>1.226522058081233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0.41624618403907598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9.1486800000000007E-2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0.2339136</v>
      </c>
      <c r="C38" s="98">
        <v>0.95</v>
      </c>
      <c r="D38" s="56">
        <v>7.7139026016212213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205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0.66299999999999992</v>
      </c>
      <c r="E2" s="60">
        <f>food_insecure</f>
        <v>0.66299999999999992</v>
      </c>
      <c r="F2" s="60">
        <f>food_insecure</f>
        <v>0.66299999999999992</v>
      </c>
      <c r="G2" s="60">
        <f>food_insecure</f>
        <v>0.66299999999999992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0.66299999999999992</v>
      </c>
      <c r="F5" s="60">
        <f>food_insecure</f>
        <v>0.66299999999999992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0.66299999999999992</v>
      </c>
      <c r="F8" s="60">
        <f>food_insecure</f>
        <v>0.66299999999999992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0.66299999999999992</v>
      </c>
      <c r="F9" s="60">
        <f>food_insecure</f>
        <v>0.66299999999999992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0.66299999999999992</v>
      </c>
      <c r="I15" s="60">
        <f>food_insecure</f>
        <v>0.66299999999999992</v>
      </c>
      <c r="J15" s="60">
        <f>food_insecure</f>
        <v>0.66299999999999992</v>
      </c>
      <c r="K15" s="60">
        <f>food_insecure</f>
        <v>0.66299999999999992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0.56727840429658882</v>
      </c>
      <c r="M25" s="60">
        <f>(1-food_insecure)*(0.49)+food_insecure*(0.7)</f>
        <v>0.62922999999999996</v>
      </c>
      <c r="N25" s="60">
        <f>(1-food_insecure)*(0.49)+food_insecure*(0.7)</f>
        <v>0.62922999999999996</v>
      </c>
      <c r="O25" s="60">
        <f>(1-food_insecure)*(0.49)+food_insecure*(0.7)</f>
        <v>0.62922999999999996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0.24311931612710952</v>
      </c>
      <c r="M26" s="60">
        <f>(1-food_insecure)*(0.21)+food_insecure*(0.3)</f>
        <v>0.26966999999999997</v>
      </c>
      <c r="N26" s="60">
        <f>(1-food_insecure)*(0.21)+food_insecure*(0.3)</f>
        <v>0.26966999999999997</v>
      </c>
      <c r="O26" s="60">
        <f>(1-food_insecure)*(0.21)+food_insecure*(0.3)</f>
        <v>0.26966999999999997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9.1146078022956878E-2</v>
      </c>
      <c r="M27" s="60">
        <f>(1-food_insecure)*(0.3)</f>
        <v>0.10110000000000002</v>
      </c>
      <c r="N27" s="60">
        <f>(1-food_insecure)*(0.3)</f>
        <v>0.10110000000000002</v>
      </c>
      <c r="O27" s="60">
        <f>(1-food_insecure)*(0.3)</f>
        <v>0.10110000000000002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9.8456201553344724E-2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2024-05-09T01:46:02Z</dcterms:modified>
</cp:coreProperties>
</file>