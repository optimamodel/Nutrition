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BFDCC15-25B4-4542-B30F-963510B0488C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29" i="2"/>
  <c r="A27" i="2"/>
  <c r="A21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40" i="2"/>
  <c r="A15" i="2"/>
  <c r="A16" i="2"/>
  <c r="A24" i="2"/>
  <c r="A32" i="2"/>
  <c r="A14" i="2"/>
  <c r="A22" i="2"/>
  <c r="A30" i="2"/>
  <c r="A38" i="2"/>
  <c r="A23" i="2"/>
  <c r="A31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<sst xmlns="http://schemas.openxmlformats.org/spreadsheetml/2006/main" count="2092" uniqueCount="341">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</sst>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12111111.25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0.81604232788085895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0.1125</v>
      </c>
    </row>
    <row r="24" spans="1:3" ht="15" customHeight="1" x14ac:dyDescent="0.25">
      <c r="B24" s="15" t="s">
        <v>22</v>
      </c>
      <c r="C24" s="45">
        <v>0.58400000000000007</v>
      </c>
    </row>
    <row r="25" spans="1:3" ht="15" customHeight="1" x14ac:dyDescent="0.25">
      <c r="B25" s="15" t="s">
        <v>23</v>
      </c>
      <c r="C25" s="45">
        <v>0.28139999999999998</v>
      </c>
    </row>
    <row r="26" spans="1:3" ht="15" customHeight="1" x14ac:dyDescent="0.25">
      <c r="B26" s="15" t="s">
        <v>24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10.021610000000001</v>
      </c>
    </row>
    <row r="38" spans="1:5" ht="15" customHeight="1" x14ac:dyDescent="0.25">
      <c r="B38" s="11" t="s">
        <v>34</v>
      </c>
      <c r="C38" s="43">
        <v>16.233989999999999</v>
      </c>
      <c r="D38" s="12"/>
      <c r="E38" s="13"/>
    </row>
    <row r="39" spans="1:5" ht="15" customHeight="1" x14ac:dyDescent="0.25">
      <c r="B39" s="11" t="s">
        <v>35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7.4682999999999998E-3</v>
      </c>
      <c r="D45" s="12"/>
    </row>
    <row r="46" spans="1:5" ht="15.75" customHeight="1" x14ac:dyDescent="0.25">
      <c r="B46" s="11" t="s">
        <v>41</v>
      </c>
      <c r="C46" s="45">
        <v>8.0245599999999986E-2</v>
      </c>
      <c r="D46" s="12"/>
    </row>
    <row r="47" spans="1:5" ht="15.75" customHeight="1" x14ac:dyDescent="0.25">
      <c r="B47" s="11" t="s">
        <v>42</v>
      </c>
      <c r="C47" s="45">
        <v>7.3898599999999995E-2</v>
      </c>
      <c r="D47" s="12"/>
      <c r="E47" s="13"/>
    </row>
    <row r="48" spans="1:5" ht="15" customHeight="1" x14ac:dyDescent="0.25">
      <c r="B48" s="11" t="s">
        <v>43</v>
      </c>
      <c r="C48" s="46">
        <v>0.83838750000000006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0.59136299999999997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2373041.52</v>
      </c>
      <c r="C2" s="49">
        <v>4562000</v>
      </c>
      <c r="D2" s="49">
        <v>8017000</v>
      </c>
      <c r="E2" s="49">
        <v>8013000</v>
      </c>
      <c r="F2" s="49">
        <v>6525000</v>
      </c>
      <c r="G2" s="17">
        <f t="shared" ref="G2:G13" si="0">C2+D2+E2+F2</f>
        <v>27117000</v>
      </c>
      <c r="H2" s="17">
        <f t="shared" ref="H2:H13" si="1">(B2 + stillbirth*B2/(1000-stillbirth))/(1-abortion)</f>
        <v>2721663.679576247</v>
      </c>
      <c r="I2" s="17">
        <f t="shared" ref="I2:I13" si="2">G2-H2</f>
        <v>24395336.320423752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2357388.7080000001</v>
      </c>
      <c r="C3" s="50">
        <v>4722000</v>
      </c>
      <c r="D3" s="50">
        <v>8105000</v>
      </c>
      <c r="E3" s="50">
        <v>7988000</v>
      </c>
      <c r="F3" s="50">
        <v>6749000</v>
      </c>
      <c r="G3" s="17">
        <f t="shared" si="0"/>
        <v>27564000</v>
      </c>
      <c r="H3" s="17">
        <f t="shared" si="1"/>
        <v>2703711.3220028179</v>
      </c>
      <c r="I3" s="17">
        <f t="shared" si="2"/>
        <v>24860288.677997183</v>
      </c>
    </row>
    <row r="4" spans="1:9" ht="15.75" customHeight="1" x14ac:dyDescent="0.25">
      <c r="A4" s="5">
        <f t="shared" si="3"/>
        <v>2026</v>
      </c>
      <c r="B4" s="49">
        <v>2371204.7999999998</v>
      </c>
      <c r="C4" s="50">
        <v>4932000</v>
      </c>
      <c r="D4" s="50">
        <v>8204000</v>
      </c>
      <c r="E4" s="50">
        <v>7941000</v>
      </c>
      <c r="F4" s="50">
        <v>6959000</v>
      </c>
      <c r="G4" s="17">
        <f t="shared" si="0"/>
        <v>28036000</v>
      </c>
      <c r="H4" s="17">
        <f t="shared" si="1"/>
        <v>2719557.1281015174</v>
      </c>
      <c r="I4" s="17">
        <f t="shared" si="2"/>
        <v>25316442.871898483</v>
      </c>
    </row>
    <row r="5" spans="1:9" ht="15.75" customHeight="1" x14ac:dyDescent="0.25">
      <c r="A5" s="5">
        <f t="shared" si="3"/>
        <v>2027</v>
      </c>
      <c r="B5" s="49">
        <v>2384230.932</v>
      </c>
      <c r="C5" s="50">
        <v>5210000</v>
      </c>
      <c r="D5" s="50">
        <v>8317000</v>
      </c>
      <c r="E5" s="50">
        <v>7869000</v>
      </c>
      <c r="F5" s="50">
        <v>7178000</v>
      </c>
      <c r="G5" s="17">
        <f t="shared" si="0"/>
        <v>28574000</v>
      </c>
      <c r="H5" s="17">
        <f t="shared" si="1"/>
        <v>2734496.9216327178</v>
      </c>
      <c r="I5" s="17">
        <f t="shared" si="2"/>
        <v>25839503.078367282</v>
      </c>
    </row>
    <row r="6" spans="1:9" ht="15.75" customHeight="1" x14ac:dyDescent="0.25">
      <c r="A6" s="5">
        <f t="shared" si="3"/>
        <v>2028</v>
      </c>
      <c r="B6" s="49">
        <v>2396574.5359999998</v>
      </c>
      <c r="C6" s="50">
        <v>5511000</v>
      </c>
      <c r="D6" s="50">
        <v>8458000</v>
      </c>
      <c r="E6" s="50">
        <v>7786000</v>
      </c>
      <c r="F6" s="50">
        <v>7394000</v>
      </c>
      <c r="G6" s="17">
        <f t="shared" si="0"/>
        <v>29149000</v>
      </c>
      <c r="H6" s="17">
        <f t="shared" si="1"/>
        <v>2748653.9173695105</v>
      </c>
      <c r="I6" s="17">
        <f t="shared" si="2"/>
        <v>26400346.082630489</v>
      </c>
    </row>
    <row r="7" spans="1:9" ht="15.75" customHeight="1" x14ac:dyDescent="0.25">
      <c r="A7" s="5">
        <f t="shared" si="3"/>
        <v>2029</v>
      </c>
      <c r="B7" s="49">
        <v>2408400.472000001</v>
      </c>
      <c r="C7" s="50">
        <v>5767000</v>
      </c>
      <c r="D7" s="50">
        <v>8642000</v>
      </c>
      <c r="E7" s="50">
        <v>7714000</v>
      </c>
      <c r="F7" s="50">
        <v>7585000</v>
      </c>
      <c r="G7" s="17">
        <f t="shared" si="0"/>
        <v>29708000</v>
      </c>
      <c r="H7" s="17">
        <f t="shared" si="1"/>
        <v>2762217.194799311</v>
      </c>
      <c r="I7" s="17">
        <f t="shared" si="2"/>
        <v>26945782.805200689</v>
      </c>
    </row>
    <row r="8" spans="1:9" ht="15.75" customHeight="1" x14ac:dyDescent="0.25">
      <c r="A8" s="5">
        <f t="shared" si="3"/>
        <v>2030</v>
      </c>
      <c r="B8" s="49">
        <v>2419827.1680000001</v>
      </c>
      <c r="C8" s="50">
        <v>5933000</v>
      </c>
      <c r="D8" s="50">
        <v>8878000</v>
      </c>
      <c r="E8" s="50">
        <v>7668000</v>
      </c>
      <c r="F8" s="50">
        <v>7737000</v>
      </c>
      <c r="G8" s="17">
        <f t="shared" si="0"/>
        <v>30216000</v>
      </c>
      <c r="H8" s="17">
        <f t="shared" si="1"/>
        <v>2775322.5801112195</v>
      </c>
      <c r="I8" s="17">
        <f t="shared" si="2"/>
        <v>27440677.41988878</v>
      </c>
    </row>
    <row r="9" spans="1:9" ht="15.75" customHeight="1" x14ac:dyDescent="0.25">
      <c r="A9" s="5">
        <f t="shared" si="3"/>
        <v>2031</v>
      </c>
      <c r="B9" s="49">
        <v>2426510.8319999999</v>
      </c>
      <c r="C9" s="50">
        <v>6128857.1428571427</v>
      </c>
      <c r="D9" s="50">
        <v>9001000</v>
      </c>
      <c r="E9" s="50">
        <v>7618714.2857142854</v>
      </c>
      <c r="F9" s="50">
        <v>7910142.8571428573</v>
      </c>
      <c r="G9" s="17">
        <f t="shared" si="0"/>
        <v>30658714.285714284</v>
      </c>
      <c r="H9" s="17">
        <f t="shared" si="1"/>
        <v>2782988.1373305013</v>
      </c>
      <c r="I9" s="17">
        <f t="shared" si="2"/>
        <v>27875726.148383781</v>
      </c>
    </row>
    <row r="10" spans="1:9" ht="15.75" customHeight="1" x14ac:dyDescent="0.25">
      <c r="A10" s="5">
        <f t="shared" si="3"/>
        <v>2032</v>
      </c>
      <c r="B10" s="49">
        <v>2436385.4211428571</v>
      </c>
      <c r="C10" s="50">
        <v>6329836.7346938774</v>
      </c>
      <c r="D10" s="50">
        <v>9129000</v>
      </c>
      <c r="E10" s="50">
        <v>7565959.1836734693</v>
      </c>
      <c r="F10" s="50">
        <v>8076020.4081632653</v>
      </c>
      <c r="G10" s="17">
        <f t="shared" si="0"/>
        <v>31100816.326530613</v>
      </c>
      <c r="H10" s="17">
        <f t="shared" si="1"/>
        <v>2794313.3966630273</v>
      </c>
      <c r="I10" s="17">
        <f t="shared" si="2"/>
        <v>28306502.929867584</v>
      </c>
    </row>
    <row r="11" spans="1:9" ht="15.75" customHeight="1" x14ac:dyDescent="0.25">
      <c r="A11" s="5">
        <f t="shared" si="3"/>
        <v>2033</v>
      </c>
      <c r="B11" s="49">
        <v>2445696.93844898</v>
      </c>
      <c r="C11" s="50">
        <v>6529527.696793003</v>
      </c>
      <c r="D11" s="50">
        <v>9261142.8571428563</v>
      </c>
      <c r="E11" s="50">
        <v>7512381.9241982503</v>
      </c>
      <c r="F11" s="50">
        <v>8235594.7521865889</v>
      </c>
      <c r="G11" s="17">
        <f t="shared" si="0"/>
        <v>31538647.2303207</v>
      </c>
      <c r="H11" s="17">
        <f t="shared" si="1"/>
        <v>2804992.8636003863</v>
      </c>
      <c r="I11" s="17">
        <f t="shared" si="2"/>
        <v>28733654.366720311</v>
      </c>
    </row>
    <row r="12" spans="1:9" ht="15.75" customHeight="1" x14ac:dyDescent="0.25">
      <c r="A12" s="5">
        <f t="shared" si="3"/>
        <v>2034</v>
      </c>
      <c r="B12" s="49">
        <v>2454477.7965131188</v>
      </c>
      <c r="C12" s="50">
        <v>6718031.6534777181</v>
      </c>
      <c r="D12" s="50">
        <v>9396020.4081632644</v>
      </c>
      <c r="E12" s="50">
        <v>7461436.4847980002</v>
      </c>
      <c r="F12" s="50">
        <v>8386679.7167846728</v>
      </c>
      <c r="G12" s="17">
        <f t="shared" si="0"/>
        <v>31962168.263223656</v>
      </c>
      <c r="H12" s="17">
        <f t="shared" si="1"/>
        <v>2815063.7124529094</v>
      </c>
      <c r="I12" s="17">
        <f t="shared" si="2"/>
        <v>29147104.550770745</v>
      </c>
    </row>
    <row r="13" spans="1:9" ht="15.75" customHeight="1" x14ac:dyDescent="0.25">
      <c r="A13" s="5">
        <f t="shared" si="3"/>
        <v>2035</v>
      </c>
      <c r="B13" s="49">
        <v>2462749.690872136</v>
      </c>
      <c r="C13" s="50">
        <v>6890464.7468316779</v>
      </c>
      <c r="D13" s="50">
        <v>9530023.3236151598</v>
      </c>
      <c r="E13" s="50">
        <v>7415070.2683405718</v>
      </c>
      <c r="F13" s="50">
        <v>8528491.1048967689</v>
      </c>
      <c r="G13" s="17">
        <f t="shared" si="0"/>
        <v>32364049.443684179</v>
      </c>
      <c r="H13" s="17">
        <f t="shared" si="1"/>
        <v>2824550.8260362521</v>
      </c>
      <c r="I13" s="17">
        <f t="shared" si="2"/>
        <v>29539498.617647927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1.3478998652100139E-3</v>
      </c>
    </row>
    <row r="4" spans="1:8" ht="15.75" customHeight="1" x14ac:dyDescent="0.25">
      <c r="B4" s="19" t="s">
        <v>69</v>
      </c>
      <c r="C4" s="101">
        <v>4.0791195920880458E-2</v>
      </c>
    </row>
    <row r="5" spans="1:8" ht="15.75" customHeight="1" x14ac:dyDescent="0.25">
      <c r="B5" s="19" t="s">
        <v>70</v>
      </c>
      <c r="C5" s="101">
        <v>1.6696498330350171E-2</v>
      </c>
    </row>
    <row r="6" spans="1:8" ht="15.75" customHeight="1" x14ac:dyDescent="0.25">
      <c r="B6" s="19" t="s">
        <v>71</v>
      </c>
      <c r="C6" s="101">
        <v>0.17240298275970181</v>
      </c>
    </row>
    <row r="7" spans="1:8" ht="15.75" customHeight="1" x14ac:dyDescent="0.25">
      <c r="B7" s="19" t="s">
        <v>72</v>
      </c>
      <c r="C7" s="101">
        <v>0.47297665270233391</v>
      </c>
    </row>
    <row r="8" spans="1:8" ht="15.75" customHeight="1" x14ac:dyDescent="0.25">
      <c r="B8" s="19" t="s">
        <v>73</v>
      </c>
      <c r="C8" s="101">
        <v>1.5819998418000169E-4</v>
      </c>
    </row>
    <row r="9" spans="1:8" ht="15.75" customHeight="1" x14ac:dyDescent="0.25">
      <c r="B9" s="19" t="s">
        <v>74</v>
      </c>
      <c r="C9" s="101">
        <v>0.23270537672946309</v>
      </c>
    </row>
    <row r="10" spans="1:8" ht="15.75" customHeight="1" x14ac:dyDescent="0.25">
      <c r="B10" s="19" t="s">
        <v>75</v>
      </c>
      <c r="C10" s="101">
        <v>6.2921193707880657E-2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82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83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84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87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88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89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2.7001540000000001E-2</v>
      </c>
    </row>
    <row r="27" spans="1:8" ht="15.75" customHeight="1" x14ac:dyDescent="0.25">
      <c r="B27" s="19" t="s">
        <v>92</v>
      </c>
      <c r="C27" s="101">
        <v>1.6281780999999999E-2</v>
      </c>
    </row>
    <row r="28" spans="1:8" ht="15.75" customHeight="1" x14ac:dyDescent="0.25">
      <c r="B28" s="19" t="s">
        <v>93</v>
      </c>
      <c r="C28" s="101">
        <v>0.425831776</v>
      </c>
    </row>
    <row r="29" spans="1:8" ht="15.75" customHeight="1" x14ac:dyDescent="0.25">
      <c r="B29" s="19" t="s">
        <v>94</v>
      </c>
      <c r="C29" s="101">
        <v>0.19528870200000001</v>
      </c>
    </row>
    <row r="30" spans="1:8" ht="15.75" customHeight="1" x14ac:dyDescent="0.25">
      <c r="B30" s="19" t="s">
        <v>95</v>
      </c>
      <c r="C30" s="101">
        <v>4.8735185E-2</v>
      </c>
    </row>
    <row r="31" spans="1:8" ht="15.75" customHeight="1" x14ac:dyDescent="0.25">
      <c r="B31" s="19" t="s">
        <v>96</v>
      </c>
      <c r="C31" s="101">
        <v>2.3526106000000001E-2</v>
      </c>
    </row>
    <row r="32" spans="1:8" ht="15.75" customHeight="1" x14ac:dyDescent="0.25">
      <c r="B32" s="19" t="s">
        <v>97</v>
      </c>
      <c r="C32" s="101">
        <v>7.7799310000000003E-3</v>
      </c>
    </row>
    <row r="33" spans="2:3" ht="15.75" customHeight="1" x14ac:dyDescent="0.25">
      <c r="B33" s="19" t="s">
        <v>98</v>
      </c>
      <c r="C33" s="101">
        <v>0.13107344500000001</v>
      </c>
    </row>
    <row r="34" spans="2:3" ht="15.75" customHeight="1" x14ac:dyDescent="0.25">
      <c r="B34" s="19" t="s">
        <v>99</v>
      </c>
      <c r="C34" s="101">
        <v>0.124481534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104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122</v>
      </c>
      <c r="C5" s="52">
        <v>3.3765799999999999E-2</v>
      </c>
      <c r="D5" s="52"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0.15700900114999999</v>
      </c>
      <c r="C2" s="98">
        <v>0.95</v>
      </c>
      <c r="D2" s="56">
        <v>53.780271394236287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39.784890774088787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347.78517426090019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0.95829964668228185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12.9171902178847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12.9171902178847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12.9171902178847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12.9171902178847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12.9171902178847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12.9171902178847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0.22568961095016099</v>
      </c>
      <c r="C16" s="98">
        <v>0.95</v>
      </c>
      <c r="D16" s="56">
        <v>0.62395601778004439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8.03774489307912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8.03774489307912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0.35698020000000003</v>
      </c>
      <c r="C21" s="98">
        <v>0.95</v>
      </c>
      <c r="D21" s="56">
        <v>12.62389598237889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22.241140820701322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9.7485000000000002E-2</v>
      </c>
      <c r="C23" s="98">
        <v>0.95</v>
      </c>
      <c r="D23" s="56">
        <v>4.2199693960316731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0.64891979094384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0.20135377509999999</v>
      </c>
      <c r="C27" s="98">
        <v>0.95</v>
      </c>
      <c r="D27" s="56">
        <v>18.478294846889369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0.28365869999999999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103.9500061944096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3.9648996179997198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0.35294160000000002</v>
      </c>
      <c r="C32" s="98">
        <v>0.95</v>
      </c>
      <c r="D32" s="56">
        <v>1.329958673761263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0.97528749999999997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1.69493E-2</v>
      </c>
      <c r="C38" s="98">
        <v>0.95</v>
      </c>
      <c r="D38" s="56">
        <v>5.0532276389922108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0.34690110000000002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205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</v>
      </c>
      <c r="M24" s="60">
        <f>famplan_unmet_need</f>
        <v>0.2</v>
      </c>
      <c r="N24" s="60">
        <f>famplan_unmet_need</f>
        <v>0.2</v>
      </c>
      <c r="O24" s="60">
        <f>famplan_unmet_need</f>
        <v>0.2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9.1375454895019734E-2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3.9160909240722748E-2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5.3421307983398558E-2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0.81604232788085884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0.89102599030131335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2024-03-28T03:03:58Z</dcterms:modified>
</cp:coreProperties>
</file>