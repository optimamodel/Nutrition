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930EA3C-A706-4F49-89D2-96DD0AFD73A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<sst xmlns="http://schemas.openxmlformats.org/spreadsheetml/2006/main" count="2103" uniqueCount="341">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</sst>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12111111.25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0.81604232788085895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53.780271394236287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39.784890774088787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347.78517426090019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1.0166600951652329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0.36073490000000002</v>
      </c>
      <c r="C10" s="98">
        <v>0.95</v>
      </c>
      <c r="D10" s="56">
        <v>12.9171902178847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12.9171902178847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12.9171902178847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12.9171902178847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0.36073490000000002</v>
      </c>
      <c r="C14" s="98">
        <v>0.95</v>
      </c>
      <c r="D14" s="56">
        <v>12.9171902178847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12.9171902178847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0.62395601778004439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0.35294160000000002</v>
      </c>
      <c r="C18" s="98">
        <v>0.95</v>
      </c>
      <c r="D18" s="56">
        <v>8.03774489307912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0.35294160000000002</v>
      </c>
      <c r="C19" s="98">
        <v>0.95</v>
      </c>
      <c r="D19" s="56">
        <v>8.03774489307912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12.62389598237889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4.2199693960316731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0.62012901654384001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0.36073490000000002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18.478294846889369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0.28365869999999999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0.34690110000000002</v>
      </c>
      <c r="C29" s="98">
        <v>0.95</v>
      </c>
      <c r="D29" s="56">
        <v>103.9500061944096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3.9648996179997198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0.68</v>
      </c>
      <c r="C32" s="98">
        <v>0.95</v>
      </c>
      <c r="D32" s="56">
        <v>1.329958673761263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0.89830929999999998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0.35698020000000003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9.7485000000000002E-2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0.98693050000000004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1.69493E-2</v>
      </c>
      <c r="C38" s="98">
        <v>0.95</v>
      </c>
      <c r="D38" s="56">
        <v>5.0532276389922108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205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0.10282257793192318</v>
      </c>
      <c r="G18" s="90">
        <f>MIN(MAX(1-0.89/(1-frac_sam_12_23months+(frac_sam_12_23months*0.89)),0),1)</f>
        <v>0.1055751056347205</v>
      </c>
      <c r="H18" s="90">
        <f>MIN(MAX(1-0.89/(1-frac_sam_24_59months+(frac_sam_24_59months*0.89)),0),1)</f>
        <v>0.10639388828039997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0.10489846097377853</v>
      </c>
      <c r="G20" s="90">
        <f>MIN(MAX(1-0.89/(1-frac_mam_12_23months+(frac_mam_12_23months*0.89)),0),1)</f>
        <v>0.10457620496259534</v>
      </c>
      <c r="H20" s="90">
        <f>MIN(MAX(1-0.89/(1-frac_mam_24_59months+(frac_mam_24_59months*0.89)),0),1)</f>
        <v>0.10612605849626966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9.2794757121396065E-3</v>
      </c>
      <c r="G73" s="90">
        <f>MIN(MAX(1-0.99/(1-frac_sam_12_23months+(frac_sam_12_23months*0.99)),0),1)</f>
        <v>9.5545521120395938E-3</v>
      </c>
      <c r="H73" s="90">
        <f>MIN(MAX(1-0.99/(1-frac_sam_24_59months+(frac_sam_24_59months*0.99)),0),1)</f>
        <v>9.6366753107045566E-3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9.4867883611930992E-3</v>
      </c>
      <c r="G75" s="90">
        <f>MIN(MAX(1-0.99/(1-frac_mam_12_23months+(frac_mam_12_23months*0.99)),0),1)</f>
        <v>9.4545482226151556E-3</v>
      </c>
      <c r="H75" s="90">
        <f>MIN(MAX(1-0.99/(1-frac_mam_24_59months+(frac_mam_24_59months*0.99)),0),1)</f>
        <v>9.609797154371047E-3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0.18819187742541632</v>
      </c>
      <c r="G128" s="90">
        <f>MIN(MAX(1-0.8/(1-frac_sam_12_23months+(frac_sam_12_23months*0.8)),0),1)</f>
        <v>0.19273876592562433</v>
      </c>
      <c r="H128" s="90">
        <f>MIN(MAX(1-0.8/(1-frac_sam_24_59months+(frac_sam_24_59months*0.8)),0),1)</f>
        <v>0.1940868540656504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0.19162316268828383</v>
      </c>
      <c r="G130" s="90">
        <f>MIN(MAX(1-0.8/(1-frac_mam_12_23months+(frac_mam_12_23months*0.8)),0),1)</f>
        <v>0.1910913597192051</v>
      </c>
      <c r="H130" s="90">
        <f>MIN(MAX(1-0.8/(1-frac_mam_24_59months+(frac_mam_24_59months*0.8)),0),1)</f>
        <v>0.19364610873468535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2024-06-18T06:54:57Z</dcterms:modified>
</cp:coreProperties>
</file>