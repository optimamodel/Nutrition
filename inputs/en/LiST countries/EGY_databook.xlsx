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82603BE-1E18-4D48-ABCE-3CF40AC19F17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<sst xmlns="http://schemas.openxmlformats.org/spreadsheetml/2006/main" count="2169" uniqueCount="373">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</sst>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12098898</v>
      </c>
    </row>
    <row r="8" spans="1:3" ht="15" customHeight="1" x14ac:dyDescent="0.25">
      <c r="B8" s="5" t="s">
        <v>8</v>
      </c>
      <c r="C8" s="44">
        <v>0.29699999999999999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0.83125110000000002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0.1125</v>
      </c>
    </row>
    <row r="24" spans="1:3" ht="15" customHeight="1" x14ac:dyDescent="0.25">
      <c r="B24" s="15" t="s">
        <v>22</v>
      </c>
      <c r="C24" s="45">
        <v>0.58400000000000007</v>
      </c>
    </row>
    <row r="25" spans="1:3" ht="15" customHeight="1" x14ac:dyDescent="0.25">
      <c r="B25" s="15" t="s">
        <v>23</v>
      </c>
      <c r="C25" s="45">
        <v>0.28139999999999998</v>
      </c>
    </row>
    <row r="26" spans="1:3" ht="15" customHeight="1" x14ac:dyDescent="0.25">
      <c r="B26" s="15" t="s">
        <v>24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7">
        <v>5.6193137427978712E-2</v>
      </c>
    </row>
    <row r="31" spans="1:3" ht="14.25" customHeight="1" x14ac:dyDescent="0.25">
      <c r="B31" s="25" t="s">
        <v>28</v>
      </c>
      <c r="C31" s="97">
        <v>7.8032026225336698E-2</v>
      </c>
    </row>
    <row r="32" spans="1:3" ht="14.25" customHeight="1" x14ac:dyDescent="0.25">
      <c r="B32" s="25" t="s">
        <v>29</v>
      </c>
      <c r="C32" s="97">
        <v>0.54965726449601493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10.021610000000001</v>
      </c>
    </row>
    <row r="38" spans="1:5" ht="15" customHeight="1" x14ac:dyDescent="0.25">
      <c r="B38" s="11" t="s">
        <v>34</v>
      </c>
      <c r="C38" s="43">
        <v>16.233989999999999</v>
      </c>
      <c r="D38" s="12"/>
      <c r="E38" s="13"/>
    </row>
    <row r="39" spans="1:5" ht="15" customHeight="1" x14ac:dyDescent="0.25">
      <c r="B39" s="11" t="s">
        <v>35</v>
      </c>
      <c r="C39" s="43">
        <v>18.957830000000001</v>
      </c>
      <c r="D39" s="12"/>
      <c r="E39" s="12"/>
    </row>
    <row r="40" spans="1:5" ht="15" customHeight="1" x14ac:dyDescent="0.25">
      <c r="B40" s="11" t="s">
        <v>36</v>
      </c>
      <c r="C40" s="98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7.4682999999999998E-3</v>
      </c>
      <c r="D45" s="12"/>
    </row>
    <row r="46" spans="1:5" ht="15.75" customHeight="1" x14ac:dyDescent="0.25">
      <c r="B46" s="11" t="s">
        <v>41</v>
      </c>
      <c r="C46" s="45">
        <v>8.0245599999999986E-2</v>
      </c>
      <c r="D46" s="12"/>
    </row>
    <row r="47" spans="1:5" ht="15.75" customHeight="1" x14ac:dyDescent="0.25">
      <c r="B47" s="11" t="s">
        <v>42</v>
      </c>
      <c r="C47" s="45">
        <v>7.3898599999999995E-2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4.2119999999999997</v>
      </c>
      <c r="D51" s="12"/>
    </row>
    <row r="52" spans="1:4" ht="15" customHeight="1" x14ac:dyDescent="0.25">
      <c r="B52" s="11" t="s">
        <v>46</v>
      </c>
      <c r="C52" s="98">
        <v>4.2119999999999997</v>
      </c>
    </row>
    <row r="53" spans="1:4" ht="15.75" customHeight="1" x14ac:dyDescent="0.25">
      <c r="B53" s="11" t="s">
        <v>47</v>
      </c>
      <c r="C53" s="98">
        <v>6.7859999999999996</v>
      </c>
    </row>
    <row r="54" spans="1:4" ht="15.75" customHeight="1" x14ac:dyDescent="0.25">
      <c r="B54" s="11" t="s">
        <v>48</v>
      </c>
      <c r="C54" s="98">
        <v>5.3560000000000008</v>
      </c>
    </row>
    <row r="55" spans="1:4" ht="15.75" customHeight="1" x14ac:dyDescent="0.25">
      <c r="B55" s="11" t="s">
        <v>49</v>
      </c>
      <c r="C55" s="98">
        <v>2.2359999999999989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0.59136299999999997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1.3478998652100139E-3</v>
      </c>
    </row>
    <row r="4" spans="1:8" ht="15.75" customHeight="1" x14ac:dyDescent="0.25">
      <c r="B4" s="19" t="s">
        <v>69</v>
      </c>
      <c r="C4" s="99">
        <v>4.0791195920880458E-2</v>
      </c>
    </row>
    <row r="5" spans="1:8" ht="15.75" customHeight="1" x14ac:dyDescent="0.25">
      <c r="B5" s="19" t="s">
        <v>70</v>
      </c>
      <c r="C5" s="99">
        <v>1.6696498330350171E-2</v>
      </c>
    </row>
    <row r="6" spans="1:8" ht="15.75" customHeight="1" x14ac:dyDescent="0.25">
      <c r="B6" s="19" t="s">
        <v>71</v>
      </c>
      <c r="C6" s="99">
        <v>0.17240298275970181</v>
      </c>
    </row>
    <row r="7" spans="1:8" ht="15.75" customHeight="1" x14ac:dyDescent="0.25">
      <c r="B7" s="19" t="s">
        <v>72</v>
      </c>
      <c r="C7" s="99">
        <v>0.47297665270233391</v>
      </c>
    </row>
    <row r="8" spans="1:8" ht="15.75" customHeight="1" x14ac:dyDescent="0.25">
      <c r="B8" s="19" t="s">
        <v>73</v>
      </c>
      <c r="C8" s="99">
        <v>1.5819998418000169E-4</v>
      </c>
    </row>
    <row r="9" spans="1:8" ht="15.75" customHeight="1" x14ac:dyDescent="0.25">
      <c r="B9" s="19" t="s">
        <v>74</v>
      </c>
      <c r="C9" s="99">
        <v>0.23270537672946309</v>
      </c>
    </row>
    <row r="10" spans="1:8" ht="15.75" customHeight="1" x14ac:dyDescent="0.25">
      <c r="B10" s="19" t="s">
        <v>75</v>
      </c>
      <c r="C10" s="99">
        <v>6.2921193707880657E-2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82</v>
      </c>
      <c r="C15" s="99">
        <v>0.63344980973316023</v>
      </c>
      <c r="D15" s="99">
        <v>0.63344980973316023</v>
      </c>
      <c r="E15" s="99">
        <v>0.63344980973316023</v>
      </c>
      <c r="F15" s="99">
        <v>0.63344980973316023</v>
      </c>
    </row>
    <row r="16" spans="1:8" ht="15.75" customHeight="1" x14ac:dyDescent="0.25">
      <c r="B16" s="19" t="s">
        <v>83</v>
      </c>
      <c r="C16" s="99">
        <v>1.129582496415343E-2</v>
      </c>
      <c r="D16" s="99">
        <v>1.129582496415343E-2</v>
      </c>
      <c r="E16" s="99">
        <v>1.129582496415343E-2</v>
      </c>
      <c r="F16" s="99">
        <v>1.129582496415343E-2</v>
      </c>
    </row>
    <row r="17" spans="1:8" ht="15.75" customHeight="1" x14ac:dyDescent="0.25">
      <c r="B17" s="19" t="s">
        <v>84</v>
      </c>
      <c r="C17" s="99">
        <v>3.894837078298569E-3</v>
      </c>
      <c r="D17" s="99">
        <v>3.894837078298569E-3</v>
      </c>
      <c r="E17" s="99">
        <v>3.894837078298569E-3</v>
      </c>
      <c r="F17" s="99">
        <v>3.894837078298569E-3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1.319115285484122E-2</v>
      </c>
      <c r="D19" s="99">
        <v>1.319115285484122E-2</v>
      </c>
      <c r="E19" s="99">
        <v>1.319115285484122E-2</v>
      </c>
      <c r="F19" s="99">
        <v>1.319115285484122E-2</v>
      </c>
    </row>
    <row r="20" spans="1:8" ht="15.75" customHeight="1" x14ac:dyDescent="0.25">
      <c r="B20" s="19" t="s">
        <v>87</v>
      </c>
      <c r="C20" s="99">
        <v>7.1059375253170812E-3</v>
      </c>
      <c r="D20" s="99">
        <v>7.1059375253170812E-3</v>
      </c>
      <c r="E20" s="99">
        <v>7.1059375253170812E-3</v>
      </c>
      <c r="F20" s="99">
        <v>7.1059375253170812E-3</v>
      </c>
    </row>
    <row r="21" spans="1:8" ht="15.75" customHeight="1" x14ac:dyDescent="0.25">
      <c r="B21" s="19" t="s">
        <v>88</v>
      </c>
      <c r="C21" s="99">
        <v>0.2259862107187873</v>
      </c>
      <c r="D21" s="99">
        <v>0.2259862107187873</v>
      </c>
      <c r="E21" s="99">
        <v>0.2259862107187873</v>
      </c>
      <c r="F21" s="99">
        <v>0.2259862107187873</v>
      </c>
    </row>
    <row r="22" spans="1:8" ht="15.75" customHeight="1" x14ac:dyDescent="0.25">
      <c r="B22" s="19" t="s">
        <v>89</v>
      </c>
      <c r="C22" s="99">
        <v>5.9032209689805611E-2</v>
      </c>
      <c r="D22" s="99">
        <v>5.9032209689805611E-2</v>
      </c>
      <c r="E22" s="99">
        <v>5.9032209689805611E-2</v>
      </c>
      <c r="F22" s="99">
        <v>5.9032209689805611E-2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2.7001540000000001E-2</v>
      </c>
    </row>
    <row r="27" spans="1:8" ht="15.75" customHeight="1" x14ac:dyDescent="0.25">
      <c r="B27" s="19" t="s">
        <v>92</v>
      </c>
      <c r="C27" s="99">
        <v>1.6281780999999999E-2</v>
      </c>
    </row>
    <row r="28" spans="1:8" ht="15.75" customHeight="1" x14ac:dyDescent="0.25">
      <c r="B28" s="19" t="s">
        <v>93</v>
      </c>
      <c r="C28" s="99">
        <v>0.425831776</v>
      </c>
    </row>
    <row r="29" spans="1:8" ht="15.75" customHeight="1" x14ac:dyDescent="0.25">
      <c r="B29" s="19" t="s">
        <v>94</v>
      </c>
      <c r="C29" s="99">
        <v>0.19528870200000001</v>
      </c>
    </row>
    <row r="30" spans="1:8" ht="15.75" customHeight="1" x14ac:dyDescent="0.25">
      <c r="B30" s="19" t="s">
        <v>95</v>
      </c>
      <c r="C30" s="99">
        <v>4.8735185E-2</v>
      </c>
    </row>
    <row r="31" spans="1:8" ht="15.75" customHeight="1" x14ac:dyDescent="0.25">
      <c r="B31" s="19" t="s">
        <v>96</v>
      </c>
      <c r="C31" s="99">
        <v>2.3526106000000001E-2</v>
      </c>
    </row>
    <row r="32" spans="1:8" ht="15.75" customHeight="1" x14ac:dyDescent="0.25">
      <c r="B32" s="19" t="s">
        <v>97</v>
      </c>
      <c r="C32" s="99">
        <v>7.7799310000000003E-3</v>
      </c>
    </row>
    <row r="33" spans="2:3" ht="15.75" customHeight="1" x14ac:dyDescent="0.25">
      <c r="B33" s="19" t="s">
        <v>98</v>
      </c>
      <c r="C33" s="99">
        <v>0.13107344500000001</v>
      </c>
    </row>
    <row r="34" spans="2:3" ht="15.75" customHeight="1" x14ac:dyDescent="0.25">
      <c r="B34" s="19" t="s">
        <v>99</v>
      </c>
      <c r="C34" s="99">
        <v>0.124481534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104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105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109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110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3.376570000000001E-2</v>
      </c>
      <c r="D5" s="52">
        <f t="shared" si="0"/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4295.4074956101404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0.41764000000000001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0.17492999999999997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1.568345529233019E-2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97936.726179999998</v>
      </c>
      <c r="C22" s="107">
        <v>97718.475349999993</v>
      </c>
      <c r="D22" s="107">
        <v>97515.524650000007</v>
      </c>
      <c r="E22" s="107">
        <v>97145.710550000003</v>
      </c>
      <c r="F22" s="107">
        <v>96749.700570000001</v>
      </c>
      <c r="G22" s="107">
        <v>96325.239079999999</v>
      </c>
      <c r="H22" s="107">
        <v>95766.170440000002</v>
      </c>
      <c r="I22" s="107">
        <v>95017.260980000006</v>
      </c>
      <c r="J22" s="107">
        <v>93922.382710000005</v>
      </c>
      <c r="K22" s="107">
        <v>92171.839460000003</v>
      </c>
      <c r="L22" s="107">
        <v>88832.398679999998</v>
      </c>
      <c r="M22" s="107">
        <v>83161.487110000002</v>
      </c>
      <c r="N22" s="107">
        <v>74768.493459999998</v>
      </c>
      <c r="O22" s="107">
        <v>62809.357459999999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0.36073490000000002</v>
      </c>
      <c r="C10" s="96">
        <v>0.95</v>
      </c>
      <c r="D10" s="56">
        <v>12.9171902178847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12.9171902178847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12.9171902178847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12.9171902178847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0.36073490000000002</v>
      </c>
      <c r="C14" s="96">
        <v>0.95</v>
      </c>
      <c r="D14" s="56">
        <v>12.9171902178847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12.9171902178847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0.81099999999999994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0.35294160000000002</v>
      </c>
      <c r="C19" s="96">
        <v>0.95</v>
      </c>
      <c r="D19" s="56">
        <v>8.03774489307912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4.2199693960316731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0.62012901654384001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0.28365869999999999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0.34690110000000002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0.68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0.89830929999999998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0.35698020000000003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9.7485000000000002E-2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0.98693050000000004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5.0000000000000001E-3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4.2119999999999997</v>
      </c>
      <c r="C2" s="21">
        <f>'Baseline year population inputs'!C52</f>
        <v>4.2119999999999997</v>
      </c>
      <c r="D2" s="21">
        <f>'Baseline year population inputs'!C53</f>
        <v>6.7859999999999996</v>
      </c>
      <c r="E2" s="21">
        <f>'Baseline year population inputs'!C54</f>
        <v>5.3560000000000008</v>
      </c>
      <c r="F2" s="21">
        <f>'Baseline year population inputs'!C55</f>
        <v>2.2359999999999989</v>
      </c>
    </row>
    <row r="3" spans="1:6" ht="15.75" customHeight="1" x14ac:dyDescent="0.25">
      <c r="A3" s="3" t="s">
        <v>197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198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0.29699999999999999</v>
      </c>
      <c r="F2" s="60">
        <f>food_insecure</f>
        <v>0.29699999999999999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0.29699999999999999</v>
      </c>
      <c r="F5" s="60">
        <f>food_insecure</f>
        <v>0.29699999999999999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8.7144827586206869E-2</v>
      </c>
      <c r="D7" s="60">
        <f>diarrhoea_1_5mo*frac_diarrhea_severe</f>
        <v>8.7144827586206869E-2</v>
      </c>
      <c r="E7" s="60">
        <f>diarrhoea_6_11mo*frac_diarrhea_severe</f>
        <v>0.14039999999999997</v>
      </c>
      <c r="F7" s="60">
        <f>diarrhoea_12_23mo*frac_diarrhea_severe</f>
        <v>0.11081379310344827</v>
      </c>
      <c r="G7" s="60">
        <f>diarrhoea_24_59mo*frac_diarrhea_severe</f>
        <v>4.6262068965517211E-2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0.29699999999999999</v>
      </c>
      <c r="F8" s="60">
        <f>food_insecure</f>
        <v>0.29699999999999999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0.29699999999999999</v>
      </c>
      <c r="F9" s="60">
        <f>food_insecure</f>
        <v>0.29699999999999999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8.7144827586206869E-2</v>
      </c>
      <c r="D12" s="60">
        <f>diarrhoea_1_5mo*frac_diarrhea_severe</f>
        <v>8.7144827586206869E-2</v>
      </c>
      <c r="E12" s="60">
        <f>diarrhoea_6_11mo*frac_diarrhea_severe</f>
        <v>0.14039999999999997</v>
      </c>
      <c r="F12" s="60">
        <f>diarrhoea_12_23mo*frac_diarrhea_severe</f>
        <v>0.11081379310344827</v>
      </c>
      <c r="G12" s="60">
        <f>diarrhoea_24_59mo*frac_diarrhea_severe</f>
        <v>4.6262068965517211E-2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0.29699999999999999</v>
      </c>
      <c r="I15" s="60">
        <f t="shared" si="0"/>
        <v>0.29699999999999999</v>
      </c>
      <c r="J15" s="60">
        <f t="shared" si="0"/>
        <v>0.29699999999999999</v>
      </c>
      <c r="K15" s="60">
        <f t="shared" si="0"/>
        <v>0.29699999999999999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0.29699999999999999</v>
      </c>
      <c r="I16" s="60">
        <f t="shared" si="0"/>
        <v>0.29699999999999999</v>
      </c>
      <c r="J16" s="60">
        <f t="shared" si="0"/>
        <v>0.29699999999999999</v>
      </c>
      <c r="K16" s="60">
        <f t="shared" si="0"/>
        <v>0.29699999999999999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0.126</v>
      </c>
      <c r="M24" s="60">
        <f>famplan_unmet_need</f>
        <v>0.126</v>
      </c>
      <c r="N24" s="60">
        <f>famplan_unmet_need</f>
        <v>0.126</v>
      </c>
      <c r="O24" s="60">
        <f>famplan_unmet_need</f>
        <v>0.126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9.3211829893000003E-2</v>
      </c>
      <c r="M25" s="60">
        <f>(1-food_insecure)*(0.49)+food_insecure*(0.7)</f>
        <v>0.55237000000000003</v>
      </c>
      <c r="N25" s="60">
        <f>(1-food_insecure)*(0.49)+food_insecure*(0.7)</f>
        <v>0.55237000000000003</v>
      </c>
      <c r="O25" s="60">
        <f>(1-food_insecure)*(0.49)+food_insecure*(0.7)</f>
        <v>0.55237000000000003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3.9947927096999999E-2</v>
      </c>
      <c r="M26" s="60">
        <f>(1-food_insecure)*(0.21)+food_insecure*(0.3)</f>
        <v>0.23673</v>
      </c>
      <c r="N26" s="60">
        <f>(1-food_insecure)*(0.21)+food_insecure*(0.3)</f>
        <v>0.23673</v>
      </c>
      <c r="O26" s="60">
        <f>(1-food_insecure)*(0.21)+food_insecure*(0.3)</f>
        <v>0.23673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3.5589143009999998E-2</v>
      </c>
      <c r="M27" s="60">
        <f>(1-food_insecure)*(0.3)</f>
        <v>0.2109</v>
      </c>
      <c r="N27" s="60">
        <f>(1-food_insecure)*(0.3)</f>
        <v>0.2109</v>
      </c>
      <c r="O27" s="60">
        <f>(1-food_insecure)*(0.3)</f>
        <v>0.2109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0.83125110000000002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