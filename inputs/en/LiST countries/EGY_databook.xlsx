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2274903E-3462-44A4-8099-71DF8E4B0A7D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H38" i="2"/>
  <c r="G38" i="2"/>
  <c r="A34" i="2"/>
  <c r="A31" i="2"/>
  <c r="A26" i="2"/>
  <c r="A24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6" i="2" l="1"/>
  <c r="I12" i="2"/>
  <c r="A35" i="2"/>
  <c r="A36" i="2"/>
  <c r="A37" i="2"/>
  <c r="I38" i="2"/>
  <c r="A22" i="2"/>
  <c r="I39" i="2"/>
  <c r="I7" i="2"/>
  <c r="A19" i="2"/>
  <c r="I3" i="2"/>
  <c r="I9" i="2"/>
  <c r="A23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<sst xmlns="http://schemas.openxmlformats.org/spreadsheetml/2006/main" count="2169" uniqueCount="373">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</sst>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12098898</v>
      </c>
    </row>
    <row r="8" spans="1:3" ht="15" customHeight="1" x14ac:dyDescent="0.25">
      <c r="B8" s="5" t="s">
        <v>8</v>
      </c>
      <c r="C8" s="44">
        <v>0.29699999999999999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0.83125110000000002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0.126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0.1125</v>
      </c>
    </row>
    <row r="24" spans="1:3" ht="15" customHeight="1" x14ac:dyDescent="0.25">
      <c r="B24" s="15" t="s">
        <v>22</v>
      </c>
      <c r="C24" s="45">
        <v>0.58400000000000007</v>
      </c>
    </row>
    <row r="25" spans="1:3" ht="15" customHeight="1" x14ac:dyDescent="0.25">
      <c r="B25" s="15" t="s">
        <v>23</v>
      </c>
      <c r="C25" s="45">
        <v>0.28139999999999998</v>
      </c>
    </row>
    <row r="26" spans="1:3" ht="15" customHeight="1" x14ac:dyDescent="0.25">
      <c r="B26" s="15" t="s">
        <v>24</v>
      </c>
      <c r="C26" s="45">
        <v>2.2100000000000002E-2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0.31611757185067002</v>
      </c>
    </row>
    <row r="30" spans="1:3" ht="14.25" customHeight="1" x14ac:dyDescent="0.25">
      <c r="B30" s="25" t="s">
        <v>27</v>
      </c>
      <c r="C30" s="97">
        <v>5.6193137427978712E-2</v>
      </c>
    </row>
    <row r="31" spans="1:3" ht="14.25" customHeight="1" x14ac:dyDescent="0.25">
      <c r="B31" s="25" t="s">
        <v>28</v>
      </c>
      <c r="C31" s="97">
        <v>7.8032026225336698E-2</v>
      </c>
    </row>
    <row r="32" spans="1:3" ht="14.25" customHeight="1" x14ac:dyDescent="0.25">
      <c r="B32" s="25" t="s">
        <v>29</v>
      </c>
      <c r="C32" s="97">
        <v>0.54965726449601493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10.021610000000001</v>
      </c>
    </row>
    <row r="38" spans="1:5" ht="15" customHeight="1" x14ac:dyDescent="0.25">
      <c r="B38" s="11" t="s">
        <v>34</v>
      </c>
      <c r="C38" s="43">
        <v>16.233989999999999</v>
      </c>
      <c r="D38" s="12"/>
      <c r="E38" s="13"/>
    </row>
    <row r="39" spans="1:5" ht="15" customHeight="1" x14ac:dyDescent="0.25">
      <c r="B39" s="11" t="s">
        <v>35</v>
      </c>
      <c r="C39" s="43">
        <v>18.957830000000001</v>
      </c>
      <c r="D39" s="12"/>
      <c r="E39" s="12"/>
    </row>
    <row r="40" spans="1:5" ht="15" customHeight="1" x14ac:dyDescent="0.25">
      <c r="B40" s="11" t="s">
        <v>36</v>
      </c>
      <c r="C40" s="98">
        <v>0.17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9.19496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7.4682999999999998E-3</v>
      </c>
      <c r="D45" s="12"/>
    </row>
    <row r="46" spans="1:5" ht="15.75" customHeight="1" x14ac:dyDescent="0.25">
      <c r="B46" s="11" t="s">
        <v>41</v>
      </c>
      <c r="C46" s="45">
        <v>8.0245599999999986E-2</v>
      </c>
      <c r="D46" s="12"/>
    </row>
    <row r="47" spans="1:5" ht="15.75" customHeight="1" x14ac:dyDescent="0.25">
      <c r="B47" s="11" t="s">
        <v>42</v>
      </c>
      <c r="C47" s="45">
        <v>7.3898599999999995E-2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4.2119999999999997</v>
      </c>
      <c r="D51" s="12"/>
    </row>
    <row r="52" spans="1:4" ht="15" customHeight="1" x14ac:dyDescent="0.25">
      <c r="B52" s="11" t="s">
        <v>46</v>
      </c>
      <c r="C52" s="98">
        <v>4.2119999999999997</v>
      </c>
    </row>
    <row r="53" spans="1:4" ht="15.75" customHeight="1" x14ac:dyDescent="0.25">
      <c r="B53" s="11" t="s">
        <v>47</v>
      </c>
      <c r="C53" s="98">
        <v>6.7859999999999996</v>
      </c>
    </row>
    <row r="54" spans="1:4" ht="15.75" customHeight="1" x14ac:dyDescent="0.25">
      <c r="B54" s="11" t="s">
        <v>48</v>
      </c>
      <c r="C54" s="98">
        <v>5.3560000000000008</v>
      </c>
    </row>
    <row r="55" spans="1:4" ht="15.75" customHeight="1" x14ac:dyDescent="0.25">
      <c r="B55" s="11" t="s">
        <v>49</v>
      </c>
      <c r="C55" s="98">
        <v>2.2359999999999989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0.59136299999999997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2448253</v>
      </c>
      <c r="C2" s="49">
        <v>6094296.5</v>
      </c>
      <c r="D2" s="49">
        <v>8827032</v>
      </c>
      <c r="E2" s="49">
        <v>8318903</v>
      </c>
      <c r="F2" s="49">
        <v>5878256.5</v>
      </c>
      <c r="G2" s="17">
        <f t="shared" ref="G2:G13" si="0">C2+D2+E2+F2</f>
        <v>29118488</v>
      </c>
      <c r="H2" s="17">
        <f t="shared" ref="H2:H13" si="1">(B2 + stillbirth*B2/(1000-stillbirth))/(1-abortion)</f>
        <v>2807924.4346780693</v>
      </c>
      <c r="I2" s="17">
        <f t="shared" ref="I2:I13" si="2">G2-H2</f>
        <v>26310563.56532193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2450490</v>
      </c>
      <c r="C3" s="50">
        <v>6276160.5</v>
      </c>
      <c r="D3" s="50">
        <v>8938211</v>
      </c>
      <c r="E3" s="50">
        <v>8353224.5</v>
      </c>
      <c r="F3" s="50">
        <v>6083079</v>
      </c>
      <c r="G3" s="17">
        <f t="shared" si="0"/>
        <v>29650675</v>
      </c>
      <c r="H3" s="17">
        <f t="shared" si="1"/>
        <v>2810490.0710564889</v>
      </c>
      <c r="I3" s="17">
        <f t="shared" si="2"/>
        <v>26840184.928943511</v>
      </c>
    </row>
    <row r="4" spans="1:9" ht="15.75" customHeight="1" x14ac:dyDescent="0.25">
      <c r="A4" s="5">
        <f t="shared" si="3"/>
        <v>2026</v>
      </c>
      <c r="B4" s="49">
        <v>2459857</v>
      </c>
      <c r="C4" s="50">
        <v>6485555.5</v>
      </c>
      <c r="D4" s="50">
        <v>9065832</v>
      </c>
      <c r="E4" s="50">
        <v>8369424.5</v>
      </c>
      <c r="F4" s="50">
        <v>6286814</v>
      </c>
      <c r="G4" s="17">
        <f t="shared" si="0"/>
        <v>30207626</v>
      </c>
      <c r="H4" s="17">
        <f t="shared" si="1"/>
        <v>2821233.1716182483</v>
      </c>
      <c r="I4" s="17">
        <f t="shared" si="2"/>
        <v>27386392.828381751</v>
      </c>
    </row>
    <row r="5" spans="1:9" ht="15.75" customHeight="1" x14ac:dyDescent="0.25">
      <c r="A5" s="5">
        <f t="shared" si="3"/>
        <v>2027</v>
      </c>
      <c r="B5" s="49">
        <v>2468921</v>
      </c>
      <c r="C5" s="50">
        <v>6724670.4999999991</v>
      </c>
      <c r="D5" s="50">
        <v>9210190</v>
      </c>
      <c r="E5" s="50">
        <v>8376614.0000000009</v>
      </c>
      <c r="F5" s="50">
        <v>6488086</v>
      </c>
      <c r="G5" s="17">
        <f t="shared" si="0"/>
        <v>30799560.5</v>
      </c>
      <c r="H5" s="17">
        <f t="shared" si="1"/>
        <v>2831628.7586249518</v>
      </c>
      <c r="I5" s="17">
        <f t="shared" si="2"/>
        <v>27967931.741375048</v>
      </c>
    </row>
    <row r="6" spans="1:9" ht="15.75" customHeight="1" x14ac:dyDescent="0.25">
      <c r="A6" s="5">
        <f t="shared" si="3"/>
        <v>2028</v>
      </c>
      <c r="B6" s="49">
        <v>2476884</v>
      </c>
      <c r="C6" s="50">
        <v>6977941.5000000009</v>
      </c>
      <c r="D6" s="50">
        <v>9366249</v>
      </c>
      <c r="E6" s="50">
        <v>8386880</v>
      </c>
      <c r="F6" s="50">
        <v>6679897</v>
      </c>
      <c r="G6" s="17">
        <f t="shared" si="0"/>
        <v>31410967.5</v>
      </c>
      <c r="H6" s="17">
        <f t="shared" si="1"/>
        <v>2840761.5983573408</v>
      </c>
      <c r="I6" s="17">
        <f t="shared" si="2"/>
        <v>28570205.901642658</v>
      </c>
    </row>
    <row r="7" spans="1:9" ht="15.75" customHeight="1" x14ac:dyDescent="0.25">
      <c r="A7" s="5">
        <f t="shared" si="3"/>
        <v>2029</v>
      </c>
      <c r="B7" s="49">
        <v>2494652</v>
      </c>
      <c r="C7" s="50">
        <v>7229373.5000000009</v>
      </c>
      <c r="D7" s="50">
        <v>9533625.5</v>
      </c>
      <c r="E7" s="50">
        <v>8408895.5</v>
      </c>
      <c r="F7" s="50">
        <v>6854738</v>
      </c>
      <c r="G7" s="17">
        <f t="shared" si="0"/>
        <v>32026632.5</v>
      </c>
      <c r="H7" s="17">
        <f t="shared" si="1"/>
        <v>2861139.8849786012</v>
      </c>
      <c r="I7" s="17">
        <f t="shared" si="2"/>
        <v>29165492.6150214</v>
      </c>
    </row>
    <row r="8" spans="1:9" ht="15.75" customHeight="1" x14ac:dyDescent="0.25">
      <c r="A8" s="5">
        <f t="shared" si="3"/>
        <v>2030</v>
      </c>
      <c r="B8" s="49">
        <v>2504688</v>
      </c>
      <c r="C8" s="50">
        <v>7406688.5</v>
      </c>
      <c r="D8" s="50">
        <v>9736541</v>
      </c>
      <c r="E8" s="50">
        <v>8446853.5</v>
      </c>
      <c r="F8" s="50">
        <v>7007209</v>
      </c>
      <c r="G8" s="17">
        <f t="shared" si="0"/>
        <v>32597292</v>
      </c>
      <c r="H8" s="17">
        <f t="shared" si="1"/>
        <v>2872650.2679440985</v>
      </c>
      <c r="I8" s="17">
        <f t="shared" si="2"/>
        <v>29724641.732055902</v>
      </c>
    </row>
    <row r="9" spans="1:9" ht="15.75" customHeight="1" x14ac:dyDescent="0.25">
      <c r="A9" s="5">
        <f t="shared" si="3"/>
        <v>2031</v>
      </c>
      <c r="B9" s="49">
        <v>2528307</v>
      </c>
      <c r="C9" s="50">
        <v>7494790.0000000009</v>
      </c>
      <c r="D9" s="50">
        <v>9974220</v>
      </c>
      <c r="E9" s="50">
        <v>8506431</v>
      </c>
      <c r="F9" s="50">
        <v>7135036</v>
      </c>
      <c r="G9" s="17">
        <f t="shared" si="0"/>
        <v>33110477</v>
      </c>
      <c r="H9" s="17">
        <f t="shared" si="1"/>
        <v>2899739.1215971578</v>
      </c>
      <c r="I9" s="17">
        <f t="shared" si="2"/>
        <v>30210737.878402844</v>
      </c>
    </row>
    <row r="10" spans="1:9" ht="15.75" customHeight="1" x14ac:dyDescent="0.25">
      <c r="A10" s="5">
        <f t="shared" si="3"/>
        <v>2032</v>
      </c>
      <c r="B10" s="49">
        <v>2564728</v>
      </c>
      <c r="C10" s="50">
        <v>7529249</v>
      </c>
      <c r="D10" s="50">
        <v>10243348</v>
      </c>
      <c r="E10" s="50">
        <v>8576114.5</v>
      </c>
      <c r="F10" s="50">
        <v>7234751</v>
      </c>
      <c r="G10" s="17">
        <f t="shared" si="0"/>
        <v>33583462.5</v>
      </c>
      <c r="H10" s="17">
        <f t="shared" si="1"/>
        <v>2941510.7096787035</v>
      </c>
      <c r="I10" s="17">
        <f t="shared" si="2"/>
        <v>30641951.790321298</v>
      </c>
    </row>
    <row r="11" spans="1:9" ht="15.75" customHeight="1" x14ac:dyDescent="0.25">
      <c r="A11" s="5">
        <f t="shared" si="3"/>
        <v>2033</v>
      </c>
      <c r="B11" s="49">
        <v>2608172</v>
      </c>
      <c r="C11" s="50">
        <v>7492340.0000000009</v>
      </c>
      <c r="D11" s="50">
        <v>10550564</v>
      </c>
      <c r="E11" s="50">
        <v>8655815.5</v>
      </c>
      <c r="F11" s="50">
        <v>7312768.5</v>
      </c>
      <c r="G11" s="17">
        <f t="shared" si="0"/>
        <v>34011488</v>
      </c>
      <c r="H11" s="17">
        <f t="shared" si="1"/>
        <v>2991337.0426353686</v>
      </c>
      <c r="I11" s="17">
        <f t="shared" si="2"/>
        <v>31020150.95736463</v>
      </c>
    </row>
    <row r="12" spans="1:9" ht="15.75" customHeight="1" x14ac:dyDescent="0.25">
      <c r="A12" s="5">
        <f t="shared" si="3"/>
        <v>2034</v>
      </c>
      <c r="B12" s="49">
        <v>2645436</v>
      </c>
      <c r="C12" s="50">
        <v>7399273.5</v>
      </c>
      <c r="D12" s="50">
        <v>10884054.5</v>
      </c>
      <c r="E12" s="50">
        <v>8752247.0000000019</v>
      </c>
      <c r="F12" s="50">
        <v>7372478</v>
      </c>
      <c r="G12" s="17">
        <f t="shared" si="0"/>
        <v>34408053</v>
      </c>
      <c r="H12" s="17">
        <f t="shared" si="1"/>
        <v>3034075.4753601905</v>
      </c>
      <c r="I12" s="17">
        <f t="shared" si="2"/>
        <v>31373977.524639808</v>
      </c>
    </row>
    <row r="13" spans="1:9" ht="15.75" customHeight="1" x14ac:dyDescent="0.25">
      <c r="A13" s="5">
        <f t="shared" si="3"/>
        <v>2035</v>
      </c>
      <c r="B13" s="49">
        <v>2672163</v>
      </c>
      <c r="C13" s="50">
        <v>7278833.0000000009</v>
      </c>
      <c r="D13" s="50">
        <v>11225316.5</v>
      </c>
      <c r="E13" s="50">
        <v>8863369.5</v>
      </c>
      <c r="F13" s="50">
        <v>7408215</v>
      </c>
      <c r="G13" s="17">
        <f t="shared" si="0"/>
        <v>34775734</v>
      </c>
      <c r="H13" s="17">
        <f t="shared" si="1"/>
        <v>3064728.9234987777</v>
      </c>
      <c r="I13" s="17">
        <f t="shared" si="2"/>
        <v>31711005.07650122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1.3478998652100139E-3</v>
      </c>
    </row>
    <row r="4" spans="1:8" ht="15.75" customHeight="1" x14ac:dyDescent="0.25">
      <c r="B4" s="19" t="s">
        <v>69</v>
      </c>
      <c r="C4" s="99">
        <v>4.0791195920880458E-2</v>
      </c>
    </row>
    <row r="5" spans="1:8" ht="15.75" customHeight="1" x14ac:dyDescent="0.25">
      <c r="B5" s="19" t="s">
        <v>70</v>
      </c>
      <c r="C5" s="99">
        <v>1.6696498330350171E-2</v>
      </c>
    </row>
    <row r="6" spans="1:8" ht="15.75" customHeight="1" x14ac:dyDescent="0.25">
      <c r="B6" s="19" t="s">
        <v>71</v>
      </c>
      <c r="C6" s="99">
        <v>0.17240298275970181</v>
      </c>
    </row>
    <row r="7" spans="1:8" ht="15.75" customHeight="1" x14ac:dyDescent="0.25">
      <c r="B7" s="19" t="s">
        <v>72</v>
      </c>
      <c r="C7" s="99">
        <v>0.47297665270233391</v>
      </c>
    </row>
    <row r="8" spans="1:8" ht="15.75" customHeight="1" x14ac:dyDescent="0.25">
      <c r="B8" s="19" t="s">
        <v>73</v>
      </c>
      <c r="C8" s="99">
        <v>1.5819998418000169E-4</v>
      </c>
    </row>
    <row r="9" spans="1:8" ht="15.75" customHeight="1" x14ac:dyDescent="0.25">
      <c r="B9" s="19" t="s">
        <v>74</v>
      </c>
      <c r="C9" s="99">
        <v>0.23270537672946309</v>
      </c>
    </row>
    <row r="10" spans="1:8" ht="15.75" customHeight="1" x14ac:dyDescent="0.25">
      <c r="B10" s="19" t="s">
        <v>75</v>
      </c>
      <c r="C10" s="99">
        <v>6.2921193707880657E-2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4.6044017435636637E-2</v>
      </c>
      <c r="D14" s="55">
        <v>4.6044017435636637E-2</v>
      </c>
      <c r="E14" s="55">
        <v>4.6044017435636637E-2</v>
      </c>
      <c r="F14" s="55">
        <v>4.6044017435636637E-2</v>
      </c>
    </row>
    <row r="15" spans="1:8" ht="15.75" customHeight="1" x14ac:dyDescent="0.25">
      <c r="B15" s="19" t="s">
        <v>82</v>
      </c>
      <c r="C15" s="99">
        <v>0.63344980973316023</v>
      </c>
      <c r="D15" s="99">
        <v>0.63344980973316023</v>
      </c>
      <c r="E15" s="99">
        <v>0.63344980973316023</v>
      </c>
      <c r="F15" s="99">
        <v>0.63344980973316023</v>
      </c>
    </row>
    <row r="16" spans="1:8" ht="15.75" customHeight="1" x14ac:dyDescent="0.25">
      <c r="B16" s="19" t="s">
        <v>83</v>
      </c>
      <c r="C16" s="99">
        <v>1.129582496415343E-2</v>
      </c>
      <c r="D16" s="99">
        <v>1.129582496415343E-2</v>
      </c>
      <c r="E16" s="99">
        <v>1.129582496415343E-2</v>
      </c>
      <c r="F16" s="99">
        <v>1.129582496415343E-2</v>
      </c>
    </row>
    <row r="17" spans="1:8" ht="15.75" customHeight="1" x14ac:dyDescent="0.25">
      <c r="B17" s="19" t="s">
        <v>84</v>
      </c>
      <c r="C17" s="99">
        <v>3.894837078298569E-3</v>
      </c>
      <c r="D17" s="99">
        <v>3.894837078298569E-3</v>
      </c>
      <c r="E17" s="99">
        <v>3.894837078298569E-3</v>
      </c>
      <c r="F17" s="99">
        <v>3.894837078298569E-3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1.319115285484122E-2</v>
      </c>
      <c r="D19" s="99">
        <v>1.319115285484122E-2</v>
      </c>
      <c r="E19" s="99">
        <v>1.319115285484122E-2</v>
      </c>
      <c r="F19" s="99">
        <v>1.319115285484122E-2</v>
      </c>
    </row>
    <row r="20" spans="1:8" ht="15.75" customHeight="1" x14ac:dyDescent="0.25">
      <c r="B20" s="19" t="s">
        <v>87</v>
      </c>
      <c r="C20" s="99">
        <v>7.1059375253170812E-3</v>
      </c>
      <c r="D20" s="99">
        <v>7.1059375253170812E-3</v>
      </c>
      <c r="E20" s="99">
        <v>7.1059375253170812E-3</v>
      </c>
      <c r="F20" s="99">
        <v>7.1059375253170812E-3</v>
      </c>
    </row>
    <row r="21" spans="1:8" ht="15.75" customHeight="1" x14ac:dyDescent="0.25">
      <c r="B21" s="19" t="s">
        <v>88</v>
      </c>
      <c r="C21" s="99">
        <v>0.2259862107187873</v>
      </c>
      <c r="D21" s="99">
        <v>0.2259862107187873</v>
      </c>
      <c r="E21" s="99">
        <v>0.2259862107187873</v>
      </c>
      <c r="F21" s="99">
        <v>0.2259862107187873</v>
      </c>
    </row>
    <row r="22" spans="1:8" ht="15.75" customHeight="1" x14ac:dyDescent="0.25">
      <c r="B22" s="19" t="s">
        <v>89</v>
      </c>
      <c r="C22" s="99">
        <v>5.9032209689805611E-2</v>
      </c>
      <c r="D22" s="99">
        <v>5.9032209689805611E-2</v>
      </c>
      <c r="E22" s="99">
        <v>5.9032209689805611E-2</v>
      </c>
      <c r="F22" s="99">
        <v>5.9032209689805611E-2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2.7001540000000001E-2</v>
      </c>
    </row>
    <row r="27" spans="1:8" ht="15.75" customHeight="1" x14ac:dyDescent="0.25">
      <c r="B27" s="19" t="s">
        <v>92</v>
      </c>
      <c r="C27" s="99">
        <v>1.6281780999999999E-2</v>
      </c>
    </row>
    <row r="28" spans="1:8" ht="15.75" customHeight="1" x14ac:dyDescent="0.25">
      <c r="B28" s="19" t="s">
        <v>93</v>
      </c>
      <c r="C28" s="99">
        <v>0.425831776</v>
      </c>
    </row>
    <row r="29" spans="1:8" ht="15.75" customHeight="1" x14ac:dyDescent="0.25">
      <c r="B29" s="19" t="s">
        <v>94</v>
      </c>
      <c r="C29" s="99">
        <v>0.19528870200000001</v>
      </c>
    </row>
    <row r="30" spans="1:8" ht="15.75" customHeight="1" x14ac:dyDescent="0.25">
      <c r="B30" s="19" t="s">
        <v>95</v>
      </c>
      <c r="C30" s="99">
        <v>4.8735185E-2</v>
      </c>
    </row>
    <row r="31" spans="1:8" ht="15.75" customHeight="1" x14ac:dyDescent="0.25">
      <c r="B31" s="19" t="s">
        <v>96</v>
      </c>
      <c r="C31" s="99">
        <v>2.3526106000000001E-2</v>
      </c>
    </row>
    <row r="32" spans="1:8" ht="15.75" customHeight="1" x14ac:dyDescent="0.25">
      <c r="B32" s="19" t="s">
        <v>97</v>
      </c>
      <c r="C32" s="99">
        <v>7.7799310000000003E-3</v>
      </c>
    </row>
    <row r="33" spans="2:3" ht="15.75" customHeight="1" x14ac:dyDescent="0.25">
      <c r="B33" s="19" t="s">
        <v>98</v>
      </c>
      <c r="C33" s="99">
        <v>0.13107344500000001</v>
      </c>
    </row>
    <row r="34" spans="2:3" ht="15.75" customHeight="1" x14ac:dyDescent="0.25">
      <c r="B34" s="19" t="s">
        <v>99</v>
      </c>
      <c r="C34" s="99">
        <v>0.124481534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0.41894613025163441</v>
      </c>
      <c r="D2" s="52">
        <f>IFERROR(1-_xlfn.NORM.DIST(_xlfn.NORM.INV(SUM(D4:D5), 0, 1) + 1, 0, 1, TRUE), "")</f>
        <v>0.41894613025163441</v>
      </c>
      <c r="E2" s="52">
        <f>IFERROR(1-_xlfn.NORM.DIST(_xlfn.NORM.INV(SUM(E4:E5), 0, 1) + 1, 0, 1, TRUE), "")</f>
        <v>0.46841153020316906</v>
      </c>
      <c r="F2" s="52">
        <f>IFERROR(1-_xlfn.NORM.DIST(_xlfn.NORM.INV(SUM(F4:F5), 0, 1) + 1, 0, 1, TRUE), "")</f>
        <v>0.38200498466942279</v>
      </c>
      <c r="G2" s="52">
        <f>IFERROR(1-_xlfn.NORM.DIST(_xlfn.NORM.INV(SUM(G4:G5), 0, 1) + 1, 0, 1, TRUE), "")</f>
        <v>0.40237292854156914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0.36786626974836556</v>
      </c>
      <c r="D3" s="52">
        <f>IFERROR(_xlfn.NORM.DIST(_xlfn.NORM.INV(SUM(D4:D5), 0, 1) + 1, 0, 1, TRUE) - SUM(D4:D5), "")</f>
        <v>0.36786626974836556</v>
      </c>
      <c r="E3" s="52">
        <f>IFERROR(_xlfn.NORM.DIST(_xlfn.NORM.INV(SUM(E4:E5), 0, 1) + 1, 0, 1, TRUE) - SUM(E4:E5), "")</f>
        <v>0.35299446979683097</v>
      </c>
      <c r="F3" s="52">
        <f>IFERROR(_xlfn.NORM.DIST(_xlfn.NORM.INV(SUM(F4:F5), 0, 1) + 1, 0, 1, TRUE) - SUM(F4:F5), "")</f>
        <v>0.37596291533057724</v>
      </c>
      <c r="G3" s="52">
        <f>IFERROR(_xlfn.NORM.DIST(_xlfn.NORM.INV(SUM(G4:G5), 0, 1) + 1, 0, 1, TRUE) - SUM(G4:G5), "")</f>
        <v>0.37183907145843087</v>
      </c>
    </row>
    <row r="4" spans="1:15" ht="15.75" customHeight="1" x14ac:dyDescent="0.25">
      <c r="B4" s="5" t="s">
        <v>104</v>
      </c>
      <c r="C4" s="45">
        <v>0.1047034</v>
      </c>
      <c r="D4" s="53">
        <v>0.1047034</v>
      </c>
      <c r="E4" s="53">
        <v>8.4055999999999992E-2</v>
      </c>
      <c r="F4" s="53">
        <v>0.1151422</v>
      </c>
      <c r="G4" s="53">
        <v>0.1215001</v>
      </c>
    </row>
    <row r="5" spans="1:15" ht="15.75" customHeight="1" x14ac:dyDescent="0.25">
      <c r="B5" s="5" t="s">
        <v>105</v>
      </c>
      <c r="C5" s="45">
        <v>0.1084842</v>
      </c>
      <c r="D5" s="53">
        <v>0.1084842</v>
      </c>
      <c r="E5" s="53">
        <v>9.4537999999999997E-2</v>
      </c>
      <c r="F5" s="53">
        <v>0.1268899</v>
      </c>
      <c r="G5" s="53">
        <v>0.1042879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0.5009786502764576</v>
      </c>
      <c r="D8" s="52">
        <f>IFERROR(1-_xlfn.NORM.DIST(_xlfn.NORM.INV(SUM(D10:D11), 0, 1) + 1, 0, 1, TRUE), "")</f>
        <v>0.5009786502764576</v>
      </c>
      <c r="E8" s="52">
        <f>IFERROR(1-_xlfn.NORM.DIST(_xlfn.NORM.INV(SUM(E10:E11), 0, 1) + 1, 0, 1, TRUE), "")</f>
        <v>0.56063795521593507</v>
      </c>
      <c r="F8" s="52">
        <f>IFERROR(1-_xlfn.NORM.DIST(_xlfn.NORM.INV(SUM(F10:F11), 0, 1) + 1, 0, 1, TRUE), "")</f>
        <v>0.61076826862092559</v>
      </c>
      <c r="G8" s="52">
        <f>IFERROR(1-_xlfn.NORM.DIST(_xlfn.NORM.INV(SUM(G10:G11), 0, 1) + 1, 0, 1, TRUE), "")</f>
        <v>0.66709630739965298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0.3409589497235424</v>
      </c>
      <c r="D9" s="52">
        <f>IFERROR(_xlfn.NORM.DIST(_xlfn.NORM.INV(SUM(D10:D11), 0, 1) + 1, 0, 1, TRUE) - SUM(D10:D11), "")</f>
        <v>0.3409589497235424</v>
      </c>
      <c r="E9" s="52">
        <f>IFERROR(_xlfn.NORM.DIST(_xlfn.NORM.INV(SUM(E10:E11), 0, 1) + 1, 0, 1, TRUE) - SUM(E10:E11), "")</f>
        <v>0.31482204478406489</v>
      </c>
      <c r="F9" s="52">
        <f>IFERROR(_xlfn.NORM.DIST(_xlfn.NORM.INV(SUM(F10:F11), 0, 1) + 1, 0, 1, TRUE) - SUM(F10:F11), "")</f>
        <v>0.28919143137907444</v>
      </c>
      <c r="G9" s="52">
        <f>IFERROR(_xlfn.NORM.DIST(_xlfn.NORM.INV(SUM(G10:G11), 0, 1) + 1, 0, 1, TRUE) - SUM(G10:G11), "")</f>
        <v>0.25681879260034701</v>
      </c>
    </row>
    <row r="10" spans="1:15" ht="15.75" customHeight="1" x14ac:dyDescent="0.25">
      <c r="B10" s="5" t="s">
        <v>109</v>
      </c>
      <c r="C10" s="45">
        <v>6.7265100000000008E-2</v>
      </c>
      <c r="D10" s="53">
        <v>6.7265100000000008E-2</v>
      </c>
      <c r="E10" s="53">
        <v>5.1812700000000003E-2</v>
      </c>
      <c r="F10" s="53">
        <v>5.5065799999999998E-2</v>
      </c>
      <c r="G10" s="53">
        <v>3.9398900000000001E-2</v>
      </c>
    </row>
    <row r="11" spans="1:15" ht="15.75" customHeight="1" x14ac:dyDescent="0.25">
      <c r="B11" s="5" t="s">
        <v>110</v>
      </c>
      <c r="C11" s="45">
        <v>9.0797299999999997E-2</v>
      </c>
      <c r="D11" s="53">
        <v>9.0797299999999997E-2</v>
      </c>
      <c r="E11" s="53">
        <v>7.2727299999999995E-2</v>
      </c>
      <c r="F11" s="53">
        <v>4.4974500000000001E-2</v>
      </c>
      <c r="G11" s="53">
        <v>3.6686000000000003E-2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0.53595509000000008</v>
      </c>
      <c r="D14" s="54">
        <v>0.52223759440999995</v>
      </c>
      <c r="E14" s="54">
        <v>0.52223759440999995</v>
      </c>
      <c r="F14" s="54">
        <v>0.30702391420699998</v>
      </c>
      <c r="G14" s="54">
        <v>0.30702391420699998</v>
      </c>
      <c r="H14" s="45">
        <v>0.22600000000000001</v>
      </c>
      <c r="I14" s="55">
        <v>0.22600000000000001</v>
      </c>
      <c r="J14" s="55">
        <v>0.22600000000000001</v>
      </c>
      <c r="K14" s="55">
        <v>0.22600000000000001</v>
      </c>
      <c r="L14" s="45">
        <v>0.28899999999999998</v>
      </c>
      <c r="M14" s="55">
        <v>0.28899999999999998</v>
      </c>
      <c r="N14" s="55">
        <v>0.28899999999999998</v>
      </c>
      <c r="O14" s="55">
        <v>0.28899999999999998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0.31694400988767002</v>
      </c>
      <c r="D15" s="52">
        <f t="shared" si="0"/>
        <v>0.3088319905430808</v>
      </c>
      <c r="E15" s="52">
        <f t="shared" si="0"/>
        <v>0.3088319905430808</v>
      </c>
      <c r="F15" s="52">
        <f t="shared" si="0"/>
        <v>0.18156258297719413</v>
      </c>
      <c r="G15" s="52">
        <f t="shared" si="0"/>
        <v>0.18156258297719413</v>
      </c>
      <c r="H15" s="52">
        <f t="shared" si="0"/>
        <v>0.133648038</v>
      </c>
      <c r="I15" s="52">
        <f t="shared" si="0"/>
        <v>0.133648038</v>
      </c>
      <c r="J15" s="52">
        <f t="shared" si="0"/>
        <v>0.133648038</v>
      </c>
      <c r="K15" s="52">
        <f t="shared" si="0"/>
        <v>0.133648038</v>
      </c>
      <c r="L15" s="52">
        <f t="shared" si="0"/>
        <v>0.17090390699999997</v>
      </c>
      <c r="M15" s="52">
        <f t="shared" si="0"/>
        <v>0.17090390699999997</v>
      </c>
      <c r="N15" s="52">
        <f t="shared" si="0"/>
        <v>0.17090390699999997</v>
      </c>
      <c r="O15" s="52">
        <f t="shared" si="0"/>
        <v>0.17090390699999997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0.70579639999999999</v>
      </c>
      <c r="D2" s="53">
        <v>0.35294160000000002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0.15333430000000001</v>
      </c>
      <c r="D3" s="53">
        <v>0.30136089999999999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0.10710359999999999</v>
      </c>
      <c r="D4" s="53">
        <v>0.27389649999999999</v>
      </c>
      <c r="E4" s="53">
        <v>0.88846329999999996</v>
      </c>
      <c r="F4" s="53">
        <v>0.50463610000000003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3.376570000000001E-2</v>
      </c>
      <c r="D5" s="52">
        <f t="shared" si="0"/>
        <v>7.1801000000000004E-2</v>
      </c>
      <c r="E5" s="52">
        <f>1-SUM(E2:E4)</f>
        <v>0.11153670000000004</v>
      </c>
      <c r="F5" s="52">
        <f>1-SUM(F2:F4)</f>
        <v>0.49536389999999997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4295.4074956101404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0.41764000000000001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0.17492999999999997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1.568345529233019E-2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97936.726179999998</v>
      </c>
      <c r="C22" s="107">
        <v>97718.475349999993</v>
      </c>
      <c r="D22" s="107">
        <v>97515.524650000007</v>
      </c>
      <c r="E22" s="107">
        <v>97145.710550000003</v>
      </c>
      <c r="F22" s="107">
        <v>96749.700570000001</v>
      </c>
      <c r="G22" s="107">
        <v>96325.239079999999</v>
      </c>
      <c r="H22" s="107">
        <v>95766.170440000002</v>
      </c>
      <c r="I22" s="107">
        <v>95017.260980000006</v>
      </c>
      <c r="J22" s="107">
        <v>93922.382710000005</v>
      </c>
      <c r="K22" s="107">
        <v>92171.839460000003</v>
      </c>
      <c r="L22" s="107">
        <v>88832.398679999998</v>
      </c>
      <c r="M22" s="107">
        <v>83161.487110000002</v>
      </c>
      <c r="N22" s="107">
        <v>74768.493459999998</v>
      </c>
      <c r="O22" s="107">
        <v>62809.357459999999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7.4289688625382997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0.10284547803181469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0.36073490000000002</v>
      </c>
      <c r="C10" s="96">
        <v>0.95</v>
      </c>
      <c r="D10" s="56">
        <v>12.9171902178847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12.9171902178847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12.9171902178847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12.9171902178847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0.36073490000000002</v>
      </c>
      <c r="C14" s="96">
        <v>0.95</v>
      </c>
      <c r="D14" s="56">
        <v>12.9171902178847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12.9171902178847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7.992352075384429E-2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0.81099999999999994</v>
      </c>
      <c r="C18" s="96">
        <v>0.95</v>
      </c>
      <c r="D18" s="56">
        <v>7.4289688625382997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0.35294160000000002</v>
      </c>
      <c r="C19" s="96">
        <v>0.95</v>
      </c>
      <c r="D19" s="56">
        <v>8.03774489307912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7.4289688625382997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4.2199693960316731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0.62012901654384001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2.9567118730808599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0.28365869999999999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0.34690110000000002</v>
      </c>
      <c r="C29" s="96">
        <v>0.95</v>
      </c>
      <c r="D29" s="56">
        <v>193.6128732031849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173.50469037871034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0.68</v>
      </c>
      <c r="C32" s="96">
        <v>0.95</v>
      </c>
      <c r="D32" s="56">
        <v>0.53033228587019021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0.89830929999999998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0.35698020000000003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9.7485000000000002E-2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0.98693050000000004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5.0000000000000001E-3</v>
      </c>
      <c r="C38" s="96">
        <v>0.95</v>
      </c>
      <c r="D38" s="56">
        <v>2.6612563971340846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4.2119999999999997</v>
      </c>
      <c r="C2" s="21">
        <f>'Baseline year population inputs'!C52</f>
        <v>4.2119999999999997</v>
      </c>
      <c r="D2" s="21">
        <f>'Baseline year population inputs'!C53</f>
        <v>6.7859999999999996</v>
      </c>
      <c r="E2" s="21">
        <f>'Baseline year population inputs'!C54</f>
        <v>5.3560000000000008</v>
      </c>
      <c r="F2" s="21">
        <f>'Baseline year population inputs'!C55</f>
        <v>2.2359999999999989</v>
      </c>
    </row>
    <row r="3" spans="1:6" ht="15.75" customHeight="1" x14ac:dyDescent="0.25">
      <c r="A3" s="3" t="s">
        <v>197</v>
      </c>
      <c r="B3" s="21">
        <f>frac_mam_1month * 2.6</f>
        <v>0.17488926000000002</v>
      </c>
      <c r="C3" s="21">
        <f>frac_mam_1_5months * 2.6</f>
        <v>0.17488926000000002</v>
      </c>
      <c r="D3" s="21">
        <f>frac_mam_6_11months * 2.6</f>
        <v>0.13471302000000002</v>
      </c>
      <c r="E3" s="21">
        <f>frac_mam_12_23months * 2.6</f>
        <v>0.14317108000000001</v>
      </c>
      <c r="F3" s="21">
        <f>frac_mam_24_59months * 2.6</f>
        <v>0.10243714000000001</v>
      </c>
    </row>
    <row r="4" spans="1:6" ht="15.75" customHeight="1" x14ac:dyDescent="0.25">
      <c r="A4" s="3" t="s">
        <v>198</v>
      </c>
      <c r="B4" s="21">
        <f>frac_sam_1month * 2.6</f>
        <v>0.23607297999999999</v>
      </c>
      <c r="C4" s="21">
        <f>frac_sam_1_5months * 2.6</f>
        <v>0.23607297999999999</v>
      </c>
      <c r="D4" s="21">
        <f>frac_sam_6_11months * 2.6</f>
        <v>0.18909097999999999</v>
      </c>
      <c r="E4" s="21">
        <f>frac_sam_12_23months * 2.6</f>
        <v>0.1169337</v>
      </c>
      <c r="F4" s="21">
        <f>frac_sam_24_59months * 2.6</f>
        <v>9.5383600000000013E-2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0.29699999999999999</v>
      </c>
      <c r="F2" s="60">
        <f>food_insecure</f>
        <v>0.29699999999999999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0.29699999999999999</v>
      </c>
      <c r="F5" s="60">
        <f>food_insecure</f>
        <v>0.29699999999999999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8.7144827586206869E-2</v>
      </c>
      <c r="D7" s="60">
        <f>diarrhoea_1_5mo*frac_diarrhea_severe</f>
        <v>8.7144827586206869E-2</v>
      </c>
      <c r="E7" s="60">
        <f>diarrhoea_6_11mo*frac_diarrhea_severe</f>
        <v>0.14039999999999997</v>
      </c>
      <c r="F7" s="60">
        <f>diarrhoea_12_23mo*frac_diarrhea_severe</f>
        <v>0.11081379310344827</v>
      </c>
      <c r="G7" s="60">
        <f>diarrhoea_24_59mo*frac_diarrhea_severe</f>
        <v>4.6262068965517211E-2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0.29699999999999999</v>
      </c>
      <c r="F8" s="60">
        <f>food_insecure</f>
        <v>0.29699999999999999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0.29699999999999999</v>
      </c>
      <c r="F9" s="60">
        <f>food_insecure</f>
        <v>0.29699999999999999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8.7144827586206869E-2</v>
      </c>
      <c r="D12" s="60">
        <f>diarrhoea_1_5mo*frac_diarrhea_severe</f>
        <v>8.7144827586206869E-2</v>
      </c>
      <c r="E12" s="60">
        <f>diarrhoea_6_11mo*frac_diarrhea_severe</f>
        <v>0.14039999999999997</v>
      </c>
      <c r="F12" s="60">
        <f>diarrhoea_12_23mo*frac_diarrhea_severe</f>
        <v>0.11081379310344827</v>
      </c>
      <c r="G12" s="60">
        <f>diarrhoea_24_59mo*frac_diarrhea_severe</f>
        <v>4.6262068965517211E-2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0.29699999999999999</v>
      </c>
      <c r="I15" s="60">
        <f t="shared" si="0"/>
        <v>0.29699999999999999</v>
      </c>
      <c r="J15" s="60">
        <f t="shared" si="0"/>
        <v>0.29699999999999999</v>
      </c>
      <c r="K15" s="60">
        <f t="shared" si="0"/>
        <v>0.29699999999999999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0.29699999999999999</v>
      </c>
      <c r="I16" s="60">
        <f t="shared" si="0"/>
        <v>0.29699999999999999</v>
      </c>
      <c r="J16" s="60">
        <f t="shared" si="0"/>
        <v>0.29699999999999999</v>
      </c>
      <c r="K16" s="60">
        <f t="shared" si="0"/>
        <v>0.29699999999999999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0.126</v>
      </c>
      <c r="M24" s="60">
        <f>famplan_unmet_need</f>
        <v>0.126</v>
      </c>
      <c r="N24" s="60">
        <f>famplan_unmet_need</f>
        <v>0.126</v>
      </c>
      <c r="O24" s="60">
        <f>famplan_unmet_need</f>
        <v>0.126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9.3211829893000003E-2</v>
      </c>
      <c r="M25" s="60">
        <f>(1-food_insecure)*(0.49)+food_insecure*(0.7)</f>
        <v>0.55237000000000003</v>
      </c>
      <c r="N25" s="60">
        <f>(1-food_insecure)*(0.49)+food_insecure*(0.7)</f>
        <v>0.55237000000000003</v>
      </c>
      <c r="O25" s="60">
        <f>(1-food_insecure)*(0.49)+food_insecure*(0.7)</f>
        <v>0.55237000000000003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3.9947927096999999E-2</v>
      </c>
      <c r="M26" s="60">
        <f>(1-food_insecure)*(0.21)+food_insecure*(0.3)</f>
        <v>0.23673</v>
      </c>
      <c r="N26" s="60">
        <f>(1-food_insecure)*(0.21)+food_insecure*(0.3)</f>
        <v>0.23673</v>
      </c>
      <c r="O26" s="60">
        <f>(1-food_insecure)*(0.21)+food_insecure*(0.3)</f>
        <v>0.23673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3.5589143009999998E-2</v>
      </c>
      <c r="M27" s="60">
        <f>(1-food_insecure)*(0.3)</f>
        <v>0.2109</v>
      </c>
      <c r="N27" s="60">
        <f>(1-food_insecure)*(0.3)</f>
        <v>0.2109</v>
      </c>
      <c r="O27" s="60">
        <f>(1-food_insecure)*(0.3)</f>
        <v>0.2109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0.83125110000000002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