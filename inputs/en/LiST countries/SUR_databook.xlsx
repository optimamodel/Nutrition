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AAFA78D-5C03-4C28-BF65-030388C2A705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<sst xmlns="http://schemas.openxmlformats.org/spreadsheetml/2006/main" count="2101" uniqueCount="341">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</sst>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0.64718109130859403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9.8800000000000013E-2</v>
      </c>
    </row>
    <row r="24" spans="1:3" ht="15" customHeight="1" x14ac:dyDescent="0.25">
      <c r="B24" s="15" t="s">
        <v>22</v>
      </c>
      <c r="C24" s="45">
        <v>0.50419999999999998</v>
      </c>
    </row>
    <row r="25" spans="1:3" ht="15" customHeight="1" x14ac:dyDescent="0.25">
      <c r="B25" s="15" t="s">
        <v>23</v>
      </c>
      <c r="C25" s="45">
        <v>0.33889999999999998</v>
      </c>
    </row>
    <row r="26" spans="1:3" ht="15" customHeight="1" x14ac:dyDescent="0.25">
      <c r="B26" s="15" t="s">
        <v>24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11075</v>
      </c>
      <c r="C2" s="49">
        <v>32188.5</v>
      </c>
      <c r="D2" s="49">
        <v>51575.5</v>
      </c>
      <c r="E2" s="49">
        <v>43214.5</v>
      </c>
      <c r="F2" s="49">
        <v>33646</v>
      </c>
      <c r="G2" s="17">
        <f t="shared" ref="G2:G13" si="0">C2+D2+E2+F2</f>
        <v>160624.5</v>
      </c>
      <c r="H2" s="17">
        <f t="shared" ref="H2:H13" si="1">(B2 + stillbirth*B2/(1000-stillbirth))/(1-abortion)</f>
        <v>12724.455207741126</v>
      </c>
      <c r="I2" s="17">
        <f t="shared" ref="I2:I13" si="2">G2-H2</f>
        <v>147900.04479225888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11029</v>
      </c>
      <c r="C3" s="50">
        <v>31998</v>
      </c>
      <c r="D3" s="50">
        <v>52140.5</v>
      </c>
      <c r="E3" s="50">
        <v>43450.5</v>
      </c>
      <c r="F3" s="50">
        <v>34272.999999999993</v>
      </c>
      <c r="G3" s="17">
        <f t="shared" si="0"/>
        <v>161862</v>
      </c>
      <c r="H3" s="17">
        <f t="shared" si="1"/>
        <v>12671.604197397462</v>
      </c>
      <c r="I3" s="17">
        <f t="shared" si="2"/>
        <v>149190.39580260255</v>
      </c>
    </row>
    <row r="4" spans="1:9" ht="15.75" customHeight="1" x14ac:dyDescent="0.25">
      <c r="A4" s="5">
        <f t="shared" si="3"/>
        <v>2026</v>
      </c>
      <c r="B4" s="49">
        <v>10995</v>
      </c>
      <c r="C4" s="50">
        <v>31830</v>
      </c>
      <c r="D4" s="50">
        <v>52531</v>
      </c>
      <c r="E4" s="50">
        <v>43860</v>
      </c>
      <c r="F4" s="50">
        <v>34976.5</v>
      </c>
      <c r="G4" s="17">
        <f t="shared" si="0"/>
        <v>163197.5</v>
      </c>
      <c r="H4" s="17">
        <f t="shared" si="1"/>
        <v>12632.540407143448</v>
      </c>
      <c r="I4" s="17">
        <f t="shared" si="2"/>
        <v>150564.95959285655</v>
      </c>
    </row>
    <row r="5" spans="1:9" ht="15.75" customHeight="1" x14ac:dyDescent="0.25">
      <c r="A5" s="5">
        <f t="shared" si="3"/>
        <v>2027</v>
      </c>
      <c r="B5" s="49">
        <v>10952</v>
      </c>
      <c r="C5" s="50">
        <v>31690</v>
      </c>
      <c r="D5" s="50">
        <v>52767</v>
      </c>
      <c r="E5" s="50">
        <v>44426</v>
      </c>
      <c r="F5" s="50">
        <v>35633.5</v>
      </c>
      <c r="G5" s="17">
        <f t="shared" si="0"/>
        <v>164516.5</v>
      </c>
      <c r="H5" s="17">
        <f t="shared" si="1"/>
        <v>12583.136201822195</v>
      </c>
      <c r="I5" s="17">
        <f t="shared" si="2"/>
        <v>151933.3637981778</v>
      </c>
    </row>
    <row r="6" spans="1:9" ht="15.75" customHeight="1" x14ac:dyDescent="0.25">
      <c r="A6" s="5">
        <f t="shared" si="3"/>
        <v>2028</v>
      </c>
      <c r="B6" s="49">
        <v>10917</v>
      </c>
      <c r="C6" s="50">
        <v>31585</v>
      </c>
      <c r="D6" s="50">
        <v>52848.5</v>
      </c>
      <c r="E6" s="50">
        <v>45121</v>
      </c>
      <c r="F6" s="50">
        <v>36177.5</v>
      </c>
      <c r="G6" s="17">
        <f t="shared" si="0"/>
        <v>165732</v>
      </c>
      <c r="H6" s="17">
        <f t="shared" si="1"/>
        <v>12542.923476560711</v>
      </c>
      <c r="I6" s="17">
        <f t="shared" si="2"/>
        <v>153189.07652343929</v>
      </c>
    </row>
    <row r="7" spans="1:9" ht="15.75" customHeight="1" x14ac:dyDescent="0.25">
      <c r="A7" s="5">
        <f t="shared" si="3"/>
        <v>2029</v>
      </c>
      <c r="B7" s="49">
        <v>10912</v>
      </c>
      <c r="C7" s="50">
        <v>31516.5</v>
      </c>
      <c r="D7" s="50">
        <v>52797</v>
      </c>
      <c r="E7" s="50">
        <v>45909.5</v>
      </c>
      <c r="F7" s="50">
        <v>36634.5</v>
      </c>
      <c r="G7" s="17">
        <f t="shared" si="0"/>
        <v>166857.5</v>
      </c>
      <c r="H7" s="17">
        <f t="shared" si="1"/>
        <v>12537.178801523356</v>
      </c>
      <c r="I7" s="17">
        <f t="shared" si="2"/>
        <v>154320.32119847665</v>
      </c>
    </row>
    <row r="8" spans="1:9" ht="15.75" customHeight="1" x14ac:dyDescent="0.25">
      <c r="A8" s="5">
        <f t="shared" si="3"/>
        <v>2030</v>
      </c>
      <c r="B8" s="49">
        <v>10889</v>
      </c>
      <c r="C8" s="50">
        <v>31475.5</v>
      </c>
      <c r="D8" s="50">
        <v>52677</v>
      </c>
      <c r="E8" s="50">
        <v>46737</v>
      </c>
      <c r="F8" s="50">
        <v>37004.5</v>
      </c>
      <c r="G8" s="17">
        <f t="shared" si="0"/>
        <v>167894</v>
      </c>
      <c r="H8" s="17">
        <f t="shared" si="1"/>
        <v>12510.753296351522</v>
      </c>
      <c r="I8" s="17">
        <f t="shared" si="2"/>
        <v>155383.24670364847</v>
      </c>
    </row>
    <row r="9" spans="1:9" ht="15.75" customHeight="1" x14ac:dyDescent="0.25">
      <c r="A9" s="5">
        <f t="shared" si="3"/>
        <v>2031</v>
      </c>
      <c r="B9" s="49">
        <v>10833</v>
      </c>
      <c r="C9" s="50">
        <v>31459</v>
      </c>
      <c r="D9" s="50">
        <v>52537.5</v>
      </c>
      <c r="E9" s="50">
        <v>47564</v>
      </c>
      <c r="F9" s="50">
        <v>37271.5</v>
      </c>
      <c r="G9" s="17">
        <f t="shared" si="0"/>
        <v>168832</v>
      </c>
      <c r="H9" s="17">
        <f t="shared" si="1"/>
        <v>12446.412935933149</v>
      </c>
      <c r="I9" s="17">
        <f t="shared" si="2"/>
        <v>156385.58706406684</v>
      </c>
    </row>
    <row r="10" spans="1:9" ht="15.75" customHeight="1" x14ac:dyDescent="0.25">
      <c r="A10" s="5">
        <f t="shared" si="3"/>
        <v>2032</v>
      </c>
      <c r="B10" s="49">
        <v>10803</v>
      </c>
      <c r="C10" s="50">
        <v>31464.5</v>
      </c>
      <c r="D10" s="50">
        <v>52367</v>
      </c>
      <c r="E10" s="50">
        <v>48399</v>
      </c>
      <c r="F10" s="50">
        <v>37411</v>
      </c>
      <c r="G10" s="17">
        <f t="shared" si="0"/>
        <v>169641.5</v>
      </c>
      <c r="H10" s="17">
        <f t="shared" si="1"/>
        <v>12411.944885709019</v>
      </c>
      <c r="I10" s="17">
        <f t="shared" si="2"/>
        <v>157229.55511429097</v>
      </c>
    </row>
    <row r="11" spans="1:9" ht="15.75" customHeight="1" x14ac:dyDescent="0.25">
      <c r="A11" s="5">
        <f t="shared" si="3"/>
        <v>2033</v>
      </c>
      <c r="B11" s="49">
        <v>10747</v>
      </c>
      <c r="C11" s="50">
        <v>31485.5</v>
      </c>
      <c r="D11" s="50">
        <v>52167.5</v>
      </c>
      <c r="E11" s="50">
        <v>49210</v>
      </c>
      <c r="F11" s="50">
        <v>37429</v>
      </c>
      <c r="G11" s="17">
        <f t="shared" si="0"/>
        <v>170292</v>
      </c>
      <c r="H11" s="17">
        <f t="shared" si="1"/>
        <v>12347.604525290644</v>
      </c>
      <c r="I11" s="17">
        <f t="shared" si="2"/>
        <v>157944.39547470937</v>
      </c>
    </row>
    <row r="12" spans="1:9" ht="15.75" customHeight="1" x14ac:dyDescent="0.25">
      <c r="A12" s="5">
        <f t="shared" si="3"/>
        <v>2034</v>
      </c>
      <c r="B12" s="49">
        <v>10703</v>
      </c>
      <c r="C12" s="50">
        <v>31525</v>
      </c>
      <c r="D12" s="50">
        <v>51953.5</v>
      </c>
      <c r="E12" s="50">
        <v>49929</v>
      </c>
      <c r="F12" s="50">
        <v>37427</v>
      </c>
      <c r="G12" s="17">
        <f t="shared" si="0"/>
        <v>170834.5</v>
      </c>
      <c r="H12" s="17">
        <f t="shared" si="1"/>
        <v>12297.051384961922</v>
      </c>
      <c r="I12" s="17">
        <f t="shared" si="2"/>
        <v>158537.44861503807</v>
      </c>
    </row>
    <row r="13" spans="1:9" ht="15.75" customHeight="1" x14ac:dyDescent="0.25">
      <c r="A13" s="5">
        <f t="shared" si="3"/>
        <v>2035</v>
      </c>
      <c r="B13" s="49">
        <v>10639</v>
      </c>
      <c r="C13" s="50">
        <v>31582.5</v>
      </c>
      <c r="D13" s="50">
        <v>51749</v>
      </c>
      <c r="E13" s="50">
        <v>50493</v>
      </c>
      <c r="F13" s="50">
        <v>37524</v>
      </c>
      <c r="G13" s="17">
        <f t="shared" si="0"/>
        <v>171348.5</v>
      </c>
      <c r="H13" s="17">
        <f t="shared" si="1"/>
        <v>12223.519544483779</v>
      </c>
      <c r="I13" s="17">
        <f t="shared" si="2"/>
        <v>159124.98045551623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154.17725521634259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36.544834772694642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1.559716229638761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0.44994896638918952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1.516970800969268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0.83347689488283194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13.25939284886182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13.25939284886182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13.25939284886182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13.25939284886182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13.25939284886182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13.25939284886182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7.8606899999999993E-2</v>
      </c>
      <c r="C16" s="98">
        <v>0.95</v>
      </c>
      <c r="D16" s="56">
        <v>5.8835597567123799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7.7588900000000002E-2</v>
      </c>
      <c r="C18" s="98">
        <v>0.95</v>
      </c>
      <c r="D18" s="56">
        <v>36.544834772694642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7.7588900000000002E-2</v>
      </c>
      <c r="C19" s="98">
        <v>0.95</v>
      </c>
      <c r="D19" s="56">
        <v>36.544834772694642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17.588891180900539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23.01109674039985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3.9129999999999998E-3</v>
      </c>
      <c r="C23" s="98">
        <v>0.95</v>
      </c>
      <c r="D23" s="56">
        <v>4.4338460403923747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0.66624536519805999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8.1464668622096941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5.5181659343385068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0.45581739999999998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0.23215369999999999</v>
      </c>
      <c r="C29" s="98">
        <v>0.95</v>
      </c>
      <c r="D29" s="56">
        <v>206.81375092158379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65.176827828224631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0.72116230000000003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0.12046129999999999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5.8989100000000003E-2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0.80314839999999998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5.754815016497699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2024-08-06T06:32:22Z</dcterms:modified>
</cp:coreProperties>
</file>