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06C14E0-9A82-44AE-B8C7-12CC999DDDC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29" i="2"/>
  <c r="A27" i="2"/>
  <c r="A21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0" i="2" l="1"/>
  <c r="A28" i="2"/>
  <c r="A36" i="2"/>
  <c r="A14" i="2"/>
  <c r="A22" i="2"/>
  <c r="A30" i="2"/>
  <c r="A40" i="2"/>
  <c r="A38" i="2"/>
  <c r="A15" i="2"/>
  <c r="A23" i="2"/>
  <c r="A31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<sst xmlns="http://schemas.openxmlformats.org/spreadsheetml/2006/main" count="2092" uniqueCount="341">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</sst>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0.64718109130859403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9756.5720000000001</v>
      </c>
      <c r="C2" s="49">
        <v>23000</v>
      </c>
      <c r="D2" s="49">
        <v>46000</v>
      </c>
      <c r="E2" s="49">
        <v>1413000</v>
      </c>
      <c r="F2" s="49">
        <v>1269000</v>
      </c>
      <c r="G2" s="17">
        <f t="shared" ref="G2:G13" si="0">C2+D2+E2+F2</f>
        <v>2751000</v>
      </c>
      <c r="H2" s="17">
        <f t="shared" ref="H2:H13" si="1">(B2 + stillbirth*B2/(1000-stillbirth))/(1-abortion)</f>
        <v>11209.667123711175</v>
      </c>
      <c r="I2" s="17">
        <f t="shared" ref="I2:I13" si="2">G2-H2</f>
        <v>2739790.3328762888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9688.8250000000007</v>
      </c>
      <c r="C3" s="50">
        <v>23000</v>
      </c>
      <c r="D3" s="50">
        <v>46000</v>
      </c>
      <c r="E3" s="50">
        <v>1501000</v>
      </c>
      <c r="F3" s="50">
        <v>1356000</v>
      </c>
      <c r="G3" s="17">
        <f t="shared" si="0"/>
        <v>2926000</v>
      </c>
      <c r="H3" s="17">
        <f t="shared" si="1"/>
        <v>11131.830223760038</v>
      </c>
      <c r="I3" s="17">
        <f t="shared" si="2"/>
        <v>2914868.1697762399</v>
      </c>
    </row>
    <row r="4" spans="1:9" ht="15.75" customHeight="1" x14ac:dyDescent="0.25">
      <c r="A4" s="5">
        <f t="shared" si="3"/>
        <v>2026</v>
      </c>
      <c r="B4" s="49">
        <v>9630.9953999999998</v>
      </c>
      <c r="C4" s="50">
        <v>23000</v>
      </c>
      <c r="D4" s="50">
        <v>46000</v>
      </c>
      <c r="E4" s="50">
        <v>1568000</v>
      </c>
      <c r="F4" s="50">
        <v>1422000</v>
      </c>
      <c r="G4" s="17">
        <f t="shared" si="0"/>
        <v>3059000</v>
      </c>
      <c r="H4" s="17">
        <f t="shared" si="1"/>
        <v>11065.387771851994</v>
      </c>
      <c r="I4" s="17">
        <f t="shared" si="2"/>
        <v>3047934.6122281482</v>
      </c>
    </row>
    <row r="5" spans="1:9" ht="15.75" customHeight="1" x14ac:dyDescent="0.25">
      <c r="A5" s="5">
        <f t="shared" si="3"/>
        <v>2027</v>
      </c>
      <c r="B5" s="49">
        <v>9571.5401999999995</v>
      </c>
      <c r="C5" s="50">
        <v>24000</v>
      </c>
      <c r="D5" s="50">
        <v>46000</v>
      </c>
      <c r="E5" s="50">
        <v>1636000</v>
      </c>
      <c r="F5" s="50">
        <v>1477000</v>
      </c>
      <c r="G5" s="17">
        <f t="shared" si="0"/>
        <v>3183000</v>
      </c>
      <c r="H5" s="17">
        <f t="shared" si="1"/>
        <v>10997.077611195804</v>
      </c>
      <c r="I5" s="17">
        <f t="shared" si="2"/>
        <v>3172002.9223888041</v>
      </c>
    </row>
    <row r="6" spans="1:9" ht="15.75" customHeight="1" x14ac:dyDescent="0.25">
      <c r="A6" s="5">
        <f t="shared" si="3"/>
        <v>2028</v>
      </c>
      <c r="B6" s="49">
        <v>9494.8940000000002</v>
      </c>
      <c r="C6" s="50">
        <v>24000</v>
      </c>
      <c r="D6" s="50">
        <v>46000</v>
      </c>
      <c r="E6" s="50">
        <v>1705000</v>
      </c>
      <c r="F6" s="50">
        <v>1525000</v>
      </c>
      <c r="G6" s="17">
        <f t="shared" si="0"/>
        <v>3300000</v>
      </c>
      <c r="H6" s="17">
        <f t="shared" si="1"/>
        <v>10909.016108826183</v>
      </c>
      <c r="I6" s="17">
        <f t="shared" si="2"/>
        <v>3289090.9838911737</v>
      </c>
    </row>
    <row r="7" spans="1:9" ht="15.75" customHeight="1" x14ac:dyDescent="0.25">
      <c r="A7" s="5">
        <f t="shared" si="3"/>
        <v>2029</v>
      </c>
      <c r="B7" s="49">
        <v>9432.3907999999992</v>
      </c>
      <c r="C7" s="50">
        <v>24000</v>
      </c>
      <c r="D7" s="50">
        <v>45000</v>
      </c>
      <c r="E7" s="50">
        <v>1774000</v>
      </c>
      <c r="F7" s="50">
        <v>1565000</v>
      </c>
      <c r="G7" s="17">
        <f t="shared" si="0"/>
        <v>3408000</v>
      </c>
      <c r="H7" s="17">
        <f t="shared" si="1"/>
        <v>10837.203994267222</v>
      </c>
      <c r="I7" s="17">
        <f t="shared" si="2"/>
        <v>3397162.7960057328</v>
      </c>
    </row>
    <row r="8" spans="1:9" ht="15.75" customHeight="1" x14ac:dyDescent="0.25">
      <c r="A8" s="5">
        <f t="shared" si="3"/>
        <v>2030</v>
      </c>
      <c r="B8" s="49">
        <v>9353.1029999999992</v>
      </c>
      <c r="C8" s="50">
        <v>24000</v>
      </c>
      <c r="D8" s="50">
        <v>45000</v>
      </c>
      <c r="E8" s="50">
        <v>1841000</v>
      </c>
      <c r="F8" s="50">
        <v>1599000</v>
      </c>
      <c r="G8" s="17">
        <f t="shared" si="0"/>
        <v>3509000</v>
      </c>
      <c r="H8" s="17">
        <f t="shared" si="1"/>
        <v>10746.107465181864</v>
      </c>
      <c r="I8" s="17">
        <f t="shared" si="2"/>
        <v>3498253.892534818</v>
      </c>
    </row>
    <row r="9" spans="1:9" ht="15.75" customHeight="1" x14ac:dyDescent="0.25">
      <c r="A9" s="5">
        <f t="shared" si="3"/>
        <v>2031</v>
      </c>
      <c r="B9" s="49">
        <v>9295.4645714285707</v>
      </c>
      <c r="C9" s="50">
        <v>24142.857142857141</v>
      </c>
      <c r="D9" s="50">
        <v>44857.142857142862</v>
      </c>
      <c r="E9" s="50">
        <v>1902142.857142857</v>
      </c>
      <c r="F9" s="50">
        <v>1646142.857142857</v>
      </c>
      <c r="G9" s="17">
        <f t="shared" si="0"/>
        <v>3617285.7142857141</v>
      </c>
      <c r="H9" s="17">
        <f t="shared" si="1"/>
        <v>10679.884656820534</v>
      </c>
      <c r="I9" s="17">
        <f t="shared" si="2"/>
        <v>3606605.8296288936</v>
      </c>
    </row>
    <row r="10" spans="1:9" ht="15.75" customHeight="1" x14ac:dyDescent="0.25">
      <c r="A10" s="5">
        <f t="shared" si="3"/>
        <v>2032</v>
      </c>
      <c r="B10" s="49">
        <v>9239.2702244897955</v>
      </c>
      <c r="C10" s="50">
        <v>24306.12244897959</v>
      </c>
      <c r="D10" s="50">
        <v>44693.877551020407</v>
      </c>
      <c r="E10" s="50">
        <v>1959448.9795918369</v>
      </c>
      <c r="F10" s="50">
        <v>1687591.836734694</v>
      </c>
      <c r="G10" s="17">
        <f t="shared" si="0"/>
        <v>3716040.8163265307</v>
      </c>
      <c r="H10" s="17">
        <f t="shared" si="1"/>
        <v>10615.321004400605</v>
      </c>
      <c r="I10" s="17">
        <f t="shared" si="2"/>
        <v>3705425.4953221302</v>
      </c>
    </row>
    <row r="11" spans="1:9" ht="15.75" customHeight="1" x14ac:dyDescent="0.25">
      <c r="A11" s="5">
        <f t="shared" si="3"/>
        <v>2033</v>
      </c>
      <c r="B11" s="49">
        <v>9183.3094851311944</v>
      </c>
      <c r="C11" s="50">
        <v>24492.71137026239</v>
      </c>
      <c r="D11" s="50">
        <v>44507.28862973761</v>
      </c>
      <c r="E11" s="50">
        <v>2015370.2623906711</v>
      </c>
      <c r="F11" s="50">
        <v>1725533.527696793</v>
      </c>
      <c r="G11" s="17">
        <f t="shared" si="0"/>
        <v>3809903.7900874643</v>
      </c>
      <c r="H11" s="17">
        <f t="shared" si="1"/>
        <v>10551.025751907549</v>
      </c>
      <c r="I11" s="17">
        <f t="shared" si="2"/>
        <v>3799352.7643355569</v>
      </c>
    </row>
    <row r="12" spans="1:9" ht="15.75" customHeight="1" x14ac:dyDescent="0.25">
      <c r="A12" s="5">
        <f t="shared" si="3"/>
        <v>2034</v>
      </c>
      <c r="B12" s="49">
        <v>9127.8479544356505</v>
      </c>
      <c r="C12" s="50">
        <v>24563.098708871301</v>
      </c>
      <c r="D12" s="50">
        <v>44294.044148271547</v>
      </c>
      <c r="E12" s="50">
        <v>2069566.014160766</v>
      </c>
      <c r="F12" s="50">
        <v>1761038.317367763</v>
      </c>
      <c r="G12" s="17">
        <f t="shared" si="0"/>
        <v>3899461.4743856722</v>
      </c>
      <c r="H12" s="17">
        <f t="shared" si="1"/>
        <v>10487.304057723513</v>
      </c>
      <c r="I12" s="17">
        <f t="shared" si="2"/>
        <v>3888974.1703279489</v>
      </c>
    </row>
    <row r="13" spans="1:9" ht="15.75" customHeight="1" x14ac:dyDescent="0.25">
      <c r="A13" s="5">
        <f t="shared" si="3"/>
        <v>2035</v>
      </c>
      <c r="B13" s="49">
        <v>9075.4128050693143</v>
      </c>
      <c r="C13" s="50">
        <v>24643.5413815672</v>
      </c>
      <c r="D13" s="50">
        <v>44050.336169453207</v>
      </c>
      <c r="E13" s="50">
        <v>2121646.8733265898</v>
      </c>
      <c r="F13" s="50">
        <v>1794758.076991729</v>
      </c>
      <c r="G13" s="17">
        <f t="shared" si="0"/>
        <v>3985098.8278693394</v>
      </c>
      <c r="H13" s="17">
        <f t="shared" si="1"/>
        <v>10427.059478994559</v>
      </c>
      <c r="I13" s="17">
        <f t="shared" si="2"/>
        <v>3974671.7683903449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0.12637916779176001</v>
      </c>
      <c r="C2" s="98">
        <v>0.95</v>
      </c>
      <c r="D2" s="56">
        <v>69.047770440302898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40.127093405065906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587.14420029876032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1.4701821374670201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13.25939284886182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13.25939284886182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13.25939284886182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13.25939284886182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13.25939284886182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13.25939284886182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0.2066742856206</v>
      </c>
      <c r="C16" s="98">
        <v>0.95</v>
      </c>
      <c r="D16" s="56">
        <v>0.96615864875716684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13.483785833565429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13.483785833565429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0.12046129999999999</v>
      </c>
      <c r="C21" s="98">
        <v>0.95</v>
      </c>
      <c r="D21" s="56">
        <v>17.016109940848349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5.8989100000000003E-2</v>
      </c>
      <c r="C23" s="98">
        <v>0.95</v>
      </c>
      <c r="D23" s="56">
        <v>4.4338460403923747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0.69723745018169003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0.16203755015136001</v>
      </c>
      <c r="C27" s="98">
        <v>0.95</v>
      </c>
      <c r="D27" s="56">
        <v>18.750061042134512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138.79578001614141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1.831259781706825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7.7588900000000002E-2</v>
      </c>
      <c r="C32" s="98">
        <v>0.95</v>
      </c>
      <c r="D32" s="56">
        <v>2.09991490371478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0.89972340000000006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1.959170672500506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0.23215369999999999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0.89757246747925845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2024-03-28T03:04:44Z</dcterms:modified>
</cp:coreProperties>
</file>