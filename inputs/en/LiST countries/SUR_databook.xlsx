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13AAD86B-139E-46F9-B7B8-6BA2018C9E0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5" i="2"/>
  <c r="A24" i="2"/>
  <c r="A19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4" i="2" l="1"/>
  <c r="I8" i="2"/>
  <c r="I12" i="2"/>
  <c r="A25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<sst xmlns="http://schemas.openxmlformats.org/spreadsheetml/2006/main" count="2159" uniqueCount="372">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</sst>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53370</v>
      </c>
    </row>
    <row r="8" spans="1:3" ht="15" customHeight="1" x14ac:dyDescent="0.25">
      <c r="B8" s="5" t="s">
        <v>8</v>
      </c>
      <c r="C8" s="44">
        <v>0.23400000000000001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0.63960079999999997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0.28432334450000002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9.8800000000000013E-2</v>
      </c>
    </row>
    <row r="24" spans="1:3" ht="15" customHeight="1" x14ac:dyDescent="0.25">
      <c r="B24" s="15" t="s">
        <v>22</v>
      </c>
      <c r="C24" s="45">
        <v>0.50419999999999998</v>
      </c>
    </row>
    <row r="25" spans="1:3" ht="15" customHeight="1" x14ac:dyDescent="0.25">
      <c r="B25" s="15" t="s">
        <v>23</v>
      </c>
      <c r="C25" s="45">
        <v>0.33889999999999998</v>
      </c>
    </row>
    <row r="26" spans="1:3" ht="15" customHeight="1" x14ac:dyDescent="0.25">
      <c r="B26" s="15" t="s">
        <v>24</v>
      </c>
      <c r="C26" s="45">
        <v>5.8099999999999999E-2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0.34994163924792399</v>
      </c>
    </row>
    <row r="30" spans="1:3" ht="14.25" customHeight="1" x14ac:dyDescent="0.25">
      <c r="B30" s="25" t="s">
        <v>27</v>
      </c>
      <c r="C30" s="99">
        <v>0.10516916316476101</v>
      </c>
    </row>
    <row r="31" spans="1:3" ht="14.25" customHeight="1" x14ac:dyDescent="0.25">
      <c r="B31" s="25" t="s">
        <v>28</v>
      </c>
      <c r="C31" s="99">
        <v>8.4505866375242988E-2</v>
      </c>
    </row>
    <row r="32" spans="1:3" ht="14.25" customHeight="1" x14ac:dyDescent="0.25">
      <c r="B32" s="25" t="s">
        <v>29</v>
      </c>
      <c r="C32" s="99">
        <v>0.46038333121207198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10.659739999999999</v>
      </c>
    </row>
    <row r="38" spans="1:5" ht="15" customHeight="1" x14ac:dyDescent="0.25">
      <c r="B38" s="11" t="s">
        <v>34</v>
      </c>
      <c r="C38" s="43">
        <v>15.35069</v>
      </c>
      <c r="D38" s="12"/>
      <c r="E38" s="13"/>
    </row>
    <row r="39" spans="1:5" ht="15" customHeight="1" x14ac:dyDescent="0.25">
      <c r="B39" s="11" t="s">
        <v>35</v>
      </c>
      <c r="C39" s="43">
        <v>17.175809999999998</v>
      </c>
      <c r="D39" s="12"/>
      <c r="E39" s="12"/>
    </row>
    <row r="40" spans="1:5" ht="15" customHeight="1" x14ac:dyDescent="0.25">
      <c r="B40" s="11" t="s">
        <v>36</v>
      </c>
      <c r="C40" s="100">
        <v>0.96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1.09351E-2</v>
      </c>
      <c r="D45" s="12"/>
    </row>
    <row r="46" spans="1:5" ht="15.75" customHeight="1" x14ac:dyDescent="0.25">
      <c r="B46" s="11" t="s">
        <v>41</v>
      </c>
      <c r="C46" s="45">
        <v>0.1174965</v>
      </c>
      <c r="D46" s="12"/>
    </row>
    <row r="47" spans="1:5" ht="15.75" customHeight="1" x14ac:dyDescent="0.25">
      <c r="B47" s="11" t="s">
        <v>42</v>
      </c>
      <c r="C47" s="45">
        <v>7.0600399999999994E-2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0.54960799999999999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0.1646447838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10882</v>
      </c>
      <c r="C2" s="49">
        <v>26824.5</v>
      </c>
      <c r="D2" s="49">
        <v>52665</v>
      </c>
      <c r="E2" s="49">
        <v>42921</v>
      </c>
      <c r="F2" s="49">
        <v>37573.5</v>
      </c>
      <c r="G2" s="17">
        <f t="shared" ref="G2:G13" si="0">C2+D2+E2+F2</f>
        <v>159984</v>
      </c>
      <c r="H2" s="17">
        <f t="shared" ref="H2:H13" si="1">(B2 + stillbirth*B2/(1000-stillbirth))/(1-abortion)</f>
        <v>12502.710751299228</v>
      </c>
      <c r="I2" s="17">
        <f t="shared" ref="I2:I13" si="2">G2-H2</f>
        <v>147481.28924870078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10856</v>
      </c>
      <c r="C3" s="50">
        <v>26888.5</v>
      </c>
      <c r="D3" s="50">
        <v>52995.5</v>
      </c>
      <c r="E3" s="50">
        <v>43207.499999999993</v>
      </c>
      <c r="F3" s="50">
        <v>38182</v>
      </c>
      <c r="G3" s="17">
        <f t="shared" si="0"/>
        <v>161273.5</v>
      </c>
      <c r="H3" s="17">
        <f t="shared" si="1"/>
        <v>12472.838441104981</v>
      </c>
      <c r="I3" s="17">
        <f t="shared" si="2"/>
        <v>148800.66155889502</v>
      </c>
    </row>
    <row r="4" spans="1:9" ht="15.75" customHeight="1" x14ac:dyDescent="0.25">
      <c r="A4" s="5">
        <f t="shared" si="3"/>
        <v>2026</v>
      </c>
      <c r="B4" s="49">
        <v>10815</v>
      </c>
      <c r="C4" s="50">
        <v>26929.5</v>
      </c>
      <c r="D4" s="50">
        <v>53173.500000000007</v>
      </c>
      <c r="E4" s="50">
        <v>43715.5</v>
      </c>
      <c r="F4" s="50">
        <v>38834.5</v>
      </c>
      <c r="G4" s="17">
        <f t="shared" si="0"/>
        <v>162653</v>
      </c>
      <c r="H4" s="17">
        <f t="shared" si="1"/>
        <v>12425.73210579867</v>
      </c>
      <c r="I4" s="17">
        <f t="shared" si="2"/>
        <v>150227.26789420133</v>
      </c>
    </row>
    <row r="5" spans="1:9" ht="15.75" customHeight="1" x14ac:dyDescent="0.25">
      <c r="A5" s="5">
        <f t="shared" si="3"/>
        <v>2027</v>
      </c>
      <c r="B5" s="49">
        <v>10769</v>
      </c>
      <c r="C5" s="50">
        <v>26940</v>
      </c>
      <c r="D5" s="50">
        <v>53242.999999999993</v>
      </c>
      <c r="E5" s="50">
        <v>44423.500000000007</v>
      </c>
      <c r="F5" s="50">
        <v>39442</v>
      </c>
      <c r="G5" s="17">
        <f t="shared" si="0"/>
        <v>164048.5</v>
      </c>
      <c r="H5" s="17">
        <f t="shared" si="1"/>
        <v>12372.881095455006</v>
      </c>
      <c r="I5" s="17">
        <f t="shared" si="2"/>
        <v>151675.618904545</v>
      </c>
    </row>
    <row r="6" spans="1:9" ht="15.75" customHeight="1" x14ac:dyDescent="0.25">
      <c r="A6" s="5">
        <f t="shared" si="3"/>
        <v>2028</v>
      </c>
      <c r="B6" s="49">
        <v>10735</v>
      </c>
      <c r="C6" s="50">
        <v>26951</v>
      </c>
      <c r="D6" s="50">
        <v>53200.500000000007</v>
      </c>
      <c r="E6" s="50">
        <v>45284</v>
      </c>
      <c r="F6" s="50">
        <v>39975.5</v>
      </c>
      <c r="G6" s="17">
        <f t="shared" si="0"/>
        <v>165411</v>
      </c>
      <c r="H6" s="17">
        <f t="shared" si="1"/>
        <v>12333.817305200992</v>
      </c>
      <c r="I6" s="17">
        <f t="shared" si="2"/>
        <v>153077.182694799</v>
      </c>
    </row>
    <row r="7" spans="1:9" ht="15.75" customHeight="1" x14ac:dyDescent="0.25">
      <c r="A7" s="5">
        <f t="shared" si="3"/>
        <v>2029</v>
      </c>
      <c r="B7" s="49">
        <v>10710</v>
      </c>
      <c r="C7" s="50">
        <v>26957</v>
      </c>
      <c r="D7" s="50">
        <v>53024.5</v>
      </c>
      <c r="E7" s="50">
        <v>46252</v>
      </c>
      <c r="F7" s="50">
        <v>40431</v>
      </c>
      <c r="G7" s="17">
        <f t="shared" si="0"/>
        <v>166664.5</v>
      </c>
      <c r="H7" s="17">
        <f t="shared" si="1"/>
        <v>12305.093930014218</v>
      </c>
      <c r="I7" s="17">
        <f t="shared" si="2"/>
        <v>154359.40606998579</v>
      </c>
    </row>
    <row r="8" spans="1:9" ht="15.75" customHeight="1" x14ac:dyDescent="0.25">
      <c r="A8" s="5">
        <f t="shared" si="3"/>
        <v>2030</v>
      </c>
      <c r="B8" s="49">
        <v>10671</v>
      </c>
      <c r="C8" s="50">
        <v>26949</v>
      </c>
      <c r="D8" s="50">
        <v>52743</v>
      </c>
      <c r="E8" s="50">
        <v>47311</v>
      </c>
      <c r="F8" s="50">
        <v>40799.499999999993</v>
      </c>
      <c r="G8" s="17">
        <f t="shared" si="0"/>
        <v>167802.5</v>
      </c>
      <c r="H8" s="17">
        <f t="shared" si="1"/>
        <v>12260.285464722849</v>
      </c>
      <c r="I8" s="17">
        <f t="shared" si="2"/>
        <v>155542.21453527716</v>
      </c>
    </row>
    <row r="9" spans="1:9" ht="15.75" customHeight="1" x14ac:dyDescent="0.25">
      <c r="A9" s="5">
        <f t="shared" si="3"/>
        <v>2031</v>
      </c>
      <c r="B9" s="49">
        <v>10640</v>
      </c>
      <c r="C9" s="50">
        <v>26889</v>
      </c>
      <c r="D9" s="50">
        <v>52425.5</v>
      </c>
      <c r="E9" s="50">
        <v>48403.000000000007</v>
      </c>
      <c r="F9" s="50">
        <v>41077.5</v>
      </c>
      <c r="G9" s="17">
        <f t="shared" si="0"/>
        <v>168795</v>
      </c>
      <c r="H9" s="17">
        <f t="shared" si="1"/>
        <v>12224.668479491249</v>
      </c>
      <c r="I9" s="17">
        <f t="shared" si="2"/>
        <v>156570.33152050874</v>
      </c>
    </row>
    <row r="10" spans="1:9" ht="15.75" customHeight="1" x14ac:dyDescent="0.25">
      <c r="A10" s="5">
        <f t="shared" si="3"/>
        <v>2032</v>
      </c>
      <c r="B10" s="49">
        <v>10599</v>
      </c>
      <c r="C10" s="50">
        <v>26722.5</v>
      </c>
      <c r="D10" s="50">
        <v>52178</v>
      </c>
      <c r="E10" s="50">
        <v>49415.000000000007</v>
      </c>
      <c r="F10" s="50">
        <v>41251.999999999993</v>
      </c>
      <c r="G10" s="17">
        <f t="shared" si="0"/>
        <v>169567.5</v>
      </c>
      <c r="H10" s="17">
        <f t="shared" si="1"/>
        <v>12177.56214418494</v>
      </c>
      <c r="I10" s="17">
        <f t="shared" si="2"/>
        <v>157389.93785581505</v>
      </c>
    </row>
    <row r="11" spans="1:9" ht="15.75" customHeight="1" x14ac:dyDescent="0.25">
      <c r="A11" s="5">
        <f t="shared" si="3"/>
        <v>2033</v>
      </c>
      <c r="B11" s="49">
        <v>10551</v>
      </c>
      <c r="C11" s="50">
        <v>26460.5</v>
      </c>
      <c r="D11" s="50">
        <v>52074.5</v>
      </c>
      <c r="E11" s="50">
        <v>50231.5</v>
      </c>
      <c r="F11" s="50">
        <v>41356.5</v>
      </c>
      <c r="G11" s="17">
        <f t="shared" si="0"/>
        <v>170123</v>
      </c>
      <c r="H11" s="17">
        <f t="shared" si="1"/>
        <v>12122.413263826333</v>
      </c>
      <c r="I11" s="17">
        <f t="shared" si="2"/>
        <v>158000.58673617366</v>
      </c>
    </row>
    <row r="12" spans="1:9" ht="15.75" customHeight="1" x14ac:dyDescent="0.25">
      <c r="A12" s="5">
        <f t="shared" si="3"/>
        <v>2034</v>
      </c>
      <c r="B12" s="49">
        <v>10507</v>
      </c>
      <c r="C12" s="50">
        <v>26168</v>
      </c>
      <c r="D12" s="50">
        <v>52095.5</v>
      </c>
      <c r="E12" s="50">
        <v>50808.499999999993</v>
      </c>
      <c r="F12" s="50">
        <v>41503.5</v>
      </c>
      <c r="G12" s="17">
        <f t="shared" si="0"/>
        <v>170575.5</v>
      </c>
      <c r="H12" s="17">
        <f t="shared" si="1"/>
        <v>12071.860123497609</v>
      </c>
      <c r="I12" s="17">
        <f t="shared" si="2"/>
        <v>158503.63987650239</v>
      </c>
    </row>
    <row r="13" spans="1:9" ht="15.75" customHeight="1" x14ac:dyDescent="0.25">
      <c r="A13" s="5">
        <f t="shared" si="3"/>
        <v>2035</v>
      </c>
      <c r="B13" s="49">
        <v>10464</v>
      </c>
      <c r="C13" s="50">
        <v>25897.5</v>
      </c>
      <c r="D13" s="50">
        <v>52168.499999999993</v>
      </c>
      <c r="E13" s="50">
        <v>51164.500000000007</v>
      </c>
      <c r="F13" s="50">
        <v>41812</v>
      </c>
      <c r="G13" s="17">
        <f t="shared" si="0"/>
        <v>171042.5</v>
      </c>
      <c r="H13" s="17">
        <f t="shared" si="1"/>
        <v>12022.455918176356</v>
      </c>
      <c r="I13" s="17">
        <f t="shared" si="2"/>
        <v>159020.04408182364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0.15451909999999969</v>
      </c>
    </row>
    <row r="5" spans="1:8" ht="15.75" customHeight="1" x14ac:dyDescent="0.25">
      <c r="B5" s="19" t="s">
        <v>70</v>
      </c>
      <c r="C5" s="101">
        <v>4.2198999999999926E-3</v>
      </c>
    </row>
    <row r="6" spans="1:8" ht="15.75" customHeight="1" x14ac:dyDescent="0.25">
      <c r="B6" s="19" t="s">
        <v>71</v>
      </c>
      <c r="C6" s="101">
        <v>0.19492200000000021</v>
      </c>
    </row>
    <row r="7" spans="1:8" ht="15.75" customHeight="1" x14ac:dyDescent="0.25">
      <c r="B7" s="19" t="s">
        <v>72</v>
      </c>
      <c r="C7" s="101">
        <v>0.42669009999999979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0.16146820000000039</v>
      </c>
    </row>
    <row r="10" spans="1:8" ht="15.75" customHeight="1" x14ac:dyDescent="0.25">
      <c r="B10" s="19" t="s">
        <v>75</v>
      </c>
      <c r="C10" s="101">
        <v>5.8180699999999898E-2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82</v>
      </c>
      <c r="C15" s="101">
        <v>0.29688997844133608</v>
      </c>
      <c r="D15" s="101">
        <v>0.29688997844133608</v>
      </c>
      <c r="E15" s="101">
        <v>0.29688997844133608</v>
      </c>
      <c r="F15" s="101">
        <v>0.29688997844133608</v>
      </c>
    </row>
    <row r="16" spans="1:8" ht="15.75" customHeight="1" x14ac:dyDescent="0.25">
      <c r="B16" s="19" t="s">
        <v>83</v>
      </c>
      <c r="C16" s="101">
        <v>5.627712966098989E-2</v>
      </c>
      <c r="D16" s="101">
        <v>5.627712966098989E-2</v>
      </c>
      <c r="E16" s="101">
        <v>5.627712966098989E-2</v>
      </c>
      <c r="F16" s="101">
        <v>5.627712966098989E-2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6.7017783841196291E-2</v>
      </c>
      <c r="D20" s="101">
        <v>6.7017783841196291E-2</v>
      </c>
      <c r="E20" s="101">
        <v>6.7017783841196291E-2</v>
      </c>
      <c r="F20" s="101">
        <v>6.7017783841196291E-2</v>
      </c>
    </row>
    <row r="21" spans="1:8" ht="15.75" customHeight="1" x14ac:dyDescent="0.25">
      <c r="B21" s="19" t="s">
        <v>88</v>
      </c>
      <c r="C21" s="101">
        <v>0.38511254926272848</v>
      </c>
      <c r="D21" s="101">
        <v>0.38511254926272848</v>
      </c>
      <c r="E21" s="101">
        <v>0.38511254926272848</v>
      </c>
      <c r="F21" s="101">
        <v>0.38511254926272848</v>
      </c>
    </row>
    <row r="22" spans="1:8" ht="15.75" customHeight="1" x14ac:dyDescent="0.25">
      <c r="B22" s="19" t="s">
        <v>89</v>
      </c>
      <c r="C22" s="101">
        <v>0.13258606647106591</v>
      </c>
      <c r="D22" s="101">
        <v>0.13258606647106591</v>
      </c>
      <c r="E22" s="101">
        <v>0.13258606647106591</v>
      </c>
      <c r="F22" s="101">
        <v>0.13258606647106591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5.7343604999999999E-2</v>
      </c>
    </row>
    <row r="27" spans="1:8" ht="15.75" customHeight="1" x14ac:dyDescent="0.25">
      <c r="B27" s="19" t="s">
        <v>92</v>
      </c>
      <c r="C27" s="101">
        <v>1.4167997E-2</v>
      </c>
    </row>
    <row r="28" spans="1:8" ht="15.75" customHeight="1" x14ac:dyDescent="0.25">
      <c r="B28" s="19" t="s">
        <v>93</v>
      </c>
      <c r="C28" s="101">
        <v>0.101559973</v>
      </c>
    </row>
    <row r="29" spans="1:8" ht="15.75" customHeight="1" x14ac:dyDescent="0.25">
      <c r="B29" s="19" t="s">
        <v>94</v>
      </c>
      <c r="C29" s="101">
        <v>0.21960849700000001</v>
      </c>
    </row>
    <row r="30" spans="1:8" ht="15.75" customHeight="1" x14ac:dyDescent="0.25">
      <c r="B30" s="19" t="s">
        <v>95</v>
      </c>
      <c r="C30" s="101">
        <v>5.5062585999999997E-2</v>
      </c>
    </row>
    <row r="31" spans="1:8" ht="15.75" customHeight="1" x14ac:dyDescent="0.25">
      <c r="B31" s="19" t="s">
        <v>96</v>
      </c>
      <c r="C31" s="101">
        <v>0.14229177300000001</v>
      </c>
    </row>
    <row r="32" spans="1:8" ht="15.75" customHeight="1" x14ac:dyDescent="0.25">
      <c r="B32" s="19" t="s">
        <v>97</v>
      </c>
      <c r="C32" s="101">
        <v>3.0837276E-2</v>
      </c>
    </row>
    <row r="33" spans="2:3" ht="15.75" customHeight="1" x14ac:dyDescent="0.25">
      <c r="B33" s="19" t="s">
        <v>98</v>
      </c>
      <c r="C33" s="101">
        <v>8.2024560999999996E-2</v>
      </c>
    </row>
    <row r="34" spans="2:3" ht="15.75" customHeight="1" x14ac:dyDescent="0.25">
      <c r="B34" s="19" t="s">
        <v>99</v>
      </c>
      <c r="C34" s="101">
        <v>0.29710373299999998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104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105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109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110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0.40415045649999998</v>
      </c>
      <c r="D14" s="54">
        <v>0.37718054182999999</v>
      </c>
      <c r="E14" s="54">
        <v>0.37718054182999999</v>
      </c>
      <c r="F14" s="54">
        <v>0.19508714863900001</v>
      </c>
      <c r="G14" s="54">
        <v>0.19508714863900001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0.22212432409605198</v>
      </c>
      <c r="D15" s="52">
        <f t="shared" si="0"/>
        <v>0.20730144323410263</v>
      </c>
      <c r="E15" s="52">
        <f t="shared" si="0"/>
        <v>0.20730144323410263</v>
      </c>
      <c r="F15" s="52">
        <f t="shared" si="0"/>
        <v>0.10722145758918351</v>
      </c>
      <c r="G15" s="52">
        <f t="shared" si="0"/>
        <v>0.10722145758918351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0.18827609999999995</v>
      </c>
      <c r="D5" s="52">
        <f t="shared" si="0"/>
        <v>0.28117159999999997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5858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0.49323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0.4975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1.5073370616963193E-2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98187.516879999996</v>
      </c>
      <c r="C22" s="109">
        <v>98063.925740000006</v>
      </c>
      <c r="D22" s="109">
        <v>97899.079700000002</v>
      </c>
      <c r="E22" s="109">
        <v>97512.601219999997</v>
      </c>
      <c r="F22" s="109">
        <v>97109.91532</v>
      </c>
      <c r="G22" s="109">
        <v>96197.344419999994</v>
      </c>
      <c r="H22" s="109">
        <v>94988.565659999993</v>
      </c>
      <c r="I22" s="109">
        <v>93916.249500000005</v>
      </c>
      <c r="J22" s="109">
        <v>92430.936029999997</v>
      </c>
      <c r="K22" s="109">
        <v>90047.200519999999</v>
      </c>
      <c r="L22" s="109">
        <v>86944.829240000006</v>
      </c>
      <c r="M22" s="109">
        <v>80406.875700000004</v>
      </c>
      <c r="N22" s="109">
        <v>73005.100420000002</v>
      </c>
      <c r="O22" s="109">
        <v>64385.958550000003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21.195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0.44994896638918952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1.516970800969268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0.32855565777368906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13.25939284886182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13.25939284886182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13.25939284886182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13.25939284886182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13.25939284886182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13.25939284886182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5.8835597567123799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0.32122916666666701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7.7588900000000002E-2</v>
      </c>
      <c r="C18" s="98">
        <v>0.95</v>
      </c>
      <c r="D18" s="56">
        <v>21.195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7.7588900000000002E-2</v>
      </c>
      <c r="C19" s="98">
        <v>0.95</v>
      </c>
      <c r="D19" s="56">
        <v>13.483785833565429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21.195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3.9129999999999998E-3</v>
      </c>
      <c r="C23" s="98">
        <v>0.95</v>
      </c>
      <c r="D23" s="56">
        <v>4.4338460403923747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0.66624536519805999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4.4421306161984946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9.2958524157825622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0.45581739999999998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0.23215369999999999</v>
      </c>
      <c r="C29" s="98">
        <v>0.95</v>
      </c>
      <c r="D29" s="56">
        <v>206.81375092158379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124.66848615801089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123.05968780269725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1.5917274986535743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0.72116230000000003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0.12046129999999999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5.8989100000000003E-2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0.80314839999999998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2.4500000000000002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197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198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0.23400000000000001</v>
      </c>
      <c r="F2" s="60">
        <f>food_insecure</f>
        <v>0.23400000000000001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0.23400000000000001</v>
      </c>
      <c r="I15" s="60">
        <f t="shared" si="0"/>
        <v>0.23400000000000001</v>
      </c>
      <c r="J15" s="60">
        <f t="shared" si="0"/>
        <v>0.23400000000000001</v>
      </c>
      <c r="K15" s="60">
        <f t="shared" si="0"/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0.23400000000000001</v>
      </c>
      <c r="I16" s="60">
        <f t="shared" si="0"/>
        <v>0.23400000000000001</v>
      </c>
      <c r="J16" s="60">
        <f t="shared" si="0"/>
        <v>0.23400000000000001</v>
      </c>
      <c r="K16" s="60">
        <f t="shared" si="0"/>
        <v>0.23400000000000001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0.28432334450000002</v>
      </c>
      <c r="M24" s="60">
        <f>famplan_unmet_need</f>
        <v>0.28432334450000002</v>
      </c>
      <c r="N24" s="60">
        <f>famplan_unmet_need</f>
        <v>0.28432334450000002</v>
      </c>
      <c r="O24" s="60">
        <f>famplan_unmet_need</f>
        <v>0.28432334450000002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0.194305624688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8.3273839152000012E-2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8.2819736160000004E-2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0.63960079999999997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