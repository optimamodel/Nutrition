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44771E0-3FD2-4535-B27D-3B2A81DC9B59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5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<sst xmlns="http://schemas.openxmlformats.org/spreadsheetml/2006/main" count="2169" uniqueCount="373">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</sst>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6014437.5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0.85338409423828099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7.8600000000000003E-2</v>
      </c>
    </row>
    <row r="24" spans="1:3" ht="15" customHeight="1" x14ac:dyDescent="0.25">
      <c r="B24" s="15" t="s">
        <v>22</v>
      </c>
      <c r="C24" s="45">
        <v>0.51929999999999998</v>
      </c>
    </row>
    <row r="25" spans="1:3" ht="15" customHeight="1" x14ac:dyDescent="0.25">
      <c r="B25" s="15" t="s">
        <v>23</v>
      </c>
      <c r="C25" s="45">
        <v>0.37880000000000003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98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</v>
      </c>
      <c r="D51" s="12"/>
    </row>
    <row r="52" spans="1:4" ht="15" customHeight="1" x14ac:dyDescent="0.25">
      <c r="B52" s="11" t="s">
        <v>46</v>
      </c>
      <c r="C52" s="98">
        <v>2.4</v>
      </c>
    </row>
    <row r="53" spans="1:4" ht="15.75" customHeight="1" x14ac:dyDescent="0.25">
      <c r="B53" s="11" t="s">
        <v>47</v>
      </c>
      <c r="C53" s="98">
        <v>2.4</v>
      </c>
    </row>
    <row r="54" spans="1:4" ht="15.75" customHeight="1" x14ac:dyDescent="0.25">
      <c r="B54" s="11" t="s">
        <v>48</v>
      </c>
      <c r="C54" s="98">
        <v>2.4</v>
      </c>
    </row>
    <row r="55" spans="1:4" ht="15.75" customHeight="1" x14ac:dyDescent="0.25">
      <c r="B55" s="11" t="s">
        <v>49</v>
      </c>
      <c r="C55" s="98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1151057</v>
      </c>
      <c r="C2" s="49">
        <v>3094209</v>
      </c>
      <c r="D2" s="49">
        <v>5875824.5</v>
      </c>
      <c r="E2" s="49">
        <v>8380318.5000000009</v>
      </c>
      <c r="F2" s="49">
        <v>7200214.5</v>
      </c>
      <c r="G2" s="17">
        <f t="shared" ref="G2:G13" si="0">C2+D2+E2+F2</f>
        <v>24550566.5</v>
      </c>
      <c r="H2" s="17">
        <f t="shared" ref="H2:H13" si="1">(B2 + stillbirth*B2/(1000-stillbirth))/(1-abortion)</f>
        <v>1319993.8003408664</v>
      </c>
      <c r="I2" s="17">
        <f t="shared" ref="I2:I13" si="2">G2-H2</f>
        <v>23230572.699659135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1125230</v>
      </c>
      <c r="C3" s="50">
        <v>3162418</v>
      </c>
      <c r="D3" s="50">
        <v>5830532.4999999991</v>
      </c>
      <c r="E3" s="50">
        <v>8127248</v>
      </c>
      <c r="F3" s="50">
        <v>7553258.5</v>
      </c>
      <c r="G3" s="17">
        <f t="shared" si="0"/>
        <v>24673457</v>
      </c>
      <c r="H3" s="17">
        <f t="shared" si="1"/>
        <v>1290376.2576115283</v>
      </c>
      <c r="I3" s="17">
        <f t="shared" si="2"/>
        <v>23383080.742388472</v>
      </c>
    </row>
    <row r="4" spans="1:9" ht="15.75" customHeight="1" x14ac:dyDescent="0.25">
      <c r="A4" s="5">
        <f t="shared" si="3"/>
        <v>2026</v>
      </c>
      <c r="B4" s="49">
        <v>1101751</v>
      </c>
      <c r="C4" s="50">
        <v>3221955</v>
      </c>
      <c r="D4" s="50">
        <v>5823510.5</v>
      </c>
      <c r="E4" s="50">
        <v>7833019.5</v>
      </c>
      <c r="F4" s="50">
        <v>7879219.4999999991</v>
      </c>
      <c r="G4" s="17">
        <f t="shared" si="0"/>
        <v>24757704.5</v>
      </c>
      <c r="H4" s="17">
        <f t="shared" si="1"/>
        <v>1263451.3230181909</v>
      </c>
      <c r="I4" s="17">
        <f t="shared" si="2"/>
        <v>23494253.17698181</v>
      </c>
    </row>
    <row r="5" spans="1:9" ht="15.75" customHeight="1" x14ac:dyDescent="0.25">
      <c r="A5" s="5">
        <f t="shared" si="3"/>
        <v>2027</v>
      </c>
      <c r="B5" s="49">
        <v>1082259</v>
      </c>
      <c r="C5" s="50">
        <v>3281528</v>
      </c>
      <c r="D5" s="50">
        <v>5842965</v>
      </c>
      <c r="E5" s="50">
        <v>7536132</v>
      </c>
      <c r="F5" s="50">
        <v>8156710</v>
      </c>
      <c r="G5" s="17">
        <f t="shared" si="0"/>
        <v>24817335</v>
      </c>
      <c r="H5" s="17">
        <f t="shared" si="1"/>
        <v>1241098.5471293824</v>
      </c>
      <c r="I5" s="17">
        <f t="shared" si="2"/>
        <v>23576236.452870619</v>
      </c>
    </row>
    <row r="6" spans="1:9" ht="15.75" customHeight="1" x14ac:dyDescent="0.25">
      <c r="A6" s="5">
        <f t="shared" si="3"/>
        <v>2028</v>
      </c>
      <c r="B6" s="49">
        <v>1064974</v>
      </c>
      <c r="C6" s="50">
        <v>3350313</v>
      </c>
      <c r="D6" s="50">
        <v>5878416.9999999991</v>
      </c>
      <c r="E6" s="50">
        <v>7250938.5</v>
      </c>
      <c r="F6" s="50">
        <v>8377903</v>
      </c>
      <c r="G6" s="17">
        <f t="shared" si="0"/>
        <v>24857571.5</v>
      </c>
      <c r="H6" s="17">
        <f t="shared" si="1"/>
        <v>1221276.6852764145</v>
      </c>
      <c r="I6" s="17">
        <f t="shared" si="2"/>
        <v>23636294.814723585</v>
      </c>
    </row>
    <row r="7" spans="1:9" ht="15.75" customHeight="1" x14ac:dyDescent="0.25">
      <c r="A7" s="5">
        <f t="shared" si="3"/>
        <v>2029</v>
      </c>
      <c r="B7" s="49">
        <v>1050538</v>
      </c>
      <c r="C7" s="50">
        <v>3430044</v>
      </c>
      <c r="D7" s="50">
        <v>5927809.4999999991</v>
      </c>
      <c r="E7" s="50">
        <v>6960471.5</v>
      </c>
      <c r="F7" s="50">
        <v>8550985.4999999981</v>
      </c>
      <c r="G7" s="17">
        <f t="shared" si="0"/>
        <v>24869310.5</v>
      </c>
      <c r="H7" s="17">
        <f t="shared" si="1"/>
        <v>1204721.9616600161</v>
      </c>
      <c r="I7" s="17">
        <f t="shared" si="2"/>
        <v>23664588.538339984</v>
      </c>
    </row>
    <row r="8" spans="1:9" ht="15.75" customHeight="1" x14ac:dyDescent="0.25">
      <c r="A8" s="5">
        <f t="shared" si="3"/>
        <v>2030</v>
      </c>
      <c r="B8" s="49">
        <v>1037833.0000000001</v>
      </c>
      <c r="C8" s="50">
        <v>3517452</v>
      </c>
      <c r="D8" s="50">
        <v>5993693</v>
      </c>
      <c r="E8" s="50">
        <v>6675670</v>
      </c>
      <c r="F8" s="50">
        <v>8661758.5</v>
      </c>
      <c r="G8" s="17">
        <f t="shared" si="0"/>
        <v>24848573.5</v>
      </c>
      <c r="H8" s="17">
        <f t="shared" si="1"/>
        <v>1190152.2911455841</v>
      </c>
      <c r="I8" s="17">
        <f t="shared" si="2"/>
        <v>23658421.208854415</v>
      </c>
    </row>
    <row r="9" spans="1:9" ht="15.75" customHeight="1" x14ac:dyDescent="0.25">
      <c r="A9" s="5">
        <f t="shared" si="3"/>
        <v>2031</v>
      </c>
      <c r="B9" s="49">
        <v>1029391.0000000001</v>
      </c>
      <c r="C9" s="50">
        <v>3603948</v>
      </c>
      <c r="D9" s="50">
        <v>6075092.5000000009</v>
      </c>
      <c r="E9" s="50">
        <v>6412426.5</v>
      </c>
      <c r="F9" s="50">
        <v>8696412</v>
      </c>
      <c r="G9" s="17">
        <f t="shared" si="0"/>
        <v>24787879</v>
      </c>
      <c r="H9" s="17">
        <f t="shared" si="1"/>
        <v>1180471.2869359944</v>
      </c>
      <c r="I9" s="17">
        <f t="shared" si="2"/>
        <v>23607407.713064007</v>
      </c>
    </row>
    <row r="10" spans="1:9" ht="15.75" customHeight="1" x14ac:dyDescent="0.25">
      <c r="A10" s="5">
        <f t="shared" si="3"/>
        <v>2032</v>
      </c>
      <c r="B10" s="49">
        <v>1024789</v>
      </c>
      <c r="C10" s="50">
        <v>3668356</v>
      </c>
      <c r="D10" s="50">
        <v>6173891</v>
      </c>
      <c r="E10" s="50">
        <v>6192581.5</v>
      </c>
      <c r="F10" s="50">
        <v>8660701.5</v>
      </c>
      <c r="G10" s="17">
        <f t="shared" si="0"/>
        <v>24695530</v>
      </c>
      <c r="H10" s="17">
        <f t="shared" si="1"/>
        <v>1175193.8667307668</v>
      </c>
      <c r="I10" s="17">
        <f t="shared" si="2"/>
        <v>23520336.133269232</v>
      </c>
    </row>
    <row r="11" spans="1:9" ht="15.75" customHeight="1" x14ac:dyDescent="0.25">
      <c r="A11" s="5">
        <f t="shared" si="3"/>
        <v>2033</v>
      </c>
      <c r="B11" s="49">
        <v>1024685.9999999999</v>
      </c>
      <c r="C11" s="50">
        <v>3678753</v>
      </c>
      <c r="D11" s="50">
        <v>6293610.5000000009</v>
      </c>
      <c r="E11" s="50">
        <v>6024056.0000000009</v>
      </c>
      <c r="F11" s="50">
        <v>8549800.5</v>
      </c>
      <c r="G11" s="17">
        <f t="shared" si="0"/>
        <v>24546220</v>
      </c>
      <c r="H11" s="17">
        <f t="shared" si="1"/>
        <v>1175075.7497639828</v>
      </c>
      <c r="I11" s="17">
        <f t="shared" si="2"/>
        <v>23371144.250236016</v>
      </c>
    </row>
    <row r="12" spans="1:9" ht="15.75" customHeight="1" x14ac:dyDescent="0.25">
      <c r="A12" s="5">
        <f t="shared" si="3"/>
        <v>2034</v>
      </c>
      <c r="B12" s="49">
        <v>1027925.9999999999</v>
      </c>
      <c r="C12" s="50">
        <v>3610970</v>
      </c>
      <c r="D12" s="50">
        <v>6432133.5</v>
      </c>
      <c r="E12" s="50">
        <v>5899367</v>
      </c>
      <c r="F12" s="50">
        <v>8350636</v>
      </c>
      <c r="G12" s="17">
        <f t="shared" si="0"/>
        <v>24293106.5</v>
      </c>
      <c r="H12" s="17">
        <f t="shared" si="1"/>
        <v>1178791.2737676634</v>
      </c>
      <c r="I12" s="17">
        <f t="shared" si="2"/>
        <v>23114315.226232335</v>
      </c>
    </row>
    <row r="13" spans="1:9" ht="15.75" customHeight="1" x14ac:dyDescent="0.25">
      <c r="A13" s="5">
        <f t="shared" si="3"/>
        <v>2035</v>
      </c>
      <c r="B13" s="49">
        <v>1031654</v>
      </c>
      <c r="C13" s="50">
        <v>3476854</v>
      </c>
      <c r="D13" s="50">
        <v>6577999</v>
      </c>
      <c r="E13" s="50">
        <v>5825202</v>
      </c>
      <c r="F13" s="50">
        <v>8085290.4999999991</v>
      </c>
      <c r="G13" s="17">
        <f t="shared" si="0"/>
        <v>23965345.5</v>
      </c>
      <c r="H13" s="17">
        <f t="shared" si="1"/>
        <v>1183066.4199052316</v>
      </c>
      <c r="I13" s="17">
        <f t="shared" si="2"/>
        <v>22782279.08009477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99">
        <v>5.6959305695930607E-2</v>
      </c>
    </row>
    <row r="5" spans="1:8" ht="15.75" customHeight="1" x14ac:dyDescent="0.25">
      <c r="B5" s="19" t="s">
        <v>70</v>
      </c>
      <c r="C5" s="99">
        <v>3.7975303797530502E-2</v>
      </c>
    </row>
    <row r="6" spans="1:8" ht="15.75" customHeight="1" x14ac:dyDescent="0.25">
      <c r="B6" s="19" t="s">
        <v>71</v>
      </c>
      <c r="C6" s="99">
        <v>0.1868385186838521</v>
      </c>
    </row>
    <row r="7" spans="1:8" ht="15.75" customHeight="1" x14ac:dyDescent="0.25">
      <c r="B7" s="19" t="s">
        <v>72</v>
      </c>
      <c r="C7" s="99">
        <v>0.44315674431567392</v>
      </c>
    </row>
    <row r="8" spans="1:8" ht="15.75" customHeight="1" x14ac:dyDescent="0.25">
      <c r="B8" s="19" t="s">
        <v>73</v>
      </c>
      <c r="C8" s="99">
        <v>4.4720004472000513E-4</v>
      </c>
    </row>
    <row r="9" spans="1:8" ht="15.75" customHeight="1" x14ac:dyDescent="0.25">
      <c r="B9" s="19" t="s">
        <v>74</v>
      </c>
      <c r="C9" s="99">
        <v>0.17596981759698199</v>
      </c>
    </row>
    <row r="10" spans="1:8" ht="15.75" customHeight="1" x14ac:dyDescent="0.25">
      <c r="B10" s="19" t="s">
        <v>75</v>
      </c>
      <c r="C10" s="99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83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84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85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86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87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88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89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99">
        <v>1.9231089E-2</v>
      </c>
    </row>
    <row r="28" spans="1:8" ht="15.75" customHeight="1" x14ac:dyDescent="0.25">
      <c r="B28" s="19" t="s">
        <v>93</v>
      </c>
      <c r="C28" s="99">
        <v>0.23147800700000001</v>
      </c>
    </row>
    <row r="29" spans="1:8" ht="15.75" customHeight="1" x14ac:dyDescent="0.25">
      <c r="B29" s="19" t="s">
        <v>94</v>
      </c>
      <c r="C29" s="99">
        <v>0.13894083700000001</v>
      </c>
    </row>
    <row r="30" spans="1:8" ht="15.75" customHeight="1" x14ac:dyDescent="0.25">
      <c r="B30" s="19" t="s">
        <v>95</v>
      </c>
      <c r="C30" s="99">
        <v>5.0303380000000002E-2</v>
      </c>
    </row>
    <row r="31" spans="1:8" ht="15.75" customHeight="1" x14ac:dyDescent="0.25">
      <c r="B31" s="19" t="s">
        <v>96</v>
      </c>
      <c r="C31" s="99">
        <v>7.028529E-2</v>
      </c>
    </row>
    <row r="32" spans="1:8" ht="15.75" customHeight="1" x14ac:dyDescent="0.25">
      <c r="B32" s="19" t="s">
        <v>97</v>
      </c>
      <c r="C32" s="99">
        <v>0.146633282</v>
      </c>
    </row>
    <row r="33" spans="2:3" ht="15.75" customHeight="1" x14ac:dyDescent="0.25">
      <c r="B33" s="19" t="s">
        <v>98</v>
      </c>
      <c r="C33" s="99">
        <v>0.12525921100000001</v>
      </c>
    </row>
    <row r="34" spans="2:3" ht="15.75" customHeight="1" x14ac:dyDescent="0.25">
      <c r="B34" s="19" t="s">
        <v>99</v>
      </c>
      <c r="C34" s="99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4669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0.38788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0.15129999999999999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1.5052873196285859E-2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98668.89387</v>
      </c>
      <c r="C22" s="107">
        <v>98501.690709999995</v>
      </c>
      <c r="D22" s="107">
        <v>98328.364010000005</v>
      </c>
      <c r="E22" s="107">
        <v>97954.932090000002</v>
      </c>
      <c r="F22" s="107">
        <v>97493.932499999995</v>
      </c>
      <c r="G22" s="107">
        <v>97040.636689999999</v>
      </c>
      <c r="H22" s="107">
        <v>96551.853510000001</v>
      </c>
      <c r="I22" s="107">
        <v>95970.760250000007</v>
      </c>
      <c r="J22" s="107">
        <v>95198.041230000003</v>
      </c>
      <c r="K22" s="107">
        <v>94090.887640000001</v>
      </c>
      <c r="L22" s="107">
        <v>92323.800889999999</v>
      </c>
      <c r="M22" s="107">
        <v>89514.430829999998</v>
      </c>
      <c r="N22" s="107">
        <v>85122.851819999996</v>
      </c>
      <c r="O22" s="107">
        <v>78672.053169999999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0.44054339999999997</v>
      </c>
      <c r="C10" s="96">
        <v>0.95</v>
      </c>
      <c r="D10" s="56">
        <v>13.166131301989671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13.166131301989671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13.166131301989671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13.166131301989671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0.44054339999999997</v>
      </c>
      <c r="C14" s="96">
        <v>0.95</v>
      </c>
      <c r="D14" s="56">
        <v>13.166131301989671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13.166131301989671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1.73413E-2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0.17784249999999999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0.4996447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0.4996447</v>
      </c>
      <c r="C19" s="96">
        <v>0.95</v>
      </c>
      <c r="D19" s="56">
        <v>11.99955936520508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2.2612899999999998E-2</v>
      </c>
      <c r="C23" s="96">
        <v>0.95</v>
      </c>
      <c r="D23" s="56">
        <v>4.3755575735972823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0.61685007638513001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0.44054339999999997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0.36092259999999998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0.53925319999999999</v>
      </c>
      <c r="C29" s="96">
        <v>0.95</v>
      </c>
      <c r="D29" s="56">
        <v>129.29915294669931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0.7898522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0.45606069999999999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1.5928999999999999E-2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0.22960410000000001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4.5999999999999999E-2</v>
      </c>
      <c r="F2" s="60">
        <f>food_insecure</f>
        <v>4.5999999999999999E-2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4.5999999999999999E-2</v>
      </c>
      <c r="I15" s="60">
        <f t="shared" si="0"/>
        <v>4.5999999999999999E-2</v>
      </c>
      <c r="J15" s="60">
        <f t="shared" si="0"/>
        <v>4.5999999999999999E-2</v>
      </c>
      <c r="K15" s="60">
        <f t="shared" si="0"/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4.5999999999999999E-2</v>
      </c>
      <c r="I16" s="60">
        <f t="shared" si="0"/>
        <v>4.5999999999999999E-2</v>
      </c>
      <c r="J16" s="60">
        <f t="shared" si="0"/>
        <v>4.5999999999999999E-2</v>
      </c>
      <c r="K16" s="60">
        <f t="shared" si="0"/>
        <v>4.5999999999999999E-2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