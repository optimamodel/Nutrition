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38A993A-6D94-435D-B88E-DEC49DCD1F1B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<sst xmlns="http://schemas.openxmlformats.org/spreadsheetml/2006/main" count="2092" uniqueCount="341">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</sst>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21862100.25</v>
      </c>
    </row>
    <row r="8" spans="1:3" ht="15" customHeight="1" x14ac:dyDescent="0.25">
      <c r="B8" s="5" t="s">
        <v>8</v>
      </c>
      <c r="C8" s="44">
        <v>4.5999999999999999E-2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0.85338409423828099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7.8600000000000003E-2</v>
      </c>
    </row>
    <row r="24" spans="1:3" ht="15" customHeight="1" x14ac:dyDescent="0.25">
      <c r="B24" s="15" t="s">
        <v>22</v>
      </c>
      <c r="C24" s="45">
        <v>0.51929999999999998</v>
      </c>
    </row>
    <row r="25" spans="1:3" ht="15" customHeight="1" x14ac:dyDescent="0.25">
      <c r="B25" s="15" t="s">
        <v>23</v>
      </c>
      <c r="C25" s="45">
        <v>0.37880000000000003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1012347.7714</v>
      </c>
      <c r="C2" s="49">
        <v>3049000</v>
      </c>
      <c r="D2" s="49">
        <v>5176000</v>
      </c>
      <c r="E2" s="49">
        <v>8576000</v>
      </c>
      <c r="F2" s="49">
        <v>7725000</v>
      </c>
      <c r="G2" s="17">
        <f t="shared" ref="G2:G13" si="0">C2+D2+E2+F2</f>
        <v>24526000</v>
      </c>
      <c r="H2" s="17">
        <f t="shared" ref="H2:H13" si="1">(B2 + stillbirth*B2/(1000-stillbirth))/(1-abortion)</f>
        <v>1160926.6804657741</v>
      </c>
      <c r="I2" s="17">
        <f t="shared" ref="I2:I13" si="2">G2-H2</f>
        <v>23365073.319534227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970595.43000000017</v>
      </c>
      <c r="C3" s="50">
        <v>3153000</v>
      </c>
      <c r="D3" s="50">
        <v>5124000</v>
      </c>
      <c r="E3" s="50">
        <v>8173000</v>
      </c>
      <c r="F3" s="50">
        <v>8170000</v>
      </c>
      <c r="G3" s="17">
        <f t="shared" si="0"/>
        <v>24620000</v>
      </c>
      <c r="H3" s="17">
        <f t="shared" si="1"/>
        <v>1113046.4870455395</v>
      </c>
      <c r="I3" s="17">
        <f t="shared" si="2"/>
        <v>23506953.512954459</v>
      </c>
    </row>
    <row r="4" spans="1:9" ht="15.75" customHeight="1" x14ac:dyDescent="0.25">
      <c r="A4" s="5">
        <f t="shared" si="3"/>
        <v>2026</v>
      </c>
      <c r="B4" s="49">
        <v>952507.92</v>
      </c>
      <c r="C4" s="50">
        <v>3239000</v>
      </c>
      <c r="D4" s="50">
        <v>5141000</v>
      </c>
      <c r="E4" s="50">
        <v>7737000</v>
      </c>
      <c r="F4" s="50">
        <v>8568000</v>
      </c>
      <c r="G4" s="17">
        <f t="shared" si="0"/>
        <v>24685000</v>
      </c>
      <c r="H4" s="17">
        <f t="shared" si="1"/>
        <v>1092304.333473993</v>
      </c>
      <c r="I4" s="17">
        <f t="shared" si="2"/>
        <v>23592695.666526008</v>
      </c>
    </row>
    <row r="5" spans="1:9" ht="15.75" customHeight="1" x14ac:dyDescent="0.25">
      <c r="A5" s="5">
        <f t="shared" si="3"/>
        <v>2027</v>
      </c>
      <c r="B5" s="49">
        <v>933714.96899999992</v>
      </c>
      <c r="C5" s="50">
        <v>3304000</v>
      </c>
      <c r="D5" s="50">
        <v>5224000</v>
      </c>
      <c r="E5" s="50">
        <v>7269000</v>
      </c>
      <c r="F5" s="50">
        <v>8915000</v>
      </c>
      <c r="G5" s="17">
        <f t="shared" si="0"/>
        <v>24712000</v>
      </c>
      <c r="H5" s="17">
        <f t="shared" si="1"/>
        <v>1070753.2036775451</v>
      </c>
      <c r="I5" s="17">
        <f t="shared" si="2"/>
        <v>23641246.796322454</v>
      </c>
    </row>
    <row r="6" spans="1:9" ht="15.75" customHeight="1" x14ac:dyDescent="0.25">
      <c r="A6" s="5">
        <f t="shared" si="3"/>
        <v>2028</v>
      </c>
      <c r="B6" s="49">
        <v>914312.17799999984</v>
      </c>
      <c r="C6" s="50">
        <v>3347000</v>
      </c>
      <c r="D6" s="50">
        <v>5358000</v>
      </c>
      <c r="E6" s="50">
        <v>6795000</v>
      </c>
      <c r="F6" s="50">
        <v>9189000</v>
      </c>
      <c r="G6" s="17">
        <f t="shared" si="0"/>
        <v>24689000</v>
      </c>
      <c r="H6" s="17">
        <f t="shared" si="1"/>
        <v>1048502.7296964048</v>
      </c>
      <c r="I6" s="17">
        <f t="shared" si="2"/>
        <v>23640497.270303596</v>
      </c>
    </row>
    <row r="7" spans="1:9" ht="15.75" customHeight="1" x14ac:dyDescent="0.25">
      <c r="A7" s="5">
        <f t="shared" si="3"/>
        <v>2029</v>
      </c>
      <c r="B7" s="49">
        <v>894398.75099999981</v>
      </c>
      <c r="C7" s="50">
        <v>3367000</v>
      </c>
      <c r="D7" s="50">
        <v>5519000</v>
      </c>
      <c r="E7" s="50">
        <v>6353000</v>
      </c>
      <c r="F7" s="50">
        <v>9359000</v>
      </c>
      <c r="G7" s="17">
        <f t="shared" si="0"/>
        <v>24598000</v>
      </c>
      <c r="H7" s="17">
        <f t="shared" si="1"/>
        <v>1025666.6753710841</v>
      </c>
      <c r="I7" s="17">
        <f t="shared" si="2"/>
        <v>23572333.324628916</v>
      </c>
    </row>
    <row r="8" spans="1:9" ht="15.75" customHeight="1" x14ac:dyDescent="0.25">
      <c r="A8" s="5">
        <f t="shared" si="3"/>
        <v>2030</v>
      </c>
      <c r="B8" s="49">
        <v>874056.46799999999</v>
      </c>
      <c r="C8" s="50">
        <v>3363000</v>
      </c>
      <c r="D8" s="50">
        <v>5687000</v>
      </c>
      <c r="E8" s="50">
        <v>5968000</v>
      </c>
      <c r="F8" s="50">
        <v>9404000</v>
      </c>
      <c r="G8" s="17">
        <f t="shared" si="0"/>
        <v>24422000</v>
      </c>
      <c r="H8" s="17">
        <f t="shared" si="1"/>
        <v>1002338.8232796767</v>
      </c>
      <c r="I8" s="17">
        <f t="shared" si="2"/>
        <v>23419661.176720325</v>
      </c>
    </row>
    <row r="9" spans="1:9" ht="15.75" customHeight="1" x14ac:dyDescent="0.25">
      <c r="A9" s="5">
        <f t="shared" si="3"/>
        <v>2031</v>
      </c>
      <c r="B9" s="49">
        <v>854300.56751428568</v>
      </c>
      <c r="C9" s="50">
        <v>3407857.1428571432</v>
      </c>
      <c r="D9" s="50">
        <v>5760000</v>
      </c>
      <c r="E9" s="50">
        <v>5595428.5714285718</v>
      </c>
      <c r="F9" s="50">
        <v>9643857.1428571437</v>
      </c>
      <c r="G9" s="17">
        <f t="shared" si="0"/>
        <v>24407142.857142858</v>
      </c>
      <c r="H9" s="17">
        <f t="shared" si="1"/>
        <v>979683.41511023429</v>
      </c>
      <c r="I9" s="17">
        <f t="shared" si="2"/>
        <v>23427459.442032624</v>
      </c>
    </row>
    <row r="10" spans="1:9" ht="15.75" customHeight="1" x14ac:dyDescent="0.25">
      <c r="A10" s="5">
        <f t="shared" si="3"/>
        <v>2032</v>
      </c>
      <c r="B10" s="49">
        <v>837687.01573061221</v>
      </c>
      <c r="C10" s="50">
        <v>3444265.3061224492</v>
      </c>
      <c r="D10" s="50">
        <v>5850857.1428571427</v>
      </c>
      <c r="E10" s="50">
        <v>5227204.0816326533</v>
      </c>
      <c r="F10" s="50">
        <v>9854408.1632653065</v>
      </c>
      <c r="G10" s="17">
        <f t="shared" si="0"/>
        <v>24376734.693877552</v>
      </c>
      <c r="H10" s="17">
        <f t="shared" si="1"/>
        <v>960631.54769090493</v>
      </c>
      <c r="I10" s="17">
        <f t="shared" si="2"/>
        <v>23416103.146186646</v>
      </c>
    </row>
    <row r="11" spans="1:9" ht="15.75" customHeight="1" x14ac:dyDescent="0.25">
      <c r="A11" s="5">
        <f t="shared" si="3"/>
        <v>2033</v>
      </c>
      <c r="B11" s="49">
        <v>821284.0294064139</v>
      </c>
      <c r="C11" s="50">
        <v>3473588.921282799</v>
      </c>
      <c r="D11" s="50">
        <v>5952265.3061224492</v>
      </c>
      <c r="E11" s="50">
        <v>4868661.8075801749</v>
      </c>
      <c r="F11" s="50">
        <v>10038180.75801749</v>
      </c>
      <c r="G11" s="17">
        <f t="shared" si="0"/>
        <v>24332696.793002911</v>
      </c>
      <c r="H11" s="17">
        <f t="shared" si="1"/>
        <v>941821.1497218922</v>
      </c>
      <c r="I11" s="17">
        <f t="shared" si="2"/>
        <v>23390875.64328102</v>
      </c>
    </row>
    <row r="12" spans="1:9" ht="15.75" customHeight="1" x14ac:dyDescent="0.25">
      <c r="A12" s="5">
        <f t="shared" si="3"/>
        <v>2034</v>
      </c>
      <c r="B12" s="49">
        <v>805222.46660733013</v>
      </c>
      <c r="C12" s="50">
        <v>3497815.910037484</v>
      </c>
      <c r="D12" s="50">
        <v>6056303.2069970844</v>
      </c>
      <c r="E12" s="50">
        <v>4525756.3515202003</v>
      </c>
      <c r="F12" s="50">
        <v>10198635.152019991</v>
      </c>
      <c r="G12" s="17">
        <f t="shared" si="0"/>
        <v>24278510.620574757</v>
      </c>
      <c r="H12" s="17">
        <f t="shared" si="1"/>
        <v>923402.28487108462</v>
      </c>
      <c r="I12" s="17">
        <f t="shared" si="2"/>
        <v>23355108.335703671</v>
      </c>
    </row>
    <row r="13" spans="1:9" ht="15.75" customHeight="1" x14ac:dyDescent="0.25">
      <c r="A13" s="5">
        <f t="shared" si="3"/>
        <v>2035</v>
      </c>
      <c r="B13" s="49">
        <v>789638.22212266305</v>
      </c>
      <c r="C13" s="50">
        <v>3519361.040042839</v>
      </c>
      <c r="D13" s="50">
        <v>6156060.8079966679</v>
      </c>
      <c r="E13" s="50">
        <v>4201578.6874516578</v>
      </c>
      <c r="F13" s="50">
        <v>10342868.745165709</v>
      </c>
      <c r="G13" s="17">
        <f t="shared" si="0"/>
        <v>24219869.280656874</v>
      </c>
      <c r="H13" s="17">
        <f t="shared" si="1"/>
        <v>905530.79275318189</v>
      </c>
      <c r="I13" s="17">
        <f t="shared" si="2"/>
        <v>23314338.487903692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101">
        <v>5.6959305695930607E-2</v>
      </c>
    </row>
    <row r="5" spans="1:8" ht="15.75" customHeight="1" x14ac:dyDescent="0.25">
      <c r="B5" s="19" t="s">
        <v>70</v>
      </c>
      <c r="C5" s="101">
        <v>3.7975303797530502E-2</v>
      </c>
    </row>
    <row r="6" spans="1:8" ht="15.75" customHeight="1" x14ac:dyDescent="0.25">
      <c r="B6" s="19" t="s">
        <v>71</v>
      </c>
      <c r="C6" s="101">
        <v>0.1868385186838521</v>
      </c>
    </row>
    <row r="7" spans="1:8" ht="15.75" customHeight="1" x14ac:dyDescent="0.25">
      <c r="B7" s="19" t="s">
        <v>72</v>
      </c>
      <c r="C7" s="101">
        <v>0.44315674431567392</v>
      </c>
    </row>
    <row r="8" spans="1:8" ht="15.75" customHeight="1" x14ac:dyDescent="0.25">
      <c r="B8" s="19" t="s">
        <v>73</v>
      </c>
      <c r="C8" s="101">
        <v>4.4720004472000513E-4</v>
      </c>
    </row>
    <row r="9" spans="1:8" ht="15.75" customHeight="1" x14ac:dyDescent="0.25">
      <c r="B9" s="19" t="s">
        <v>74</v>
      </c>
      <c r="C9" s="101">
        <v>0.17596981759698199</v>
      </c>
    </row>
    <row r="10" spans="1:8" ht="15.75" customHeight="1" x14ac:dyDescent="0.25">
      <c r="B10" s="19" t="s">
        <v>75</v>
      </c>
      <c r="C10" s="101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83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84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85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86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87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89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101">
        <v>1.9231089E-2</v>
      </c>
    </row>
    <row r="28" spans="1:8" ht="15.75" customHeight="1" x14ac:dyDescent="0.25">
      <c r="B28" s="19" t="s">
        <v>93</v>
      </c>
      <c r="C28" s="101">
        <v>0.23147800700000001</v>
      </c>
    </row>
    <row r="29" spans="1:8" ht="15.75" customHeight="1" x14ac:dyDescent="0.25">
      <c r="B29" s="19" t="s">
        <v>94</v>
      </c>
      <c r="C29" s="101">
        <v>0.13894083700000001</v>
      </c>
    </row>
    <row r="30" spans="1:8" ht="15.75" customHeight="1" x14ac:dyDescent="0.25">
      <c r="B30" s="19" t="s">
        <v>95</v>
      </c>
      <c r="C30" s="101">
        <v>5.0303380000000002E-2</v>
      </c>
    </row>
    <row r="31" spans="1:8" ht="15.75" customHeight="1" x14ac:dyDescent="0.25">
      <c r="B31" s="19" t="s">
        <v>96</v>
      </c>
      <c r="C31" s="101">
        <v>7.028529E-2</v>
      </c>
    </row>
    <row r="32" spans="1:8" ht="15.75" customHeight="1" x14ac:dyDescent="0.25">
      <c r="B32" s="19" t="s">
        <v>97</v>
      </c>
      <c r="C32" s="101">
        <v>0.146633282</v>
      </c>
    </row>
    <row r="33" spans="2:3" ht="15.75" customHeight="1" x14ac:dyDescent="0.25">
      <c r="B33" s="19" t="s">
        <v>98</v>
      </c>
      <c r="C33" s="101">
        <v>0.12525921100000001</v>
      </c>
    </row>
    <row r="34" spans="2:3" ht="15.75" customHeight="1" x14ac:dyDescent="0.25">
      <c r="B34" s="19" t="s">
        <v>99</v>
      </c>
      <c r="C34" s="101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0.30210936194072202</v>
      </c>
      <c r="C2" s="98">
        <v>0.95</v>
      </c>
      <c r="D2" s="56">
        <v>64.886871461123533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40.033831858193757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521.91094080463984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1.602565211069062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13.166131301989671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13.166131301989671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13.166131301989671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13.166131301989671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13.166131301989671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13.166131301989671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0.37414230687134797</v>
      </c>
      <c r="C16" s="98">
        <v>0.95</v>
      </c>
      <c r="D16" s="56">
        <v>0.87289710188501968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11.99955936520508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11.99955936520508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0.45606069999999999</v>
      </c>
      <c r="C21" s="98">
        <v>0.95</v>
      </c>
      <c r="D21" s="56">
        <v>14.37005331994601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22.801258259937519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1.5928999999999999E-2</v>
      </c>
      <c r="C23" s="98">
        <v>0.95</v>
      </c>
      <c r="D23" s="56">
        <v>4.3755575735972823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0.63748328044507307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0.34111468179224902</v>
      </c>
      <c r="C27" s="98">
        <v>0.95</v>
      </c>
      <c r="D27" s="56">
        <v>18.728188384897141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0.36092259999999998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129.29915294669931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1.2142779657827909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0.4996447</v>
      </c>
      <c r="C32" s="98">
        <v>0.95</v>
      </c>
      <c r="D32" s="56">
        <v>1.8900764232524481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0.88156880000000004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0.37310900000000002</v>
      </c>
      <c r="C38" s="98">
        <v>0.95</v>
      </c>
      <c r="D38" s="56">
        <v>3.1240782385195991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0.53925319999999999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0.89197364156854275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2024-03-28T03:04:10Z</dcterms:modified>
</cp:coreProperties>
</file>