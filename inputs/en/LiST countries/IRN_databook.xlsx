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Tharindu Documents\WB_multi_country 2025_R1\Databooks_R1\"/>
    </mc:Choice>
  </mc:AlternateContent>
  <xr:revisionPtr revIDLastSave="0" documentId="8_{DEF325F6-ABBA-4C97-B9DC-ACED0F375B4C}" xr6:coauthVersionLast="47" xr6:coauthVersionMax="47" xr10:uidLastSave="{00000000-0000-0000-0000-000000000000}"/>
  <bookViews>
    <workbookView xWindow="-110" yWindow="-110" windowWidth="19420" windowHeight="1030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0" i="25" l="1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E158" i="27"/>
  <c r="D158" i="27"/>
  <c r="H142" i="27"/>
  <c r="G142" i="27"/>
  <c r="F142" i="27"/>
  <c r="E142" i="27"/>
  <c r="H141" i="27"/>
  <c r="G141" i="27"/>
  <c r="F141" i="27"/>
  <c r="E141" i="27"/>
  <c r="D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G116" i="27"/>
  <c r="F116" i="27"/>
  <c r="E116" i="27"/>
  <c r="D116" i="27"/>
  <c r="H101" i="27"/>
  <c r="H158" i="27" s="1"/>
  <c r="G101" i="27"/>
  <c r="F101" i="27"/>
  <c r="F158" i="27" s="1"/>
  <c r="E101" i="27"/>
  <c r="D101" i="27"/>
  <c r="H85" i="27"/>
  <c r="G85" i="27"/>
  <c r="F85" i="27"/>
  <c r="E85" i="27"/>
  <c r="H84" i="27"/>
  <c r="G84" i="27"/>
  <c r="F84" i="27"/>
  <c r="E84" i="27"/>
  <c r="D84" i="27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F59" i="27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A40" i="2"/>
  <c r="H39" i="2"/>
  <c r="G39" i="2"/>
  <c r="H38" i="2"/>
  <c r="G38" i="2"/>
  <c r="I38" i="2" s="1"/>
  <c r="A37" i="2"/>
  <c r="A34" i="2"/>
  <c r="A31" i="2"/>
  <c r="A25" i="2"/>
  <c r="A24" i="2"/>
  <c r="H13" i="2"/>
  <c r="G13" i="2"/>
  <c r="I13" i="2" s="1"/>
  <c r="H12" i="2"/>
  <c r="G12" i="2"/>
  <c r="I12" i="2" s="1"/>
  <c r="H11" i="2"/>
  <c r="G11" i="2"/>
  <c r="I11" i="2" s="1"/>
  <c r="H10" i="2"/>
  <c r="G10" i="2"/>
  <c r="H9" i="2"/>
  <c r="G9" i="2"/>
  <c r="H8" i="2"/>
  <c r="G8" i="2"/>
  <c r="I8" i="2" s="1"/>
  <c r="H7" i="2"/>
  <c r="G7" i="2"/>
  <c r="I7" i="2" s="1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I6" i="2" l="1"/>
  <c r="A35" i="2"/>
  <c r="A36" i="2"/>
  <c r="I2" i="2"/>
  <c r="A19" i="2"/>
  <c r="A22" i="2"/>
  <c r="I39" i="2"/>
  <c r="I3" i="2"/>
  <c r="I9" i="2"/>
  <c r="A23" i="2"/>
  <c r="A26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<sst xmlns="http://schemas.openxmlformats.org/spreadsheetml/2006/main" count="2169" uniqueCount="373">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</sst>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6014437.5</v>
      </c>
    </row>
    <row r="8" spans="1:3" ht="15" customHeight="1" x14ac:dyDescent="0.25">
      <c r="B8" s="5" t="s">
        <v>8</v>
      </c>
      <c r="C8" s="44">
        <v>4.5999999999999999E-2</v>
      </c>
    </row>
    <row r="9" spans="1:3" ht="15" customHeight="1" x14ac:dyDescent="0.25">
      <c r="B9" s="5" t="s">
        <v>9</v>
      </c>
      <c r="C9" s="45">
        <v>0.10879999999999999</v>
      </c>
    </row>
    <row r="10" spans="1:3" ht="15" customHeight="1" x14ac:dyDescent="0.25">
      <c r="B10" s="5" t="s">
        <v>10</v>
      </c>
      <c r="C10" s="45">
        <v>0.85338409423828099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0.314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7.8600000000000003E-2</v>
      </c>
    </row>
    <row r="24" spans="1:3" ht="15" customHeight="1" x14ac:dyDescent="0.25">
      <c r="B24" s="15" t="s">
        <v>22</v>
      </c>
      <c r="C24" s="45">
        <v>0.51929999999999998</v>
      </c>
    </row>
    <row r="25" spans="1:3" ht="15" customHeight="1" x14ac:dyDescent="0.25">
      <c r="B25" s="15" t="s">
        <v>23</v>
      </c>
      <c r="C25" s="45">
        <v>0.37880000000000003</v>
      </c>
    </row>
    <row r="26" spans="1:3" ht="15" customHeight="1" x14ac:dyDescent="0.25">
      <c r="B26" s="15" t="s">
        <v>24</v>
      </c>
      <c r="C26" s="45">
        <v>2.3300000000000001E-2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0.35185775257007201</v>
      </c>
    </row>
    <row r="30" spans="1:3" ht="14.25" customHeight="1" x14ac:dyDescent="0.25">
      <c r="B30" s="25" t="s">
        <v>27</v>
      </c>
      <c r="C30" s="97">
        <v>2.3858720907234902E-2</v>
      </c>
    </row>
    <row r="31" spans="1:3" ht="14.25" customHeight="1" x14ac:dyDescent="0.25">
      <c r="B31" s="25" t="s">
        <v>28</v>
      </c>
      <c r="C31" s="97">
        <v>3.4342930038455802E-2</v>
      </c>
    </row>
    <row r="32" spans="1:3" ht="14.25" customHeight="1" x14ac:dyDescent="0.25">
      <c r="B32" s="25" t="s">
        <v>29</v>
      </c>
      <c r="C32" s="97">
        <v>0.58994059648423802</v>
      </c>
    </row>
    <row r="33" spans="1:5" ht="13.25" customHeight="1" x14ac:dyDescent="0.25">
      <c r="B33" s="27" t="s">
        <v>30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11.326549999999999</v>
      </c>
    </row>
    <row r="38" spans="1:5" ht="15" customHeight="1" x14ac:dyDescent="0.25">
      <c r="B38" s="11" t="s">
        <v>34</v>
      </c>
      <c r="C38" s="43">
        <v>18.882359999999998</v>
      </c>
      <c r="D38" s="12"/>
      <c r="E38" s="13"/>
    </row>
    <row r="39" spans="1:5" ht="15" customHeight="1" x14ac:dyDescent="0.25">
      <c r="B39" s="11" t="s">
        <v>35</v>
      </c>
      <c r="C39" s="43">
        <v>22.173410000000001</v>
      </c>
      <c r="D39" s="12"/>
      <c r="E39" s="12"/>
    </row>
    <row r="40" spans="1:5" ht="15" customHeight="1" x14ac:dyDescent="0.25">
      <c r="B40" s="11" t="s">
        <v>36</v>
      </c>
      <c r="C40" s="98">
        <v>1.73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9.0716199999999994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6.1523000000000003E-3</v>
      </c>
      <c r="D45" s="12"/>
    </row>
    <row r="46" spans="1:5" ht="15.75" customHeight="1" x14ac:dyDescent="0.25">
      <c r="B46" s="11" t="s">
        <v>41</v>
      </c>
      <c r="C46" s="45">
        <v>6.6105700000000003E-2</v>
      </c>
      <c r="D46" s="12"/>
    </row>
    <row r="47" spans="1:5" ht="15.75" customHeight="1" x14ac:dyDescent="0.25">
      <c r="B47" s="11" t="s">
        <v>42</v>
      </c>
      <c r="C47" s="45">
        <v>7.5150599999999998E-2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2.4</v>
      </c>
      <c r="D51" s="12"/>
    </row>
    <row r="52" spans="1:4" ht="15" customHeight="1" x14ac:dyDescent="0.25">
      <c r="B52" s="11" t="s">
        <v>46</v>
      </c>
      <c r="C52" s="98">
        <v>2.4</v>
      </c>
    </row>
    <row r="53" spans="1:4" ht="15.75" customHeight="1" x14ac:dyDescent="0.25">
      <c r="B53" s="11" t="s">
        <v>47</v>
      </c>
      <c r="C53" s="98">
        <v>2.4</v>
      </c>
    </row>
    <row r="54" spans="1:4" ht="15.75" customHeight="1" x14ac:dyDescent="0.25">
      <c r="B54" s="11" t="s">
        <v>48</v>
      </c>
      <c r="C54" s="98">
        <v>2.4</v>
      </c>
    </row>
    <row r="55" spans="1:4" ht="15.75" customHeight="1" x14ac:dyDescent="0.25">
      <c r="B55" s="11" t="s">
        <v>49</v>
      </c>
      <c r="C55" s="98">
        <v>2.4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2.1666666666666671E-2</v>
      </c>
    </row>
    <row r="59" spans="1:4" ht="15.75" customHeight="1" x14ac:dyDescent="0.25">
      <c r="B59" s="11" t="s">
        <v>52</v>
      </c>
      <c r="C59" s="45">
        <v>0.58243899999999993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1151057</v>
      </c>
      <c r="C2" s="49">
        <v>3094209</v>
      </c>
      <c r="D2" s="49">
        <v>5875824.5</v>
      </c>
      <c r="E2" s="49">
        <v>8380318.5000000009</v>
      </c>
      <c r="F2" s="49">
        <v>7200214.5</v>
      </c>
      <c r="G2" s="17">
        <f t="shared" ref="G2:G13" si="0">C2+D2+E2+F2</f>
        <v>24550566.5</v>
      </c>
      <c r="H2" s="17">
        <f t="shared" ref="H2:H13" si="1">(B2 + stillbirth*B2/(1000-stillbirth))/(1-abortion)</f>
        <v>1319993.8003408664</v>
      </c>
      <c r="I2" s="17">
        <f t="shared" ref="I2:I13" si="2">G2-H2</f>
        <v>23230572.699659135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1125230</v>
      </c>
      <c r="C3" s="50">
        <v>3162418</v>
      </c>
      <c r="D3" s="50">
        <v>5830532.4999999991</v>
      </c>
      <c r="E3" s="50">
        <v>8127248</v>
      </c>
      <c r="F3" s="50">
        <v>7553258.5</v>
      </c>
      <c r="G3" s="17">
        <f t="shared" si="0"/>
        <v>24673457</v>
      </c>
      <c r="H3" s="17">
        <f t="shared" si="1"/>
        <v>1290376.2576115283</v>
      </c>
      <c r="I3" s="17">
        <f t="shared" si="2"/>
        <v>23383080.742388472</v>
      </c>
    </row>
    <row r="4" spans="1:9" ht="15.75" customHeight="1" x14ac:dyDescent="0.25">
      <c r="A4" s="5">
        <f t="shared" si="3"/>
        <v>2026</v>
      </c>
      <c r="B4" s="49">
        <v>1101751</v>
      </c>
      <c r="C4" s="50">
        <v>3221955</v>
      </c>
      <c r="D4" s="50">
        <v>5823510.5</v>
      </c>
      <c r="E4" s="50">
        <v>7833019.5</v>
      </c>
      <c r="F4" s="50">
        <v>7879219.4999999991</v>
      </c>
      <c r="G4" s="17">
        <f t="shared" si="0"/>
        <v>24757704.5</v>
      </c>
      <c r="H4" s="17">
        <f t="shared" si="1"/>
        <v>1263451.3230181909</v>
      </c>
      <c r="I4" s="17">
        <f t="shared" si="2"/>
        <v>23494253.17698181</v>
      </c>
    </row>
    <row r="5" spans="1:9" ht="15.75" customHeight="1" x14ac:dyDescent="0.25">
      <c r="A5" s="5">
        <f t="shared" si="3"/>
        <v>2027</v>
      </c>
      <c r="B5" s="49">
        <v>1082259</v>
      </c>
      <c r="C5" s="50">
        <v>3281528</v>
      </c>
      <c r="D5" s="50">
        <v>5842965</v>
      </c>
      <c r="E5" s="50">
        <v>7536132</v>
      </c>
      <c r="F5" s="50">
        <v>8156710</v>
      </c>
      <c r="G5" s="17">
        <f t="shared" si="0"/>
        <v>24817335</v>
      </c>
      <c r="H5" s="17">
        <f t="shared" si="1"/>
        <v>1241098.5471293824</v>
      </c>
      <c r="I5" s="17">
        <f t="shared" si="2"/>
        <v>23576236.452870619</v>
      </c>
    </row>
    <row r="6" spans="1:9" ht="15.75" customHeight="1" x14ac:dyDescent="0.25">
      <c r="A6" s="5">
        <f t="shared" si="3"/>
        <v>2028</v>
      </c>
      <c r="B6" s="49">
        <v>1064974</v>
      </c>
      <c r="C6" s="50">
        <v>3350313</v>
      </c>
      <c r="D6" s="50">
        <v>5878416.9999999991</v>
      </c>
      <c r="E6" s="50">
        <v>7250938.5</v>
      </c>
      <c r="F6" s="50">
        <v>8377903</v>
      </c>
      <c r="G6" s="17">
        <f t="shared" si="0"/>
        <v>24857571.5</v>
      </c>
      <c r="H6" s="17">
        <f t="shared" si="1"/>
        <v>1221276.6852764145</v>
      </c>
      <c r="I6" s="17">
        <f t="shared" si="2"/>
        <v>23636294.814723585</v>
      </c>
    </row>
    <row r="7" spans="1:9" ht="15.75" customHeight="1" x14ac:dyDescent="0.25">
      <c r="A7" s="5">
        <f t="shared" si="3"/>
        <v>2029</v>
      </c>
      <c r="B7" s="49">
        <v>1050538</v>
      </c>
      <c r="C7" s="50">
        <v>3430044</v>
      </c>
      <c r="D7" s="50">
        <v>5927809.4999999991</v>
      </c>
      <c r="E7" s="50">
        <v>6960471.5</v>
      </c>
      <c r="F7" s="50">
        <v>8550985.4999999981</v>
      </c>
      <c r="G7" s="17">
        <f t="shared" si="0"/>
        <v>24869310.5</v>
      </c>
      <c r="H7" s="17">
        <f t="shared" si="1"/>
        <v>1204721.9616600161</v>
      </c>
      <c r="I7" s="17">
        <f t="shared" si="2"/>
        <v>23664588.538339984</v>
      </c>
    </row>
    <row r="8" spans="1:9" ht="15.75" customHeight="1" x14ac:dyDescent="0.25">
      <c r="A8" s="5">
        <f t="shared" si="3"/>
        <v>2030</v>
      </c>
      <c r="B8" s="49">
        <v>1037833.0000000001</v>
      </c>
      <c r="C8" s="50">
        <v>3517452</v>
      </c>
      <c r="D8" s="50">
        <v>5993693</v>
      </c>
      <c r="E8" s="50">
        <v>6675670</v>
      </c>
      <c r="F8" s="50">
        <v>8661758.5</v>
      </c>
      <c r="G8" s="17">
        <f t="shared" si="0"/>
        <v>24848573.5</v>
      </c>
      <c r="H8" s="17">
        <f t="shared" si="1"/>
        <v>1190152.2911455841</v>
      </c>
      <c r="I8" s="17">
        <f t="shared" si="2"/>
        <v>23658421.208854415</v>
      </c>
    </row>
    <row r="9" spans="1:9" ht="15.75" customHeight="1" x14ac:dyDescent="0.25">
      <c r="A9" s="5">
        <f t="shared" si="3"/>
        <v>2031</v>
      </c>
      <c r="B9" s="49">
        <v>1029391.0000000001</v>
      </c>
      <c r="C9" s="50">
        <v>3603948</v>
      </c>
      <c r="D9" s="50">
        <v>6075092.5000000009</v>
      </c>
      <c r="E9" s="50">
        <v>6412426.5</v>
      </c>
      <c r="F9" s="50">
        <v>8696412</v>
      </c>
      <c r="G9" s="17">
        <f t="shared" si="0"/>
        <v>24787879</v>
      </c>
      <c r="H9" s="17">
        <f t="shared" si="1"/>
        <v>1180471.2869359944</v>
      </c>
      <c r="I9" s="17">
        <f t="shared" si="2"/>
        <v>23607407.713064007</v>
      </c>
    </row>
    <row r="10" spans="1:9" ht="15.75" customHeight="1" x14ac:dyDescent="0.25">
      <c r="A10" s="5">
        <f t="shared" si="3"/>
        <v>2032</v>
      </c>
      <c r="B10" s="49">
        <v>1024789</v>
      </c>
      <c r="C10" s="50">
        <v>3668356</v>
      </c>
      <c r="D10" s="50">
        <v>6173891</v>
      </c>
      <c r="E10" s="50">
        <v>6192581.5</v>
      </c>
      <c r="F10" s="50">
        <v>8660701.5</v>
      </c>
      <c r="G10" s="17">
        <f t="shared" si="0"/>
        <v>24695530</v>
      </c>
      <c r="H10" s="17">
        <f t="shared" si="1"/>
        <v>1175193.8667307668</v>
      </c>
      <c r="I10" s="17">
        <f t="shared" si="2"/>
        <v>23520336.133269232</v>
      </c>
    </row>
    <row r="11" spans="1:9" ht="15.75" customHeight="1" x14ac:dyDescent="0.25">
      <c r="A11" s="5">
        <f t="shared" si="3"/>
        <v>2033</v>
      </c>
      <c r="B11" s="49">
        <v>1024685.9999999999</v>
      </c>
      <c r="C11" s="50">
        <v>3678753</v>
      </c>
      <c r="D11" s="50">
        <v>6293610.5000000009</v>
      </c>
      <c r="E11" s="50">
        <v>6024056.0000000009</v>
      </c>
      <c r="F11" s="50">
        <v>8549800.5</v>
      </c>
      <c r="G11" s="17">
        <f t="shared" si="0"/>
        <v>24546220</v>
      </c>
      <c r="H11" s="17">
        <f t="shared" si="1"/>
        <v>1175075.7497639828</v>
      </c>
      <c r="I11" s="17">
        <f t="shared" si="2"/>
        <v>23371144.250236016</v>
      </c>
    </row>
    <row r="12" spans="1:9" ht="15.75" customHeight="1" x14ac:dyDescent="0.25">
      <c r="A12" s="5">
        <f t="shared" si="3"/>
        <v>2034</v>
      </c>
      <c r="B12" s="49">
        <v>1027925.9999999999</v>
      </c>
      <c r="C12" s="50">
        <v>3610970</v>
      </c>
      <c r="D12" s="50">
        <v>6432133.5</v>
      </c>
      <c r="E12" s="50">
        <v>5899367</v>
      </c>
      <c r="F12" s="50">
        <v>8350636</v>
      </c>
      <c r="G12" s="17">
        <f t="shared" si="0"/>
        <v>24293106.5</v>
      </c>
      <c r="H12" s="17">
        <f t="shared" si="1"/>
        <v>1178791.2737676634</v>
      </c>
      <c r="I12" s="17">
        <f t="shared" si="2"/>
        <v>23114315.226232335</v>
      </c>
    </row>
    <row r="13" spans="1:9" ht="15.75" customHeight="1" x14ac:dyDescent="0.25">
      <c r="A13" s="5">
        <f t="shared" si="3"/>
        <v>2035</v>
      </c>
      <c r="B13" s="49">
        <v>1031654</v>
      </c>
      <c r="C13" s="50">
        <v>3476854</v>
      </c>
      <c r="D13" s="50">
        <v>6577999</v>
      </c>
      <c r="E13" s="50">
        <v>5825202</v>
      </c>
      <c r="F13" s="50">
        <v>8085290.4999999991</v>
      </c>
      <c r="G13" s="17">
        <f t="shared" si="0"/>
        <v>23965345.5</v>
      </c>
      <c r="H13" s="17">
        <f t="shared" si="1"/>
        <v>1183066.4199052316</v>
      </c>
      <c r="I13" s="17">
        <f t="shared" si="2"/>
        <v>22782279.08009477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1.738200173820019E-3</v>
      </c>
    </row>
    <row r="4" spans="1:8" ht="15.75" customHeight="1" x14ac:dyDescent="0.25">
      <c r="B4" s="19" t="s">
        <v>69</v>
      </c>
      <c r="C4" s="99">
        <v>5.6959305695930607E-2</v>
      </c>
    </row>
    <row r="5" spans="1:8" ht="15.75" customHeight="1" x14ac:dyDescent="0.25">
      <c r="B5" s="19" t="s">
        <v>70</v>
      </c>
      <c r="C5" s="99">
        <v>3.7975303797530502E-2</v>
      </c>
    </row>
    <row r="6" spans="1:8" ht="15.75" customHeight="1" x14ac:dyDescent="0.25">
      <c r="B6" s="19" t="s">
        <v>71</v>
      </c>
      <c r="C6" s="99">
        <v>0.1868385186838521</v>
      </c>
    </row>
    <row r="7" spans="1:8" ht="15.75" customHeight="1" x14ac:dyDescent="0.25">
      <c r="B7" s="19" t="s">
        <v>72</v>
      </c>
      <c r="C7" s="99">
        <v>0.44315674431567392</v>
      </c>
    </row>
    <row r="8" spans="1:8" ht="15.75" customHeight="1" x14ac:dyDescent="0.25">
      <c r="B8" s="19" t="s">
        <v>73</v>
      </c>
      <c r="C8" s="99">
        <v>4.4720004472000513E-4</v>
      </c>
    </row>
    <row r="9" spans="1:8" ht="15.75" customHeight="1" x14ac:dyDescent="0.25">
      <c r="B9" s="19" t="s">
        <v>74</v>
      </c>
      <c r="C9" s="99">
        <v>0.17596981759698199</v>
      </c>
    </row>
    <row r="10" spans="1:8" ht="15.75" customHeight="1" x14ac:dyDescent="0.25">
      <c r="B10" s="19" t="s">
        <v>75</v>
      </c>
      <c r="C10" s="99">
        <v>9.691490969149115E-2</v>
      </c>
    </row>
    <row r="11" spans="1:8" ht="15.75" customHeight="1" x14ac:dyDescent="0.25">
      <c r="B11" s="27" t="s">
        <v>30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0.1263899519799413</v>
      </c>
      <c r="D14" s="55">
        <v>0.1263899519799413</v>
      </c>
      <c r="E14" s="55">
        <v>0.1263899519799413</v>
      </c>
      <c r="F14" s="55">
        <v>0.1263899519799413</v>
      </c>
    </row>
    <row r="15" spans="1:8" ht="15.75" customHeight="1" x14ac:dyDescent="0.25">
      <c r="B15" s="19" t="s">
        <v>82</v>
      </c>
      <c r="C15" s="99">
        <v>0.1041664226509775</v>
      </c>
      <c r="D15" s="99">
        <v>0.1041664226509775</v>
      </c>
      <c r="E15" s="99">
        <v>0.1041664226509775</v>
      </c>
      <c r="F15" s="99">
        <v>0.1041664226509775</v>
      </c>
    </row>
    <row r="16" spans="1:8" ht="15.75" customHeight="1" x14ac:dyDescent="0.25">
      <c r="B16" s="19" t="s">
        <v>83</v>
      </c>
      <c r="C16" s="99">
        <v>1.051281860064689E-2</v>
      </c>
      <c r="D16" s="99">
        <v>1.051281860064689E-2</v>
      </c>
      <c r="E16" s="99">
        <v>1.051281860064689E-2</v>
      </c>
      <c r="F16" s="99">
        <v>1.051281860064689E-2</v>
      </c>
    </row>
    <row r="17" spans="1:8" ht="15.75" customHeight="1" x14ac:dyDescent="0.25">
      <c r="B17" s="19" t="s">
        <v>84</v>
      </c>
      <c r="C17" s="99">
        <v>2.740749590882348E-3</v>
      </c>
      <c r="D17" s="99">
        <v>2.740749590882348E-3</v>
      </c>
      <c r="E17" s="99">
        <v>2.740749590882348E-3</v>
      </c>
      <c r="F17" s="99">
        <v>2.740749590882348E-3</v>
      </c>
    </row>
    <row r="18" spans="1:8" ht="15.75" customHeight="1" x14ac:dyDescent="0.25">
      <c r="B18" s="19" t="s">
        <v>85</v>
      </c>
      <c r="C18" s="99">
        <v>8.5856697536406783E-3</v>
      </c>
      <c r="D18" s="99">
        <v>8.5856697536406783E-3</v>
      </c>
      <c r="E18" s="99">
        <v>8.5856697536406783E-3</v>
      </c>
      <c r="F18" s="99">
        <v>8.5856697536406783E-3</v>
      </c>
    </row>
    <row r="19" spans="1:8" ht="15.75" customHeight="1" x14ac:dyDescent="0.25">
      <c r="B19" s="19" t="s">
        <v>86</v>
      </c>
      <c r="C19" s="99">
        <v>3.85459091454761E-2</v>
      </c>
      <c r="D19" s="99">
        <v>3.85459091454761E-2</v>
      </c>
      <c r="E19" s="99">
        <v>3.85459091454761E-2</v>
      </c>
      <c r="F19" s="99">
        <v>3.85459091454761E-2</v>
      </c>
    </row>
    <row r="20" spans="1:8" ht="15.75" customHeight="1" x14ac:dyDescent="0.25">
      <c r="B20" s="19" t="s">
        <v>87</v>
      </c>
      <c r="C20" s="99">
        <v>3.5060893629497103E-2</v>
      </c>
      <c r="D20" s="99">
        <v>3.5060893629497103E-2</v>
      </c>
      <c r="E20" s="99">
        <v>3.5060893629497103E-2</v>
      </c>
      <c r="F20" s="99">
        <v>3.5060893629497103E-2</v>
      </c>
    </row>
    <row r="21" spans="1:8" ht="15.75" customHeight="1" x14ac:dyDescent="0.25">
      <c r="B21" s="19" t="s">
        <v>88</v>
      </c>
      <c r="C21" s="99">
        <v>0.36168149328917881</v>
      </c>
      <c r="D21" s="99">
        <v>0.36168149328917881</v>
      </c>
      <c r="E21" s="99">
        <v>0.36168149328917881</v>
      </c>
      <c r="F21" s="99">
        <v>0.36168149328917881</v>
      </c>
    </row>
    <row r="22" spans="1:8" ht="15.75" customHeight="1" x14ac:dyDescent="0.25">
      <c r="B22" s="19" t="s">
        <v>89</v>
      </c>
      <c r="C22" s="99">
        <v>0.3123160913597593</v>
      </c>
      <c r="D22" s="99">
        <v>0.3123160913597593</v>
      </c>
      <c r="E22" s="99">
        <v>0.3123160913597593</v>
      </c>
      <c r="F22" s="99">
        <v>0.3123160913597593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4.7996967000000001E-2</v>
      </c>
    </row>
    <row r="27" spans="1:8" ht="15.75" customHeight="1" x14ac:dyDescent="0.25">
      <c r="B27" s="19" t="s">
        <v>92</v>
      </c>
      <c r="C27" s="99">
        <v>1.9231089E-2</v>
      </c>
    </row>
    <row r="28" spans="1:8" ht="15.75" customHeight="1" x14ac:dyDescent="0.25">
      <c r="B28" s="19" t="s">
        <v>93</v>
      </c>
      <c r="C28" s="99">
        <v>0.23147800700000001</v>
      </c>
    </row>
    <row r="29" spans="1:8" ht="15.75" customHeight="1" x14ac:dyDescent="0.25">
      <c r="B29" s="19" t="s">
        <v>94</v>
      </c>
      <c r="C29" s="99">
        <v>0.13894083700000001</v>
      </c>
    </row>
    <row r="30" spans="1:8" ht="15.75" customHeight="1" x14ac:dyDescent="0.25">
      <c r="B30" s="19" t="s">
        <v>95</v>
      </c>
      <c r="C30" s="99">
        <v>5.0303380000000002E-2</v>
      </c>
    </row>
    <row r="31" spans="1:8" ht="15.75" customHeight="1" x14ac:dyDescent="0.25">
      <c r="B31" s="19" t="s">
        <v>96</v>
      </c>
      <c r="C31" s="99">
        <v>7.028529E-2</v>
      </c>
    </row>
    <row r="32" spans="1:8" ht="15.75" customHeight="1" x14ac:dyDescent="0.25">
      <c r="B32" s="19" t="s">
        <v>97</v>
      </c>
      <c r="C32" s="99">
        <v>0.146633282</v>
      </c>
    </row>
    <row r="33" spans="2:3" ht="15.75" customHeight="1" x14ac:dyDescent="0.25">
      <c r="B33" s="19" t="s">
        <v>98</v>
      </c>
      <c r="C33" s="99">
        <v>0.12525921100000001</v>
      </c>
    </row>
    <row r="34" spans="2:3" ht="15.75" customHeight="1" x14ac:dyDescent="0.25">
      <c r="B34" s="19" t="s">
        <v>99</v>
      </c>
      <c r="C34" s="99">
        <v>0.169871936</v>
      </c>
    </row>
    <row r="35" spans="2:3" ht="15.75" customHeight="1" x14ac:dyDescent="0.25">
      <c r="B35" s="27" t="s">
        <v>30</v>
      </c>
      <c r="C35" s="48">
        <f>SUM(C26:C34)</f>
        <v>0.99999999900000014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0.47748951465880585</v>
      </c>
      <c r="D2" s="52">
        <f>IFERROR(1-_xlfn.NORM.DIST(_xlfn.NORM.INV(SUM(D4:D5), 0, 1) + 1, 0, 1, TRUE), "")</f>
        <v>0.47748951465880585</v>
      </c>
      <c r="E2" s="52">
        <f>IFERROR(1-_xlfn.NORM.DIST(_xlfn.NORM.INV(SUM(E4:E5), 0, 1) + 1, 0, 1, TRUE), "")</f>
        <v>0.44427387128346996</v>
      </c>
      <c r="F2" s="52">
        <f>IFERROR(1-_xlfn.NORM.DIST(_xlfn.NORM.INV(SUM(F4:F5), 0, 1) + 1, 0, 1, TRUE), "")</f>
        <v>0.26835129037057226</v>
      </c>
      <c r="G2" s="52">
        <f>IFERROR(1-_xlfn.NORM.DIST(_xlfn.NORM.INV(SUM(G4:G5), 0, 1) + 1, 0, 1, TRUE), "")</f>
        <v>0.24059967202811738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0.34980927998405176</v>
      </c>
      <c r="D3" s="52">
        <f>IFERROR(_xlfn.NORM.DIST(_xlfn.NORM.INV(SUM(D4:D5), 0, 1) + 1, 0, 1, TRUE) - SUM(D4:D5), "")</f>
        <v>0.34980927998405176</v>
      </c>
      <c r="E3" s="52">
        <f>IFERROR(_xlfn.NORM.DIST(_xlfn.NORM.INV(SUM(E4:E5), 0, 1) + 1, 0, 1, TRUE) - SUM(E4:E5), "")</f>
        <v>0.36079244835938734</v>
      </c>
      <c r="F3" s="52">
        <f>IFERROR(_xlfn.NORM.DIST(_xlfn.NORM.INV(SUM(F4:F5), 0, 1) + 1, 0, 1, TRUE) - SUM(F4:F5), "")</f>
        <v>0.38048960962942774</v>
      </c>
      <c r="G3" s="52">
        <f>IFERROR(_xlfn.NORM.DIST(_xlfn.NORM.INV(SUM(G4:G5), 0, 1) + 1, 0, 1, TRUE) - SUM(G4:G5), "")</f>
        <v>0.37564213332902563</v>
      </c>
    </row>
    <row r="4" spans="1:15" ht="15.75" customHeight="1" x14ac:dyDescent="0.25">
      <c r="B4" s="5" t="s">
        <v>104</v>
      </c>
      <c r="C4" s="45">
        <v>0.100377583928571</v>
      </c>
      <c r="D4" s="53">
        <v>0.100377583928571</v>
      </c>
      <c r="E4" s="53">
        <v>0.120720032142857</v>
      </c>
      <c r="F4" s="53">
        <v>0.206891667857143</v>
      </c>
      <c r="G4" s="53">
        <v>0.224426075</v>
      </c>
    </row>
    <row r="5" spans="1:15" ht="15.75" customHeight="1" x14ac:dyDescent="0.25">
      <c r="B5" s="5" t="s">
        <v>105</v>
      </c>
      <c r="C5" s="45">
        <v>7.2323621428571391E-2</v>
      </c>
      <c r="D5" s="53">
        <v>7.2323621428571391E-2</v>
      </c>
      <c r="E5" s="53">
        <v>7.4213648214285707E-2</v>
      </c>
      <c r="F5" s="53">
        <v>0.14426743214285701</v>
      </c>
      <c r="G5" s="53">
        <v>0.15933211964285701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0.53812653814268863</v>
      </c>
      <c r="D8" s="52">
        <f>IFERROR(1-_xlfn.NORM.DIST(_xlfn.NORM.INV(SUM(D10:D11), 0, 1) + 1, 0, 1, TRUE), "")</f>
        <v>0.53812653814268863</v>
      </c>
      <c r="E8" s="52">
        <f>IFERROR(1-_xlfn.NORM.DIST(_xlfn.NORM.INV(SUM(E10:E11), 0, 1) + 1, 0, 1, TRUE), "")</f>
        <v>0.56035242159650323</v>
      </c>
      <c r="F8" s="52">
        <f>IFERROR(1-_xlfn.NORM.DIST(_xlfn.NORM.INV(SUM(F10:F11), 0, 1) + 1, 0, 1, TRUE), "")</f>
        <v>0.57922762492923829</v>
      </c>
      <c r="G8" s="52">
        <f>IFERROR(1-_xlfn.NORM.DIST(_xlfn.NORM.INV(SUM(G10:G11), 0, 1) + 1, 0, 1, TRUE), "")</f>
        <v>0.65018032637863876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0.32527170471445427</v>
      </c>
      <c r="D9" s="52">
        <f>IFERROR(_xlfn.NORM.DIST(_xlfn.NORM.INV(SUM(D10:D11), 0, 1) + 1, 0, 1, TRUE) - SUM(D10:D11), "")</f>
        <v>0.32527170471445427</v>
      </c>
      <c r="E9" s="52">
        <f>IFERROR(_xlfn.NORM.DIST(_xlfn.NORM.INV(SUM(E10:E11), 0, 1) + 1, 0, 1, TRUE) - SUM(E10:E11), "")</f>
        <v>0.31495884804635388</v>
      </c>
      <c r="F9" s="52">
        <f>IFERROR(_xlfn.NORM.DIST(_xlfn.NORM.INV(SUM(F10:F11), 0, 1) + 1, 0, 1, TRUE) - SUM(F10:F11), "")</f>
        <v>0.3056867714993331</v>
      </c>
      <c r="G9" s="52">
        <f>IFERROR(_xlfn.NORM.DIST(_xlfn.NORM.INV(SUM(G10:G11), 0, 1) + 1, 0, 1, TRUE) - SUM(G10:G11), "")</f>
        <v>0.26691680576421839</v>
      </c>
    </row>
    <row r="10" spans="1:15" ht="15.75" customHeight="1" x14ac:dyDescent="0.25">
      <c r="B10" s="5" t="s">
        <v>109</v>
      </c>
      <c r="C10" s="45">
        <v>8.2879166071428506E-2</v>
      </c>
      <c r="D10" s="53">
        <v>8.2879166071428506E-2</v>
      </c>
      <c r="E10" s="53">
        <v>8.5069555357142904E-2</v>
      </c>
      <c r="F10" s="53">
        <v>8.1781450000000006E-2</v>
      </c>
      <c r="G10" s="53">
        <v>6.1769744642857102E-2</v>
      </c>
    </row>
    <row r="11" spans="1:15" ht="15.75" customHeight="1" x14ac:dyDescent="0.25">
      <c r="B11" s="5" t="s">
        <v>110</v>
      </c>
      <c r="C11" s="45">
        <v>5.3722591071428599E-2</v>
      </c>
      <c r="D11" s="53">
        <v>5.3722591071428599E-2</v>
      </c>
      <c r="E11" s="53">
        <v>3.9619175E-2</v>
      </c>
      <c r="F11" s="53">
        <v>3.3304153571428602E-2</v>
      </c>
      <c r="G11" s="53">
        <v>2.11331232142857E-2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0.29280085350000001</v>
      </c>
      <c r="D14" s="54">
        <v>0.28374893770699999</v>
      </c>
      <c r="E14" s="54">
        <v>0.28374893770699999</v>
      </c>
      <c r="F14" s="54">
        <v>0.220751489922</v>
      </c>
      <c r="G14" s="54">
        <v>0.220751489922</v>
      </c>
      <c r="H14" s="45">
        <v>0.42</v>
      </c>
      <c r="I14" s="55">
        <v>0.42</v>
      </c>
      <c r="J14" s="55">
        <v>0.42</v>
      </c>
      <c r="K14" s="55">
        <v>0.42</v>
      </c>
      <c r="L14" s="45">
        <v>0.28199999999999997</v>
      </c>
      <c r="M14" s="55">
        <v>0.28199999999999997</v>
      </c>
      <c r="N14" s="55">
        <v>0.28199999999999997</v>
      </c>
      <c r="O14" s="55">
        <v>0.28199999999999997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0.17053863631168648</v>
      </c>
      <c r="D15" s="52">
        <f t="shared" si="0"/>
        <v>0.16526644752912734</v>
      </c>
      <c r="E15" s="52">
        <f t="shared" si="0"/>
        <v>0.16526644752912734</v>
      </c>
      <c r="F15" s="52">
        <f t="shared" si="0"/>
        <v>0.12857427703867974</v>
      </c>
      <c r="G15" s="52">
        <f t="shared" si="0"/>
        <v>0.12857427703867974</v>
      </c>
      <c r="H15" s="52">
        <f t="shared" si="0"/>
        <v>0.24462437999999997</v>
      </c>
      <c r="I15" s="52">
        <f t="shared" si="0"/>
        <v>0.24462437999999997</v>
      </c>
      <c r="J15" s="52">
        <f t="shared" si="0"/>
        <v>0.24462437999999997</v>
      </c>
      <c r="K15" s="52">
        <f t="shared" si="0"/>
        <v>0.24462437999999997</v>
      </c>
      <c r="L15" s="52">
        <f t="shared" si="0"/>
        <v>0.16424779799999997</v>
      </c>
      <c r="M15" s="52">
        <f t="shared" si="0"/>
        <v>0.16424779799999997</v>
      </c>
      <c r="N15" s="52">
        <f t="shared" si="0"/>
        <v>0.16424779799999997</v>
      </c>
      <c r="O15" s="52">
        <f t="shared" si="0"/>
        <v>0.16424779799999997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0.66450710000000002</v>
      </c>
      <c r="D2" s="53">
        <v>0.4996447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3.7980600000000003E-2</v>
      </c>
      <c r="D3" s="53">
        <v>7.3969300000000002E-2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0.22020380000000001</v>
      </c>
      <c r="D4" s="53">
        <v>0.2993806</v>
      </c>
      <c r="E4" s="53">
        <v>0.79006569999999998</v>
      </c>
      <c r="F4" s="53">
        <v>0.67291190000000001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7.7308500000000002E-2</v>
      </c>
      <c r="D5" s="52">
        <f t="shared" si="0"/>
        <v>0.12700540000000005</v>
      </c>
      <c r="E5" s="52">
        <f>1-SUM(E2:E4)</f>
        <v>0.20993430000000002</v>
      </c>
      <c r="F5" s="52">
        <f>1-SUM(F2:F4)</f>
        <v>0.32708809999999999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4669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0.38788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0.15129999999999999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1.5052873196285859E-2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98668.89387</v>
      </c>
      <c r="C22" s="107">
        <v>98501.690709999995</v>
      </c>
      <c r="D22" s="107">
        <v>98328.364010000005</v>
      </c>
      <c r="E22" s="107">
        <v>97954.932090000002</v>
      </c>
      <c r="F22" s="107">
        <v>97493.932499999995</v>
      </c>
      <c r="G22" s="107">
        <v>97040.636689999999</v>
      </c>
      <c r="H22" s="107">
        <v>96551.853510000001</v>
      </c>
      <c r="I22" s="107">
        <v>95970.760250000007</v>
      </c>
      <c r="J22" s="107">
        <v>95198.041230000003</v>
      </c>
      <c r="K22" s="107">
        <v>94090.887640000001</v>
      </c>
      <c r="L22" s="107">
        <v>92323.800889999999</v>
      </c>
      <c r="M22" s="107">
        <v>89514.430829999998</v>
      </c>
      <c r="N22" s="107">
        <v>85122.851819999996</v>
      </c>
      <c r="O22" s="107">
        <v>78672.053169999999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19.75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19.75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7.4289688625382997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0.48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0.19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</v>
      </c>
      <c r="C8" s="96">
        <v>0.95</v>
      </c>
      <c r="D8" s="56">
        <v>0.79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0.5</v>
      </c>
      <c r="C9" s="96">
        <v>0.95</v>
      </c>
      <c r="D9" s="56">
        <v>0.4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0.44054339999999997</v>
      </c>
      <c r="C10" s="96">
        <v>0.95</v>
      </c>
      <c r="D10" s="56">
        <v>13.166131301989671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13.166131301989671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13.166131301989671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13.166131301989671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0.44054339999999997</v>
      </c>
      <c r="C14" s="96">
        <v>0.95</v>
      </c>
      <c r="D14" s="56">
        <v>13.166131301989671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13.166131301989671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1.73413E-2</v>
      </c>
      <c r="C16" s="96">
        <v>0.95</v>
      </c>
      <c r="D16" s="56">
        <v>2.5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0.17784249999999999</v>
      </c>
      <c r="C17" s="96">
        <v>0.95</v>
      </c>
      <c r="D17" s="56">
        <v>7.992352075384429E-2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0.4996447</v>
      </c>
      <c r="C18" s="96">
        <v>0.95</v>
      </c>
      <c r="D18" s="56">
        <v>7.4289688625382997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0.4996447</v>
      </c>
      <c r="C19" s="96">
        <v>0.95</v>
      </c>
      <c r="D19" s="56">
        <v>11.99955936520508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7.48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7.4289688625382997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2.2612899999999998E-2</v>
      </c>
      <c r="C23" s="96">
        <v>0.95</v>
      </c>
      <c r="D23" s="56">
        <v>4.3755575735972823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0.61685007638513001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0.44054339999999997</v>
      </c>
      <c r="C26" s="96">
        <v>0.95</v>
      </c>
      <c r="D26" s="56">
        <v>2.9567118730808599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17.846880984952122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0.36092259999999998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0.53925319999999999</v>
      </c>
      <c r="C29" s="96">
        <v>0.95</v>
      </c>
      <c r="D29" s="56">
        <v>129.29915294669931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53.05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0</v>
      </c>
      <c r="C31" s="96">
        <v>0.95</v>
      </c>
      <c r="D31" s="56">
        <v>173.50469037871034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0</v>
      </c>
      <c r="C32" s="96">
        <v>0.95</v>
      </c>
      <c r="D32" s="56">
        <v>0.53033228587019021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0.7898522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0.45606069999999999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1.5928999999999999E-2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0.22960410000000001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0</v>
      </c>
      <c r="C38" s="96">
        <v>0.95</v>
      </c>
      <c r="D38" s="56">
        <v>2.6612563971340846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3.43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2.4</v>
      </c>
      <c r="C2" s="21">
        <f>'Baseline year population inputs'!C52</f>
        <v>2.4</v>
      </c>
      <c r="D2" s="21">
        <f>'Baseline year population inputs'!C53</f>
        <v>2.4</v>
      </c>
      <c r="E2" s="21">
        <f>'Baseline year population inputs'!C54</f>
        <v>2.4</v>
      </c>
      <c r="F2" s="21">
        <f>'Baseline year population inputs'!C55</f>
        <v>2.4</v>
      </c>
    </row>
    <row r="3" spans="1:6" ht="15.75" customHeight="1" x14ac:dyDescent="0.25">
      <c r="A3" s="3" t="s">
        <v>197</v>
      </c>
      <c r="B3" s="21">
        <f>frac_mam_1month * 2.6</f>
        <v>0.21548583178571412</v>
      </c>
      <c r="C3" s="21">
        <f>frac_mam_1_5months * 2.6</f>
        <v>0.21548583178571412</v>
      </c>
      <c r="D3" s="21">
        <f>frac_mam_6_11months * 2.6</f>
        <v>0.22118084392857157</v>
      </c>
      <c r="E3" s="21">
        <f>frac_mam_12_23months * 2.6</f>
        <v>0.21263177000000003</v>
      </c>
      <c r="F3" s="21">
        <f>frac_mam_24_59months * 2.6</f>
        <v>0.16060133607142846</v>
      </c>
    </row>
    <row r="4" spans="1:6" ht="15.75" customHeight="1" x14ac:dyDescent="0.25">
      <c r="A4" s="3" t="s">
        <v>198</v>
      </c>
      <c r="B4" s="21">
        <f>frac_sam_1month * 2.6</f>
        <v>0.13967873678571435</v>
      </c>
      <c r="C4" s="21">
        <f>frac_sam_1_5months * 2.6</f>
        <v>0.13967873678571435</v>
      </c>
      <c r="D4" s="21">
        <f>frac_sam_6_11months * 2.6</f>
        <v>0.103009855</v>
      </c>
      <c r="E4" s="21">
        <f>frac_sam_12_23months * 2.6</f>
        <v>8.6590799285714365E-2</v>
      </c>
      <c r="F4" s="21">
        <f>frac_sam_24_59months * 2.6</f>
        <v>5.4946120357142823E-2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4.5999999999999999E-2</v>
      </c>
      <c r="F2" s="60">
        <f>food_insecure</f>
        <v>4.5999999999999999E-2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4.5999999999999999E-2</v>
      </c>
      <c r="F5" s="60">
        <f>food_insecure</f>
        <v>4.5999999999999999E-2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5.2000000000000011E-2</v>
      </c>
      <c r="D7" s="60">
        <f>diarrhoea_1_5mo*frac_diarrhea_severe</f>
        <v>5.2000000000000011E-2</v>
      </c>
      <c r="E7" s="60">
        <f>diarrhoea_6_11mo*frac_diarrhea_severe</f>
        <v>5.2000000000000011E-2</v>
      </c>
      <c r="F7" s="60">
        <f>diarrhoea_12_23mo*frac_diarrhea_severe</f>
        <v>5.2000000000000011E-2</v>
      </c>
      <c r="G7" s="60">
        <f>diarrhoea_24_59mo*frac_diarrhea_severe</f>
        <v>5.2000000000000011E-2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4.5999999999999999E-2</v>
      </c>
      <c r="F8" s="60">
        <f>food_insecure</f>
        <v>4.5999999999999999E-2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4.5999999999999999E-2</v>
      </c>
      <c r="F9" s="60">
        <f>food_insecure</f>
        <v>4.5999999999999999E-2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5.2000000000000011E-2</v>
      </c>
      <c r="D12" s="60">
        <f>diarrhoea_1_5mo*frac_diarrhea_severe</f>
        <v>5.2000000000000011E-2</v>
      </c>
      <c r="E12" s="60">
        <f>diarrhoea_6_11mo*frac_diarrhea_severe</f>
        <v>5.2000000000000011E-2</v>
      </c>
      <c r="F12" s="60">
        <f>diarrhoea_12_23mo*frac_diarrhea_severe</f>
        <v>5.2000000000000011E-2</v>
      </c>
      <c r="G12" s="60">
        <f>diarrhoea_24_59mo*frac_diarrhea_severe</f>
        <v>5.2000000000000011E-2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4.5999999999999999E-2</v>
      </c>
      <c r="I15" s="60">
        <f t="shared" si="0"/>
        <v>4.5999999999999999E-2</v>
      </c>
      <c r="J15" s="60">
        <f t="shared" si="0"/>
        <v>4.5999999999999999E-2</v>
      </c>
      <c r="K15" s="60">
        <f t="shared" si="0"/>
        <v>4.5999999999999999E-2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4.5999999999999999E-2</v>
      </c>
      <c r="I16" s="60">
        <f t="shared" si="0"/>
        <v>4.5999999999999999E-2</v>
      </c>
      <c r="J16" s="60">
        <f t="shared" si="0"/>
        <v>4.5999999999999999E-2</v>
      </c>
      <c r="K16" s="60">
        <f t="shared" si="0"/>
        <v>4.5999999999999999E-2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0.10879999999999999</v>
      </c>
      <c r="I19" s="60">
        <f>frac_malaria_risk</f>
        <v>0.10879999999999999</v>
      </c>
      <c r="J19" s="60">
        <f>frac_malaria_risk</f>
        <v>0.10879999999999999</v>
      </c>
      <c r="K19" s="60">
        <f>frac_malaria_risk</f>
        <v>0.10879999999999999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0.314</v>
      </c>
      <c r="M24" s="60">
        <f>famplan_unmet_need</f>
        <v>0.314</v>
      </c>
      <c r="N24" s="60">
        <f>famplan_unmet_need</f>
        <v>0.314</v>
      </c>
      <c r="O24" s="60">
        <f>famplan_unmet_need</f>
        <v>0.314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7.3258103472900529E-2</v>
      </c>
      <c r="M25" s="60">
        <f>(1-food_insecure)*(0.49)+food_insecure*(0.7)</f>
        <v>0.49965999999999999</v>
      </c>
      <c r="N25" s="60">
        <f>(1-food_insecure)*(0.49)+food_insecure*(0.7)</f>
        <v>0.49965999999999999</v>
      </c>
      <c r="O25" s="60">
        <f>(1-food_insecure)*(0.49)+food_insecure*(0.7)</f>
        <v>0.49965999999999999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3.1396330059814508E-2</v>
      </c>
      <c r="M26" s="60">
        <f>(1-food_insecure)*(0.21)+food_insecure*(0.3)</f>
        <v>0.21414</v>
      </c>
      <c r="N26" s="60">
        <f>(1-food_insecure)*(0.21)+food_insecure*(0.3)</f>
        <v>0.21414</v>
      </c>
      <c r="O26" s="60">
        <f>(1-food_insecure)*(0.21)+food_insecure*(0.3)</f>
        <v>0.21414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4.1961472229003975E-2</v>
      </c>
      <c r="M27" s="60">
        <f>(1-food_insecure)*(0.3)</f>
        <v>0.28619999999999995</v>
      </c>
      <c r="N27" s="60">
        <f>(1-food_insecure)*(0.3)</f>
        <v>0.28619999999999995</v>
      </c>
      <c r="O27" s="60">
        <f>(1-food_insecure)*(0.3)</f>
        <v>0.28619999999999995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0.85338409423828099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0.10879999999999999</v>
      </c>
      <c r="D34" s="60">
        <f t="shared" si="4"/>
        <v>0.10879999999999999</v>
      </c>
      <c r="E34" s="60">
        <f t="shared" si="4"/>
        <v>0.10879999999999999</v>
      </c>
      <c r="F34" s="60">
        <f t="shared" si="4"/>
        <v>0.10879999999999999</v>
      </c>
      <c r="G34" s="60">
        <f t="shared" si="4"/>
        <v>0.10879999999999999</v>
      </c>
      <c r="H34" s="60">
        <f t="shared" si="4"/>
        <v>0.10879999999999999</v>
      </c>
      <c r="I34" s="60">
        <f t="shared" si="4"/>
        <v>0.10879999999999999</v>
      </c>
      <c r="J34" s="60">
        <f t="shared" si="4"/>
        <v>0.10879999999999999</v>
      </c>
      <c r="K34" s="60">
        <f t="shared" si="4"/>
        <v>0.10879999999999999</v>
      </c>
      <c r="L34" s="60">
        <f t="shared" si="4"/>
        <v>0.10879999999999999</v>
      </c>
      <c r="M34" s="60">
        <f t="shared" si="4"/>
        <v>0.10879999999999999</v>
      </c>
      <c r="N34" s="60">
        <f t="shared" si="4"/>
        <v>0.10879999999999999</v>
      </c>
      <c r="O34" s="60">
        <f t="shared" si="4"/>
        <v>0.10879999999999999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O9b9DvQJo3G6KJNUNq8X2QehGOtFR5U6yKm/syA6NM1J0lvXdCmzZlnKyhbrPClx1ZNPC01gUAZ+jhIfjrbLLQ==" saltValue="1U2JdgVE5zlYBKfyTDTw3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LnHqzSn11/I1WCwvgSV/aFkE4DJCKbxU6E+/fckfwuo9TSYYFU2r03FX6SuodzE0Icw7QU7yQRDXQkg8mnkbQw==" saltValue="YhMnDcTLXSaovyjlmfHDMw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sHld8DXHNvBPvgOxgonJEdNr45oJ9dhGm4EyeRR/kJgZwuRtQOqpKRwAGWgbK7p0KPrU1sXLs5MI5cYHa/DMFQ==" saltValue="ExAPAhIxQbwU8rsTTgoi4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+Rt7ZWqFE4X26qXz/KjecTkQKgctzAjXiAuwem7Q53yDZR2yMdoSjy31bFNSh3+37+vm43wZuMN9UQUzoZI9/g==" saltValue="DN4zRpZshXPaqZQnWOz1eg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2026-04-06T07:36:51Z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