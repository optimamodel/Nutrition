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C49349F-3744-4566-A916-FAC426D7808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5" i="2"/>
  <c r="A34" i="2"/>
  <c r="A28" i="2"/>
  <c r="A27" i="2"/>
  <c r="A26" i="2"/>
  <c r="A20" i="2"/>
  <c r="A19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1" i="2" s="1"/>
  <c r="C33" i="1"/>
  <c r="C20" i="1"/>
  <c r="A16" i="2" l="1"/>
  <c r="A24" i="2"/>
  <c r="A32" i="2"/>
  <c r="A17" i="2"/>
  <c r="A25" i="2"/>
  <c r="A33" i="2"/>
  <c r="A21" i="2"/>
  <c r="A29" i="2"/>
  <c r="A37" i="2"/>
  <c r="A4" i="2"/>
  <c r="A5" i="2" s="1"/>
  <c r="A6" i="2"/>
  <c r="A7" i="2" s="1"/>
  <c r="A8" i="2"/>
  <c r="A9" i="2" s="1"/>
  <c r="A10" i="2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<sst xmlns="http://schemas.openxmlformats.org/spreadsheetml/2006/main" count="2103" uniqueCount="341">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</sst>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880694.9375</v>
      </c>
    </row>
    <row r="8" spans="1:3" ht="15" customHeight="1" x14ac:dyDescent="0.25">
      <c r="B8" s="5" t="s">
        <v>8</v>
      </c>
      <c r="C8" s="44">
        <v>0.37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0.1235</v>
      </c>
    </row>
    <row r="24" spans="1:3" ht="15" customHeight="1" x14ac:dyDescent="0.25">
      <c r="B24" s="15" t="s">
        <v>22</v>
      </c>
      <c r="C24" s="45">
        <v>0.49630000000000002</v>
      </c>
    </row>
    <row r="25" spans="1:3" ht="15" customHeight="1" x14ac:dyDescent="0.25">
      <c r="B25" s="15" t="s">
        <v>23</v>
      </c>
      <c r="C25" s="45">
        <v>0.30649999999999999</v>
      </c>
    </row>
    <row r="26" spans="1:3" ht="15" customHeight="1" x14ac:dyDescent="0.25">
      <c r="B26" s="15" t="s">
        <v>24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0.252977860168906</v>
      </c>
    </row>
    <row r="30" spans="1:3" ht="14.25" customHeight="1" x14ac:dyDescent="0.25">
      <c r="B30" s="25" t="s">
        <v>27</v>
      </c>
      <c r="C30" s="99">
        <v>3.7612008018149699E-2</v>
      </c>
    </row>
    <row r="31" spans="1:3" ht="14.25" customHeight="1" x14ac:dyDescent="0.25">
      <c r="B31" s="25" t="s">
        <v>28</v>
      </c>
      <c r="C31" s="99">
        <v>7.1064506079706297E-2</v>
      </c>
    </row>
    <row r="32" spans="1:3" ht="14.25" customHeight="1" x14ac:dyDescent="0.25">
      <c r="B32" s="25" t="s">
        <v>29</v>
      </c>
      <c r="C32" s="99">
        <v>0.63834562573323805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18.408550000000002</v>
      </c>
    </row>
    <row r="38" spans="1:5" ht="15" customHeight="1" x14ac:dyDescent="0.25">
      <c r="B38" s="11" t="s">
        <v>34</v>
      </c>
      <c r="C38" s="43">
        <v>31.978870000000001</v>
      </c>
      <c r="D38" s="12"/>
      <c r="E38" s="13"/>
    </row>
    <row r="39" spans="1:5" ht="15" customHeight="1" x14ac:dyDescent="0.25">
      <c r="B39" s="11" t="s">
        <v>35</v>
      </c>
      <c r="C39" s="43">
        <v>42.967860000000002</v>
      </c>
      <c r="D39" s="12"/>
      <c r="E39" s="12"/>
    </row>
    <row r="40" spans="1:5" ht="15" customHeight="1" x14ac:dyDescent="0.25">
      <c r="B40" s="11" t="s">
        <v>36</v>
      </c>
      <c r="C40" s="100">
        <v>2.82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7.9503999999999998E-3</v>
      </c>
      <c r="D45" s="12"/>
    </row>
    <row r="46" spans="1:5" ht="15.75" customHeight="1" x14ac:dyDescent="0.25">
      <c r="B46" s="11" t="s">
        <v>41</v>
      </c>
      <c r="C46" s="45">
        <v>8.5425500000000001E-2</v>
      </c>
      <c r="D46" s="12"/>
    </row>
    <row r="47" spans="1:5" ht="15.75" customHeight="1" x14ac:dyDescent="0.25">
      <c r="B47" s="11" t="s">
        <v>42</v>
      </c>
      <c r="C47" s="45">
        <v>7.3440000000000005E-2</v>
      </c>
      <c r="D47" s="12"/>
      <c r="E47" s="13"/>
    </row>
    <row r="48" spans="1:5" ht="15" customHeight="1" x14ac:dyDescent="0.25">
      <c r="B48" s="11" t="s">
        <v>43</v>
      </c>
      <c r="C48" s="46">
        <v>0.83318409999999998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0.43557299999999988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183955</v>
      </c>
      <c r="C2" s="49">
        <v>412384.5</v>
      </c>
      <c r="D2" s="49">
        <v>493604</v>
      </c>
      <c r="E2" s="49">
        <v>385542.5</v>
      </c>
      <c r="F2" s="49">
        <v>270276</v>
      </c>
      <c r="G2" s="17">
        <f t="shared" ref="G2:G13" si="0">C2+D2+E2+F2</f>
        <v>1561807</v>
      </c>
      <c r="H2" s="17">
        <f t="shared" ref="H2:H13" si="1">(B2 + stillbirth*B2/(1000-stillbirth))/(1-abortion)</f>
        <v>212385.4035303409</v>
      </c>
      <c r="I2" s="17">
        <f t="shared" ref="I2:I13" si="2">G2-H2</f>
        <v>1349421.5964696591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186720</v>
      </c>
      <c r="C3" s="50">
        <v>430845.5</v>
      </c>
      <c r="D3" s="50">
        <v>510982</v>
      </c>
      <c r="E3" s="50">
        <v>389755</v>
      </c>
      <c r="F3" s="50">
        <v>276619.5</v>
      </c>
      <c r="G3" s="17">
        <f t="shared" si="0"/>
        <v>1608202</v>
      </c>
      <c r="H3" s="17">
        <f t="shared" si="1"/>
        <v>215577.73665942898</v>
      </c>
      <c r="I3" s="17">
        <f t="shared" si="2"/>
        <v>1392624.263340571</v>
      </c>
    </row>
    <row r="4" spans="1:9" ht="15.75" customHeight="1" x14ac:dyDescent="0.25">
      <c r="A4" s="5">
        <f t="shared" si="3"/>
        <v>2026</v>
      </c>
      <c r="B4" s="49">
        <v>189879</v>
      </c>
      <c r="C4" s="50">
        <v>447804</v>
      </c>
      <c r="D4" s="50">
        <v>529908</v>
      </c>
      <c r="E4" s="50">
        <v>394632.99999999988</v>
      </c>
      <c r="F4" s="50">
        <v>283182.5</v>
      </c>
      <c r="G4" s="17">
        <f t="shared" si="0"/>
        <v>1655527.5</v>
      </c>
      <c r="H4" s="17">
        <f t="shared" si="1"/>
        <v>219224.96282752632</v>
      </c>
      <c r="I4" s="17">
        <f t="shared" si="2"/>
        <v>1436302.5371724737</v>
      </c>
    </row>
    <row r="5" spans="1:9" ht="15.75" customHeight="1" x14ac:dyDescent="0.25">
      <c r="A5" s="5">
        <f t="shared" si="3"/>
        <v>2027</v>
      </c>
      <c r="B5" s="49">
        <v>193046</v>
      </c>
      <c r="C5" s="50">
        <v>462305</v>
      </c>
      <c r="D5" s="50">
        <v>550379.00000000012</v>
      </c>
      <c r="E5" s="50">
        <v>400482</v>
      </c>
      <c r="F5" s="50">
        <v>289295.5</v>
      </c>
      <c r="G5" s="17">
        <f t="shared" si="0"/>
        <v>1702461.5</v>
      </c>
      <c r="H5" s="17">
        <f t="shared" si="1"/>
        <v>222881.4254025071</v>
      </c>
      <c r="I5" s="17">
        <f t="shared" si="2"/>
        <v>1479580.0745974928</v>
      </c>
    </row>
    <row r="6" spans="1:9" ht="15.75" customHeight="1" x14ac:dyDescent="0.25">
      <c r="A6" s="5">
        <f t="shared" si="3"/>
        <v>2028</v>
      </c>
      <c r="B6" s="49">
        <v>196934</v>
      </c>
      <c r="C6" s="50">
        <v>473431.5</v>
      </c>
      <c r="D6" s="50">
        <v>572939</v>
      </c>
      <c r="E6" s="50">
        <v>407217.5</v>
      </c>
      <c r="F6" s="50">
        <v>295145</v>
      </c>
      <c r="G6" s="17">
        <f t="shared" si="0"/>
        <v>1748733</v>
      </c>
      <c r="H6" s="17">
        <f t="shared" si="1"/>
        <v>227370.31914785766</v>
      </c>
      <c r="I6" s="17">
        <f t="shared" si="2"/>
        <v>1521362.6808521424</v>
      </c>
    </row>
    <row r="7" spans="1:9" ht="15.75" customHeight="1" x14ac:dyDescent="0.25">
      <c r="A7" s="5">
        <f t="shared" si="3"/>
        <v>2029</v>
      </c>
      <c r="B7" s="49">
        <v>200785</v>
      </c>
      <c r="C7" s="50">
        <v>481283.5</v>
      </c>
      <c r="D7" s="50">
        <v>597499.5</v>
      </c>
      <c r="E7" s="50">
        <v>414953</v>
      </c>
      <c r="F7" s="50">
        <v>300903</v>
      </c>
      <c r="G7" s="17">
        <f t="shared" si="0"/>
        <v>1794639</v>
      </c>
      <c r="H7" s="17">
        <f t="shared" si="1"/>
        <v>231816.49451137235</v>
      </c>
      <c r="I7" s="17">
        <f t="shared" si="2"/>
        <v>1562822.5054886276</v>
      </c>
    </row>
    <row r="8" spans="1:9" ht="15.75" customHeight="1" x14ac:dyDescent="0.25">
      <c r="A8" s="5">
        <f t="shared" si="3"/>
        <v>2030</v>
      </c>
      <c r="B8" s="49">
        <v>204109</v>
      </c>
      <c r="C8" s="50">
        <v>485552.5</v>
      </c>
      <c r="D8" s="50">
        <v>624250</v>
      </c>
      <c r="E8" s="50">
        <v>423798</v>
      </c>
      <c r="F8" s="50">
        <v>306323.5</v>
      </c>
      <c r="G8" s="17">
        <f t="shared" si="0"/>
        <v>1839924</v>
      </c>
      <c r="H8" s="17">
        <f t="shared" si="1"/>
        <v>235654.22157144058</v>
      </c>
      <c r="I8" s="17">
        <f t="shared" si="2"/>
        <v>1604269.7784285594</v>
      </c>
    </row>
    <row r="9" spans="1:9" ht="15.75" customHeight="1" x14ac:dyDescent="0.25">
      <c r="A9" s="5">
        <f t="shared" si="3"/>
        <v>2031</v>
      </c>
      <c r="B9" s="49">
        <v>207043</v>
      </c>
      <c r="C9" s="50">
        <v>487192.5</v>
      </c>
      <c r="D9" s="50">
        <v>651552.5</v>
      </c>
      <c r="E9" s="50">
        <v>434537.5</v>
      </c>
      <c r="F9" s="50">
        <v>311208.49999999988</v>
      </c>
      <c r="G9" s="17">
        <f t="shared" si="0"/>
        <v>1884491</v>
      </c>
      <c r="H9" s="17">
        <f t="shared" si="1"/>
        <v>239041.67379594126</v>
      </c>
      <c r="I9" s="17">
        <f t="shared" si="2"/>
        <v>1645449.3262040587</v>
      </c>
    </row>
    <row r="10" spans="1:9" ht="15.75" customHeight="1" x14ac:dyDescent="0.25">
      <c r="A10" s="5">
        <f t="shared" si="3"/>
        <v>2032</v>
      </c>
      <c r="B10" s="49">
        <v>210293</v>
      </c>
      <c r="C10" s="50">
        <v>488086.5</v>
      </c>
      <c r="D10" s="50">
        <v>677382.99999999988</v>
      </c>
      <c r="E10" s="50">
        <v>447396.99999999988</v>
      </c>
      <c r="F10" s="50">
        <v>315858</v>
      </c>
      <c r="G10" s="17">
        <f t="shared" si="0"/>
        <v>1928724.5</v>
      </c>
      <c r="H10" s="17">
        <f t="shared" si="1"/>
        <v>242793.9640923377</v>
      </c>
      <c r="I10" s="17">
        <f t="shared" si="2"/>
        <v>1685930.5359076622</v>
      </c>
    </row>
    <row r="11" spans="1:9" ht="15.75" customHeight="1" x14ac:dyDescent="0.25">
      <c r="A11" s="5">
        <f t="shared" si="3"/>
        <v>2033</v>
      </c>
      <c r="B11" s="49">
        <v>213326</v>
      </c>
      <c r="C11" s="50">
        <v>488889.5</v>
      </c>
      <c r="D11" s="50">
        <v>701885</v>
      </c>
      <c r="E11" s="50">
        <v>461480</v>
      </c>
      <c r="F11" s="50">
        <v>320598</v>
      </c>
      <c r="G11" s="17">
        <f t="shared" si="0"/>
        <v>1972852.5</v>
      </c>
      <c r="H11" s="17">
        <f t="shared" si="1"/>
        <v>246295.71685202091</v>
      </c>
      <c r="I11" s="17">
        <f t="shared" si="2"/>
        <v>1726556.7831479791</v>
      </c>
    </row>
    <row r="12" spans="1:9" ht="15.75" customHeight="1" x14ac:dyDescent="0.25">
      <c r="A12" s="5">
        <f t="shared" si="3"/>
        <v>2034</v>
      </c>
      <c r="B12" s="49">
        <v>216442</v>
      </c>
      <c r="C12" s="50">
        <v>490301.50000000012</v>
      </c>
      <c r="D12" s="50">
        <v>724222.5</v>
      </c>
      <c r="E12" s="50">
        <v>476981</v>
      </c>
      <c r="F12" s="50">
        <v>324649.5</v>
      </c>
      <c r="G12" s="17">
        <f t="shared" si="0"/>
        <v>2016154.5</v>
      </c>
      <c r="H12" s="17">
        <f t="shared" si="1"/>
        <v>249893.29733311976</v>
      </c>
      <c r="I12" s="17">
        <f t="shared" si="2"/>
        <v>1766261.2026668803</v>
      </c>
    </row>
    <row r="13" spans="1:9" ht="15.75" customHeight="1" x14ac:dyDescent="0.25">
      <c r="A13" s="5">
        <f t="shared" si="3"/>
        <v>2035</v>
      </c>
      <c r="B13" s="49">
        <v>219066</v>
      </c>
      <c r="C13" s="50">
        <v>492401</v>
      </c>
      <c r="D13" s="50">
        <v>744061.5</v>
      </c>
      <c r="E13" s="50">
        <v>494126.5</v>
      </c>
      <c r="F13" s="50">
        <v>328139</v>
      </c>
      <c r="G13" s="17">
        <f t="shared" si="0"/>
        <v>2058728</v>
      </c>
      <c r="H13" s="17">
        <f t="shared" si="1"/>
        <v>252922.83879088724</v>
      </c>
      <c r="I13" s="17">
        <f t="shared" si="2"/>
        <v>1805805.1612091127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8.4456983108603251E-3</v>
      </c>
    </row>
    <row r="4" spans="1:8" ht="15.75" customHeight="1" x14ac:dyDescent="0.25">
      <c r="B4" s="19" t="s">
        <v>69</v>
      </c>
      <c r="C4" s="101">
        <v>5.1272189745562052E-2</v>
      </c>
    </row>
    <row r="5" spans="1:8" ht="15.75" customHeight="1" x14ac:dyDescent="0.25">
      <c r="B5" s="19" t="s">
        <v>70</v>
      </c>
      <c r="C5" s="101">
        <v>6.2944087411182431E-2</v>
      </c>
    </row>
    <row r="6" spans="1:8" ht="15.75" customHeight="1" x14ac:dyDescent="0.25">
      <c r="B6" s="19" t="s">
        <v>71</v>
      </c>
      <c r="C6" s="101">
        <v>0.2355956528808697</v>
      </c>
    </row>
    <row r="7" spans="1:8" ht="15.75" customHeight="1" x14ac:dyDescent="0.25">
      <c r="B7" s="19" t="s">
        <v>72</v>
      </c>
      <c r="C7" s="101">
        <v>0.43809161238167749</v>
      </c>
    </row>
    <row r="8" spans="1:8" ht="15.75" customHeight="1" x14ac:dyDescent="0.25">
      <c r="B8" s="19" t="s">
        <v>73</v>
      </c>
      <c r="C8" s="101">
        <v>1.970299605940075E-3</v>
      </c>
    </row>
    <row r="9" spans="1:8" ht="15.75" customHeight="1" x14ac:dyDescent="0.25">
      <c r="B9" s="19" t="s">
        <v>74</v>
      </c>
      <c r="C9" s="101">
        <v>8.9744082051183616E-2</v>
      </c>
    </row>
    <row r="10" spans="1:8" ht="15.75" customHeight="1" x14ac:dyDescent="0.25">
      <c r="B10" s="19" t="s">
        <v>75</v>
      </c>
      <c r="C10" s="101">
        <v>0.11193637761272431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82</v>
      </c>
      <c r="C15" s="101">
        <v>0.15326983056447999</v>
      </c>
      <c r="D15" s="101">
        <v>0.15326983056447999</v>
      </c>
      <c r="E15" s="101">
        <v>0.15326983056447999</v>
      </c>
      <c r="F15" s="101">
        <v>0.15326983056447999</v>
      </c>
    </row>
    <row r="16" spans="1:8" ht="15.75" customHeight="1" x14ac:dyDescent="0.25">
      <c r="B16" s="19" t="s">
        <v>83</v>
      </c>
      <c r="C16" s="101">
        <v>2.2268862061500989E-2</v>
      </c>
      <c r="D16" s="101">
        <v>2.2268862061500989E-2</v>
      </c>
      <c r="E16" s="101">
        <v>2.2268862061500989E-2</v>
      </c>
      <c r="F16" s="101">
        <v>2.2268862061500989E-2</v>
      </c>
    </row>
    <row r="17" spans="1:8" ht="15.75" customHeight="1" x14ac:dyDescent="0.25">
      <c r="B17" s="19" t="s">
        <v>84</v>
      </c>
      <c r="C17" s="101">
        <v>2.7332395914931262E-2</v>
      </c>
      <c r="D17" s="101">
        <v>2.7332395914931262E-2</v>
      </c>
      <c r="E17" s="101">
        <v>2.7332395914931262E-2</v>
      </c>
      <c r="F17" s="101">
        <v>2.7332395914931262E-2</v>
      </c>
    </row>
    <row r="18" spans="1:8" ht="15.75" customHeight="1" x14ac:dyDescent="0.25">
      <c r="B18" s="19" t="s">
        <v>85</v>
      </c>
      <c r="C18" s="101">
        <v>0.15284026308006871</v>
      </c>
      <c r="D18" s="101">
        <v>0.15284026308006871</v>
      </c>
      <c r="E18" s="101">
        <v>0.15284026308006871</v>
      </c>
      <c r="F18" s="101">
        <v>0.15284026308006871</v>
      </c>
    </row>
    <row r="19" spans="1:8" ht="15.75" customHeight="1" x14ac:dyDescent="0.25">
      <c r="B19" s="19" t="s">
        <v>86</v>
      </c>
      <c r="C19" s="101">
        <v>2.7502017073007649E-2</v>
      </c>
      <c r="D19" s="101">
        <v>2.7502017073007649E-2</v>
      </c>
      <c r="E19" s="101">
        <v>2.7502017073007649E-2</v>
      </c>
      <c r="F19" s="101">
        <v>2.7502017073007649E-2</v>
      </c>
    </row>
    <row r="20" spans="1:8" ht="15.75" customHeight="1" x14ac:dyDescent="0.25">
      <c r="B20" s="19" t="s">
        <v>87</v>
      </c>
      <c r="C20" s="101">
        <v>0.30937499952642422</v>
      </c>
      <c r="D20" s="101">
        <v>0.30937499952642422</v>
      </c>
      <c r="E20" s="101">
        <v>0.30937499952642422</v>
      </c>
      <c r="F20" s="101">
        <v>0.30937499952642422</v>
      </c>
    </row>
    <row r="21" spans="1:8" ht="15.75" customHeight="1" x14ac:dyDescent="0.25">
      <c r="B21" s="19" t="s">
        <v>88</v>
      </c>
      <c r="C21" s="101">
        <v>7.6789989334270656E-2</v>
      </c>
      <c r="D21" s="101">
        <v>7.6789989334270656E-2</v>
      </c>
      <c r="E21" s="101">
        <v>7.6789989334270656E-2</v>
      </c>
      <c r="F21" s="101">
        <v>7.6789989334270656E-2</v>
      </c>
    </row>
    <row r="22" spans="1:8" ht="15.75" customHeight="1" x14ac:dyDescent="0.25">
      <c r="B22" s="19" t="s">
        <v>89</v>
      </c>
      <c r="C22" s="101">
        <v>0.118228894632145</v>
      </c>
      <c r="D22" s="101">
        <v>0.118228894632145</v>
      </c>
      <c r="E22" s="101">
        <v>0.118228894632145</v>
      </c>
      <c r="F22" s="101">
        <v>0.118228894632145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8.7242721000000009E-2</v>
      </c>
    </row>
    <row r="27" spans="1:8" ht="15.75" customHeight="1" x14ac:dyDescent="0.25">
      <c r="B27" s="19" t="s">
        <v>92</v>
      </c>
      <c r="C27" s="101">
        <v>8.310329E-3</v>
      </c>
    </row>
    <row r="28" spans="1:8" ht="15.75" customHeight="1" x14ac:dyDescent="0.25">
      <c r="B28" s="19" t="s">
        <v>93</v>
      </c>
      <c r="C28" s="101">
        <v>0.15469581399999999</v>
      </c>
    </row>
    <row r="29" spans="1:8" ht="15.75" customHeight="1" x14ac:dyDescent="0.25">
      <c r="B29" s="19" t="s">
        <v>94</v>
      </c>
      <c r="C29" s="101">
        <v>0.16579052899999999</v>
      </c>
    </row>
    <row r="30" spans="1:8" ht="15.75" customHeight="1" x14ac:dyDescent="0.25">
      <c r="B30" s="19" t="s">
        <v>95</v>
      </c>
      <c r="C30" s="101">
        <v>0.104526494</v>
      </c>
    </row>
    <row r="31" spans="1:8" ht="15.75" customHeight="1" x14ac:dyDescent="0.25">
      <c r="B31" s="19" t="s">
        <v>96</v>
      </c>
      <c r="C31" s="101">
        <v>0.110420331</v>
      </c>
    </row>
    <row r="32" spans="1:8" ht="15.75" customHeight="1" x14ac:dyDescent="0.25">
      <c r="B32" s="19" t="s">
        <v>97</v>
      </c>
      <c r="C32" s="101">
        <v>1.8469151999999999E-2</v>
      </c>
    </row>
    <row r="33" spans="2:3" ht="15.75" customHeight="1" x14ac:dyDescent="0.25">
      <c r="B33" s="19" t="s">
        <v>98</v>
      </c>
      <c r="C33" s="101">
        <v>8.2794389999999995E-2</v>
      </c>
    </row>
    <row r="34" spans="2:3" ht="15.75" customHeight="1" x14ac:dyDescent="0.25">
      <c r="B34" s="19" t="s">
        <v>99</v>
      </c>
      <c r="C34" s="101">
        <v>0.267750241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104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105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109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110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122</v>
      </c>
      <c r="C5" s="52">
        <v>3.1976999999999999E-3</v>
      </c>
      <c r="D5" s="52">
        <v>2.2276799999999999E-2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41.344716382817467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44.780896952439193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152.8244720010043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0.43747029323868469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0.42889809999999989</v>
      </c>
      <c r="C10" s="98">
        <v>0.95</v>
      </c>
      <c r="D10" s="56">
        <v>14.30595882155956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14.30595882155956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14.30595882155956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14.30595882155956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0.42889809999999989</v>
      </c>
      <c r="C14" s="98">
        <v>0.95</v>
      </c>
      <c r="D14" s="56">
        <v>14.30595882155956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14.30595882155956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0.58754410000000001</v>
      </c>
      <c r="C16" s="98">
        <v>0.95</v>
      </c>
      <c r="D16" s="56">
        <v>0.36222875550586459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0.38756666666666711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0.31738060000000001</v>
      </c>
      <c r="C18" s="98">
        <v>0.95</v>
      </c>
      <c r="D18" s="56">
        <v>3.6018813960183751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0.31738060000000001</v>
      </c>
      <c r="C19" s="98">
        <v>0.95</v>
      </c>
      <c r="D19" s="56">
        <v>3.6018813960183751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3.2891827126957862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24.449881392318659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0.65203509999999998</v>
      </c>
      <c r="C23" s="98">
        <v>0.95</v>
      </c>
      <c r="D23" s="56">
        <v>4.7315906611949723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0.69423244819630592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0.42889809999999989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20.620038143864829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0.26856679999999999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0.13747470000000001</v>
      </c>
      <c r="C29" s="98">
        <v>0.95</v>
      </c>
      <c r="D29" s="56">
        <v>75.567719353052837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1.0200000000000001E-2</v>
      </c>
      <c r="C31" s="98">
        <v>0.95</v>
      </c>
      <c r="D31" s="56">
        <v>1.9462430741336609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0.79</v>
      </c>
      <c r="C32" s="98">
        <v>0.95</v>
      </c>
      <c r="D32" s="56">
        <v>0.73117819572095843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0.4818578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0.62813980000000003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1.5841299999999999E-2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0.55470759999999997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0.16031409999999999</v>
      </c>
      <c r="C38" s="98">
        <v>0.95</v>
      </c>
      <c r="D38" s="56">
        <v>5.9989541244164926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205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0.37</v>
      </c>
      <c r="E2" s="60">
        <f>food_insecure</f>
        <v>0.37</v>
      </c>
      <c r="F2" s="60">
        <f>food_insecure</f>
        <v>0.37</v>
      </c>
      <c r="G2" s="60">
        <f>food_insecure</f>
        <v>0.37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0.37</v>
      </c>
      <c r="F5" s="60">
        <f>food_insecure</f>
        <v>0.37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0.37</v>
      </c>
      <c r="F8" s="60">
        <f>food_insecure</f>
        <v>0.37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0.37</v>
      </c>
      <c r="F9" s="60">
        <f>food_insecure</f>
        <v>0.37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0.37</v>
      </c>
      <c r="I15" s="60">
        <f>food_insecure</f>
        <v>0.37</v>
      </c>
      <c r="J15" s="60">
        <f>food_insecure</f>
        <v>0.37</v>
      </c>
      <c r="K15" s="60">
        <f>food_insecure</f>
        <v>0.37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0.38261094622884007</v>
      </c>
      <c r="M25" s="60">
        <f>(1-food_insecure)*(0.49)+food_insecure*(0.7)</f>
        <v>0.56769999999999998</v>
      </c>
      <c r="N25" s="60">
        <f>(1-food_insecure)*(0.49)+food_insecure*(0.7)</f>
        <v>0.56769999999999998</v>
      </c>
      <c r="O25" s="60">
        <f>(1-food_insecure)*(0.49)+food_insecure*(0.7)</f>
        <v>0.56769999999999998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0.16397611981236002</v>
      </c>
      <c r="M26" s="60">
        <f>(1-food_insecure)*(0.21)+food_insecure*(0.3)</f>
        <v>0.24330000000000002</v>
      </c>
      <c r="N26" s="60">
        <f>(1-food_insecure)*(0.21)+food_insecure*(0.3)</f>
        <v>0.24330000000000002</v>
      </c>
      <c r="O26" s="60">
        <f>(1-food_insecure)*(0.21)+food_insecure*(0.3)</f>
        <v>0.24330000000000002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0.12737972315880003</v>
      </c>
      <c r="M27" s="60">
        <f>(1-food_insecure)*(0.3)</f>
        <v>0.189</v>
      </c>
      <c r="N27" s="60">
        <f>(1-food_insecure)*(0.3)</f>
        <v>0.189</v>
      </c>
      <c r="O27" s="60">
        <f>(1-food_insecure)*(0.3)</f>
        <v>0.189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0.10673674138277867</v>
      </c>
      <c r="G18" s="90">
        <f>MIN(MAX(1-0.89/(1-frac_sam_12_23months+(frac_sam_12_23months*0.89)),0),1)</f>
        <v>0.10717781496494749</v>
      </c>
      <c r="H18" s="90">
        <f>MIN(MAX(1-0.89/(1-frac_sam_24_59months+(frac_sam_24_59months*0.89)),0),1)</f>
        <v>0.10794519189198948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9.946436069345399E-2</v>
      </c>
      <c r="G20" s="90">
        <f>MIN(MAX(1-0.89/(1-frac_mam_12_23months+(frac_mam_12_23months*0.89)),0),1)</f>
        <v>0.10293263507598649</v>
      </c>
      <c r="H20" s="90">
        <f>MIN(MAX(1-0.89/(1-frac_mam_24_59months+(frac_mam_24_59months*0.89)),0),1)</f>
        <v>0.10606043156433276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9.6711038509578184E-3</v>
      </c>
      <c r="G73" s="90">
        <f>MIN(MAX(1-0.99/(1-frac_sam_12_23months+(frac_sam_12_23months*0.99)),0),1)</f>
        <v>9.7154308359204133E-3</v>
      </c>
      <c r="H73" s="90">
        <f>MIN(MAX(1-0.99/(1-frac_sam_24_59months+(frac_sam_24_59months*0.99)),0),1)</f>
        <v>9.7926456289579855E-3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8.9459416620113474E-3</v>
      </c>
      <c r="G75" s="90">
        <f>MIN(MAX(1-0.99/(1-frac_mam_12_23months+(frac_mam_12_23months*0.99)),0),1)</f>
        <v>9.2904449002515488E-3</v>
      </c>
      <c r="H75" s="90">
        <f>MIN(MAX(1-0.99/(1-frac_mam_24_59months+(frac_mam_24_59months*0.99)),0),1)</f>
        <v>9.6032133737867786E-3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0.19465074136828675</v>
      </c>
      <c r="G128" s="90">
        <f>MIN(MAX(1-0.8/(1-frac_sam_12_23months+(frac_sam_12_23months*0.8)),0),1)</f>
        <v>0.19537564682494513</v>
      </c>
      <c r="H128" s="90">
        <f>MIN(MAX(1-0.8/(1-frac_sam_24_59months+(frac_sam_24_59months*0.8)),0),1)</f>
        <v>0.19663542883952279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0.18261298480168964</v>
      </c>
      <c r="G130" s="90">
        <f>MIN(MAX(1-0.8/(1-frac_mam_12_23months+(frac_mam_12_23months*0.8)),0),1)</f>
        <v>0.18837412487200911</v>
      </c>
      <c r="H130" s="90">
        <f>MIN(MAX(1-0.8/(1-frac_mam_24_59months+(frac_mam_24_59months*0.8)),0),1)</f>
        <v>0.19353807869237682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2024-06-18T06:54:42Z</dcterms:modified>
</cp:coreProperties>
</file>