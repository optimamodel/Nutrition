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6015CE66-4BFA-4B13-9507-059BA2A4CEFF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<sst xmlns="http://schemas.openxmlformats.org/spreadsheetml/2006/main" count="2102" uniqueCount="341">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</sst>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3163964.28125</v>
      </c>
    </row>
    <row r="8" spans="1:3" ht="15" customHeight="1" x14ac:dyDescent="0.25">
      <c r="B8" s="5" t="s">
        <v>8</v>
      </c>
      <c r="C8" s="44">
        <v>0.01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0.63021438598632795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0.252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6.9099999999999995E-2</v>
      </c>
    </row>
    <row r="24" spans="1:3" ht="15" customHeight="1" x14ac:dyDescent="0.25">
      <c r="B24" s="15" t="s">
        <v>22</v>
      </c>
      <c r="C24" s="45">
        <v>0.43240000000000001</v>
      </c>
    </row>
    <row r="25" spans="1:3" ht="15" customHeight="1" x14ac:dyDescent="0.25">
      <c r="B25" s="15" t="s">
        <v>23</v>
      </c>
      <c r="C25" s="45">
        <v>0.39429999999999998</v>
      </c>
    </row>
    <row r="26" spans="1:3" ht="15" customHeight="1" x14ac:dyDescent="0.25">
      <c r="B26" s="15" t="s">
        <v>24</v>
      </c>
      <c r="C26" s="45">
        <v>0.1042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0.27342300031322098</v>
      </c>
    </row>
    <row r="30" spans="1:3" ht="14.25" customHeight="1" x14ac:dyDescent="0.25">
      <c r="B30" s="25" t="s">
        <v>27</v>
      </c>
      <c r="C30" s="99">
        <v>5.2040607424200101E-2</v>
      </c>
    </row>
    <row r="31" spans="1:3" ht="14.25" customHeight="1" x14ac:dyDescent="0.25">
      <c r="B31" s="25" t="s">
        <v>28</v>
      </c>
      <c r="C31" s="99">
        <v>6.8435949585570102E-2</v>
      </c>
    </row>
    <row r="32" spans="1:3" ht="14.25" customHeight="1" x14ac:dyDescent="0.25">
      <c r="B32" s="25" t="s">
        <v>29</v>
      </c>
      <c r="C32" s="99">
        <v>0.60610044267700902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11.120749999999999</v>
      </c>
    </row>
    <row r="38" spans="1:5" ht="15" customHeight="1" x14ac:dyDescent="0.25">
      <c r="B38" s="11" t="s">
        <v>34</v>
      </c>
      <c r="C38" s="43">
        <v>15.422169999999999</v>
      </c>
      <c r="D38" s="12"/>
      <c r="E38" s="13"/>
    </row>
    <row r="39" spans="1:5" ht="15" customHeight="1" x14ac:dyDescent="0.25">
      <c r="B39" s="11" t="s">
        <v>35</v>
      </c>
      <c r="C39" s="43">
        <v>17.995570000000001</v>
      </c>
      <c r="D39" s="12"/>
      <c r="E39" s="12"/>
    </row>
    <row r="40" spans="1:5" ht="15" customHeight="1" x14ac:dyDescent="0.25">
      <c r="B40" s="11" t="s">
        <v>36</v>
      </c>
      <c r="C40" s="100">
        <v>0.72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13.22335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7.4773000000000001E-3</v>
      </c>
      <c r="D45" s="12"/>
    </row>
    <row r="46" spans="1:5" ht="15.75" customHeight="1" x14ac:dyDescent="0.25">
      <c r="B46" s="11" t="s">
        <v>41</v>
      </c>
      <c r="C46" s="45">
        <v>8.0342499999999997E-2</v>
      </c>
      <c r="D46" s="12"/>
    </row>
    <row r="47" spans="1:5" ht="15.75" customHeight="1" x14ac:dyDescent="0.25">
      <c r="B47" s="11" t="s">
        <v>42</v>
      </c>
      <c r="C47" s="45">
        <v>7.38901E-2</v>
      </c>
      <c r="D47" s="12"/>
      <c r="E47" s="13"/>
    </row>
    <row r="48" spans="1:5" ht="15" customHeight="1" x14ac:dyDescent="0.25">
      <c r="B48" s="11" t="s">
        <v>43</v>
      </c>
      <c r="C48" s="46">
        <v>0.83829009999999993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0.55589599999999983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0.17284669999999899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630394</v>
      </c>
      <c r="C2" s="49">
        <v>1852641.5</v>
      </c>
      <c r="D2" s="49">
        <v>2835114</v>
      </c>
      <c r="E2" s="49">
        <v>2798930.5</v>
      </c>
      <c r="F2" s="49">
        <v>2234318</v>
      </c>
      <c r="G2" s="17">
        <f t="shared" ref="G2:G13" si="0">C2+D2+E2+F2</f>
        <v>9721004</v>
      </c>
      <c r="H2" s="17">
        <f t="shared" ref="H2:H13" si="1">(B2 + stillbirth*B2/(1000-stillbirth))/(1-abortion)</f>
        <v>725956.39365992113</v>
      </c>
      <c r="I2" s="17">
        <f t="shared" ref="I2:I13" si="2">G2-H2</f>
        <v>8995047.6063400786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623362</v>
      </c>
      <c r="C3" s="50">
        <v>1880948</v>
      </c>
      <c r="D3" s="50">
        <v>2844455</v>
      </c>
      <c r="E3" s="50">
        <v>2794516.5</v>
      </c>
      <c r="F3" s="50">
        <v>2273010</v>
      </c>
      <c r="G3" s="17">
        <f t="shared" si="0"/>
        <v>9792929.5</v>
      </c>
      <c r="H3" s="17">
        <f t="shared" si="1"/>
        <v>717858.40199087514</v>
      </c>
      <c r="I3" s="17">
        <f t="shared" si="2"/>
        <v>9075071.0980091244</v>
      </c>
    </row>
    <row r="4" spans="1:9" ht="15.75" customHeight="1" x14ac:dyDescent="0.25">
      <c r="A4" s="5">
        <f t="shared" si="3"/>
        <v>2026</v>
      </c>
      <c r="B4" s="49">
        <v>618090</v>
      </c>
      <c r="C4" s="50">
        <v>1909862</v>
      </c>
      <c r="D4" s="50">
        <v>2859133</v>
      </c>
      <c r="E4" s="50">
        <v>2785489.5</v>
      </c>
      <c r="F4" s="50">
        <v>2309130.5</v>
      </c>
      <c r="G4" s="17">
        <f t="shared" si="0"/>
        <v>9863615</v>
      </c>
      <c r="H4" s="17">
        <f t="shared" si="1"/>
        <v>711787.21142215922</v>
      </c>
      <c r="I4" s="17">
        <f t="shared" si="2"/>
        <v>9151827.7885778416</v>
      </c>
    </row>
    <row r="5" spans="1:9" ht="15.75" customHeight="1" x14ac:dyDescent="0.25">
      <c r="A5" s="5">
        <f t="shared" si="3"/>
        <v>2027</v>
      </c>
      <c r="B5" s="49">
        <v>614297</v>
      </c>
      <c r="C5" s="50">
        <v>1937064</v>
      </c>
      <c r="D5" s="50">
        <v>2876348</v>
      </c>
      <c r="E5" s="50">
        <v>2777455</v>
      </c>
      <c r="F5" s="50">
        <v>2343498</v>
      </c>
      <c r="G5" s="17">
        <f t="shared" si="0"/>
        <v>9934365</v>
      </c>
      <c r="H5" s="17">
        <f t="shared" si="1"/>
        <v>707419.22473264101</v>
      </c>
      <c r="I5" s="17">
        <f t="shared" si="2"/>
        <v>9226945.7752673589</v>
      </c>
    </row>
    <row r="6" spans="1:9" ht="15.75" customHeight="1" x14ac:dyDescent="0.25">
      <c r="A6" s="5">
        <f t="shared" si="3"/>
        <v>2028</v>
      </c>
      <c r="B6" s="49">
        <v>611320</v>
      </c>
      <c r="C6" s="50">
        <v>1959953.5</v>
      </c>
      <c r="D6" s="50">
        <v>2896239</v>
      </c>
      <c r="E6" s="50">
        <v>2773700</v>
      </c>
      <c r="F6" s="50">
        <v>2375359</v>
      </c>
      <c r="G6" s="17">
        <f t="shared" si="0"/>
        <v>10005251.5</v>
      </c>
      <c r="H6" s="17">
        <f t="shared" si="1"/>
        <v>703990.93673509418</v>
      </c>
      <c r="I6" s="17">
        <f t="shared" si="2"/>
        <v>9301260.5632649064</v>
      </c>
    </row>
    <row r="7" spans="1:9" ht="15.75" customHeight="1" x14ac:dyDescent="0.25">
      <c r="A7" s="5">
        <f t="shared" si="3"/>
        <v>2029</v>
      </c>
      <c r="B7" s="49">
        <v>607325</v>
      </c>
      <c r="C7" s="50">
        <v>1975324.5</v>
      </c>
      <c r="D7" s="50">
        <v>2923451</v>
      </c>
      <c r="E7" s="50">
        <v>2770270.5</v>
      </c>
      <c r="F7" s="50">
        <v>2401165.5</v>
      </c>
      <c r="G7" s="17">
        <f t="shared" si="0"/>
        <v>10070211.5</v>
      </c>
      <c r="H7" s="17">
        <f t="shared" si="1"/>
        <v>699390.32855565182</v>
      </c>
      <c r="I7" s="17">
        <f t="shared" si="2"/>
        <v>9370821.171444349</v>
      </c>
    </row>
    <row r="8" spans="1:9" ht="15.75" customHeight="1" x14ac:dyDescent="0.25">
      <c r="A8" s="5">
        <f t="shared" si="3"/>
        <v>2030</v>
      </c>
      <c r="B8" s="49">
        <v>606213</v>
      </c>
      <c r="C8" s="50">
        <v>1980200</v>
      </c>
      <c r="D8" s="50">
        <v>2956224.5</v>
      </c>
      <c r="E8" s="50">
        <v>2765334</v>
      </c>
      <c r="F8" s="50">
        <v>2420415</v>
      </c>
      <c r="G8" s="17">
        <f t="shared" si="0"/>
        <v>10122173.5</v>
      </c>
      <c r="H8" s="17">
        <f t="shared" si="1"/>
        <v>698109.7587695343</v>
      </c>
      <c r="I8" s="17">
        <f t="shared" si="2"/>
        <v>9424063.7412304655</v>
      </c>
    </row>
    <row r="9" spans="1:9" ht="15.75" customHeight="1" x14ac:dyDescent="0.25">
      <c r="A9" s="5">
        <f t="shared" si="3"/>
        <v>2031</v>
      </c>
      <c r="B9" s="49">
        <v>601217</v>
      </c>
      <c r="C9" s="50">
        <v>1976081</v>
      </c>
      <c r="D9" s="50">
        <v>2992068.5</v>
      </c>
      <c r="E9" s="50">
        <v>2760482</v>
      </c>
      <c r="F9" s="50">
        <v>2435630</v>
      </c>
      <c r="G9" s="17">
        <f t="shared" si="0"/>
        <v>10164261.5</v>
      </c>
      <c r="H9" s="17">
        <f t="shared" si="1"/>
        <v>692356.40746427909</v>
      </c>
      <c r="I9" s="17">
        <f t="shared" si="2"/>
        <v>9471905.0925357211</v>
      </c>
    </row>
    <row r="10" spans="1:9" ht="15.75" customHeight="1" x14ac:dyDescent="0.25">
      <c r="A10" s="5">
        <f t="shared" si="3"/>
        <v>2032</v>
      </c>
      <c r="B10" s="49">
        <v>600345</v>
      </c>
      <c r="C10" s="50">
        <v>1967055</v>
      </c>
      <c r="D10" s="50">
        <v>3031649</v>
      </c>
      <c r="E10" s="50">
        <v>2755414.5</v>
      </c>
      <c r="F10" s="50">
        <v>2447903.5</v>
      </c>
      <c r="G10" s="17">
        <f t="shared" si="0"/>
        <v>10202022</v>
      </c>
      <c r="H10" s="17">
        <f t="shared" si="1"/>
        <v>691352.21964638832</v>
      </c>
      <c r="I10" s="17">
        <f t="shared" si="2"/>
        <v>9510669.7803536113</v>
      </c>
    </row>
    <row r="11" spans="1:9" ht="15.75" customHeight="1" x14ac:dyDescent="0.25">
      <c r="A11" s="5">
        <f t="shared" si="3"/>
        <v>2033</v>
      </c>
      <c r="B11" s="49">
        <v>601915</v>
      </c>
      <c r="C11" s="50">
        <v>1952066</v>
      </c>
      <c r="D11" s="50">
        <v>3072565.5</v>
      </c>
      <c r="E11" s="50">
        <v>2752578.5</v>
      </c>
      <c r="F11" s="50">
        <v>2457664.5</v>
      </c>
      <c r="G11" s="17">
        <f t="shared" si="0"/>
        <v>10234874.5</v>
      </c>
      <c r="H11" s="17">
        <f t="shared" si="1"/>
        <v>693160.21835520549</v>
      </c>
      <c r="I11" s="17">
        <f t="shared" si="2"/>
        <v>9541714.2816447951</v>
      </c>
    </row>
    <row r="12" spans="1:9" ht="15.75" customHeight="1" x14ac:dyDescent="0.25">
      <c r="A12" s="5">
        <f t="shared" si="3"/>
        <v>2034</v>
      </c>
      <c r="B12" s="49">
        <v>602129</v>
      </c>
      <c r="C12" s="50">
        <v>1933447</v>
      </c>
      <c r="D12" s="50">
        <v>3110031.5</v>
      </c>
      <c r="E12" s="50">
        <v>2755712.5</v>
      </c>
      <c r="F12" s="50">
        <v>2463259</v>
      </c>
      <c r="G12" s="17">
        <f t="shared" si="0"/>
        <v>10262450</v>
      </c>
      <c r="H12" s="17">
        <f t="shared" si="1"/>
        <v>693406.658943541</v>
      </c>
      <c r="I12" s="17">
        <f t="shared" si="2"/>
        <v>9569043.3410564587</v>
      </c>
    </row>
    <row r="13" spans="1:9" ht="15.75" customHeight="1" x14ac:dyDescent="0.25">
      <c r="A13" s="5">
        <f t="shared" si="3"/>
        <v>2035</v>
      </c>
      <c r="B13" s="49">
        <v>599807</v>
      </c>
      <c r="C13" s="50">
        <v>1913295.5</v>
      </c>
      <c r="D13" s="50">
        <v>3142380</v>
      </c>
      <c r="E13" s="50">
        <v>2765336.5</v>
      </c>
      <c r="F13" s="50">
        <v>2462596.5</v>
      </c>
      <c r="G13" s="17">
        <f t="shared" si="0"/>
        <v>10283608.5</v>
      </c>
      <c r="H13" s="17">
        <f t="shared" si="1"/>
        <v>690732.66340094653</v>
      </c>
      <c r="I13" s="17">
        <f t="shared" si="2"/>
        <v>9592875.8365990538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4.1866000000000082E-3</v>
      </c>
    </row>
    <row r="4" spans="1:8" ht="15.75" customHeight="1" x14ac:dyDescent="0.25">
      <c r="B4" s="19" t="s">
        <v>69</v>
      </c>
      <c r="C4" s="101">
        <v>3.4764499999999997E-2</v>
      </c>
    </row>
    <row r="5" spans="1:8" ht="15.75" customHeight="1" x14ac:dyDescent="0.25">
      <c r="B5" s="19" t="s">
        <v>70</v>
      </c>
      <c r="C5" s="101">
        <v>3.1592600000000033E-2</v>
      </c>
    </row>
    <row r="6" spans="1:8" ht="15.75" customHeight="1" x14ac:dyDescent="0.25">
      <c r="B6" s="19" t="s">
        <v>71</v>
      </c>
      <c r="C6" s="101">
        <v>0.16727610000000029</v>
      </c>
    </row>
    <row r="7" spans="1:8" ht="15.75" customHeight="1" x14ac:dyDescent="0.25">
      <c r="B7" s="19" t="s">
        <v>72</v>
      </c>
      <c r="C7" s="101">
        <v>0.51364719999999997</v>
      </c>
    </row>
    <row r="8" spans="1:8" ht="15.75" customHeight="1" x14ac:dyDescent="0.25">
      <c r="B8" s="19" t="s">
        <v>73</v>
      </c>
      <c r="C8" s="101">
        <v>5.142000000000009E-4</v>
      </c>
    </row>
    <row r="9" spans="1:8" ht="15.75" customHeight="1" x14ac:dyDescent="0.25">
      <c r="B9" s="19" t="s">
        <v>74</v>
      </c>
      <c r="C9" s="101">
        <v>0.1789375999999997</v>
      </c>
    </row>
    <row r="10" spans="1:8" ht="15.75" customHeight="1" x14ac:dyDescent="0.25">
      <c r="B10" s="19" t="s">
        <v>75</v>
      </c>
      <c r="C10" s="101">
        <v>6.9081200000000106E-2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6.0123603405278697E-2</v>
      </c>
      <c r="D14" s="55">
        <v>6.0123603405278697E-2</v>
      </c>
      <c r="E14" s="55">
        <v>6.0123603405278697E-2</v>
      </c>
      <c r="F14" s="55">
        <v>6.0123603405278697E-2</v>
      </c>
    </row>
    <row r="15" spans="1:8" ht="15.75" customHeight="1" x14ac:dyDescent="0.25">
      <c r="B15" s="19" t="s">
        <v>82</v>
      </c>
      <c r="C15" s="101">
        <v>0.64463796691699249</v>
      </c>
      <c r="D15" s="101">
        <v>0.64463796691699249</v>
      </c>
      <c r="E15" s="101">
        <v>0.64463796691699249</v>
      </c>
      <c r="F15" s="101">
        <v>0.64463796691699249</v>
      </c>
    </row>
    <row r="16" spans="1:8" ht="15.75" customHeight="1" x14ac:dyDescent="0.25">
      <c r="B16" s="19" t="s">
        <v>83</v>
      </c>
      <c r="C16" s="101">
        <v>1.1737965988328471E-2</v>
      </c>
      <c r="D16" s="101">
        <v>1.1737965988328471E-2</v>
      </c>
      <c r="E16" s="101">
        <v>1.1737965988328471E-2</v>
      </c>
      <c r="F16" s="101">
        <v>1.1737965988328471E-2</v>
      </c>
    </row>
    <row r="17" spans="1:8" ht="15.75" customHeight="1" x14ac:dyDescent="0.25">
      <c r="B17" s="19" t="s">
        <v>84</v>
      </c>
      <c r="C17" s="101">
        <v>4.1077226371291783E-4</v>
      </c>
      <c r="D17" s="101">
        <v>4.1077226371291783E-4</v>
      </c>
      <c r="E17" s="101">
        <v>4.1077226371291783E-4</v>
      </c>
      <c r="F17" s="101">
        <v>4.1077226371291783E-4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1.566186659983906E-2</v>
      </c>
      <c r="D19" s="101">
        <v>1.566186659983906E-2</v>
      </c>
      <c r="E19" s="101">
        <v>1.566186659983906E-2</v>
      </c>
      <c r="F19" s="101">
        <v>1.566186659983906E-2</v>
      </c>
    </row>
    <row r="20" spans="1:8" ht="15.75" customHeight="1" x14ac:dyDescent="0.25">
      <c r="B20" s="19" t="s">
        <v>87</v>
      </c>
      <c r="C20" s="101">
        <v>9.7501729496966699E-3</v>
      </c>
      <c r="D20" s="101">
        <v>9.7501729496966699E-3</v>
      </c>
      <c r="E20" s="101">
        <v>9.7501729496966699E-3</v>
      </c>
      <c r="F20" s="101">
        <v>9.7501729496966699E-3</v>
      </c>
    </row>
    <row r="21" spans="1:8" ht="15.75" customHeight="1" x14ac:dyDescent="0.25">
      <c r="B21" s="19" t="s">
        <v>88</v>
      </c>
      <c r="C21" s="101">
        <v>0.16638346834571979</v>
      </c>
      <c r="D21" s="101">
        <v>0.16638346834571979</v>
      </c>
      <c r="E21" s="101">
        <v>0.16638346834571979</v>
      </c>
      <c r="F21" s="101">
        <v>0.16638346834571979</v>
      </c>
    </row>
    <row r="22" spans="1:8" ht="15.75" customHeight="1" x14ac:dyDescent="0.25">
      <c r="B22" s="19" t="s">
        <v>89</v>
      </c>
      <c r="C22" s="101">
        <v>9.1294183530432171E-2</v>
      </c>
      <c r="D22" s="101">
        <v>9.1294183530432171E-2</v>
      </c>
      <c r="E22" s="101">
        <v>9.1294183530432171E-2</v>
      </c>
      <c r="F22" s="101">
        <v>9.1294183530432171E-2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2.9403015000000001E-2</v>
      </c>
    </row>
    <row r="27" spans="1:8" ht="15.75" customHeight="1" x14ac:dyDescent="0.25">
      <c r="B27" s="19" t="s">
        <v>92</v>
      </c>
      <c r="C27" s="101">
        <v>9.4778499999999995E-3</v>
      </c>
    </row>
    <row r="28" spans="1:8" ht="15.75" customHeight="1" x14ac:dyDescent="0.25">
      <c r="B28" s="19" t="s">
        <v>93</v>
      </c>
      <c r="C28" s="101">
        <v>0.26792401599999999</v>
      </c>
    </row>
    <row r="29" spans="1:8" ht="15.75" customHeight="1" x14ac:dyDescent="0.25">
      <c r="B29" s="19" t="s">
        <v>94</v>
      </c>
      <c r="C29" s="101">
        <v>0.15314538599999999</v>
      </c>
    </row>
    <row r="30" spans="1:8" ht="15.75" customHeight="1" x14ac:dyDescent="0.25">
      <c r="B30" s="19" t="s">
        <v>95</v>
      </c>
      <c r="C30" s="101">
        <v>8.2032367999999994E-2</v>
      </c>
    </row>
    <row r="31" spans="1:8" ht="15.75" customHeight="1" x14ac:dyDescent="0.25">
      <c r="B31" s="19" t="s">
        <v>96</v>
      </c>
      <c r="C31" s="101">
        <v>7.4517409999999996E-3</v>
      </c>
    </row>
    <row r="32" spans="1:8" ht="15.75" customHeight="1" x14ac:dyDescent="0.25">
      <c r="B32" s="19" t="s">
        <v>97</v>
      </c>
      <c r="C32" s="101">
        <v>1.1600134E-2</v>
      </c>
    </row>
    <row r="33" spans="2:3" ht="15.75" customHeight="1" x14ac:dyDescent="0.25">
      <c r="B33" s="19" t="s">
        <v>98</v>
      </c>
      <c r="C33" s="101">
        <v>0.249526525</v>
      </c>
    </row>
    <row r="34" spans="2:3" ht="15.75" customHeight="1" x14ac:dyDescent="0.25">
      <c r="B34" s="19" t="s">
        <v>99</v>
      </c>
      <c r="C34" s="101">
        <v>0.18943896499999999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0.42180623856288357</v>
      </c>
      <c r="D2" s="52">
        <f>IFERROR(1-_xlfn.NORM.DIST(_xlfn.NORM.INV(SUM(D4:D5), 0, 1) + 1, 0, 1, TRUE), "")</f>
        <v>0.42180623856288357</v>
      </c>
      <c r="E2" s="52">
        <f>IFERROR(1-_xlfn.NORM.DIST(_xlfn.NORM.INV(SUM(E4:E5), 0, 1) + 1, 0, 1, TRUE), "")</f>
        <v>0.42890962659178988</v>
      </c>
      <c r="F2" s="52">
        <f>IFERROR(1-_xlfn.NORM.DIST(_xlfn.NORM.INV(SUM(F4:F5), 0, 1) + 1, 0, 1, TRUE), "")</f>
        <v>0.37923916161931714</v>
      </c>
      <c r="G2" s="52">
        <f>IFERROR(1-_xlfn.NORM.DIST(_xlfn.NORM.INV(SUM(G4:G5), 0, 1) + 1, 0, 1, TRUE), "")</f>
        <v>0.39092597722275935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0.36712696143711643</v>
      </c>
      <c r="D3" s="52">
        <f>IFERROR(_xlfn.NORM.DIST(_xlfn.NORM.INV(SUM(D4:D5), 0, 1) + 1, 0, 1, TRUE) - SUM(D4:D5), "")</f>
        <v>0.36712696143711643</v>
      </c>
      <c r="E3" s="52">
        <f>IFERROR(_xlfn.NORM.DIST(_xlfn.NORM.INV(SUM(E4:E5), 0, 1) + 1, 0, 1, TRUE) - SUM(E4:E5), "")</f>
        <v>0.36522427340821012</v>
      </c>
      <c r="F3" s="52">
        <f>IFERROR(_xlfn.NORM.DIST(_xlfn.NORM.INV(SUM(F4:F5), 0, 1) + 1, 0, 1, TRUE) - SUM(F4:F5), "")</f>
        <v>0.37645553838068285</v>
      </c>
      <c r="G3" s="52">
        <f>IFERROR(_xlfn.NORM.DIST(_xlfn.NORM.INV(SUM(G4:G5), 0, 1) + 1, 0, 1, TRUE) - SUM(G4:G5), "")</f>
        <v>0.37426282277724066</v>
      </c>
    </row>
    <row r="4" spans="1:15" ht="15.75" customHeight="1" x14ac:dyDescent="0.25">
      <c r="B4" s="5" t="s">
        <v>104</v>
      </c>
      <c r="C4" s="45">
        <v>0.1209505</v>
      </c>
      <c r="D4" s="53">
        <v>0.1209505</v>
      </c>
      <c r="E4" s="53">
        <v>0.1149128</v>
      </c>
      <c r="F4" s="53">
        <v>0.1187933</v>
      </c>
      <c r="G4" s="53">
        <v>0.14242050000000001</v>
      </c>
    </row>
    <row r="5" spans="1:15" ht="15.75" customHeight="1" x14ac:dyDescent="0.25">
      <c r="B5" s="5" t="s">
        <v>105</v>
      </c>
      <c r="C5" s="45">
        <v>9.0116299999999996E-2</v>
      </c>
      <c r="D5" s="53">
        <v>9.0116299999999996E-2</v>
      </c>
      <c r="E5" s="53">
        <v>9.0953300000000001E-2</v>
      </c>
      <c r="F5" s="53">
        <v>0.12551200000000001</v>
      </c>
      <c r="G5" s="53">
        <v>9.2390699999999992E-2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0.4829443176119903</v>
      </c>
      <c r="D8" s="52">
        <f>IFERROR(1-_xlfn.NORM.DIST(_xlfn.NORM.INV(SUM(D10:D11), 0, 1) + 1, 0, 1, TRUE), "")</f>
        <v>0.4829443176119903</v>
      </c>
      <c r="E8" s="52">
        <f>IFERROR(1-_xlfn.NORM.DIST(_xlfn.NORM.INV(SUM(E10:E11), 0, 1) + 1, 0, 1, TRUE), "")</f>
        <v>0.59698980997872075</v>
      </c>
      <c r="F8" s="52">
        <f>IFERROR(1-_xlfn.NORM.DIST(_xlfn.NORM.INV(SUM(F10:F11), 0, 1) + 1, 0, 1, TRUE), "")</f>
        <v>0.68020858093685532</v>
      </c>
      <c r="G8" s="52">
        <f>IFERROR(1-_xlfn.NORM.DIST(_xlfn.NORM.INV(SUM(G10:G11), 0, 1) + 1, 0, 1, TRUE), "")</f>
        <v>0.5872286834367908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0.3478312823880097</v>
      </c>
      <c r="D9" s="52">
        <f>IFERROR(_xlfn.NORM.DIST(_xlfn.NORM.INV(SUM(D10:D11), 0, 1) + 1, 0, 1, TRUE) - SUM(D10:D11), "")</f>
        <v>0.3478312823880097</v>
      </c>
      <c r="E9" s="52">
        <f>IFERROR(_xlfn.NORM.DIST(_xlfn.NORM.INV(SUM(E10:E11), 0, 1) + 1, 0, 1, TRUE) - SUM(E10:E11), "")</f>
        <v>0.29654779002127923</v>
      </c>
      <c r="F9" s="52">
        <f>IFERROR(_xlfn.NORM.DIST(_xlfn.NORM.INV(SUM(F10:F11), 0, 1) + 1, 0, 1, TRUE) - SUM(F10:F11), "")</f>
        <v>0.24877761906314469</v>
      </c>
      <c r="G9" s="52">
        <f>IFERROR(_xlfn.NORM.DIST(_xlfn.NORM.INV(SUM(G10:G11), 0, 1) + 1, 0, 1, TRUE) - SUM(G10:G11), "")</f>
        <v>0.30161881656320921</v>
      </c>
    </row>
    <row r="10" spans="1:15" ht="15.75" customHeight="1" x14ac:dyDescent="0.25">
      <c r="B10" s="5" t="s">
        <v>109</v>
      </c>
      <c r="C10" s="45">
        <v>7.8381999999999993E-2</v>
      </c>
      <c r="D10" s="53">
        <v>7.8381999999999993E-2</v>
      </c>
      <c r="E10" s="53">
        <v>5.3425599999999997E-2</v>
      </c>
      <c r="F10" s="53">
        <v>3.8551099999999998E-2</v>
      </c>
      <c r="G10" s="53">
        <v>6.2201800000000002E-2</v>
      </c>
    </row>
    <row r="11" spans="1:15" ht="15.75" customHeight="1" x14ac:dyDescent="0.25">
      <c r="B11" s="5" t="s">
        <v>110</v>
      </c>
      <c r="C11" s="45">
        <v>9.084239999999999E-2</v>
      </c>
      <c r="D11" s="53">
        <v>9.084239999999999E-2</v>
      </c>
      <c r="E11" s="53">
        <v>5.3036800000000002E-2</v>
      </c>
      <c r="F11" s="53">
        <v>3.2462699999999997E-2</v>
      </c>
      <c r="G11" s="53">
        <v>4.8950699999999993E-2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0.36986040149999999</v>
      </c>
      <c r="D14" s="54">
        <v>0.397561844474</v>
      </c>
      <c r="E14" s="54">
        <v>0.397561844474</v>
      </c>
      <c r="F14" s="54">
        <v>0.34443006445199997</v>
      </c>
      <c r="G14" s="54">
        <v>0.34443006445199997</v>
      </c>
      <c r="H14" s="45">
        <v>0.40400000000000008</v>
      </c>
      <c r="I14" s="55">
        <v>0.40400000000000008</v>
      </c>
      <c r="J14" s="55">
        <v>0.40400000000000008</v>
      </c>
      <c r="K14" s="55">
        <v>0.40400000000000008</v>
      </c>
      <c r="L14" s="45">
        <v>0.36699999999999999</v>
      </c>
      <c r="M14" s="55">
        <v>0.36699999999999999</v>
      </c>
      <c r="N14" s="55">
        <v>0.36699999999999999</v>
      </c>
      <c r="O14" s="55">
        <v>0.36699999999999999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0.20560391775224393</v>
      </c>
      <c r="D15" s="52">
        <f t="shared" si="0"/>
        <v>0.22100303909571864</v>
      </c>
      <c r="E15" s="52">
        <f t="shared" si="0"/>
        <v>0.22100303909571864</v>
      </c>
      <c r="F15" s="52">
        <f t="shared" si="0"/>
        <v>0.19146729510860891</v>
      </c>
      <c r="G15" s="52">
        <f t="shared" si="0"/>
        <v>0.19146729510860891</v>
      </c>
      <c r="H15" s="52">
        <f t="shared" si="0"/>
        <v>0.22458198399999998</v>
      </c>
      <c r="I15" s="52">
        <f t="shared" si="0"/>
        <v>0.22458198399999998</v>
      </c>
      <c r="J15" s="52">
        <f t="shared" si="0"/>
        <v>0.22458198399999998</v>
      </c>
      <c r="K15" s="52">
        <f t="shared" si="0"/>
        <v>0.22458198399999998</v>
      </c>
      <c r="L15" s="52">
        <f t="shared" si="0"/>
        <v>0.20401383199999992</v>
      </c>
      <c r="M15" s="52">
        <f t="shared" si="0"/>
        <v>0.20401383199999992</v>
      </c>
      <c r="N15" s="52">
        <f t="shared" si="0"/>
        <v>0.20401383199999992</v>
      </c>
      <c r="O15" s="52">
        <f t="shared" si="0"/>
        <v>0.20401383199999992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0.62008740000000007</v>
      </c>
      <c r="D2" s="53">
        <v>0.26531189999999999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8.8325500000000001E-2</v>
      </c>
      <c r="D3" s="53">
        <v>0.1554044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0.23018359999999999</v>
      </c>
      <c r="D4" s="53">
        <v>0.45311059999999997</v>
      </c>
      <c r="E4" s="53">
        <v>0.75188350000000004</v>
      </c>
      <c r="F4" s="53">
        <v>0.35143940000000001</v>
      </c>
      <c r="G4" s="53">
        <v>0</v>
      </c>
    </row>
    <row r="5" spans="1:7" x14ac:dyDescent="0.25">
      <c r="B5" s="3" t="s">
        <v>122</v>
      </c>
      <c r="C5" s="52">
        <v>6.1403399999999997E-2</v>
      </c>
      <c r="D5" s="52">
        <v>0.12617310000000001</v>
      </c>
      <c r="E5" s="52">
        <f>1-SUM(E2:E4)</f>
        <v>0.24811649999999996</v>
      </c>
      <c r="F5" s="52">
        <f>1-SUM(F2:F4)</f>
        <v>0.64856059999999993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50.04836698295685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0.16681361735639999</v>
      </c>
      <c r="C3" s="98">
        <v>0.95</v>
      </c>
      <c r="D3" s="56">
        <v>39.701244624562811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289.27755605473601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0.82846436751195696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5.2149899999999999E-2</v>
      </c>
      <c r="C10" s="98">
        <v>0.95</v>
      </c>
      <c r="D10" s="56">
        <v>12.833544068358719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5.2149899999999999E-2</v>
      </c>
      <c r="C11" s="98">
        <v>0.95</v>
      </c>
      <c r="D11" s="56">
        <v>12.833544068358719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5.2149899999999999E-2</v>
      </c>
      <c r="C12" s="98">
        <v>0.95</v>
      </c>
      <c r="D12" s="56">
        <v>12.833544068358719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5.2149899999999999E-2</v>
      </c>
      <c r="C13" s="98">
        <v>0.95</v>
      </c>
      <c r="D13" s="56">
        <v>12.833544068358719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5.2149899999999999E-2</v>
      </c>
      <c r="C14" s="98">
        <v>0.95</v>
      </c>
      <c r="D14" s="56">
        <v>12.833544068358719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5.2149899999999999E-2</v>
      </c>
      <c r="C15" s="98">
        <v>0.95</v>
      </c>
      <c r="D15" s="56">
        <v>12.833544068358719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0.93</v>
      </c>
      <c r="C16" s="98">
        <v>0.95</v>
      </c>
      <c r="D16" s="56">
        <v>0.54030986825407035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9.1550455700000005E-2</v>
      </c>
      <c r="C18" s="98">
        <v>0.95</v>
      </c>
      <c r="D18" s="56">
        <v>6.7065442721728772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0.87516349999999998</v>
      </c>
      <c r="C19" s="98">
        <v>0.95</v>
      </c>
      <c r="D19" s="56">
        <v>6.7065442721728772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0.7931416</v>
      </c>
      <c r="C21" s="98">
        <v>0.95</v>
      </c>
      <c r="D21" s="56">
        <v>10.934248210384361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22.05293698426788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4.1676905525779402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0.69373916840000005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5.2149899999999999E-2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18.396567802509001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0.54402871269999997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95.432494803225381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0.99</v>
      </c>
      <c r="C31" s="98">
        <v>0.95</v>
      </c>
      <c r="D31" s="56">
        <v>0.78911240795034354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1.141754871233807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0.223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0.22873869999999999</v>
      </c>
      <c r="C38" s="98">
        <v>0.95</v>
      </c>
      <c r="D38" s="56">
        <v>3.7489377776772859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0.20379319999999998</v>
      </c>
      <c r="C3" s="21">
        <f>frac_mam_1_5months * 2.6</f>
        <v>0.20379319999999998</v>
      </c>
      <c r="D3" s="21">
        <f>frac_mam_6_11months * 2.6</f>
        <v>0.13890655999999998</v>
      </c>
      <c r="E3" s="21">
        <f>frac_mam_12_23months * 2.6</f>
        <v>0.10023285999999999</v>
      </c>
      <c r="F3" s="21">
        <f>frac_mam_24_59months * 2.6</f>
        <v>0.16172468000000001</v>
      </c>
    </row>
    <row r="4" spans="1:6" ht="15.75" customHeight="1" x14ac:dyDescent="0.25">
      <c r="A4" s="3" t="s">
        <v>205</v>
      </c>
      <c r="B4" s="21">
        <f>frac_sam_1month * 2.6</f>
        <v>0.23619023999999997</v>
      </c>
      <c r="C4" s="21">
        <f>frac_sam_1_5months * 2.6</f>
        <v>0.23619023999999997</v>
      </c>
      <c r="D4" s="21">
        <f>frac_sam_6_11months * 2.6</f>
        <v>0.13789568000000002</v>
      </c>
      <c r="E4" s="21">
        <f>frac_sam_12_23months * 2.6</f>
        <v>8.4403019999999995E-2</v>
      </c>
      <c r="F4" s="21">
        <f>frac_sam_24_59months * 2.6</f>
        <v>0.12727181999999998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0.01</v>
      </c>
      <c r="E2" s="60">
        <f>food_insecure</f>
        <v>0.01</v>
      </c>
      <c r="F2" s="60">
        <f>food_insecure</f>
        <v>0.01</v>
      </c>
      <c r="G2" s="60">
        <f>food_insecure</f>
        <v>0.01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0.01</v>
      </c>
      <c r="I15" s="60">
        <f>food_insecure</f>
        <v>0.01</v>
      </c>
      <c r="J15" s="60">
        <f>food_insecure</f>
        <v>0.01</v>
      </c>
      <c r="K15" s="60">
        <f>food_insecure</f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0.252</v>
      </c>
      <c r="M24" s="60">
        <f>famplan_unmet_need</f>
        <v>0.252</v>
      </c>
      <c r="N24" s="60">
        <f>famplan_unmet_need</f>
        <v>0.252</v>
      </c>
      <c r="O24" s="60">
        <f>famplan_unmet_need</f>
        <v>0.252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0.18197150065612802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7.7987785995483436E-2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0.10982632736206059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0.63021438598632795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2024-05-09T01:46:38Z</dcterms:modified>
</cp:coreProperties>
</file>