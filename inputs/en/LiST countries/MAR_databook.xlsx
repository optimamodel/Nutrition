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93E1987-B230-4876-8B03-12155A3E68D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2" i="2"/>
  <c r="A31" i="2"/>
  <c r="A29" i="2"/>
  <c r="A24" i="2"/>
  <c r="A23" i="2"/>
  <c r="A21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7" i="2" l="1"/>
  <c r="A25" i="2"/>
  <c r="A33" i="2"/>
  <c r="A18" i="2"/>
  <c r="A19" i="2"/>
  <c r="A27" i="2"/>
  <c r="A35" i="2"/>
  <c r="A3" i="2"/>
  <c r="A26" i="2"/>
  <c r="A34" i="2"/>
  <c r="A39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<sst xmlns="http://schemas.openxmlformats.org/spreadsheetml/2006/main" count="2101" uniqueCount="341">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</sst>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3163964.28125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101">
        <v>3.4764499999999997E-2</v>
      </c>
    </row>
    <row r="5" spans="1:8" ht="15.75" customHeight="1" x14ac:dyDescent="0.25">
      <c r="B5" s="19" t="s">
        <v>70</v>
      </c>
      <c r="C5" s="101">
        <v>3.1592600000000033E-2</v>
      </c>
    </row>
    <row r="6" spans="1:8" ht="15.75" customHeight="1" x14ac:dyDescent="0.25">
      <c r="B6" s="19" t="s">
        <v>71</v>
      </c>
      <c r="C6" s="101">
        <v>0.16727610000000029</v>
      </c>
    </row>
    <row r="7" spans="1:8" ht="15.75" customHeight="1" x14ac:dyDescent="0.25">
      <c r="B7" s="19" t="s">
        <v>72</v>
      </c>
      <c r="C7" s="101">
        <v>0.51364719999999997</v>
      </c>
    </row>
    <row r="8" spans="1:8" ht="15.75" customHeight="1" x14ac:dyDescent="0.25">
      <c r="B8" s="19" t="s">
        <v>73</v>
      </c>
      <c r="C8" s="101">
        <v>5.142000000000009E-4</v>
      </c>
    </row>
    <row r="9" spans="1:8" ht="15.75" customHeight="1" x14ac:dyDescent="0.25">
      <c r="B9" s="19" t="s">
        <v>74</v>
      </c>
      <c r="C9" s="101">
        <v>0.1789375999999997</v>
      </c>
    </row>
    <row r="10" spans="1:8" ht="15.75" customHeight="1" x14ac:dyDescent="0.25">
      <c r="B10" s="19" t="s">
        <v>75</v>
      </c>
      <c r="C10" s="101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83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84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87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89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101">
        <v>9.4778499999999995E-3</v>
      </c>
    </row>
    <row r="28" spans="1:8" ht="15.75" customHeight="1" x14ac:dyDescent="0.25">
      <c r="B28" s="19" t="s">
        <v>93</v>
      </c>
      <c r="C28" s="101">
        <v>0.26792401599999999</v>
      </c>
    </row>
    <row r="29" spans="1:8" ht="15.75" customHeight="1" x14ac:dyDescent="0.25">
      <c r="B29" s="19" t="s">
        <v>94</v>
      </c>
      <c r="C29" s="101">
        <v>0.15314538599999999</v>
      </c>
    </row>
    <row r="30" spans="1:8" ht="15.75" customHeight="1" x14ac:dyDescent="0.25">
      <c r="B30" s="19" t="s">
        <v>95</v>
      </c>
      <c r="C30" s="101">
        <v>8.2032367999999994E-2</v>
      </c>
    </row>
    <row r="31" spans="1:8" ht="15.75" customHeight="1" x14ac:dyDescent="0.25">
      <c r="B31" s="19" t="s">
        <v>96</v>
      </c>
      <c r="C31" s="101">
        <v>7.4517409999999996E-3</v>
      </c>
    </row>
    <row r="32" spans="1:8" ht="15.75" customHeight="1" x14ac:dyDescent="0.25">
      <c r="B32" s="19" t="s">
        <v>97</v>
      </c>
      <c r="C32" s="101">
        <v>1.1600134E-2</v>
      </c>
    </row>
    <row r="33" spans="2:3" ht="15.75" customHeight="1" x14ac:dyDescent="0.25">
      <c r="B33" s="19" t="s">
        <v>98</v>
      </c>
      <c r="C33" s="101">
        <v>0.249526525</v>
      </c>
    </row>
    <row r="34" spans="2:3" ht="15.75" customHeight="1" x14ac:dyDescent="0.25">
      <c r="B34" s="19" t="s">
        <v>99</v>
      </c>
      <c r="C34" s="101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50.04836698295685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39.701244624562811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289.27755605473601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0.82846436751195696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5.2149899999999999E-2</v>
      </c>
      <c r="C10" s="98">
        <v>0.95</v>
      </c>
      <c r="D10" s="56">
        <v>12.833544068358719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12.833544068358719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12.833544068358719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12.833544068358719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5.2149899999999999E-2</v>
      </c>
      <c r="C14" s="98">
        <v>0.95</v>
      </c>
      <c r="D14" s="56">
        <v>12.833544068358719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12.833544068358719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0.54030986825407035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0.26531189999999999</v>
      </c>
      <c r="C18" s="98">
        <v>0.95</v>
      </c>
      <c r="D18" s="56">
        <v>6.7065442721728772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0.26531189999999999</v>
      </c>
      <c r="C19" s="98">
        <v>0.95</v>
      </c>
      <c r="D19" s="56">
        <v>6.7065442721728772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10.934248210384361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22.05293698426788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4.1676905525779402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0.51984672980000002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5.2149899999999999E-2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18.396567802509001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0.22873869999999999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0.223</v>
      </c>
      <c r="C29" s="98">
        <v>0.95</v>
      </c>
      <c r="D29" s="56">
        <v>95.432494803225381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0.78911240795034354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1.141754871233807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6.2779399999999999E-2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0.7931416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3.7489377776772859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205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0.10477722737380568</v>
      </c>
      <c r="G18" s="90">
        <f>MIN(MAX(1-0.89/(1-frac_sam_12_23months+(frac_sam_12_23months*0.89)),0),1)</f>
        <v>0.10681051233807659</v>
      </c>
      <c r="H18" s="90">
        <f>MIN(MAX(1-0.89/(1-frac_sam_24_59months+(frac_sam_24_59months*0.89)),0),1)</f>
        <v>0.10518178240636422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0.10473871415114289</v>
      </c>
      <c r="G20" s="90">
        <f>MIN(MAX(1-0.89/(1-frac_mam_12_23months+(frac_mam_12_23months*0.89)),0),1)</f>
        <v>0.10620977439972468</v>
      </c>
      <c r="H20" s="90">
        <f>MIN(MAX(1-0.89/(1-frac_mam_24_59months+(frac_mam_24_59months*0.89)),0),1)</f>
        <v>0.10386849077987714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9.474657054913016E-3</v>
      </c>
      <c r="G73" s="90">
        <f>MIN(MAX(1-0.99/(1-frac_sam_12_23months+(frac_sam_12_23months*0.99)),0),1)</f>
        <v>9.6785149072589061E-3</v>
      </c>
      <c r="H73" s="90">
        <f>MIN(MAX(1-0.99/(1-frac_sam_24_59months+(frac_sam_24_59months*0.99)),0),1)</f>
        <v>9.5151507328897766E-3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9.4708038337729672E-3</v>
      </c>
      <c r="G75" s="90">
        <f>MIN(MAX(1-0.99/(1-frac_mam_12_23months+(frac_mam_12_23months*0.99)),0),1)</f>
        <v>9.6181969207131957E-3</v>
      </c>
      <c r="H75" s="90">
        <f>MIN(MAX(1-0.99/(1-frac_mam_24_59months+(frac_mam_24_59months*0.99)),0),1)</f>
        <v>9.3838189042672049E-3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0.19142313409568112</v>
      </c>
      <c r="G128" s="90">
        <f>MIN(MAX(1-0.8/(1-frac_sam_12_23months+(frac_sam_12_23months*0.8)),0),1)</f>
        <v>0.19477202516425995</v>
      </c>
      <c r="H128" s="90">
        <f>MIN(MAX(1-0.8/(1-frac_sam_24_59months+(frac_sam_24_59months*0.8)),0),1)</f>
        <v>0.19209045242187339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0.19135958007626441</v>
      </c>
      <c r="G130" s="90">
        <f>MIN(MAX(1-0.8/(1-frac_mam_12_23months+(frac_mam_12_23months*0.8)),0),1)</f>
        <v>0.19378389647427385</v>
      </c>
      <c r="H130" s="90">
        <f>MIN(MAX(1-0.8/(1-frac_mam_24_59months+(frac_mam_24_59months*0.8)),0),1)</f>
        <v>0.18992234231038441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2024-08-06T06:31:58Z</dcterms:modified>
</cp:coreProperties>
</file>