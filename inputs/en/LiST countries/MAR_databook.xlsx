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9A05842-31AF-436C-AD65-D4DF859F7534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6" i="2" l="1"/>
  <c r="A37" i="2"/>
  <c r="A35" i="2"/>
  <c r="A19" i="2"/>
  <c r="A23" i="2"/>
  <c r="A22" i="2"/>
  <c r="A24" i="2"/>
  <c r="A40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<sst xmlns="http://schemas.openxmlformats.org/spreadsheetml/2006/main" count="2169" uniqueCount="373">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</sst>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3145744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0.63021438598632795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6.9099999999999995E-2</v>
      </c>
    </row>
    <row r="24" spans="1:3" ht="15" customHeight="1" x14ac:dyDescent="0.25">
      <c r="B24" s="15" t="s">
        <v>22</v>
      </c>
      <c r="C24" s="45">
        <v>0.43240000000000001</v>
      </c>
    </row>
    <row r="25" spans="1:3" ht="15" customHeight="1" x14ac:dyDescent="0.25">
      <c r="B25" s="15" t="s">
        <v>23</v>
      </c>
      <c r="C25" s="45">
        <v>0.39429999999999998</v>
      </c>
    </row>
    <row r="26" spans="1:3" ht="15" customHeight="1" x14ac:dyDescent="0.25">
      <c r="B26" s="15" t="s">
        <v>24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7">
        <v>5.2040607424200101E-2</v>
      </c>
    </row>
    <row r="31" spans="1:3" ht="14.25" customHeight="1" x14ac:dyDescent="0.25">
      <c r="B31" s="25" t="s">
        <v>28</v>
      </c>
      <c r="C31" s="97">
        <v>6.8435949585570102E-2</v>
      </c>
    </row>
    <row r="32" spans="1:3" ht="14.25" customHeight="1" x14ac:dyDescent="0.25">
      <c r="B32" s="25" t="s">
        <v>29</v>
      </c>
      <c r="C32" s="97">
        <v>0.60610044267700902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11.120749999999999</v>
      </c>
    </row>
    <row r="38" spans="1:5" ht="15" customHeight="1" x14ac:dyDescent="0.25">
      <c r="B38" s="11" t="s">
        <v>34</v>
      </c>
      <c r="C38" s="43">
        <v>15.422169999999999</v>
      </c>
      <c r="D38" s="12"/>
      <c r="E38" s="13"/>
    </row>
    <row r="39" spans="1:5" ht="15" customHeight="1" x14ac:dyDescent="0.25">
      <c r="B39" s="11" t="s">
        <v>35</v>
      </c>
      <c r="C39" s="43">
        <v>17.995570000000001</v>
      </c>
      <c r="D39" s="12"/>
      <c r="E39" s="12"/>
    </row>
    <row r="40" spans="1:5" ht="15" customHeight="1" x14ac:dyDescent="0.25">
      <c r="B40" s="11" t="s">
        <v>36</v>
      </c>
      <c r="C40" s="98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7.4773000000000001E-3</v>
      </c>
      <c r="D45" s="12"/>
    </row>
    <row r="46" spans="1:5" ht="15.75" customHeight="1" x14ac:dyDescent="0.25">
      <c r="B46" s="11" t="s">
        <v>41</v>
      </c>
      <c r="C46" s="45">
        <v>8.0342499999999997E-2</v>
      </c>
      <c r="D46" s="12"/>
    </row>
    <row r="47" spans="1:5" ht="15.75" customHeight="1" x14ac:dyDescent="0.25">
      <c r="B47" s="11" t="s">
        <v>42</v>
      </c>
      <c r="C47" s="45">
        <v>7.38901E-2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0.55589599999999983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624620</v>
      </c>
      <c r="C2" s="49">
        <v>1558191</v>
      </c>
      <c r="D2" s="49">
        <v>2827186.5</v>
      </c>
      <c r="E2" s="49">
        <v>2832881.9999999995</v>
      </c>
      <c r="F2" s="49">
        <v>2498031</v>
      </c>
      <c r="G2" s="17">
        <f t="shared" ref="G2:G13" si="0">C2+D2+E2+F2</f>
        <v>9716290.5</v>
      </c>
      <c r="H2" s="17">
        <f t="shared" ref="H2:H13" si="1">(B2 + stillbirth*B2/(1000-stillbirth))/(1-abortion)</f>
        <v>719307.1041409974</v>
      </c>
      <c r="I2" s="17">
        <f t="shared" ref="I2:I13" si="2">G2-H2</f>
        <v>8996983.3958590031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619057</v>
      </c>
      <c r="C3" s="50">
        <v>1584877.5</v>
      </c>
      <c r="D3" s="50">
        <v>2833963.5</v>
      </c>
      <c r="E3" s="50">
        <v>2828487.5</v>
      </c>
      <c r="F3" s="50">
        <v>2544930.5</v>
      </c>
      <c r="G3" s="17">
        <f t="shared" si="0"/>
        <v>9792259</v>
      </c>
      <c r="H3" s="17">
        <f t="shared" si="1"/>
        <v>712900.80043580651</v>
      </c>
      <c r="I3" s="17">
        <f t="shared" si="2"/>
        <v>9079358.1995641943</v>
      </c>
    </row>
    <row r="4" spans="1:9" ht="15.75" customHeight="1" x14ac:dyDescent="0.25">
      <c r="A4" s="5">
        <f t="shared" si="3"/>
        <v>2026</v>
      </c>
      <c r="B4" s="49">
        <v>613838</v>
      </c>
      <c r="C4" s="50">
        <v>1607227.5</v>
      </c>
      <c r="D4" s="50">
        <v>2848341</v>
      </c>
      <c r="E4" s="50">
        <v>2817069.5</v>
      </c>
      <c r="F4" s="50">
        <v>2588567.5</v>
      </c>
      <c r="G4" s="17">
        <f t="shared" si="0"/>
        <v>9861205.5</v>
      </c>
      <c r="H4" s="17">
        <f t="shared" si="1"/>
        <v>706890.64421840722</v>
      </c>
      <c r="I4" s="17">
        <f t="shared" si="2"/>
        <v>9154314.8557815924</v>
      </c>
    </row>
    <row r="5" spans="1:9" ht="15.75" customHeight="1" x14ac:dyDescent="0.25">
      <c r="A5" s="5">
        <f t="shared" si="3"/>
        <v>2027</v>
      </c>
      <c r="B5" s="49">
        <v>608737</v>
      </c>
      <c r="C5" s="50">
        <v>1621788.5</v>
      </c>
      <c r="D5" s="50">
        <v>2867200.5</v>
      </c>
      <c r="E5" s="50">
        <v>2804804</v>
      </c>
      <c r="F5" s="50">
        <v>2627986</v>
      </c>
      <c r="G5" s="17">
        <f t="shared" si="0"/>
        <v>9921779</v>
      </c>
      <c r="H5" s="17">
        <f t="shared" si="1"/>
        <v>701016.37580205291</v>
      </c>
      <c r="I5" s="17">
        <f t="shared" si="2"/>
        <v>9220762.6241979469</v>
      </c>
    </row>
    <row r="6" spans="1:9" ht="15.75" customHeight="1" x14ac:dyDescent="0.25">
      <c r="A6" s="5">
        <f t="shared" si="3"/>
        <v>2028</v>
      </c>
      <c r="B6" s="49">
        <v>604819</v>
      </c>
      <c r="C6" s="50">
        <v>1626641</v>
      </c>
      <c r="D6" s="50">
        <v>2889711.5000000005</v>
      </c>
      <c r="E6" s="50">
        <v>2795500.5</v>
      </c>
      <c r="F6" s="50">
        <v>2661768.5</v>
      </c>
      <c r="G6" s="17">
        <f t="shared" si="0"/>
        <v>9973621.5</v>
      </c>
      <c r="H6" s="17">
        <f t="shared" si="1"/>
        <v>696504.44017075002</v>
      </c>
      <c r="I6" s="17">
        <f t="shared" si="2"/>
        <v>9277117.05982925</v>
      </c>
    </row>
    <row r="7" spans="1:9" ht="15.75" customHeight="1" x14ac:dyDescent="0.25">
      <c r="A7" s="5">
        <f t="shared" si="3"/>
        <v>2029</v>
      </c>
      <c r="B7" s="49">
        <v>601150</v>
      </c>
      <c r="C7" s="50">
        <v>1621387</v>
      </c>
      <c r="D7" s="50">
        <v>2919141.4999999995</v>
      </c>
      <c r="E7" s="50">
        <v>2784534.4999999995</v>
      </c>
      <c r="F7" s="50">
        <v>2690952</v>
      </c>
      <c r="G7" s="17">
        <f t="shared" si="0"/>
        <v>10016015</v>
      </c>
      <c r="H7" s="17">
        <f t="shared" si="1"/>
        <v>692279.25083148258</v>
      </c>
      <c r="I7" s="17">
        <f t="shared" si="2"/>
        <v>9323735.7491685171</v>
      </c>
    </row>
    <row r="8" spans="1:9" ht="15.75" customHeight="1" x14ac:dyDescent="0.25">
      <c r="A8" s="5">
        <f t="shared" si="3"/>
        <v>2030</v>
      </c>
      <c r="B8" s="49">
        <v>598285</v>
      </c>
      <c r="C8" s="50">
        <v>1608407.5</v>
      </c>
      <c r="D8" s="50">
        <v>2954168.5</v>
      </c>
      <c r="E8" s="50">
        <v>2770248</v>
      </c>
      <c r="F8" s="50">
        <v>2717358</v>
      </c>
      <c r="G8" s="17">
        <f t="shared" si="0"/>
        <v>10050182</v>
      </c>
      <c r="H8" s="17">
        <f t="shared" si="1"/>
        <v>688979.94108577468</v>
      </c>
      <c r="I8" s="17">
        <f t="shared" si="2"/>
        <v>9361202.0589142255</v>
      </c>
    </row>
    <row r="9" spans="1:9" ht="15.75" customHeight="1" x14ac:dyDescent="0.25">
      <c r="A9" s="5">
        <f t="shared" si="3"/>
        <v>2031</v>
      </c>
      <c r="B9" s="49">
        <v>594230</v>
      </c>
      <c r="C9" s="50">
        <v>1593172.5</v>
      </c>
      <c r="D9" s="50">
        <v>2989041.5000000005</v>
      </c>
      <c r="E9" s="50">
        <v>2756115.5</v>
      </c>
      <c r="F9" s="50">
        <v>2739125.5</v>
      </c>
      <c r="G9" s="17">
        <f t="shared" si="0"/>
        <v>10077455</v>
      </c>
      <c r="H9" s="17">
        <f t="shared" si="1"/>
        <v>684310.23741427565</v>
      </c>
      <c r="I9" s="17">
        <f t="shared" si="2"/>
        <v>9393144.7625857238</v>
      </c>
    </row>
    <row r="10" spans="1:9" ht="15.75" customHeight="1" x14ac:dyDescent="0.25">
      <c r="A10" s="5">
        <f t="shared" si="3"/>
        <v>2032</v>
      </c>
      <c r="B10" s="49">
        <v>591376</v>
      </c>
      <c r="C10" s="50">
        <v>1579554</v>
      </c>
      <c r="D10" s="50">
        <v>3022098</v>
      </c>
      <c r="E10" s="50">
        <v>2741808.5</v>
      </c>
      <c r="F10" s="50">
        <v>2754194.4999999995</v>
      </c>
      <c r="G10" s="17">
        <f t="shared" si="0"/>
        <v>10097655</v>
      </c>
      <c r="H10" s="17">
        <f t="shared" si="1"/>
        <v>681023.59517544496</v>
      </c>
      <c r="I10" s="17">
        <f t="shared" si="2"/>
        <v>9416631.4048245549</v>
      </c>
    </row>
    <row r="11" spans="1:9" ht="15.75" customHeight="1" x14ac:dyDescent="0.25">
      <c r="A11" s="5">
        <f t="shared" si="3"/>
        <v>2033</v>
      </c>
      <c r="B11" s="49">
        <v>588747</v>
      </c>
      <c r="C11" s="50">
        <v>1569231</v>
      </c>
      <c r="D11" s="50">
        <v>3050403.0000000005</v>
      </c>
      <c r="E11" s="50">
        <v>2729251</v>
      </c>
      <c r="F11" s="50">
        <v>2763036.5</v>
      </c>
      <c r="G11" s="17">
        <f t="shared" si="0"/>
        <v>10111921.5</v>
      </c>
      <c r="H11" s="17">
        <f t="shared" si="1"/>
        <v>677996.061031827</v>
      </c>
      <c r="I11" s="17">
        <f t="shared" si="2"/>
        <v>9433925.4389681723</v>
      </c>
    </row>
    <row r="12" spans="1:9" ht="15.75" customHeight="1" x14ac:dyDescent="0.25">
      <c r="A12" s="5">
        <f t="shared" si="3"/>
        <v>2034</v>
      </c>
      <c r="B12" s="49">
        <v>586104</v>
      </c>
      <c r="C12" s="50">
        <v>1562231</v>
      </c>
      <c r="D12" s="50">
        <v>3070006.5000000005</v>
      </c>
      <c r="E12" s="50">
        <v>2723123.5</v>
      </c>
      <c r="F12" s="50">
        <v>2765014</v>
      </c>
      <c r="G12" s="17">
        <f t="shared" si="0"/>
        <v>10120375</v>
      </c>
      <c r="H12" s="17">
        <f t="shared" si="1"/>
        <v>674952.40460672916</v>
      </c>
      <c r="I12" s="17">
        <f t="shared" si="2"/>
        <v>9445422.5953932703</v>
      </c>
    </row>
    <row r="13" spans="1:9" ht="15.75" customHeight="1" x14ac:dyDescent="0.25">
      <c r="A13" s="5">
        <f t="shared" si="3"/>
        <v>2035</v>
      </c>
      <c r="B13" s="49">
        <v>584049</v>
      </c>
      <c r="C13" s="50">
        <v>1555369</v>
      </c>
      <c r="D13" s="50">
        <v>3081553</v>
      </c>
      <c r="E13" s="50">
        <v>2726149.9999999995</v>
      </c>
      <c r="F13" s="50">
        <v>2759158.0000000005</v>
      </c>
      <c r="G13" s="17">
        <f t="shared" si="0"/>
        <v>10122230</v>
      </c>
      <c r="H13" s="17">
        <f t="shared" si="1"/>
        <v>672585.88400378684</v>
      </c>
      <c r="I13" s="17">
        <f t="shared" si="2"/>
        <v>9449644.1159962136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4.1866000000000082E-3</v>
      </c>
    </row>
    <row r="4" spans="1:8" ht="15.75" customHeight="1" x14ac:dyDescent="0.25">
      <c r="B4" s="19" t="s">
        <v>69</v>
      </c>
      <c r="C4" s="99">
        <v>3.4764499999999997E-2</v>
      </c>
    </row>
    <row r="5" spans="1:8" ht="15.75" customHeight="1" x14ac:dyDescent="0.25">
      <c r="B5" s="19" t="s">
        <v>70</v>
      </c>
      <c r="C5" s="99">
        <v>3.1592600000000033E-2</v>
      </c>
    </row>
    <row r="6" spans="1:8" ht="15.75" customHeight="1" x14ac:dyDescent="0.25">
      <c r="B6" s="19" t="s">
        <v>71</v>
      </c>
      <c r="C6" s="99">
        <v>0.16727610000000029</v>
      </c>
    </row>
    <row r="7" spans="1:8" ht="15.75" customHeight="1" x14ac:dyDescent="0.25">
      <c r="B7" s="19" t="s">
        <v>72</v>
      </c>
      <c r="C7" s="99">
        <v>0.51364719999999997</v>
      </c>
    </row>
    <row r="8" spans="1:8" ht="15.75" customHeight="1" x14ac:dyDescent="0.25">
      <c r="B8" s="19" t="s">
        <v>73</v>
      </c>
      <c r="C8" s="99">
        <v>5.142000000000009E-4</v>
      </c>
    </row>
    <row r="9" spans="1:8" ht="15.75" customHeight="1" x14ac:dyDescent="0.25">
      <c r="B9" s="19" t="s">
        <v>74</v>
      </c>
      <c r="C9" s="99">
        <v>0.1789375999999997</v>
      </c>
    </row>
    <row r="10" spans="1:8" ht="15.75" customHeight="1" x14ac:dyDescent="0.25">
      <c r="B10" s="19" t="s">
        <v>75</v>
      </c>
      <c r="C10" s="99">
        <v>6.9081200000000106E-2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82</v>
      </c>
      <c r="C15" s="99">
        <v>0.64463796691699249</v>
      </c>
      <c r="D15" s="99">
        <v>0.64463796691699249</v>
      </c>
      <c r="E15" s="99">
        <v>0.64463796691699249</v>
      </c>
      <c r="F15" s="99">
        <v>0.64463796691699249</v>
      </c>
    </row>
    <row r="16" spans="1:8" ht="15.75" customHeight="1" x14ac:dyDescent="0.25">
      <c r="B16" s="19" t="s">
        <v>83</v>
      </c>
      <c r="C16" s="99">
        <v>1.1737965988328471E-2</v>
      </c>
      <c r="D16" s="99">
        <v>1.1737965988328471E-2</v>
      </c>
      <c r="E16" s="99">
        <v>1.1737965988328471E-2</v>
      </c>
      <c r="F16" s="99">
        <v>1.1737965988328471E-2</v>
      </c>
    </row>
    <row r="17" spans="1:8" ht="15.75" customHeight="1" x14ac:dyDescent="0.25">
      <c r="B17" s="19" t="s">
        <v>84</v>
      </c>
      <c r="C17" s="99">
        <v>4.1077226371291783E-4</v>
      </c>
      <c r="D17" s="99">
        <v>4.1077226371291783E-4</v>
      </c>
      <c r="E17" s="99">
        <v>4.1077226371291783E-4</v>
      </c>
      <c r="F17" s="99">
        <v>4.1077226371291783E-4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1.566186659983906E-2</v>
      </c>
      <c r="D19" s="99">
        <v>1.566186659983906E-2</v>
      </c>
      <c r="E19" s="99">
        <v>1.566186659983906E-2</v>
      </c>
      <c r="F19" s="99">
        <v>1.566186659983906E-2</v>
      </c>
    </row>
    <row r="20" spans="1:8" ht="15.75" customHeight="1" x14ac:dyDescent="0.25">
      <c r="B20" s="19" t="s">
        <v>87</v>
      </c>
      <c r="C20" s="99">
        <v>9.7501729496966699E-3</v>
      </c>
      <c r="D20" s="99">
        <v>9.7501729496966699E-3</v>
      </c>
      <c r="E20" s="99">
        <v>9.7501729496966699E-3</v>
      </c>
      <c r="F20" s="99">
        <v>9.7501729496966699E-3</v>
      </c>
    </row>
    <row r="21" spans="1:8" ht="15.75" customHeight="1" x14ac:dyDescent="0.25">
      <c r="B21" s="19" t="s">
        <v>88</v>
      </c>
      <c r="C21" s="99">
        <v>0.16638346834571979</v>
      </c>
      <c r="D21" s="99">
        <v>0.16638346834571979</v>
      </c>
      <c r="E21" s="99">
        <v>0.16638346834571979</v>
      </c>
      <c r="F21" s="99">
        <v>0.16638346834571979</v>
      </c>
    </row>
    <row r="22" spans="1:8" ht="15.75" customHeight="1" x14ac:dyDescent="0.25">
      <c r="B22" s="19" t="s">
        <v>89</v>
      </c>
      <c r="C22" s="99">
        <v>9.1294183530432171E-2</v>
      </c>
      <c r="D22" s="99">
        <v>9.1294183530432171E-2</v>
      </c>
      <c r="E22" s="99">
        <v>9.1294183530432171E-2</v>
      </c>
      <c r="F22" s="99">
        <v>9.1294183530432171E-2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2.9403015000000001E-2</v>
      </c>
    </row>
    <row r="27" spans="1:8" ht="15.75" customHeight="1" x14ac:dyDescent="0.25">
      <c r="B27" s="19" t="s">
        <v>92</v>
      </c>
      <c r="C27" s="99">
        <v>9.4778499999999995E-3</v>
      </c>
    </row>
    <row r="28" spans="1:8" ht="15.75" customHeight="1" x14ac:dyDescent="0.25">
      <c r="B28" s="19" t="s">
        <v>93</v>
      </c>
      <c r="C28" s="99">
        <v>0.26792401599999999</v>
      </c>
    </row>
    <row r="29" spans="1:8" ht="15.75" customHeight="1" x14ac:dyDescent="0.25">
      <c r="B29" s="19" t="s">
        <v>94</v>
      </c>
      <c r="C29" s="99">
        <v>0.15314538599999999</v>
      </c>
    </row>
    <row r="30" spans="1:8" ht="15.75" customHeight="1" x14ac:dyDescent="0.25">
      <c r="B30" s="19" t="s">
        <v>95</v>
      </c>
      <c r="C30" s="99">
        <v>8.2032367999999994E-2</v>
      </c>
    </row>
    <row r="31" spans="1:8" ht="15.75" customHeight="1" x14ac:dyDescent="0.25">
      <c r="B31" s="19" t="s">
        <v>96</v>
      </c>
      <c r="C31" s="99">
        <v>7.4517409999999996E-3</v>
      </c>
    </row>
    <row r="32" spans="1:8" ht="15.75" customHeight="1" x14ac:dyDescent="0.25">
      <c r="B32" s="19" t="s">
        <v>97</v>
      </c>
      <c r="C32" s="99">
        <v>1.1600134E-2</v>
      </c>
    </row>
    <row r="33" spans="2:3" ht="15.75" customHeight="1" x14ac:dyDescent="0.25">
      <c r="B33" s="19" t="s">
        <v>98</v>
      </c>
      <c r="C33" s="99">
        <v>0.249526525</v>
      </c>
    </row>
    <row r="34" spans="2:3" ht="15.75" customHeight="1" x14ac:dyDescent="0.25">
      <c r="B34" s="19" t="s">
        <v>99</v>
      </c>
      <c r="C34" s="99">
        <v>0.18943896499999999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104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105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109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110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6.1403499999999944E-2</v>
      </c>
      <c r="D5" s="52">
        <f t="shared" si="0"/>
        <v>0.12617310000000004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3441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0.43840000000000001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0.21240000000000001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1.6277253939456813E-2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97779.389020000002</v>
      </c>
      <c r="C22" s="107">
        <v>97623.115860000005</v>
      </c>
      <c r="D22" s="107">
        <v>97527.568950000001</v>
      </c>
      <c r="E22" s="107">
        <v>97221.327130000005</v>
      </c>
      <c r="F22" s="107">
        <v>96846.840939999995</v>
      </c>
      <c r="G22" s="107">
        <v>96450.76053</v>
      </c>
      <c r="H22" s="107">
        <v>95963.286129999993</v>
      </c>
      <c r="I22" s="107">
        <v>95273.656870000006</v>
      </c>
      <c r="J22" s="107">
        <v>94188.628530000002</v>
      </c>
      <c r="K22" s="107">
        <v>92401.158649999998</v>
      </c>
      <c r="L22" s="107">
        <v>89520.896380000006</v>
      </c>
      <c r="M22" s="107">
        <v>84976.504459999996</v>
      </c>
      <c r="N22" s="107">
        <v>78084.068639999998</v>
      </c>
      <c r="O22" s="107">
        <v>68409.968930000003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5.2149899999999999E-2</v>
      </c>
      <c r="C10" s="96">
        <v>0.95</v>
      </c>
      <c r="D10" s="56">
        <v>12.833544068358719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12.833544068358719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12.833544068358719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12.833544068358719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5.2149899999999999E-2</v>
      </c>
      <c r="C14" s="96">
        <v>0.95</v>
      </c>
      <c r="D14" s="56">
        <v>12.833544068358719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12.833544068358719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0.7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0.26531189999999999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0.26531189999999999</v>
      </c>
      <c r="C19" s="96">
        <v>0.95</v>
      </c>
      <c r="D19" s="56">
        <v>6.7065442721728772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4.1676905525779402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0.51984672980000002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5.2149899999999999E-2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0.22873869999999999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0.223</v>
      </c>
      <c r="C29" s="96">
        <v>0.95</v>
      </c>
      <c r="D29" s="56">
        <v>95.432494803225381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0.99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6.2779399999999999E-2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0.7931416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198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