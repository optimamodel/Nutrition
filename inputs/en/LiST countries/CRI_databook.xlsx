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E60786E-0007-4742-B38B-D04833496C7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<sst xmlns="http://schemas.openxmlformats.org/spreadsheetml/2006/main" count="2102" uniqueCount="341">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</sst>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301295.630859375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0.84452529907226603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0.1542</v>
      </c>
    </row>
    <row r="24" spans="1:3" ht="15" customHeight="1" x14ac:dyDescent="0.25">
      <c r="B24" s="15" t="s">
        <v>22</v>
      </c>
      <c r="C24" s="45">
        <v>0.504</v>
      </c>
    </row>
    <row r="25" spans="1:3" ht="15" customHeight="1" x14ac:dyDescent="0.25">
      <c r="B25" s="15" t="s">
        <v>23</v>
      </c>
      <c r="C25" s="45">
        <v>0.31219999999999998</v>
      </c>
    </row>
    <row r="26" spans="1:3" ht="15" customHeight="1" x14ac:dyDescent="0.25">
      <c r="B26" s="15" t="s">
        <v>24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59635</v>
      </c>
      <c r="C2" s="49">
        <v>217669</v>
      </c>
      <c r="D2" s="49">
        <v>386572</v>
      </c>
      <c r="E2" s="49">
        <v>418465.5</v>
      </c>
      <c r="F2" s="49">
        <v>323552</v>
      </c>
      <c r="G2" s="17">
        <f t="shared" ref="G2:G13" si="0">C2+D2+E2+F2</f>
        <v>1346258.5</v>
      </c>
      <c r="H2" s="17">
        <f t="shared" ref="H2:H13" si="1">(B2 + stillbirth*B2/(1000-stillbirth))/(1-abortion)</f>
        <v>68054.512479072931</v>
      </c>
      <c r="I2" s="17">
        <f t="shared" ref="I2:I13" si="2">G2-H2</f>
        <v>1278203.9875209271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59519</v>
      </c>
      <c r="C3" s="50">
        <v>217982.5</v>
      </c>
      <c r="D3" s="50">
        <v>382199</v>
      </c>
      <c r="E3" s="50">
        <v>418113.5</v>
      </c>
      <c r="F3" s="50">
        <v>331443.5</v>
      </c>
      <c r="G3" s="17">
        <f t="shared" si="0"/>
        <v>1349738.5</v>
      </c>
      <c r="H3" s="17">
        <f t="shared" si="1"/>
        <v>67922.135126049165</v>
      </c>
      <c r="I3" s="17">
        <f t="shared" si="2"/>
        <v>1281816.3648739508</v>
      </c>
    </row>
    <row r="4" spans="1:9" ht="15.75" customHeight="1" x14ac:dyDescent="0.25">
      <c r="A4" s="5">
        <f t="shared" si="3"/>
        <v>2026</v>
      </c>
      <c r="B4" s="49">
        <v>59225</v>
      </c>
      <c r="C4" s="50">
        <v>218060</v>
      </c>
      <c r="D4" s="50">
        <v>378285.5</v>
      </c>
      <c r="E4" s="50">
        <v>416723.5</v>
      </c>
      <c r="F4" s="50">
        <v>339470.5</v>
      </c>
      <c r="G4" s="17">
        <f t="shared" si="0"/>
        <v>1352539.5</v>
      </c>
      <c r="H4" s="17">
        <f t="shared" si="1"/>
        <v>67586.627007178584</v>
      </c>
      <c r="I4" s="17">
        <f t="shared" si="2"/>
        <v>1284952.8729928215</v>
      </c>
    </row>
    <row r="5" spans="1:9" ht="15.75" customHeight="1" x14ac:dyDescent="0.25">
      <c r="A5" s="5">
        <f t="shared" si="3"/>
        <v>2027</v>
      </c>
      <c r="B5" s="49">
        <v>58984</v>
      </c>
      <c r="C5" s="50">
        <v>217460</v>
      </c>
      <c r="D5" s="50">
        <v>375000</v>
      </c>
      <c r="E5" s="50">
        <v>414772.5</v>
      </c>
      <c r="F5" s="50">
        <v>347235</v>
      </c>
      <c r="G5" s="17">
        <f t="shared" si="0"/>
        <v>1354467.5</v>
      </c>
      <c r="H5" s="17">
        <f t="shared" si="1"/>
        <v>67311.601644430921</v>
      </c>
      <c r="I5" s="17">
        <f t="shared" si="2"/>
        <v>1287155.898355569</v>
      </c>
    </row>
    <row r="6" spans="1:9" ht="15.75" customHeight="1" x14ac:dyDescent="0.25">
      <c r="A6" s="5">
        <f t="shared" si="3"/>
        <v>2028</v>
      </c>
      <c r="B6" s="49">
        <v>58909</v>
      </c>
      <c r="C6" s="50">
        <v>215921.5</v>
      </c>
      <c r="D6" s="50">
        <v>372732</v>
      </c>
      <c r="E6" s="50">
        <v>412284</v>
      </c>
      <c r="F6" s="50">
        <v>354305</v>
      </c>
      <c r="G6" s="17">
        <f t="shared" si="0"/>
        <v>1355242.5</v>
      </c>
      <c r="H6" s="17">
        <f t="shared" si="1"/>
        <v>67226.012838596595</v>
      </c>
      <c r="I6" s="17">
        <f t="shared" si="2"/>
        <v>1288016.4871614035</v>
      </c>
    </row>
    <row r="7" spans="1:9" ht="15.75" customHeight="1" x14ac:dyDescent="0.25">
      <c r="A7" s="5">
        <f t="shared" si="3"/>
        <v>2029</v>
      </c>
      <c r="B7" s="49">
        <v>58571</v>
      </c>
      <c r="C7" s="50">
        <v>213918</v>
      </c>
      <c r="D7" s="50">
        <v>370978.5</v>
      </c>
      <c r="E7" s="50">
        <v>409427.5</v>
      </c>
      <c r="F7" s="50">
        <v>360413.5</v>
      </c>
      <c r="G7" s="17">
        <f t="shared" si="0"/>
        <v>1354737.5</v>
      </c>
      <c r="H7" s="17">
        <f t="shared" si="1"/>
        <v>66840.292620303182</v>
      </c>
      <c r="I7" s="17">
        <f t="shared" si="2"/>
        <v>1287897.2073796969</v>
      </c>
    </row>
    <row r="8" spans="1:9" ht="15.75" customHeight="1" x14ac:dyDescent="0.25">
      <c r="A8" s="5">
        <f t="shared" si="3"/>
        <v>2030</v>
      </c>
      <c r="B8" s="49">
        <v>58265</v>
      </c>
      <c r="C8" s="50">
        <v>211920.5</v>
      </c>
      <c r="D8" s="50">
        <v>368851.5</v>
      </c>
      <c r="E8" s="50">
        <v>406510</v>
      </c>
      <c r="F8" s="50">
        <v>365640</v>
      </c>
      <c r="G8" s="17">
        <f t="shared" si="0"/>
        <v>1352922</v>
      </c>
      <c r="H8" s="17">
        <f t="shared" si="1"/>
        <v>66491.09029249911</v>
      </c>
      <c r="I8" s="17">
        <f t="shared" si="2"/>
        <v>1286430.9097075008</v>
      </c>
    </row>
    <row r="9" spans="1:9" ht="15.75" customHeight="1" x14ac:dyDescent="0.25">
      <c r="A9" s="5">
        <f t="shared" si="3"/>
        <v>2031</v>
      </c>
      <c r="B9" s="49">
        <v>58013</v>
      </c>
      <c r="C9" s="50">
        <v>209936.5</v>
      </c>
      <c r="D9" s="50">
        <v>366784.5</v>
      </c>
      <c r="E9" s="50">
        <v>403316.5</v>
      </c>
      <c r="F9" s="50">
        <v>370075.5</v>
      </c>
      <c r="G9" s="17">
        <f t="shared" si="0"/>
        <v>1350113</v>
      </c>
      <c r="H9" s="17">
        <f t="shared" si="1"/>
        <v>66203.511904895742</v>
      </c>
      <c r="I9" s="17">
        <f t="shared" si="2"/>
        <v>1283909.4880951042</v>
      </c>
    </row>
    <row r="10" spans="1:9" ht="15.75" customHeight="1" x14ac:dyDescent="0.25">
      <c r="A10" s="5">
        <f t="shared" si="3"/>
        <v>2032</v>
      </c>
      <c r="B10" s="49">
        <v>57562</v>
      </c>
      <c r="C10" s="50">
        <v>207727.5</v>
      </c>
      <c r="D10" s="50">
        <v>365546</v>
      </c>
      <c r="E10" s="50">
        <v>399412</v>
      </c>
      <c r="F10" s="50">
        <v>373453.5</v>
      </c>
      <c r="G10" s="17">
        <f t="shared" si="0"/>
        <v>1346139</v>
      </c>
      <c r="H10" s="17">
        <f t="shared" si="1"/>
        <v>65688.837885811954</v>
      </c>
      <c r="I10" s="17">
        <f t="shared" si="2"/>
        <v>1280450.1621141881</v>
      </c>
    </row>
    <row r="11" spans="1:9" ht="15.75" customHeight="1" x14ac:dyDescent="0.25">
      <c r="A11" s="5">
        <f t="shared" si="3"/>
        <v>2033</v>
      </c>
      <c r="B11" s="49">
        <v>57284</v>
      </c>
      <c r="C11" s="50">
        <v>204858</v>
      </c>
      <c r="D11" s="50">
        <v>364760.5</v>
      </c>
      <c r="E11" s="50">
        <v>394896</v>
      </c>
      <c r="F11" s="50">
        <v>375592</v>
      </c>
      <c r="G11" s="17">
        <f t="shared" si="0"/>
        <v>1340106.5</v>
      </c>
      <c r="H11" s="17">
        <f t="shared" si="1"/>
        <v>65371.588712186029</v>
      </c>
      <c r="I11" s="17">
        <f t="shared" si="2"/>
        <v>1274734.9112878139</v>
      </c>
    </row>
    <row r="12" spans="1:9" ht="15.75" customHeight="1" x14ac:dyDescent="0.25">
      <c r="A12" s="5">
        <f t="shared" si="3"/>
        <v>2034</v>
      </c>
      <c r="B12" s="49">
        <v>57077</v>
      </c>
      <c r="C12" s="50">
        <v>200847</v>
      </c>
      <c r="D12" s="50">
        <v>363922.5</v>
      </c>
      <c r="E12" s="50">
        <v>390256</v>
      </c>
      <c r="F12" s="50">
        <v>376574.5</v>
      </c>
      <c r="G12" s="17">
        <f t="shared" si="0"/>
        <v>1331600</v>
      </c>
      <c r="H12" s="17">
        <f t="shared" si="1"/>
        <v>65135.363608083266</v>
      </c>
      <c r="I12" s="17">
        <f t="shared" si="2"/>
        <v>1266464.6363919168</v>
      </c>
    </row>
    <row r="13" spans="1:9" ht="15.75" customHeight="1" x14ac:dyDescent="0.25">
      <c r="A13" s="5">
        <f t="shared" si="3"/>
        <v>2035</v>
      </c>
      <c r="B13" s="49">
        <v>56612</v>
      </c>
      <c r="C13" s="50">
        <v>196126</v>
      </c>
      <c r="D13" s="50">
        <v>362927</v>
      </c>
      <c r="E13" s="50">
        <v>385727.5</v>
      </c>
      <c r="F13" s="50">
        <v>376470</v>
      </c>
      <c r="G13" s="17">
        <f t="shared" si="0"/>
        <v>1321250.5</v>
      </c>
      <c r="H13" s="17">
        <f t="shared" si="1"/>
        <v>64604.713011910404</v>
      </c>
      <c r="I13" s="17">
        <f t="shared" si="2"/>
        <v>1256645.7869880896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107.0201908947332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0.72617600246982905</v>
      </c>
      <c r="C3" s="98">
        <v>0.95</v>
      </c>
      <c r="D3" s="56">
        <v>40.978199545296739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1182.463810200042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1.8322852999540411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14.11049898909264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14.11049898909264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14.11049898909264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14.11049898909264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14.11049898909264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14.11049898909264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1.817264788987992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0.31415611111111102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0.56533556835215604</v>
      </c>
      <c r="C18" s="98">
        <v>0.95</v>
      </c>
      <c r="D18" s="56">
        <v>27.02885669161574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0.98383619999999994</v>
      </c>
      <c r="C19" s="98">
        <v>0.95</v>
      </c>
      <c r="D19" s="56">
        <v>27.02885669161574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17.591217247758362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24.926085555919201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4.9657873780366408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0.96312972311938694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19.66637718058168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0.86933957623125091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225.46212730893359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0.86388676042059953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4.0149037192341366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0.75648280000000001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0.56282260000000006</v>
      </c>
      <c r="C38" s="98">
        <v>0.95</v>
      </c>
      <c r="D38" s="56">
        <v>6.1634669588090496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205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2024-05-09T01:46:05Z</dcterms:modified>
</cp:coreProperties>
</file>