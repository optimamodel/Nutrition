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1C8341E-05B7-47FC-9FB4-6C96DBE06E0D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6" i="2"/>
  <c r="A35" i="2"/>
  <c r="A28" i="2"/>
  <c r="A27" i="2"/>
  <c r="A20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1" i="2" l="1"/>
  <c r="A29" i="2"/>
  <c r="A37" i="2"/>
  <c r="A15" i="2"/>
  <c r="A23" i="2"/>
  <c r="A31" i="2"/>
  <c r="A30" i="2"/>
  <c r="A16" i="2"/>
  <c r="A24" i="2"/>
  <c r="A32" i="2"/>
  <c r="A38" i="2"/>
  <c r="A25" i="2"/>
  <c r="A33" i="2"/>
  <c r="A14" i="2"/>
  <c r="A22" i="2"/>
  <c r="A40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<sst xmlns="http://schemas.openxmlformats.org/spreadsheetml/2006/main" count="2092" uniqueCount="341">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</sst>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65092.705800000011</v>
      </c>
      <c r="C2" s="49">
        <v>177000</v>
      </c>
      <c r="D2" s="49">
        <v>378000</v>
      </c>
      <c r="E2" s="49">
        <v>409000</v>
      </c>
      <c r="F2" s="49">
        <v>357000</v>
      </c>
      <c r="G2" s="17">
        <f t="shared" ref="G2:G13" si="0">C2+D2+E2+F2</f>
        <v>1321000</v>
      </c>
      <c r="H2" s="17">
        <f t="shared" ref="H2:H13" si="1">(B2 + stillbirth*B2/(1000-stillbirth))/(1-abortion)</f>
        <v>74282.759439301139</v>
      </c>
      <c r="I2" s="17">
        <f t="shared" ref="I2:I13" si="2">G2-H2</f>
        <v>1246717.2405606988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64438.406999999999</v>
      </c>
      <c r="C3" s="50">
        <v>177000</v>
      </c>
      <c r="D3" s="50">
        <v>374000</v>
      </c>
      <c r="E3" s="50">
        <v>409000</v>
      </c>
      <c r="F3" s="50">
        <v>365000</v>
      </c>
      <c r="G3" s="17">
        <f t="shared" si="0"/>
        <v>1325000</v>
      </c>
      <c r="H3" s="17">
        <f t="shared" si="1"/>
        <v>73536.084066623298</v>
      </c>
      <c r="I3" s="17">
        <f t="shared" si="2"/>
        <v>1251463.9159333766</v>
      </c>
    </row>
    <row r="4" spans="1:9" ht="15.75" customHeight="1" x14ac:dyDescent="0.25">
      <c r="A4" s="5">
        <f t="shared" si="3"/>
        <v>2026</v>
      </c>
      <c r="B4" s="49">
        <v>63988.183199999999</v>
      </c>
      <c r="C4" s="50">
        <v>177000</v>
      </c>
      <c r="D4" s="50">
        <v>370000</v>
      </c>
      <c r="E4" s="50">
        <v>409000</v>
      </c>
      <c r="F4" s="50">
        <v>373000</v>
      </c>
      <c r="G4" s="17">
        <f t="shared" si="0"/>
        <v>1329000</v>
      </c>
      <c r="H4" s="17">
        <f t="shared" si="1"/>
        <v>73022.295834620687</v>
      </c>
      <c r="I4" s="17">
        <f t="shared" si="2"/>
        <v>1255977.7041653793</v>
      </c>
    </row>
    <row r="5" spans="1:9" ht="15.75" customHeight="1" x14ac:dyDescent="0.25">
      <c r="A5" s="5">
        <f t="shared" si="3"/>
        <v>2027</v>
      </c>
      <c r="B5" s="49">
        <v>63501.413399999998</v>
      </c>
      <c r="C5" s="50">
        <v>176000</v>
      </c>
      <c r="D5" s="50">
        <v>366000</v>
      </c>
      <c r="E5" s="50">
        <v>408000</v>
      </c>
      <c r="F5" s="50">
        <v>380000</v>
      </c>
      <c r="G5" s="17">
        <f t="shared" si="0"/>
        <v>1330000</v>
      </c>
      <c r="H5" s="17">
        <f t="shared" si="1"/>
        <v>72466.801889311129</v>
      </c>
      <c r="I5" s="17">
        <f t="shared" si="2"/>
        <v>1257533.1981106889</v>
      </c>
    </row>
    <row r="6" spans="1:9" ht="15.75" customHeight="1" x14ac:dyDescent="0.25">
      <c r="A6" s="5">
        <f t="shared" si="3"/>
        <v>2028</v>
      </c>
      <c r="B6" s="49">
        <v>62990.892199999987</v>
      </c>
      <c r="C6" s="50">
        <v>174000</v>
      </c>
      <c r="D6" s="50">
        <v>362000</v>
      </c>
      <c r="E6" s="50">
        <v>406000</v>
      </c>
      <c r="F6" s="50">
        <v>387000</v>
      </c>
      <c r="G6" s="17">
        <f t="shared" si="0"/>
        <v>1329000</v>
      </c>
      <c r="H6" s="17">
        <f t="shared" si="1"/>
        <v>71884.203224496305</v>
      </c>
      <c r="I6" s="17">
        <f t="shared" si="2"/>
        <v>1257115.7967755038</v>
      </c>
    </row>
    <row r="7" spans="1:9" ht="15.75" customHeight="1" x14ac:dyDescent="0.25">
      <c r="A7" s="5">
        <f t="shared" si="3"/>
        <v>2029</v>
      </c>
      <c r="B7" s="49">
        <v>62457.133199999989</v>
      </c>
      <c r="C7" s="50">
        <v>173000</v>
      </c>
      <c r="D7" s="50">
        <v>359000</v>
      </c>
      <c r="E7" s="50">
        <v>404000</v>
      </c>
      <c r="F7" s="50">
        <v>392000</v>
      </c>
      <c r="G7" s="17">
        <f t="shared" si="0"/>
        <v>1328000</v>
      </c>
      <c r="H7" s="17">
        <f t="shared" si="1"/>
        <v>71275.085952318594</v>
      </c>
      <c r="I7" s="17">
        <f t="shared" si="2"/>
        <v>1256724.9140476815</v>
      </c>
    </row>
    <row r="8" spans="1:9" ht="15.75" customHeight="1" x14ac:dyDescent="0.25">
      <c r="A8" s="5">
        <f t="shared" si="3"/>
        <v>2030</v>
      </c>
      <c r="B8" s="49">
        <v>61889.225000000013</v>
      </c>
      <c r="C8" s="50">
        <v>172000</v>
      </c>
      <c r="D8" s="50">
        <v>356000</v>
      </c>
      <c r="E8" s="50">
        <v>400000</v>
      </c>
      <c r="F8" s="50">
        <v>397000</v>
      </c>
      <c r="G8" s="17">
        <f t="shared" si="0"/>
        <v>1325000</v>
      </c>
      <c r="H8" s="17">
        <f t="shared" si="1"/>
        <v>70626.998156831614</v>
      </c>
      <c r="I8" s="17">
        <f t="shared" si="2"/>
        <v>1254373.0018431684</v>
      </c>
    </row>
    <row r="9" spans="1:9" ht="15.75" customHeight="1" x14ac:dyDescent="0.25">
      <c r="A9" s="5">
        <f t="shared" si="3"/>
        <v>2031</v>
      </c>
      <c r="B9" s="49">
        <v>61431.584885714292</v>
      </c>
      <c r="C9" s="50">
        <v>171285.71428571429</v>
      </c>
      <c r="D9" s="50">
        <v>352857.14285714278</v>
      </c>
      <c r="E9" s="50">
        <v>398714.28571428568</v>
      </c>
      <c r="F9" s="50">
        <v>402714.28571428568</v>
      </c>
      <c r="G9" s="17">
        <f t="shared" si="0"/>
        <v>1325571.4285714284</v>
      </c>
      <c r="H9" s="17">
        <f t="shared" si="1"/>
        <v>70104.74654505025</v>
      </c>
      <c r="I9" s="17">
        <f t="shared" si="2"/>
        <v>1255466.6820263781</v>
      </c>
    </row>
    <row r="10" spans="1:9" ht="15.75" customHeight="1" x14ac:dyDescent="0.25">
      <c r="A10" s="5">
        <f t="shared" si="3"/>
        <v>2032</v>
      </c>
      <c r="B10" s="49">
        <v>61002.038869387761</v>
      </c>
      <c r="C10" s="50">
        <v>170469.38775510201</v>
      </c>
      <c r="D10" s="50">
        <v>349836.73469387752</v>
      </c>
      <c r="E10" s="50">
        <v>397244.89795918373</v>
      </c>
      <c r="F10" s="50">
        <v>408102.04081632663</v>
      </c>
      <c r="G10" s="17">
        <f t="shared" si="0"/>
        <v>1325653.0612244899</v>
      </c>
      <c r="H10" s="17">
        <f t="shared" si="1"/>
        <v>69614.55547053981</v>
      </c>
      <c r="I10" s="17">
        <f t="shared" si="2"/>
        <v>1256038.5057539502</v>
      </c>
    </row>
    <row r="11" spans="1:9" ht="15.75" customHeight="1" x14ac:dyDescent="0.25">
      <c r="A11" s="5">
        <f t="shared" si="3"/>
        <v>2033</v>
      </c>
      <c r="B11" s="49">
        <v>60575.446822157443</v>
      </c>
      <c r="C11" s="50">
        <v>169536.44314868801</v>
      </c>
      <c r="D11" s="50">
        <v>346956.26822157431</v>
      </c>
      <c r="E11" s="50">
        <v>395565.59766763862</v>
      </c>
      <c r="F11" s="50">
        <v>413116.61807580182</v>
      </c>
      <c r="G11" s="17">
        <f t="shared" si="0"/>
        <v>1325174.9271137028</v>
      </c>
      <c r="H11" s="17">
        <f t="shared" si="1"/>
        <v>69127.735418528246</v>
      </c>
      <c r="I11" s="17">
        <f t="shared" si="2"/>
        <v>1256047.1916951744</v>
      </c>
    </row>
    <row r="12" spans="1:9" ht="15.75" customHeight="1" x14ac:dyDescent="0.25">
      <c r="A12" s="5">
        <f t="shared" si="3"/>
        <v>2034</v>
      </c>
      <c r="B12" s="49">
        <v>60157.451596751373</v>
      </c>
      <c r="C12" s="50">
        <v>168613.0778842149</v>
      </c>
      <c r="D12" s="50">
        <v>344235.73511037062</v>
      </c>
      <c r="E12" s="50">
        <v>393789.25447730121</v>
      </c>
      <c r="F12" s="50">
        <v>417847.56351520208</v>
      </c>
      <c r="G12" s="17">
        <f t="shared" si="0"/>
        <v>1324485.6309870889</v>
      </c>
      <c r="H12" s="17">
        <f t="shared" si="1"/>
        <v>68650.725922702142</v>
      </c>
      <c r="I12" s="17">
        <f t="shared" si="2"/>
        <v>1255834.9050643868</v>
      </c>
    </row>
    <row r="13" spans="1:9" ht="15.75" customHeight="1" x14ac:dyDescent="0.25">
      <c r="A13" s="5">
        <f t="shared" si="3"/>
        <v>2035</v>
      </c>
      <c r="B13" s="49">
        <v>59752.674367715837</v>
      </c>
      <c r="C13" s="50">
        <v>167843.5175819599</v>
      </c>
      <c r="D13" s="50">
        <v>341697.98298328067</v>
      </c>
      <c r="E13" s="50">
        <v>392044.86225977278</v>
      </c>
      <c r="F13" s="50">
        <v>422254.35830308811</v>
      </c>
      <c r="G13" s="17">
        <f t="shared" si="0"/>
        <v>1323840.7211281015</v>
      </c>
      <c r="H13" s="17">
        <f t="shared" si="1"/>
        <v>68188.800593874388</v>
      </c>
      <c r="I13" s="17">
        <f t="shared" si="2"/>
        <v>1255651.920534227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0.59761968593124903</v>
      </c>
      <c r="C2" s="98">
        <v>0.95</v>
      </c>
      <c r="D2" s="56">
        <v>107.0201908947332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40.978199545296739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1182.463810200042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1.727104628102593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14.11049898909264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14.11049898909264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14.11049898909264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14.11049898909264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14.11049898909264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14.11049898909264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0.72617600246982905</v>
      </c>
      <c r="C16" s="98">
        <v>0.95</v>
      </c>
      <c r="D16" s="56">
        <v>1.817264788987992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27.02885669161574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27.02885669161574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0.20890819999999999</v>
      </c>
      <c r="C21" s="98">
        <v>0.95</v>
      </c>
      <c r="D21" s="56">
        <v>17.591217247758362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24.926085555919201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3.2008099999999998E-2</v>
      </c>
      <c r="C23" s="98">
        <v>0.95</v>
      </c>
      <c r="D23" s="56">
        <v>4.9657873780366408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0.86933957623125091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0.57825758418322304</v>
      </c>
      <c r="C27" s="98">
        <v>0.95</v>
      </c>
      <c r="D27" s="56">
        <v>19.66637718058168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0.56282260000000006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225.46212730893359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0.86388676042059953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0.224714</v>
      </c>
      <c r="C32" s="98">
        <v>0.95</v>
      </c>
      <c r="D32" s="56">
        <v>4.0149037192341366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0.98383619999999994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4.8103300000000002E-2</v>
      </c>
      <c r="C38" s="98">
        <v>0.95</v>
      </c>
      <c r="D38" s="56">
        <v>6.1634669588090496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0.75648280000000001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0.90758709915904257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2024-03-28T03:03:53Z</dcterms:modified>
</cp:coreProperties>
</file>