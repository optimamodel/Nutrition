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74D04EEB-CA31-4C7B-AEAD-8B7937454546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6" i="2"/>
  <c r="A31" i="2"/>
  <c r="A25" i="2"/>
  <c r="A23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<sst xmlns="http://schemas.openxmlformats.org/spreadsheetml/2006/main" count="2169" uniqueCount="373">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</sst>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261374.5</v>
      </c>
    </row>
    <row r="8" spans="1:3" ht="15" customHeight="1" x14ac:dyDescent="0.25">
      <c r="B8" s="5" t="s">
        <v>8</v>
      </c>
      <c r="C8" s="44">
        <v>1.4E-2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0.84452529907226603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0.1542</v>
      </c>
    </row>
    <row r="24" spans="1:3" ht="15" customHeight="1" x14ac:dyDescent="0.25">
      <c r="B24" s="15" t="s">
        <v>22</v>
      </c>
      <c r="C24" s="45">
        <v>0.504</v>
      </c>
    </row>
    <row r="25" spans="1:3" ht="15" customHeight="1" x14ac:dyDescent="0.25">
      <c r="B25" s="15" t="s">
        <v>23</v>
      </c>
      <c r="C25" s="45">
        <v>0.31219999999999998</v>
      </c>
    </row>
    <row r="26" spans="1:3" ht="15" customHeight="1" x14ac:dyDescent="0.25">
      <c r="B26" s="15" t="s">
        <v>24</v>
      </c>
      <c r="C26" s="45">
        <v>2.9600000000000001E-2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0.3567553</v>
      </c>
    </row>
    <row r="30" spans="1:3" ht="14.25" customHeight="1" x14ac:dyDescent="0.25">
      <c r="B30" s="25" t="s">
        <v>27</v>
      </c>
      <c r="C30" s="97">
        <v>6.59106E-2</v>
      </c>
    </row>
    <row r="31" spans="1:3" ht="14.25" customHeight="1" x14ac:dyDescent="0.25">
      <c r="B31" s="25" t="s">
        <v>28</v>
      </c>
      <c r="C31" s="97">
        <v>9.2620400000000006E-2</v>
      </c>
    </row>
    <row r="32" spans="1:3" ht="14.25" customHeight="1" x14ac:dyDescent="0.25">
      <c r="B32" s="25" t="s">
        <v>29</v>
      </c>
      <c r="C32" s="97">
        <v>0.48471370000000003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5.3631900000000003</v>
      </c>
    </row>
    <row r="38" spans="1:5" ht="15" customHeight="1" x14ac:dyDescent="0.25">
      <c r="B38" s="11" t="s">
        <v>34</v>
      </c>
      <c r="C38" s="43">
        <v>6.2443299999999997</v>
      </c>
      <c r="D38" s="12"/>
      <c r="E38" s="13"/>
    </row>
    <row r="39" spans="1:5" ht="15" customHeight="1" x14ac:dyDescent="0.25">
      <c r="B39" s="11" t="s">
        <v>35</v>
      </c>
      <c r="C39" s="43">
        <v>7.6475099999999996</v>
      </c>
      <c r="D39" s="12"/>
      <c r="E39" s="12"/>
    </row>
    <row r="40" spans="1:5" ht="15" customHeight="1" x14ac:dyDescent="0.25">
      <c r="B40" s="11" t="s">
        <v>36</v>
      </c>
      <c r="C40" s="98">
        <v>0.22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7.2145000000000004E-3</v>
      </c>
      <c r="D45" s="12"/>
    </row>
    <row r="46" spans="1:5" ht="15.75" customHeight="1" x14ac:dyDescent="0.25">
      <c r="B46" s="11" t="s">
        <v>41</v>
      </c>
      <c r="C46" s="45">
        <v>7.7518500000000004E-2</v>
      </c>
      <c r="D46" s="12"/>
    </row>
    <row r="47" spans="1:5" ht="15.75" customHeight="1" x14ac:dyDescent="0.25">
      <c r="B47" s="11" t="s">
        <v>42</v>
      </c>
      <c r="C47" s="45">
        <v>7.41401E-2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0.54813400000000001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7.4772848999999905E-2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51253</v>
      </c>
      <c r="C2" s="49">
        <v>177157.5</v>
      </c>
      <c r="D2" s="49">
        <v>381603.50000000006</v>
      </c>
      <c r="E2" s="49">
        <v>408299</v>
      </c>
      <c r="F2" s="49">
        <v>360690.50000000006</v>
      </c>
      <c r="G2" s="17">
        <f t="shared" ref="G2:G13" si="0">C2+D2+E2+F2</f>
        <v>1327750.5</v>
      </c>
      <c r="H2" s="17">
        <f t="shared" ref="H2:H13" si="1">(B2 + stillbirth*B2/(1000-stillbirth))/(1-abortion)</f>
        <v>58489.107539027835</v>
      </c>
      <c r="I2" s="17">
        <f t="shared" ref="I2:I13" si="2">G2-H2</f>
        <v>1269261.3924609721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50630</v>
      </c>
      <c r="C3" s="50">
        <v>176844.5</v>
      </c>
      <c r="D3" s="50">
        <v>376889.5</v>
      </c>
      <c r="E3" s="50">
        <v>407532.5</v>
      </c>
      <c r="F3" s="50">
        <v>368448.49999999994</v>
      </c>
      <c r="G3" s="17">
        <f t="shared" si="0"/>
        <v>1329715</v>
      </c>
      <c r="H3" s="17">
        <f t="shared" si="1"/>
        <v>57778.149858563971</v>
      </c>
      <c r="I3" s="17">
        <f t="shared" si="2"/>
        <v>1271936.8501414361</v>
      </c>
    </row>
    <row r="4" spans="1:9" ht="15.75" customHeight="1" x14ac:dyDescent="0.25">
      <c r="A4" s="5">
        <f t="shared" si="3"/>
        <v>2026</v>
      </c>
      <c r="B4" s="49">
        <v>50203</v>
      </c>
      <c r="C4" s="50">
        <v>176360.5</v>
      </c>
      <c r="D4" s="50">
        <v>372304.5</v>
      </c>
      <c r="E4" s="50">
        <v>405885</v>
      </c>
      <c r="F4" s="50">
        <v>376030</v>
      </c>
      <c r="G4" s="17">
        <f t="shared" si="0"/>
        <v>1330580</v>
      </c>
      <c r="H4" s="17">
        <f t="shared" si="1"/>
        <v>57290.864257347173</v>
      </c>
      <c r="I4" s="17">
        <f t="shared" si="2"/>
        <v>1273289.1357426529</v>
      </c>
    </row>
    <row r="5" spans="1:9" ht="15.75" customHeight="1" x14ac:dyDescent="0.25">
      <c r="A5" s="5">
        <f t="shared" si="3"/>
        <v>2027</v>
      </c>
      <c r="B5" s="49">
        <v>49849</v>
      </c>
      <c r="C5" s="50">
        <v>176570</v>
      </c>
      <c r="D5" s="50">
        <v>368005</v>
      </c>
      <c r="E5" s="50">
        <v>403641</v>
      </c>
      <c r="F5" s="50">
        <v>382946.5</v>
      </c>
      <c r="G5" s="17">
        <f t="shared" si="0"/>
        <v>1331162.5</v>
      </c>
      <c r="H5" s="17">
        <f t="shared" si="1"/>
        <v>56886.885093809113</v>
      </c>
      <c r="I5" s="17">
        <f t="shared" si="2"/>
        <v>1274275.6149061909</v>
      </c>
    </row>
    <row r="6" spans="1:9" ht="15.75" customHeight="1" x14ac:dyDescent="0.25">
      <c r="A6" s="5">
        <f t="shared" si="3"/>
        <v>2028</v>
      </c>
      <c r="B6" s="49">
        <v>49455</v>
      </c>
      <c r="C6" s="50">
        <v>175226</v>
      </c>
      <c r="D6" s="50">
        <v>364832.5</v>
      </c>
      <c r="E6" s="50">
        <v>401175.5</v>
      </c>
      <c r="F6" s="50">
        <v>389026.5</v>
      </c>
      <c r="G6" s="17">
        <f t="shared" si="0"/>
        <v>1330260.5</v>
      </c>
      <c r="H6" s="17">
        <f t="shared" si="1"/>
        <v>56437.258567159421</v>
      </c>
      <c r="I6" s="17">
        <f t="shared" si="2"/>
        <v>1273823.2414328405</v>
      </c>
    </row>
    <row r="7" spans="1:9" ht="15.75" customHeight="1" x14ac:dyDescent="0.25">
      <c r="A7" s="5">
        <f t="shared" si="3"/>
        <v>2029</v>
      </c>
      <c r="B7" s="49">
        <v>49193</v>
      </c>
      <c r="C7" s="50">
        <v>173185</v>
      </c>
      <c r="D7" s="50">
        <v>362025.49999999994</v>
      </c>
      <c r="E7" s="50">
        <v>398878.00000000006</v>
      </c>
      <c r="F7" s="50">
        <v>394063.5</v>
      </c>
      <c r="G7" s="17">
        <f t="shared" si="0"/>
        <v>1328152</v>
      </c>
      <c r="H7" s="17">
        <f t="shared" si="1"/>
        <v>56138.268338778151</v>
      </c>
      <c r="I7" s="17">
        <f t="shared" si="2"/>
        <v>1272013.7316612219</v>
      </c>
    </row>
    <row r="8" spans="1:9" ht="15.75" customHeight="1" x14ac:dyDescent="0.25">
      <c r="A8" s="5">
        <f t="shared" si="3"/>
        <v>2030</v>
      </c>
      <c r="B8" s="49">
        <v>48914</v>
      </c>
      <c r="C8" s="50">
        <v>172528</v>
      </c>
      <c r="D8" s="50">
        <v>358210.5</v>
      </c>
      <c r="E8" s="50">
        <v>396707</v>
      </c>
      <c r="F8" s="50">
        <v>398188.5</v>
      </c>
      <c r="G8" s="17">
        <f t="shared" si="0"/>
        <v>1325634</v>
      </c>
      <c r="H8" s="17">
        <f t="shared" si="1"/>
        <v>55819.877981074431</v>
      </c>
      <c r="I8" s="17">
        <f t="shared" si="2"/>
        <v>1269814.1220189256</v>
      </c>
    </row>
    <row r="9" spans="1:9" ht="15.75" customHeight="1" x14ac:dyDescent="0.25">
      <c r="A9" s="5">
        <f t="shared" si="3"/>
        <v>2031</v>
      </c>
      <c r="B9" s="49">
        <v>48739</v>
      </c>
      <c r="C9" s="50">
        <v>171897.5</v>
      </c>
      <c r="D9" s="50">
        <v>354596</v>
      </c>
      <c r="E9" s="50">
        <v>394228.5</v>
      </c>
      <c r="F9" s="50">
        <v>401422</v>
      </c>
      <c r="G9" s="17">
        <f t="shared" si="0"/>
        <v>1322144</v>
      </c>
      <c r="H9" s="17">
        <f t="shared" si="1"/>
        <v>55620.170767460986</v>
      </c>
      <c r="I9" s="17">
        <f t="shared" si="2"/>
        <v>1266523.8292325391</v>
      </c>
    </row>
    <row r="10" spans="1:9" ht="15.75" customHeight="1" x14ac:dyDescent="0.25">
      <c r="A10" s="5">
        <f t="shared" si="3"/>
        <v>2032</v>
      </c>
      <c r="B10" s="49">
        <v>48589</v>
      </c>
      <c r="C10" s="50">
        <v>170071</v>
      </c>
      <c r="D10" s="50">
        <v>352854.00000000006</v>
      </c>
      <c r="E10" s="50">
        <v>390657</v>
      </c>
      <c r="F10" s="50">
        <v>403608</v>
      </c>
      <c r="G10" s="17">
        <f t="shared" si="0"/>
        <v>1317190</v>
      </c>
      <c r="H10" s="17">
        <f t="shared" si="1"/>
        <v>55448.993155792312</v>
      </c>
      <c r="I10" s="17">
        <f t="shared" si="2"/>
        <v>1261741.0068442076</v>
      </c>
    </row>
    <row r="11" spans="1:9" ht="15.75" customHeight="1" x14ac:dyDescent="0.25">
      <c r="A11" s="5">
        <f t="shared" si="3"/>
        <v>2033</v>
      </c>
      <c r="B11" s="49">
        <v>48413</v>
      </c>
      <c r="C11" s="50">
        <v>168597</v>
      </c>
      <c r="D11" s="50">
        <v>351623.00000000006</v>
      </c>
      <c r="E11" s="50">
        <v>386017</v>
      </c>
      <c r="F11" s="50">
        <v>404846</v>
      </c>
      <c r="G11" s="17">
        <f t="shared" si="0"/>
        <v>1311083</v>
      </c>
      <c r="H11" s="17">
        <f t="shared" si="1"/>
        <v>55248.14475810108</v>
      </c>
      <c r="I11" s="17">
        <f t="shared" si="2"/>
        <v>1255834.8552418989</v>
      </c>
    </row>
    <row r="12" spans="1:9" ht="15.75" customHeight="1" x14ac:dyDescent="0.25">
      <c r="A12" s="5">
        <f t="shared" si="3"/>
        <v>2034</v>
      </c>
      <c r="B12" s="49">
        <v>48147</v>
      </c>
      <c r="C12" s="50">
        <v>166357.5</v>
      </c>
      <c r="D12" s="50">
        <v>350564</v>
      </c>
      <c r="E12" s="50">
        <v>381014</v>
      </c>
      <c r="F12" s="50">
        <v>405136.49999999994</v>
      </c>
      <c r="G12" s="17">
        <f t="shared" si="0"/>
        <v>1303072</v>
      </c>
      <c r="H12" s="17">
        <f t="shared" si="1"/>
        <v>54944.589793408646</v>
      </c>
      <c r="I12" s="17">
        <f t="shared" si="2"/>
        <v>1248127.4102065912</v>
      </c>
    </row>
    <row r="13" spans="1:9" ht="15.75" customHeight="1" x14ac:dyDescent="0.25">
      <c r="A13" s="5">
        <f t="shared" si="3"/>
        <v>2035</v>
      </c>
      <c r="B13" s="49">
        <v>47899</v>
      </c>
      <c r="C13" s="50">
        <v>161320.5</v>
      </c>
      <c r="D13" s="50">
        <v>349623</v>
      </c>
      <c r="E13" s="50">
        <v>376371.99999999994</v>
      </c>
      <c r="F13" s="50">
        <v>404446</v>
      </c>
      <c r="G13" s="17">
        <f t="shared" si="0"/>
        <v>1291761.5</v>
      </c>
      <c r="H13" s="17">
        <f t="shared" si="1"/>
        <v>54661.576142116442</v>
      </c>
      <c r="I13" s="17">
        <f t="shared" si="2"/>
        <v>1237099.9238578836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2.2469799999999981E-2</v>
      </c>
    </row>
    <row r="5" spans="1:8" ht="15.75" customHeight="1" x14ac:dyDescent="0.25">
      <c r="B5" s="19" t="s">
        <v>70</v>
      </c>
      <c r="C5" s="99">
        <v>2.4460900000000049E-2</v>
      </c>
    </row>
    <row r="6" spans="1:8" ht="15.75" customHeight="1" x14ac:dyDescent="0.25">
      <c r="B6" s="19" t="s">
        <v>71</v>
      </c>
      <c r="C6" s="99">
        <v>0.10187679999999991</v>
      </c>
    </row>
    <row r="7" spans="1:8" ht="15.75" customHeight="1" x14ac:dyDescent="0.25">
      <c r="B7" s="19" t="s">
        <v>72</v>
      </c>
      <c r="C7" s="99">
        <v>0.41340200000000021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0.39500150000000001</v>
      </c>
    </row>
    <row r="10" spans="1:8" ht="15.75" customHeight="1" x14ac:dyDescent="0.25">
      <c r="B10" s="19" t="s">
        <v>75</v>
      </c>
      <c r="C10" s="99">
        <v>4.2788999999999952E-2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82</v>
      </c>
      <c r="C15" s="99">
        <v>0.1594063741512792</v>
      </c>
      <c r="D15" s="99">
        <v>0.1594063741512792</v>
      </c>
      <c r="E15" s="99">
        <v>0.1594063741512792</v>
      </c>
      <c r="F15" s="99">
        <v>0.1594063741512792</v>
      </c>
    </row>
    <row r="16" spans="1:8" ht="15.75" customHeight="1" x14ac:dyDescent="0.25">
      <c r="B16" s="19" t="s">
        <v>83</v>
      </c>
      <c r="C16" s="99">
        <v>4.5121886732581648E-2</v>
      </c>
      <c r="D16" s="99">
        <v>4.5121886732581648E-2</v>
      </c>
      <c r="E16" s="99">
        <v>4.5121886732581648E-2</v>
      </c>
      <c r="F16" s="99">
        <v>4.5121886732581648E-2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3.5873226357410631E-3</v>
      </c>
      <c r="D19" s="99">
        <v>3.5873226357410631E-3</v>
      </c>
      <c r="E19" s="99">
        <v>3.5873226357410631E-3</v>
      </c>
      <c r="F19" s="99">
        <v>3.5873226357410631E-3</v>
      </c>
    </row>
    <row r="20" spans="1:8" ht="15.75" customHeight="1" x14ac:dyDescent="0.25">
      <c r="B20" s="19" t="s">
        <v>87</v>
      </c>
      <c r="C20" s="99">
        <v>0.42885433690608749</v>
      </c>
      <c r="D20" s="99">
        <v>0.42885433690608749</v>
      </c>
      <c r="E20" s="99">
        <v>0.42885433690608749</v>
      </c>
      <c r="F20" s="99">
        <v>0.42885433690608749</v>
      </c>
    </row>
    <row r="21" spans="1:8" ht="15.75" customHeight="1" x14ac:dyDescent="0.25">
      <c r="B21" s="19" t="s">
        <v>88</v>
      </c>
      <c r="C21" s="99">
        <v>0.21280453826937559</v>
      </c>
      <c r="D21" s="99">
        <v>0.21280453826937559</v>
      </c>
      <c r="E21" s="99">
        <v>0.21280453826937559</v>
      </c>
      <c r="F21" s="99">
        <v>0.21280453826937559</v>
      </c>
    </row>
    <row r="22" spans="1:8" ht="15.75" customHeight="1" x14ac:dyDescent="0.25">
      <c r="B22" s="19" t="s">
        <v>89</v>
      </c>
      <c r="C22" s="99">
        <v>8.354147156804044E-2</v>
      </c>
      <c r="D22" s="99">
        <v>8.354147156804044E-2</v>
      </c>
      <c r="E22" s="99">
        <v>8.354147156804044E-2</v>
      </c>
      <c r="F22" s="99">
        <v>8.354147156804044E-2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4.3847376999999993E-2</v>
      </c>
    </row>
    <row r="27" spans="1:8" ht="15.75" customHeight="1" x14ac:dyDescent="0.25">
      <c r="B27" s="19" t="s">
        <v>92</v>
      </c>
      <c r="C27" s="99">
        <v>3.4044087000000001E-2</v>
      </c>
    </row>
    <row r="28" spans="1:8" ht="15.75" customHeight="1" x14ac:dyDescent="0.25">
      <c r="B28" s="19" t="s">
        <v>93</v>
      </c>
      <c r="C28" s="99">
        <v>4.3283602999999997E-2</v>
      </c>
    </row>
    <row r="29" spans="1:8" ht="15.75" customHeight="1" x14ac:dyDescent="0.25">
      <c r="B29" s="19" t="s">
        <v>94</v>
      </c>
      <c r="C29" s="99">
        <v>0.177569167</v>
      </c>
    </row>
    <row r="30" spans="1:8" ht="15.75" customHeight="1" x14ac:dyDescent="0.25">
      <c r="B30" s="19" t="s">
        <v>95</v>
      </c>
      <c r="C30" s="99">
        <v>3.1893660999999997E-2</v>
      </c>
    </row>
    <row r="31" spans="1:8" ht="15.75" customHeight="1" x14ac:dyDescent="0.25">
      <c r="B31" s="19" t="s">
        <v>96</v>
      </c>
      <c r="C31" s="99">
        <v>9.3503550000000005E-2</v>
      </c>
    </row>
    <row r="32" spans="1:8" ht="15.75" customHeight="1" x14ac:dyDescent="0.25">
      <c r="B32" s="19" t="s">
        <v>97</v>
      </c>
      <c r="C32" s="99">
        <v>7.8392814000000005E-2</v>
      </c>
    </row>
    <row r="33" spans="2:3" ht="15.75" customHeight="1" x14ac:dyDescent="0.25">
      <c r="B33" s="19" t="s">
        <v>98</v>
      </c>
      <c r="C33" s="99">
        <v>0.15751110600000001</v>
      </c>
    </row>
    <row r="34" spans="2:3" ht="15.75" customHeight="1" x14ac:dyDescent="0.25">
      <c r="B34" s="19" t="s">
        <v>99</v>
      </c>
      <c r="C34" s="99">
        <v>0.33995463500000001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104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105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109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110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0.11872693625</v>
      </c>
      <c r="D14" s="54">
        <v>0.10841147821200001</v>
      </c>
      <c r="E14" s="54">
        <v>0.10841147821200001</v>
      </c>
      <c r="F14" s="54">
        <v>0.15067343412</v>
      </c>
      <c r="G14" s="54">
        <v>0.15067343412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6.5078270474457495E-2</v>
      </c>
      <c r="D15" s="52">
        <f t="shared" si="0"/>
        <v>5.9424017198256414E-2</v>
      </c>
      <c r="E15" s="52">
        <f t="shared" si="0"/>
        <v>5.9424017198256414E-2</v>
      </c>
      <c r="F15" s="52">
        <f t="shared" si="0"/>
        <v>8.2589232137932081E-2</v>
      </c>
      <c r="G15" s="52">
        <f t="shared" si="0"/>
        <v>8.2589232137932081E-2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9.9093499999999946E-2</v>
      </c>
      <c r="D5" s="52">
        <f t="shared" si="0"/>
        <v>0.16993820000000004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1336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0.54178999999999999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0.57020000000000004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1.509245483611216E-2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99132.361789999995</v>
      </c>
      <c r="C22" s="107">
        <v>99061.074739999996</v>
      </c>
      <c r="D22" s="107">
        <v>98963.693530000004</v>
      </c>
      <c r="E22" s="107">
        <v>98680.141059999994</v>
      </c>
      <c r="F22" s="107">
        <v>98153.974589999998</v>
      </c>
      <c r="G22" s="107">
        <v>97602.533230000001</v>
      </c>
      <c r="H22" s="107">
        <v>97055.202059999996</v>
      </c>
      <c r="I22" s="107">
        <v>96371.584029999998</v>
      </c>
      <c r="J22" s="107">
        <v>95510.859769999995</v>
      </c>
      <c r="K22" s="107">
        <v>94373.673190000001</v>
      </c>
      <c r="L22" s="107">
        <v>92900.478180000006</v>
      </c>
      <c r="M22" s="107">
        <v>90724.925860000003</v>
      </c>
      <c r="N22" s="107">
        <v>86989.060370000007</v>
      </c>
      <c r="O22" s="107">
        <v>82557.495339999994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14.11049898909264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14.11049898909264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14.11049898909264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14.11049898909264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14.11049898909264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14.11049898909264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0.31415611111111102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0.224714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0.224714</v>
      </c>
      <c r="C19" s="96">
        <v>0.95</v>
      </c>
      <c r="D19" s="56">
        <v>27.02885669161574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4.9657873780366408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0.93597991376873002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0.56282260000000006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0.75648280000000001</v>
      </c>
      <c r="C29" s="96">
        <v>0.95</v>
      </c>
      <c r="D29" s="56">
        <v>225.46212730893359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0.85956929999999998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0.20890819999999999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3.2008099999999998E-2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4.8103300000000002E-2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198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1.4E-2</v>
      </c>
      <c r="F2" s="60">
        <f>food_insecure</f>
        <v>1.4E-2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1.4E-2</v>
      </c>
      <c r="I15" s="60">
        <f t="shared" si="0"/>
        <v>1.4E-2</v>
      </c>
      <c r="J15" s="60">
        <f t="shared" si="0"/>
        <v>1.4E-2</v>
      </c>
      <c r="K15" s="60">
        <f t="shared" si="0"/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1.4E-2</v>
      </c>
      <c r="I16" s="60">
        <f t="shared" si="0"/>
        <v>1.4E-2</v>
      </c>
      <c r="J16" s="60">
        <f t="shared" si="0"/>
        <v>1.4E-2</v>
      </c>
      <c r="K16" s="60">
        <f t="shared" si="0"/>
        <v>1.4E-2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0.109</v>
      </c>
      <c r="M24" s="60">
        <f>famplan_unmet_need</f>
        <v>0.109</v>
      </c>
      <c r="N24" s="60">
        <f>famplan_unmet_need</f>
        <v>0.109</v>
      </c>
      <c r="O24" s="60">
        <f>famplan_unmet_need</f>
        <v>0.109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7.6639699075317175E-2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3.284558531799308E-2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4.5989416534423712E-2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0.84452529907226603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