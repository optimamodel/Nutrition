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16025EB2-87BB-48D4-B50C-D5F654B8DEEE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A39" i="2"/>
  <c r="H38" i="2"/>
  <c r="G38" i="2"/>
  <c r="I38" i="2" s="1"/>
  <c r="A37" i="2"/>
  <c r="A36" i="2"/>
  <c r="A35" i="2"/>
  <c r="A34" i="2"/>
  <c r="A32" i="2"/>
  <c r="A31" i="2"/>
  <c r="A29" i="2"/>
  <c r="A28" i="2"/>
  <c r="A27" i="2"/>
  <c r="A26" i="2"/>
  <c r="A24" i="2"/>
  <c r="A23" i="2"/>
  <c r="A21" i="2"/>
  <c r="A20" i="2"/>
  <c r="A19" i="2"/>
  <c r="A18" i="2"/>
  <c r="A16" i="2"/>
  <c r="A15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40" i="2" s="1"/>
  <c r="C33" i="1"/>
  <c r="C20" i="1"/>
  <c r="A17" i="2" l="1"/>
  <c r="A25" i="2"/>
  <c r="A33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B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6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7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9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A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B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C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D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E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61" authorId="0" shapeId="0" xr:uid="{00000000-0006-0000-1600-000020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1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2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3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4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A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6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6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6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6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6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7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7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7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7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7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8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8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7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9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9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9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9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A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B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1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1E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1F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0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3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4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5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8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9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A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2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2D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2E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2F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1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4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B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3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3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3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3F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1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3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5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8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4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4A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4B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4C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4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4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4F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0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1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4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5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6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5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59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5A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5B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5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5D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5E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5F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0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1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2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3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4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5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6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68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69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6A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6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6C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6D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6E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6F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0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1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2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3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4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7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7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7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7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7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7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7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7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7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7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7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8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8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8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8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8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89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<sst xmlns="http://schemas.openxmlformats.org/spreadsheetml/2006/main" count="2103" uniqueCount="341">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</sst>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301295.630859375</v>
      </c>
    </row>
    <row r="8" spans="1:3" ht="15" customHeight="1" x14ac:dyDescent="0.25">
      <c r="B8" s="5" t="s">
        <v>8</v>
      </c>
      <c r="C8" s="44">
        <v>1.4E-2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0.84452529907226603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0.109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0.1542</v>
      </c>
    </row>
    <row r="24" spans="1:3" ht="15" customHeight="1" x14ac:dyDescent="0.25">
      <c r="B24" s="15" t="s">
        <v>22</v>
      </c>
      <c r="C24" s="45">
        <v>0.504</v>
      </c>
    </row>
    <row r="25" spans="1:3" ht="15" customHeight="1" x14ac:dyDescent="0.25">
      <c r="B25" s="15" t="s">
        <v>23</v>
      </c>
      <c r="C25" s="45">
        <v>0.31219999999999998</v>
      </c>
    </row>
    <row r="26" spans="1:3" ht="15" customHeight="1" x14ac:dyDescent="0.25">
      <c r="B26" s="15" t="s">
        <v>24</v>
      </c>
      <c r="C26" s="45">
        <v>2.9600000000000001E-2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0.3567553</v>
      </c>
    </row>
    <row r="30" spans="1:3" ht="14.25" customHeight="1" x14ac:dyDescent="0.25">
      <c r="B30" s="25" t="s">
        <v>27</v>
      </c>
      <c r="C30" s="99">
        <v>6.59106E-2</v>
      </c>
    </row>
    <row r="31" spans="1:3" ht="14.25" customHeight="1" x14ac:dyDescent="0.25">
      <c r="B31" s="25" t="s">
        <v>28</v>
      </c>
      <c r="C31" s="99">
        <v>9.2620400000000006E-2</v>
      </c>
    </row>
    <row r="32" spans="1:3" ht="14.25" customHeight="1" x14ac:dyDescent="0.25">
      <c r="B32" s="25" t="s">
        <v>29</v>
      </c>
      <c r="C32" s="99">
        <v>0.48471370000000003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5.3631900000000003</v>
      </c>
    </row>
    <row r="38" spans="1:5" ht="15" customHeight="1" x14ac:dyDescent="0.25">
      <c r="B38" s="11" t="s">
        <v>34</v>
      </c>
      <c r="C38" s="43">
        <v>6.2443299999999997</v>
      </c>
      <c r="D38" s="12"/>
      <c r="E38" s="13"/>
    </row>
    <row r="39" spans="1:5" ht="15" customHeight="1" x14ac:dyDescent="0.25">
      <c r="B39" s="11" t="s">
        <v>35</v>
      </c>
      <c r="C39" s="43">
        <v>7.6475099999999996</v>
      </c>
      <c r="D39" s="12"/>
      <c r="E39" s="12"/>
    </row>
    <row r="40" spans="1:5" ht="15" customHeight="1" x14ac:dyDescent="0.25">
      <c r="B40" s="11" t="s">
        <v>36</v>
      </c>
      <c r="C40" s="100">
        <v>0.22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4.2240700000000002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7.2145000000000004E-3</v>
      </c>
      <c r="D45" s="12"/>
    </row>
    <row r="46" spans="1:5" ht="15.75" customHeight="1" x14ac:dyDescent="0.25">
      <c r="B46" s="11" t="s">
        <v>41</v>
      </c>
      <c r="C46" s="45">
        <v>7.7518500000000004E-2</v>
      </c>
      <c r="D46" s="12"/>
    </row>
    <row r="47" spans="1:5" ht="15.75" customHeight="1" x14ac:dyDescent="0.25">
      <c r="B47" s="11" t="s">
        <v>42</v>
      </c>
      <c r="C47" s="45">
        <v>7.41401E-2</v>
      </c>
      <c r="D47" s="12"/>
      <c r="E47" s="13"/>
    </row>
    <row r="48" spans="1:5" ht="15" customHeight="1" x14ac:dyDescent="0.25">
      <c r="B48" s="11" t="s">
        <v>43</v>
      </c>
      <c r="C48" s="46">
        <v>0.84112690000000001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0.54813400000000001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7.4772848999999905E-2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59635</v>
      </c>
      <c r="C2" s="49">
        <v>217669</v>
      </c>
      <c r="D2" s="49">
        <v>386572</v>
      </c>
      <c r="E2" s="49">
        <v>418465.5</v>
      </c>
      <c r="F2" s="49">
        <v>323552</v>
      </c>
      <c r="G2" s="17">
        <f t="shared" ref="G2:G13" si="0">C2+D2+E2+F2</f>
        <v>1346258.5</v>
      </c>
      <c r="H2" s="17">
        <f t="shared" ref="H2:H13" si="1">(B2 + stillbirth*B2/(1000-stillbirth))/(1-abortion)</f>
        <v>68054.512479072931</v>
      </c>
      <c r="I2" s="17">
        <f t="shared" ref="I2:I13" si="2">G2-H2</f>
        <v>1278203.9875209271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59519</v>
      </c>
      <c r="C3" s="50">
        <v>217982.5</v>
      </c>
      <c r="D3" s="50">
        <v>382199</v>
      </c>
      <c r="E3" s="50">
        <v>418113.5</v>
      </c>
      <c r="F3" s="50">
        <v>331443.5</v>
      </c>
      <c r="G3" s="17">
        <f t="shared" si="0"/>
        <v>1349738.5</v>
      </c>
      <c r="H3" s="17">
        <f t="shared" si="1"/>
        <v>67922.135126049165</v>
      </c>
      <c r="I3" s="17">
        <f t="shared" si="2"/>
        <v>1281816.3648739508</v>
      </c>
    </row>
    <row r="4" spans="1:9" ht="15.75" customHeight="1" x14ac:dyDescent="0.25">
      <c r="A4" s="5">
        <f t="shared" si="3"/>
        <v>2026</v>
      </c>
      <c r="B4" s="49">
        <v>59225</v>
      </c>
      <c r="C4" s="50">
        <v>218060</v>
      </c>
      <c r="D4" s="50">
        <v>378285.5</v>
      </c>
      <c r="E4" s="50">
        <v>416723.5</v>
      </c>
      <c r="F4" s="50">
        <v>339470.5</v>
      </c>
      <c r="G4" s="17">
        <f t="shared" si="0"/>
        <v>1352539.5</v>
      </c>
      <c r="H4" s="17">
        <f t="shared" si="1"/>
        <v>67586.627007178584</v>
      </c>
      <c r="I4" s="17">
        <f t="shared" si="2"/>
        <v>1284952.8729928215</v>
      </c>
    </row>
    <row r="5" spans="1:9" ht="15.75" customHeight="1" x14ac:dyDescent="0.25">
      <c r="A5" s="5">
        <f t="shared" si="3"/>
        <v>2027</v>
      </c>
      <c r="B5" s="49">
        <v>58984</v>
      </c>
      <c r="C5" s="50">
        <v>217460</v>
      </c>
      <c r="D5" s="50">
        <v>375000</v>
      </c>
      <c r="E5" s="50">
        <v>414772.5</v>
      </c>
      <c r="F5" s="50">
        <v>347235</v>
      </c>
      <c r="G5" s="17">
        <f t="shared" si="0"/>
        <v>1354467.5</v>
      </c>
      <c r="H5" s="17">
        <f t="shared" si="1"/>
        <v>67311.601644430921</v>
      </c>
      <c r="I5" s="17">
        <f t="shared" si="2"/>
        <v>1287155.898355569</v>
      </c>
    </row>
    <row r="6" spans="1:9" ht="15.75" customHeight="1" x14ac:dyDescent="0.25">
      <c r="A6" s="5">
        <f t="shared" si="3"/>
        <v>2028</v>
      </c>
      <c r="B6" s="49">
        <v>58909</v>
      </c>
      <c r="C6" s="50">
        <v>215921.5</v>
      </c>
      <c r="D6" s="50">
        <v>372732</v>
      </c>
      <c r="E6" s="50">
        <v>412284</v>
      </c>
      <c r="F6" s="50">
        <v>354305</v>
      </c>
      <c r="G6" s="17">
        <f t="shared" si="0"/>
        <v>1355242.5</v>
      </c>
      <c r="H6" s="17">
        <f t="shared" si="1"/>
        <v>67226.012838596595</v>
      </c>
      <c r="I6" s="17">
        <f t="shared" si="2"/>
        <v>1288016.4871614035</v>
      </c>
    </row>
    <row r="7" spans="1:9" ht="15.75" customHeight="1" x14ac:dyDescent="0.25">
      <c r="A7" s="5">
        <f t="shared" si="3"/>
        <v>2029</v>
      </c>
      <c r="B7" s="49">
        <v>58571</v>
      </c>
      <c r="C7" s="50">
        <v>213918</v>
      </c>
      <c r="D7" s="50">
        <v>370978.5</v>
      </c>
      <c r="E7" s="50">
        <v>409427.5</v>
      </c>
      <c r="F7" s="50">
        <v>360413.5</v>
      </c>
      <c r="G7" s="17">
        <f t="shared" si="0"/>
        <v>1354737.5</v>
      </c>
      <c r="H7" s="17">
        <f t="shared" si="1"/>
        <v>66840.292620303182</v>
      </c>
      <c r="I7" s="17">
        <f t="shared" si="2"/>
        <v>1287897.2073796969</v>
      </c>
    </row>
    <row r="8" spans="1:9" ht="15.75" customHeight="1" x14ac:dyDescent="0.25">
      <c r="A8" s="5">
        <f t="shared" si="3"/>
        <v>2030</v>
      </c>
      <c r="B8" s="49">
        <v>58265</v>
      </c>
      <c r="C8" s="50">
        <v>211920.5</v>
      </c>
      <c r="D8" s="50">
        <v>368851.5</v>
      </c>
      <c r="E8" s="50">
        <v>406510</v>
      </c>
      <c r="F8" s="50">
        <v>365640</v>
      </c>
      <c r="G8" s="17">
        <f t="shared" si="0"/>
        <v>1352922</v>
      </c>
      <c r="H8" s="17">
        <f t="shared" si="1"/>
        <v>66491.09029249911</v>
      </c>
      <c r="I8" s="17">
        <f t="shared" si="2"/>
        <v>1286430.9097075008</v>
      </c>
    </row>
    <row r="9" spans="1:9" ht="15.75" customHeight="1" x14ac:dyDescent="0.25">
      <c r="A9" s="5">
        <f t="shared" si="3"/>
        <v>2031</v>
      </c>
      <c r="B9" s="49">
        <v>58013</v>
      </c>
      <c r="C9" s="50">
        <v>209936.5</v>
      </c>
      <c r="D9" s="50">
        <v>366784.5</v>
      </c>
      <c r="E9" s="50">
        <v>403316.5</v>
      </c>
      <c r="F9" s="50">
        <v>370075.5</v>
      </c>
      <c r="G9" s="17">
        <f t="shared" si="0"/>
        <v>1350113</v>
      </c>
      <c r="H9" s="17">
        <f t="shared" si="1"/>
        <v>66203.511904895742</v>
      </c>
      <c r="I9" s="17">
        <f t="shared" si="2"/>
        <v>1283909.4880951042</v>
      </c>
    </row>
    <row r="10" spans="1:9" ht="15.75" customHeight="1" x14ac:dyDescent="0.25">
      <c r="A10" s="5">
        <f t="shared" si="3"/>
        <v>2032</v>
      </c>
      <c r="B10" s="49">
        <v>57562</v>
      </c>
      <c r="C10" s="50">
        <v>207727.5</v>
      </c>
      <c r="D10" s="50">
        <v>365546</v>
      </c>
      <c r="E10" s="50">
        <v>399412</v>
      </c>
      <c r="F10" s="50">
        <v>373453.5</v>
      </c>
      <c r="G10" s="17">
        <f t="shared" si="0"/>
        <v>1346139</v>
      </c>
      <c r="H10" s="17">
        <f t="shared" si="1"/>
        <v>65688.837885811954</v>
      </c>
      <c r="I10" s="17">
        <f t="shared" si="2"/>
        <v>1280450.1621141881</v>
      </c>
    </row>
    <row r="11" spans="1:9" ht="15.75" customHeight="1" x14ac:dyDescent="0.25">
      <c r="A11" s="5">
        <f t="shared" si="3"/>
        <v>2033</v>
      </c>
      <c r="B11" s="49">
        <v>57284</v>
      </c>
      <c r="C11" s="50">
        <v>204858</v>
      </c>
      <c r="D11" s="50">
        <v>364760.5</v>
      </c>
      <c r="E11" s="50">
        <v>394896</v>
      </c>
      <c r="F11" s="50">
        <v>375592</v>
      </c>
      <c r="G11" s="17">
        <f t="shared" si="0"/>
        <v>1340106.5</v>
      </c>
      <c r="H11" s="17">
        <f t="shared" si="1"/>
        <v>65371.588712186029</v>
      </c>
      <c r="I11" s="17">
        <f t="shared" si="2"/>
        <v>1274734.9112878139</v>
      </c>
    </row>
    <row r="12" spans="1:9" ht="15.75" customHeight="1" x14ac:dyDescent="0.25">
      <c r="A12" s="5">
        <f t="shared" si="3"/>
        <v>2034</v>
      </c>
      <c r="B12" s="49">
        <v>57077</v>
      </c>
      <c r="C12" s="50">
        <v>200847</v>
      </c>
      <c r="D12" s="50">
        <v>363922.5</v>
      </c>
      <c r="E12" s="50">
        <v>390256</v>
      </c>
      <c r="F12" s="50">
        <v>376574.5</v>
      </c>
      <c r="G12" s="17">
        <f t="shared" si="0"/>
        <v>1331600</v>
      </c>
      <c r="H12" s="17">
        <f t="shared" si="1"/>
        <v>65135.363608083266</v>
      </c>
      <c r="I12" s="17">
        <f t="shared" si="2"/>
        <v>1266464.6363919168</v>
      </c>
    </row>
    <row r="13" spans="1:9" ht="15.75" customHeight="1" x14ac:dyDescent="0.25">
      <c r="A13" s="5">
        <f t="shared" si="3"/>
        <v>2035</v>
      </c>
      <c r="B13" s="49">
        <v>56612</v>
      </c>
      <c r="C13" s="50">
        <v>196126</v>
      </c>
      <c r="D13" s="50">
        <v>362927</v>
      </c>
      <c r="E13" s="50">
        <v>385727.5</v>
      </c>
      <c r="F13" s="50">
        <v>376470</v>
      </c>
      <c r="G13" s="17">
        <f t="shared" si="0"/>
        <v>1321250.5</v>
      </c>
      <c r="H13" s="17">
        <f t="shared" si="1"/>
        <v>64604.713011910404</v>
      </c>
      <c r="I13" s="17">
        <f t="shared" si="2"/>
        <v>1256645.7869880896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2.2469799999999981E-2</v>
      </c>
    </row>
    <row r="5" spans="1:8" ht="15.75" customHeight="1" x14ac:dyDescent="0.25">
      <c r="B5" s="19" t="s">
        <v>70</v>
      </c>
      <c r="C5" s="101">
        <v>2.4460900000000049E-2</v>
      </c>
    </row>
    <row r="6" spans="1:8" ht="15.75" customHeight="1" x14ac:dyDescent="0.25">
      <c r="B6" s="19" t="s">
        <v>71</v>
      </c>
      <c r="C6" s="101">
        <v>0.10187679999999991</v>
      </c>
    </row>
    <row r="7" spans="1:8" ht="15.75" customHeight="1" x14ac:dyDescent="0.25">
      <c r="B7" s="19" t="s">
        <v>72</v>
      </c>
      <c r="C7" s="101">
        <v>0.41340200000000021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0.39500150000000001</v>
      </c>
    </row>
    <row r="10" spans="1:8" ht="15.75" customHeight="1" x14ac:dyDescent="0.25">
      <c r="B10" s="19" t="s">
        <v>75</v>
      </c>
      <c r="C10" s="101">
        <v>4.2788999999999952E-2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6.6684069736894405E-2</v>
      </c>
      <c r="D14" s="55">
        <v>6.6684069736894405E-2</v>
      </c>
      <c r="E14" s="55">
        <v>6.6684069736894405E-2</v>
      </c>
      <c r="F14" s="55">
        <v>6.6684069736894405E-2</v>
      </c>
    </row>
    <row r="15" spans="1:8" ht="15.75" customHeight="1" x14ac:dyDescent="0.25">
      <c r="B15" s="19" t="s">
        <v>82</v>
      </c>
      <c r="C15" s="101">
        <v>0.1594063741512792</v>
      </c>
      <c r="D15" s="101">
        <v>0.1594063741512792</v>
      </c>
      <c r="E15" s="101">
        <v>0.1594063741512792</v>
      </c>
      <c r="F15" s="101">
        <v>0.1594063741512792</v>
      </c>
    </row>
    <row r="16" spans="1:8" ht="15.75" customHeight="1" x14ac:dyDescent="0.25">
      <c r="B16" s="19" t="s">
        <v>83</v>
      </c>
      <c r="C16" s="101">
        <v>4.5121886732581648E-2</v>
      </c>
      <c r="D16" s="101">
        <v>4.5121886732581648E-2</v>
      </c>
      <c r="E16" s="101">
        <v>4.5121886732581648E-2</v>
      </c>
      <c r="F16" s="101">
        <v>4.5121886732581648E-2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3.5873226357410631E-3</v>
      </c>
      <c r="D19" s="101">
        <v>3.5873226357410631E-3</v>
      </c>
      <c r="E19" s="101">
        <v>3.5873226357410631E-3</v>
      </c>
      <c r="F19" s="101">
        <v>3.5873226357410631E-3</v>
      </c>
    </row>
    <row r="20" spans="1:8" ht="15.75" customHeight="1" x14ac:dyDescent="0.25">
      <c r="B20" s="19" t="s">
        <v>87</v>
      </c>
      <c r="C20" s="101">
        <v>0.42885433690608749</v>
      </c>
      <c r="D20" s="101">
        <v>0.42885433690608749</v>
      </c>
      <c r="E20" s="101">
        <v>0.42885433690608749</v>
      </c>
      <c r="F20" s="101">
        <v>0.42885433690608749</v>
      </c>
    </row>
    <row r="21" spans="1:8" ht="15.75" customHeight="1" x14ac:dyDescent="0.25">
      <c r="B21" s="19" t="s">
        <v>88</v>
      </c>
      <c r="C21" s="101">
        <v>0.21280453826937559</v>
      </c>
      <c r="D21" s="101">
        <v>0.21280453826937559</v>
      </c>
      <c r="E21" s="101">
        <v>0.21280453826937559</v>
      </c>
      <c r="F21" s="101">
        <v>0.21280453826937559</v>
      </c>
    </row>
    <row r="22" spans="1:8" ht="15.75" customHeight="1" x14ac:dyDescent="0.25">
      <c r="B22" s="19" t="s">
        <v>89</v>
      </c>
      <c r="C22" s="101">
        <v>8.354147156804044E-2</v>
      </c>
      <c r="D22" s="101">
        <v>8.354147156804044E-2</v>
      </c>
      <c r="E22" s="101">
        <v>8.354147156804044E-2</v>
      </c>
      <c r="F22" s="101">
        <v>8.354147156804044E-2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4.3847376999999993E-2</v>
      </c>
    </row>
    <row r="27" spans="1:8" ht="15.75" customHeight="1" x14ac:dyDescent="0.25">
      <c r="B27" s="19" t="s">
        <v>92</v>
      </c>
      <c r="C27" s="101">
        <v>3.4044087000000001E-2</v>
      </c>
    </row>
    <row r="28" spans="1:8" ht="15.75" customHeight="1" x14ac:dyDescent="0.25">
      <c r="B28" s="19" t="s">
        <v>93</v>
      </c>
      <c r="C28" s="101">
        <v>4.3283602999999997E-2</v>
      </c>
    </row>
    <row r="29" spans="1:8" ht="15.75" customHeight="1" x14ac:dyDescent="0.25">
      <c r="B29" s="19" t="s">
        <v>94</v>
      </c>
      <c r="C29" s="101">
        <v>0.177569167</v>
      </c>
    </row>
    <row r="30" spans="1:8" ht="15.75" customHeight="1" x14ac:dyDescent="0.25">
      <c r="B30" s="19" t="s">
        <v>95</v>
      </c>
      <c r="C30" s="101">
        <v>3.1893660999999997E-2</v>
      </c>
    </row>
    <row r="31" spans="1:8" ht="15.75" customHeight="1" x14ac:dyDescent="0.25">
      <c r="B31" s="19" t="s">
        <v>96</v>
      </c>
      <c r="C31" s="101">
        <v>9.3503550000000005E-2</v>
      </c>
    </row>
    <row r="32" spans="1:8" ht="15.75" customHeight="1" x14ac:dyDescent="0.25">
      <c r="B32" s="19" t="s">
        <v>97</v>
      </c>
      <c r="C32" s="101">
        <v>7.8392814000000005E-2</v>
      </c>
    </row>
    <row r="33" spans="2:3" ht="15.75" customHeight="1" x14ac:dyDescent="0.25">
      <c r="B33" s="19" t="s">
        <v>98</v>
      </c>
      <c r="C33" s="101">
        <v>0.15751110600000001</v>
      </c>
    </row>
    <row r="34" spans="2:3" ht="15.75" customHeight="1" x14ac:dyDescent="0.25">
      <c r="B34" s="19" t="s">
        <v>99</v>
      </c>
      <c r="C34" s="101">
        <v>0.33995463500000001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0.93833849674838177</v>
      </c>
      <c r="D2" s="52">
        <f>IFERROR(1-_xlfn.NORM.DIST(_xlfn.NORM.INV(SUM(D4:D5), 0, 1) + 1, 0, 1, TRUE), "")</f>
        <v>0.93833849674838177</v>
      </c>
      <c r="E2" s="52">
        <f>IFERROR(1-_xlfn.NORM.DIST(_xlfn.NORM.INV(SUM(E4:E5), 0, 1) + 1, 0, 1, TRUE), "")</f>
        <v>0.97657306715428949</v>
      </c>
      <c r="F2" s="52">
        <f>IFERROR(1-_xlfn.NORM.DIST(_xlfn.NORM.INV(SUM(F4:F5), 0, 1) + 1, 0, 1, TRUE), "")</f>
        <v>0.76771311952628396</v>
      </c>
      <c r="G2" s="52">
        <f>IFERROR(1-_xlfn.NORM.DIST(_xlfn.NORM.INV(SUM(G4:G5), 0, 1) + 1, 0, 1, TRUE), "")</f>
        <v>0.76772716564738364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5.6134303251618188E-2</v>
      </c>
      <c r="D3" s="52">
        <f>IFERROR(_xlfn.NORM.DIST(_xlfn.NORM.INV(SUM(D4:D5), 0, 1) + 1, 0, 1, TRUE) - SUM(D4:D5), "")</f>
        <v>5.6134303251618188E-2</v>
      </c>
      <c r="E3" s="52">
        <f>IFERROR(_xlfn.NORM.DIST(_xlfn.NORM.INV(SUM(E4:E5), 0, 1) + 1, 0, 1, TRUE) - SUM(E4:E5), "")</f>
        <v>2.2021132845710556E-2</v>
      </c>
      <c r="F3" s="52">
        <f>IFERROR(_xlfn.NORM.DIST(_xlfn.NORM.INV(SUM(F4:F5), 0, 1) + 1, 0, 1, TRUE) - SUM(F4:F5), "")</f>
        <v>0.190590980473716</v>
      </c>
      <c r="G3" s="52">
        <f>IFERROR(_xlfn.NORM.DIST(_xlfn.NORM.INV(SUM(G4:G5), 0, 1) + 1, 0, 1, TRUE) - SUM(G4:G5), "")</f>
        <v>0.19058103435261639</v>
      </c>
    </row>
    <row r="4" spans="1:15" ht="15.75" customHeight="1" x14ac:dyDescent="0.25">
      <c r="B4" s="5" t="s">
        <v>104</v>
      </c>
      <c r="C4" s="45">
        <v>5.5271999999999986E-3</v>
      </c>
      <c r="D4" s="53">
        <v>5.5271999999999986E-3</v>
      </c>
      <c r="E4" s="53">
        <v>0</v>
      </c>
      <c r="F4" s="53">
        <v>3.6424100000000001E-2</v>
      </c>
      <c r="G4" s="53">
        <v>3.7740099999999999E-2</v>
      </c>
    </row>
    <row r="5" spans="1:15" ht="15.75" customHeight="1" x14ac:dyDescent="0.25">
      <c r="B5" s="5" t="s">
        <v>105</v>
      </c>
      <c r="C5" s="45">
        <v>0</v>
      </c>
      <c r="D5" s="53">
        <v>0</v>
      </c>
      <c r="E5" s="53">
        <v>1.4058E-3</v>
      </c>
      <c r="F5" s="53">
        <v>5.2718000000000001E-3</v>
      </c>
      <c r="G5" s="53">
        <v>3.9516999999999998E-3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0.86844675866203558</v>
      </c>
      <c r="D8" s="52">
        <f>IFERROR(1-_xlfn.NORM.DIST(_xlfn.NORM.INV(SUM(D10:D11), 0, 1) + 1, 0, 1, TRUE), "")</f>
        <v>0.86844675866203558</v>
      </c>
      <c r="E8" s="52">
        <f>IFERROR(1-_xlfn.NORM.DIST(_xlfn.NORM.INV(SUM(E10:E11), 0, 1) + 1, 0, 1, TRUE), "")</f>
        <v>0.94854474794398136</v>
      </c>
      <c r="F8" s="52">
        <f>IFERROR(1-_xlfn.NORM.DIST(_xlfn.NORM.INV(SUM(F10:F11), 0, 1) + 1, 0, 1, TRUE), "")</f>
        <v>0.83838136775660943</v>
      </c>
      <c r="G8" s="52">
        <f>IFERROR(1-_xlfn.NORM.DIST(_xlfn.NORM.INV(SUM(G10:G11), 0, 1) + 1, 0, 1, TRUE), "")</f>
        <v>0.85944426429782506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0.1145113413379644</v>
      </c>
      <c r="D9" s="52">
        <f>IFERROR(_xlfn.NORM.DIST(_xlfn.NORM.INV(SUM(D10:D11), 0, 1) + 1, 0, 1, TRUE) - SUM(D10:D11), "")</f>
        <v>0.1145113413379644</v>
      </c>
      <c r="E9" s="52">
        <f>IFERROR(_xlfn.NORM.DIST(_xlfn.NORM.INV(SUM(E10:E11), 0, 1) + 1, 0, 1, TRUE) - SUM(E10:E11), "")</f>
        <v>4.7197352056018639E-2</v>
      </c>
      <c r="F9" s="52">
        <f>IFERROR(_xlfn.NORM.DIST(_xlfn.NORM.INV(SUM(F10:F11), 0, 1) + 1, 0, 1, TRUE) - SUM(F10:F11), "")</f>
        <v>0.13820323224339057</v>
      </c>
      <c r="G9" s="52">
        <f>IFERROR(_xlfn.NORM.DIST(_xlfn.NORM.INV(SUM(G10:G11), 0, 1) + 1, 0, 1, TRUE) - SUM(G10:G11), "")</f>
        <v>0.12169303570217489</v>
      </c>
    </row>
    <row r="10" spans="1:15" ht="15.75" customHeight="1" x14ac:dyDescent="0.25">
      <c r="B10" s="5" t="s">
        <v>109</v>
      </c>
      <c r="C10" s="45">
        <v>1.52268E-2</v>
      </c>
      <c r="D10" s="53">
        <v>1.52268E-2</v>
      </c>
      <c r="E10" s="53">
        <v>4.2579000000000002E-3</v>
      </c>
      <c r="F10" s="53">
        <v>1.9031300000000001E-2</v>
      </c>
      <c r="G10" s="53">
        <v>1.83561E-2</v>
      </c>
    </row>
    <row r="11" spans="1:15" ht="15.75" customHeight="1" x14ac:dyDescent="0.25">
      <c r="B11" s="5" t="s">
        <v>110</v>
      </c>
      <c r="C11" s="45">
        <v>1.8151E-3</v>
      </c>
      <c r="D11" s="53">
        <v>1.8151E-3</v>
      </c>
      <c r="E11" s="53">
        <v>0</v>
      </c>
      <c r="F11" s="53">
        <v>4.3841000000000001E-3</v>
      </c>
      <c r="G11" s="53">
        <v>5.0659999999999995E-4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0.11872693625</v>
      </c>
      <c r="D14" s="54">
        <v>0.10841147821200001</v>
      </c>
      <c r="E14" s="54">
        <v>0.10841147821200001</v>
      </c>
      <c r="F14" s="54">
        <v>0.15067343412</v>
      </c>
      <c r="G14" s="54">
        <v>0.15067343412</v>
      </c>
      <c r="H14" s="45">
        <v>0.247</v>
      </c>
      <c r="I14" s="55">
        <v>0.247</v>
      </c>
      <c r="J14" s="55">
        <v>0.247</v>
      </c>
      <c r="K14" s="55">
        <v>0.247</v>
      </c>
      <c r="L14" s="45">
        <v>0.14599999999999999</v>
      </c>
      <c r="M14" s="55">
        <v>0.14599999999999999</v>
      </c>
      <c r="N14" s="55">
        <v>0.14599999999999999</v>
      </c>
      <c r="O14" s="55">
        <v>0.14599999999999999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6.5078270474457495E-2</v>
      </c>
      <c r="D15" s="52">
        <f t="shared" si="0"/>
        <v>5.9424017198256414E-2</v>
      </c>
      <c r="E15" s="52">
        <f t="shared" si="0"/>
        <v>5.9424017198256414E-2</v>
      </c>
      <c r="F15" s="52">
        <f t="shared" si="0"/>
        <v>8.2589232137932081E-2</v>
      </c>
      <c r="G15" s="52">
        <f t="shared" si="0"/>
        <v>8.2589232137932081E-2</v>
      </c>
      <c r="H15" s="52">
        <f t="shared" si="0"/>
        <v>0.13538909800000001</v>
      </c>
      <c r="I15" s="52">
        <f t="shared" si="0"/>
        <v>0.13538909800000001</v>
      </c>
      <c r="J15" s="52">
        <f t="shared" si="0"/>
        <v>0.13538909800000001</v>
      </c>
      <c r="K15" s="52">
        <f t="shared" si="0"/>
        <v>0.13538909800000001</v>
      </c>
      <c r="L15" s="52">
        <f t="shared" si="0"/>
        <v>8.0027563999999995E-2</v>
      </c>
      <c r="M15" s="52">
        <f t="shared" si="0"/>
        <v>8.0027563999999995E-2</v>
      </c>
      <c r="N15" s="52">
        <f t="shared" si="0"/>
        <v>8.0027563999999995E-2</v>
      </c>
      <c r="O15" s="52">
        <f t="shared" si="0"/>
        <v>8.0027563999999995E-2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0.43854949999999998</v>
      </c>
      <c r="D2" s="53">
        <v>0.224714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8.4648000000000001E-2</v>
      </c>
      <c r="D3" s="53">
        <v>0.1454685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0.37770900000000002</v>
      </c>
      <c r="D4" s="53">
        <v>0.45987929999999999</v>
      </c>
      <c r="E4" s="53">
        <v>0.60442529999999994</v>
      </c>
      <c r="F4" s="53">
        <v>0.4598352</v>
      </c>
      <c r="G4" s="53">
        <v>0</v>
      </c>
    </row>
    <row r="5" spans="1:7" x14ac:dyDescent="0.25">
      <c r="B5" s="3" t="s">
        <v>122</v>
      </c>
      <c r="C5" s="52">
        <v>9.9093500000000001E-2</v>
      </c>
      <c r="D5" s="52">
        <v>0.16993820000000001</v>
      </c>
      <c r="E5" s="52">
        <f>1-SUM(E2:E4)</f>
        <v>0.39557470000000006</v>
      </c>
      <c r="F5" s="52">
        <f>1-SUM(F2:F4)</f>
        <v>0.5401648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6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107.0201908947332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40.978199545296739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1182.463810200042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1.8322852999540411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14.11049898909264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14.11049898909264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14.11049898909264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14.11049898909264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14.11049898909264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14.11049898909264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1.817264788987992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0.31415611111111102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0.224714</v>
      </c>
      <c r="C18" s="98">
        <v>0.95</v>
      </c>
      <c r="D18" s="56">
        <v>27.02885669161574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0.224714</v>
      </c>
      <c r="C19" s="98">
        <v>0.95</v>
      </c>
      <c r="D19" s="56">
        <v>27.02885669161574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17.591217247758362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24.926085555919201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4.9657873780366408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0.93597991376873002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19.66637718058168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0.56282260000000006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0.75648280000000001</v>
      </c>
      <c r="C29" s="98">
        <v>0.95</v>
      </c>
      <c r="D29" s="56">
        <v>225.46212730893359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0.86388676042059953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4.0149037192341366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0.85956929999999998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0.20890819999999999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3.2008099999999998E-2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0.99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4.8103300000000002E-2</v>
      </c>
      <c r="C38" s="98">
        <v>0.95</v>
      </c>
      <c r="D38" s="56">
        <v>6.1634669588090496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C8" sqref="C8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 t="s">
        <v>193</v>
      </c>
      <c r="B9" s="58" t="s">
        <v>192</v>
      </c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3.9589680000000002E-2</v>
      </c>
      <c r="C3" s="21">
        <f>frac_mam_1_5months * 2.6</f>
        <v>3.9589680000000002E-2</v>
      </c>
      <c r="D3" s="21">
        <f>frac_mam_6_11months * 2.6</f>
        <v>1.107054E-2</v>
      </c>
      <c r="E3" s="21">
        <f>frac_mam_12_23months * 2.6</f>
        <v>4.9481380000000005E-2</v>
      </c>
      <c r="F3" s="21">
        <f>frac_mam_24_59months * 2.6</f>
        <v>4.7725860000000002E-2</v>
      </c>
    </row>
    <row r="4" spans="1:6" ht="15.75" customHeight="1" x14ac:dyDescent="0.25">
      <c r="A4" s="3" t="s">
        <v>205</v>
      </c>
      <c r="B4" s="21">
        <f>frac_sam_1month * 2.6</f>
        <v>4.7192600000000003E-3</v>
      </c>
      <c r="C4" s="21">
        <f>frac_sam_1_5months * 2.6</f>
        <v>4.7192600000000003E-3</v>
      </c>
      <c r="D4" s="21">
        <f>frac_sam_6_11months * 2.6</f>
        <v>0</v>
      </c>
      <c r="E4" s="21">
        <f>frac_sam_12_23months * 2.6</f>
        <v>1.1398660000000001E-2</v>
      </c>
      <c r="F4" s="21">
        <f>frac_sam_24_59months * 2.6</f>
        <v>1.3171599999999999E-3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1.4E-2</v>
      </c>
      <c r="E2" s="60">
        <f>food_insecure</f>
        <v>1.4E-2</v>
      </c>
      <c r="F2" s="60">
        <f>food_insecure</f>
        <v>1.4E-2</v>
      </c>
      <c r="G2" s="60">
        <f>food_insecure</f>
        <v>1.4E-2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1.4E-2</v>
      </c>
      <c r="F5" s="60">
        <f>food_insecure</f>
        <v>1.4E-2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1.4E-2</v>
      </c>
      <c r="F8" s="60">
        <f>food_insecure</f>
        <v>1.4E-2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1.4E-2</v>
      </c>
      <c r="F9" s="60">
        <f>food_insecure</f>
        <v>1.4E-2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1.4E-2</v>
      </c>
      <c r="I15" s="60">
        <f>food_insecure</f>
        <v>1.4E-2</v>
      </c>
      <c r="J15" s="60">
        <f>food_insecure</f>
        <v>1.4E-2</v>
      </c>
      <c r="K15" s="60">
        <f>food_insecure</f>
        <v>1.4E-2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0.109</v>
      </c>
      <c r="M24" s="60">
        <f>famplan_unmet_need</f>
        <v>0.109</v>
      </c>
      <c r="N24" s="60">
        <f>famplan_unmet_need</f>
        <v>0.109</v>
      </c>
      <c r="O24" s="60">
        <f>famplan_unmet_need</f>
        <v>0.109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7.6639699075317175E-2</v>
      </c>
      <c r="M25" s="60">
        <f>(1-food_insecure)*(0.49)+food_insecure*(0.7)</f>
        <v>0.49293999999999993</v>
      </c>
      <c r="N25" s="60">
        <f>(1-food_insecure)*(0.49)+food_insecure*(0.7)</f>
        <v>0.49293999999999993</v>
      </c>
      <c r="O25" s="60">
        <f>(1-food_insecure)*(0.49)+food_insecure*(0.7)</f>
        <v>0.49293999999999993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3.284558531799308E-2</v>
      </c>
      <c r="M26" s="60">
        <f>(1-food_insecure)*(0.21)+food_insecure*(0.3)</f>
        <v>0.21126</v>
      </c>
      <c r="N26" s="60">
        <f>(1-food_insecure)*(0.21)+food_insecure*(0.3)</f>
        <v>0.21126</v>
      </c>
      <c r="O26" s="60">
        <f>(1-food_insecure)*(0.21)+food_insecure*(0.3)</f>
        <v>0.21126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4.5989416534423712E-2</v>
      </c>
      <c r="M27" s="60">
        <f>(1-food_insecure)*(0.3)</f>
        <v>0.29580000000000001</v>
      </c>
      <c r="N27" s="60">
        <f>(1-food_insecure)*(0.3)</f>
        <v>0.29580000000000001</v>
      </c>
      <c r="O27" s="60">
        <f>(1-food_insecure)*(0.3)</f>
        <v>0.29580000000000001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0.84452529907226603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5" zoomScale="85" zoomScaleNormal="85" workbookViewId="0">
      <selection activeCell="C61" sqref="C61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61" sqref="C6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C61" sqref="C61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43" zoomScale="70" zoomScaleNormal="70" workbookViewId="0">
      <selection activeCell="C61" sqref="C61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61" sqref="C61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49" sqref="C49:O6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9">IF(E3=1,1,E3*1.05)</f>
        <v>1</v>
      </c>
      <c r="F49" s="90">
        <f t="shared" si="9"/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zoomScale="80" zoomScaleNormal="80" workbookViewId="0">
      <selection activeCell="C49" sqref="C49:O61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0.10999999999999999</v>
      </c>
      <c r="G18" s="90">
        <f>MIN(MAX(1-0.89/(1-frac_sam_12_23months+(frac_sam_12_23months*0.89)),0),1)</f>
        <v>0.10957058952636967</v>
      </c>
      <c r="H18" s="90">
        <f>MIN(MAX(1-0.89/(1-frac_sam_24_59months+(frac_sam_24_59months*0.89)),0),1)</f>
        <v>0.10995040109605148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0.10958295625964032</v>
      </c>
      <c r="G20" s="90">
        <f>MIN(MAX(1-0.89/(1-frac_mam_12_23months+(frac_mam_12_23months*0.89)),0),1)</f>
        <v>0.10813292711934752</v>
      </c>
      <c r="H20" s="90">
        <f>MIN(MAX(1-0.89/(1-frac_mam_24_59months+(frac_mam_24_59months*0.89)),0),1)</f>
        <v>0.10819930189260185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1.0000000000000009E-2</v>
      </c>
      <c r="G73" s="90">
        <f>MIN(MAX(1-0.99/(1-frac_sam_12_23months+(frac_sam_12_23months*0.99)),0),1)</f>
        <v>9.9565955071035939E-3</v>
      </c>
      <c r="H73" s="90">
        <f>MIN(MAX(1-0.99/(1-frac_sam_24_59months+(frac_sam_24_59months*0.99)),0),1)</f>
        <v>9.9949846345921411E-3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9.9578449950820103E-3</v>
      </c>
      <c r="G75" s="90">
        <f>MIN(MAX(1-0.99/(1-frac_mam_12_23months+(frac_mam_12_23months*0.99)),0),1)</f>
        <v>9.8115542663271826E-3</v>
      </c>
      <c r="H75" s="90">
        <f>MIN(MAX(1-0.99/(1-frac_mam_24_59months+(frac_mam_24_59months*0.99)),0),1)</f>
        <v>9.8182412461814694E-3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0.19999999999999996</v>
      </c>
      <c r="G128" s="90">
        <f>MIN(MAX(1-0.8/(1-frac_sam_12_23months+(frac_sam_12_23months*0.8)),0),1)</f>
        <v>0.19929792840958804</v>
      </c>
      <c r="H128" s="90">
        <f>MIN(MAX(1-0.8/(1-frac_sam_24_59months+(frac_sam_24_59months*0.8)),0),1)</f>
        <v>0.19991893578657383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0.19931815535473685</v>
      </c>
      <c r="G130" s="90">
        <f>MIN(MAX(1-0.8/(1-frac_mam_12_23months+(frac_mam_12_23months*0.8)),0),1)</f>
        <v>0.19694335762439141</v>
      </c>
      <c r="H130" s="90">
        <f>MIN(MAX(1-0.8/(1-frac_mam_24_59months+(frac_mam_24_59months*0.8)),0),1)</f>
        <v>0.1970522019849712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2024-06-18T06:54:44Z</dcterms:modified>
</cp:coreProperties>
</file>