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119943AB-62E7-4795-A95A-DD883BCCFEEF}" xr6:coauthVersionLast="47" xr6:coauthVersionMax="47" xr10:uidLastSave="{00000000-0000-0000-0000-000000000000}"/>
  <bookViews>
    <workbookView xWindow="20" yWindow="20" windowWidth="19180" windowHeight="10180" tabRatio="961" firstSheet="6" activeTab="9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H152" i="27" s="1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G39" i="2"/>
  <c r="I39" i="2" s="1"/>
  <c r="H38" i="2"/>
  <c r="G38" i="2"/>
  <c r="I38" i="2" s="1"/>
  <c r="A31" i="2"/>
  <c r="A23" i="2"/>
  <c r="A15" i="2"/>
  <c r="H13" i="2"/>
  <c r="G13" i="2"/>
  <c r="I13" i="2" s="1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H2" i="2"/>
  <c r="G2" i="2"/>
  <c r="I2" i="2" s="1"/>
  <c r="A2" i="2"/>
  <c r="A40" i="2" s="1"/>
  <c r="C33" i="1"/>
  <c r="C20" i="1"/>
  <c r="A16" i="2" l="1"/>
  <c r="A24" i="2"/>
  <c r="A32" i="2"/>
  <c r="A17" i="2"/>
  <c r="A25" i="2"/>
  <c r="A33" i="2"/>
  <c r="A3" i="2"/>
  <c r="A18" i="2"/>
  <c r="A26" i="2"/>
  <c r="A34" i="2"/>
  <c r="A39" i="2"/>
  <c r="A19" i="2"/>
  <c r="A27" i="2"/>
  <c r="A35" i="2"/>
  <c r="A20" i="2"/>
  <c r="A28" i="2"/>
  <c r="A36" i="2"/>
  <c r="A21" i="2"/>
  <c r="A29" i="2"/>
  <c r="A37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<sst xmlns="http://schemas.openxmlformats.org/spreadsheetml/2006/main" count="2101" uniqueCount="341">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</sst>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111855402</v>
      </c>
    </row>
    <row r="8" spans="1:3" ht="15" customHeight="1" x14ac:dyDescent="0.25">
      <c r="B8" s="5" t="s">
        <v>8</v>
      </c>
      <c r="C8" s="44">
        <v>0.21199999999999999</v>
      </c>
    </row>
    <row r="9" spans="1:3" ht="15" customHeight="1" x14ac:dyDescent="0.25">
      <c r="B9" s="5" t="s">
        <v>9</v>
      </c>
      <c r="C9" s="45">
        <v>0.1323</v>
      </c>
    </row>
    <row r="10" spans="1:3" ht="15" customHeight="1" x14ac:dyDescent="0.25">
      <c r="B10" s="5" t="s">
        <v>10</v>
      </c>
      <c r="C10" s="45">
        <v>0.62193199157714796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0.28000000000000003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0.115</v>
      </c>
    </row>
    <row r="24" spans="1:3" ht="15" customHeight="1" x14ac:dyDescent="0.25">
      <c r="B24" s="15" t="s">
        <v>22</v>
      </c>
      <c r="C24" s="45">
        <v>0.6835</v>
      </c>
    </row>
    <row r="25" spans="1:3" ht="15" customHeight="1" x14ac:dyDescent="0.25">
      <c r="B25" s="15" t="s">
        <v>23</v>
      </c>
      <c r="C25" s="45">
        <v>0.1807</v>
      </c>
    </row>
    <row r="26" spans="1:3" ht="15" customHeight="1" x14ac:dyDescent="0.25">
      <c r="B26" s="15" t="s">
        <v>24</v>
      </c>
      <c r="C26" s="45">
        <v>2.0799999999999999E-2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0.39483629874449699</v>
      </c>
    </row>
    <row r="30" spans="1:3" ht="14.25" customHeight="1" x14ac:dyDescent="0.25">
      <c r="B30" s="25" t="s">
        <v>27</v>
      </c>
      <c r="C30" s="99">
        <v>6.4915878276872702E-2</v>
      </c>
    </row>
    <row r="31" spans="1:3" ht="14.25" customHeight="1" x14ac:dyDescent="0.25">
      <c r="B31" s="25" t="s">
        <v>28</v>
      </c>
      <c r="C31" s="99">
        <v>0.100475847605401</v>
      </c>
    </row>
    <row r="32" spans="1:3" ht="14.25" customHeight="1" x14ac:dyDescent="0.25">
      <c r="B32" s="25" t="s">
        <v>29</v>
      </c>
      <c r="C32" s="99">
        <v>0.43977197537322998</v>
      </c>
    </row>
    <row r="33" spans="1:5" ht="13" customHeight="1" x14ac:dyDescent="0.25">
      <c r="B33" s="27" t="s">
        <v>30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19.11843</v>
      </c>
    </row>
    <row r="38" spans="1:5" ht="15" customHeight="1" x14ac:dyDescent="0.25">
      <c r="B38" s="11" t="s">
        <v>34</v>
      </c>
      <c r="C38" s="43">
        <v>25.487660000000002</v>
      </c>
      <c r="D38" s="12"/>
      <c r="E38" s="13"/>
    </row>
    <row r="39" spans="1:5" ht="15" customHeight="1" x14ac:dyDescent="0.25">
      <c r="B39" s="11" t="s">
        <v>35</v>
      </c>
      <c r="C39" s="43">
        <v>30.619209999999999</v>
      </c>
      <c r="D39" s="12"/>
      <c r="E39" s="12"/>
    </row>
    <row r="40" spans="1:5" ht="15" customHeight="1" x14ac:dyDescent="0.25">
      <c r="B40" s="11" t="s">
        <v>36</v>
      </c>
      <c r="C40" s="100">
        <v>1.03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12.24282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1.8195699999999999E-2</v>
      </c>
      <c r="D45" s="12"/>
    </row>
    <row r="46" spans="1:5" ht="15.75" customHeight="1" x14ac:dyDescent="0.25">
      <c r="B46" s="11" t="s">
        <v>41</v>
      </c>
      <c r="C46" s="45">
        <v>0.1121805</v>
      </c>
      <c r="D46" s="12"/>
    </row>
    <row r="47" spans="1:5" ht="15.75" customHeight="1" x14ac:dyDescent="0.25">
      <c r="B47" s="11" t="s">
        <v>42</v>
      </c>
      <c r="C47" s="45">
        <v>0.40419500000000003</v>
      </c>
      <c r="D47" s="12"/>
      <c r="E47" s="13"/>
    </row>
    <row r="48" spans="1:5" ht="15" customHeight="1" x14ac:dyDescent="0.25">
      <c r="B48" s="11" t="s">
        <v>43</v>
      </c>
      <c r="C48" s="46">
        <v>0.46542879999999998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2.4</v>
      </c>
      <c r="D51" s="12"/>
    </row>
    <row r="52" spans="1:4" ht="15" customHeight="1" x14ac:dyDescent="0.25">
      <c r="B52" s="11" t="s">
        <v>46</v>
      </c>
      <c r="C52" s="100">
        <v>2.4</v>
      </c>
    </row>
    <row r="53" spans="1:4" ht="15.75" customHeight="1" x14ac:dyDescent="0.25">
      <c r="B53" s="11" t="s">
        <v>47</v>
      </c>
      <c r="C53" s="100">
        <v>2.4</v>
      </c>
    </row>
    <row r="54" spans="1:4" ht="15.75" customHeight="1" x14ac:dyDescent="0.25">
      <c r="B54" s="11" t="s">
        <v>48</v>
      </c>
      <c r="C54" s="100">
        <v>2.4</v>
      </c>
    </row>
    <row r="55" spans="1:4" ht="15.75" customHeight="1" x14ac:dyDescent="0.25">
      <c r="B55" s="11" t="s">
        <v>49</v>
      </c>
      <c r="C55" s="100">
        <v>2.4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2.1666666666666671E-2</v>
      </c>
    </row>
    <row r="59" spans="1:4" ht="15.75" customHeight="1" x14ac:dyDescent="0.25">
      <c r="B59" s="11" t="s">
        <v>52</v>
      </c>
      <c r="C59" s="45">
        <v>0.45378299999999999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23000685</v>
      </c>
      <c r="C2" s="49">
        <v>71725685.999999985</v>
      </c>
      <c r="D2" s="49">
        <v>119498276</v>
      </c>
      <c r="E2" s="49">
        <v>109300719</v>
      </c>
      <c r="F2" s="49">
        <v>79727068</v>
      </c>
      <c r="G2" s="17">
        <f t="shared" ref="G2:G13" si="0">C2+D2+E2+F2</f>
        <v>380251749</v>
      </c>
      <c r="H2" s="17">
        <f t="shared" ref="H2:H13" si="1">(B2 + stillbirth*B2/(1000-stillbirth))/(1-abortion)</f>
        <v>26461100.53632265</v>
      </c>
      <c r="I2" s="17">
        <f t="shared" ref="I2:I13" si="2">G2-H2</f>
        <v>353790648.46367735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22979744</v>
      </c>
      <c r="C3" s="50">
        <v>71396420</v>
      </c>
      <c r="D3" s="50">
        <v>119844156</v>
      </c>
      <c r="E3" s="50">
        <v>110416399</v>
      </c>
      <c r="F3" s="50">
        <v>81432039</v>
      </c>
      <c r="G3" s="17">
        <f t="shared" si="0"/>
        <v>383089014</v>
      </c>
      <c r="H3" s="17">
        <f t="shared" si="1"/>
        <v>26437008.997034527</v>
      </c>
      <c r="I3" s="17">
        <f t="shared" si="2"/>
        <v>356652005.00296545</v>
      </c>
    </row>
    <row r="4" spans="1:9" ht="15.75" customHeight="1" x14ac:dyDescent="0.25">
      <c r="A4" s="5">
        <f t="shared" si="3"/>
        <v>2026</v>
      </c>
      <c r="B4" s="49">
        <v>22819796</v>
      </c>
      <c r="C4" s="50">
        <v>71131431.499999985</v>
      </c>
      <c r="D4" s="50">
        <v>119991552.5</v>
      </c>
      <c r="E4" s="50">
        <v>111382748.5</v>
      </c>
      <c r="F4" s="50">
        <v>83190756.5</v>
      </c>
      <c r="G4" s="17">
        <f t="shared" si="0"/>
        <v>385696489</v>
      </c>
      <c r="H4" s="17">
        <f t="shared" si="1"/>
        <v>26252997.081364032</v>
      </c>
      <c r="I4" s="17">
        <f t="shared" si="2"/>
        <v>359443491.91863596</v>
      </c>
    </row>
    <row r="5" spans="1:9" ht="15.75" customHeight="1" x14ac:dyDescent="0.25">
      <c r="A5" s="5">
        <f t="shared" si="3"/>
        <v>2027</v>
      </c>
      <c r="B5" s="49">
        <v>22778973</v>
      </c>
      <c r="C5" s="50">
        <v>70865932.5</v>
      </c>
      <c r="D5" s="50">
        <v>120002444.5</v>
      </c>
      <c r="E5" s="50">
        <v>112247523</v>
      </c>
      <c r="F5" s="50">
        <v>85028711</v>
      </c>
      <c r="G5" s="17">
        <f t="shared" si="0"/>
        <v>388144611</v>
      </c>
      <c r="H5" s="17">
        <f t="shared" si="1"/>
        <v>26206032.327610202</v>
      </c>
      <c r="I5" s="17">
        <f t="shared" si="2"/>
        <v>361938578.67238981</v>
      </c>
    </row>
    <row r="6" spans="1:9" ht="15.75" customHeight="1" x14ac:dyDescent="0.25">
      <c r="A6" s="5">
        <f t="shared" si="3"/>
        <v>2028</v>
      </c>
      <c r="B6" s="49">
        <v>22664923</v>
      </c>
      <c r="C6" s="50">
        <v>70414084.5</v>
      </c>
      <c r="D6" s="50">
        <v>119924467</v>
      </c>
      <c r="E6" s="50">
        <v>113083032.5</v>
      </c>
      <c r="F6" s="50">
        <v>86913878</v>
      </c>
      <c r="G6" s="17">
        <f t="shared" si="0"/>
        <v>390335462</v>
      </c>
      <c r="H6" s="17">
        <f t="shared" si="1"/>
        <v>26074823.691164482</v>
      </c>
      <c r="I6" s="17">
        <f t="shared" si="2"/>
        <v>364260638.30883551</v>
      </c>
    </row>
    <row r="7" spans="1:9" ht="15.75" customHeight="1" x14ac:dyDescent="0.25">
      <c r="A7" s="5">
        <f t="shared" si="3"/>
        <v>2029</v>
      </c>
      <c r="B7" s="49">
        <v>22551776</v>
      </c>
      <c r="C7" s="50">
        <v>69786401</v>
      </c>
      <c r="D7" s="50">
        <v>119795600.5</v>
      </c>
      <c r="E7" s="50">
        <v>113850841.5</v>
      </c>
      <c r="F7" s="50">
        <v>88705715.5</v>
      </c>
      <c r="G7" s="17">
        <f t="shared" si="0"/>
        <v>392138558.5</v>
      </c>
      <c r="H7" s="17">
        <f t="shared" si="1"/>
        <v>25944653.909595657</v>
      </c>
      <c r="I7" s="17">
        <f t="shared" si="2"/>
        <v>366193904.59040433</v>
      </c>
    </row>
    <row r="8" spans="1:9" ht="15.75" customHeight="1" x14ac:dyDescent="0.25">
      <c r="A8" s="5">
        <f t="shared" si="3"/>
        <v>2030</v>
      </c>
      <c r="B8" s="49">
        <v>22476542</v>
      </c>
      <c r="C8" s="50">
        <v>69193222</v>
      </c>
      <c r="D8" s="50">
        <v>119545653</v>
      </c>
      <c r="E8" s="50">
        <v>114645078</v>
      </c>
      <c r="F8" s="50">
        <v>90379561</v>
      </c>
      <c r="G8" s="17">
        <f t="shared" si="0"/>
        <v>393763514</v>
      </c>
      <c r="H8" s="17">
        <f t="shared" si="1"/>
        <v>25858101.077027861</v>
      </c>
      <c r="I8" s="17">
        <f t="shared" si="2"/>
        <v>367905412.92297214</v>
      </c>
    </row>
    <row r="9" spans="1:9" ht="15.75" customHeight="1" x14ac:dyDescent="0.25">
      <c r="A9" s="5">
        <f t="shared" si="3"/>
        <v>2031</v>
      </c>
      <c r="B9" s="49">
        <v>22298572</v>
      </c>
      <c r="C9" s="50">
        <v>68574356</v>
      </c>
      <c r="D9" s="50">
        <v>119074622</v>
      </c>
      <c r="E9" s="50">
        <v>115506115.5</v>
      </c>
      <c r="F9" s="50">
        <v>91885491.5</v>
      </c>
      <c r="G9" s="17">
        <f t="shared" si="0"/>
        <v>395040585</v>
      </c>
      <c r="H9" s="17">
        <f t="shared" si="1"/>
        <v>25653355.780857362</v>
      </c>
      <c r="I9" s="17">
        <f t="shared" si="2"/>
        <v>369387229.21914262</v>
      </c>
    </row>
    <row r="10" spans="1:9" ht="15.75" customHeight="1" x14ac:dyDescent="0.25">
      <c r="A10" s="5">
        <f t="shared" si="3"/>
        <v>2032</v>
      </c>
      <c r="B10" s="49">
        <v>22220638</v>
      </c>
      <c r="C10" s="50">
        <v>67926794.5</v>
      </c>
      <c r="D10" s="50">
        <v>118457759</v>
      </c>
      <c r="E10" s="50">
        <v>116320354</v>
      </c>
      <c r="F10" s="50">
        <v>93277104</v>
      </c>
      <c r="G10" s="17">
        <f t="shared" si="0"/>
        <v>395982011.5</v>
      </c>
      <c r="H10" s="17">
        <f t="shared" si="1"/>
        <v>25563696.737694178</v>
      </c>
      <c r="I10" s="17">
        <f t="shared" si="2"/>
        <v>370418314.7623058</v>
      </c>
    </row>
    <row r="11" spans="1:9" ht="15.75" customHeight="1" x14ac:dyDescent="0.25">
      <c r="A11" s="5">
        <f t="shared" si="3"/>
        <v>2033</v>
      </c>
      <c r="B11" s="49">
        <v>22056799</v>
      </c>
      <c r="C11" s="50">
        <v>67244633.5</v>
      </c>
      <c r="D11" s="50">
        <v>117804936</v>
      </c>
      <c r="E11" s="50">
        <v>117017207.5</v>
      </c>
      <c r="F11" s="50">
        <v>94595164</v>
      </c>
      <c r="G11" s="17">
        <f t="shared" si="0"/>
        <v>396661941</v>
      </c>
      <c r="H11" s="17">
        <f t="shared" si="1"/>
        <v>25375208.42742122</v>
      </c>
      <c r="I11" s="17">
        <f t="shared" si="2"/>
        <v>371286732.57257879</v>
      </c>
    </row>
    <row r="12" spans="1:9" ht="15.75" customHeight="1" x14ac:dyDescent="0.25">
      <c r="A12" s="5">
        <f t="shared" si="3"/>
        <v>2034</v>
      </c>
      <c r="B12" s="49">
        <v>21918597</v>
      </c>
      <c r="C12" s="50">
        <v>66569216.499999993</v>
      </c>
      <c r="D12" s="50">
        <v>117012884</v>
      </c>
      <c r="E12" s="50">
        <v>117572502</v>
      </c>
      <c r="F12" s="50">
        <v>95761642</v>
      </c>
      <c r="G12" s="17">
        <f t="shared" si="0"/>
        <v>396916244.5</v>
      </c>
      <c r="H12" s="17">
        <f t="shared" si="1"/>
        <v>25216214.161975611</v>
      </c>
      <c r="I12" s="17">
        <f t="shared" si="2"/>
        <v>371700030.33802438</v>
      </c>
    </row>
    <row r="13" spans="1:9" ht="15.75" customHeight="1" x14ac:dyDescent="0.25">
      <c r="A13" s="5">
        <f t="shared" si="3"/>
        <v>2035</v>
      </c>
      <c r="B13" s="49">
        <v>21764387</v>
      </c>
      <c r="C13" s="50">
        <v>65978035.5</v>
      </c>
      <c r="D13" s="50">
        <v>116158660</v>
      </c>
      <c r="E13" s="50">
        <v>117935685</v>
      </c>
      <c r="F13" s="50">
        <v>96801939.5</v>
      </c>
      <c r="G13" s="17">
        <f t="shared" si="0"/>
        <v>396874320</v>
      </c>
      <c r="H13" s="17">
        <f t="shared" si="1"/>
        <v>25038803.519044481</v>
      </c>
      <c r="I13" s="17">
        <f t="shared" si="2"/>
        <v>371835516.48095554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1.1802901180290121E-2</v>
      </c>
    </row>
    <row r="4" spans="1:8" ht="15.75" customHeight="1" x14ac:dyDescent="0.25">
      <c r="B4" s="19" t="s">
        <v>69</v>
      </c>
      <c r="C4" s="101">
        <v>4.7839204783920453E-2</v>
      </c>
    </row>
    <row r="5" spans="1:8" ht="15.75" customHeight="1" x14ac:dyDescent="0.25">
      <c r="B5" s="19" t="s">
        <v>70</v>
      </c>
      <c r="C5" s="101">
        <v>6.8903006890300683E-2</v>
      </c>
    </row>
    <row r="6" spans="1:8" ht="15.75" customHeight="1" x14ac:dyDescent="0.25">
      <c r="B6" s="19" t="s">
        <v>71</v>
      </c>
      <c r="C6" s="101">
        <v>0.2147846214784627</v>
      </c>
    </row>
    <row r="7" spans="1:8" ht="15.75" customHeight="1" x14ac:dyDescent="0.25">
      <c r="B7" s="19" t="s">
        <v>72</v>
      </c>
      <c r="C7" s="101">
        <v>0.3863576386357635</v>
      </c>
    </row>
    <row r="8" spans="1:8" ht="15.75" customHeight="1" x14ac:dyDescent="0.25">
      <c r="B8" s="19" t="s">
        <v>73</v>
      </c>
      <c r="C8" s="101">
        <v>1.4752001475200141E-3</v>
      </c>
    </row>
    <row r="9" spans="1:8" ht="15.75" customHeight="1" x14ac:dyDescent="0.25">
      <c r="B9" s="19" t="s">
        <v>74</v>
      </c>
      <c r="C9" s="101">
        <v>8.9832408983240783E-2</v>
      </c>
    </row>
    <row r="10" spans="1:8" ht="15.75" customHeight="1" x14ac:dyDescent="0.25">
      <c r="B10" s="19" t="s">
        <v>75</v>
      </c>
      <c r="C10" s="101">
        <v>0.17900501790050191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0.19135910050141111</v>
      </c>
      <c r="D14" s="55">
        <v>0.19135910050141111</v>
      </c>
      <c r="E14" s="55">
        <v>0.19135910050141111</v>
      </c>
      <c r="F14" s="55">
        <v>0.19135910050141111</v>
      </c>
    </row>
    <row r="15" spans="1:8" ht="15.75" customHeight="1" x14ac:dyDescent="0.25">
      <c r="B15" s="19" t="s">
        <v>82</v>
      </c>
      <c r="C15" s="101">
        <v>0.230872333632888</v>
      </c>
      <c r="D15" s="101">
        <v>0.230872333632888</v>
      </c>
      <c r="E15" s="101">
        <v>0.230872333632888</v>
      </c>
      <c r="F15" s="101">
        <v>0.230872333632888</v>
      </c>
    </row>
    <row r="16" spans="1:8" ht="15.75" customHeight="1" x14ac:dyDescent="0.25">
      <c r="B16" s="19" t="s">
        <v>83</v>
      </c>
      <c r="C16" s="101">
        <v>3.8348142011340389E-2</v>
      </c>
      <c r="D16" s="101">
        <v>3.8348142011340389E-2</v>
      </c>
      <c r="E16" s="101">
        <v>3.8348142011340389E-2</v>
      </c>
      <c r="F16" s="101">
        <v>3.8348142011340389E-2</v>
      </c>
    </row>
    <row r="17" spans="1:8" ht="15.75" customHeight="1" x14ac:dyDescent="0.25">
      <c r="B17" s="19" t="s">
        <v>84</v>
      </c>
      <c r="C17" s="101">
        <v>3.5408397605315653E-2</v>
      </c>
      <c r="D17" s="101">
        <v>3.5408397605315653E-2</v>
      </c>
      <c r="E17" s="101">
        <v>3.5408397605315653E-2</v>
      </c>
      <c r="F17" s="101">
        <v>3.5408397605315653E-2</v>
      </c>
    </row>
    <row r="18" spans="1:8" ht="15.75" customHeight="1" x14ac:dyDescent="0.25">
      <c r="B18" s="19" t="s">
        <v>85</v>
      </c>
      <c r="C18" s="101">
        <v>7.1410678096298971E-3</v>
      </c>
      <c r="D18" s="101">
        <v>7.1410678096298971E-3</v>
      </c>
      <c r="E18" s="101">
        <v>7.1410678096298971E-3</v>
      </c>
      <c r="F18" s="101">
        <v>7.1410678096298971E-3</v>
      </c>
    </row>
    <row r="19" spans="1:8" ht="15.75" customHeight="1" x14ac:dyDescent="0.25">
      <c r="B19" s="19" t="s">
        <v>86</v>
      </c>
      <c r="C19" s="101">
        <v>2.6687220192693512E-2</v>
      </c>
      <c r="D19" s="101">
        <v>2.6687220192693512E-2</v>
      </c>
      <c r="E19" s="101">
        <v>2.6687220192693512E-2</v>
      </c>
      <c r="F19" s="101">
        <v>2.6687220192693512E-2</v>
      </c>
    </row>
    <row r="20" spans="1:8" ht="15.75" customHeight="1" x14ac:dyDescent="0.25">
      <c r="B20" s="19" t="s">
        <v>87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88</v>
      </c>
      <c r="C21" s="101">
        <v>0.14546560647395049</v>
      </c>
      <c r="D21" s="101">
        <v>0.14546560647395049</v>
      </c>
      <c r="E21" s="101">
        <v>0.14546560647395049</v>
      </c>
      <c r="F21" s="101">
        <v>0.14546560647395049</v>
      </c>
    </row>
    <row r="22" spans="1:8" ht="15.75" customHeight="1" x14ac:dyDescent="0.25">
      <c r="B22" s="19" t="s">
        <v>89</v>
      </c>
      <c r="C22" s="101">
        <v>0.32471813177277092</v>
      </c>
      <c r="D22" s="101">
        <v>0.32471813177277092</v>
      </c>
      <c r="E22" s="101">
        <v>0.32471813177277092</v>
      </c>
      <c r="F22" s="101">
        <v>0.32471813177277092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3.4359752E-2</v>
      </c>
    </row>
    <row r="27" spans="1:8" ht="15.75" customHeight="1" x14ac:dyDescent="0.25">
      <c r="B27" s="19" t="s">
        <v>92</v>
      </c>
      <c r="C27" s="101">
        <v>1.0551130000000001E-3</v>
      </c>
    </row>
    <row r="28" spans="1:8" ht="15.75" customHeight="1" x14ac:dyDescent="0.25">
      <c r="B28" s="19" t="s">
        <v>93</v>
      </c>
      <c r="C28" s="101">
        <v>0.250608724</v>
      </c>
    </row>
    <row r="29" spans="1:8" ht="15.75" customHeight="1" x14ac:dyDescent="0.25">
      <c r="B29" s="19" t="s">
        <v>94</v>
      </c>
      <c r="C29" s="101">
        <v>9.0697442000000003E-2</v>
      </c>
    </row>
    <row r="30" spans="1:8" ht="15.75" customHeight="1" x14ac:dyDescent="0.25">
      <c r="B30" s="19" t="s">
        <v>95</v>
      </c>
      <c r="C30" s="101">
        <v>0.16739261999999999</v>
      </c>
    </row>
    <row r="31" spans="1:8" ht="15.75" customHeight="1" x14ac:dyDescent="0.25">
      <c r="B31" s="19" t="s">
        <v>96</v>
      </c>
      <c r="C31" s="101">
        <v>6.9589346999999982E-2</v>
      </c>
    </row>
    <row r="32" spans="1:8" ht="15.75" customHeight="1" x14ac:dyDescent="0.25">
      <c r="B32" s="19" t="s">
        <v>97</v>
      </c>
      <c r="C32" s="101">
        <v>1.8007848999999999E-2</v>
      </c>
    </row>
    <row r="33" spans="2:3" ht="15.75" customHeight="1" x14ac:dyDescent="0.25">
      <c r="B33" s="19" t="s">
        <v>98</v>
      </c>
      <c r="C33" s="101">
        <v>4.5114976999999987E-2</v>
      </c>
    </row>
    <row r="34" spans="2:3" ht="15.75" customHeight="1" x14ac:dyDescent="0.25">
      <c r="B34" s="19" t="s">
        <v>99</v>
      </c>
      <c r="C34" s="101">
        <v>0.32317417500000001</v>
      </c>
    </row>
    <row r="35" spans="2:3" ht="15.75" customHeight="1" x14ac:dyDescent="0.25">
      <c r="B35" s="27" t="s">
        <v>30</v>
      </c>
      <c r="C35" s="48">
        <f>SUM(C26:C34)</f>
        <v>0.99999999899999992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0.38029873150833793</v>
      </c>
      <c r="D2" s="52">
        <f>IFERROR(1-_xlfn.NORM.DIST(_xlfn.NORM.INV(SUM(D4:D5), 0, 1) + 1, 0, 1, TRUE), "")</f>
        <v>0.38029873150833793</v>
      </c>
      <c r="E2" s="52">
        <f>IFERROR(1-_xlfn.NORM.DIST(_xlfn.NORM.INV(SUM(E4:E5), 0, 1) + 1, 0, 1, TRUE), "")</f>
        <v>0.37428850720882179</v>
      </c>
      <c r="F2" s="52">
        <f>IFERROR(1-_xlfn.NORM.DIST(_xlfn.NORM.INV(SUM(F4:F5), 0, 1) + 1, 0, 1, TRUE), "")</f>
        <v>0.2287194198018474</v>
      </c>
      <c r="G2" s="52">
        <f>IFERROR(1-_xlfn.NORM.DIST(_xlfn.NORM.INV(SUM(G4:G5), 0, 1) + 1, 0, 1, TRUE), "")</f>
        <v>0.24726370166311418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0.37626876849166208</v>
      </c>
      <c r="D3" s="52">
        <f>IFERROR(_xlfn.NORM.DIST(_xlfn.NORM.INV(SUM(D4:D5), 0, 1) + 1, 0, 1, TRUE) - SUM(D4:D5), "")</f>
        <v>0.37626876849166208</v>
      </c>
      <c r="E3" s="52">
        <f>IFERROR(_xlfn.NORM.DIST(_xlfn.NORM.INV(SUM(E4:E5), 0, 1) + 1, 0, 1, TRUE) - SUM(E4:E5), "")</f>
        <v>0.3772957927911782</v>
      </c>
      <c r="F3" s="52">
        <f>IFERROR(_xlfn.NORM.DIST(_xlfn.NORM.INV(SUM(F4:F5), 0, 1) + 1, 0, 1, TRUE) - SUM(F4:F5), "")</f>
        <v>0.37266388019815255</v>
      </c>
      <c r="G3" s="52">
        <f>IFERROR(_xlfn.NORM.DIST(_xlfn.NORM.INV(SUM(G4:G5), 0, 1) + 1, 0, 1, TRUE) - SUM(G4:G5), "")</f>
        <v>0.37706679833688583</v>
      </c>
    </row>
    <row r="4" spans="1:15" ht="15.75" customHeight="1" x14ac:dyDescent="0.25">
      <c r="B4" s="5" t="s">
        <v>104</v>
      </c>
      <c r="C4" s="45">
        <v>0.1098698</v>
      </c>
      <c r="D4" s="53">
        <v>0.1098698</v>
      </c>
      <c r="E4" s="53">
        <v>0.12104090000000001</v>
      </c>
      <c r="F4" s="53">
        <v>0.2096877</v>
      </c>
      <c r="G4" s="53">
        <v>0.22988049999999999</v>
      </c>
    </row>
    <row r="5" spans="1:15" ht="15.75" customHeight="1" x14ac:dyDescent="0.25">
      <c r="B5" s="5" t="s">
        <v>105</v>
      </c>
      <c r="C5" s="45">
        <v>0.13356270000000001</v>
      </c>
      <c r="D5" s="53">
        <v>0.13356270000000001</v>
      </c>
      <c r="E5" s="53">
        <v>0.12737480000000001</v>
      </c>
      <c r="F5" s="53">
        <v>0.18892900000000001</v>
      </c>
      <c r="G5" s="53">
        <v>0.145789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0.3577196453720427</v>
      </c>
      <c r="D8" s="52">
        <f>IFERROR(1-_xlfn.NORM.DIST(_xlfn.NORM.INV(SUM(D10:D11), 0, 1) + 1, 0, 1, TRUE), "")</f>
        <v>0.3577196453720427</v>
      </c>
      <c r="E8" s="52">
        <f>IFERROR(1-_xlfn.NORM.DIST(_xlfn.NORM.INV(SUM(E10:E11), 0, 1) + 1, 0, 1, TRUE), "")</f>
        <v>0.40183353730501814</v>
      </c>
      <c r="F8" s="52">
        <f>IFERROR(1-_xlfn.NORM.DIST(_xlfn.NORM.INV(SUM(F10:F11), 0, 1) + 1, 0, 1, TRUE), "")</f>
        <v>0.45135708293881605</v>
      </c>
      <c r="G8" s="52">
        <f>IFERROR(1-_xlfn.NORM.DIST(_xlfn.NORM.INV(SUM(G10:G11), 0, 1) + 1, 0, 1, TRUE), "")</f>
        <v>0.48326101519940179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0.3797093546279573</v>
      </c>
      <c r="D9" s="52">
        <f>IFERROR(_xlfn.NORM.DIST(_xlfn.NORM.INV(SUM(D10:D11), 0, 1) + 1, 0, 1, TRUE) - SUM(D10:D11), "")</f>
        <v>0.3797093546279573</v>
      </c>
      <c r="E9" s="52">
        <f>IFERROR(_xlfn.NORM.DIST(_xlfn.NORM.INV(SUM(E10:E11), 0, 1) + 1, 0, 1, TRUE) - SUM(E10:E11), "")</f>
        <v>0.37195926269498186</v>
      </c>
      <c r="F9" s="52">
        <f>IFERROR(_xlfn.NORM.DIST(_xlfn.NORM.INV(SUM(F10:F11), 0, 1) + 1, 0, 1, TRUE) - SUM(F10:F11), "")</f>
        <v>0.35860771706118394</v>
      </c>
      <c r="G9" s="52">
        <f>IFERROR(_xlfn.NORM.DIST(_xlfn.NORM.INV(SUM(G10:G11), 0, 1) + 1, 0, 1, TRUE) - SUM(G10:G11), "")</f>
        <v>0.3477149848005982</v>
      </c>
    </row>
    <row r="10" spans="1:15" ht="15.75" customHeight="1" x14ac:dyDescent="0.25">
      <c r="B10" s="5" t="s">
        <v>109</v>
      </c>
      <c r="C10" s="45">
        <v>0.13725200000000001</v>
      </c>
      <c r="D10" s="53">
        <v>0.13725200000000001</v>
      </c>
      <c r="E10" s="53">
        <v>0.13448950000000001</v>
      </c>
      <c r="F10" s="53">
        <v>0.1103195</v>
      </c>
      <c r="G10" s="53">
        <v>0.1053587</v>
      </c>
    </row>
    <row r="11" spans="1:15" ht="15.75" customHeight="1" x14ac:dyDescent="0.25">
      <c r="B11" s="5" t="s">
        <v>110</v>
      </c>
      <c r="C11" s="45">
        <v>0.12531900000000001</v>
      </c>
      <c r="D11" s="53">
        <v>0.12531900000000001</v>
      </c>
      <c r="E11" s="53">
        <v>9.1717699999999999E-2</v>
      </c>
      <c r="F11" s="53">
        <v>7.97157E-2</v>
      </c>
      <c r="G11" s="53">
        <v>6.3665299999999994E-2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0.74456066350000005</v>
      </c>
      <c r="D14" s="54">
        <v>0.75094963539799986</v>
      </c>
      <c r="E14" s="54">
        <v>0.75094963539799986</v>
      </c>
      <c r="F14" s="54">
        <v>0.61297553806000005</v>
      </c>
      <c r="G14" s="54">
        <v>0.61297553806000005</v>
      </c>
      <c r="H14" s="45">
        <v>0.501</v>
      </c>
      <c r="I14" s="55">
        <v>0.501</v>
      </c>
      <c r="J14" s="55">
        <v>0.501</v>
      </c>
      <c r="K14" s="55">
        <v>0.501</v>
      </c>
      <c r="L14" s="45">
        <v>0.51500000000000001</v>
      </c>
      <c r="M14" s="55">
        <v>0.51500000000000001</v>
      </c>
      <c r="N14" s="55">
        <v>0.51500000000000001</v>
      </c>
      <c r="O14" s="55">
        <v>0.51500000000000001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0.33786897156502049</v>
      </c>
      <c r="D15" s="52">
        <f t="shared" si="0"/>
        <v>0.34076817839981055</v>
      </c>
      <c r="E15" s="52">
        <f t="shared" si="0"/>
        <v>0.34076817839981055</v>
      </c>
      <c r="F15" s="52">
        <f t="shared" si="0"/>
        <v>0.27815787858748098</v>
      </c>
      <c r="G15" s="52">
        <f t="shared" si="0"/>
        <v>0.27815787858748098</v>
      </c>
      <c r="H15" s="52">
        <f t="shared" si="0"/>
        <v>0.22734528300000001</v>
      </c>
      <c r="I15" s="52">
        <f t="shared" si="0"/>
        <v>0.22734528300000001</v>
      </c>
      <c r="J15" s="52">
        <f t="shared" si="0"/>
        <v>0.22734528300000001</v>
      </c>
      <c r="K15" s="52">
        <f t="shared" si="0"/>
        <v>0.22734528300000001</v>
      </c>
      <c r="L15" s="52">
        <f t="shared" si="0"/>
        <v>0.233698245</v>
      </c>
      <c r="M15" s="52">
        <f t="shared" si="0"/>
        <v>0.233698245</v>
      </c>
      <c r="N15" s="52">
        <f t="shared" si="0"/>
        <v>0.233698245</v>
      </c>
      <c r="O15" s="52">
        <f t="shared" si="0"/>
        <v>0.233698245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0.75669140000000001</v>
      </c>
      <c r="D2" s="53">
        <v>0.60997190000000001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5.1763399999999987E-2</v>
      </c>
      <c r="D3" s="53">
        <v>0.13076309999999999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0.14136029999999999</v>
      </c>
      <c r="D4" s="53">
        <v>0.2100186</v>
      </c>
      <c r="E4" s="53">
        <v>0.92946989999999996</v>
      </c>
      <c r="F4" s="53">
        <v>0.80184809999999995</v>
      </c>
      <c r="G4" s="53">
        <v>0</v>
      </c>
    </row>
    <row r="5" spans="1:7" x14ac:dyDescent="0.25">
      <c r="B5" s="3" t="s">
        <v>122</v>
      </c>
      <c r="C5" s="52">
        <v>5.0184800000000002E-2</v>
      </c>
      <c r="D5" s="52">
        <v>4.9246299999999993E-2</v>
      </c>
      <c r="E5" s="52">
        <f>1-SUM(E2:E4)</f>
        <v>7.053010000000004E-2</v>
      </c>
      <c r="F5" s="52">
        <f>1-SUM(F2:F4)</f>
        <v>0.19815190000000005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ht="13.25" customHeight="1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ht="13.25" customHeight="1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abSelected="1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53.840370779395258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18.272400739448379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5.5316310965581978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1.549491731967531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0.19283527130965261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1.5426821704772209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0.25</v>
      </c>
      <c r="C9" s="98">
        <v>0.95</v>
      </c>
      <c r="D9" s="56">
        <v>0.65135469420149339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0.52523580000000003</v>
      </c>
      <c r="C10" s="98">
        <v>0.95</v>
      </c>
      <c r="D10" s="56">
        <v>12.664388720547789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12.664388720547789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12.664388720547789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12.664388720547789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0.52523580000000003</v>
      </c>
      <c r="C14" s="98">
        <v>0.95</v>
      </c>
      <c r="D14" s="56">
        <v>12.664388720547789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12.664388720547789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0.17549090000000001</v>
      </c>
      <c r="C16" s="98">
        <v>0.95</v>
      </c>
      <c r="D16" s="56">
        <v>0.37115452044313663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2.6852323958333302E-3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0.56000000000000005</v>
      </c>
      <c r="C18" s="98">
        <v>0.95</v>
      </c>
      <c r="D18" s="56">
        <v>5.5316310965581978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0.60997190000000001</v>
      </c>
      <c r="C19" s="98">
        <v>0.95</v>
      </c>
      <c r="D19" s="56">
        <v>5.5316310965581978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10.726757057587051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21.672337451693281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0.25387939999999998</v>
      </c>
      <c r="C23" s="98">
        <v>0.95</v>
      </c>
      <c r="D23" s="56">
        <v>4.0619684601961064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0.63353828607887197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0.52523580000000003</v>
      </c>
      <c r="C26" s="98">
        <v>0.95</v>
      </c>
      <c r="D26" s="56">
        <v>8.7121114042606536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21.40464706262247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0.60628720000000003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0.23551420000000001</v>
      </c>
      <c r="C29" s="98">
        <v>0.95</v>
      </c>
      <c r="D29" s="56">
        <v>26.81689264396762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124.95507750751879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0.54</v>
      </c>
      <c r="C32" s="98">
        <v>0.95</v>
      </c>
      <c r="D32" s="56">
        <v>0.11570116278579159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0.76264790000000005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0.36646840000000003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6.6521999999999998E-2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0.44826470000000002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0.23499999999999999</v>
      </c>
      <c r="C38" s="98">
        <v>0.95</v>
      </c>
      <c r="D38" s="56">
        <v>4.8321970599589923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3.4277904548683669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2.4</v>
      </c>
      <c r="C2" s="21">
        <f>'Baseline year population inputs'!C52</f>
        <v>2.4</v>
      </c>
      <c r="D2" s="21">
        <f>'Baseline year population inputs'!C53</f>
        <v>2.4</v>
      </c>
      <c r="E2" s="21">
        <f>'Baseline year population inputs'!C54</f>
        <v>2.4</v>
      </c>
      <c r="F2" s="21">
        <f>'Baseline year population inputs'!C55</f>
        <v>2.4</v>
      </c>
    </row>
    <row r="3" spans="1:6" ht="15.75" customHeight="1" x14ac:dyDescent="0.25">
      <c r="A3" s="3" t="s">
        <v>204</v>
      </c>
      <c r="B3" s="21">
        <f>frac_mam_1month * 2.6</f>
        <v>0.35685520000000004</v>
      </c>
      <c r="C3" s="21">
        <f>frac_mam_1_5months * 2.6</f>
        <v>0.35685520000000004</v>
      </c>
      <c r="D3" s="21">
        <f>frac_mam_6_11months * 2.6</f>
        <v>0.34967270000000006</v>
      </c>
      <c r="E3" s="21">
        <f>frac_mam_12_23months * 2.6</f>
        <v>0.28683069999999999</v>
      </c>
      <c r="F3" s="21">
        <f>frac_mam_24_59months * 2.6</f>
        <v>0.27393262000000002</v>
      </c>
    </row>
    <row r="4" spans="1:6" ht="15.75" customHeight="1" x14ac:dyDescent="0.25">
      <c r="A4" s="3" t="s">
        <v>205</v>
      </c>
      <c r="B4" s="21">
        <f>frac_sam_1month * 2.6</f>
        <v>0.32582940000000005</v>
      </c>
      <c r="C4" s="21">
        <f>frac_sam_1_5months * 2.6</f>
        <v>0.32582940000000005</v>
      </c>
      <c r="D4" s="21">
        <f>frac_sam_6_11months * 2.6</f>
        <v>0.23846602</v>
      </c>
      <c r="E4" s="21">
        <f>frac_sam_12_23months * 2.6</f>
        <v>0.20726082000000001</v>
      </c>
      <c r="F4" s="21">
        <f>frac_sam_24_59months * 2.6</f>
        <v>0.16552977999999999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0.21199999999999999</v>
      </c>
      <c r="E2" s="60">
        <f>food_insecure</f>
        <v>0.21199999999999999</v>
      </c>
      <c r="F2" s="60">
        <f>food_insecure</f>
        <v>0.21199999999999999</v>
      </c>
      <c r="G2" s="60">
        <f>food_insecure</f>
        <v>0.21199999999999999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0.21199999999999999</v>
      </c>
      <c r="F5" s="60">
        <f>food_insecure</f>
        <v>0.21199999999999999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5.2000000000000011E-2</v>
      </c>
      <c r="D7" s="60">
        <f>diarrhoea_1_5mo*frac_diarrhea_severe</f>
        <v>5.2000000000000011E-2</v>
      </c>
      <c r="E7" s="60">
        <f>diarrhoea_6_11mo*frac_diarrhea_severe</f>
        <v>5.2000000000000011E-2</v>
      </c>
      <c r="F7" s="60">
        <f>diarrhoea_12_23mo*frac_diarrhea_severe</f>
        <v>5.2000000000000011E-2</v>
      </c>
      <c r="G7" s="60">
        <f>diarrhoea_24_59mo*frac_diarrhea_severe</f>
        <v>5.2000000000000011E-2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0.21199999999999999</v>
      </c>
      <c r="F8" s="60">
        <f>food_insecure</f>
        <v>0.21199999999999999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0.21199999999999999</v>
      </c>
      <c r="F9" s="60">
        <f>food_insecure</f>
        <v>0.21199999999999999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5.2000000000000011E-2</v>
      </c>
      <c r="D12" s="60">
        <f>diarrhoea_1_5mo*frac_diarrhea_severe</f>
        <v>5.2000000000000011E-2</v>
      </c>
      <c r="E12" s="60">
        <f>diarrhoea_6_11mo*frac_diarrhea_severe</f>
        <v>5.2000000000000011E-2</v>
      </c>
      <c r="F12" s="60">
        <f>diarrhoea_12_23mo*frac_diarrhea_severe</f>
        <v>5.2000000000000011E-2</v>
      </c>
      <c r="G12" s="60">
        <f>diarrhoea_24_59mo*frac_diarrhea_severe</f>
        <v>5.2000000000000011E-2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0.21199999999999999</v>
      </c>
      <c r="I15" s="60">
        <f>food_insecure</f>
        <v>0.21199999999999999</v>
      </c>
      <c r="J15" s="60">
        <f>food_insecure</f>
        <v>0.21199999999999999</v>
      </c>
      <c r="K15" s="60">
        <f>food_insecure</f>
        <v>0.21199999999999999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0.1323</v>
      </c>
      <c r="I19" s="60">
        <f>frac_malaria_risk</f>
        <v>0.1323</v>
      </c>
      <c r="J19" s="60">
        <f>frac_malaria_risk</f>
        <v>0.1323</v>
      </c>
      <c r="K19" s="60">
        <f>frac_malaria_risk</f>
        <v>0.1323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0.28000000000000003</v>
      </c>
      <c r="M24" s="60">
        <f>famplan_unmet_need</f>
        <v>0.28000000000000003</v>
      </c>
      <c r="N24" s="60">
        <f>famplan_unmet_need</f>
        <v>0.28000000000000003</v>
      </c>
      <c r="O24" s="60">
        <f>famplan_unmet_need</f>
        <v>0.28000000000000003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0.20208491186218289</v>
      </c>
      <c r="M25" s="60">
        <f>(1-food_insecure)*(0.49)+food_insecure*(0.7)</f>
        <v>0.53452</v>
      </c>
      <c r="N25" s="60">
        <f>(1-food_insecure)*(0.49)+food_insecure*(0.7)</f>
        <v>0.53452</v>
      </c>
      <c r="O25" s="60">
        <f>(1-food_insecure)*(0.49)+food_insecure*(0.7)</f>
        <v>0.53452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8.6607819369506941E-2</v>
      </c>
      <c r="M26" s="60">
        <f>(1-food_insecure)*(0.21)+food_insecure*(0.3)</f>
        <v>0.22907999999999998</v>
      </c>
      <c r="N26" s="60">
        <f>(1-food_insecure)*(0.21)+food_insecure*(0.3)</f>
        <v>0.22907999999999998</v>
      </c>
      <c r="O26" s="60">
        <f>(1-food_insecure)*(0.21)+food_insecure*(0.3)</f>
        <v>0.22907999999999998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8.9375277191162228E-2</v>
      </c>
      <c r="M27" s="60">
        <f>(1-food_insecure)*(0.3)</f>
        <v>0.2364</v>
      </c>
      <c r="N27" s="60">
        <f>(1-food_insecure)*(0.3)</f>
        <v>0.2364</v>
      </c>
      <c r="O27" s="60">
        <f>(1-food_insecure)*(0.3)</f>
        <v>0.2364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0.62193199157714796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0.1323</v>
      </c>
      <c r="D34" s="60">
        <f t="shared" si="3"/>
        <v>0.1323</v>
      </c>
      <c r="E34" s="60">
        <f t="shared" si="3"/>
        <v>0.1323</v>
      </c>
      <c r="F34" s="60">
        <f t="shared" si="3"/>
        <v>0.1323</v>
      </c>
      <c r="G34" s="60">
        <f t="shared" si="3"/>
        <v>0.1323</v>
      </c>
      <c r="H34" s="60">
        <f t="shared" si="3"/>
        <v>0.1323</v>
      </c>
      <c r="I34" s="60">
        <f t="shared" si="3"/>
        <v>0.1323</v>
      </c>
      <c r="J34" s="60">
        <f t="shared" si="3"/>
        <v>0.1323</v>
      </c>
      <c r="K34" s="60">
        <f t="shared" si="3"/>
        <v>0.1323</v>
      </c>
      <c r="L34" s="60">
        <f t="shared" si="3"/>
        <v>0.1323</v>
      </c>
      <c r="M34" s="60">
        <f t="shared" si="3"/>
        <v>0.1323</v>
      </c>
      <c r="N34" s="60">
        <f t="shared" si="3"/>
        <v>0.1323</v>
      </c>
      <c r="O34" s="60">
        <f t="shared" si="3"/>
        <v>0.1323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ht="13.25" customHeight="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A8" sqref="A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67</v>
      </c>
      <c r="C58" s="8" t="s">
        <v>145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146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77</v>
      </c>
      <c r="C61" s="8" t="s">
        <v>145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146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67</v>
      </c>
      <c r="C111" s="8" t="s">
        <v>145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146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147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77</v>
      </c>
      <c r="C114" s="8" t="s">
        <v>145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146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147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78</v>
      </c>
      <c r="C117" s="8" t="s">
        <v>145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146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147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79</v>
      </c>
      <c r="C120" s="8" t="s">
        <v>145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146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147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146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147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67</v>
      </c>
      <c r="C128" s="8" t="s">
        <v>145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146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147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77</v>
      </c>
      <c r="C131" s="8" t="s">
        <v>145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146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147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78</v>
      </c>
      <c r="C134" s="8" t="s">
        <v>145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146</v>
      </c>
      <c r="D135" s="88">
        <f t="shared" ref="D135:H144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147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79</v>
      </c>
      <c r="C137" s="8" t="s">
        <v>145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146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147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146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147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67</v>
      </c>
      <c r="C145" s="8" t="s">
        <v>145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146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147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77</v>
      </c>
      <c r="C148" s="8" t="s">
        <v>145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146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147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78</v>
      </c>
      <c r="C151" s="8" t="s">
        <v>145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146</v>
      </c>
      <c r="D152" s="88">
        <f t="shared" ref="D152:H161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147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79</v>
      </c>
      <c r="C154" s="8" t="s">
        <v>145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146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147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A8" sqref="A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A8" sqref="A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A8" sqref="A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A8" sqref="A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A8" sqref="A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A8" sqref="A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0.10092932359651097</v>
      </c>
      <c r="G18" s="90">
        <f>MIN(MAX(1-0.89/(1-frac_sam_12_23months+(frac_sam_12_23months*0.89)),0),1)</f>
        <v>0.10212679498460497</v>
      </c>
      <c r="H18" s="90">
        <f>MIN(MAX(1-0.89/(1-frac_sam_24_59months+(frac_sam_24_59months*0.89)),0),1)</f>
        <v>0.10372320961830428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9.6635769596871812E-2</v>
      </c>
      <c r="G20" s="90">
        <f>MIN(MAX(1-0.89/(1-frac_mam_12_23months+(frac_mam_12_23months*0.89)),0),1)</f>
        <v>9.9067047992106194E-2</v>
      </c>
      <c r="H20" s="90">
        <f>MIN(MAX(1-0.89/(1-frac_mam_24_59months+(frac_mam_24_59months*0.89)),0),1)</f>
        <v>9.9564440805443688E-2</v>
      </c>
    </row>
    <row r="21" spans="1:8" ht="13.25" customHeight="1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9.0911612039594747E-3</v>
      </c>
      <c r="G73" s="90">
        <f>MIN(MAX(1-0.99/(1-frac_sam_12_23months+(frac_sam_12_23months*0.99)),0),1)</f>
        <v>9.2101849634149691E-3</v>
      </c>
      <c r="H73" s="90">
        <f>MIN(MAX(1-0.99/(1-frac_sam_24_59months+(frac_sam_24_59months*0.99)),0),1)</f>
        <v>9.3693120005930997E-3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8.666760883378255E-3</v>
      </c>
      <c r="G75" s="90">
        <f>MIN(MAX(1-0.99/(1-frac_mam_12_23months+(frac_mam_12_23months*0.99)),0),1)</f>
        <v>8.9066307505107911E-3</v>
      </c>
      <c r="H75" s="90">
        <f>MIN(MAX(1-0.99/(1-frac_mam_24_59months+(frac_mam_24_59months*0.99)),0),1)</f>
        <v>8.9558487658336627E-3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0.18505094949408263</v>
      </c>
      <c r="G128" s="90">
        <f>MIN(MAX(1-0.8/(1-frac_sam_12_23months+(frac_sam_12_23months*0.8)),0),1)</f>
        <v>0.18703884651543401</v>
      </c>
      <c r="H128" s="90">
        <f>MIN(MAX(1-0.8/(1-frac_sam_24_59months+(frac_sam_24_59months*0.8)),0),1)</f>
        <v>0.18968217450895286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0.1778868836065608</v>
      </c>
      <c r="G130" s="90">
        <f>MIN(MAX(1-0.8/(1-frac_mam_12_23months+(frac_mam_12_23months*0.8)),0),1)</f>
        <v>0.18195064074227341</v>
      </c>
      <c r="H130" s="90">
        <f>MIN(MAX(1-0.8/(1-frac_mam_24_59months+(frac_mam_24_59months*0.8)),0),1)</f>
        <v>0.18277974731263757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A8" sqref="A8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ht="13.25" customHeight="1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2024-08-06T06:31:36Z</dcterms:modified>
</cp:coreProperties>
</file>