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E7F04F8-6ED4-48E2-8B62-B982B7B438D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<sst xmlns="http://schemas.openxmlformats.org/spreadsheetml/2006/main" count="2102" uniqueCount="341">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</sst>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111855402</v>
      </c>
    </row>
    <row r="8" spans="1:3" ht="15" customHeight="1" x14ac:dyDescent="0.25">
      <c r="B8" s="5" t="s">
        <v>8</v>
      </c>
      <c r="C8" s="44">
        <v>0.21199999999999999</v>
      </c>
    </row>
    <row r="9" spans="1:3" ht="15" customHeight="1" x14ac:dyDescent="0.25">
      <c r="B9" s="5" t="s">
        <v>9</v>
      </c>
      <c r="C9" s="45">
        <v>0.1323</v>
      </c>
    </row>
    <row r="10" spans="1:3" ht="15" customHeight="1" x14ac:dyDescent="0.25">
      <c r="B10" s="5" t="s">
        <v>10</v>
      </c>
      <c r="C10" s="45">
        <v>0.62193199157714796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</v>
      </c>
    </row>
    <row r="24" spans="1:3" ht="15" customHeight="1" x14ac:dyDescent="0.25">
      <c r="B24" s="15" t="s">
        <v>22</v>
      </c>
      <c r="C24" s="45">
        <v>0.6835</v>
      </c>
    </row>
    <row r="25" spans="1:3" ht="15" customHeight="1" x14ac:dyDescent="0.25">
      <c r="B25" s="15" t="s">
        <v>23</v>
      </c>
      <c r="C25" s="45">
        <v>0.1807</v>
      </c>
    </row>
    <row r="26" spans="1:3" ht="15" customHeight="1" x14ac:dyDescent="0.25">
      <c r="B26" s="15" t="s">
        <v>24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0.39483629874449699</v>
      </c>
    </row>
    <row r="30" spans="1:3" ht="14.25" customHeight="1" x14ac:dyDescent="0.25">
      <c r="B30" s="25" t="s">
        <v>27</v>
      </c>
      <c r="C30" s="99">
        <v>6.4915878276872702E-2</v>
      </c>
    </row>
    <row r="31" spans="1:3" ht="14.25" customHeight="1" x14ac:dyDescent="0.25">
      <c r="B31" s="25" t="s">
        <v>28</v>
      </c>
      <c r="C31" s="99">
        <v>0.100475847605401</v>
      </c>
    </row>
    <row r="32" spans="1:3" ht="14.25" customHeight="1" x14ac:dyDescent="0.25">
      <c r="B32" s="25" t="s">
        <v>29</v>
      </c>
      <c r="C32" s="99">
        <v>0.43977197537322998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19.11843</v>
      </c>
    </row>
    <row r="38" spans="1:5" ht="15" customHeight="1" x14ac:dyDescent="0.25">
      <c r="B38" s="11" t="s">
        <v>34</v>
      </c>
      <c r="C38" s="43">
        <v>25.487660000000002</v>
      </c>
      <c r="D38" s="12"/>
      <c r="E38" s="13"/>
    </row>
    <row r="39" spans="1:5" ht="15" customHeight="1" x14ac:dyDescent="0.25">
      <c r="B39" s="11" t="s">
        <v>35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100">
        <v>1.03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1.8195699999999999E-2</v>
      </c>
      <c r="D45" s="12"/>
    </row>
    <row r="46" spans="1:5" ht="15.75" customHeight="1" x14ac:dyDescent="0.25">
      <c r="B46" s="11" t="s">
        <v>41</v>
      </c>
      <c r="C46" s="45">
        <v>0.1121805</v>
      </c>
      <c r="D46" s="12"/>
    </row>
    <row r="47" spans="1:5" ht="15.75" customHeight="1" x14ac:dyDescent="0.25">
      <c r="B47" s="11" t="s">
        <v>42</v>
      </c>
      <c r="C47" s="45">
        <v>0.40419500000000003</v>
      </c>
      <c r="D47" s="12"/>
      <c r="E47" s="13"/>
    </row>
    <row r="48" spans="1:5" ht="15" customHeight="1" x14ac:dyDescent="0.25">
      <c r="B48" s="11" t="s">
        <v>43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0.45378299999999999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23000685</v>
      </c>
      <c r="C2" s="49">
        <v>71725685.999999985</v>
      </c>
      <c r="D2" s="49">
        <v>119498276</v>
      </c>
      <c r="E2" s="49">
        <v>109300719</v>
      </c>
      <c r="F2" s="49">
        <v>79727068</v>
      </c>
      <c r="G2" s="17">
        <f t="shared" ref="G2:G13" si="0">C2+D2+E2+F2</f>
        <v>380251749</v>
      </c>
      <c r="H2" s="17">
        <f t="shared" ref="H2:H13" si="1">(B2 + stillbirth*B2/(1000-stillbirth))/(1-abortion)</f>
        <v>26461100.53632265</v>
      </c>
      <c r="I2" s="17">
        <f t="shared" ref="I2:I13" si="2">G2-H2</f>
        <v>353790648.46367735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22979744</v>
      </c>
      <c r="C3" s="50">
        <v>71396420</v>
      </c>
      <c r="D3" s="50">
        <v>119844156</v>
      </c>
      <c r="E3" s="50">
        <v>110416399</v>
      </c>
      <c r="F3" s="50">
        <v>81432039</v>
      </c>
      <c r="G3" s="17">
        <f t="shared" si="0"/>
        <v>383089014</v>
      </c>
      <c r="H3" s="17">
        <f t="shared" si="1"/>
        <v>26437008.997034527</v>
      </c>
      <c r="I3" s="17">
        <f t="shared" si="2"/>
        <v>356652005.00296545</v>
      </c>
    </row>
    <row r="4" spans="1:9" ht="15.75" customHeight="1" x14ac:dyDescent="0.25">
      <c r="A4" s="5">
        <f t="shared" si="3"/>
        <v>2026</v>
      </c>
      <c r="B4" s="49">
        <v>22819796</v>
      </c>
      <c r="C4" s="50">
        <v>71131431.499999985</v>
      </c>
      <c r="D4" s="50">
        <v>119991552.5</v>
      </c>
      <c r="E4" s="50">
        <v>111382748.5</v>
      </c>
      <c r="F4" s="50">
        <v>83190756.5</v>
      </c>
      <c r="G4" s="17">
        <f t="shared" si="0"/>
        <v>385696489</v>
      </c>
      <c r="H4" s="17">
        <f t="shared" si="1"/>
        <v>26252997.081364032</v>
      </c>
      <c r="I4" s="17">
        <f t="shared" si="2"/>
        <v>359443491.91863596</v>
      </c>
    </row>
    <row r="5" spans="1:9" ht="15.75" customHeight="1" x14ac:dyDescent="0.25">
      <c r="A5" s="5">
        <f t="shared" si="3"/>
        <v>2027</v>
      </c>
      <c r="B5" s="49">
        <v>22778973</v>
      </c>
      <c r="C5" s="50">
        <v>70865932.5</v>
      </c>
      <c r="D5" s="50">
        <v>120002444.5</v>
      </c>
      <c r="E5" s="50">
        <v>112247523</v>
      </c>
      <c r="F5" s="50">
        <v>85028711</v>
      </c>
      <c r="G5" s="17">
        <f t="shared" si="0"/>
        <v>388144611</v>
      </c>
      <c r="H5" s="17">
        <f t="shared" si="1"/>
        <v>26206032.327610202</v>
      </c>
      <c r="I5" s="17">
        <f t="shared" si="2"/>
        <v>361938578.67238981</v>
      </c>
    </row>
    <row r="6" spans="1:9" ht="15.75" customHeight="1" x14ac:dyDescent="0.25">
      <c r="A6" s="5">
        <f t="shared" si="3"/>
        <v>2028</v>
      </c>
      <c r="B6" s="49">
        <v>22664923</v>
      </c>
      <c r="C6" s="50">
        <v>70414084.5</v>
      </c>
      <c r="D6" s="50">
        <v>119924467</v>
      </c>
      <c r="E6" s="50">
        <v>113083032.5</v>
      </c>
      <c r="F6" s="50">
        <v>86913878</v>
      </c>
      <c r="G6" s="17">
        <f t="shared" si="0"/>
        <v>390335462</v>
      </c>
      <c r="H6" s="17">
        <f t="shared" si="1"/>
        <v>26074823.691164482</v>
      </c>
      <c r="I6" s="17">
        <f t="shared" si="2"/>
        <v>364260638.30883551</v>
      </c>
    </row>
    <row r="7" spans="1:9" ht="15.75" customHeight="1" x14ac:dyDescent="0.25">
      <c r="A7" s="5">
        <f t="shared" si="3"/>
        <v>2029</v>
      </c>
      <c r="B7" s="49">
        <v>22551776</v>
      </c>
      <c r="C7" s="50">
        <v>69786401</v>
      </c>
      <c r="D7" s="50">
        <v>119795600.5</v>
      </c>
      <c r="E7" s="50">
        <v>113850841.5</v>
      </c>
      <c r="F7" s="50">
        <v>88705715.5</v>
      </c>
      <c r="G7" s="17">
        <f t="shared" si="0"/>
        <v>392138558.5</v>
      </c>
      <c r="H7" s="17">
        <f t="shared" si="1"/>
        <v>25944653.909595657</v>
      </c>
      <c r="I7" s="17">
        <f t="shared" si="2"/>
        <v>366193904.59040433</v>
      </c>
    </row>
    <row r="8" spans="1:9" ht="15.75" customHeight="1" x14ac:dyDescent="0.25">
      <c r="A8" s="5">
        <f t="shared" si="3"/>
        <v>2030</v>
      </c>
      <c r="B8" s="49">
        <v>22476542</v>
      </c>
      <c r="C8" s="50">
        <v>69193222</v>
      </c>
      <c r="D8" s="50">
        <v>119545653</v>
      </c>
      <c r="E8" s="50">
        <v>114645078</v>
      </c>
      <c r="F8" s="50">
        <v>90379561</v>
      </c>
      <c r="G8" s="17">
        <f t="shared" si="0"/>
        <v>393763514</v>
      </c>
      <c r="H8" s="17">
        <f t="shared" si="1"/>
        <v>25858101.077027861</v>
      </c>
      <c r="I8" s="17">
        <f t="shared" si="2"/>
        <v>367905412.92297214</v>
      </c>
    </row>
    <row r="9" spans="1:9" ht="15.75" customHeight="1" x14ac:dyDescent="0.25">
      <c r="A9" s="5">
        <f t="shared" si="3"/>
        <v>2031</v>
      </c>
      <c r="B9" s="49">
        <v>22298572</v>
      </c>
      <c r="C9" s="50">
        <v>68574356</v>
      </c>
      <c r="D9" s="50">
        <v>119074622</v>
      </c>
      <c r="E9" s="50">
        <v>115506115.5</v>
      </c>
      <c r="F9" s="50">
        <v>91885491.5</v>
      </c>
      <c r="G9" s="17">
        <f t="shared" si="0"/>
        <v>395040585</v>
      </c>
      <c r="H9" s="17">
        <f t="shared" si="1"/>
        <v>25653355.780857362</v>
      </c>
      <c r="I9" s="17">
        <f t="shared" si="2"/>
        <v>369387229.21914262</v>
      </c>
    </row>
    <row r="10" spans="1:9" ht="15.75" customHeight="1" x14ac:dyDescent="0.25">
      <c r="A10" s="5">
        <f t="shared" si="3"/>
        <v>2032</v>
      </c>
      <c r="B10" s="49">
        <v>22220638</v>
      </c>
      <c r="C10" s="50">
        <v>67926794.5</v>
      </c>
      <c r="D10" s="50">
        <v>118457759</v>
      </c>
      <c r="E10" s="50">
        <v>116320354</v>
      </c>
      <c r="F10" s="50">
        <v>93277104</v>
      </c>
      <c r="G10" s="17">
        <f t="shared" si="0"/>
        <v>395982011.5</v>
      </c>
      <c r="H10" s="17">
        <f t="shared" si="1"/>
        <v>25563696.737694178</v>
      </c>
      <c r="I10" s="17">
        <f t="shared" si="2"/>
        <v>370418314.7623058</v>
      </c>
    </row>
    <row r="11" spans="1:9" ht="15.75" customHeight="1" x14ac:dyDescent="0.25">
      <c r="A11" s="5">
        <f t="shared" si="3"/>
        <v>2033</v>
      </c>
      <c r="B11" s="49">
        <v>22056799</v>
      </c>
      <c r="C11" s="50">
        <v>67244633.5</v>
      </c>
      <c r="D11" s="50">
        <v>117804936</v>
      </c>
      <c r="E11" s="50">
        <v>117017207.5</v>
      </c>
      <c r="F11" s="50">
        <v>94595164</v>
      </c>
      <c r="G11" s="17">
        <f t="shared" si="0"/>
        <v>396661941</v>
      </c>
      <c r="H11" s="17">
        <f t="shared" si="1"/>
        <v>25375208.42742122</v>
      </c>
      <c r="I11" s="17">
        <f t="shared" si="2"/>
        <v>371286732.57257879</v>
      </c>
    </row>
    <row r="12" spans="1:9" ht="15.75" customHeight="1" x14ac:dyDescent="0.25">
      <c r="A12" s="5">
        <f t="shared" si="3"/>
        <v>2034</v>
      </c>
      <c r="B12" s="49">
        <v>21918597</v>
      </c>
      <c r="C12" s="50">
        <v>66569216.499999993</v>
      </c>
      <c r="D12" s="50">
        <v>117012884</v>
      </c>
      <c r="E12" s="50">
        <v>117572502</v>
      </c>
      <c r="F12" s="50">
        <v>95761642</v>
      </c>
      <c r="G12" s="17">
        <f t="shared" si="0"/>
        <v>396916244.5</v>
      </c>
      <c r="H12" s="17">
        <f t="shared" si="1"/>
        <v>25216214.161975611</v>
      </c>
      <c r="I12" s="17">
        <f t="shared" si="2"/>
        <v>371700030.33802438</v>
      </c>
    </row>
    <row r="13" spans="1:9" ht="15.75" customHeight="1" x14ac:dyDescent="0.25">
      <c r="A13" s="5">
        <f t="shared" si="3"/>
        <v>2035</v>
      </c>
      <c r="B13" s="49">
        <v>21764387</v>
      </c>
      <c r="C13" s="50">
        <v>65978035.5</v>
      </c>
      <c r="D13" s="50">
        <v>116158660</v>
      </c>
      <c r="E13" s="50">
        <v>117935685</v>
      </c>
      <c r="F13" s="50">
        <v>96801939.5</v>
      </c>
      <c r="G13" s="17">
        <f t="shared" si="0"/>
        <v>396874320</v>
      </c>
      <c r="H13" s="17">
        <f t="shared" si="1"/>
        <v>25038803.519044481</v>
      </c>
      <c r="I13" s="17">
        <f t="shared" si="2"/>
        <v>371835516.48095554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1.1802901180290121E-2</v>
      </c>
    </row>
    <row r="4" spans="1:8" ht="15.75" customHeight="1" x14ac:dyDescent="0.25">
      <c r="B4" s="19" t="s">
        <v>69</v>
      </c>
      <c r="C4" s="101">
        <v>4.7839204783920453E-2</v>
      </c>
    </row>
    <row r="5" spans="1:8" ht="15.75" customHeight="1" x14ac:dyDescent="0.25">
      <c r="B5" s="19" t="s">
        <v>70</v>
      </c>
      <c r="C5" s="101">
        <v>6.8903006890300683E-2</v>
      </c>
    </row>
    <row r="6" spans="1:8" ht="15.75" customHeight="1" x14ac:dyDescent="0.25">
      <c r="B6" s="19" t="s">
        <v>71</v>
      </c>
      <c r="C6" s="101">
        <v>0.2147846214784627</v>
      </c>
    </row>
    <row r="7" spans="1:8" ht="15.75" customHeight="1" x14ac:dyDescent="0.25">
      <c r="B7" s="19" t="s">
        <v>72</v>
      </c>
      <c r="C7" s="101">
        <v>0.3863576386357635</v>
      </c>
    </row>
    <row r="8" spans="1:8" ht="15.75" customHeight="1" x14ac:dyDescent="0.25">
      <c r="B8" s="19" t="s">
        <v>73</v>
      </c>
      <c r="C8" s="101">
        <v>1.4752001475200141E-3</v>
      </c>
    </row>
    <row r="9" spans="1:8" ht="15.75" customHeight="1" x14ac:dyDescent="0.25">
      <c r="B9" s="19" t="s">
        <v>74</v>
      </c>
      <c r="C9" s="101">
        <v>8.9832408983240783E-2</v>
      </c>
    </row>
    <row r="10" spans="1:8" ht="15.75" customHeight="1" x14ac:dyDescent="0.25">
      <c r="B10" s="19" t="s">
        <v>75</v>
      </c>
      <c r="C10" s="101">
        <v>0.17900501790050191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82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83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84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85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86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89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3.4359752E-2</v>
      </c>
    </row>
    <row r="27" spans="1:8" ht="15.75" customHeight="1" x14ac:dyDescent="0.25">
      <c r="B27" s="19" t="s">
        <v>92</v>
      </c>
      <c r="C27" s="101">
        <v>1.0551130000000001E-3</v>
      </c>
    </row>
    <row r="28" spans="1:8" ht="15.75" customHeight="1" x14ac:dyDescent="0.25">
      <c r="B28" s="19" t="s">
        <v>93</v>
      </c>
      <c r="C28" s="101">
        <v>0.250608724</v>
      </c>
    </row>
    <row r="29" spans="1:8" ht="15.75" customHeight="1" x14ac:dyDescent="0.25">
      <c r="B29" s="19" t="s">
        <v>94</v>
      </c>
      <c r="C29" s="101">
        <v>9.0697442000000003E-2</v>
      </c>
    </row>
    <row r="30" spans="1:8" ht="15.75" customHeight="1" x14ac:dyDescent="0.25">
      <c r="B30" s="19" t="s">
        <v>95</v>
      </c>
      <c r="C30" s="101">
        <v>0.16739261999999999</v>
      </c>
    </row>
    <row r="31" spans="1:8" ht="15.75" customHeight="1" x14ac:dyDescent="0.25">
      <c r="B31" s="19" t="s">
        <v>96</v>
      </c>
      <c r="C31" s="101">
        <v>6.9589346999999982E-2</v>
      </c>
    </row>
    <row r="32" spans="1:8" ht="15.75" customHeight="1" x14ac:dyDescent="0.25">
      <c r="B32" s="19" t="s">
        <v>97</v>
      </c>
      <c r="C32" s="101">
        <v>1.8007848999999999E-2</v>
      </c>
    </row>
    <row r="33" spans="2:3" ht="15.75" customHeight="1" x14ac:dyDescent="0.25">
      <c r="B33" s="19" t="s">
        <v>98</v>
      </c>
      <c r="C33" s="101">
        <v>4.5114976999999987E-2</v>
      </c>
    </row>
    <row r="34" spans="2:3" ht="15.75" customHeight="1" x14ac:dyDescent="0.25">
      <c r="B34" s="19" t="s">
        <v>99</v>
      </c>
      <c r="C34" s="101">
        <v>0.32317417500000001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104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122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42.501437539526727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0.21051879924386699</v>
      </c>
      <c r="C3" s="98">
        <v>0.95</v>
      </c>
      <c r="D3" s="56">
        <v>39.532089276751883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170.9591808116555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1.549491731967531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0.52523580000000003</v>
      </c>
      <c r="C10" s="98">
        <v>0.95</v>
      </c>
      <c r="D10" s="56">
        <v>12.664388720547789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0.52523580000000003</v>
      </c>
      <c r="C11" s="98">
        <v>0.95</v>
      </c>
      <c r="D11" s="56">
        <v>12.664388720547789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0.52523580000000003</v>
      </c>
      <c r="C12" s="98">
        <v>0.95</v>
      </c>
      <c r="D12" s="56">
        <v>12.664388720547789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0.52523580000000003</v>
      </c>
      <c r="C13" s="98">
        <v>0.95</v>
      </c>
      <c r="D13" s="56">
        <v>12.664388720547789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0.52523580000000003</v>
      </c>
      <c r="C14" s="98">
        <v>0.95</v>
      </c>
      <c r="D14" s="56">
        <v>12.664388720547789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0.52523580000000003</v>
      </c>
      <c r="C15" s="98">
        <v>0.95</v>
      </c>
      <c r="D15" s="56">
        <v>12.664388720547789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0.37115452044313663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2.6852323958333302E-3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0.12731009532000001</v>
      </c>
      <c r="C18" s="98">
        <v>0.95</v>
      </c>
      <c r="D18" s="56">
        <v>4.0144932296368099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0.78388559999999996</v>
      </c>
      <c r="C19" s="98">
        <v>0.95</v>
      </c>
      <c r="D19" s="56">
        <v>4.0144932296368099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0.44826470000000002</v>
      </c>
      <c r="C21" s="98">
        <v>0.95</v>
      </c>
      <c r="D21" s="56">
        <v>11.931837010261511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21.672337451693281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4.0619684601961064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0.845367365401128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0.52523580000000003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18.225977519614752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0.662951613598872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78.207761686108483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0.54</v>
      </c>
      <c r="C31" s="98">
        <v>0.95</v>
      </c>
      <c r="D31" s="56">
        <v>5.5168582768474046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0.76115541772848727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0.23551420000000001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0.60628720000000003</v>
      </c>
      <c r="C38" s="98">
        <v>0.95</v>
      </c>
      <c r="D38" s="56">
        <v>1.5696029987704641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205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2024-05-09T01:46:21Z</dcterms:modified>
</cp:coreProperties>
</file>