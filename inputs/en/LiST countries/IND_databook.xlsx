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EE0B451-20D7-44C9-BF51-B1A30D1B8DA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<sst xmlns="http://schemas.openxmlformats.org/spreadsheetml/2006/main" count="2103" uniqueCount="341">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</sst>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111855402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9">
        <v>6.4915878276872702E-2</v>
      </c>
    </row>
    <row r="31" spans="1:3" ht="14.25" customHeight="1" x14ac:dyDescent="0.25">
      <c r="B31" s="25" t="s">
        <v>28</v>
      </c>
      <c r="C31" s="99">
        <v>0.100475847605401</v>
      </c>
    </row>
    <row r="32" spans="1:3" ht="14.25" customHeight="1" x14ac:dyDescent="0.25">
      <c r="B32" s="25" t="s">
        <v>29</v>
      </c>
      <c r="C32" s="99">
        <v>0.43977197537322998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101">
        <v>4.7839204783920453E-2</v>
      </c>
    </row>
    <row r="5" spans="1:8" ht="15.75" customHeight="1" x14ac:dyDescent="0.25">
      <c r="B5" s="19" t="s">
        <v>70</v>
      </c>
      <c r="C5" s="101">
        <v>6.8903006890300683E-2</v>
      </c>
    </row>
    <row r="6" spans="1:8" ht="15.75" customHeight="1" x14ac:dyDescent="0.25">
      <c r="B6" s="19" t="s">
        <v>71</v>
      </c>
      <c r="C6" s="101">
        <v>0.2147846214784627</v>
      </c>
    </row>
    <row r="7" spans="1:8" ht="15.75" customHeight="1" x14ac:dyDescent="0.25">
      <c r="B7" s="19" t="s">
        <v>72</v>
      </c>
      <c r="C7" s="101">
        <v>0.3863576386357635</v>
      </c>
    </row>
    <row r="8" spans="1:8" ht="15.75" customHeight="1" x14ac:dyDescent="0.25">
      <c r="B8" s="19" t="s">
        <v>73</v>
      </c>
      <c r="C8" s="101">
        <v>1.4752001475200141E-3</v>
      </c>
    </row>
    <row r="9" spans="1:8" ht="15.75" customHeight="1" x14ac:dyDescent="0.25">
      <c r="B9" s="19" t="s">
        <v>74</v>
      </c>
      <c r="C9" s="101">
        <v>8.9832408983240783E-2</v>
      </c>
    </row>
    <row r="10" spans="1:8" ht="15.75" customHeight="1" x14ac:dyDescent="0.25">
      <c r="B10" s="19" t="s">
        <v>75</v>
      </c>
      <c r="C10" s="101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83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84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85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86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89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101">
        <v>1.0551130000000001E-3</v>
      </c>
    </row>
    <row r="28" spans="1:8" ht="15.75" customHeight="1" x14ac:dyDescent="0.25">
      <c r="B28" s="19" t="s">
        <v>93</v>
      </c>
      <c r="C28" s="101">
        <v>0.250608724</v>
      </c>
    </row>
    <row r="29" spans="1:8" ht="15.75" customHeight="1" x14ac:dyDescent="0.25">
      <c r="B29" s="19" t="s">
        <v>94</v>
      </c>
      <c r="C29" s="101">
        <v>9.0697442000000003E-2</v>
      </c>
    </row>
    <row r="30" spans="1:8" ht="15.75" customHeight="1" x14ac:dyDescent="0.25">
      <c r="B30" s="19" t="s">
        <v>95</v>
      </c>
      <c r="C30" s="101">
        <v>0.16739261999999999</v>
      </c>
    </row>
    <row r="31" spans="1:8" ht="15.75" customHeight="1" x14ac:dyDescent="0.25">
      <c r="B31" s="19" t="s">
        <v>96</v>
      </c>
      <c r="C31" s="101">
        <v>6.9589346999999982E-2</v>
      </c>
    </row>
    <row r="32" spans="1:8" ht="15.75" customHeight="1" x14ac:dyDescent="0.25">
      <c r="B32" s="19" t="s">
        <v>97</v>
      </c>
      <c r="C32" s="101">
        <v>1.8007848999999999E-2</v>
      </c>
    </row>
    <row r="33" spans="2:3" ht="15.75" customHeight="1" x14ac:dyDescent="0.25">
      <c r="B33" s="19" t="s">
        <v>98</v>
      </c>
      <c r="C33" s="101">
        <v>4.5114976999999987E-2</v>
      </c>
    </row>
    <row r="34" spans="2:3" ht="15.75" customHeight="1" x14ac:dyDescent="0.25">
      <c r="B34" s="19" t="s">
        <v>99</v>
      </c>
      <c r="C34" s="101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42.501437539526727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39.532089276751883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170.9591808116555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1.549491731967531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0.52523580000000003</v>
      </c>
      <c r="C10" s="98">
        <v>0.95</v>
      </c>
      <c r="D10" s="56">
        <v>12.664388720547789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12.664388720547789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12.664388720547789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12.664388720547789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0.52523580000000003</v>
      </c>
      <c r="C14" s="98">
        <v>0.95</v>
      </c>
      <c r="D14" s="56">
        <v>12.664388720547789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12.664388720547789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0.17549090000000001</v>
      </c>
      <c r="C16" s="98">
        <v>0.95</v>
      </c>
      <c r="D16" s="56">
        <v>0.37115452044313663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2.6852323958333302E-3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0.60997190000000001</v>
      </c>
      <c r="C18" s="98">
        <v>0.95</v>
      </c>
      <c r="D18" s="56">
        <v>4.0144932296368099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0.60997190000000001</v>
      </c>
      <c r="C19" s="98">
        <v>0.95</v>
      </c>
      <c r="D19" s="56">
        <v>4.0144932296368099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11.931837010261511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0.25387939999999998</v>
      </c>
      <c r="C23" s="98">
        <v>0.95</v>
      </c>
      <c r="D23" s="56">
        <v>4.0619684601961064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0.63353828607887197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0.52523580000000003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18.225977519614752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0.60628720000000003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0.23551420000000001</v>
      </c>
      <c r="C29" s="98">
        <v>0.95</v>
      </c>
      <c r="D29" s="56">
        <v>78.207761686108483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5.5168582768474046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0.54</v>
      </c>
      <c r="C32" s="98">
        <v>0.95</v>
      </c>
      <c r="D32" s="56">
        <v>0.76115541772848727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0.76264790000000005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0.36646840000000003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6.6521999999999998E-2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0.44826470000000002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0.3053535</v>
      </c>
      <c r="C38" s="98">
        <v>0.95</v>
      </c>
      <c r="D38" s="56">
        <v>1.5696029987704641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205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0.10092932359651097</v>
      </c>
      <c r="G18" s="90">
        <f>MIN(MAX(1-0.89/(1-frac_sam_12_23months+(frac_sam_12_23months*0.89)),0),1)</f>
        <v>0.10212679498460497</v>
      </c>
      <c r="H18" s="90">
        <f>MIN(MAX(1-0.89/(1-frac_sam_24_59months+(frac_sam_24_59months*0.89)),0),1)</f>
        <v>0.10372320961830428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9.6635769596871812E-2</v>
      </c>
      <c r="G20" s="90">
        <f>MIN(MAX(1-0.89/(1-frac_mam_12_23months+(frac_mam_12_23months*0.89)),0),1)</f>
        <v>9.9067047992106194E-2</v>
      </c>
      <c r="H20" s="90">
        <f>MIN(MAX(1-0.89/(1-frac_mam_24_59months+(frac_mam_24_59months*0.89)),0),1)</f>
        <v>9.9564440805443688E-2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9.0911612039594747E-3</v>
      </c>
      <c r="G73" s="90">
        <f>MIN(MAX(1-0.99/(1-frac_sam_12_23months+(frac_sam_12_23months*0.99)),0),1)</f>
        <v>9.2101849634149691E-3</v>
      </c>
      <c r="H73" s="90">
        <f>MIN(MAX(1-0.99/(1-frac_sam_24_59months+(frac_sam_24_59months*0.99)),0),1)</f>
        <v>9.3693120005930997E-3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8.666760883378255E-3</v>
      </c>
      <c r="G75" s="90">
        <f>MIN(MAX(1-0.99/(1-frac_mam_12_23months+(frac_mam_12_23months*0.99)),0),1)</f>
        <v>8.9066307505107911E-3</v>
      </c>
      <c r="H75" s="90">
        <f>MIN(MAX(1-0.99/(1-frac_mam_24_59months+(frac_mam_24_59months*0.99)),0),1)</f>
        <v>8.9558487658336627E-3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0.18505094949408263</v>
      </c>
      <c r="G128" s="90">
        <f>MIN(MAX(1-0.8/(1-frac_sam_12_23months+(frac_sam_12_23months*0.8)),0),1)</f>
        <v>0.18703884651543401</v>
      </c>
      <c r="H128" s="90">
        <f>MIN(MAX(1-0.8/(1-frac_sam_24_59months+(frac_sam_24_59months*0.8)),0),1)</f>
        <v>0.18968217450895286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0.1778868836065608</v>
      </c>
      <c r="G130" s="90">
        <f>MIN(MAX(1-0.8/(1-frac_mam_12_23months+(frac_mam_12_23months*0.8)),0),1)</f>
        <v>0.18195064074227341</v>
      </c>
      <c r="H130" s="90">
        <f>MIN(MAX(1-0.8/(1-frac_mam_24_59months+(frac_mam_24_59months*0.8)),0),1)</f>
        <v>0.18277974731263757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2024-06-18T06:55:33Z</dcterms:modified>
</cp:coreProperties>
</file>