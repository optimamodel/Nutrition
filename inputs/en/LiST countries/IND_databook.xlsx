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C4445530-ADC4-4C39-B2BB-8A8EF070E9A4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A31" i="2"/>
  <c r="A26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4" i="2" l="1"/>
  <c r="I8" i="2"/>
  <c r="I12" i="2"/>
  <c r="A25" i="2"/>
  <c r="A34" i="2"/>
  <c r="A40" i="2"/>
  <c r="I2" i="2"/>
  <c r="I6" i="2"/>
  <c r="A19" i="2"/>
  <c r="A35" i="2"/>
  <c r="A22" i="2"/>
  <c r="A36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<sst xmlns="http://schemas.openxmlformats.org/spreadsheetml/2006/main" count="2159" uniqueCount="372">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</sst>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113100739.5</v>
      </c>
    </row>
    <row r="8" spans="1:3" ht="15" customHeight="1" x14ac:dyDescent="0.25">
      <c r="B8" s="5" t="s">
        <v>8</v>
      </c>
      <c r="C8" s="44">
        <v>0.21199999999999999</v>
      </c>
    </row>
    <row r="9" spans="1:3" ht="15" customHeight="1" x14ac:dyDescent="0.25">
      <c r="B9" s="5" t="s">
        <v>9</v>
      </c>
      <c r="C9" s="45">
        <v>0.1323</v>
      </c>
    </row>
    <row r="10" spans="1:3" ht="15" customHeight="1" x14ac:dyDescent="0.25">
      <c r="B10" s="5" t="s">
        <v>10</v>
      </c>
      <c r="C10" s="45">
        <v>0.62193199157714796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9.4E-2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0.115</v>
      </c>
    </row>
    <row r="24" spans="1:3" ht="15" customHeight="1" x14ac:dyDescent="0.25">
      <c r="B24" s="15" t="s">
        <v>22</v>
      </c>
      <c r="C24" s="45">
        <v>0.6835</v>
      </c>
    </row>
    <row r="25" spans="1:3" ht="15" customHeight="1" x14ac:dyDescent="0.25">
      <c r="B25" s="15" t="s">
        <v>23</v>
      </c>
      <c r="C25" s="45">
        <v>0.1807</v>
      </c>
    </row>
    <row r="26" spans="1:3" ht="15" customHeight="1" x14ac:dyDescent="0.25">
      <c r="B26" s="15" t="s">
        <v>24</v>
      </c>
      <c r="C26" s="45">
        <v>2.0799999999999999E-2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0.39483629874449699</v>
      </c>
    </row>
    <row r="30" spans="1:3" ht="14.25" customHeight="1" x14ac:dyDescent="0.25">
      <c r="B30" s="25" t="s">
        <v>27</v>
      </c>
      <c r="C30" s="99">
        <v>6.4915878276872702E-2</v>
      </c>
    </row>
    <row r="31" spans="1:3" ht="14.25" customHeight="1" x14ac:dyDescent="0.25">
      <c r="B31" s="25" t="s">
        <v>28</v>
      </c>
      <c r="C31" s="99">
        <v>0.100475847605401</v>
      </c>
    </row>
    <row r="32" spans="1:3" ht="14.25" customHeight="1" x14ac:dyDescent="0.25">
      <c r="B32" s="25" t="s">
        <v>29</v>
      </c>
      <c r="C32" s="99">
        <v>0.43977197537322998</v>
      </c>
    </row>
    <row r="33" spans="1:5" ht="13.25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19.11843</v>
      </c>
    </row>
    <row r="38" spans="1:5" ht="15" customHeight="1" x14ac:dyDescent="0.25">
      <c r="B38" s="11" t="s">
        <v>34</v>
      </c>
      <c r="C38" s="43">
        <v>25.487660000000002</v>
      </c>
      <c r="D38" s="12"/>
      <c r="E38" s="13"/>
    </row>
    <row r="39" spans="1:5" ht="15" customHeight="1" x14ac:dyDescent="0.25">
      <c r="B39" s="11" t="s">
        <v>35</v>
      </c>
      <c r="C39" s="43">
        <v>30.619209999999999</v>
      </c>
      <c r="D39" s="12"/>
      <c r="E39" s="12"/>
    </row>
    <row r="40" spans="1:5" ht="15" customHeight="1" x14ac:dyDescent="0.25">
      <c r="B40" s="11" t="s">
        <v>36</v>
      </c>
      <c r="C40" s="100">
        <v>1.03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12.24282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1.8195699999999999E-2</v>
      </c>
      <c r="D45" s="12"/>
    </row>
    <row r="46" spans="1:5" ht="15.75" customHeight="1" x14ac:dyDescent="0.25">
      <c r="B46" s="11" t="s">
        <v>41</v>
      </c>
      <c r="C46" s="45">
        <v>0.1121805</v>
      </c>
      <c r="D46" s="12"/>
    </row>
    <row r="47" spans="1:5" ht="15.75" customHeight="1" x14ac:dyDescent="0.25">
      <c r="B47" s="11" t="s">
        <v>42</v>
      </c>
      <c r="C47" s="45">
        <v>0.40419500000000003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2.08</v>
      </c>
      <c r="D51" s="12"/>
    </row>
    <row r="52" spans="1:4" ht="15" customHeight="1" x14ac:dyDescent="0.25">
      <c r="B52" s="11" t="s">
        <v>46</v>
      </c>
      <c r="C52" s="100">
        <v>2.08</v>
      </c>
    </row>
    <row r="53" spans="1:4" ht="15.75" customHeight="1" x14ac:dyDescent="0.25">
      <c r="B53" s="11" t="s">
        <v>47</v>
      </c>
      <c r="C53" s="100">
        <v>3.3279999999999998</v>
      </c>
    </row>
    <row r="54" spans="1:4" ht="15.75" customHeight="1" x14ac:dyDescent="0.25">
      <c r="B54" s="11" t="s">
        <v>48</v>
      </c>
      <c r="C54" s="100">
        <v>2.6</v>
      </c>
    </row>
    <row r="55" spans="1:4" ht="15.75" customHeight="1" x14ac:dyDescent="0.25">
      <c r="B55" s="11" t="s">
        <v>49</v>
      </c>
      <c r="C55" s="100">
        <v>1.412666666666667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0.45378299999999999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0.27435259340000001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23186978</v>
      </c>
      <c r="C2" s="49">
        <v>60645953.5</v>
      </c>
      <c r="D2" s="49">
        <v>121046764</v>
      </c>
      <c r="E2" s="49">
        <v>110546329</v>
      </c>
      <c r="F2" s="49">
        <v>89986125.5</v>
      </c>
      <c r="G2" s="17">
        <f t="shared" ref="G2:G13" si="0">C2+D2+E2+F2</f>
        <v>382225172</v>
      </c>
      <c r="H2" s="17">
        <f t="shared" ref="H2:H13" si="1">(B2 + stillbirth*B2/(1000-stillbirth))/(1-abortion)</f>
        <v>26675421.014265504</v>
      </c>
      <c r="I2" s="17">
        <f t="shared" ref="I2:I13" si="2">G2-H2</f>
        <v>355549750.98573452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23073267</v>
      </c>
      <c r="C3" s="50">
        <v>60339329.5</v>
      </c>
      <c r="D3" s="50">
        <v>121413986</v>
      </c>
      <c r="E3" s="50">
        <v>111722966</v>
      </c>
      <c r="F3" s="50">
        <v>92085757.5</v>
      </c>
      <c r="G3" s="17">
        <f t="shared" si="0"/>
        <v>385562039</v>
      </c>
      <c r="H3" s="17">
        <f t="shared" si="1"/>
        <v>26544602.379816759</v>
      </c>
      <c r="I3" s="17">
        <f t="shared" si="2"/>
        <v>359017436.62018323</v>
      </c>
    </row>
    <row r="4" spans="1:9" ht="15.75" customHeight="1" x14ac:dyDescent="0.25">
      <c r="A4" s="5">
        <f t="shared" si="3"/>
        <v>2026</v>
      </c>
      <c r="B4" s="49">
        <v>22988461</v>
      </c>
      <c r="C4" s="50">
        <v>60111402</v>
      </c>
      <c r="D4" s="50">
        <v>121569935</v>
      </c>
      <c r="E4" s="50">
        <v>112765508.99999999</v>
      </c>
      <c r="F4" s="50">
        <v>94243739.5</v>
      </c>
      <c r="G4" s="17">
        <f t="shared" si="0"/>
        <v>388690585.5</v>
      </c>
      <c r="H4" s="17">
        <f t="shared" si="1"/>
        <v>26447037.455464143</v>
      </c>
      <c r="I4" s="17">
        <f t="shared" si="2"/>
        <v>362243548.04453588</v>
      </c>
    </row>
    <row r="5" spans="1:9" ht="15.75" customHeight="1" x14ac:dyDescent="0.25">
      <c r="A5" s="5">
        <f t="shared" si="3"/>
        <v>2027</v>
      </c>
      <c r="B5" s="49">
        <v>22878818</v>
      </c>
      <c r="C5" s="50">
        <v>59947529.5</v>
      </c>
      <c r="D5" s="50">
        <v>121544178</v>
      </c>
      <c r="E5" s="50">
        <v>113716529.00000001</v>
      </c>
      <c r="F5" s="50">
        <v>96407865.5</v>
      </c>
      <c r="G5" s="17">
        <f t="shared" si="0"/>
        <v>391616102</v>
      </c>
      <c r="H5" s="17">
        <f t="shared" si="1"/>
        <v>26320898.844979107</v>
      </c>
      <c r="I5" s="17">
        <f t="shared" si="2"/>
        <v>365295203.15502089</v>
      </c>
    </row>
    <row r="6" spans="1:9" ht="15.75" customHeight="1" x14ac:dyDescent="0.25">
      <c r="A6" s="5">
        <f t="shared" si="3"/>
        <v>2028</v>
      </c>
      <c r="B6" s="49">
        <v>22754838</v>
      </c>
      <c r="C6" s="50">
        <v>59728532</v>
      </c>
      <c r="D6" s="50">
        <v>121397161</v>
      </c>
      <c r="E6" s="50">
        <v>114633586</v>
      </c>
      <c r="F6" s="50">
        <v>98547747.999999985</v>
      </c>
      <c r="G6" s="17">
        <f t="shared" si="0"/>
        <v>394307027</v>
      </c>
      <c r="H6" s="17">
        <f t="shared" si="1"/>
        <v>26178266.256232586</v>
      </c>
      <c r="I6" s="17">
        <f t="shared" si="2"/>
        <v>368128760.74376744</v>
      </c>
    </row>
    <row r="7" spans="1:9" ht="15.75" customHeight="1" x14ac:dyDescent="0.25">
      <c r="A7" s="5">
        <f t="shared" si="3"/>
        <v>2029</v>
      </c>
      <c r="B7" s="49">
        <v>22649125</v>
      </c>
      <c r="C7" s="50">
        <v>59202567.5</v>
      </c>
      <c r="D7" s="50">
        <v>121202949.49999999</v>
      </c>
      <c r="E7" s="50">
        <v>115494569.50000001</v>
      </c>
      <c r="F7" s="50">
        <v>100627026.00000001</v>
      </c>
      <c r="G7" s="17">
        <f t="shared" si="0"/>
        <v>396527112.5</v>
      </c>
      <c r="H7" s="17">
        <f t="shared" si="1"/>
        <v>26056648.907836381</v>
      </c>
      <c r="I7" s="17">
        <f t="shared" si="2"/>
        <v>370470463.59216362</v>
      </c>
    </row>
    <row r="8" spans="1:9" ht="15.75" customHeight="1" x14ac:dyDescent="0.25">
      <c r="A8" s="5">
        <f t="shared" si="3"/>
        <v>2030</v>
      </c>
      <c r="B8" s="49">
        <v>22550562</v>
      </c>
      <c r="C8" s="50">
        <v>58534612.5</v>
      </c>
      <c r="D8" s="50">
        <v>120857254.5</v>
      </c>
      <c r="E8" s="50">
        <v>116387951</v>
      </c>
      <c r="F8" s="50">
        <v>102544845.5</v>
      </c>
      <c r="G8" s="17">
        <f t="shared" si="0"/>
        <v>398324663.5</v>
      </c>
      <c r="H8" s="17">
        <f t="shared" si="1"/>
        <v>25943257.2652761</v>
      </c>
      <c r="I8" s="17">
        <f t="shared" si="2"/>
        <v>372381406.23472393</v>
      </c>
    </row>
    <row r="9" spans="1:9" ht="15.75" customHeight="1" x14ac:dyDescent="0.25">
      <c r="A9" s="5">
        <f t="shared" si="3"/>
        <v>2031</v>
      </c>
      <c r="B9" s="49">
        <v>22409976</v>
      </c>
      <c r="C9" s="50">
        <v>58014538</v>
      </c>
      <c r="D9" s="50">
        <v>120268409.50000001</v>
      </c>
      <c r="E9" s="50">
        <v>117358678.50000001</v>
      </c>
      <c r="F9" s="50">
        <v>104299791.49999999</v>
      </c>
      <c r="G9" s="17">
        <f t="shared" si="0"/>
        <v>399941417.5</v>
      </c>
      <c r="H9" s="17">
        <f t="shared" si="1"/>
        <v>25781520.330919608</v>
      </c>
      <c r="I9" s="17">
        <f t="shared" si="2"/>
        <v>374159897.16908038</v>
      </c>
    </row>
    <row r="10" spans="1:9" ht="15.75" customHeight="1" x14ac:dyDescent="0.25">
      <c r="A10" s="5">
        <f t="shared" si="3"/>
        <v>2032</v>
      </c>
      <c r="B10" s="49">
        <v>22237608</v>
      </c>
      <c r="C10" s="50">
        <v>57429884.5</v>
      </c>
      <c r="D10" s="50">
        <v>119565205</v>
      </c>
      <c r="E10" s="50">
        <v>118296968.5</v>
      </c>
      <c r="F10" s="50">
        <v>105939456.5</v>
      </c>
      <c r="G10" s="17">
        <f t="shared" si="0"/>
        <v>401231514.5</v>
      </c>
      <c r="H10" s="17">
        <f t="shared" si="1"/>
        <v>25583219.846510347</v>
      </c>
      <c r="I10" s="17">
        <f t="shared" si="2"/>
        <v>375648294.65348965</v>
      </c>
    </row>
    <row r="11" spans="1:9" ht="15.75" customHeight="1" x14ac:dyDescent="0.25">
      <c r="A11" s="5">
        <f t="shared" si="3"/>
        <v>2033</v>
      </c>
      <c r="B11" s="49">
        <v>22082669</v>
      </c>
      <c r="C11" s="50">
        <v>56849821</v>
      </c>
      <c r="D11" s="50">
        <v>118826680</v>
      </c>
      <c r="E11" s="50">
        <v>119096471.5</v>
      </c>
      <c r="F11" s="50">
        <v>107430031</v>
      </c>
      <c r="G11" s="17">
        <f t="shared" si="0"/>
        <v>402203003.5</v>
      </c>
      <c r="H11" s="17">
        <f t="shared" si="1"/>
        <v>25404970.526718467</v>
      </c>
      <c r="I11" s="17">
        <f t="shared" si="2"/>
        <v>376798032.9732815</v>
      </c>
    </row>
    <row r="12" spans="1:9" ht="15.75" customHeight="1" x14ac:dyDescent="0.25">
      <c r="A12" s="5">
        <f t="shared" si="3"/>
        <v>2034</v>
      </c>
      <c r="B12" s="49">
        <v>21924896</v>
      </c>
      <c r="C12" s="50">
        <v>56497127</v>
      </c>
      <c r="D12" s="50">
        <v>117908760.00000001</v>
      </c>
      <c r="E12" s="50">
        <v>119722628.5</v>
      </c>
      <c r="F12" s="50">
        <v>108758426</v>
      </c>
      <c r="G12" s="17">
        <f t="shared" si="0"/>
        <v>402886941.5</v>
      </c>
      <c r="H12" s="17">
        <f t="shared" si="1"/>
        <v>25223460.836249802</v>
      </c>
      <c r="I12" s="17">
        <f t="shared" si="2"/>
        <v>377663480.66375017</v>
      </c>
    </row>
    <row r="13" spans="1:9" ht="15.75" customHeight="1" x14ac:dyDescent="0.25">
      <c r="A13" s="5">
        <f t="shared" si="3"/>
        <v>2035</v>
      </c>
      <c r="B13" s="49">
        <v>21759073</v>
      </c>
      <c r="C13" s="50">
        <v>56074458</v>
      </c>
      <c r="D13" s="50">
        <v>116952658.49999999</v>
      </c>
      <c r="E13" s="50">
        <v>120138769.5</v>
      </c>
      <c r="F13" s="50">
        <v>109964101.5</v>
      </c>
      <c r="G13" s="17">
        <f t="shared" si="0"/>
        <v>403129987.5</v>
      </c>
      <c r="H13" s="17">
        <f t="shared" si="1"/>
        <v>25032690.03641342</v>
      </c>
      <c r="I13" s="17">
        <f t="shared" si="2"/>
        <v>378097297.46358657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1.1802901180290121E-2</v>
      </c>
    </row>
    <row r="4" spans="1:8" ht="15.75" customHeight="1" x14ac:dyDescent="0.25">
      <c r="B4" s="19" t="s">
        <v>69</v>
      </c>
      <c r="C4" s="101">
        <v>4.7839204783920453E-2</v>
      </c>
    </row>
    <row r="5" spans="1:8" ht="15.75" customHeight="1" x14ac:dyDescent="0.25">
      <c r="B5" s="19" t="s">
        <v>70</v>
      </c>
      <c r="C5" s="101">
        <v>6.8903006890300683E-2</v>
      </c>
    </row>
    <row r="6" spans="1:8" ht="15.75" customHeight="1" x14ac:dyDescent="0.25">
      <c r="B6" s="19" t="s">
        <v>71</v>
      </c>
      <c r="C6" s="101">
        <v>0.2147846214784627</v>
      </c>
    </row>
    <row r="7" spans="1:8" ht="15.75" customHeight="1" x14ac:dyDescent="0.25">
      <c r="B7" s="19" t="s">
        <v>72</v>
      </c>
      <c r="C7" s="101">
        <v>0.3863576386357635</v>
      </c>
    </row>
    <row r="8" spans="1:8" ht="15.75" customHeight="1" x14ac:dyDescent="0.25">
      <c r="B8" s="19" t="s">
        <v>73</v>
      </c>
      <c r="C8" s="101">
        <v>1.4752001475200141E-3</v>
      </c>
    </row>
    <row r="9" spans="1:8" ht="15.75" customHeight="1" x14ac:dyDescent="0.25">
      <c r="B9" s="19" t="s">
        <v>74</v>
      </c>
      <c r="C9" s="101">
        <v>8.9832408983240783E-2</v>
      </c>
    </row>
    <row r="10" spans="1:8" ht="15.75" customHeight="1" x14ac:dyDescent="0.25">
      <c r="B10" s="19" t="s">
        <v>75</v>
      </c>
      <c r="C10" s="101">
        <v>0.17900501790050191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0.19135910050141111</v>
      </c>
      <c r="D14" s="55">
        <v>0.19135910050141111</v>
      </c>
      <c r="E14" s="55">
        <v>0.19135910050141111</v>
      </c>
      <c r="F14" s="55">
        <v>0.19135910050141111</v>
      </c>
    </row>
    <row r="15" spans="1:8" ht="15.75" customHeight="1" x14ac:dyDescent="0.25">
      <c r="B15" s="19" t="s">
        <v>82</v>
      </c>
      <c r="C15" s="101">
        <v>0.230872333632888</v>
      </c>
      <c r="D15" s="101">
        <v>0.230872333632888</v>
      </c>
      <c r="E15" s="101">
        <v>0.230872333632888</v>
      </c>
      <c r="F15" s="101">
        <v>0.230872333632888</v>
      </c>
    </row>
    <row r="16" spans="1:8" ht="15.75" customHeight="1" x14ac:dyDescent="0.25">
      <c r="B16" s="19" t="s">
        <v>83</v>
      </c>
      <c r="C16" s="101">
        <v>3.8348142011340389E-2</v>
      </c>
      <c r="D16" s="101">
        <v>3.8348142011340389E-2</v>
      </c>
      <c r="E16" s="101">
        <v>3.8348142011340389E-2</v>
      </c>
      <c r="F16" s="101">
        <v>3.8348142011340389E-2</v>
      </c>
    </row>
    <row r="17" spans="1:8" ht="15.75" customHeight="1" x14ac:dyDescent="0.25">
      <c r="B17" s="19" t="s">
        <v>84</v>
      </c>
      <c r="C17" s="101">
        <v>3.5408397605315653E-2</v>
      </c>
      <c r="D17" s="101">
        <v>3.5408397605315653E-2</v>
      </c>
      <c r="E17" s="101">
        <v>3.5408397605315653E-2</v>
      </c>
      <c r="F17" s="101">
        <v>3.5408397605315653E-2</v>
      </c>
    </row>
    <row r="18" spans="1:8" ht="15.75" customHeight="1" x14ac:dyDescent="0.25">
      <c r="B18" s="19" t="s">
        <v>85</v>
      </c>
      <c r="C18" s="101">
        <v>7.1410678096298971E-3</v>
      </c>
      <c r="D18" s="101">
        <v>7.1410678096298971E-3</v>
      </c>
      <c r="E18" s="101">
        <v>7.1410678096298971E-3</v>
      </c>
      <c r="F18" s="101">
        <v>7.1410678096298971E-3</v>
      </c>
    </row>
    <row r="19" spans="1:8" ht="15.75" customHeight="1" x14ac:dyDescent="0.25">
      <c r="B19" s="19" t="s">
        <v>86</v>
      </c>
      <c r="C19" s="101">
        <v>2.6687220192693512E-2</v>
      </c>
      <c r="D19" s="101">
        <v>2.6687220192693512E-2</v>
      </c>
      <c r="E19" s="101">
        <v>2.6687220192693512E-2</v>
      </c>
      <c r="F19" s="101">
        <v>2.6687220192693512E-2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0.14546560647395049</v>
      </c>
      <c r="D21" s="101">
        <v>0.14546560647395049</v>
      </c>
      <c r="E21" s="101">
        <v>0.14546560647395049</v>
      </c>
      <c r="F21" s="101">
        <v>0.14546560647395049</v>
      </c>
    </row>
    <row r="22" spans="1:8" ht="15.75" customHeight="1" x14ac:dyDescent="0.25">
      <c r="B22" s="19" t="s">
        <v>89</v>
      </c>
      <c r="C22" s="101">
        <v>0.32471813177277092</v>
      </c>
      <c r="D22" s="101">
        <v>0.32471813177277092</v>
      </c>
      <c r="E22" s="101">
        <v>0.32471813177277092</v>
      </c>
      <c r="F22" s="101">
        <v>0.32471813177277092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3.4359752E-2</v>
      </c>
    </row>
    <row r="27" spans="1:8" ht="15.75" customHeight="1" x14ac:dyDescent="0.25">
      <c r="B27" s="19" t="s">
        <v>92</v>
      </c>
      <c r="C27" s="101">
        <v>1.0551130000000001E-3</v>
      </c>
    </row>
    <row r="28" spans="1:8" ht="15.75" customHeight="1" x14ac:dyDescent="0.25">
      <c r="B28" s="19" t="s">
        <v>93</v>
      </c>
      <c r="C28" s="101">
        <v>0.250608724</v>
      </c>
    </row>
    <row r="29" spans="1:8" ht="15.75" customHeight="1" x14ac:dyDescent="0.25">
      <c r="B29" s="19" t="s">
        <v>94</v>
      </c>
      <c r="C29" s="101">
        <v>9.0697442000000003E-2</v>
      </c>
    </row>
    <row r="30" spans="1:8" ht="15.75" customHeight="1" x14ac:dyDescent="0.25">
      <c r="B30" s="19" t="s">
        <v>95</v>
      </c>
      <c r="C30" s="101">
        <v>0.16739261999999999</v>
      </c>
    </row>
    <row r="31" spans="1:8" ht="15.75" customHeight="1" x14ac:dyDescent="0.25">
      <c r="B31" s="19" t="s">
        <v>96</v>
      </c>
      <c r="C31" s="101">
        <v>6.9589346999999982E-2</v>
      </c>
    </row>
    <row r="32" spans="1:8" ht="15.75" customHeight="1" x14ac:dyDescent="0.25">
      <c r="B32" s="19" t="s">
        <v>97</v>
      </c>
      <c r="C32" s="101">
        <v>1.8007848999999999E-2</v>
      </c>
    </row>
    <row r="33" spans="2:3" ht="15.75" customHeight="1" x14ac:dyDescent="0.25">
      <c r="B33" s="19" t="s">
        <v>98</v>
      </c>
      <c r="C33" s="101">
        <v>4.5114976999999987E-2</v>
      </c>
    </row>
    <row r="34" spans="2:3" ht="15.75" customHeight="1" x14ac:dyDescent="0.25">
      <c r="B34" s="19" t="s">
        <v>99</v>
      </c>
      <c r="C34" s="101">
        <v>0.32317417500000001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0.38029873150833793</v>
      </c>
      <c r="D2" s="52">
        <f>IFERROR(1-_xlfn.NORM.DIST(_xlfn.NORM.INV(SUM(D4:D5), 0, 1) + 1, 0, 1, TRUE), "")</f>
        <v>0.38029873150833793</v>
      </c>
      <c r="E2" s="52">
        <f>IFERROR(1-_xlfn.NORM.DIST(_xlfn.NORM.INV(SUM(E4:E5), 0, 1) + 1, 0, 1, TRUE), "")</f>
        <v>0.37428850720882179</v>
      </c>
      <c r="F2" s="52">
        <f>IFERROR(1-_xlfn.NORM.DIST(_xlfn.NORM.INV(SUM(F4:F5), 0, 1) + 1, 0, 1, TRUE), "")</f>
        <v>0.2287194198018474</v>
      </c>
      <c r="G2" s="52">
        <f>IFERROR(1-_xlfn.NORM.DIST(_xlfn.NORM.INV(SUM(G4:G5), 0, 1) + 1, 0, 1, TRUE), "")</f>
        <v>0.24726370166311418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0.37626876849166208</v>
      </c>
      <c r="D3" s="52">
        <f>IFERROR(_xlfn.NORM.DIST(_xlfn.NORM.INV(SUM(D4:D5), 0, 1) + 1, 0, 1, TRUE) - SUM(D4:D5), "")</f>
        <v>0.37626876849166208</v>
      </c>
      <c r="E3" s="52">
        <f>IFERROR(_xlfn.NORM.DIST(_xlfn.NORM.INV(SUM(E4:E5), 0, 1) + 1, 0, 1, TRUE) - SUM(E4:E5), "")</f>
        <v>0.3772957927911782</v>
      </c>
      <c r="F3" s="52">
        <f>IFERROR(_xlfn.NORM.DIST(_xlfn.NORM.INV(SUM(F4:F5), 0, 1) + 1, 0, 1, TRUE) - SUM(F4:F5), "")</f>
        <v>0.37266388019815255</v>
      </c>
      <c r="G3" s="52">
        <f>IFERROR(_xlfn.NORM.DIST(_xlfn.NORM.INV(SUM(G4:G5), 0, 1) + 1, 0, 1, TRUE) - SUM(G4:G5), "")</f>
        <v>0.37706679833688583</v>
      </c>
    </row>
    <row r="4" spans="1:15" ht="15.75" customHeight="1" x14ac:dyDescent="0.25">
      <c r="B4" s="5" t="s">
        <v>104</v>
      </c>
      <c r="C4" s="45">
        <v>0.1098698</v>
      </c>
      <c r="D4" s="53">
        <v>0.1098698</v>
      </c>
      <c r="E4" s="53">
        <v>0.12104090000000001</v>
      </c>
      <c r="F4" s="53">
        <v>0.2096877</v>
      </c>
      <c r="G4" s="53">
        <v>0.22988049999999999</v>
      </c>
    </row>
    <row r="5" spans="1:15" ht="15.75" customHeight="1" x14ac:dyDescent="0.25">
      <c r="B5" s="5" t="s">
        <v>105</v>
      </c>
      <c r="C5" s="45">
        <v>0.13356270000000001</v>
      </c>
      <c r="D5" s="53">
        <v>0.13356270000000001</v>
      </c>
      <c r="E5" s="53">
        <v>0.12737480000000001</v>
      </c>
      <c r="F5" s="53">
        <v>0.18892900000000001</v>
      </c>
      <c r="G5" s="53">
        <v>0.145789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0.3577196453720427</v>
      </c>
      <c r="D8" s="52">
        <f>IFERROR(1-_xlfn.NORM.DIST(_xlfn.NORM.INV(SUM(D10:D11), 0, 1) + 1, 0, 1, TRUE), "")</f>
        <v>0.3577196453720427</v>
      </c>
      <c r="E8" s="52">
        <f>IFERROR(1-_xlfn.NORM.DIST(_xlfn.NORM.INV(SUM(E10:E11), 0, 1) + 1, 0, 1, TRUE), "")</f>
        <v>0.40183353730501814</v>
      </c>
      <c r="F8" s="52">
        <f>IFERROR(1-_xlfn.NORM.DIST(_xlfn.NORM.INV(SUM(F10:F11), 0, 1) + 1, 0, 1, TRUE), "")</f>
        <v>0.45135708293881605</v>
      </c>
      <c r="G8" s="52">
        <f>IFERROR(1-_xlfn.NORM.DIST(_xlfn.NORM.INV(SUM(G10:G11), 0, 1) + 1, 0, 1, TRUE), "")</f>
        <v>0.48326101519940179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0.3797093546279573</v>
      </c>
      <c r="D9" s="52">
        <f>IFERROR(_xlfn.NORM.DIST(_xlfn.NORM.INV(SUM(D10:D11), 0, 1) + 1, 0, 1, TRUE) - SUM(D10:D11), "")</f>
        <v>0.3797093546279573</v>
      </c>
      <c r="E9" s="52">
        <f>IFERROR(_xlfn.NORM.DIST(_xlfn.NORM.INV(SUM(E10:E11), 0, 1) + 1, 0, 1, TRUE) - SUM(E10:E11), "")</f>
        <v>0.37195926269498186</v>
      </c>
      <c r="F9" s="52">
        <f>IFERROR(_xlfn.NORM.DIST(_xlfn.NORM.INV(SUM(F10:F11), 0, 1) + 1, 0, 1, TRUE) - SUM(F10:F11), "")</f>
        <v>0.35860771706118394</v>
      </c>
      <c r="G9" s="52">
        <f>IFERROR(_xlfn.NORM.DIST(_xlfn.NORM.INV(SUM(G10:G11), 0, 1) + 1, 0, 1, TRUE) - SUM(G10:G11), "")</f>
        <v>0.3477149848005982</v>
      </c>
    </row>
    <row r="10" spans="1:15" ht="15.75" customHeight="1" x14ac:dyDescent="0.25">
      <c r="B10" s="5" t="s">
        <v>109</v>
      </c>
      <c r="C10" s="45">
        <v>0.13725200000000001</v>
      </c>
      <c r="D10" s="53">
        <v>0.13725200000000001</v>
      </c>
      <c r="E10" s="53">
        <v>0.13448950000000001</v>
      </c>
      <c r="F10" s="53">
        <v>0.1103195</v>
      </c>
      <c r="G10" s="53">
        <v>0.1053587</v>
      </c>
    </row>
    <row r="11" spans="1:15" ht="15.75" customHeight="1" x14ac:dyDescent="0.25">
      <c r="B11" s="5" t="s">
        <v>110</v>
      </c>
      <c r="C11" s="45">
        <v>0.12531900000000001</v>
      </c>
      <c r="D11" s="53">
        <v>0.12531900000000001</v>
      </c>
      <c r="E11" s="53">
        <v>9.1717699999999999E-2</v>
      </c>
      <c r="F11" s="53">
        <v>7.97157E-2</v>
      </c>
      <c r="G11" s="53">
        <v>6.3665299999999994E-2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0.74456066350000005</v>
      </c>
      <c r="D14" s="54">
        <v>0.75094963539799986</v>
      </c>
      <c r="E14" s="54">
        <v>0.75094963539799986</v>
      </c>
      <c r="F14" s="54">
        <v>0.61297553806000005</v>
      </c>
      <c r="G14" s="54">
        <v>0.61297553806000005</v>
      </c>
      <c r="H14" s="45">
        <v>0.501</v>
      </c>
      <c r="I14" s="55">
        <v>0.501</v>
      </c>
      <c r="J14" s="55">
        <v>0.501</v>
      </c>
      <c r="K14" s="55">
        <v>0.501</v>
      </c>
      <c r="L14" s="45">
        <v>0.51500000000000001</v>
      </c>
      <c r="M14" s="55">
        <v>0.51500000000000001</v>
      </c>
      <c r="N14" s="55">
        <v>0.51500000000000001</v>
      </c>
      <c r="O14" s="55">
        <v>0.51500000000000001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0.33786897156502049</v>
      </c>
      <c r="D15" s="52">
        <f t="shared" si="0"/>
        <v>0.34076817839981055</v>
      </c>
      <c r="E15" s="52">
        <f t="shared" si="0"/>
        <v>0.34076817839981055</v>
      </c>
      <c r="F15" s="52">
        <f t="shared" si="0"/>
        <v>0.27815787858748098</v>
      </c>
      <c r="G15" s="52">
        <f t="shared" si="0"/>
        <v>0.27815787858748098</v>
      </c>
      <c r="H15" s="52">
        <f t="shared" si="0"/>
        <v>0.22734528300000001</v>
      </c>
      <c r="I15" s="52">
        <f t="shared" si="0"/>
        <v>0.22734528300000001</v>
      </c>
      <c r="J15" s="52">
        <f t="shared" si="0"/>
        <v>0.22734528300000001</v>
      </c>
      <c r="K15" s="52">
        <f t="shared" si="0"/>
        <v>0.22734528300000001</v>
      </c>
      <c r="L15" s="52">
        <f t="shared" si="0"/>
        <v>0.233698245</v>
      </c>
      <c r="M15" s="52">
        <f t="shared" si="0"/>
        <v>0.233698245</v>
      </c>
      <c r="N15" s="52">
        <f t="shared" si="0"/>
        <v>0.233698245</v>
      </c>
      <c r="O15" s="52">
        <f t="shared" si="0"/>
        <v>0.233698245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0.75669140000000001</v>
      </c>
      <c r="D2" s="53">
        <v>0.60997190000000001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5.1763399999999987E-2</v>
      </c>
      <c r="D3" s="53">
        <v>0.13076309999999999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0.14136029999999999</v>
      </c>
      <c r="D4" s="53">
        <v>0.2100186</v>
      </c>
      <c r="E4" s="53">
        <v>0.92946989999999996</v>
      </c>
      <c r="F4" s="53">
        <v>0.80184809999999995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5.0184899999999977E-2</v>
      </c>
      <c r="D5" s="52">
        <f t="shared" si="0"/>
        <v>4.9246399999999912E-2</v>
      </c>
      <c r="E5" s="52">
        <f>1-SUM(E2:E4)</f>
        <v>7.053010000000004E-2</v>
      </c>
      <c r="F5" s="52">
        <f>1-SUM(F2:F4)</f>
        <v>0.19815190000000005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2410.8880207068901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0.56893000000000005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0.29924000000000001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2.3635785231880653E-2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96616.471839999998</v>
      </c>
      <c r="C22" s="109">
        <v>96347.135309999998</v>
      </c>
      <c r="D22" s="109">
        <v>96086.182459999996</v>
      </c>
      <c r="E22" s="109">
        <v>95684.075379999995</v>
      </c>
      <c r="F22" s="109">
        <v>95063.562330000001</v>
      </c>
      <c r="G22" s="109">
        <v>94353.994089999993</v>
      </c>
      <c r="H22" s="109">
        <v>93458.443530000004</v>
      </c>
      <c r="I22" s="109">
        <v>92275.410969999997</v>
      </c>
      <c r="J22" s="109">
        <v>90738.570909999995</v>
      </c>
      <c r="K22" s="109">
        <v>88590.875839999993</v>
      </c>
      <c r="L22" s="109">
        <v>85203.152830000006</v>
      </c>
      <c r="M22" s="109">
        <v>80325.686430000002</v>
      </c>
      <c r="N22" s="109">
        <v>73568.673049999998</v>
      </c>
      <c r="O22" s="109">
        <v>64391.779889999998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14.302968270214945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14.302968270214945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8.0705350947424606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0.19283527130965261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1.5426821704772209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0.25</v>
      </c>
      <c r="C9" s="98">
        <v>0.95</v>
      </c>
      <c r="D9" s="56">
        <v>8.3433981576253854E-2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0.52523580000000003</v>
      </c>
      <c r="C10" s="98">
        <v>0.95</v>
      </c>
      <c r="D10" s="56">
        <v>12.664388720547789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12.664388720547789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12.664388720547789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12.664388720547789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0.52523580000000003</v>
      </c>
      <c r="C14" s="98">
        <v>0.95</v>
      </c>
      <c r="D14" s="56">
        <v>12.664388720547789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12.664388720547789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0.17549090000000001</v>
      </c>
      <c r="C16" s="98">
        <v>0.95</v>
      </c>
      <c r="D16" s="56">
        <v>2.5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2.6852323958333302E-3</v>
      </c>
      <c r="C17" s="98">
        <v>0.95</v>
      </c>
      <c r="D17" s="56">
        <v>5.9595701125895607E-2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0.56000000000000005</v>
      </c>
      <c r="C18" s="98">
        <v>0.95</v>
      </c>
      <c r="D18" s="56">
        <v>8.0705350947424606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0.60997190000000001</v>
      </c>
      <c r="C19" s="98">
        <v>0.95</v>
      </c>
      <c r="D19" s="56">
        <v>4.0144932296368099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8.0705350947424606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0.25387939999999998</v>
      </c>
      <c r="C23" s="98">
        <v>0.95</v>
      </c>
      <c r="D23" s="56">
        <v>4.0619684601961064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0.63353828607887197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4.7229528222409431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21.89376196990424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0.60628720000000003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0.23551420000000001</v>
      </c>
      <c r="C29" s="98">
        <v>0.95</v>
      </c>
      <c r="D29" s="56">
        <v>26.81689264396762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53.05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127.53480040941659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0.54</v>
      </c>
      <c r="C32" s="98">
        <v>0.95</v>
      </c>
      <c r="D32" s="56">
        <v>8.3433981576253854E-2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0.76264790000000005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0.36646840000000003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6.6521999999999998E-2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0.44826470000000002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0.23499999999999999</v>
      </c>
      <c r="C38" s="98">
        <v>0.95</v>
      </c>
      <c r="D38" s="56">
        <v>0.7628249744114638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2.08</v>
      </c>
      <c r="C2" s="21">
        <f>'Baseline year population inputs'!C52</f>
        <v>2.08</v>
      </c>
      <c r="D2" s="21">
        <f>'Baseline year population inputs'!C53</f>
        <v>3.3279999999999998</v>
      </c>
      <c r="E2" s="21">
        <f>'Baseline year population inputs'!C54</f>
        <v>2.6</v>
      </c>
      <c r="F2" s="21">
        <f>'Baseline year population inputs'!C55</f>
        <v>1.412666666666667</v>
      </c>
    </row>
    <row r="3" spans="1:6" ht="15.75" customHeight="1" x14ac:dyDescent="0.25">
      <c r="A3" s="3" t="s">
        <v>197</v>
      </c>
      <c r="B3" s="21">
        <f>frac_mam_1month * 2.6</f>
        <v>0.35685520000000004</v>
      </c>
      <c r="C3" s="21">
        <f>frac_mam_1_5months * 2.6</f>
        <v>0.35685520000000004</v>
      </c>
      <c r="D3" s="21">
        <f>frac_mam_6_11months * 2.6</f>
        <v>0.34967270000000006</v>
      </c>
      <c r="E3" s="21">
        <f>frac_mam_12_23months * 2.6</f>
        <v>0.28683069999999999</v>
      </c>
      <c r="F3" s="21">
        <f>frac_mam_24_59months * 2.6</f>
        <v>0.27393262000000002</v>
      </c>
    </row>
    <row r="4" spans="1:6" ht="15.75" customHeight="1" x14ac:dyDescent="0.25">
      <c r="A4" s="3" t="s">
        <v>198</v>
      </c>
      <c r="B4" s="21">
        <f>frac_sam_1month * 2.6</f>
        <v>0.32582940000000005</v>
      </c>
      <c r="C4" s="21">
        <f>frac_sam_1_5months * 2.6</f>
        <v>0.32582940000000005</v>
      </c>
      <c r="D4" s="21">
        <f>frac_sam_6_11months * 2.6</f>
        <v>0.23846602</v>
      </c>
      <c r="E4" s="21">
        <f>frac_sam_12_23months * 2.6</f>
        <v>0.20726082000000001</v>
      </c>
      <c r="F4" s="21">
        <f>frac_sam_24_59months * 2.6</f>
        <v>0.16552977999999999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0.21199999999999999</v>
      </c>
      <c r="F2" s="60">
        <f>food_insecure</f>
        <v>0.21199999999999999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0.21199999999999999</v>
      </c>
      <c r="F5" s="60">
        <f>food_insecure</f>
        <v>0.21199999999999999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4.5066666666666678E-2</v>
      </c>
      <c r="D7" s="60">
        <f>diarrhoea_1_5mo*frac_diarrhea_severe</f>
        <v>4.5066666666666678E-2</v>
      </c>
      <c r="E7" s="60">
        <f>diarrhoea_6_11mo*frac_diarrhea_severe</f>
        <v>7.210666666666668E-2</v>
      </c>
      <c r="F7" s="60">
        <f>diarrhoea_12_23mo*frac_diarrhea_severe</f>
        <v>5.6333333333333346E-2</v>
      </c>
      <c r="G7" s="60">
        <f>diarrhoea_24_59mo*frac_diarrhea_severe</f>
        <v>3.0607777777777789E-2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0.21199999999999999</v>
      </c>
      <c r="F8" s="60">
        <f>food_insecure</f>
        <v>0.21199999999999999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0.21199999999999999</v>
      </c>
      <c r="F9" s="60">
        <f>food_insecure</f>
        <v>0.21199999999999999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4.5066666666666678E-2</v>
      </c>
      <c r="D12" s="60">
        <f>diarrhoea_1_5mo*frac_diarrhea_severe</f>
        <v>4.5066666666666678E-2</v>
      </c>
      <c r="E12" s="60">
        <f>diarrhoea_6_11mo*frac_diarrhea_severe</f>
        <v>7.210666666666668E-2</v>
      </c>
      <c r="F12" s="60">
        <f>diarrhoea_12_23mo*frac_diarrhea_severe</f>
        <v>5.6333333333333346E-2</v>
      </c>
      <c r="G12" s="60">
        <f>diarrhoea_24_59mo*frac_diarrhea_severe</f>
        <v>3.0607777777777789E-2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0.21199999999999999</v>
      </c>
      <c r="I15" s="60">
        <f t="shared" si="0"/>
        <v>0.21199999999999999</v>
      </c>
      <c r="J15" s="60">
        <f t="shared" si="0"/>
        <v>0.21199999999999999</v>
      </c>
      <c r="K15" s="60">
        <f t="shared" si="0"/>
        <v>0.21199999999999999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0.21199999999999999</v>
      </c>
      <c r="I16" s="60">
        <f t="shared" si="0"/>
        <v>0.21199999999999999</v>
      </c>
      <c r="J16" s="60">
        <f t="shared" si="0"/>
        <v>0.21199999999999999</v>
      </c>
      <c r="K16" s="60">
        <f t="shared" si="0"/>
        <v>0.21199999999999999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0.1323</v>
      </c>
      <c r="I19" s="60">
        <f>frac_malaria_risk</f>
        <v>0.1323</v>
      </c>
      <c r="J19" s="60">
        <f>frac_malaria_risk</f>
        <v>0.1323</v>
      </c>
      <c r="K19" s="60">
        <f>frac_malaria_risk</f>
        <v>0.1323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9.4E-2</v>
      </c>
      <c r="M24" s="60">
        <f>famplan_unmet_need</f>
        <v>9.4E-2</v>
      </c>
      <c r="N24" s="60">
        <f>famplan_unmet_need</f>
        <v>9.4E-2</v>
      </c>
      <c r="O24" s="60">
        <f>famplan_unmet_need</f>
        <v>9.4E-2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0.20208491186218289</v>
      </c>
      <c r="M25" s="60">
        <f>(1-food_insecure)*(0.49)+food_insecure*(0.7)</f>
        <v>0.53452</v>
      </c>
      <c r="N25" s="60">
        <f>(1-food_insecure)*(0.49)+food_insecure*(0.7)</f>
        <v>0.53452</v>
      </c>
      <c r="O25" s="60">
        <f>(1-food_insecure)*(0.49)+food_insecure*(0.7)</f>
        <v>0.53452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8.6607819369506941E-2</v>
      </c>
      <c r="M26" s="60">
        <f>(1-food_insecure)*(0.21)+food_insecure*(0.3)</f>
        <v>0.22907999999999998</v>
      </c>
      <c r="N26" s="60">
        <f>(1-food_insecure)*(0.21)+food_insecure*(0.3)</f>
        <v>0.22907999999999998</v>
      </c>
      <c r="O26" s="60">
        <f>(1-food_insecure)*(0.21)+food_insecure*(0.3)</f>
        <v>0.22907999999999998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8.9375277191162228E-2</v>
      </c>
      <c r="M27" s="60">
        <f>(1-food_insecure)*(0.3)</f>
        <v>0.2364</v>
      </c>
      <c r="N27" s="60">
        <f>(1-food_insecure)*(0.3)</f>
        <v>0.2364</v>
      </c>
      <c r="O27" s="60">
        <f>(1-food_insecure)*(0.3)</f>
        <v>0.2364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0.62193199157714796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0.1323</v>
      </c>
      <c r="D34" s="60">
        <f t="shared" si="4"/>
        <v>0.1323</v>
      </c>
      <c r="E34" s="60">
        <f t="shared" si="4"/>
        <v>0.1323</v>
      </c>
      <c r="F34" s="60">
        <f t="shared" si="4"/>
        <v>0.1323</v>
      </c>
      <c r="G34" s="60">
        <f t="shared" si="4"/>
        <v>0.1323</v>
      </c>
      <c r="H34" s="60">
        <f t="shared" si="4"/>
        <v>0.1323</v>
      </c>
      <c r="I34" s="60">
        <f t="shared" si="4"/>
        <v>0.1323</v>
      </c>
      <c r="J34" s="60">
        <f t="shared" si="4"/>
        <v>0.1323</v>
      </c>
      <c r="K34" s="60">
        <f t="shared" si="4"/>
        <v>0.1323</v>
      </c>
      <c r="L34" s="60">
        <f t="shared" si="4"/>
        <v>0.1323</v>
      </c>
      <c r="M34" s="60">
        <f t="shared" si="4"/>
        <v>0.1323</v>
      </c>
      <c r="N34" s="60">
        <f t="shared" si="4"/>
        <v>0.1323</v>
      </c>
      <c r="O34" s="60">
        <f t="shared" si="4"/>
        <v>0.1323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