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C9A76047-822C-4104-9366-27D6F061AD5B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31" i="2"/>
  <c r="A25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<sst xmlns="http://schemas.openxmlformats.org/spreadsheetml/2006/main" count="2169" uniqueCount="373">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</sst>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3535711.5</v>
      </c>
    </row>
    <row r="8" spans="1:3" ht="15" customHeight="1" x14ac:dyDescent="0.25">
      <c r="B8" s="5" t="s">
        <v>8</v>
      </c>
      <c r="C8" s="44">
        <v>4.0999999999999988E-2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0.81589927673339802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0.14069999999999999</v>
      </c>
    </row>
    <row r="24" spans="1:3" ht="15" customHeight="1" x14ac:dyDescent="0.25">
      <c r="B24" s="15" t="s">
        <v>22</v>
      </c>
      <c r="C24" s="45">
        <v>0.54339999999999999</v>
      </c>
    </row>
    <row r="25" spans="1:3" ht="15" customHeight="1" x14ac:dyDescent="0.25">
      <c r="B25" s="15" t="s">
        <v>23</v>
      </c>
      <c r="C25" s="45">
        <v>0.26979999999999998</v>
      </c>
    </row>
    <row r="26" spans="1:3" ht="15" customHeight="1" x14ac:dyDescent="0.25">
      <c r="B26" s="15" t="s">
        <v>24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0.43013027417118699</v>
      </c>
    </row>
    <row r="30" spans="1:3" ht="14.25" customHeight="1" x14ac:dyDescent="0.25">
      <c r="B30" s="25" t="s">
        <v>27</v>
      </c>
      <c r="C30" s="97">
        <v>3.6306215717705301E-2</v>
      </c>
    </row>
    <row r="31" spans="1:3" ht="14.25" customHeight="1" x14ac:dyDescent="0.25">
      <c r="B31" s="25" t="s">
        <v>28</v>
      </c>
      <c r="C31" s="97">
        <v>5.3639561550891501E-2</v>
      </c>
    </row>
    <row r="32" spans="1:3" ht="14.25" customHeight="1" x14ac:dyDescent="0.25">
      <c r="B32" s="25" t="s">
        <v>29</v>
      </c>
      <c r="C32" s="97">
        <v>0.47992394856021697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6.9927799999999998</v>
      </c>
    </row>
    <row r="38" spans="1:5" ht="15" customHeight="1" x14ac:dyDescent="0.25">
      <c r="B38" s="11" t="s">
        <v>34</v>
      </c>
      <c r="C38" s="43">
        <v>11.05827</v>
      </c>
      <c r="D38" s="12"/>
      <c r="E38" s="13"/>
    </row>
    <row r="39" spans="1:5" ht="15" customHeight="1" x14ac:dyDescent="0.25">
      <c r="B39" s="11" t="s">
        <v>35</v>
      </c>
      <c r="C39" s="43">
        <v>12.84816</v>
      </c>
      <c r="D39" s="12"/>
      <c r="E39" s="12"/>
    </row>
    <row r="40" spans="1:5" ht="15" customHeight="1" x14ac:dyDescent="0.25">
      <c r="B40" s="11" t="s">
        <v>36</v>
      </c>
      <c r="C40" s="98">
        <v>0.75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7.6820999999999999E-3</v>
      </c>
      <c r="D45" s="12"/>
    </row>
    <row r="46" spans="1:5" ht="15.75" customHeight="1" x14ac:dyDescent="0.25">
      <c r="B46" s="11" t="s">
        <v>41</v>
      </c>
      <c r="C46" s="45">
        <v>8.2543399999999989E-2</v>
      </c>
      <c r="D46" s="12"/>
    </row>
    <row r="47" spans="1:5" ht="15.75" customHeight="1" x14ac:dyDescent="0.25">
      <c r="B47" s="11" t="s">
        <v>42</v>
      </c>
      <c r="C47" s="45">
        <v>7.3695200000000002E-2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0.55688800000000005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700784</v>
      </c>
      <c r="C2" s="49">
        <v>1948399</v>
      </c>
      <c r="D2" s="49">
        <v>4445415.4999999991</v>
      </c>
      <c r="E2" s="49">
        <v>4277973</v>
      </c>
      <c r="F2" s="49">
        <v>3588210.5</v>
      </c>
      <c r="G2" s="17">
        <f t="shared" ref="G2:G13" si="0">C2+D2+E2+F2</f>
        <v>14259998</v>
      </c>
      <c r="H2" s="17">
        <f t="shared" ref="H2:H13" si="1">(B2 + stillbirth*B2/(1000-stillbirth))/(1-abortion)</f>
        <v>802076.08767285512</v>
      </c>
      <c r="I2" s="17">
        <f t="shared" ref="I2:I13" si="2">G2-H2</f>
        <v>13457921.912327144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692792</v>
      </c>
      <c r="C3" s="50">
        <v>1918232.5</v>
      </c>
      <c r="D3" s="50">
        <v>4405021.0000000009</v>
      </c>
      <c r="E3" s="50">
        <v>4360050.4999999991</v>
      </c>
      <c r="F3" s="50">
        <v>3657191</v>
      </c>
      <c r="G3" s="17">
        <f t="shared" si="0"/>
        <v>14340495</v>
      </c>
      <c r="H3" s="17">
        <f t="shared" si="1"/>
        <v>792928.91523073113</v>
      </c>
      <c r="I3" s="17">
        <f t="shared" si="2"/>
        <v>13547566.084769269</v>
      </c>
    </row>
    <row r="4" spans="1:9" ht="15.75" customHeight="1" x14ac:dyDescent="0.25">
      <c r="A4" s="5">
        <f t="shared" si="3"/>
        <v>2026</v>
      </c>
      <c r="B4" s="49">
        <v>684798</v>
      </c>
      <c r="C4" s="50">
        <v>1887995</v>
      </c>
      <c r="D4" s="50">
        <v>4356732.5</v>
      </c>
      <c r="E4" s="50">
        <v>4432068.5</v>
      </c>
      <c r="F4" s="50">
        <v>3723419.5</v>
      </c>
      <c r="G4" s="17">
        <f t="shared" si="0"/>
        <v>14400215.5</v>
      </c>
      <c r="H4" s="17">
        <f t="shared" si="1"/>
        <v>783779.45370641432</v>
      </c>
      <c r="I4" s="17">
        <f t="shared" si="2"/>
        <v>13616436.046293586</v>
      </c>
    </row>
    <row r="5" spans="1:9" ht="15.75" customHeight="1" x14ac:dyDescent="0.25">
      <c r="A5" s="5">
        <f t="shared" si="3"/>
        <v>2027</v>
      </c>
      <c r="B5" s="49">
        <v>677447</v>
      </c>
      <c r="C5" s="50">
        <v>1858870.5</v>
      </c>
      <c r="D5" s="50">
        <v>4301379</v>
      </c>
      <c r="E5" s="50">
        <v>4495246.9999999991</v>
      </c>
      <c r="F5" s="50">
        <v>3789044.5</v>
      </c>
      <c r="G5" s="17">
        <f t="shared" si="0"/>
        <v>14444541</v>
      </c>
      <c r="H5" s="17">
        <f t="shared" si="1"/>
        <v>775365.93210705824</v>
      </c>
      <c r="I5" s="17">
        <f t="shared" si="2"/>
        <v>13669175.067892943</v>
      </c>
    </row>
    <row r="6" spans="1:9" ht="15.75" customHeight="1" x14ac:dyDescent="0.25">
      <c r="A6" s="5">
        <f t="shared" si="3"/>
        <v>2028</v>
      </c>
      <c r="B6" s="49">
        <v>671111</v>
      </c>
      <c r="C6" s="50">
        <v>1830871</v>
      </c>
      <c r="D6" s="50">
        <v>4239128.5</v>
      </c>
      <c r="E6" s="50">
        <v>4551946</v>
      </c>
      <c r="F6" s="50">
        <v>3856606</v>
      </c>
      <c r="G6" s="17">
        <f t="shared" si="0"/>
        <v>14478551.5</v>
      </c>
      <c r="H6" s="17">
        <f t="shared" si="1"/>
        <v>768114.11972050951</v>
      </c>
      <c r="I6" s="17">
        <f t="shared" si="2"/>
        <v>13710437.380279491</v>
      </c>
    </row>
    <row r="7" spans="1:9" ht="15.75" customHeight="1" x14ac:dyDescent="0.25">
      <c r="A7" s="5">
        <f t="shared" si="3"/>
        <v>2029</v>
      </c>
      <c r="B7" s="49">
        <v>664211</v>
      </c>
      <c r="C7" s="50">
        <v>1804726.5</v>
      </c>
      <c r="D7" s="50">
        <v>4173611.5</v>
      </c>
      <c r="E7" s="50">
        <v>4595625</v>
      </c>
      <c r="F7" s="50">
        <v>3926865.5</v>
      </c>
      <c r="G7" s="17">
        <f t="shared" si="0"/>
        <v>14500828.5</v>
      </c>
      <c r="H7" s="17">
        <f t="shared" si="1"/>
        <v>760216.78615561267</v>
      </c>
      <c r="I7" s="17">
        <f t="shared" si="2"/>
        <v>13740611.713844387</v>
      </c>
    </row>
    <row r="8" spans="1:9" ht="15.75" customHeight="1" x14ac:dyDescent="0.25">
      <c r="A8" s="5">
        <f t="shared" si="3"/>
        <v>2030</v>
      </c>
      <c r="B8" s="49">
        <v>656778</v>
      </c>
      <c r="C8" s="50">
        <v>1783022.5</v>
      </c>
      <c r="D8" s="50">
        <v>4105526.5</v>
      </c>
      <c r="E8" s="50">
        <v>4621189</v>
      </c>
      <c r="F8" s="50">
        <v>3998145.0000000005</v>
      </c>
      <c r="G8" s="17">
        <f t="shared" si="0"/>
        <v>14507883</v>
      </c>
      <c r="H8" s="17">
        <f t="shared" si="1"/>
        <v>751709.41218635486</v>
      </c>
      <c r="I8" s="17">
        <f t="shared" si="2"/>
        <v>13756173.587813646</v>
      </c>
    </row>
    <row r="9" spans="1:9" ht="15.75" customHeight="1" x14ac:dyDescent="0.25">
      <c r="A9" s="5">
        <f t="shared" si="3"/>
        <v>2031</v>
      </c>
      <c r="B9" s="49">
        <v>649285</v>
      </c>
      <c r="C9" s="50">
        <v>1764848</v>
      </c>
      <c r="D9" s="50">
        <v>4033734.0000000005</v>
      </c>
      <c r="E9" s="50">
        <v>4628873.5</v>
      </c>
      <c r="F9" s="50">
        <v>4070007</v>
      </c>
      <c r="G9" s="17">
        <f t="shared" si="0"/>
        <v>14497462.5</v>
      </c>
      <c r="H9" s="17">
        <f t="shared" si="1"/>
        <v>743133.36575131526</v>
      </c>
      <c r="I9" s="17">
        <f t="shared" si="2"/>
        <v>13754329.134248685</v>
      </c>
    </row>
    <row r="10" spans="1:9" ht="15.75" customHeight="1" x14ac:dyDescent="0.25">
      <c r="A10" s="5">
        <f t="shared" si="3"/>
        <v>2032</v>
      </c>
      <c r="B10" s="49">
        <v>641703</v>
      </c>
      <c r="C10" s="50">
        <v>1750589.5</v>
      </c>
      <c r="D10" s="50">
        <v>3961364.5</v>
      </c>
      <c r="E10" s="50">
        <v>4619783.5</v>
      </c>
      <c r="F10" s="50">
        <v>4142868.0000000005</v>
      </c>
      <c r="G10" s="17">
        <f t="shared" si="0"/>
        <v>14474605.5</v>
      </c>
      <c r="H10" s="17">
        <f t="shared" si="1"/>
        <v>734455.45515869965</v>
      </c>
      <c r="I10" s="17">
        <f t="shared" si="2"/>
        <v>13740150.044841301</v>
      </c>
    </row>
    <row r="11" spans="1:9" ht="15.75" customHeight="1" x14ac:dyDescent="0.25">
      <c r="A11" s="5">
        <f t="shared" si="3"/>
        <v>2033</v>
      </c>
      <c r="B11" s="49">
        <v>634613</v>
      </c>
      <c r="C11" s="50">
        <v>1743083</v>
      </c>
      <c r="D11" s="50">
        <v>3891280.5</v>
      </c>
      <c r="E11" s="50">
        <v>4594761</v>
      </c>
      <c r="F11" s="50">
        <v>4218761</v>
      </c>
      <c r="G11" s="17">
        <f t="shared" si="0"/>
        <v>14447885.5</v>
      </c>
      <c r="H11" s="17">
        <f t="shared" si="1"/>
        <v>726340.65878549404</v>
      </c>
      <c r="I11" s="17">
        <f t="shared" si="2"/>
        <v>13721544.841214506</v>
      </c>
    </row>
    <row r="12" spans="1:9" ht="15.75" customHeight="1" x14ac:dyDescent="0.25">
      <c r="A12" s="5">
        <f t="shared" si="3"/>
        <v>2034</v>
      </c>
      <c r="B12" s="49">
        <v>627450</v>
      </c>
      <c r="C12" s="50">
        <v>1742728.5</v>
      </c>
      <c r="D12" s="50">
        <v>3826209.5</v>
      </c>
      <c r="E12" s="50">
        <v>4554651.5</v>
      </c>
      <c r="F12" s="50">
        <v>4297891.5</v>
      </c>
      <c r="G12" s="17">
        <f t="shared" si="0"/>
        <v>14421481</v>
      </c>
      <c r="H12" s="17">
        <f t="shared" si="1"/>
        <v>718142.31091225403</v>
      </c>
      <c r="I12" s="17">
        <f t="shared" si="2"/>
        <v>13703338.689087747</v>
      </c>
    </row>
    <row r="13" spans="1:9" ht="15.75" customHeight="1" x14ac:dyDescent="0.25">
      <c r="A13" s="5">
        <f t="shared" si="3"/>
        <v>2035</v>
      </c>
      <c r="B13" s="49">
        <v>619700</v>
      </c>
      <c r="C13" s="50">
        <v>1748604.5</v>
      </c>
      <c r="D13" s="50">
        <v>3767119</v>
      </c>
      <c r="E13" s="50">
        <v>4503207.5</v>
      </c>
      <c r="F13" s="50">
        <v>4374228.4999999991</v>
      </c>
      <c r="G13" s="17">
        <f t="shared" si="0"/>
        <v>14393159.5</v>
      </c>
      <c r="H13" s="17">
        <f t="shared" si="1"/>
        <v>709272.11741544958</v>
      </c>
      <c r="I13" s="17">
        <f t="shared" si="2"/>
        <v>13683887.382584549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0.14711110000000011</v>
      </c>
    </row>
    <row r="5" spans="1:8" ht="15.75" customHeight="1" x14ac:dyDescent="0.25">
      <c r="B5" s="19" t="s">
        <v>70</v>
      </c>
      <c r="C5" s="99">
        <v>4.0477800000000022E-2</v>
      </c>
    </row>
    <row r="6" spans="1:8" ht="15.75" customHeight="1" x14ac:dyDescent="0.25">
      <c r="B6" s="19" t="s">
        <v>71</v>
      </c>
      <c r="C6" s="99">
        <v>9.7223000000000004E-2</v>
      </c>
    </row>
    <row r="7" spans="1:8" ht="15.75" customHeight="1" x14ac:dyDescent="0.25">
      <c r="B7" s="19" t="s">
        <v>72</v>
      </c>
      <c r="C7" s="99">
        <v>0.32530749999999958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0.27405230000000008</v>
      </c>
    </row>
    <row r="10" spans="1:8" ht="15.75" customHeight="1" x14ac:dyDescent="0.25">
      <c r="B10" s="19" t="s">
        <v>75</v>
      </c>
      <c r="C10" s="99">
        <v>0.1158283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82</v>
      </c>
      <c r="C15" s="99">
        <v>0.33829228028107838</v>
      </c>
      <c r="D15" s="99">
        <v>0.33829228028107838</v>
      </c>
      <c r="E15" s="99">
        <v>0.33829228028107838</v>
      </c>
      <c r="F15" s="99">
        <v>0.33829228028107838</v>
      </c>
    </row>
    <row r="16" spans="1:8" ht="15.75" customHeight="1" x14ac:dyDescent="0.25">
      <c r="B16" s="19" t="s">
        <v>83</v>
      </c>
      <c r="C16" s="99">
        <v>4.0471888956131262E-2</v>
      </c>
      <c r="D16" s="99">
        <v>4.0471888956131262E-2</v>
      </c>
      <c r="E16" s="99">
        <v>4.0471888956131262E-2</v>
      </c>
      <c r="F16" s="99">
        <v>4.0471888956131262E-2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8.6409764688803227E-4</v>
      </c>
      <c r="D18" s="99">
        <v>8.6409764688803227E-4</v>
      </c>
      <c r="E18" s="99">
        <v>8.6409764688803227E-4</v>
      </c>
      <c r="F18" s="99">
        <v>8.6409764688803227E-4</v>
      </c>
    </row>
    <row r="19" spans="1:8" ht="15.75" customHeight="1" x14ac:dyDescent="0.25">
      <c r="B19" s="19" t="s">
        <v>86</v>
      </c>
      <c r="C19" s="99">
        <v>1.100088805803145E-2</v>
      </c>
      <c r="D19" s="99">
        <v>1.100088805803145E-2</v>
      </c>
      <c r="E19" s="99">
        <v>1.100088805803145E-2</v>
      </c>
      <c r="F19" s="99">
        <v>1.100088805803145E-2</v>
      </c>
    </row>
    <row r="20" spans="1:8" ht="15.75" customHeight="1" x14ac:dyDescent="0.25">
      <c r="B20" s="19" t="s">
        <v>87</v>
      </c>
      <c r="C20" s="99">
        <v>3.2865733487814998E-2</v>
      </c>
      <c r="D20" s="99">
        <v>3.2865733487814998E-2</v>
      </c>
      <c r="E20" s="99">
        <v>3.2865733487814998E-2</v>
      </c>
      <c r="F20" s="99">
        <v>3.2865733487814998E-2</v>
      </c>
    </row>
    <row r="21" spans="1:8" ht="15.75" customHeight="1" x14ac:dyDescent="0.25">
      <c r="B21" s="19" t="s">
        <v>88</v>
      </c>
      <c r="C21" s="99">
        <v>0.23867431234891051</v>
      </c>
      <c r="D21" s="99">
        <v>0.23867431234891051</v>
      </c>
      <c r="E21" s="99">
        <v>0.23867431234891051</v>
      </c>
      <c r="F21" s="99">
        <v>0.23867431234891051</v>
      </c>
    </row>
    <row r="22" spans="1:8" ht="15.75" customHeight="1" x14ac:dyDescent="0.25">
      <c r="B22" s="19" t="s">
        <v>89</v>
      </c>
      <c r="C22" s="99">
        <v>0.26218010651496848</v>
      </c>
      <c r="D22" s="99">
        <v>0.26218010651496848</v>
      </c>
      <c r="E22" s="99">
        <v>0.26218010651496848</v>
      </c>
      <c r="F22" s="99">
        <v>0.26218010651496848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3.6445469000000001E-2</v>
      </c>
    </row>
    <row r="27" spans="1:8" ht="15.75" customHeight="1" x14ac:dyDescent="0.25">
      <c r="B27" s="19" t="s">
        <v>92</v>
      </c>
      <c r="C27" s="99">
        <v>2.0200972000000001E-2</v>
      </c>
    </row>
    <row r="28" spans="1:8" ht="15.75" customHeight="1" x14ac:dyDescent="0.25">
      <c r="B28" s="19" t="s">
        <v>93</v>
      </c>
      <c r="C28" s="99">
        <v>0.121636906</v>
      </c>
    </row>
    <row r="29" spans="1:8" ht="15.75" customHeight="1" x14ac:dyDescent="0.25">
      <c r="B29" s="19" t="s">
        <v>94</v>
      </c>
      <c r="C29" s="99">
        <v>0.27379125199999998</v>
      </c>
    </row>
    <row r="30" spans="1:8" ht="15.75" customHeight="1" x14ac:dyDescent="0.25">
      <c r="B30" s="19" t="s">
        <v>95</v>
      </c>
      <c r="C30" s="99">
        <v>4.8980840999999997E-2</v>
      </c>
    </row>
    <row r="31" spans="1:8" ht="15.75" customHeight="1" x14ac:dyDescent="0.25">
      <c r="B31" s="19" t="s">
        <v>96</v>
      </c>
      <c r="C31" s="99">
        <v>9.9634768999999998E-2</v>
      </c>
    </row>
    <row r="32" spans="1:8" ht="15.75" customHeight="1" x14ac:dyDescent="0.25">
      <c r="B32" s="19" t="s">
        <v>97</v>
      </c>
      <c r="C32" s="99">
        <v>4.4642563000000003E-2</v>
      </c>
    </row>
    <row r="33" spans="2:3" ht="15.75" customHeight="1" x14ac:dyDescent="0.25">
      <c r="B33" s="19" t="s">
        <v>98</v>
      </c>
      <c r="C33" s="99">
        <v>9.3728627999999994E-2</v>
      </c>
    </row>
    <row r="34" spans="2:3" ht="15.75" customHeight="1" x14ac:dyDescent="0.25">
      <c r="B34" s="19" t="s">
        <v>99</v>
      </c>
      <c r="C34" s="99">
        <v>0.26093860099999999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104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105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109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110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3.0643100000000034E-2</v>
      </c>
      <c r="D5" s="52">
        <f t="shared" si="0"/>
        <v>5.2844200000000008E-2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6624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0.54654999999999998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0.56340000000000001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1.6795589644483393E-2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98681.224740000005</v>
      </c>
      <c r="C22" s="107">
        <v>98573.172439999995</v>
      </c>
      <c r="D22" s="107">
        <v>98436.281579999995</v>
      </c>
      <c r="E22" s="107">
        <v>98004.155710000006</v>
      </c>
      <c r="F22" s="107">
        <v>97399.07677</v>
      </c>
      <c r="G22" s="107">
        <v>96815.067899999995</v>
      </c>
      <c r="H22" s="107">
        <v>96181.43389</v>
      </c>
      <c r="I22" s="107">
        <v>95525.14215</v>
      </c>
      <c r="J22" s="107">
        <v>94746.592069999999</v>
      </c>
      <c r="K22" s="107">
        <v>93749.380539999998</v>
      </c>
      <c r="L22" s="107">
        <v>92317.887409999996</v>
      </c>
      <c r="M22" s="107">
        <v>90021.152300000002</v>
      </c>
      <c r="N22" s="107">
        <v>86622.256840000002</v>
      </c>
      <c r="O22" s="107">
        <v>81789.838159999999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0.80700000000000005</v>
      </c>
      <c r="C10" s="96">
        <v>0.95</v>
      </c>
      <c r="D10" s="56">
        <v>13.249980434335621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13.249980434335621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13.249980434335621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13.249980434335621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0.80700000000000005</v>
      </c>
      <c r="C14" s="96">
        <v>0.95</v>
      </c>
      <c r="D14" s="56">
        <v>13.249980434335621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13.249980434335621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0.19779928666666699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0.40198139999999999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0.40198139999999999</v>
      </c>
      <c r="C19" s="96">
        <v>0.95</v>
      </c>
      <c r="D19" s="56">
        <v>13.33399039011101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4.4279632813135006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0.90059688330367194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0.80700000000000005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0.54084730000000003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0.61478450000000007</v>
      </c>
      <c r="C29" s="96">
        <v>0.95</v>
      </c>
      <c r="D29" s="56">
        <v>137.83733365130871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8.9999999999999998E-4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0.70153599999999994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0.14358209999999999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0.88614170000000003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198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4.0999999999999988E-2</v>
      </c>
      <c r="F2" s="60">
        <f>food_insecure</f>
        <v>4.0999999999999988E-2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4.0999999999999988E-2</v>
      </c>
      <c r="I15" s="60">
        <f t="shared" si="0"/>
        <v>4.0999999999999988E-2</v>
      </c>
      <c r="J15" s="60">
        <f t="shared" si="0"/>
        <v>4.0999999999999988E-2</v>
      </c>
      <c r="K15" s="60">
        <f t="shared" si="0"/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4.0999999999999988E-2</v>
      </c>
      <c r="I16" s="60">
        <f t="shared" si="0"/>
        <v>4.0999999999999988E-2</v>
      </c>
      <c r="J16" s="60">
        <f t="shared" si="0"/>
        <v>4.0999999999999988E-2</v>
      </c>
      <c r="K16" s="60">
        <f t="shared" si="0"/>
        <v>4.0999999999999988E-2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