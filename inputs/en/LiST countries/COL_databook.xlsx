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5CF4165-9628-47DE-9719-0DCA60371FE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I39" i="2" s="1"/>
  <c r="G39" i="2"/>
  <c r="A39" i="2"/>
  <c r="H38" i="2"/>
  <c r="I38" i="2" s="1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9" i="2" l="1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<sst xmlns="http://schemas.openxmlformats.org/spreadsheetml/2006/main" count="2103" uniqueCount="341">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</sst>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3532956.125</v>
      </c>
    </row>
    <row r="8" spans="1:3" ht="15" customHeight="1" x14ac:dyDescent="0.25">
      <c r="B8" s="5" t="s">
        <v>8</v>
      </c>
      <c r="C8" s="44">
        <v>4.0999999999999988E-2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0.81589927673339802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0.14069999999999999</v>
      </c>
    </row>
    <row r="24" spans="1:3" ht="15" customHeight="1" x14ac:dyDescent="0.25">
      <c r="B24" s="15" t="s">
        <v>22</v>
      </c>
      <c r="C24" s="45">
        <v>0.54339999999999999</v>
      </c>
    </row>
    <row r="25" spans="1:3" ht="15" customHeight="1" x14ac:dyDescent="0.25">
      <c r="B25" s="15" t="s">
        <v>23</v>
      </c>
      <c r="C25" s="45">
        <v>0.26979999999999998</v>
      </c>
    </row>
    <row r="26" spans="1:3" ht="15" customHeight="1" x14ac:dyDescent="0.25">
      <c r="B26" s="15" t="s">
        <v>24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0.43013027417118699</v>
      </c>
    </row>
    <row r="30" spans="1:3" ht="14.25" customHeight="1" x14ac:dyDescent="0.25">
      <c r="B30" s="25" t="s">
        <v>27</v>
      </c>
      <c r="C30" s="99">
        <v>3.6306215717705301E-2</v>
      </c>
    </row>
    <row r="31" spans="1:3" ht="14.25" customHeight="1" x14ac:dyDescent="0.25">
      <c r="B31" s="25" t="s">
        <v>28</v>
      </c>
      <c r="C31" s="99">
        <v>5.3639561550891501E-2</v>
      </c>
    </row>
    <row r="32" spans="1:3" ht="14.25" customHeight="1" x14ac:dyDescent="0.25">
      <c r="B32" s="25" t="s">
        <v>29</v>
      </c>
      <c r="C32" s="99">
        <v>0.47992394856021697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6.9927799999999998</v>
      </c>
    </row>
    <row r="38" spans="1:5" ht="15" customHeight="1" x14ac:dyDescent="0.25">
      <c r="B38" s="11" t="s">
        <v>34</v>
      </c>
      <c r="C38" s="43">
        <v>11.05827</v>
      </c>
      <c r="D38" s="12"/>
      <c r="E38" s="13"/>
    </row>
    <row r="39" spans="1:5" ht="15" customHeight="1" x14ac:dyDescent="0.25">
      <c r="B39" s="11" t="s">
        <v>35</v>
      </c>
      <c r="C39" s="43">
        <v>12.84816</v>
      </c>
      <c r="D39" s="12"/>
      <c r="E39" s="12"/>
    </row>
    <row r="40" spans="1:5" ht="15" customHeight="1" x14ac:dyDescent="0.25">
      <c r="B40" s="11" t="s">
        <v>36</v>
      </c>
      <c r="C40" s="100">
        <v>0.75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7.6820999999999999E-3</v>
      </c>
      <c r="D45" s="12"/>
    </row>
    <row r="46" spans="1:5" ht="15.75" customHeight="1" x14ac:dyDescent="0.25">
      <c r="B46" s="11" t="s">
        <v>41</v>
      </c>
      <c r="C46" s="45">
        <v>8.2543399999999989E-2</v>
      </c>
      <c r="D46" s="12"/>
    </row>
    <row r="47" spans="1:5" ht="15.75" customHeight="1" x14ac:dyDescent="0.25">
      <c r="B47" s="11" t="s">
        <v>42</v>
      </c>
      <c r="C47" s="45">
        <v>7.3695200000000002E-2</v>
      </c>
      <c r="D47" s="12"/>
      <c r="E47" s="13"/>
    </row>
    <row r="48" spans="1:5" ht="15" customHeight="1" x14ac:dyDescent="0.25">
      <c r="B48" s="11" t="s">
        <v>43</v>
      </c>
      <c r="C48" s="46">
        <v>0.83607929999999997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0.55688800000000005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703054</v>
      </c>
      <c r="C2" s="49">
        <v>2242918</v>
      </c>
      <c r="D2" s="49">
        <v>4270265</v>
      </c>
      <c r="E2" s="49">
        <v>4259777.5</v>
      </c>
      <c r="F2" s="49">
        <v>3177134</v>
      </c>
      <c r="G2" s="17">
        <f t="shared" ref="G2:G13" si="0">C2+D2+E2+F2</f>
        <v>13950094.5</v>
      </c>
      <c r="H2" s="17">
        <f t="shared" ref="H2:H13" si="1">(B2 + stillbirth*B2/(1000-stillbirth))/(1-abortion)</f>
        <v>804674.19596159668</v>
      </c>
      <c r="I2" s="17">
        <f t="shared" ref="I2:I13" si="2">G2-H2</f>
        <v>13145420.304038404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692906</v>
      </c>
      <c r="C3" s="50">
        <v>2206742.5</v>
      </c>
      <c r="D3" s="50">
        <v>4184272</v>
      </c>
      <c r="E3" s="50">
        <v>4291200.5</v>
      </c>
      <c r="F3" s="50">
        <v>3237738</v>
      </c>
      <c r="G3" s="17">
        <f t="shared" si="0"/>
        <v>13919953</v>
      </c>
      <c r="H3" s="17">
        <f t="shared" si="1"/>
        <v>793059.39291571639</v>
      </c>
      <c r="I3" s="17">
        <f t="shared" si="2"/>
        <v>13126893.607084284</v>
      </c>
    </row>
    <row r="4" spans="1:9" ht="15.75" customHeight="1" x14ac:dyDescent="0.25">
      <c r="A4" s="5">
        <f t="shared" si="3"/>
        <v>2026</v>
      </c>
      <c r="B4" s="49">
        <v>683569</v>
      </c>
      <c r="C4" s="50">
        <v>2181899.5</v>
      </c>
      <c r="D4" s="50">
        <v>4099826.5</v>
      </c>
      <c r="E4" s="50">
        <v>4317442.5</v>
      </c>
      <c r="F4" s="50">
        <v>3298501.5</v>
      </c>
      <c r="G4" s="17">
        <f t="shared" si="0"/>
        <v>13897670</v>
      </c>
      <c r="H4" s="17">
        <f t="shared" si="1"/>
        <v>782372.81269898557</v>
      </c>
      <c r="I4" s="17">
        <f t="shared" si="2"/>
        <v>13115297.187301014</v>
      </c>
    </row>
    <row r="5" spans="1:9" ht="15.75" customHeight="1" x14ac:dyDescent="0.25">
      <c r="A5" s="5">
        <f t="shared" si="3"/>
        <v>2027</v>
      </c>
      <c r="B5" s="49">
        <v>676170</v>
      </c>
      <c r="C5" s="50">
        <v>2166546.5</v>
      </c>
      <c r="D5" s="50">
        <v>4019044.5</v>
      </c>
      <c r="E5" s="50">
        <v>4336564</v>
      </c>
      <c r="F5" s="50">
        <v>3358580.5</v>
      </c>
      <c r="G5" s="17">
        <f t="shared" si="0"/>
        <v>13880735.5</v>
      </c>
      <c r="H5" s="17">
        <f t="shared" si="1"/>
        <v>773904.35312700411</v>
      </c>
      <c r="I5" s="17">
        <f t="shared" si="2"/>
        <v>13106831.146872995</v>
      </c>
    </row>
    <row r="6" spans="1:9" ht="15.75" customHeight="1" x14ac:dyDescent="0.25">
      <c r="A6" s="5">
        <f t="shared" si="3"/>
        <v>2028</v>
      </c>
      <c r="B6" s="49">
        <v>667710</v>
      </c>
      <c r="C6" s="50">
        <v>2157372.5</v>
      </c>
      <c r="D6" s="50">
        <v>3942187</v>
      </c>
      <c r="E6" s="50">
        <v>4346234.5</v>
      </c>
      <c r="F6" s="50">
        <v>3417347.5</v>
      </c>
      <c r="G6" s="17">
        <f t="shared" si="0"/>
        <v>13863141.5</v>
      </c>
      <c r="H6" s="17">
        <f t="shared" si="1"/>
        <v>764221.53545178275</v>
      </c>
      <c r="I6" s="17">
        <f t="shared" si="2"/>
        <v>13098919.964548217</v>
      </c>
    </row>
    <row r="7" spans="1:9" ht="15.75" customHeight="1" x14ac:dyDescent="0.25">
      <c r="A7" s="5">
        <f t="shared" si="3"/>
        <v>2029</v>
      </c>
      <c r="B7" s="49">
        <v>661864</v>
      </c>
      <c r="C7" s="50">
        <v>2152257.5</v>
      </c>
      <c r="D7" s="50">
        <v>3868910.5</v>
      </c>
      <c r="E7" s="50">
        <v>4344846</v>
      </c>
      <c r="F7" s="50">
        <v>3473731</v>
      </c>
      <c r="G7" s="17">
        <f t="shared" si="0"/>
        <v>13839745</v>
      </c>
      <c r="H7" s="17">
        <f t="shared" si="1"/>
        <v>757530.54820245132</v>
      </c>
      <c r="I7" s="17">
        <f t="shared" si="2"/>
        <v>13082214.451797549</v>
      </c>
    </row>
    <row r="8" spans="1:9" ht="15.75" customHeight="1" x14ac:dyDescent="0.25">
      <c r="A8" s="5">
        <f t="shared" si="3"/>
        <v>2030</v>
      </c>
      <c r="B8" s="49">
        <v>653804</v>
      </c>
      <c r="C8" s="50">
        <v>2150075.5</v>
      </c>
      <c r="D8" s="50">
        <v>3801006</v>
      </c>
      <c r="E8" s="50">
        <v>4331503.5</v>
      </c>
      <c r="F8" s="50">
        <v>3528590</v>
      </c>
      <c r="G8" s="17">
        <f t="shared" si="0"/>
        <v>13811175</v>
      </c>
      <c r="H8" s="17">
        <f t="shared" si="1"/>
        <v>748305.54696577473</v>
      </c>
      <c r="I8" s="17">
        <f t="shared" si="2"/>
        <v>13062869.453034226</v>
      </c>
    </row>
    <row r="9" spans="1:9" ht="15.75" customHeight="1" x14ac:dyDescent="0.25">
      <c r="A9" s="5">
        <f t="shared" si="3"/>
        <v>2031</v>
      </c>
      <c r="B9" s="49">
        <v>647169</v>
      </c>
      <c r="C9" s="50">
        <v>2149019.5</v>
      </c>
      <c r="D9" s="50">
        <v>3740245.5</v>
      </c>
      <c r="E9" s="50">
        <v>4305652.5</v>
      </c>
      <c r="F9" s="50">
        <v>3582754.5</v>
      </c>
      <c r="G9" s="17">
        <f t="shared" si="0"/>
        <v>13777672</v>
      </c>
      <c r="H9" s="17">
        <f t="shared" si="1"/>
        <v>740711.51679141354</v>
      </c>
      <c r="I9" s="17">
        <f t="shared" si="2"/>
        <v>13036960.483208586</v>
      </c>
    </row>
    <row r="10" spans="1:9" ht="15.75" customHeight="1" x14ac:dyDescent="0.25">
      <c r="A10" s="5">
        <f t="shared" si="3"/>
        <v>2032</v>
      </c>
      <c r="B10" s="49">
        <v>639278</v>
      </c>
      <c r="C10" s="50">
        <v>2147227</v>
      </c>
      <c r="D10" s="50">
        <v>3687761</v>
      </c>
      <c r="E10" s="50">
        <v>4267896.5</v>
      </c>
      <c r="F10" s="50">
        <v>3635611.5</v>
      </c>
      <c r="G10" s="17">
        <f t="shared" si="0"/>
        <v>13738496</v>
      </c>
      <c r="H10" s="17">
        <f t="shared" si="1"/>
        <v>731679.94300002209</v>
      </c>
      <c r="I10" s="17">
        <f t="shared" si="2"/>
        <v>13006816.056999978</v>
      </c>
    </row>
    <row r="11" spans="1:9" ht="15.75" customHeight="1" x14ac:dyDescent="0.25">
      <c r="A11" s="5">
        <f t="shared" si="3"/>
        <v>2033</v>
      </c>
      <c r="B11" s="49">
        <v>632825</v>
      </c>
      <c r="C11" s="50">
        <v>2144964.5</v>
      </c>
      <c r="D11" s="50">
        <v>3644082</v>
      </c>
      <c r="E11" s="50">
        <v>4219152.5</v>
      </c>
      <c r="F11" s="50">
        <v>3686932</v>
      </c>
      <c r="G11" s="17">
        <f t="shared" si="0"/>
        <v>13695131</v>
      </c>
      <c r="H11" s="17">
        <f t="shared" si="1"/>
        <v>724294.21930519911</v>
      </c>
      <c r="I11" s="17">
        <f t="shared" si="2"/>
        <v>12970836.780694801</v>
      </c>
    </row>
    <row r="12" spans="1:9" ht="15.75" customHeight="1" x14ac:dyDescent="0.25">
      <c r="A12" s="5">
        <f t="shared" si="3"/>
        <v>2034</v>
      </c>
      <c r="B12" s="49">
        <v>625821</v>
      </c>
      <c r="C12" s="50">
        <v>2141325.5</v>
      </c>
      <c r="D12" s="50">
        <v>3609062</v>
      </c>
      <c r="E12" s="50">
        <v>4161060.5</v>
      </c>
      <c r="F12" s="50">
        <v>3735409</v>
      </c>
      <c r="G12" s="17">
        <f t="shared" si="0"/>
        <v>13646857</v>
      </c>
      <c r="H12" s="17">
        <f t="shared" si="1"/>
        <v>716277.8534662805</v>
      </c>
      <c r="I12" s="17">
        <f t="shared" si="2"/>
        <v>12930579.14653372</v>
      </c>
    </row>
    <row r="13" spans="1:9" ht="15.75" customHeight="1" x14ac:dyDescent="0.25">
      <c r="A13" s="5">
        <f t="shared" si="3"/>
        <v>2035</v>
      </c>
      <c r="B13" s="49">
        <v>622242</v>
      </c>
      <c r="C13" s="50">
        <v>2134275.5</v>
      </c>
      <c r="D13" s="50">
        <v>3582462.5</v>
      </c>
      <c r="E13" s="50">
        <v>4096112.5</v>
      </c>
      <c r="F13" s="50">
        <v>3778815.5</v>
      </c>
      <c r="G13" s="17">
        <f t="shared" si="0"/>
        <v>13591666</v>
      </c>
      <c r="H13" s="17">
        <f t="shared" si="1"/>
        <v>712181.54088240128</v>
      </c>
      <c r="I13" s="17">
        <f t="shared" si="2"/>
        <v>12879484.459117599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0.14711110000000011</v>
      </c>
    </row>
    <row r="5" spans="1:8" ht="15.75" customHeight="1" x14ac:dyDescent="0.25">
      <c r="B5" s="19" t="s">
        <v>70</v>
      </c>
      <c r="C5" s="101">
        <v>4.0477800000000022E-2</v>
      </c>
    </row>
    <row r="6" spans="1:8" ht="15.75" customHeight="1" x14ac:dyDescent="0.25">
      <c r="B6" s="19" t="s">
        <v>71</v>
      </c>
      <c r="C6" s="101">
        <v>9.7223000000000004E-2</v>
      </c>
    </row>
    <row r="7" spans="1:8" ht="15.75" customHeight="1" x14ac:dyDescent="0.25">
      <c r="B7" s="19" t="s">
        <v>72</v>
      </c>
      <c r="C7" s="101">
        <v>0.32530749999999958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0.27405230000000008</v>
      </c>
    </row>
    <row r="10" spans="1:8" ht="15.75" customHeight="1" x14ac:dyDescent="0.25">
      <c r="B10" s="19" t="s">
        <v>75</v>
      </c>
      <c r="C10" s="101">
        <v>0.1158283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82</v>
      </c>
      <c r="C15" s="101">
        <v>0.33829228028107838</v>
      </c>
      <c r="D15" s="101">
        <v>0.33829228028107838</v>
      </c>
      <c r="E15" s="101">
        <v>0.33829228028107838</v>
      </c>
      <c r="F15" s="101">
        <v>0.33829228028107838</v>
      </c>
    </row>
    <row r="16" spans="1:8" ht="15.75" customHeight="1" x14ac:dyDescent="0.25">
      <c r="B16" s="19" t="s">
        <v>83</v>
      </c>
      <c r="C16" s="101">
        <v>4.0471888956131262E-2</v>
      </c>
      <c r="D16" s="101">
        <v>4.0471888956131262E-2</v>
      </c>
      <c r="E16" s="101">
        <v>4.0471888956131262E-2</v>
      </c>
      <c r="F16" s="101">
        <v>4.0471888956131262E-2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8.6409764688803227E-4</v>
      </c>
      <c r="D18" s="101">
        <v>8.6409764688803227E-4</v>
      </c>
      <c r="E18" s="101">
        <v>8.6409764688803227E-4</v>
      </c>
      <c r="F18" s="101">
        <v>8.6409764688803227E-4</v>
      </c>
    </row>
    <row r="19" spans="1:8" ht="15.75" customHeight="1" x14ac:dyDescent="0.25">
      <c r="B19" s="19" t="s">
        <v>86</v>
      </c>
      <c r="C19" s="101">
        <v>1.100088805803145E-2</v>
      </c>
      <c r="D19" s="101">
        <v>1.100088805803145E-2</v>
      </c>
      <c r="E19" s="101">
        <v>1.100088805803145E-2</v>
      </c>
      <c r="F19" s="101">
        <v>1.100088805803145E-2</v>
      </c>
    </row>
    <row r="20" spans="1:8" ht="15.75" customHeight="1" x14ac:dyDescent="0.25">
      <c r="B20" s="19" t="s">
        <v>87</v>
      </c>
      <c r="C20" s="101">
        <v>3.2865733487814998E-2</v>
      </c>
      <c r="D20" s="101">
        <v>3.2865733487814998E-2</v>
      </c>
      <c r="E20" s="101">
        <v>3.2865733487814998E-2</v>
      </c>
      <c r="F20" s="101">
        <v>3.2865733487814998E-2</v>
      </c>
    </row>
    <row r="21" spans="1:8" ht="15.75" customHeight="1" x14ac:dyDescent="0.25">
      <c r="B21" s="19" t="s">
        <v>88</v>
      </c>
      <c r="C21" s="101">
        <v>0.23867431234891051</v>
      </c>
      <c r="D21" s="101">
        <v>0.23867431234891051</v>
      </c>
      <c r="E21" s="101">
        <v>0.23867431234891051</v>
      </c>
      <c r="F21" s="101">
        <v>0.23867431234891051</v>
      </c>
    </row>
    <row r="22" spans="1:8" ht="15.75" customHeight="1" x14ac:dyDescent="0.25">
      <c r="B22" s="19" t="s">
        <v>89</v>
      </c>
      <c r="C22" s="101">
        <v>0.26218010651496848</v>
      </c>
      <c r="D22" s="101">
        <v>0.26218010651496848</v>
      </c>
      <c r="E22" s="101">
        <v>0.26218010651496848</v>
      </c>
      <c r="F22" s="101">
        <v>0.26218010651496848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3.6445469000000001E-2</v>
      </c>
    </row>
    <row r="27" spans="1:8" ht="15.75" customHeight="1" x14ac:dyDescent="0.25">
      <c r="B27" s="19" t="s">
        <v>92</v>
      </c>
      <c r="C27" s="101">
        <v>2.0200972000000001E-2</v>
      </c>
    </row>
    <row r="28" spans="1:8" ht="15.75" customHeight="1" x14ac:dyDescent="0.25">
      <c r="B28" s="19" t="s">
        <v>93</v>
      </c>
      <c r="C28" s="101">
        <v>0.121636906</v>
      </c>
    </row>
    <row r="29" spans="1:8" ht="15.75" customHeight="1" x14ac:dyDescent="0.25">
      <c r="B29" s="19" t="s">
        <v>94</v>
      </c>
      <c r="C29" s="101">
        <v>0.27379125199999998</v>
      </c>
    </row>
    <row r="30" spans="1:8" ht="15.75" customHeight="1" x14ac:dyDescent="0.25">
      <c r="B30" s="19" t="s">
        <v>95</v>
      </c>
      <c r="C30" s="101">
        <v>4.8980840999999997E-2</v>
      </c>
    </row>
    <row r="31" spans="1:8" ht="15.75" customHeight="1" x14ac:dyDescent="0.25">
      <c r="B31" s="19" t="s">
        <v>96</v>
      </c>
      <c r="C31" s="101">
        <v>9.9634768999999998E-2</v>
      </c>
    </row>
    <row r="32" spans="1:8" ht="15.75" customHeight="1" x14ac:dyDescent="0.25">
      <c r="B32" s="19" t="s">
        <v>97</v>
      </c>
      <c r="C32" s="101">
        <v>4.4642563000000003E-2</v>
      </c>
    </row>
    <row r="33" spans="2:3" ht="15.75" customHeight="1" x14ac:dyDescent="0.25">
      <c r="B33" s="19" t="s">
        <v>98</v>
      </c>
      <c r="C33" s="101">
        <v>9.3728627999999994E-2</v>
      </c>
    </row>
    <row r="34" spans="2:3" ht="15.75" customHeight="1" x14ac:dyDescent="0.25">
      <c r="B34" s="19" t="s">
        <v>99</v>
      </c>
      <c r="C34" s="101">
        <v>0.26093860099999999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104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105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109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110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122</v>
      </c>
      <c r="C5" s="52">
        <v>3.06431E-2</v>
      </c>
      <c r="D5" s="52">
        <v>5.2844200000000001E-2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68.627832027235911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40.117680990539711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580.56053854484037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1.448179166039439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0.80700000000000005</v>
      </c>
      <c r="C10" s="98">
        <v>0.95</v>
      </c>
      <c r="D10" s="56">
        <v>13.249980434335621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13.249980434335621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13.249980434335621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13.249980434335621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0.80700000000000005</v>
      </c>
      <c r="C14" s="98">
        <v>0.95</v>
      </c>
      <c r="D14" s="56">
        <v>13.249980434335621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13.249980434335621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0.95674623423097094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0.19779928666666699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0.40198139999999999</v>
      </c>
      <c r="C18" s="98">
        <v>0.95</v>
      </c>
      <c r="D18" s="56">
        <v>13.33399039011101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0.40198139999999999</v>
      </c>
      <c r="C19" s="98">
        <v>0.95</v>
      </c>
      <c r="D19" s="56">
        <v>13.33399039011101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15.80934844874062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22.98991880771591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4.4279632813135006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0.90059688330367194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0.80700000000000005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18.81234237281155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0.54084730000000003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0.61478450000000007</v>
      </c>
      <c r="C29" s="98">
        <v>0.95</v>
      </c>
      <c r="D29" s="56">
        <v>137.83733365130871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8.9999999999999998E-4</v>
      </c>
      <c r="C31" s="98">
        <v>0.95</v>
      </c>
      <c r="D31" s="56">
        <v>0.18877550177691579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2.078736971030839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0.70153599999999994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0.14358209999999999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0.88614170000000003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4.5834601320961594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205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4.0999999999999988E-2</v>
      </c>
      <c r="E2" s="60">
        <f>food_insecure</f>
        <v>4.0999999999999988E-2</v>
      </c>
      <c r="F2" s="60">
        <f>food_insecure</f>
        <v>4.0999999999999988E-2</v>
      </c>
      <c r="G2" s="60">
        <f>food_insecure</f>
        <v>4.0999999999999988E-2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4.0999999999999988E-2</v>
      </c>
      <c r="I15" s="60">
        <f>food_insecure</f>
        <v>4.0999999999999988E-2</v>
      </c>
      <c r="J15" s="60">
        <f>food_insecure</f>
        <v>4.0999999999999988E-2</v>
      </c>
      <c r="K15" s="60">
        <f>food_insecure</f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0.10988237718696858</v>
      </c>
      <c r="G18" s="90">
        <f>MIN(MAX(1-0.89/(1-frac_sam_12_23months+(frac_sam_12_23months*0.89)),0),1)</f>
        <v>0.10985649462463742</v>
      </c>
      <c r="H18" s="90">
        <f>MIN(MAX(1-0.89/(1-frac_sam_24_59months+(frac_sam_24_59months*0.89)),0),1)</f>
        <v>0.10992199623398391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0.10894647623197562</v>
      </c>
      <c r="G20" s="90">
        <f>MIN(MAX(1-0.89/(1-frac_mam_12_23months+(frac_mam_12_23months*0.89)),0),1)</f>
        <v>0.10930925953316983</v>
      </c>
      <c r="H20" s="90">
        <f>MIN(MAX(1-0.89/(1-frac_mam_24_59months+(frac_mam_24_59months*0.89)),0),1)</f>
        <v>0.10942431852085666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9.9881069871292638E-3</v>
      </c>
      <c r="G73" s="90">
        <f>MIN(MAX(1-0.99/(1-frac_sam_12_23months+(frac_sam_12_23months*0.99)),0),1)</f>
        <v>9.9854903473466372E-3</v>
      </c>
      <c r="H73" s="90">
        <f>MIN(MAX(1-0.99/(1-frac_sam_24_59months+(frac_sam_24_59months*0.99)),0),1)</f>
        <v>9.9921126071611521E-3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9.8935784112754721E-3</v>
      </c>
      <c r="G75" s="90">
        <f>MIN(MAX(1-0.99/(1-frac_mam_12_23months+(frac_mam_12_23months*0.99)),0),1)</f>
        <v>9.9301990889660852E-3</v>
      </c>
      <c r="H75" s="90">
        <f>MIN(MAX(1-0.99/(1-frac_mam_24_59months+(frac_mam_24_59months*0.99)),0),1)</f>
        <v>9.9418192310072317E-3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0.19980774580900806</v>
      </c>
      <c r="G128" s="90">
        <f>MIN(MAX(1-0.8/(1-frac_sam_12_23months+(frac_sam_12_23months*0.8)),0),1)</f>
        <v>0.19976543524437884</v>
      </c>
      <c r="H128" s="90">
        <f>MIN(MAX(1-0.8/(1-frac_sam_24_59months+(frac_sam_24_59months*0.8)),0),1)</f>
        <v>0.19987250768537457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0.19827653506743437</v>
      </c>
      <c r="G130" s="90">
        <f>MIN(MAX(1-0.8/(1-frac_mam_12_23months+(frac_mam_12_23months*0.8)),0),1)</f>
        <v>0.19887039122904082</v>
      </c>
      <c r="H130" s="90">
        <f>MIN(MAX(1-0.8/(1-frac_mam_24_59months+(frac_mam_24_59months*0.8)),0),1)</f>
        <v>0.19905865363561792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2024-06-18T06:54:38Z</dcterms:modified>
</cp:coreProperties>
</file>