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30CB8105-E309-4B57-839F-5DB751AB0A3F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H129" i="27" s="1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I39" i="2"/>
  <c r="H39" i="2"/>
  <c r="G39" i="2"/>
  <c r="I38" i="2"/>
  <c r="H38" i="2"/>
  <c r="G38" i="2"/>
  <c r="A37" i="2"/>
  <c r="A33" i="2"/>
  <c r="A32" i="2"/>
  <c r="A29" i="2"/>
  <c r="A25" i="2"/>
  <c r="A24" i="2"/>
  <c r="A21" i="2"/>
  <c r="A20" i="2"/>
  <c r="A17" i="2"/>
  <c r="A16" i="2"/>
  <c r="I13" i="2"/>
  <c r="H13" i="2"/>
  <c r="G13" i="2"/>
  <c r="I12" i="2"/>
  <c r="H12" i="2"/>
  <c r="G12" i="2"/>
  <c r="I11" i="2"/>
  <c r="H11" i="2"/>
  <c r="G11" i="2"/>
  <c r="H10" i="2"/>
  <c r="I10" i="2" s="1"/>
  <c r="G10" i="2"/>
  <c r="I9" i="2"/>
  <c r="H9" i="2"/>
  <c r="G9" i="2"/>
  <c r="H8" i="2"/>
  <c r="I8" i="2" s="1"/>
  <c r="G8" i="2"/>
  <c r="I7" i="2"/>
  <c r="H7" i="2"/>
  <c r="G7" i="2"/>
  <c r="H6" i="2"/>
  <c r="I6" i="2" s="1"/>
  <c r="G6" i="2"/>
  <c r="I5" i="2"/>
  <c r="H5" i="2"/>
  <c r="G5" i="2"/>
  <c r="H4" i="2"/>
  <c r="I4" i="2" s="1"/>
  <c r="G4" i="2"/>
  <c r="I3" i="2"/>
  <c r="H3" i="2"/>
  <c r="G3" i="2"/>
  <c r="A3" i="2"/>
  <c r="H2" i="2"/>
  <c r="I2" i="2" s="1"/>
  <c r="G2" i="2"/>
  <c r="A2" i="2"/>
  <c r="A39" i="2" s="1"/>
  <c r="C33" i="1"/>
  <c r="C20" i="1"/>
  <c r="A18" i="2" l="1"/>
  <c r="A26" i="2"/>
  <c r="A34" i="2"/>
  <c r="A19" i="2"/>
  <c r="A27" i="2"/>
  <c r="A35" i="2"/>
  <c r="A28" i="2"/>
  <c r="A36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40" i="2"/>
  <c r="A38" i="2"/>
  <c r="A15" i="2"/>
  <c r="A23" i="2"/>
  <c r="A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<sst xmlns="http://schemas.openxmlformats.org/spreadsheetml/2006/main" count="2092" uniqueCount="341">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</sst>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3532956.125</v>
      </c>
    </row>
    <row r="8" spans="1:3" ht="15" customHeight="1" x14ac:dyDescent="0.25">
      <c r="B8" s="5" t="s">
        <v>8</v>
      </c>
      <c r="C8" s="44">
        <v>4.0999999999999988E-2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0.81589927673339802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0.13500000000000001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0.14069999999999999</v>
      </c>
    </row>
    <row r="24" spans="1:3" ht="15" customHeight="1" x14ac:dyDescent="0.25">
      <c r="B24" s="15" t="s">
        <v>22</v>
      </c>
      <c r="C24" s="45">
        <v>0.54339999999999999</v>
      </c>
    </row>
    <row r="25" spans="1:3" ht="15" customHeight="1" x14ac:dyDescent="0.25">
      <c r="B25" s="15" t="s">
        <v>23</v>
      </c>
      <c r="C25" s="45">
        <v>0.26979999999999998</v>
      </c>
    </row>
    <row r="26" spans="1:3" ht="15" customHeight="1" x14ac:dyDescent="0.25">
      <c r="B26" s="15" t="s">
        <v>24</v>
      </c>
      <c r="C26" s="45">
        <v>4.6100000000000002E-2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0.43013027417118699</v>
      </c>
    </row>
    <row r="30" spans="1:3" ht="14.25" customHeight="1" x14ac:dyDescent="0.25">
      <c r="B30" s="25" t="s">
        <v>27</v>
      </c>
      <c r="C30" s="99">
        <v>3.6306215717705301E-2</v>
      </c>
    </row>
    <row r="31" spans="1:3" ht="14.25" customHeight="1" x14ac:dyDescent="0.25">
      <c r="B31" s="25" t="s">
        <v>28</v>
      </c>
      <c r="C31" s="99">
        <v>5.3639561550891501E-2</v>
      </c>
    </row>
    <row r="32" spans="1:3" ht="14.25" customHeight="1" x14ac:dyDescent="0.25">
      <c r="B32" s="25" t="s">
        <v>29</v>
      </c>
      <c r="C32" s="99">
        <v>0.47992394856021697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6.9927799999999998</v>
      </c>
    </row>
    <row r="38" spans="1:5" ht="15" customHeight="1" x14ac:dyDescent="0.25">
      <c r="B38" s="11" t="s">
        <v>34</v>
      </c>
      <c r="C38" s="43">
        <v>11.05827</v>
      </c>
      <c r="D38" s="12"/>
      <c r="E38" s="13"/>
    </row>
    <row r="39" spans="1:5" ht="15" customHeight="1" x14ac:dyDescent="0.25">
      <c r="B39" s="11" t="s">
        <v>35</v>
      </c>
      <c r="C39" s="43">
        <v>12.84816</v>
      </c>
      <c r="D39" s="12"/>
      <c r="E39" s="12"/>
    </row>
    <row r="40" spans="1:5" ht="15" customHeight="1" x14ac:dyDescent="0.25">
      <c r="B40" s="11" t="s">
        <v>36</v>
      </c>
      <c r="C40" s="100">
        <v>0.75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7.1447500000000002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7.6820999999999999E-3</v>
      </c>
      <c r="D45" s="12"/>
    </row>
    <row r="46" spans="1:5" ht="15.75" customHeight="1" x14ac:dyDescent="0.25">
      <c r="B46" s="11" t="s">
        <v>41</v>
      </c>
      <c r="C46" s="45">
        <v>8.2543399999999989E-2</v>
      </c>
      <c r="D46" s="12"/>
    </row>
    <row r="47" spans="1:5" ht="15.75" customHeight="1" x14ac:dyDescent="0.25">
      <c r="B47" s="11" t="s">
        <v>42</v>
      </c>
      <c r="C47" s="45">
        <v>7.3695200000000002E-2</v>
      </c>
      <c r="D47" s="12"/>
      <c r="E47" s="13"/>
    </row>
    <row r="48" spans="1:5" ht="15" customHeight="1" x14ac:dyDescent="0.25">
      <c r="B48" s="11" t="s">
        <v>43</v>
      </c>
      <c r="C48" s="46">
        <v>0.83607929999999997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0.55688800000000005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9.9555930999999903E-2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682323.03760000016</v>
      </c>
      <c r="C2" s="49">
        <v>1912000</v>
      </c>
      <c r="D2" s="49">
        <v>3948000</v>
      </c>
      <c r="E2" s="49">
        <v>4046000</v>
      </c>
      <c r="F2" s="49">
        <v>3668000</v>
      </c>
      <c r="G2" s="17">
        <f t="shared" ref="G2:G13" si="0">C2+D2+E2+F2</f>
        <v>13574000</v>
      </c>
      <c r="H2" s="17">
        <f t="shared" ref="H2:H13" si="1">(B2 + stillbirth*B2/(1000-stillbirth))/(1-abortion)</f>
        <v>780946.75752766407</v>
      </c>
      <c r="I2" s="17">
        <f t="shared" ref="I2:I13" si="2">G2-H2</f>
        <v>12793053.242472336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674516.83200000005</v>
      </c>
      <c r="C3" s="50">
        <v>1892000</v>
      </c>
      <c r="D3" s="50">
        <v>3926000</v>
      </c>
      <c r="E3" s="50">
        <v>4042000</v>
      </c>
      <c r="F3" s="50">
        <v>3729000</v>
      </c>
      <c r="G3" s="17">
        <f t="shared" si="0"/>
        <v>13589000</v>
      </c>
      <c r="H3" s="17">
        <f t="shared" si="1"/>
        <v>772012.23441181378</v>
      </c>
      <c r="I3" s="17">
        <f t="shared" si="2"/>
        <v>12816987.765588187</v>
      </c>
    </row>
    <row r="4" spans="1:9" ht="15.75" customHeight="1" x14ac:dyDescent="0.25">
      <c r="A4" s="5">
        <f t="shared" si="3"/>
        <v>2026</v>
      </c>
      <c r="B4" s="49">
        <v>668985.08120000002</v>
      </c>
      <c r="C4" s="50">
        <v>1873000</v>
      </c>
      <c r="D4" s="50">
        <v>3907000</v>
      </c>
      <c r="E4" s="50">
        <v>4036000</v>
      </c>
      <c r="F4" s="50">
        <v>3783000</v>
      </c>
      <c r="G4" s="17">
        <f t="shared" si="0"/>
        <v>13599000</v>
      </c>
      <c r="H4" s="17">
        <f t="shared" si="1"/>
        <v>765680.91828638117</v>
      </c>
      <c r="I4" s="17">
        <f t="shared" si="2"/>
        <v>12833319.081713619</v>
      </c>
    </row>
    <row r="5" spans="1:9" ht="15.75" customHeight="1" x14ac:dyDescent="0.25">
      <c r="A5" s="5">
        <f t="shared" si="3"/>
        <v>2027</v>
      </c>
      <c r="B5" s="49">
        <v>663162.52240000013</v>
      </c>
      <c r="C5" s="50">
        <v>1854000</v>
      </c>
      <c r="D5" s="50">
        <v>3890000</v>
      </c>
      <c r="E5" s="50">
        <v>4023000</v>
      </c>
      <c r="F5" s="50">
        <v>3827000</v>
      </c>
      <c r="G5" s="17">
        <f t="shared" si="0"/>
        <v>13594000</v>
      </c>
      <c r="H5" s="17">
        <f t="shared" si="1"/>
        <v>759016.76045379788</v>
      </c>
      <c r="I5" s="17">
        <f t="shared" si="2"/>
        <v>12834983.239546202</v>
      </c>
    </row>
    <row r="6" spans="1:9" ht="15.75" customHeight="1" x14ac:dyDescent="0.25">
      <c r="A6" s="5">
        <f t="shared" si="3"/>
        <v>2028</v>
      </c>
      <c r="B6" s="49">
        <v>657069.60600000015</v>
      </c>
      <c r="C6" s="50">
        <v>1836000</v>
      </c>
      <c r="D6" s="50">
        <v>3871000</v>
      </c>
      <c r="E6" s="50">
        <v>4005000</v>
      </c>
      <c r="F6" s="50">
        <v>3864000</v>
      </c>
      <c r="G6" s="17">
        <f t="shared" si="0"/>
        <v>13576000</v>
      </c>
      <c r="H6" s="17">
        <f t="shared" si="1"/>
        <v>752043.16723730078</v>
      </c>
      <c r="I6" s="17">
        <f t="shared" si="2"/>
        <v>12823956.8327627</v>
      </c>
    </row>
    <row r="7" spans="1:9" ht="15.75" customHeight="1" x14ac:dyDescent="0.25">
      <c r="A7" s="5">
        <f t="shared" si="3"/>
        <v>2029</v>
      </c>
      <c r="B7" s="49">
        <v>650713.77440000011</v>
      </c>
      <c r="C7" s="50">
        <v>1818000</v>
      </c>
      <c r="D7" s="50">
        <v>3850000</v>
      </c>
      <c r="E7" s="50">
        <v>3984000</v>
      </c>
      <c r="F7" s="50">
        <v>3894000</v>
      </c>
      <c r="G7" s="17">
        <f t="shared" si="0"/>
        <v>13546000</v>
      </c>
      <c r="H7" s="17">
        <f t="shared" si="1"/>
        <v>744768.65676954528</v>
      </c>
      <c r="I7" s="17">
        <f t="shared" si="2"/>
        <v>12801231.343230454</v>
      </c>
    </row>
    <row r="8" spans="1:9" ht="15.75" customHeight="1" x14ac:dyDescent="0.25">
      <c r="A8" s="5">
        <f t="shared" si="3"/>
        <v>2030</v>
      </c>
      <c r="B8" s="49">
        <v>644090.348</v>
      </c>
      <c r="C8" s="50">
        <v>1800000</v>
      </c>
      <c r="D8" s="50">
        <v>3822000</v>
      </c>
      <c r="E8" s="50">
        <v>3962000</v>
      </c>
      <c r="F8" s="50">
        <v>3919000</v>
      </c>
      <c r="G8" s="17">
        <f t="shared" si="0"/>
        <v>13503000</v>
      </c>
      <c r="H8" s="17">
        <f t="shared" si="1"/>
        <v>737187.87305601698</v>
      </c>
      <c r="I8" s="17">
        <f t="shared" si="2"/>
        <v>12765812.126943983</v>
      </c>
    </row>
    <row r="9" spans="1:9" ht="15.75" customHeight="1" x14ac:dyDescent="0.25">
      <c r="A9" s="5">
        <f t="shared" si="3"/>
        <v>2031</v>
      </c>
      <c r="B9" s="49">
        <v>638628.53519999993</v>
      </c>
      <c r="C9" s="50">
        <v>1784000</v>
      </c>
      <c r="D9" s="50">
        <v>3804000</v>
      </c>
      <c r="E9" s="50">
        <v>3950000</v>
      </c>
      <c r="F9" s="50">
        <v>3954857.1428571432</v>
      </c>
      <c r="G9" s="17">
        <f t="shared" si="0"/>
        <v>13492857.142857144</v>
      </c>
      <c r="H9" s="17">
        <f t="shared" si="1"/>
        <v>730936.60384578165</v>
      </c>
      <c r="I9" s="17">
        <f t="shared" si="2"/>
        <v>12761920.539011363</v>
      </c>
    </row>
    <row r="10" spans="1:9" ht="15.75" customHeight="1" x14ac:dyDescent="0.25">
      <c r="A10" s="5">
        <f t="shared" si="3"/>
        <v>2032</v>
      </c>
      <c r="B10" s="49">
        <v>633501.63565714273</v>
      </c>
      <c r="C10" s="50">
        <v>1768571.4285714291</v>
      </c>
      <c r="D10" s="50">
        <v>3786571.4285714291</v>
      </c>
      <c r="E10" s="50">
        <v>3936857.1428571432</v>
      </c>
      <c r="F10" s="50">
        <v>3987122.448979591</v>
      </c>
      <c r="G10" s="17">
        <f t="shared" si="0"/>
        <v>13479122.448979594</v>
      </c>
      <c r="H10" s="17">
        <f t="shared" si="1"/>
        <v>725068.65662206267</v>
      </c>
      <c r="I10" s="17">
        <f t="shared" si="2"/>
        <v>12754053.79235753</v>
      </c>
    </row>
    <row r="11" spans="1:9" ht="15.75" customHeight="1" x14ac:dyDescent="0.25">
      <c r="A11" s="5">
        <f t="shared" si="3"/>
        <v>2033</v>
      </c>
      <c r="B11" s="49">
        <v>628432.57200816309</v>
      </c>
      <c r="C11" s="50">
        <v>1753653.0612244899</v>
      </c>
      <c r="D11" s="50">
        <v>3769367.3469387749</v>
      </c>
      <c r="E11" s="50">
        <v>3922693.8775510201</v>
      </c>
      <c r="F11" s="50">
        <v>4016282.7988338191</v>
      </c>
      <c r="G11" s="17">
        <f t="shared" si="0"/>
        <v>13461997.084548103</v>
      </c>
      <c r="H11" s="17">
        <f t="shared" si="1"/>
        <v>719266.90495573147</v>
      </c>
      <c r="I11" s="17">
        <f t="shared" si="2"/>
        <v>12742730.179592371</v>
      </c>
    </row>
    <row r="12" spans="1:9" ht="15.75" customHeight="1" x14ac:dyDescent="0.25">
      <c r="A12" s="5">
        <f t="shared" si="3"/>
        <v>2034</v>
      </c>
      <c r="B12" s="49">
        <v>623471.15052361495</v>
      </c>
      <c r="C12" s="50">
        <v>1739317.78425656</v>
      </c>
      <c r="D12" s="50">
        <v>3752134.1107871719</v>
      </c>
      <c r="E12" s="50">
        <v>3908364.4314868799</v>
      </c>
      <c r="F12" s="50">
        <v>4043323.1986672208</v>
      </c>
      <c r="G12" s="17">
        <f t="shared" si="0"/>
        <v>13443139.525197832</v>
      </c>
      <c r="H12" s="17">
        <f t="shared" si="1"/>
        <v>713588.35417029331</v>
      </c>
      <c r="I12" s="17">
        <f t="shared" si="2"/>
        <v>12729551.171027539</v>
      </c>
    </row>
    <row r="13" spans="1:9" ht="15.75" customHeight="1" x14ac:dyDescent="0.25">
      <c r="A13" s="5">
        <f t="shared" si="3"/>
        <v>2035</v>
      </c>
      <c r="B13" s="49">
        <v>618671.37116984569</v>
      </c>
      <c r="C13" s="50">
        <v>1725506.039150354</v>
      </c>
      <c r="D13" s="50">
        <v>3735153.269471053</v>
      </c>
      <c r="E13" s="50">
        <v>3894559.3502707202</v>
      </c>
      <c r="F13" s="50">
        <v>4068940.7984768241</v>
      </c>
      <c r="G13" s="17">
        <f t="shared" si="0"/>
        <v>13424159.457368951</v>
      </c>
      <c r="H13" s="17">
        <f t="shared" si="1"/>
        <v>708094.80944643531</v>
      </c>
      <c r="I13" s="17">
        <f t="shared" si="2"/>
        <v>12716064.647922516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0.14711110000000011</v>
      </c>
    </row>
    <row r="5" spans="1:8" ht="15.75" customHeight="1" x14ac:dyDescent="0.25">
      <c r="B5" s="19" t="s">
        <v>70</v>
      </c>
      <c r="C5" s="101">
        <v>4.0477800000000022E-2</v>
      </c>
    </row>
    <row r="6" spans="1:8" ht="15.75" customHeight="1" x14ac:dyDescent="0.25">
      <c r="B6" s="19" t="s">
        <v>71</v>
      </c>
      <c r="C6" s="101">
        <v>9.7223000000000004E-2</v>
      </c>
    </row>
    <row r="7" spans="1:8" ht="15.75" customHeight="1" x14ac:dyDescent="0.25">
      <c r="B7" s="19" t="s">
        <v>72</v>
      </c>
      <c r="C7" s="101">
        <v>0.32530749999999958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0.27405230000000008</v>
      </c>
    </row>
    <row r="10" spans="1:8" ht="15.75" customHeight="1" x14ac:dyDescent="0.25">
      <c r="B10" s="19" t="s">
        <v>75</v>
      </c>
      <c r="C10" s="101">
        <v>0.1158283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7.5650692706176817E-2</v>
      </c>
      <c r="D14" s="55">
        <v>7.5650692706176817E-2</v>
      </c>
      <c r="E14" s="55">
        <v>7.5650692706176817E-2</v>
      </c>
      <c r="F14" s="55">
        <v>7.5650692706176817E-2</v>
      </c>
    </row>
    <row r="15" spans="1:8" ht="15.75" customHeight="1" x14ac:dyDescent="0.25">
      <c r="B15" s="19" t="s">
        <v>82</v>
      </c>
      <c r="C15" s="101">
        <v>0.33829228028107838</v>
      </c>
      <c r="D15" s="101">
        <v>0.33829228028107838</v>
      </c>
      <c r="E15" s="101">
        <v>0.33829228028107838</v>
      </c>
      <c r="F15" s="101">
        <v>0.33829228028107838</v>
      </c>
    </row>
    <row r="16" spans="1:8" ht="15.75" customHeight="1" x14ac:dyDescent="0.25">
      <c r="B16" s="19" t="s">
        <v>83</v>
      </c>
      <c r="C16" s="101">
        <v>4.0471888956131262E-2</v>
      </c>
      <c r="D16" s="101">
        <v>4.0471888956131262E-2</v>
      </c>
      <c r="E16" s="101">
        <v>4.0471888956131262E-2</v>
      </c>
      <c r="F16" s="101">
        <v>4.0471888956131262E-2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8.6409764688803227E-4</v>
      </c>
      <c r="D18" s="101">
        <v>8.6409764688803227E-4</v>
      </c>
      <c r="E18" s="101">
        <v>8.6409764688803227E-4</v>
      </c>
      <c r="F18" s="101">
        <v>8.6409764688803227E-4</v>
      </c>
    </row>
    <row r="19" spans="1:8" ht="15.75" customHeight="1" x14ac:dyDescent="0.25">
      <c r="B19" s="19" t="s">
        <v>86</v>
      </c>
      <c r="C19" s="101">
        <v>1.100088805803145E-2</v>
      </c>
      <c r="D19" s="101">
        <v>1.100088805803145E-2</v>
      </c>
      <c r="E19" s="101">
        <v>1.100088805803145E-2</v>
      </c>
      <c r="F19" s="101">
        <v>1.100088805803145E-2</v>
      </c>
    </row>
    <row r="20" spans="1:8" ht="15.75" customHeight="1" x14ac:dyDescent="0.25">
      <c r="B20" s="19" t="s">
        <v>87</v>
      </c>
      <c r="C20" s="101">
        <v>3.2865733487814998E-2</v>
      </c>
      <c r="D20" s="101">
        <v>3.2865733487814998E-2</v>
      </c>
      <c r="E20" s="101">
        <v>3.2865733487814998E-2</v>
      </c>
      <c r="F20" s="101">
        <v>3.2865733487814998E-2</v>
      </c>
    </row>
    <row r="21" spans="1:8" ht="15.75" customHeight="1" x14ac:dyDescent="0.25">
      <c r="B21" s="19" t="s">
        <v>88</v>
      </c>
      <c r="C21" s="101">
        <v>0.23867431234891051</v>
      </c>
      <c r="D21" s="101">
        <v>0.23867431234891051</v>
      </c>
      <c r="E21" s="101">
        <v>0.23867431234891051</v>
      </c>
      <c r="F21" s="101">
        <v>0.23867431234891051</v>
      </c>
    </row>
    <row r="22" spans="1:8" ht="15.75" customHeight="1" x14ac:dyDescent="0.25">
      <c r="B22" s="19" t="s">
        <v>89</v>
      </c>
      <c r="C22" s="101">
        <v>0.26218010651496848</v>
      </c>
      <c r="D22" s="101">
        <v>0.26218010651496848</v>
      </c>
      <c r="E22" s="101">
        <v>0.26218010651496848</v>
      </c>
      <c r="F22" s="101">
        <v>0.26218010651496848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3.6445469000000001E-2</v>
      </c>
    </row>
    <row r="27" spans="1:8" ht="15.75" customHeight="1" x14ac:dyDescent="0.25">
      <c r="B27" s="19" t="s">
        <v>92</v>
      </c>
      <c r="C27" s="101">
        <v>2.0200972000000001E-2</v>
      </c>
    </row>
    <row r="28" spans="1:8" ht="15.75" customHeight="1" x14ac:dyDescent="0.25">
      <c r="B28" s="19" t="s">
        <v>93</v>
      </c>
      <c r="C28" s="101">
        <v>0.121636906</v>
      </c>
    </row>
    <row r="29" spans="1:8" ht="15.75" customHeight="1" x14ac:dyDescent="0.25">
      <c r="B29" s="19" t="s">
        <v>94</v>
      </c>
      <c r="C29" s="101">
        <v>0.27379125199999998</v>
      </c>
    </row>
    <row r="30" spans="1:8" ht="15.75" customHeight="1" x14ac:dyDescent="0.25">
      <c r="B30" s="19" t="s">
        <v>95</v>
      </c>
      <c r="C30" s="101">
        <v>4.8980840999999997E-2</v>
      </c>
    </row>
    <row r="31" spans="1:8" ht="15.75" customHeight="1" x14ac:dyDescent="0.25">
      <c r="B31" s="19" t="s">
        <v>96</v>
      </c>
      <c r="C31" s="101">
        <v>9.9634768999999998E-2</v>
      </c>
    </row>
    <row r="32" spans="1:8" ht="15.75" customHeight="1" x14ac:dyDescent="0.25">
      <c r="B32" s="19" t="s">
        <v>97</v>
      </c>
      <c r="C32" s="101">
        <v>4.4642563000000003E-2</v>
      </c>
    </row>
    <row r="33" spans="2:3" ht="15.75" customHeight="1" x14ac:dyDescent="0.25">
      <c r="B33" s="19" t="s">
        <v>98</v>
      </c>
      <c r="C33" s="101">
        <v>9.3728627999999994E-2</v>
      </c>
    </row>
    <row r="34" spans="2:3" ht="15.75" customHeight="1" x14ac:dyDescent="0.25">
      <c r="B34" s="19" t="s">
        <v>99</v>
      </c>
      <c r="C34" s="101">
        <v>0.26093860099999999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0.61705174061548995</v>
      </c>
      <c r="D2" s="52">
        <f>IFERROR(1-_xlfn.NORM.DIST(_xlfn.NORM.INV(SUM(D4:D5), 0, 1) + 1, 0, 1, TRUE), "")</f>
        <v>0.61705174061548995</v>
      </c>
      <c r="E2" s="52">
        <f>IFERROR(1-_xlfn.NORM.DIST(_xlfn.NORM.INV(SUM(E4:E5), 0, 1) + 1, 0, 1, TRUE), "")</f>
        <v>0.63192611963028966</v>
      </c>
      <c r="F2" s="52">
        <f>IFERROR(1-_xlfn.NORM.DIST(_xlfn.NORM.INV(SUM(F4:F5), 0, 1) + 1, 0, 1, TRUE), "")</f>
        <v>0.51219827988174838</v>
      </c>
      <c r="G2" s="52">
        <f>IFERROR(1-_xlfn.NORM.DIST(_xlfn.NORM.INV(SUM(G4:G5), 0, 1) + 1, 0, 1, TRUE), "")</f>
        <v>0.55310171614147607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0.28576105938451002</v>
      </c>
      <c r="D3" s="52">
        <f>IFERROR(_xlfn.NORM.DIST(_xlfn.NORM.INV(SUM(D4:D5), 0, 1) + 1, 0, 1, TRUE) - SUM(D4:D5), "")</f>
        <v>0.28576105938451002</v>
      </c>
      <c r="E3" s="52">
        <f>IFERROR(_xlfn.NORM.DIST(_xlfn.NORM.INV(SUM(E4:E5), 0, 1) + 1, 0, 1, TRUE) - SUM(E4:E5), "")</f>
        <v>0.27745588036971025</v>
      </c>
      <c r="F3" s="52">
        <f>IFERROR(_xlfn.NORM.DIST(_xlfn.NORM.INV(SUM(F4:F5), 0, 1) + 1, 0, 1, TRUE) - SUM(F4:F5), "")</f>
        <v>0.33643312011825166</v>
      </c>
      <c r="G3" s="52">
        <f>IFERROR(_xlfn.NORM.DIST(_xlfn.NORM.INV(SUM(G4:G5), 0, 1) + 1, 0, 1, TRUE) - SUM(G4:G5), "")</f>
        <v>0.31839648385852393</v>
      </c>
    </row>
    <row r="4" spans="1:15" ht="15.75" customHeight="1" x14ac:dyDescent="0.25">
      <c r="B4" s="5" t="s">
        <v>104</v>
      </c>
      <c r="C4" s="45">
        <v>6.5141400000000002E-2</v>
      </c>
      <c r="D4" s="53">
        <v>6.5141400000000002E-2</v>
      </c>
      <c r="E4" s="53">
        <v>6.9816200000000009E-2</v>
      </c>
      <c r="F4" s="53">
        <v>0.11459809999999999</v>
      </c>
      <c r="G4" s="53">
        <v>0.1062206</v>
      </c>
    </row>
    <row r="5" spans="1:15" ht="15.75" customHeight="1" x14ac:dyDescent="0.25">
      <c r="B5" s="5" t="s">
        <v>105</v>
      </c>
      <c r="C5" s="45">
        <v>3.2045799999999999E-2</v>
      </c>
      <c r="D5" s="53">
        <v>3.2045799999999999E-2</v>
      </c>
      <c r="E5" s="53">
        <v>2.0801799999999999E-2</v>
      </c>
      <c r="F5" s="53">
        <v>3.6770499999999998E-2</v>
      </c>
      <c r="G5" s="53">
        <v>2.2281200000000001E-2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0.8374242490020587</v>
      </c>
      <c r="D8" s="52">
        <f>IFERROR(1-_xlfn.NORM.DIST(_xlfn.NORM.INV(SUM(D10:D11), 0, 1) + 1, 0, 1, TRUE), "")</f>
        <v>0.8374242490020587</v>
      </c>
      <c r="E8" s="52">
        <f>IFERROR(1-_xlfn.NORM.DIST(_xlfn.NORM.INV(SUM(E10:E11), 0, 1) + 1, 0, 1, TRUE), "")</f>
        <v>0.89593776260339264</v>
      </c>
      <c r="F8" s="52">
        <f>IFERROR(1-_xlfn.NORM.DIST(_xlfn.NORM.INV(SUM(F10:F11), 0, 1) + 1, 0, 1, TRUE), "")</f>
        <v>0.91713100205574305</v>
      </c>
      <c r="G8" s="52">
        <f>IFERROR(1-_xlfn.NORM.DIST(_xlfn.NORM.INV(SUM(G10:G11), 0, 1) + 1, 0, 1, TRUE), "")</f>
        <v>0.92981166123398229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0.13894375099794132</v>
      </c>
      <c r="D9" s="52">
        <f>IFERROR(_xlfn.NORM.DIST(_xlfn.NORM.INV(SUM(D10:D11), 0, 1) + 1, 0, 1, TRUE) - SUM(D10:D11), "")</f>
        <v>0.13894375099794132</v>
      </c>
      <c r="E9" s="52">
        <f>IFERROR(_xlfn.NORM.DIST(_xlfn.NORM.INV(SUM(E10:E11), 0, 1) + 1, 0, 1, TRUE) - SUM(E10:E11), "")</f>
        <v>9.2112437396607377E-2</v>
      </c>
      <c r="F9" s="52">
        <f>IFERROR(_xlfn.NORM.DIST(_xlfn.NORM.INV(SUM(F10:F11), 0, 1) + 1, 0, 1, TRUE) - SUM(F10:F11), "")</f>
        <v>7.4353297944256963E-2</v>
      </c>
      <c r="G9" s="52">
        <f>IFERROR(_xlfn.NORM.DIST(_xlfn.NORM.INV(SUM(G10:G11), 0, 1) + 1, 0, 1, TRUE) - SUM(G10:G11), "")</f>
        <v>6.3515138766017679E-2</v>
      </c>
    </row>
    <row r="10" spans="1:15" ht="15.75" customHeight="1" x14ac:dyDescent="0.25">
      <c r="B10" s="5" t="s">
        <v>109</v>
      </c>
      <c r="C10" s="45">
        <v>1.4621800000000001E-2</v>
      </c>
      <c r="D10" s="53">
        <v>1.4621800000000001E-2</v>
      </c>
      <c r="E10" s="53">
        <v>1.0748499999999999E-2</v>
      </c>
      <c r="F10" s="53">
        <v>7.0501000000000001E-3</v>
      </c>
      <c r="G10" s="53">
        <v>5.8764999999999998E-3</v>
      </c>
    </row>
    <row r="11" spans="1:15" ht="15.75" customHeight="1" x14ac:dyDescent="0.25">
      <c r="B11" s="5" t="s">
        <v>110</v>
      </c>
      <c r="C11" s="45">
        <v>9.0102000000000012E-3</v>
      </c>
      <c r="D11" s="53">
        <v>9.0102000000000012E-3</v>
      </c>
      <c r="E11" s="53">
        <v>1.2013E-3</v>
      </c>
      <c r="F11" s="53">
        <v>1.4656000000000001E-3</v>
      </c>
      <c r="G11" s="53">
        <v>7.9670000000000001E-4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0.33551805200000001</v>
      </c>
      <c r="D14" s="54">
        <v>0.31433103722400002</v>
      </c>
      <c r="E14" s="54">
        <v>0.31433103722400002</v>
      </c>
      <c r="F14" s="54">
        <v>9.9518045944200009E-2</v>
      </c>
      <c r="G14" s="54">
        <v>9.9518045944200009E-2</v>
      </c>
      <c r="H14" s="45">
        <v>0.27200000000000002</v>
      </c>
      <c r="I14" s="55">
        <v>0.27200000000000002</v>
      </c>
      <c r="J14" s="55">
        <v>0.27200000000000002</v>
      </c>
      <c r="K14" s="55">
        <v>0.27200000000000002</v>
      </c>
      <c r="L14" s="45">
        <v>0.20899999999999999</v>
      </c>
      <c r="M14" s="55">
        <v>0.20899999999999999</v>
      </c>
      <c r="N14" s="55">
        <v>0.20899999999999999</v>
      </c>
      <c r="O14" s="55">
        <v>0.20899999999999999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0.18684597694217603</v>
      </c>
      <c r="D15" s="52">
        <f t="shared" si="0"/>
        <v>0.17504718265759894</v>
      </c>
      <c r="E15" s="52">
        <f t="shared" si="0"/>
        <v>0.17504718265759894</v>
      </c>
      <c r="F15" s="52">
        <f t="shared" si="0"/>
        <v>5.5420405569773658E-2</v>
      </c>
      <c r="G15" s="52">
        <f t="shared" si="0"/>
        <v>5.5420405569773658E-2</v>
      </c>
      <c r="H15" s="52">
        <f t="shared" si="0"/>
        <v>0.15147353600000002</v>
      </c>
      <c r="I15" s="52">
        <f t="shared" si="0"/>
        <v>0.15147353600000002</v>
      </c>
      <c r="J15" s="52">
        <f t="shared" si="0"/>
        <v>0.15147353600000002</v>
      </c>
      <c r="K15" s="52">
        <f t="shared" si="0"/>
        <v>0.15147353600000002</v>
      </c>
      <c r="L15" s="52">
        <f t="shared" si="0"/>
        <v>0.116389592</v>
      </c>
      <c r="M15" s="52">
        <f t="shared" si="0"/>
        <v>0.116389592</v>
      </c>
      <c r="N15" s="52">
        <f t="shared" si="0"/>
        <v>0.116389592</v>
      </c>
      <c r="O15" s="52">
        <f t="shared" si="0"/>
        <v>0.116389592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0.63326949999999993</v>
      </c>
      <c r="D2" s="53">
        <v>0.40198139999999999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7.0307599999999998E-2</v>
      </c>
      <c r="D3" s="53">
        <v>0.10907890000000001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0.26577980000000001</v>
      </c>
      <c r="D4" s="53">
        <v>0.43609550000000002</v>
      </c>
      <c r="E4" s="53">
        <v>0.74256719999999998</v>
      </c>
      <c r="F4" s="53">
        <v>0.4472005</v>
      </c>
      <c r="G4" s="53">
        <v>0</v>
      </c>
    </row>
    <row r="5" spans="1:7" x14ac:dyDescent="0.25">
      <c r="B5" s="3" t="s">
        <v>122</v>
      </c>
      <c r="C5" s="52">
        <v>3.06431E-2</v>
      </c>
      <c r="D5" s="52">
        <v>5.2844200000000001E-2</v>
      </c>
      <c r="E5" s="52">
        <f>1-SUM(E2:E4)</f>
        <v>0.25743280000000002</v>
      </c>
      <c r="F5" s="52">
        <f>1-SUM(F2:F4)</f>
        <v>0.5527995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0.37258330836777898</v>
      </c>
      <c r="C2" s="98">
        <v>0.95</v>
      </c>
      <c r="D2" s="56">
        <v>68.627832027235911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40.117680990539711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580.56053854484037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1.365047757601507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13.249980434335621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13.249980434335621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13.249980434335621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13.249980434335621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13.249980434335621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13.249980434335621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0.57355181091510499</v>
      </c>
      <c r="C16" s="98">
        <v>0.95</v>
      </c>
      <c r="D16" s="56">
        <v>0.95674623423097094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0.97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13.33399039011101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13.33399039011101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0.14358209999999999</v>
      </c>
      <c r="C21" s="98">
        <v>0.95</v>
      </c>
      <c r="D21" s="56">
        <v>15.80934844874062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22.98991880771591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4.4279632813135006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0.79293154413380407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0.34306494609275001</v>
      </c>
      <c r="C27" s="98">
        <v>0.95</v>
      </c>
      <c r="D27" s="56">
        <v>18.81234237281155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0.54084730000000003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137.83733365130871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8.9999999999999998E-4</v>
      </c>
      <c r="C31" s="98">
        <v>0.95</v>
      </c>
      <c r="D31" s="56">
        <v>0.18877550177691579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0.40198139999999999</v>
      </c>
      <c r="C32" s="98">
        <v>0.95</v>
      </c>
      <c r="D32" s="56">
        <v>2.078736971030839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0.94730979999999998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4.5834601320961594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0.61478450000000007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3.8016680000000004E-2</v>
      </c>
      <c r="C3" s="21">
        <f>frac_mam_1_5months * 2.6</f>
        <v>3.8016680000000004E-2</v>
      </c>
      <c r="D3" s="21">
        <f>frac_mam_6_11months * 2.6</f>
        <v>2.7946099999999998E-2</v>
      </c>
      <c r="E3" s="21">
        <f>frac_mam_12_23months * 2.6</f>
        <v>1.8330260000000001E-2</v>
      </c>
      <c r="F3" s="21">
        <f>frac_mam_24_59months * 2.6</f>
        <v>1.52789E-2</v>
      </c>
    </row>
    <row r="4" spans="1:6" ht="15.75" customHeight="1" x14ac:dyDescent="0.25">
      <c r="A4" s="3" t="s">
        <v>205</v>
      </c>
      <c r="B4" s="21">
        <f>frac_sam_1month * 2.6</f>
        <v>2.3426520000000003E-2</v>
      </c>
      <c r="C4" s="21">
        <f>frac_sam_1_5months * 2.6</f>
        <v>2.3426520000000003E-2</v>
      </c>
      <c r="D4" s="21">
        <f>frac_sam_6_11months * 2.6</f>
        <v>3.1233800000000003E-3</v>
      </c>
      <c r="E4" s="21">
        <f>frac_sam_12_23months * 2.6</f>
        <v>3.8105600000000002E-3</v>
      </c>
      <c r="F4" s="21">
        <f>frac_sam_24_59months * 2.6</f>
        <v>2.07142E-3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4.0999999999999988E-2</v>
      </c>
      <c r="E2" s="60">
        <f>food_insecure</f>
        <v>4.0999999999999988E-2</v>
      </c>
      <c r="F2" s="60">
        <f>food_insecure</f>
        <v>4.0999999999999988E-2</v>
      </c>
      <c r="G2" s="60">
        <f>food_insecure</f>
        <v>4.0999999999999988E-2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4.0999999999999988E-2</v>
      </c>
      <c r="F5" s="60">
        <f>food_insecure</f>
        <v>4.0999999999999988E-2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4.0999999999999988E-2</v>
      </c>
      <c r="F8" s="60">
        <f>food_insecure</f>
        <v>4.0999999999999988E-2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4.0999999999999988E-2</v>
      </c>
      <c r="F9" s="60">
        <f>food_insecure</f>
        <v>4.0999999999999988E-2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4.0999999999999988E-2</v>
      </c>
      <c r="I15" s="60">
        <f>food_insecure</f>
        <v>4.0999999999999988E-2</v>
      </c>
      <c r="J15" s="60">
        <f>food_insecure</f>
        <v>4.0999999999999988E-2</v>
      </c>
      <c r="K15" s="60">
        <f>food_insecure</f>
        <v>4.0999999999999988E-2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0.13500000000000001</v>
      </c>
      <c r="M24" s="60">
        <f>famplan_unmet_need</f>
        <v>0.13500000000000001</v>
      </c>
      <c r="N24" s="60">
        <f>famplan_unmet_need</f>
        <v>0.13500000000000001</v>
      </c>
      <c r="O24" s="60">
        <f>famplan_unmet_need</f>
        <v>0.13500000000000001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9.1794461627960414E-2</v>
      </c>
      <c r="M25" s="60">
        <f>(1-food_insecure)*(0.49)+food_insecure*(0.7)</f>
        <v>0.49861</v>
      </c>
      <c r="N25" s="60">
        <f>(1-food_insecure)*(0.49)+food_insecure*(0.7)</f>
        <v>0.49861</v>
      </c>
      <c r="O25" s="60">
        <f>(1-food_insecure)*(0.49)+food_insecure*(0.7)</f>
        <v>0.49861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3.9340483554840169E-2</v>
      </c>
      <c r="M26" s="60">
        <f>(1-food_insecure)*(0.21)+food_insecure*(0.3)</f>
        <v>0.21368999999999999</v>
      </c>
      <c r="N26" s="60">
        <f>(1-food_insecure)*(0.21)+food_insecure*(0.3)</f>
        <v>0.21368999999999999</v>
      </c>
      <c r="O26" s="60">
        <f>(1-food_insecure)*(0.21)+food_insecure*(0.3)</f>
        <v>0.21368999999999999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5.2965778083801381E-2</v>
      </c>
      <c r="M27" s="60">
        <f>(1-food_insecure)*(0.3)</f>
        <v>0.28769999999999996</v>
      </c>
      <c r="N27" s="60">
        <f>(1-food_insecure)*(0.3)</f>
        <v>0.28769999999999996</v>
      </c>
      <c r="O27" s="60">
        <f>(1-food_insecure)*(0.3)</f>
        <v>0.28769999999999996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0.81589927673339802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0.90095577675432093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2024-03-28T03:03:51Z</dcterms:modified>
</cp:coreProperties>
</file>