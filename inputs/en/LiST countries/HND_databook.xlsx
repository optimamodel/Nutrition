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71A143A-4823-4BC4-96F1-64936BB1AE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29" i="2"/>
  <c r="A26" i="2"/>
  <c r="A25" i="2"/>
  <c r="A21" i="2"/>
  <c r="A18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19" i="2" l="1"/>
  <c r="A27" i="2"/>
  <c r="A35" i="2"/>
  <c r="A20" i="2"/>
  <c r="A28" i="2"/>
  <c r="A36" i="2"/>
  <c r="A4" i="2"/>
  <c r="A5" i="2" s="1"/>
  <c r="A38" i="2"/>
  <c r="A6" i="2"/>
  <c r="A7" i="2" s="1"/>
  <c r="A8" i="2" s="1"/>
  <c r="A9" i="2" s="1"/>
  <c r="A10" i="2" s="1"/>
  <c r="A11" i="2" s="1"/>
  <c r="A12" i="2" s="1"/>
  <c r="A13" i="2" s="1"/>
  <c r="A22" i="2"/>
  <c r="A30" i="2"/>
  <c r="A40" i="2"/>
  <c r="A15" i="2"/>
  <c r="A23" i="2"/>
  <c r="A31" i="2"/>
  <c r="A14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<sst xmlns="http://schemas.openxmlformats.org/spreadsheetml/2006/main" count="2103" uniqueCount="341">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</sst>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1065094.578125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46.657462083638059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42.717327128317891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236.1160204529337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1.0318710934702491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0.37362450000000003</v>
      </c>
      <c r="C10" s="98">
        <v>0.95</v>
      </c>
      <c r="D10" s="56">
        <v>13.73503902833848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13.73503902833848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13.73503902833848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13.73503902833848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0.37362450000000003</v>
      </c>
      <c r="C14" s="98">
        <v>0.95</v>
      </c>
      <c r="D14" s="56">
        <v>13.73503902833848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13.73503902833848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0.47428176618855961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0.23271111111111101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0.26074360000000002</v>
      </c>
      <c r="C18" s="98">
        <v>0.95</v>
      </c>
      <c r="D18" s="56">
        <v>5.4969809474092566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0.26074360000000002</v>
      </c>
      <c r="C19" s="98">
        <v>0.95</v>
      </c>
      <c r="D19" s="56">
        <v>5.4969809474092566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8.8005415971440346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4.5831213765060994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0.658036540114042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0.37362450000000003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19.732801874256189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0.52924979999999999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0.57343129999999998</v>
      </c>
      <c r="C29" s="98">
        <v>0.95</v>
      </c>
      <c r="D29" s="56">
        <v>87.693263589511574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0.2992427386952129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</v>
      </c>
      <c r="C32" s="98">
        <v>0.95</v>
      </c>
      <c r="D32" s="56">
        <v>0.98736889208471235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0.84963560000000005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0.2250375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4.1947599999999988E-2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0.91775859999999998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0.306954</v>
      </c>
      <c r="C38" s="98">
        <v>0.95</v>
      </c>
      <c r="D38" s="56">
        <v>6.3501454073226729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205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0.10980112066836845</v>
      </c>
      <c r="G18" s="90">
        <f>MIN(MAX(1-0.89/(1-frac_sam_12_23months+(frac_sam_12_23months*0.89)),0),1)</f>
        <v>0.1091751630128126</v>
      </c>
      <c r="H18" s="90">
        <f>MIN(MAX(1-0.89/(1-frac_sam_24_59months+(frac_sam_24_59months*0.89)),0),1)</f>
        <v>0.10966025525680345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0.10811704958000967</v>
      </c>
      <c r="G20" s="90">
        <f>MIN(MAX(1-0.89/(1-frac_mam_12_23months+(frac_mam_12_23months*0.89)),0),1)</f>
        <v>0.10834770499003354</v>
      </c>
      <c r="H20" s="90">
        <f>MIN(MAX(1-0.89/(1-frac_mam_24_59months+(frac_mam_24_59months*0.89)),0),1)</f>
        <v>0.10887893673092819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9.9798926916205843E-3</v>
      </c>
      <c r="G73" s="90">
        <f>MIN(MAX(1-0.99/(1-frac_sam_12_23months+(frac_sam_12_23months*0.99)),0),1)</f>
        <v>9.9166597348331331E-3</v>
      </c>
      <c r="H73" s="90">
        <f>MIN(MAX(1-0.99/(1-frac_sam_24_59months+(frac_sam_24_59months*0.99)),0),1)</f>
        <v>9.9656557085966435E-3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9.8099548050057939E-3</v>
      </c>
      <c r="G75" s="90">
        <f>MIN(MAX(1-0.99/(1-frac_mam_12_23months+(frac_mam_12_23months*0.99)),0),1)</f>
        <v>9.8331955099487667E-3</v>
      </c>
      <c r="H75" s="90">
        <f>MIN(MAX(1-0.99/(1-frac_mam_24_59months+(frac_mam_24_59months*0.99)),0),1)</f>
        <v>9.886763719506364E-3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0.19967490794760823</v>
      </c>
      <c r="G128" s="90">
        <f>MIN(MAX(1-0.8/(1-frac_sam_12_23months+(frac_sam_12_23months*0.8)),0),1)</f>
        <v>0.19865092883869995</v>
      </c>
      <c r="H128" s="90">
        <f>MIN(MAX(1-0.8/(1-frac_sam_24_59months+(frac_sam_24_59months*0.8)),0),1)</f>
        <v>0.19944457464588927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0.19691731894380482</v>
      </c>
      <c r="G130" s="90">
        <f>MIN(MAX(1-0.8/(1-frac_mam_12_23months+(frac_mam_12_23months*0.8)),0),1)</f>
        <v>0.1972955119848897</v>
      </c>
      <c r="H130" s="90">
        <f>MIN(MAX(1-0.8/(1-frac_mam_24_59months+(frac_mam_24_59months*0.8)),0),1)</f>
        <v>0.19816593286487916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2024-06-18T06:55:31Z</dcterms:modified>
</cp:coreProperties>
</file>