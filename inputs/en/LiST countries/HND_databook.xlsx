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328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LiST Optima bridge\App\en\"/>
    </mc:Choice>
  </mc:AlternateContent>
  <xr:revisionPtr revIDLastSave="0" documentId="8_{07E1E5A9-DB26-44A1-A1F9-923A957716F3}" xr6:coauthVersionLast="47" xr6:coauthVersionMax="47" xr10:uidLastSave="{00000000-0000-0000-0000-000000000000}"/>
  <bookViews>
    <workbookView xWindow="0" yWindow="3670" windowWidth="19200" windowHeight="6530" tabRatio="961" firstSheet="4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state="hidden" r:id="rId6"/>
    <sheet name="Economic los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Birth outcome risks" sheetId="21" state="hidden" r:id="rId21"/>
    <sheet name="Relative risks" sheetId="22" state="hidden" r:id="rId22"/>
    <sheet name="Odds ratios" sheetId="23" state="hidden" r:id="rId23"/>
    <sheet name="Programs birth outcomes" sheetId="24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5" i="28" l="1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F152" i="27"/>
  <c r="E152" i="27"/>
  <c r="D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E130" i="27"/>
  <c r="D130" i="27"/>
  <c r="H129" i="27"/>
  <c r="G129" i="27"/>
  <c r="F129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E112" i="27"/>
  <c r="D112" i="27"/>
  <c r="H97" i="27"/>
  <c r="H152" i="27" s="1"/>
  <c r="G97" i="27"/>
  <c r="G152" i="27" s="1"/>
  <c r="F97" i="27"/>
  <c r="E97" i="27"/>
  <c r="D97" i="27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H74" i="27"/>
  <c r="G74" i="27"/>
  <c r="F74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G112" i="27" s="1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O67" i="25"/>
  <c r="D67" i="25"/>
  <c r="C67" i="25"/>
  <c r="O66" i="25"/>
  <c r="N66" i="25"/>
  <c r="M66" i="25"/>
  <c r="L66" i="25"/>
  <c r="K66" i="25"/>
  <c r="J66" i="25"/>
  <c r="I66" i="25"/>
  <c r="H66" i="25"/>
  <c r="G66" i="25"/>
  <c r="F66" i="25"/>
  <c r="E66" i="25"/>
  <c r="D66" i="25"/>
  <c r="C66" i="25"/>
  <c r="D65" i="25"/>
  <c r="C65" i="25"/>
  <c r="O64" i="25"/>
  <c r="N64" i="25"/>
  <c r="M64" i="25"/>
  <c r="L64" i="25"/>
  <c r="K64" i="25"/>
  <c r="J64" i="25"/>
  <c r="I64" i="25"/>
  <c r="H64" i="25"/>
  <c r="G64" i="25"/>
  <c r="F64" i="25"/>
  <c r="E64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O60" i="25"/>
  <c r="N60" i="25"/>
  <c r="M60" i="25"/>
  <c r="L60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E49" i="25"/>
  <c r="D44" i="25"/>
  <c r="C44" i="25"/>
  <c r="O43" i="25"/>
  <c r="N43" i="25"/>
  <c r="M43" i="25"/>
  <c r="L43" i="25"/>
  <c r="K43" i="25"/>
  <c r="J43" i="25"/>
  <c r="I43" i="25"/>
  <c r="H43" i="25"/>
  <c r="G43" i="25"/>
  <c r="F43" i="25"/>
  <c r="E43" i="25"/>
  <c r="D43" i="25"/>
  <c r="C43" i="25"/>
  <c r="D42" i="25"/>
  <c r="C42" i="25"/>
  <c r="O41" i="25"/>
  <c r="N41" i="25"/>
  <c r="M41" i="25"/>
  <c r="L41" i="25"/>
  <c r="K41" i="25"/>
  <c r="J41" i="25"/>
  <c r="I41" i="25"/>
  <c r="H41" i="25"/>
  <c r="G41" i="25"/>
  <c r="F41" i="25"/>
  <c r="E41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O37" i="25"/>
  <c r="N37" i="25"/>
  <c r="M37" i="25"/>
  <c r="L37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E26" i="25"/>
  <c r="O19" i="25"/>
  <c r="N19" i="25"/>
  <c r="M19" i="25"/>
  <c r="L19" i="25"/>
  <c r="K19" i="25"/>
  <c r="J19" i="25"/>
  <c r="I19" i="25"/>
  <c r="H19" i="25"/>
  <c r="G19" i="25"/>
  <c r="F19" i="25"/>
  <c r="E19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62" i="23"/>
  <c r="F62" i="23"/>
  <c r="E62" i="23"/>
  <c r="D62" i="23"/>
  <c r="C62" i="23"/>
  <c r="G61" i="23"/>
  <c r="F61" i="23"/>
  <c r="E61" i="23"/>
  <c r="D61" i="23"/>
  <c r="C61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D52" i="23"/>
  <c r="C52" i="23"/>
  <c r="G50" i="23"/>
  <c r="F50" i="23"/>
  <c r="E50" i="23"/>
  <c r="D50" i="23"/>
  <c r="C50" i="23"/>
  <c r="G49" i="23"/>
  <c r="F49" i="23"/>
  <c r="E49" i="23"/>
  <c r="D49" i="23"/>
  <c r="C44" i="23"/>
  <c r="G40" i="23"/>
  <c r="F40" i="23"/>
  <c r="E40" i="23"/>
  <c r="D40" i="23"/>
  <c r="C40" i="23"/>
  <c r="G39" i="23"/>
  <c r="F39" i="23"/>
  <c r="E39" i="23"/>
  <c r="D39" i="23"/>
  <c r="C39" i="23"/>
  <c r="G38" i="23"/>
  <c r="F38" i="23"/>
  <c r="E38" i="23"/>
  <c r="D38" i="23"/>
  <c r="C38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D29" i="23"/>
  <c r="C29" i="23"/>
  <c r="G27" i="23"/>
  <c r="F27" i="23"/>
  <c r="E27" i="23"/>
  <c r="D27" i="23"/>
  <c r="C27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F121" i="20"/>
  <c r="E121" i="20"/>
  <c r="D121" i="20"/>
  <c r="H120" i="20"/>
  <c r="F120" i="20"/>
  <c r="E120" i="20"/>
  <c r="D120" i="20"/>
  <c r="H119" i="20"/>
  <c r="G119" i="20"/>
  <c r="F119" i="20"/>
  <c r="E119" i="20"/>
  <c r="D119" i="20"/>
  <c r="H118" i="20"/>
  <c r="G118" i="20"/>
  <c r="E118" i="20"/>
  <c r="D118" i="20"/>
  <c r="H117" i="20"/>
  <c r="G117" i="20"/>
  <c r="E117" i="20"/>
  <c r="D117" i="20"/>
  <c r="H116" i="20"/>
  <c r="G116" i="20"/>
  <c r="F116" i="20"/>
  <c r="E116" i="20"/>
  <c r="D116" i="20"/>
  <c r="H115" i="20"/>
  <c r="G115" i="20"/>
  <c r="F115" i="20"/>
  <c r="D115" i="20"/>
  <c r="H114" i="20"/>
  <c r="G114" i="20"/>
  <c r="F114" i="20"/>
  <c r="D114" i="20"/>
  <c r="H113" i="20"/>
  <c r="G113" i="20"/>
  <c r="F113" i="20"/>
  <c r="E113" i="20"/>
  <c r="D113" i="20"/>
  <c r="H112" i="20"/>
  <c r="G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E68" i="20"/>
  <c r="D68" i="20"/>
  <c r="H67" i="20"/>
  <c r="F67" i="20"/>
  <c r="E67" i="20"/>
  <c r="D67" i="20"/>
  <c r="H66" i="20"/>
  <c r="G66" i="20"/>
  <c r="F66" i="20"/>
  <c r="E66" i="20"/>
  <c r="D66" i="20"/>
  <c r="H65" i="20"/>
  <c r="G65" i="20"/>
  <c r="E65" i="20"/>
  <c r="D65" i="20"/>
  <c r="H64" i="20"/>
  <c r="G64" i="20"/>
  <c r="E64" i="20"/>
  <c r="D64" i="20"/>
  <c r="H63" i="20"/>
  <c r="G63" i="20"/>
  <c r="F63" i="20"/>
  <c r="E63" i="20"/>
  <c r="D63" i="20"/>
  <c r="H62" i="20"/>
  <c r="G62" i="20"/>
  <c r="F62" i="20"/>
  <c r="D62" i="20"/>
  <c r="H61" i="20"/>
  <c r="G61" i="20"/>
  <c r="F61" i="20"/>
  <c r="D61" i="20"/>
  <c r="H60" i="20"/>
  <c r="G60" i="20"/>
  <c r="F60" i="20"/>
  <c r="E60" i="20"/>
  <c r="D60" i="20"/>
  <c r="H59" i="20"/>
  <c r="G59" i="20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I40" i="2" s="1"/>
  <c r="G40" i="2"/>
  <c r="H39" i="2"/>
  <c r="G39" i="2"/>
  <c r="I39" i="2" s="1"/>
  <c r="H38" i="2"/>
  <c r="I38" i="2" s="1"/>
  <c r="G38" i="2"/>
  <c r="A37" i="2"/>
  <c r="A35" i="2"/>
  <c r="A32" i="2"/>
  <c r="A29" i="2"/>
  <c r="A27" i="2"/>
  <c r="A24" i="2"/>
  <c r="A21" i="2"/>
  <c r="A19" i="2"/>
  <c r="A16" i="2"/>
  <c r="H13" i="2"/>
  <c r="G13" i="2"/>
  <c r="I13" i="2" s="1"/>
  <c r="H12" i="2"/>
  <c r="I12" i="2" s="1"/>
  <c r="G12" i="2"/>
  <c r="H11" i="2"/>
  <c r="G11" i="2"/>
  <c r="I11" i="2" s="1"/>
  <c r="H10" i="2"/>
  <c r="I10" i="2" s="1"/>
  <c r="G10" i="2"/>
  <c r="H9" i="2"/>
  <c r="G9" i="2"/>
  <c r="I9" i="2" s="1"/>
  <c r="H8" i="2"/>
  <c r="I8" i="2" s="1"/>
  <c r="G8" i="2"/>
  <c r="H7" i="2"/>
  <c r="G7" i="2"/>
  <c r="I7" i="2" s="1"/>
  <c r="H6" i="2"/>
  <c r="I6" i="2" s="1"/>
  <c r="G6" i="2"/>
  <c r="H5" i="2"/>
  <c r="G5" i="2"/>
  <c r="I5" i="2" s="1"/>
  <c r="H4" i="2"/>
  <c r="I4" i="2" s="1"/>
  <c r="G4" i="2"/>
  <c r="H3" i="2"/>
  <c r="G3" i="2"/>
  <c r="I3" i="2" s="1"/>
  <c r="H2" i="2"/>
  <c r="I2" i="2" s="1"/>
  <c r="G2" i="2"/>
  <c r="A2" i="2"/>
  <c r="A39" i="2" s="1"/>
  <c r="C33" i="1"/>
  <c r="C20" i="1"/>
  <c r="A20" i="2" l="1"/>
  <c r="A28" i="2"/>
  <c r="A36" i="2"/>
  <c r="A40" i="2"/>
  <c r="A14" i="2"/>
  <c r="A22" i="2"/>
  <c r="A30" i="2"/>
  <c r="A38" i="2"/>
  <c r="A15" i="2"/>
  <c r="A23" i="2"/>
  <c r="A31" i="2"/>
  <c r="A17" i="2"/>
  <c r="A25" i="2"/>
  <c r="A33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26" i="2"/>
  <c r="A3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Tharindu Wickramaarachchi:
Mahumud et al 2022, EBF OR 1.73 (1.35-2.11</t>
        </r>
      </text>
    </comment>
    <comment ref="F28" authorId="0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0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0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0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1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89" authorId="1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>Tharindu Wickramaarachchi:
RR converted to an OR using BF prev.
Lassi et al 2019, EIBF RR 1.56 (1.37-1.77)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 xml:space="preserve">Tharindu Wickramaarachchi:
Mahumud et al 2022, EBF OR 1.73 (1.35-2.11) </t>
        </r>
      </text>
    </comment>
    <comment ref="A125" authorId="0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1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B56" authorId="0" shapeId="0" xr:uid="{00000000-0006-0000-1500-000001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  <comment ref="B65" authorId="0" shapeId="0" xr:uid="{00000000-0006-0000-1500-000002000000}">
      <text>
        <r>
          <rPr>
            <sz val="10"/>
            <color rgb="FF000000"/>
            <rFont val="Arial"/>
          </rPr>
          <t xml:space="preserve">Tharindu Wickramaarachchi:
LiST 6.29
Black RE, Victora CG, Walker SP, et al. Maternal and child undernutrition and overweight in low-income and middle-income countries. Lancet 2013; 382(9890): 427-51. http://www.ncbi.nlm.nih.gov/pubmed/23746772. (Supplementary material - Web Table 17.)
</t>
        </r>
      </text>
    </comment>
    <comment ref="C104" authorId="0" shapeId="0" xr:uid="{00000000-0006-0000-1500-000003000000}">
      <text>
        <r>
          <rPr>
            <sz val="10"/>
            <color rgb="FF000000"/>
            <rFont val="Arial"/>
          </rPr>
          <t>Tharindu Wickramaarachchi:
Spectrum LiST 6.29</t>
        </r>
      </text>
    </comment>
    <comment ref="A220" authorId="0" shapeId="0" xr:uid="{00000000-0006-0000-1500-000004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B6" authorId="0" shapeId="0" xr:uid="{00000000-0006-0000-1600-00000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2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6" authorId="1" shapeId="0" xr:uid="{00000000-0006-0000-1600-000003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7" authorId="0" shapeId="0" xr:uid="{00000000-0006-0000-1600-000004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5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6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9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1" shapeId="0" xr:uid="{00000000-0006-0000-1600-00000A000000}">
      <text>
        <r>
          <rPr>
            <sz val="10"/>
            <color rgb="FF000000"/>
            <rFont val="Arial"/>
          </rPr>
          <t>Tharindu Wickramaarachchi:
OR = 1.50 (1.26-1.78) for exclusive breastfeeding in children &lt; 1 month.</t>
        </r>
      </text>
    </comment>
    <comment ref="D12" authorId="1" shapeId="0" xr:uid="{00000000-0006-0000-1600-00000B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A28" authorId="1" shapeId="0" xr:uid="{00000000-0006-0000-1600-00000C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0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29" authorId="1" shapeId="0" xr:uid="{00000000-0006-0000-1600-00000E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29" authorId="1" shapeId="0" xr:uid="{00000000-0006-0000-1600-00000F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30" authorId="0" shapeId="0" xr:uid="{00000000-0006-0000-1600-000010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1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2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3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37" authorId="1" shapeId="0" xr:uid="{00000000-0006-0000-1600-000014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B4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A51" authorId="1" shapeId="0" xr:uid="{00000000-0006-0000-1600-000016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7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52" authorId="1" shapeId="0" xr:uid="{00000000-0006-0000-1600-000018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F52" authorId="1" shapeId="0" xr:uid="{00000000-0006-0000-1600-000019000000}">
      <text>
        <r>
          <rPr>
            <sz val="10"/>
            <color rgb="FF000000"/>
            <rFont val="Arial"/>
          </rPr>
          <t>Tharindu Wickramaarachchi:
Lassi et al 2020, RR 0.64 (0.44-0.92) 
RR converted to OR</t>
        </r>
      </text>
    </comment>
    <comment ref="B53" authorId="0" shapeId="0" xr:uid="{00000000-0006-0000-1600-00001A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B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1C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4" authorId="0" shapeId="0" xr:uid="{00000000-0006-0000-1800-00000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3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4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0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0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2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3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1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2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4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5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A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19" authorId="0" shapeId="0" xr:uid="{00000000-0006-0000-1800-00002B000000}">
      <text>
        <r>
          <rPr>
            <sz val="10"/>
            <color rgb="FF000000"/>
            <rFont val="Arial"/>
          </rPr>
          <t>Tharindu Wickramaarachchi:
Peña‐Rosas et al 2019, anemia RR 0.72 (0.54-0.97)
If no data for anaemia prev. the use RR otherwise convert RR to OR using prev.</t>
        </r>
      </text>
    </comment>
    <comment ref="E20" authorId="0" shapeId="0" xr:uid="{00000000-0006-0000-1800-00002C000000}">
      <text>
        <r>
          <rPr>
            <sz val="10"/>
            <color rgb="FF000000"/>
            <rFont val="Arial"/>
          </rPr>
          <t>Tharindu Wickramaarachchi:
Insufficient published research on the intervention’s effect on the outcome.</t>
        </r>
      </text>
    </comment>
    <comment ref="E21" authorId="0" shapeId="0" xr:uid="{00000000-0006-0000-1800-00002D000000}">
      <text>
        <r>
          <rPr>
            <sz val="10"/>
            <color rgb="FF000000"/>
            <rFont val="Arial"/>
          </rPr>
          <t>Tharindu Wickramaarachchi:
Larson et al 2021, RR 0.80 (0.70-0.92)
If no data for anaemia prev. the use RR otherwise convert RR to OR using prev.</t>
        </r>
      </text>
    </comment>
    <comment ref="A25" authorId="0" shapeId="0" xr:uid="{00000000-0006-0000-1800-00002E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2F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27" authorId="0" shapeId="0" xr:uid="{00000000-0006-0000-1800-00003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3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3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3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3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3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3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3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3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3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3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3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3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3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3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3F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4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4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4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4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4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4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4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4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4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4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4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4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4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4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4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4F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5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51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C49" authorId="0" shapeId="0" xr:uid="{00000000-0006-0000-1800-000052000000}">
      <text>
        <r>
          <rPr>
            <sz val="10"/>
            <color rgb="FF000000"/>
            <rFont val="Arial"/>
          </rPr>
          <t>Tharindu Wickramaarachchi:
RR from the lterature was used.
RRR = 0.53 (0.40-0.70) for being anaemic [Hutton and Hassan, 2007 Jama [63]]</t>
        </r>
      </text>
    </comment>
    <comment ref="H50" authorId="0" shapeId="0" xr:uid="{00000000-0006-0000-1800-00005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5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5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5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5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5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5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5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5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5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5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5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5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6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6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6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6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6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6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6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6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6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6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6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6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6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6D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6E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6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7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7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7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7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7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7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7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7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7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7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7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7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0" shapeId="0" xr:uid="{00000000-0006-0000-1A00-000013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8" authorId="0" shapeId="0" xr:uid="{00000000-0006-0000-1A00-000014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H18" authorId="0" shapeId="0" xr:uid="{00000000-0006-0000-1A00-000015000000}">
      <text>
        <r>
          <rPr>
            <sz val="10"/>
            <color rgb="FF000000"/>
            <rFont val="Arial"/>
          </rPr>
          <t>Tharindu Wickramaarachchi:
RRR = 0.32 (0.16-0.61) for SAM incidence 
Langendorf et al. 2014</t>
        </r>
      </text>
    </comment>
    <comment ref="F20" authorId="0" shapeId="0" xr:uid="{00000000-0006-0000-1A00-000016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20" authorId="0" shapeId="0" xr:uid="{00000000-0006-0000-1A00-000017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H20" authorId="0" shapeId="0" xr:uid="{00000000-0006-0000-1A00-000018000000}">
      <text>
        <r>
          <rPr>
            <sz val="10"/>
            <color rgb="FF000000"/>
            <rFont val="Arial"/>
          </rPr>
          <t xml:space="preserve">Tharindu Wickramaarachchi:
RRR = 0.40 (0.23-0.68) for MAM incidence Langendorf et al. 2014, PLoS Med </t>
        </r>
      </text>
    </comment>
    <comment ref="D22" authorId="0" shapeId="0" xr:uid="{00000000-0006-0000-1A00-000019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A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43" authorId="0" shapeId="0" xr:uid="{00000000-0006-0000-1A00-00001C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0" shapeId="0" xr:uid="{00000000-0006-0000-1A00-00004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73" authorId="0" shapeId="0" xr:uid="{00000000-0006-0000-1A00-00004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73" authorId="0" shapeId="0" xr:uid="{00000000-0006-0000-1A00-00004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75" authorId="0" shapeId="0" xr:uid="{00000000-0006-0000-1A00-00004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75" authorId="0" shapeId="0" xr:uid="{00000000-0006-0000-1A00-00004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75" authorId="0" shapeId="0" xr:uid="{00000000-0006-0000-1A00-00004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77" authorId="0" shapeId="0" xr:uid="{00000000-0006-0000-1A00-00004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5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99" authorId="0" shapeId="0" xr:uid="{00000000-0006-0000-1A00-00005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6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C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0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4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0" shapeId="0" xr:uid="{00000000-0006-0000-1A00-000078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G128" authorId="0" shapeId="0" xr:uid="{00000000-0006-0000-1A00-000079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H128" authorId="0" shapeId="0" xr:uid="{00000000-0006-0000-1A00-00007A000000}">
      <text>
        <r>
          <rPr>
            <sz val="10"/>
            <color rgb="FF000000"/>
            <rFont val="Arial"/>
          </rPr>
          <t>Tharindu Wickramaarachchi:
RR = 0.32 (0.16-0.61) for SAM incidence 
Langendorf et al. 2014</t>
        </r>
      </text>
    </comment>
    <comment ref="F130" authorId="0" shapeId="0" xr:uid="{00000000-0006-0000-1A00-00007B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G130" authorId="0" shapeId="0" xr:uid="{00000000-0006-0000-1A00-00007C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H130" authorId="0" shapeId="0" xr:uid="{00000000-0006-0000-1A00-00007D000000}">
      <text>
        <r>
          <rPr>
            <sz val="10"/>
            <color rgb="FF000000"/>
            <rFont val="Arial"/>
          </rPr>
          <t xml:space="preserve">Tharindu Wickramaarachchi:
RR = 0.40 (0.23-0.68) for MAM incidence Langendorf et al. 2014, PLoS Med 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54" authorId="0" shapeId="0" xr:uid="{00000000-0006-0000-1A00-000081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6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B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8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0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5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0" shapeId="0" xr:uid="{00000000-0006-0000-1B00-00000D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0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0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0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0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0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0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0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<sst xmlns="http://schemas.openxmlformats.org/spreadsheetml/2006/main" count="2092" uniqueCount="341">
  <si>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</si>
  <si>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</si>
  <si>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</si>
  <si>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</si>
  <si>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</si>
  <si>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</si>
  <si>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</si>
  <si>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</si>
  <si>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</si>
  <si>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</si>
  <si>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</si>
  <si>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</si>
  <si>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</si>
  <si>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</si>
  <si>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</si>
  <si>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</si>
  <si>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</si>
  <si>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</si>
  <si>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</si>
  <si>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</si>
  <si>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</si>
  <si>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</si>
  <si>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</si>
  <si>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</si>
  <si>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</si>
  <si>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</si>
  <si>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</si>
  <si>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</si>
  <si>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</si>
  <si>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</si>
  <si>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</si>
  <si>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</si>
  <si>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</si>
  <si>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</si>
  <si>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</si>
  <si>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</si>
  <si>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</si>
  <si>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</si>
  <si>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</si>
  <si>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</si>
  <si>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</si>
  <si>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</si>
  <si>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</si>
  <si>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</si>
  <si>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</si>
  <si>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</si>
  <si>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</si>
  <si>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</si>
  <si>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</si>
  <si>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</si>
  <si>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</si>
  <si>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</si>
  <si>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</si>
  <si>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</si>
  <si>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</si>
  <si>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</si>
  <si>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</si>
  <si>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</si>
  <si>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</si>
  <si>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</si>
  <si>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</si>
  <si>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</si>
  <si>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</si>
  <si>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</si>
  <si>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</si>
  <si>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</si>
  <si>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</si>
  <si>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</si>
  <si>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</si>
  <si>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</si>
  <si>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</si>
  <si>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</si>
  <si>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</si>
  <si>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</si>
  <si>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</si>
  <si>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</si>
  <si>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</si>
  <si>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</si>
  <si>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</si>
  <si>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</si>
  <si>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</si>
  <si>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</si>
  <si>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</si>
  <si>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</si>
  <si>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</si>
  <si>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</si>
  <si>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</si>
  <si>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</si>
  <si>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</si>
  <si>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</si>
  <si>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</si>
  <si>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</si>
  <si>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</si>
  <si>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</si>
  <si>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</si>
  <si>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</si>
  <si>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</si>
  <si>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</si>
  <si>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</si>
  <si>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</si>
  <si>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</si>
  <si>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</si>
  <si>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</si>
  <si>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</si>
  <si>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</si>
  <si>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</si>
  <si>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</si>
  <si>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</si>
  <si>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</si>
  <si>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</si>
  <si>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</si>
  <si>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</si>
  <si>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</si>
  <si>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</si>
  <si>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</si>
  <si>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</si>
  <si>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</si>
  <si>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</si>
  <si>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</si>
  <si>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</si>
  <si>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</si>
  <si>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</si>
  <si>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</si>
  <si>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</si>
  <si>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</si>
  <si>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</si>
  <si>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</si>
  <si>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</si>
  <si>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</si>
  <si>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</si>
  <si>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</si>
  <si>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</si>
  <si>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</si>
  <si>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</si>
  <si>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</si>
  <si>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Type</t>
  </si>
  <si>
    <t>Cost</t>
  </si>
  <si>
    <t>Child wasting episode</t>
  </si>
  <si>
    <t>Child turning age 5 stunted (over lifetime)</t>
  </si>
  <si>
    <t>Child death</t>
  </si>
  <si>
    <t>Maternal death</t>
  </si>
  <si>
    <t>Anaemic child (per year)</t>
  </si>
  <si>
    <t>Anaemic pregnant woman (per pregnancy)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</si>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</sst>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1065094.578125</v>
      </c>
    </row>
    <row r="8" spans="1:3" ht="15" customHeight="1" x14ac:dyDescent="0.25">
      <c r="B8" s="5" t="s">
        <v>8</v>
      </c>
      <c r="C8" s="44">
        <v>0.16500000000000001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0.48369369506835902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0.24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0.7</v>
      </c>
    </row>
    <row r="18" spans="1:3" ht="15" customHeight="1" x14ac:dyDescent="0.25">
      <c r="B18" s="5" t="s">
        <v>17</v>
      </c>
      <c r="C18" s="45">
        <v>0.05</v>
      </c>
    </row>
    <row r="19" spans="1:3" ht="15" customHeight="1" x14ac:dyDescent="0.25">
      <c r="B19" s="5" t="s">
        <v>18</v>
      </c>
      <c r="C19" s="45">
        <v>0.05</v>
      </c>
    </row>
    <row r="20" spans="1:3" ht="15" customHeight="1" x14ac:dyDescent="0.25">
      <c r="B20" s="5" t="s">
        <v>19</v>
      </c>
      <c r="C20" s="46">
        <f>1-frac_rice-frac_wheat-frac_maize</f>
        <v>0.20000000000000007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0.14680000000000001</v>
      </c>
    </row>
    <row r="24" spans="1:3" ht="15" customHeight="1" x14ac:dyDescent="0.25">
      <c r="B24" s="15" t="s">
        <v>22</v>
      </c>
      <c r="C24" s="45">
        <v>0.50009999999999999</v>
      </c>
    </row>
    <row r="25" spans="1:3" ht="15" customHeight="1" x14ac:dyDescent="0.25">
      <c r="B25" s="15" t="s">
        <v>23</v>
      </c>
      <c r="C25" s="45">
        <v>0.28989999999999999</v>
      </c>
    </row>
    <row r="26" spans="1:3" ht="15" customHeight="1" x14ac:dyDescent="0.25">
      <c r="B26" s="15" t="s">
        <v>24</v>
      </c>
      <c r="C26" s="45">
        <v>6.3199999999999992E-2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0.113828003000999</v>
      </c>
    </row>
    <row r="30" spans="1:3" ht="14.25" customHeight="1" x14ac:dyDescent="0.25">
      <c r="B30" s="25" t="s">
        <v>27</v>
      </c>
      <c r="C30" s="99">
        <v>0.86686825779453802</v>
      </c>
    </row>
    <row r="31" spans="1:3" ht="14.25" customHeight="1" x14ac:dyDescent="0.25">
      <c r="B31" s="25" t="s">
        <v>28</v>
      </c>
      <c r="C31" s="99">
        <v>1.7877388634686599E-2</v>
      </c>
    </row>
    <row r="32" spans="1:3" ht="14.25" customHeight="1" x14ac:dyDescent="0.25">
      <c r="B32" s="25" t="s">
        <v>29</v>
      </c>
      <c r="C32" s="99">
        <v>1.42635056977604E-3</v>
      </c>
    </row>
    <row r="33" spans="1:5" ht="13" customHeight="1" x14ac:dyDescent="0.25">
      <c r="B33" s="27" t="s">
        <v>30</v>
      </c>
      <c r="C33" s="48">
        <f>SUM(C29:C32)</f>
        <v>0.99999999999999967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9.5039800000000003</v>
      </c>
    </row>
    <row r="38" spans="1:5" ht="15" customHeight="1" x14ac:dyDescent="0.25">
      <c r="B38" s="11" t="s">
        <v>34</v>
      </c>
      <c r="C38" s="43">
        <v>14.23409</v>
      </c>
      <c r="D38" s="12"/>
      <c r="E38" s="13"/>
    </row>
    <row r="39" spans="1:5" ht="15" customHeight="1" x14ac:dyDescent="0.25">
      <c r="B39" s="11" t="s">
        <v>35</v>
      </c>
      <c r="C39" s="43">
        <v>16.555910000000001</v>
      </c>
      <c r="D39" s="12"/>
      <c r="E39" s="12"/>
    </row>
    <row r="40" spans="1:5" ht="15" customHeight="1" x14ac:dyDescent="0.25">
      <c r="B40" s="11" t="s">
        <v>36</v>
      </c>
      <c r="C40" s="100">
        <v>0.72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8.2260899999999992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7.1935000000000002E-3</v>
      </c>
      <c r="D45" s="12"/>
    </row>
    <row r="46" spans="1:5" ht="15.75" customHeight="1" x14ac:dyDescent="0.25">
      <c r="B46" s="11" t="s">
        <v>41</v>
      </c>
      <c r="C46" s="45">
        <v>7.7293600000000004E-2</v>
      </c>
      <c r="D46" s="12"/>
    </row>
    <row r="47" spans="1:5" ht="15.75" customHeight="1" x14ac:dyDescent="0.25">
      <c r="B47" s="11" t="s">
        <v>42</v>
      </c>
      <c r="C47" s="45">
        <v>7.4160000000000004E-2</v>
      </c>
      <c r="D47" s="12"/>
      <c r="E47" s="13"/>
    </row>
    <row r="48" spans="1:5" ht="15" customHeight="1" x14ac:dyDescent="0.25">
      <c r="B48" s="11" t="s">
        <v>43</v>
      </c>
      <c r="C48" s="46">
        <v>0.84135289999999996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100">
        <v>3.2</v>
      </c>
      <c r="D51" s="12"/>
    </row>
    <row r="52" spans="1:4" ht="15" customHeight="1" x14ac:dyDescent="0.25">
      <c r="B52" s="11" t="s">
        <v>46</v>
      </c>
      <c r="C52" s="100">
        <v>3.2</v>
      </c>
    </row>
    <row r="53" spans="1:4" ht="15.75" customHeight="1" x14ac:dyDescent="0.25">
      <c r="B53" s="11" t="s">
        <v>47</v>
      </c>
      <c r="C53" s="100">
        <v>3.2</v>
      </c>
    </row>
    <row r="54" spans="1:4" ht="15.75" customHeight="1" x14ac:dyDescent="0.25">
      <c r="B54" s="11" t="s">
        <v>48</v>
      </c>
      <c r="C54" s="100">
        <v>3.2</v>
      </c>
    </row>
    <row r="55" spans="1:4" ht="15.75" customHeight="1" x14ac:dyDescent="0.25">
      <c r="B55" s="11" t="s">
        <v>49</v>
      </c>
      <c r="C55" s="100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0.62768099999999993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0.108972099999999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198165.04680000001</v>
      </c>
      <c r="C2" s="49">
        <v>486000</v>
      </c>
      <c r="D2" s="49">
        <v>960000</v>
      </c>
      <c r="E2" s="49">
        <v>812000</v>
      </c>
      <c r="F2" s="49">
        <v>615000</v>
      </c>
      <c r="G2" s="17">
        <f t="shared" ref="G2:G13" si="0">C2+D2+E2+F2</f>
        <v>2873000</v>
      </c>
      <c r="H2" s="17">
        <f t="shared" ref="H2:H13" si="1">(B2 + stillbirth*B2/(1000-stillbirth))/(1-abortion)</f>
        <v>227055.330767693</v>
      </c>
      <c r="I2" s="17">
        <f t="shared" ref="I2:I13" si="2">G2-H2</f>
        <v>2645944.669232307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197505.405</v>
      </c>
      <c r="C3" s="50">
        <v>482000</v>
      </c>
      <c r="D3" s="50">
        <v>966000</v>
      </c>
      <c r="E3" s="50">
        <v>829000</v>
      </c>
      <c r="F3" s="50">
        <v>633000</v>
      </c>
      <c r="G3" s="17">
        <f t="shared" si="0"/>
        <v>2910000</v>
      </c>
      <c r="H3" s="17">
        <f t="shared" si="1"/>
        <v>226299.52044944672</v>
      </c>
      <c r="I3" s="17">
        <f t="shared" si="2"/>
        <v>2683700.4795505535</v>
      </c>
    </row>
    <row r="4" spans="1:9" ht="15.75" customHeight="1" x14ac:dyDescent="0.25">
      <c r="A4" s="5">
        <f t="shared" si="3"/>
        <v>2026</v>
      </c>
      <c r="B4" s="49">
        <v>196623.0962</v>
      </c>
      <c r="C4" s="50">
        <v>477000</v>
      </c>
      <c r="D4" s="50">
        <v>969000</v>
      </c>
      <c r="E4" s="50">
        <v>846000</v>
      </c>
      <c r="F4" s="50">
        <v>651000</v>
      </c>
      <c r="G4" s="17">
        <f t="shared" si="0"/>
        <v>2943000</v>
      </c>
      <c r="H4" s="17">
        <f t="shared" si="1"/>
        <v>225288.58073198263</v>
      </c>
      <c r="I4" s="17">
        <f t="shared" si="2"/>
        <v>2717711.4192680172</v>
      </c>
    </row>
    <row r="5" spans="1:9" ht="15.75" customHeight="1" x14ac:dyDescent="0.25">
      <c r="A5" s="5">
        <f t="shared" si="3"/>
        <v>2027</v>
      </c>
      <c r="B5" s="49">
        <v>195627.03159999999</v>
      </c>
      <c r="C5" s="50">
        <v>472000</v>
      </c>
      <c r="D5" s="50">
        <v>972000</v>
      </c>
      <c r="E5" s="50">
        <v>862000</v>
      </c>
      <c r="F5" s="50">
        <v>669000</v>
      </c>
      <c r="G5" s="17">
        <f t="shared" si="0"/>
        <v>2975000</v>
      </c>
      <c r="H5" s="17">
        <f t="shared" si="1"/>
        <v>224147.30087021546</v>
      </c>
      <c r="I5" s="17">
        <f t="shared" si="2"/>
        <v>2750852.6991297845</v>
      </c>
    </row>
    <row r="6" spans="1:9" ht="15.75" customHeight="1" x14ac:dyDescent="0.25">
      <c r="A6" s="5">
        <f t="shared" si="3"/>
        <v>2028</v>
      </c>
      <c r="B6" s="49">
        <v>194500.3385999999</v>
      </c>
      <c r="C6" s="50">
        <v>467000</v>
      </c>
      <c r="D6" s="50">
        <v>973000</v>
      </c>
      <c r="E6" s="50">
        <v>878000</v>
      </c>
      <c r="F6" s="50">
        <v>686000</v>
      </c>
      <c r="G6" s="17">
        <f t="shared" si="0"/>
        <v>3004000</v>
      </c>
      <c r="H6" s="17">
        <f t="shared" si="1"/>
        <v>222856.34842466709</v>
      </c>
      <c r="I6" s="17">
        <f t="shared" si="2"/>
        <v>2781143.651575333</v>
      </c>
    </row>
    <row r="7" spans="1:9" ht="15.75" customHeight="1" x14ac:dyDescent="0.25">
      <c r="A7" s="5">
        <f t="shared" si="3"/>
        <v>2029</v>
      </c>
      <c r="B7" s="49">
        <v>193227.49019999991</v>
      </c>
      <c r="C7" s="50">
        <v>463000</v>
      </c>
      <c r="D7" s="50">
        <v>971000</v>
      </c>
      <c r="E7" s="50">
        <v>892000</v>
      </c>
      <c r="F7" s="50">
        <v>703000</v>
      </c>
      <c r="G7" s="17">
        <f t="shared" si="0"/>
        <v>3029000</v>
      </c>
      <c r="H7" s="17">
        <f t="shared" si="1"/>
        <v>221397.93272953792</v>
      </c>
      <c r="I7" s="17">
        <f t="shared" si="2"/>
        <v>2807602.0672704619</v>
      </c>
    </row>
    <row r="8" spans="1:9" ht="15.75" customHeight="1" x14ac:dyDescent="0.25">
      <c r="A8" s="5">
        <f t="shared" si="3"/>
        <v>2030</v>
      </c>
      <c r="B8" s="49">
        <v>191828.723</v>
      </c>
      <c r="C8" s="50">
        <v>461000</v>
      </c>
      <c r="D8" s="50">
        <v>967000</v>
      </c>
      <c r="E8" s="50">
        <v>905000</v>
      </c>
      <c r="F8" s="50">
        <v>721000</v>
      </c>
      <c r="G8" s="17">
        <f t="shared" si="0"/>
        <v>3054000</v>
      </c>
      <c r="H8" s="17">
        <f t="shared" si="1"/>
        <v>219795.24065850122</v>
      </c>
      <c r="I8" s="17">
        <f t="shared" si="2"/>
        <v>2834204.7593414988</v>
      </c>
    </row>
    <row r="9" spans="1:9" ht="15.75" customHeight="1" x14ac:dyDescent="0.25">
      <c r="A9" s="5">
        <f t="shared" si="3"/>
        <v>2031</v>
      </c>
      <c r="B9" s="49">
        <v>190923.53388571431</v>
      </c>
      <c r="C9" s="50">
        <v>457428.57142857142</v>
      </c>
      <c r="D9" s="50">
        <v>968000</v>
      </c>
      <c r="E9" s="50">
        <v>918285.71428571432</v>
      </c>
      <c r="F9" s="50">
        <v>736142.85714285716</v>
      </c>
      <c r="G9" s="17">
        <f t="shared" si="0"/>
        <v>3079857.1428571427</v>
      </c>
      <c r="H9" s="17">
        <f t="shared" si="1"/>
        <v>218758.08492861671</v>
      </c>
      <c r="I9" s="17">
        <f t="shared" si="2"/>
        <v>2861099.0579285258</v>
      </c>
    </row>
    <row r="10" spans="1:9" ht="15.75" customHeight="1" x14ac:dyDescent="0.25">
      <c r="A10" s="5">
        <f t="shared" si="3"/>
        <v>2032</v>
      </c>
      <c r="B10" s="49">
        <v>189983.26658367351</v>
      </c>
      <c r="C10" s="50">
        <v>453918.36734693882</v>
      </c>
      <c r="D10" s="50">
        <v>968285.71428571432</v>
      </c>
      <c r="E10" s="50">
        <v>931040.81632653065</v>
      </c>
      <c r="F10" s="50">
        <v>750877.55102040817</v>
      </c>
      <c r="G10" s="17">
        <f t="shared" si="0"/>
        <v>3104122.448979592</v>
      </c>
      <c r="H10" s="17">
        <f t="shared" si="1"/>
        <v>217680.73699706956</v>
      </c>
      <c r="I10" s="17">
        <f t="shared" si="2"/>
        <v>2886441.7119825222</v>
      </c>
    </row>
    <row r="11" spans="1:9" ht="15.75" customHeight="1" x14ac:dyDescent="0.25">
      <c r="A11" s="5">
        <f t="shared" si="3"/>
        <v>2033</v>
      </c>
      <c r="B11" s="49">
        <v>189034.71949562681</v>
      </c>
      <c r="C11" s="50">
        <v>450620.99125364429</v>
      </c>
      <c r="D11" s="50">
        <v>968183.67346938781</v>
      </c>
      <c r="E11" s="50">
        <v>943189.50437317789</v>
      </c>
      <c r="F11" s="50">
        <v>765145.77259475214</v>
      </c>
      <c r="G11" s="17">
        <f t="shared" si="0"/>
        <v>3127139.9416909623</v>
      </c>
      <c r="H11" s="17">
        <f t="shared" si="1"/>
        <v>216593.90217779623</v>
      </c>
      <c r="I11" s="17">
        <f t="shared" si="2"/>
        <v>2910546.0395131661</v>
      </c>
    </row>
    <row r="12" spans="1:9" ht="15.75" customHeight="1" x14ac:dyDescent="0.25">
      <c r="A12" s="5">
        <f t="shared" si="3"/>
        <v>2034</v>
      </c>
      <c r="B12" s="49">
        <v>188092.96062357351</v>
      </c>
      <c r="C12" s="50">
        <v>447566.84714702202</v>
      </c>
      <c r="D12" s="50">
        <v>967638.48396501469</v>
      </c>
      <c r="E12" s="50">
        <v>954788.00499791757</v>
      </c>
      <c r="F12" s="50">
        <v>778880.88296543097</v>
      </c>
      <c r="G12" s="17">
        <f t="shared" si="0"/>
        <v>3148874.2190753855</v>
      </c>
      <c r="H12" s="17">
        <f t="shared" si="1"/>
        <v>215514.84522173632</v>
      </c>
      <c r="I12" s="17">
        <f t="shared" si="2"/>
        <v>2933359.373853649</v>
      </c>
    </row>
    <row r="13" spans="1:9" ht="15.75" customHeight="1" x14ac:dyDescent="0.25">
      <c r="A13" s="5">
        <f t="shared" si="3"/>
        <v>2035</v>
      </c>
      <c r="B13" s="49">
        <v>187177.62091265549</v>
      </c>
      <c r="C13" s="50">
        <v>444790.68245373952</v>
      </c>
      <c r="D13" s="50">
        <v>966872.55310287396</v>
      </c>
      <c r="E13" s="50">
        <v>965757.71999762009</v>
      </c>
      <c r="F13" s="50">
        <v>792149.58053192112</v>
      </c>
      <c r="G13" s="17">
        <f t="shared" si="0"/>
        <v>3169570.5360861546</v>
      </c>
      <c r="H13" s="17">
        <f t="shared" si="1"/>
        <v>214466.0590498891</v>
      </c>
      <c r="I13" s="17">
        <f t="shared" si="2"/>
        <v>2955104.4770362657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101">
        <v>7.7452100000000051E-2</v>
      </c>
    </row>
    <row r="5" spans="1:8" ht="15.75" customHeight="1" x14ac:dyDescent="0.25">
      <c r="B5" s="19" t="s">
        <v>70</v>
      </c>
      <c r="C5" s="101">
        <v>2.7733600000000049E-2</v>
      </c>
    </row>
    <row r="6" spans="1:8" ht="15.75" customHeight="1" x14ac:dyDescent="0.25">
      <c r="B6" s="19" t="s">
        <v>71</v>
      </c>
      <c r="C6" s="101">
        <v>0.16728139999999991</v>
      </c>
    </row>
    <row r="7" spans="1:8" ht="15.75" customHeight="1" x14ac:dyDescent="0.25">
      <c r="B7" s="19" t="s">
        <v>72</v>
      </c>
      <c r="C7" s="101">
        <v>0.43133549999999909</v>
      </c>
    </row>
    <row r="8" spans="1:8" ht="15.75" customHeight="1" x14ac:dyDescent="0.25">
      <c r="B8" s="19" t="s">
        <v>73</v>
      </c>
      <c r="C8" s="101">
        <v>9.3167000000000041E-3</v>
      </c>
    </row>
    <row r="9" spans="1:8" ht="15.75" customHeight="1" x14ac:dyDescent="0.25">
      <c r="B9" s="19" t="s">
        <v>74</v>
      </c>
      <c r="C9" s="101">
        <v>0.2029222000000008</v>
      </c>
    </row>
    <row r="10" spans="1:8" ht="15.75" customHeight="1" x14ac:dyDescent="0.25">
      <c r="B10" s="19" t="s">
        <v>75</v>
      </c>
      <c r="C10" s="101">
        <v>8.3958499999999908E-2</v>
      </c>
    </row>
    <row r="11" spans="1:8" ht="15.75" customHeight="1" x14ac:dyDescent="0.25">
      <c r="B11" s="27" t="s">
        <v>30</v>
      </c>
      <c r="C11" s="48">
        <f>SUM(C3:C10)</f>
        <v>0.99999999999999978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2" t="s">
        <v>77</v>
      </c>
      <c r="D13" s="102" t="s">
        <v>78</v>
      </c>
      <c r="E13" s="102" t="s">
        <v>79</v>
      </c>
      <c r="F13" s="102" t="s">
        <v>80</v>
      </c>
      <c r="G13" s="19"/>
    </row>
    <row r="14" spans="1:8" ht="15.75" customHeight="1" x14ac:dyDescent="0.25">
      <c r="B14" s="19" t="s">
        <v>81</v>
      </c>
      <c r="C14" s="55">
        <v>0.32066211308131543</v>
      </c>
      <c r="D14" s="55">
        <v>0.32066211308131543</v>
      </c>
      <c r="E14" s="55">
        <v>0.32066211308131543</v>
      </c>
      <c r="F14" s="55">
        <v>0.32066211308131543</v>
      </c>
    </row>
    <row r="15" spans="1:8" ht="15.75" customHeight="1" x14ac:dyDescent="0.25">
      <c r="B15" s="19" t="s">
        <v>82</v>
      </c>
      <c r="C15" s="101">
        <v>0.40880962009481991</v>
      </c>
      <c r="D15" s="101">
        <v>0.40880962009481991</v>
      </c>
      <c r="E15" s="101">
        <v>0.40880962009481991</v>
      </c>
      <c r="F15" s="101">
        <v>0.40880962009481991</v>
      </c>
    </row>
    <row r="16" spans="1:8" ht="15.75" customHeight="1" x14ac:dyDescent="0.25">
      <c r="B16" s="19" t="s">
        <v>83</v>
      </c>
      <c r="C16" s="101">
        <v>1.389605921598821E-2</v>
      </c>
      <c r="D16" s="101">
        <v>1.389605921598821E-2</v>
      </c>
      <c r="E16" s="101">
        <v>1.389605921598821E-2</v>
      </c>
      <c r="F16" s="101">
        <v>1.389605921598821E-2</v>
      </c>
    </row>
    <row r="17" spans="1:8" ht="15.75" customHeight="1" x14ac:dyDescent="0.25">
      <c r="B17" s="19" t="s">
        <v>84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85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86</v>
      </c>
      <c r="C19" s="101">
        <v>2.2400301830658709E-2</v>
      </c>
      <c r="D19" s="101">
        <v>2.2400301830658709E-2</v>
      </c>
      <c r="E19" s="101">
        <v>2.2400301830658709E-2</v>
      </c>
      <c r="F19" s="101">
        <v>2.2400301830658709E-2</v>
      </c>
    </row>
    <row r="20" spans="1:8" ht="15.75" customHeight="1" x14ac:dyDescent="0.25">
      <c r="B20" s="19" t="s">
        <v>87</v>
      </c>
      <c r="C20" s="101">
        <v>1.215411425305395E-2</v>
      </c>
      <c r="D20" s="101">
        <v>1.215411425305395E-2</v>
      </c>
      <c r="E20" s="101">
        <v>1.215411425305395E-2</v>
      </c>
      <c r="F20" s="101">
        <v>1.215411425305395E-2</v>
      </c>
    </row>
    <row r="21" spans="1:8" ht="15.75" customHeight="1" x14ac:dyDescent="0.25">
      <c r="B21" s="19" t="s">
        <v>88</v>
      </c>
      <c r="C21" s="101">
        <v>0.11903384826955</v>
      </c>
      <c r="D21" s="101">
        <v>0.11903384826955</v>
      </c>
      <c r="E21" s="101">
        <v>0.11903384826955</v>
      </c>
      <c r="F21" s="101">
        <v>0.11903384826955</v>
      </c>
    </row>
    <row r="22" spans="1:8" ht="15.75" customHeight="1" x14ac:dyDescent="0.25">
      <c r="B22" s="19" t="s">
        <v>89</v>
      </c>
      <c r="C22" s="101">
        <v>0.1030439432546139</v>
      </c>
      <c r="D22" s="101">
        <v>0.1030439432546139</v>
      </c>
      <c r="E22" s="101">
        <v>0.1030439432546139</v>
      </c>
      <c r="F22" s="101">
        <v>0.1030439432546139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2.3295386000000001E-2</v>
      </c>
    </row>
    <row r="27" spans="1:8" ht="15.75" customHeight="1" x14ac:dyDescent="0.25">
      <c r="B27" s="19" t="s">
        <v>92</v>
      </c>
      <c r="C27" s="101">
        <v>9.7438085999999993E-2</v>
      </c>
    </row>
    <row r="28" spans="1:8" ht="15.75" customHeight="1" x14ac:dyDescent="0.25">
      <c r="B28" s="19" t="s">
        <v>93</v>
      </c>
      <c r="C28" s="101">
        <v>0.31612977399999997</v>
      </c>
    </row>
    <row r="29" spans="1:8" ht="15.75" customHeight="1" x14ac:dyDescent="0.25">
      <c r="B29" s="19" t="s">
        <v>94</v>
      </c>
      <c r="C29" s="101">
        <v>0.192412257</v>
      </c>
    </row>
    <row r="30" spans="1:8" ht="15.75" customHeight="1" x14ac:dyDescent="0.25">
      <c r="B30" s="19" t="s">
        <v>95</v>
      </c>
      <c r="C30" s="101">
        <v>0.10694290400000001</v>
      </c>
    </row>
    <row r="31" spans="1:8" ht="15.75" customHeight="1" x14ac:dyDescent="0.25">
      <c r="B31" s="19" t="s">
        <v>96</v>
      </c>
      <c r="C31" s="101">
        <v>2.3714310999999998E-2</v>
      </c>
    </row>
    <row r="32" spans="1:8" ht="15.75" customHeight="1" x14ac:dyDescent="0.25">
      <c r="B32" s="19" t="s">
        <v>97</v>
      </c>
      <c r="C32" s="101">
        <v>2.6508690000000001E-3</v>
      </c>
    </row>
    <row r="33" spans="2:3" ht="15.75" customHeight="1" x14ac:dyDescent="0.25">
      <c r="B33" s="19" t="s">
        <v>98</v>
      </c>
      <c r="C33" s="101">
        <v>0.189281701</v>
      </c>
    </row>
    <row r="34" spans="2:3" ht="15.75" customHeight="1" x14ac:dyDescent="0.25">
      <c r="B34" s="19" t="s">
        <v>99</v>
      </c>
      <c r="C34" s="101">
        <v>4.813471099999999E-2</v>
      </c>
    </row>
    <row r="35" spans="2:3" ht="15.75" customHeight="1" x14ac:dyDescent="0.25">
      <c r="B35" s="27" t="s">
        <v>30</v>
      </c>
      <c r="C35" s="48">
        <f>SUM(C26:C34)</f>
        <v>0.99999999899999992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F11" sqref="F11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0.63510746440877086</v>
      </c>
      <c r="D2" s="52">
        <f>IFERROR(1-_xlfn.NORM.DIST(_xlfn.NORM.INV(SUM(D4:D5), 0, 1) + 1, 0, 1, TRUE), "")</f>
        <v>0.63510746440877086</v>
      </c>
      <c r="E2" s="52">
        <f>IFERROR(1-_xlfn.NORM.DIST(_xlfn.NORM.INV(SUM(E4:E5), 0, 1) + 1, 0, 1, TRUE), "")</f>
        <v>0.59147396426392407</v>
      </c>
      <c r="F2" s="52">
        <f>IFERROR(1-_xlfn.NORM.DIST(_xlfn.NORM.INV(SUM(F4:F5), 0, 1) + 1, 0, 1, TRUE), "")</f>
        <v>0.46485871553857572</v>
      </c>
      <c r="G2" s="52">
        <f>IFERROR(1-_xlfn.NORM.DIST(_xlfn.NORM.INV(SUM(G4:G5), 0, 1) + 1, 0, 1, TRUE), "")</f>
        <v>0.41426804604924083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0.27564633559122909</v>
      </c>
      <c r="D3" s="52">
        <f>IFERROR(_xlfn.NORM.DIST(_xlfn.NORM.INV(SUM(D4:D5), 0, 1) + 1, 0, 1, TRUE) - SUM(D4:D5), "")</f>
        <v>0.27564633559122909</v>
      </c>
      <c r="E3" s="52">
        <f>IFERROR(_xlfn.NORM.DIST(_xlfn.NORM.INV(SUM(E4:E5), 0, 1) + 1, 0, 1, TRUE) - SUM(E4:E5), "")</f>
        <v>0.2994278357360759</v>
      </c>
      <c r="F3" s="52">
        <f>IFERROR(_xlfn.NORM.DIST(_xlfn.NORM.INV(SUM(F4:F5), 0, 1) + 1, 0, 1, TRUE) - SUM(F4:F5), "")</f>
        <v>0.35420418446142432</v>
      </c>
      <c r="G3" s="52">
        <f>IFERROR(_xlfn.NORM.DIST(_xlfn.NORM.INV(SUM(G4:G5), 0, 1) + 1, 0, 1, TRUE) - SUM(G4:G5), "")</f>
        <v>0.36904185395075917</v>
      </c>
    </row>
    <row r="4" spans="1:15" ht="15.75" customHeight="1" x14ac:dyDescent="0.25">
      <c r="B4" s="5" t="s">
        <v>104</v>
      </c>
      <c r="C4" s="45">
        <v>7.2389800000000004E-2</v>
      </c>
      <c r="D4" s="53">
        <v>7.2389800000000004E-2</v>
      </c>
      <c r="E4" s="53">
        <v>8.9044200000000004E-2</v>
      </c>
      <c r="F4" s="53">
        <v>0.14756929999999999</v>
      </c>
      <c r="G4" s="53">
        <v>0.16535710000000001</v>
      </c>
    </row>
    <row r="5" spans="1:15" ht="15.75" customHeight="1" x14ac:dyDescent="0.25">
      <c r="B5" s="5" t="s">
        <v>105</v>
      </c>
      <c r="C5" s="45">
        <v>1.6856400000000001E-2</v>
      </c>
      <c r="D5" s="53">
        <v>1.6856400000000001E-2</v>
      </c>
      <c r="E5" s="53">
        <v>2.0053999999999999E-2</v>
      </c>
      <c r="F5" s="53">
        <v>3.3367800000000003E-2</v>
      </c>
      <c r="G5" s="53">
        <v>5.1332999999999997E-2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0.81830302949581957</v>
      </c>
      <c r="D8" s="52">
        <f>IFERROR(1-_xlfn.NORM.DIST(_xlfn.NORM.INV(SUM(D10:D11), 0, 1) + 1, 0, 1, TRUE), "")</f>
        <v>0.81830302949581957</v>
      </c>
      <c r="E8" s="52">
        <f>IFERROR(1-_xlfn.NORM.DIST(_xlfn.NORM.INV(SUM(E10:E11), 0, 1) + 1, 0, 1, TRUE), "")</f>
        <v>0.84828482406908745</v>
      </c>
      <c r="F8" s="52">
        <f>IFERROR(1-_xlfn.NORM.DIST(_xlfn.NORM.INV(SUM(F10:F11), 0, 1) + 1, 0, 1, TRUE), "")</f>
        <v>0.83033086748500462</v>
      </c>
      <c r="G8" s="52">
        <f>IFERROR(1-_xlfn.NORM.DIST(_xlfn.NORM.INV(SUM(G10:G11), 0, 1) + 1, 0, 1, TRUE), "")</f>
        <v>0.87951930789818533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0.1535605705041804</v>
      </c>
      <c r="D9" s="52">
        <f>IFERROR(_xlfn.NORM.DIST(_xlfn.NORM.INV(SUM(D10:D11), 0, 1) + 1, 0, 1, TRUE) - SUM(D10:D11), "")</f>
        <v>0.1535605705041804</v>
      </c>
      <c r="E9" s="52">
        <f>IFERROR(_xlfn.NORM.DIST(_xlfn.NORM.INV(SUM(E10:E11), 0, 1) + 1, 0, 1, TRUE) - SUM(E10:E11), "")</f>
        <v>0.13049137593091248</v>
      </c>
      <c r="F9" s="52">
        <f>IFERROR(_xlfn.NORM.DIST(_xlfn.NORM.INV(SUM(F10:F11), 0, 1) + 1, 0, 1, TRUE) - SUM(F10:F11), "")</f>
        <v>0.14440553251499541</v>
      </c>
      <c r="G9" s="52">
        <f>IFERROR(_xlfn.NORM.DIST(_xlfn.NORM.INV(SUM(G10:G11), 0, 1) + 1, 0, 1, TRUE) - SUM(G10:G11), "")</f>
        <v>0.10557499210181473</v>
      </c>
    </row>
    <row r="10" spans="1:15" ht="15.75" customHeight="1" x14ac:dyDescent="0.25">
      <c r="B10" s="5" t="s">
        <v>109</v>
      </c>
      <c r="C10" s="45">
        <v>2.02408E-2</v>
      </c>
      <c r="D10" s="53">
        <v>2.02408E-2</v>
      </c>
      <c r="E10" s="53">
        <v>1.9192799999999999E-2</v>
      </c>
      <c r="F10" s="53">
        <v>1.6846099999999999E-2</v>
      </c>
      <c r="G10" s="53">
        <v>1.1436699999999999E-2</v>
      </c>
    </row>
    <row r="11" spans="1:15" ht="15.75" customHeight="1" x14ac:dyDescent="0.25">
      <c r="B11" s="5" t="s">
        <v>110</v>
      </c>
      <c r="C11" s="45">
        <v>7.8956000000000009E-3</v>
      </c>
      <c r="D11" s="53">
        <v>7.8956000000000009E-3</v>
      </c>
      <c r="E11" s="53">
        <v>2.0309999999999998E-3</v>
      </c>
      <c r="F11" s="53">
        <v>8.4174999999999996E-3</v>
      </c>
      <c r="G11" s="53">
        <v>3.4689999999999999E-3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0.64111971849999994</v>
      </c>
      <c r="D14" s="54">
        <v>0.61129918249399995</v>
      </c>
      <c r="E14" s="54">
        <v>0.61129918249399995</v>
      </c>
      <c r="F14" s="54">
        <v>0.28696047060300001</v>
      </c>
      <c r="G14" s="54">
        <v>0.28696047060300001</v>
      </c>
      <c r="H14" s="45">
        <v>0.21299999999999999</v>
      </c>
      <c r="I14" s="55">
        <v>0.21299999999999999</v>
      </c>
      <c r="J14" s="55">
        <v>0.21299999999999999</v>
      </c>
      <c r="K14" s="55">
        <v>0.21299999999999999</v>
      </c>
      <c r="L14" s="45">
        <v>0.17599999999999999</v>
      </c>
      <c r="M14" s="55">
        <v>0.17599999999999999</v>
      </c>
      <c r="N14" s="55">
        <v>0.17599999999999999</v>
      </c>
      <c r="O14" s="55">
        <v>0.17599999999999999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0.40241866602779841</v>
      </c>
      <c r="D15" s="52">
        <f t="shared" si="0"/>
        <v>0.38370088216701637</v>
      </c>
      <c r="E15" s="52">
        <f t="shared" si="0"/>
        <v>0.38370088216701637</v>
      </c>
      <c r="F15" s="52">
        <f t="shared" si="0"/>
        <v>0.18011963514856164</v>
      </c>
      <c r="G15" s="52">
        <f t="shared" si="0"/>
        <v>0.18011963514856164</v>
      </c>
      <c r="H15" s="52">
        <f t="shared" si="0"/>
        <v>0.13369605299999998</v>
      </c>
      <c r="I15" s="52">
        <f t="shared" si="0"/>
        <v>0.13369605299999998</v>
      </c>
      <c r="J15" s="52">
        <f t="shared" si="0"/>
        <v>0.13369605299999998</v>
      </c>
      <c r="K15" s="52">
        <f t="shared" si="0"/>
        <v>0.13369605299999998</v>
      </c>
      <c r="L15" s="52">
        <f t="shared" si="0"/>
        <v>0.11047185599999998</v>
      </c>
      <c r="M15" s="52">
        <f t="shared" si="0"/>
        <v>0.11047185599999998</v>
      </c>
      <c r="N15" s="52">
        <f t="shared" si="0"/>
        <v>0.11047185599999998</v>
      </c>
      <c r="O15" s="52">
        <f t="shared" si="0"/>
        <v>0.11047185599999998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0.44225300000000001</v>
      </c>
      <c r="D2" s="53">
        <v>0.26074360000000002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7.7970999999999999E-2</v>
      </c>
      <c r="D3" s="53">
        <v>0.1322419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0.4561074</v>
      </c>
      <c r="D4" s="53">
        <v>0.48804560000000002</v>
      </c>
      <c r="E4" s="53">
        <v>0.72140609999999994</v>
      </c>
      <c r="F4" s="53">
        <v>0.51482410000000001</v>
      </c>
      <c r="G4" s="53">
        <v>0</v>
      </c>
    </row>
    <row r="5" spans="1:7" x14ac:dyDescent="0.25">
      <c r="B5" s="3" t="s">
        <v>122</v>
      </c>
      <c r="C5" s="52">
        <v>2.3668600000000001E-2</v>
      </c>
      <c r="D5" s="52">
        <v>0.1189689</v>
      </c>
      <c r="E5" s="52">
        <f>1-SUM(E2:E4)</f>
        <v>0.27859390000000006</v>
      </c>
      <c r="F5" s="52">
        <f>1-SUM(F2:F4)</f>
        <v>0.48517589999999999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135</v>
      </c>
      <c r="B1" s="4" t="s">
        <v>136</v>
      </c>
    </row>
    <row r="2" spans="1:2" x14ac:dyDescent="0.25">
      <c r="A2" s="8" t="s">
        <v>137</v>
      </c>
      <c r="B2" s="41">
        <v>10</v>
      </c>
    </row>
    <row r="3" spans="1:2" x14ac:dyDescent="0.25">
      <c r="A3" s="8" t="s">
        <v>138</v>
      </c>
      <c r="B3" s="41">
        <v>10</v>
      </c>
    </row>
    <row r="4" spans="1:2" x14ac:dyDescent="0.25">
      <c r="A4" s="8" t="s">
        <v>139</v>
      </c>
      <c r="B4" s="41">
        <v>10</v>
      </c>
    </row>
    <row r="5" spans="1:2" x14ac:dyDescent="0.25">
      <c r="A5" s="8" t="s">
        <v>140</v>
      </c>
      <c r="B5" s="41">
        <v>10</v>
      </c>
    </row>
    <row r="6" spans="1:2" x14ac:dyDescent="0.25">
      <c r="A6" s="8" t="s">
        <v>141</v>
      </c>
      <c r="B6" s="41">
        <v>10</v>
      </c>
    </row>
    <row r="7" spans="1:2" x14ac:dyDescent="0.25">
      <c r="A7" s="8" t="s">
        <v>142</v>
      </c>
      <c r="B7" s="41">
        <v>10</v>
      </c>
    </row>
  </sheetData>
  <sheetProtection algorithmName="SHA-512" hashValue="YTrXHsnirT/bsP+7+uMgpWAhdccKC9Qo1FzXrh2XswY271EWOG0bFZHop7LfSCGKI/uyxD63LS8xZgES2J7SsQ==" saltValue="F9kdn6b4UaX+yMB6vvKJXg==" spinCount="100000" sheet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topLeftCell="A3" zoomScale="115" zoomScaleNormal="115" workbookViewId="0">
      <selection activeCell="D12" sqref="D12:D13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143</v>
      </c>
      <c r="B1" s="36" t="s">
        <v>144</v>
      </c>
      <c r="C1" s="36" t="s">
        <v>145</v>
      </c>
      <c r="D1" s="36" t="s">
        <v>146</v>
      </c>
      <c r="E1" s="36" t="s">
        <v>147</v>
      </c>
    </row>
    <row r="2" spans="1:5" ht="13" customHeight="1" x14ac:dyDescent="0.3">
      <c r="A2" s="34" t="s">
        <v>148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149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149</v>
      </c>
      <c r="E4" s="38" t="str">
        <f>IF(E$7="","",E$7)</f>
        <v/>
      </c>
    </row>
    <row r="5" spans="1:5" x14ac:dyDescent="0.25">
      <c r="B5" s="32" t="s">
        <v>78</v>
      </c>
      <c r="C5" s="47"/>
      <c r="D5" s="47"/>
      <c r="E5" s="38" t="str">
        <f>IF(E$7="","",E$7)</f>
        <v/>
      </c>
    </row>
    <row r="6" spans="1:5" x14ac:dyDescent="0.25">
      <c r="B6" s="32" t="s">
        <v>79</v>
      </c>
      <c r="C6" s="47"/>
      <c r="D6" s="47"/>
      <c r="E6" s="38" t="str">
        <f>IF(E$7="","",E$7)</f>
        <v/>
      </c>
    </row>
    <row r="7" spans="1:5" x14ac:dyDescent="0.25">
      <c r="B7" s="32" t="s">
        <v>150</v>
      </c>
      <c r="C7" s="31"/>
      <c r="D7" s="30"/>
      <c r="E7" s="47"/>
    </row>
    <row r="9" spans="1:5" ht="13" customHeight="1" x14ac:dyDescent="0.3">
      <c r="A9" s="34" t="s">
        <v>151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149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149</v>
      </c>
      <c r="E13" s="38" t="str">
        <f>IF(E$7="","",E$7)</f>
        <v/>
      </c>
    </row>
    <row r="14" spans="1:5" x14ac:dyDescent="0.25">
      <c r="B14" s="32" t="s">
        <v>150</v>
      </c>
      <c r="C14" s="31"/>
      <c r="D14" s="30"/>
      <c r="E14" s="47"/>
    </row>
    <row r="16" spans="1:5" ht="13" customHeight="1" x14ac:dyDescent="0.3">
      <c r="A16" s="34" t="s">
        <v>152</v>
      </c>
      <c r="B16" s="32" t="s">
        <v>90</v>
      </c>
      <c r="C16" s="47"/>
      <c r="D16" s="47" t="s">
        <v>149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149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149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149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149</v>
      </c>
      <c r="E20" s="38" t="str">
        <f>IF(E$7="","",E$7)</f>
        <v/>
      </c>
    </row>
    <row r="21" spans="2:5" x14ac:dyDescent="0.25">
      <c r="B21" s="32" t="s">
        <v>150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1</v>
      </c>
      <c r="B1" s="36" t="s">
        <v>153</v>
      </c>
      <c r="C1" s="40" t="s">
        <v>154</v>
      </c>
      <c r="D1" s="40" t="s">
        <v>155</v>
      </c>
    </row>
    <row r="2" spans="1:4" ht="13" customHeight="1" x14ac:dyDescent="0.3">
      <c r="A2" s="40" t="s">
        <v>156</v>
      </c>
      <c r="B2" s="32" t="s">
        <v>157</v>
      </c>
      <c r="C2" s="32" t="s">
        <v>158</v>
      </c>
      <c r="D2" s="47"/>
    </row>
    <row r="3" spans="1:4" ht="13" customHeight="1" x14ac:dyDescent="0.3">
      <c r="A3" s="40" t="s">
        <v>159</v>
      </c>
      <c r="B3" s="32" t="s">
        <v>145</v>
      </c>
      <c r="C3" s="32" t="s">
        <v>160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156</v>
      </c>
      <c r="B1" s="22" t="str">
        <f>"Baseline ("&amp;start_year&amp;") coverage"</f>
        <v>Baseline (2024) coverage</v>
      </c>
      <c r="C1" s="22" t="s">
        <v>161</v>
      </c>
      <c r="D1" s="22" t="s">
        <v>162</v>
      </c>
      <c r="E1" s="22" t="s">
        <v>163</v>
      </c>
      <c r="F1" s="22" t="s">
        <v>164</v>
      </c>
      <c r="G1" s="22" t="s">
        <v>165</v>
      </c>
    </row>
    <row r="2" spans="1:7" ht="15.75" customHeight="1" x14ac:dyDescent="0.25">
      <c r="A2" s="5" t="s">
        <v>166</v>
      </c>
      <c r="B2" s="45">
        <v>0.16542924122</v>
      </c>
      <c r="C2" s="98">
        <v>0.95</v>
      </c>
      <c r="D2" s="56">
        <v>46.657462083638059</v>
      </c>
      <c r="E2" s="56" t="s">
        <v>167</v>
      </c>
      <c r="F2" s="98">
        <v>1</v>
      </c>
      <c r="G2" s="98">
        <v>1</v>
      </c>
    </row>
    <row r="3" spans="1:7" ht="15.75" customHeight="1" x14ac:dyDescent="0.25">
      <c r="A3" s="5" t="s">
        <v>168</v>
      </c>
      <c r="B3" s="45">
        <v>0</v>
      </c>
      <c r="C3" s="98">
        <v>0.95</v>
      </c>
      <c r="D3" s="56">
        <v>42.717327128317891</v>
      </c>
      <c r="E3" s="56" t="s">
        <v>167</v>
      </c>
      <c r="F3" s="98">
        <v>1</v>
      </c>
      <c r="G3" s="98">
        <v>1</v>
      </c>
    </row>
    <row r="4" spans="1:7" ht="15.75" customHeight="1" x14ac:dyDescent="0.25">
      <c r="A4" s="5" t="s">
        <v>169</v>
      </c>
      <c r="B4" s="98">
        <v>0</v>
      </c>
      <c r="C4" s="98">
        <v>0.95</v>
      </c>
      <c r="D4" s="56">
        <v>236.1160204529337</v>
      </c>
      <c r="E4" s="56" t="s">
        <v>167</v>
      </c>
      <c r="F4" s="98">
        <v>1</v>
      </c>
      <c r="G4" s="98">
        <v>1</v>
      </c>
    </row>
    <row r="5" spans="1:7" ht="15.75" customHeight="1" x14ac:dyDescent="0.25">
      <c r="A5" s="5" t="s">
        <v>170</v>
      </c>
      <c r="B5" s="98">
        <v>0</v>
      </c>
      <c r="C5" s="98">
        <v>0.95</v>
      </c>
      <c r="D5" s="56">
        <v>0.97263747145843082</v>
      </c>
      <c r="E5" s="56" t="s">
        <v>167</v>
      </c>
      <c r="F5" s="98">
        <v>1</v>
      </c>
      <c r="G5" s="98">
        <v>1</v>
      </c>
    </row>
    <row r="6" spans="1:7" ht="15.75" customHeight="1" x14ac:dyDescent="0.25">
      <c r="A6" s="5" t="s">
        <v>171</v>
      </c>
      <c r="B6" s="98">
        <v>0</v>
      </c>
      <c r="C6" s="98">
        <v>0.95</v>
      </c>
      <c r="D6" s="56">
        <v>99.99</v>
      </c>
      <c r="E6" s="56" t="s">
        <v>167</v>
      </c>
      <c r="F6" s="98">
        <v>1</v>
      </c>
      <c r="G6" s="98">
        <v>1</v>
      </c>
    </row>
    <row r="7" spans="1:7" ht="15.75" customHeight="1" x14ac:dyDescent="0.25">
      <c r="A7" s="5" t="s">
        <v>172</v>
      </c>
      <c r="B7" s="98">
        <v>0</v>
      </c>
      <c r="C7" s="98">
        <v>0.95</v>
      </c>
      <c r="D7" s="56">
        <v>99.99</v>
      </c>
      <c r="E7" s="56" t="s">
        <v>167</v>
      </c>
      <c r="F7" s="98">
        <v>1</v>
      </c>
      <c r="G7" s="98">
        <v>1</v>
      </c>
    </row>
    <row r="8" spans="1:7" ht="15.75" customHeight="1" x14ac:dyDescent="0.25">
      <c r="A8" s="5" t="s">
        <v>173</v>
      </c>
      <c r="B8" s="98">
        <v>0</v>
      </c>
      <c r="C8" s="98">
        <v>0.95</v>
      </c>
      <c r="D8" s="56">
        <v>99.99</v>
      </c>
      <c r="E8" s="56" t="s">
        <v>167</v>
      </c>
      <c r="F8" s="98">
        <v>1</v>
      </c>
      <c r="G8" s="98">
        <v>1</v>
      </c>
    </row>
    <row r="9" spans="1:7" ht="15.75" customHeight="1" x14ac:dyDescent="0.25">
      <c r="A9" s="5" t="s">
        <v>174</v>
      </c>
      <c r="B9" s="98">
        <v>0</v>
      </c>
      <c r="C9" s="98">
        <v>0.95</v>
      </c>
      <c r="D9" s="56">
        <v>99.99</v>
      </c>
      <c r="E9" s="56" t="s">
        <v>167</v>
      </c>
      <c r="F9" s="98">
        <v>1</v>
      </c>
      <c r="G9" s="98">
        <v>1</v>
      </c>
    </row>
    <row r="10" spans="1:7" ht="15.75" customHeight="1" x14ac:dyDescent="0.25">
      <c r="A10" s="11" t="s">
        <v>175</v>
      </c>
      <c r="B10" s="45">
        <v>0</v>
      </c>
      <c r="C10" s="98">
        <v>0.95</v>
      </c>
      <c r="D10" s="56">
        <v>13.73503902833848</v>
      </c>
      <c r="E10" s="56" t="s">
        <v>167</v>
      </c>
      <c r="F10" s="98">
        <v>1</v>
      </c>
      <c r="G10" s="98">
        <v>1</v>
      </c>
    </row>
    <row r="11" spans="1:7" ht="15.75" customHeight="1" x14ac:dyDescent="0.25">
      <c r="A11" s="11" t="s">
        <v>176</v>
      </c>
      <c r="B11" s="98">
        <v>0</v>
      </c>
      <c r="C11" s="98">
        <v>0.95</v>
      </c>
      <c r="D11" s="56">
        <v>13.73503902833848</v>
      </c>
      <c r="E11" s="56" t="s">
        <v>167</v>
      </c>
      <c r="F11" s="98">
        <v>1</v>
      </c>
      <c r="G11" s="98">
        <v>1</v>
      </c>
    </row>
    <row r="12" spans="1:7" ht="15.75" customHeight="1" x14ac:dyDescent="0.25">
      <c r="A12" s="11" t="s">
        <v>177</v>
      </c>
      <c r="B12" s="98">
        <v>0</v>
      </c>
      <c r="C12" s="98">
        <v>0.95</v>
      </c>
      <c r="D12" s="56">
        <v>13.73503902833848</v>
      </c>
      <c r="E12" s="56" t="s">
        <v>167</v>
      </c>
      <c r="F12" s="98">
        <v>1</v>
      </c>
      <c r="G12" s="98">
        <v>1</v>
      </c>
    </row>
    <row r="13" spans="1:7" ht="15.75" customHeight="1" x14ac:dyDescent="0.25">
      <c r="A13" s="11" t="s">
        <v>178</v>
      </c>
      <c r="B13" s="98">
        <v>0</v>
      </c>
      <c r="C13" s="98">
        <v>0.95</v>
      </c>
      <c r="D13" s="56">
        <v>13.73503902833848</v>
      </c>
      <c r="E13" s="56" t="s">
        <v>167</v>
      </c>
      <c r="F13" s="98">
        <v>1</v>
      </c>
      <c r="G13" s="98">
        <v>1</v>
      </c>
    </row>
    <row r="14" spans="1:7" ht="15.75" customHeight="1" x14ac:dyDescent="0.25">
      <c r="A14" s="5" t="s">
        <v>179</v>
      </c>
      <c r="B14" s="45">
        <v>0</v>
      </c>
      <c r="C14" s="98">
        <v>0.95</v>
      </c>
      <c r="D14" s="56">
        <v>13.73503902833848</v>
      </c>
      <c r="E14" s="56" t="s">
        <v>167</v>
      </c>
      <c r="F14" s="98">
        <v>1</v>
      </c>
      <c r="G14" s="98">
        <v>1</v>
      </c>
    </row>
    <row r="15" spans="1:7" ht="15.75" customHeight="1" x14ac:dyDescent="0.25">
      <c r="A15" s="5" t="s">
        <v>180</v>
      </c>
      <c r="B15" s="98">
        <v>0</v>
      </c>
      <c r="C15" s="98">
        <v>0.95</v>
      </c>
      <c r="D15" s="56">
        <v>13.73503902833848</v>
      </c>
      <c r="E15" s="56" t="s">
        <v>167</v>
      </c>
      <c r="F15" s="98">
        <v>1</v>
      </c>
      <c r="G15" s="98">
        <v>1</v>
      </c>
    </row>
    <row r="16" spans="1:7" ht="15.75" customHeight="1" x14ac:dyDescent="0.25">
      <c r="A16" s="5" t="s">
        <v>181</v>
      </c>
      <c r="B16" s="45">
        <v>0.237512345991895</v>
      </c>
      <c r="C16" s="98">
        <v>0.95</v>
      </c>
      <c r="D16" s="56">
        <v>0.47428176618855961</v>
      </c>
      <c r="E16" s="56" t="s">
        <v>167</v>
      </c>
      <c r="F16" s="98">
        <v>1</v>
      </c>
      <c r="G16" s="98">
        <v>1</v>
      </c>
    </row>
    <row r="17" spans="1:7" ht="15.75" customHeight="1" x14ac:dyDescent="0.25">
      <c r="A17" s="5" t="s">
        <v>182</v>
      </c>
      <c r="B17" s="98">
        <v>0.99</v>
      </c>
      <c r="C17" s="98">
        <v>0.95</v>
      </c>
      <c r="D17" s="56">
        <v>0.1369044839662158</v>
      </c>
      <c r="E17" s="56" t="s">
        <v>167</v>
      </c>
      <c r="F17" s="98">
        <v>1</v>
      </c>
      <c r="G17" s="98">
        <v>1</v>
      </c>
    </row>
    <row r="18" spans="1:7" ht="15.9" customHeight="1" x14ac:dyDescent="0.25">
      <c r="A18" s="5" t="s">
        <v>148</v>
      </c>
      <c r="B18" s="98">
        <v>0</v>
      </c>
      <c r="C18" s="98">
        <v>0.95</v>
      </c>
      <c r="D18" s="56">
        <v>5.4969809474092566</v>
      </c>
      <c r="E18" s="56" t="s">
        <v>167</v>
      </c>
      <c r="F18" s="98">
        <v>1</v>
      </c>
      <c r="G18" s="98">
        <v>1</v>
      </c>
    </row>
    <row r="19" spans="1:7" ht="15.75" customHeight="1" x14ac:dyDescent="0.25">
      <c r="A19" s="5" t="s">
        <v>151</v>
      </c>
      <c r="B19" s="98">
        <v>0</v>
      </c>
      <c r="C19" s="98">
        <v>0.95</v>
      </c>
      <c r="D19" s="56">
        <v>5.4969809474092566</v>
      </c>
      <c r="E19" s="56" t="s">
        <v>167</v>
      </c>
      <c r="F19" s="98">
        <v>1</v>
      </c>
      <c r="G19" s="98">
        <v>1</v>
      </c>
    </row>
    <row r="20" spans="1:7" ht="15.75" customHeight="1" x14ac:dyDescent="0.25">
      <c r="A20" s="5" t="s">
        <v>152</v>
      </c>
      <c r="B20" s="98">
        <v>0</v>
      </c>
      <c r="C20" s="98">
        <v>0.95</v>
      </c>
      <c r="D20" s="56">
        <v>99.99</v>
      </c>
      <c r="E20" s="56" t="s">
        <v>167</v>
      </c>
      <c r="F20" s="98">
        <v>1</v>
      </c>
      <c r="G20" s="98">
        <v>1</v>
      </c>
    </row>
    <row r="21" spans="1:7" ht="15.75" customHeight="1" x14ac:dyDescent="0.25">
      <c r="A21" s="5" t="s">
        <v>183</v>
      </c>
      <c r="B21" s="45">
        <v>0.2250375</v>
      </c>
      <c r="C21" s="98">
        <v>0.95</v>
      </c>
      <c r="D21" s="56">
        <v>8.8005415971440346</v>
      </c>
      <c r="E21" s="56" t="s">
        <v>167</v>
      </c>
      <c r="F21" s="98">
        <v>1</v>
      </c>
      <c r="G21" s="98">
        <v>1</v>
      </c>
    </row>
    <row r="22" spans="1:7" ht="15.75" customHeight="1" x14ac:dyDescent="0.25">
      <c r="A22" s="5" t="s">
        <v>184</v>
      </c>
      <c r="B22" s="98">
        <v>0</v>
      </c>
      <c r="C22" s="98">
        <v>0.95</v>
      </c>
      <c r="D22" s="56">
        <v>23.544341700323429</v>
      </c>
      <c r="E22" s="56" t="s">
        <v>167</v>
      </c>
      <c r="F22" s="98">
        <v>1</v>
      </c>
      <c r="G22" s="98">
        <v>1</v>
      </c>
    </row>
    <row r="23" spans="1:7" ht="15.75" customHeight="1" x14ac:dyDescent="0.25">
      <c r="A23" s="5" t="s">
        <v>185</v>
      </c>
      <c r="B23" s="98">
        <v>4.1947599999999988E-2</v>
      </c>
      <c r="C23" s="98">
        <v>0.95</v>
      </c>
      <c r="D23" s="56">
        <v>4.5831213765060994</v>
      </c>
      <c r="E23" s="56" t="s">
        <v>167</v>
      </c>
      <c r="F23" s="98">
        <v>1</v>
      </c>
      <c r="G23" s="98">
        <v>1</v>
      </c>
    </row>
    <row r="24" spans="1:7" ht="15.75" customHeight="1" x14ac:dyDescent="0.25">
      <c r="A24" s="5" t="s">
        <v>186</v>
      </c>
      <c r="B24" s="45">
        <v>0.68858724983404196</v>
      </c>
      <c r="C24" s="98">
        <v>0.95</v>
      </c>
      <c r="D24" s="56">
        <v>99.99</v>
      </c>
      <c r="E24" s="56" t="s">
        <v>167</v>
      </c>
      <c r="F24" s="98">
        <v>1</v>
      </c>
      <c r="G24" s="98">
        <v>1</v>
      </c>
    </row>
    <row r="25" spans="1:7" ht="15.75" customHeight="1" x14ac:dyDescent="0.25">
      <c r="A25" s="5" t="s">
        <v>187</v>
      </c>
      <c r="B25" s="98">
        <v>0</v>
      </c>
      <c r="C25" s="98">
        <v>0.95</v>
      </c>
      <c r="D25" s="56">
        <v>99.99</v>
      </c>
      <c r="E25" s="56" t="s">
        <v>167</v>
      </c>
      <c r="F25" s="98">
        <v>1</v>
      </c>
      <c r="G25" s="98">
        <v>1</v>
      </c>
    </row>
    <row r="26" spans="1:7" ht="15.75" customHeight="1" x14ac:dyDescent="0.25">
      <c r="A26" s="5" t="s">
        <v>188</v>
      </c>
      <c r="B26" s="45">
        <v>0</v>
      </c>
      <c r="C26" s="98">
        <v>0.95</v>
      </c>
      <c r="D26" s="56">
        <v>99.99</v>
      </c>
      <c r="E26" s="56" t="s">
        <v>167</v>
      </c>
      <c r="F26" s="98">
        <v>1</v>
      </c>
      <c r="G26" s="98">
        <v>1</v>
      </c>
    </row>
    <row r="27" spans="1:7" ht="15.75" customHeight="1" x14ac:dyDescent="0.25">
      <c r="A27" s="5" t="s">
        <v>189</v>
      </c>
      <c r="B27" s="45">
        <v>0.21215218227999999</v>
      </c>
      <c r="C27" s="98">
        <v>0.95</v>
      </c>
      <c r="D27" s="56">
        <v>19.732801874256189</v>
      </c>
      <c r="E27" s="56" t="s">
        <v>167</v>
      </c>
      <c r="F27" s="98">
        <v>1</v>
      </c>
      <c r="G27" s="98">
        <v>1</v>
      </c>
    </row>
    <row r="28" spans="1:7" ht="15.75" customHeight="1" x14ac:dyDescent="0.25">
      <c r="A28" s="5" t="s">
        <v>190</v>
      </c>
      <c r="B28" s="45">
        <v>0.52924979999999999</v>
      </c>
      <c r="C28" s="98">
        <v>0.95</v>
      </c>
      <c r="D28" s="56">
        <v>99.99</v>
      </c>
      <c r="E28" s="56" t="s">
        <v>167</v>
      </c>
      <c r="F28" s="98">
        <v>1</v>
      </c>
      <c r="G28" s="98">
        <v>1</v>
      </c>
    </row>
    <row r="29" spans="1:7" ht="15.75" customHeight="1" x14ac:dyDescent="0.25">
      <c r="A29" s="5" t="s">
        <v>191</v>
      </c>
      <c r="B29" s="45">
        <v>0</v>
      </c>
      <c r="C29" s="98">
        <v>0.95</v>
      </c>
      <c r="D29" s="56">
        <v>87.693263589511574</v>
      </c>
      <c r="E29" s="56" t="s">
        <v>167</v>
      </c>
      <c r="F29" s="98">
        <v>1</v>
      </c>
      <c r="G29" s="98">
        <v>1</v>
      </c>
    </row>
    <row r="30" spans="1:7" ht="15.75" customHeight="1" x14ac:dyDescent="0.25">
      <c r="A30" s="5" t="s">
        <v>192</v>
      </c>
      <c r="B30" s="98">
        <v>0</v>
      </c>
      <c r="C30" s="98">
        <v>0.95</v>
      </c>
      <c r="D30" s="56">
        <v>99</v>
      </c>
      <c r="E30" s="56" t="s">
        <v>167</v>
      </c>
      <c r="F30" s="98">
        <v>1</v>
      </c>
      <c r="G30" s="98">
        <v>1</v>
      </c>
    </row>
    <row r="31" spans="1:7" ht="15.75" customHeight="1" x14ac:dyDescent="0.25">
      <c r="A31" s="5" t="s">
        <v>157</v>
      </c>
      <c r="B31" s="45">
        <v>0</v>
      </c>
      <c r="C31" s="98">
        <v>0.95</v>
      </c>
      <c r="D31" s="56">
        <v>0.2992427386952129</v>
      </c>
      <c r="E31" s="56" t="s">
        <v>167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0.26074360000000002</v>
      </c>
      <c r="C32" s="98">
        <v>0.95</v>
      </c>
      <c r="D32" s="56">
        <v>0.98736889208471235</v>
      </c>
      <c r="E32" s="56" t="s">
        <v>167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</v>
      </c>
      <c r="C33" s="98">
        <v>0.95</v>
      </c>
      <c r="D33" s="56">
        <v>99.99</v>
      </c>
      <c r="E33" s="56" t="s">
        <v>167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0.84396990000000005</v>
      </c>
      <c r="C34" s="98">
        <v>0.95</v>
      </c>
      <c r="D34" s="56">
        <v>99.99</v>
      </c>
      <c r="E34" s="56" t="s">
        <v>167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167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0</v>
      </c>
      <c r="C36" s="98">
        <v>0.95</v>
      </c>
      <c r="D36" s="56">
        <v>99.99</v>
      </c>
      <c r="E36" s="56" t="s">
        <v>167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0.4</v>
      </c>
      <c r="C37" s="98">
        <v>0.95</v>
      </c>
      <c r="D37" s="56">
        <v>99.99</v>
      </c>
      <c r="E37" s="56" t="s">
        <v>167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0.306954</v>
      </c>
      <c r="C38" s="98">
        <v>0.95</v>
      </c>
      <c r="D38" s="56">
        <v>6.3501454073226729</v>
      </c>
      <c r="E38" s="56" t="s">
        <v>167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0.57343129999999998</v>
      </c>
      <c r="C39" s="98">
        <v>0.95</v>
      </c>
      <c r="D39" s="56">
        <v>99.99</v>
      </c>
      <c r="E39" s="56" t="s">
        <v>167</v>
      </c>
      <c r="F39" s="98">
        <v>1</v>
      </c>
      <c r="G39" s="98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tabSelected="1" workbookViewId="0">
      <selection activeCell="C13" sqref="C13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156</v>
      </c>
      <c r="B1" s="4" t="s">
        <v>201</v>
      </c>
      <c r="C1" s="4" t="s">
        <v>202</v>
      </c>
    </row>
    <row r="2" spans="1:3" x14ac:dyDescent="0.25">
      <c r="A2" s="57" t="s">
        <v>179</v>
      </c>
      <c r="B2" s="47" t="s">
        <v>189</v>
      </c>
      <c r="C2" s="47"/>
    </row>
    <row r="3" spans="1:3" x14ac:dyDescent="0.25">
      <c r="A3" s="57" t="s">
        <v>180</v>
      </c>
      <c r="B3" s="47" t="s">
        <v>189</v>
      </c>
      <c r="C3" s="47"/>
    </row>
    <row r="4" spans="1:3" x14ac:dyDescent="0.25">
      <c r="A4" s="57" t="s">
        <v>191</v>
      </c>
      <c r="B4" s="47" t="s">
        <v>184</v>
      </c>
      <c r="C4" s="47"/>
    </row>
    <row r="5" spans="1:3" x14ac:dyDescent="0.25">
      <c r="A5" s="57" t="s">
        <v>188</v>
      </c>
      <c r="B5" s="47" t="s">
        <v>184</v>
      </c>
      <c r="C5" s="47"/>
    </row>
    <row r="6" spans="1:3" x14ac:dyDescent="0.25">
      <c r="A6" s="57"/>
      <c r="B6" s="58"/>
      <c r="C6" s="58"/>
    </row>
    <row r="7" spans="1:3" x14ac:dyDescent="0.25">
      <c r="A7" s="57"/>
      <c r="B7" s="58"/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6" sqref="A6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156</v>
      </c>
    </row>
    <row r="2" spans="1:1" x14ac:dyDescent="0.25">
      <c r="A2" s="33" t="s">
        <v>171</v>
      </c>
    </row>
    <row r="3" spans="1:1" x14ac:dyDescent="0.25">
      <c r="A3" s="33" t="s">
        <v>181</v>
      </c>
    </row>
    <row r="4" spans="1:1" x14ac:dyDescent="0.25">
      <c r="A4" s="33" t="s">
        <v>185</v>
      </c>
    </row>
    <row r="5" spans="1:1" x14ac:dyDescent="0.25">
      <c r="A5" s="33" t="s">
        <v>194</v>
      </c>
    </row>
    <row r="6" spans="1:1" x14ac:dyDescent="0.25">
      <c r="A6" s="33" t="s">
        <v>195</v>
      </c>
    </row>
    <row r="7" spans="1:1" x14ac:dyDescent="0.25">
      <c r="A7" s="33" t="s">
        <v>196</v>
      </c>
    </row>
    <row r="8" spans="1:1" x14ac:dyDescent="0.25">
      <c r="A8" s="33" t="s">
        <v>197</v>
      </c>
    </row>
    <row r="9" spans="1:1" x14ac:dyDescent="0.25">
      <c r="A9" s="33" t="s">
        <v>198</v>
      </c>
    </row>
    <row r="10" spans="1:1" x14ac:dyDescent="0.25">
      <c r="A10" s="33"/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workbookViewId="0">
      <selection activeCell="F8" sqref="F8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203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204</v>
      </c>
      <c r="B3" s="21">
        <f>frac_mam_1month * 2.6</f>
        <v>5.2626079999999999E-2</v>
      </c>
      <c r="C3" s="21">
        <f>frac_mam_1_5months * 2.6</f>
        <v>5.2626079999999999E-2</v>
      </c>
      <c r="D3" s="21">
        <f>frac_mam_6_11months * 2.6</f>
        <v>4.9901279999999999E-2</v>
      </c>
      <c r="E3" s="21">
        <f>frac_mam_12_23months * 2.6</f>
        <v>4.3799860000000003E-2</v>
      </c>
      <c r="F3" s="21">
        <f>frac_mam_24_59months * 2.6</f>
        <v>2.9735419999999999E-2</v>
      </c>
    </row>
    <row r="4" spans="1:6" ht="15.75" customHeight="1" x14ac:dyDescent="0.25">
      <c r="A4" s="3" t="s">
        <v>205</v>
      </c>
      <c r="B4" s="21">
        <f>frac_sam_1month * 2.6</f>
        <v>2.0528560000000005E-2</v>
      </c>
      <c r="C4" s="21">
        <f>frac_sam_1_5months * 2.6</f>
        <v>2.0528560000000005E-2</v>
      </c>
      <c r="D4" s="21">
        <f>frac_sam_6_11months * 2.6</f>
        <v>5.2805999999999999E-3</v>
      </c>
      <c r="E4" s="21">
        <f>frac_sam_12_23months * 2.6</f>
        <v>2.1885499999999999E-2</v>
      </c>
      <c r="F4" s="21">
        <f>frac_sam_24_59months * 2.6</f>
        <v>9.0194000000000003E-3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169</v>
      </c>
      <c r="C2" s="60">
        <v>0</v>
      </c>
      <c r="D2" s="60">
        <f>food_insecure</f>
        <v>0.16500000000000001</v>
      </c>
      <c r="E2" s="60">
        <f>food_insecure</f>
        <v>0.16500000000000001</v>
      </c>
      <c r="F2" s="60">
        <f>food_insecure</f>
        <v>0.16500000000000001</v>
      </c>
      <c r="G2" s="60">
        <f>food_insecure</f>
        <v>0.16500000000000001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170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183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184</v>
      </c>
      <c r="C5" s="60">
        <v>0</v>
      </c>
      <c r="D5" s="60">
        <v>0</v>
      </c>
      <c r="E5" s="60">
        <f>food_insecure</f>
        <v>0.16500000000000001</v>
      </c>
      <c r="F5" s="60">
        <f>food_insecure</f>
        <v>0.16500000000000001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188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190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191</v>
      </c>
      <c r="C8" s="60">
        <v>0</v>
      </c>
      <c r="D8" s="60">
        <v>0</v>
      </c>
      <c r="E8" s="60">
        <f>food_insecure</f>
        <v>0.16500000000000001</v>
      </c>
      <c r="F8" s="60">
        <f>food_insecure</f>
        <v>0.16500000000000001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192</v>
      </c>
      <c r="C9" s="60">
        <v>0</v>
      </c>
      <c r="D9" s="60">
        <v>0</v>
      </c>
      <c r="E9" s="60">
        <f>food_insecure</f>
        <v>0.16500000000000001</v>
      </c>
      <c r="F9" s="60">
        <f>food_insecure</f>
        <v>0.16500000000000001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157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166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0.16500000000000001</v>
      </c>
      <c r="I15" s="60">
        <f>food_insecure</f>
        <v>0.16500000000000001</v>
      </c>
      <c r="J15" s="60">
        <f>food_insecure</f>
        <v>0.16500000000000001</v>
      </c>
      <c r="K15" s="60">
        <f>food_insecure</f>
        <v>0.16500000000000001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168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179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180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181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186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187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189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207</v>
      </c>
      <c r="B24" s="11" t="s">
        <v>171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0.24</v>
      </c>
      <c r="M24" s="60">
        <f>famplan_unmet_need</f>
        <v>0.24</v>
      </c>
      <c r="N24" s="60">
        <f>famplan_unmet_need</f>
        <v>0.24</v>
      </c>
      <c r="O24" s="60">
        <f>famplan_unmet_need</f>
        <v>0.24</v>
      </c>
    </row>
    <row r="25" spans="1:15" ht="15.75" customHeight="1" x14ac:dyDescent="0.25">
      <c r="B25" s="11" t="s">
        <v>175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0.2708801028823854</v>
      </c>
      <c r="M25" s="60">
        <f>(1-food_insecure)*(0.49)+food_insecure*(0.7)</f>
        <v>0.52464999999999995</v>
      </c>
      <c r="N25" s="60">
        <f>(1-food_insecure)*(0.49)+food_insecure*(0.7)</f>
        <v>0.52464999999999995</v>
      </c>
      <c r="O25" s="60">
        <f>(1-food_insecure)*(0.49)+food_insecure*(0.7)</f>
        <v>0.52464999999999995</v>
      </c>
    </row>
    <row r="26" spans="1:15" ht="15.75" customHeight="1" x14ac:dyDescent="0.25">
      <c r="B26" s="11" t="s">
        <v>176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0.11609147266387945</v>
      </c>
      <c r="M26" s="60">
        <f>(1-food_insecure)*(0.21)+food_insecure*(0.3)</f>
        <v>0.22484999999999999</v>
      </c>
      <c r="N26" s="60">
        <f>(1-food_insecure)*(0.21)+food_insecure*(0.3)</f>
        <v>0.22484999999999999</v>
      </c>
      <c r="O26" s="60">
        <f>(1-food_insecure)*(0.21)+food_insecure*(0.3)</f>
        <v>0.22484999999999999</v>
      </c>
    </row>
    <row r="27" spans="1:15" ht="15.75" customHeight="1" x14ac:dyDescent="0.25">
      <c r="B27" s="11" t="s">
        <v>177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0.12933472938537607</v>
      </c>
      <c r="M27" s="60">
        <f>(1-food_insecure)*(0.3)</f>
        <v>0.2505</v>
      </c>
      <c r="N27" s="60">
        <f>(1-food_insecure)*(0.3)</f>
        <v>0.2505</v>
      </c>
      <c r="O27" s="60">
        <f>(1-food_insecure)*(0.3)</f>
        <v>0.2505</v>
      </c>
    </row>
    <row r="28" spans="1:15" ht="15.75" customHeight="1" x14ac:dyDescent="0.25">
      <c r="B28" s="11" t="s">
        <v>178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0.48369369506835896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208</v>
      </c>
      <c r="B30" s="5" t="s">
        <v>172</v>
      </c>
      <c r="C30" s="60">
        <v>0</v>
      </c>
      <c r="D30" s="60">
        <v>0</v>
      </c>
      <c r="E30" s="60">
        <f t="shared" ref="E30:O30" si="0">frac_maize</f>
        <v>0.05</v>
      </c>
      <c r="F30" s="60">
        <f t="shared" si="0"/>
        <v>0.05</v>
      </c>
      <c r="G30" s="60">
        <f t="shared" si="0"/>
        <v>0.05</v>
      </c>
      <c r="H30" s="60">
        <f t="shared" si="0"/>
        <v>0.05</v>
      </c>
      <c r="I30" s="60">
        <f t="shared" si="0"/>
        <v>0.05</v>
      </c>
      <c r="J30" s="60">
        <f t="shared" si="0"/>
        <v>0.05</v>
      </c>
      <c r="K30" s="60">
        <f t="shared" si="0"/>
        <v>0.05</v>
      </c>
      <c r="L30" s="60">
        <f t="shared" si="0"/>
        <v>0.05</v>
      </c>
      <c r="M30" s="60">
        <f t="shared" si="0"/>
        <v>0.05</v>
      </c>
      <c r="N30" s="60">
        <f t="shared" si="0"/>
        <v>0.05</v>
      </c>
      <c r="O30" s="60">
        <f t="shared" si="0"/>
        <v>0.05</v>
      </c>
    </row>
    <row r="31" spans="1:15" ht="15.75" customHeight="1" x14ac:dyDescent="0.25">
      <c r="B31" s="5" t="s">
        <v>173</v>
      </c>
      <c r="C31" s="60">
        <v>0</v>
      </c>
      <c r="D31" s="60">
        <v>0</v>
      </c>
      <c r="E31" s="60">
        <f t="shared" ref="E31:O31" si="1">frac_rice</f>
        <v>0.7</v>
      </c>
      <c r="F31" s="60">
        <f t="shared" si="1"/>
        <v>0.7</v>
      </c>
      <c r="G31" s="60">
        <f t="shared" si="1"/>
        <v>0.7</v>
      </c>
      <c r="H31" s="60">
        <f t="shared" si="1"/>
        <v>0.7</v>
      </c>
      <c r="I31" s="60">
        <f t="shared" si="1"/>
        <v>0.7</v>
      </c>
      <c r="J31" s="60">
        <f t="shared" si="1"/>
        <v>0.7</v>
      </c>
      <c r="K31" s="60">
        <f t="shared" si="1"/>
        <v>0.7</v>
      </c>
      <c r="L31" s="60">
        <f t="shared" si="1"/>
        <v>0.7</v>
      </c>
      <c r="M31" s="60">
        <f t="shared" si="1"/>
        <v>0.7</v>
      </c>
      <c r="N31" s="60">
        <f t="shared" si="1"/>
        <v>0.7</v>
      </c>
      <c r="O31" s="60">
        <f t="shared" si="1"/>
        <v>0.7</v>
      </c>
    </row>
    <row r="32" spans="1:15" ht="15.75" customHeight="1" x14ac:dyDescent="0.25">
      <c r="B32" s="5" t="s">
        <v>174</v>
      </c>
      <c r="C32" s="60">
        <v>0</v>
      </c>
      <c r="D32" s="60">
        <v>0</v>
      </c>
      <c r="E32" s="60">
        <f t="shared" ref="E32:O32" si="2">frac_wheat</f>
        <v>0.05</v>
      </c>
      <c r="F32" s="60">
        <f t="shared" si="2"/>
        <v>0.05</v>
      </c>
      <c r="G32" s="60">
        <f t="shared" si="2"/>
        <v>0.05</v>
      </c>
      <c r="H32" s="60">
        <f t="shared" si="2"/>
        <v>0.05</v>
      </c>
      <c r="I32" s="60">
        <f t="shared" si="2"/>
        <v>0.05</v>
      </c>
      <c r="J32" s="60">
        <f t="shared" si="2"/>
        <v>0.05</v>
      </c>
      <c r="K32" s="60">
        <f t="shared" si="2"/>
        <v>0.05</v>
      </c>
      <c r="L32" s="60">
        <f t="shared" si="2"/>
        <v>0.05</v>
      </c>
      <c r="M32" s="60">
        <f t="shared" si="2"/>
        <v>0.05</v>
      </c>
      <c r="N32" s="60">
        <f t="shared" si="2"/>
        <v>0.05</v>
      </c>
      <c r="O32" s="60">
        <f t="shared" si="2"/>
        <v>0.05</v>
      </c>
    </row>
    <row r="33" spans="2:15" ht="15.75" customHeight="1" x14ac:dyDescent="0.25">
      <c r="B33" s="5" t="s">
        <v>182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185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c/rGyVZgGkhUAqOYeQhEdKJohJnZwMlPtVcOZvPWAG/LEg5Gne9k7nZtnui0huHfripADE6dYtqDmtQbZr0eCA==" saltValue="B8YmPLaFBUBxrPCcmxl/Fg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167</v>
      </c>
    </row>
    <row r="2" spans="1:1" x14ac:dyDescent="0.25">
      <c r="A2" s="8" t="s">
        <v>209</v>
      </c>
    </row>
    <row r="3" spans="1:1" x14ac:dyDescent="0.25">
      <c r="A3" s="8" t="s">
        <v>210</v>
      </c>
    </row>
    <row r="4" spans="1:1" x14ac:dyDescent="0.25">
      <c r="A4" s="8" t="s">
        <v>211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212</v>
      </c>
      <c r="B1" s="4" t="s">
        <v>213</v>
      </c>
      <c r="C1" s="4" t="s">
        <v>214</v>
      </c>
      <c r="D1" s="4" t="s">
        <v>136</v>
      </c>
      <c r="E1" s="4" t="s">
        <v>215</v>
      </c>
    </row>
    <row r="2" spans="1:5" ht="14" customHeight="1" x14ac:dyDescent="0.3">
      <c r="A2" s="28" t="s">
        <v>216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217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218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219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220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A12" sqref="A12:XFD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206</v>
      </c>
      <c r="B1" s="1" t="s">
        <v>156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169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170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148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183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184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188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190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191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192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157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166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168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179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180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181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186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187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189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207</v>
      </c>
      <c r="B27" s="5" t="s">
        <v>171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175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176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177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178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208</v>
      </c>
      <c r="B33" s="5" t="s">
        <v>172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173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174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182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185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156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5" t="s">
        <v>166</v>
      </c>
      <c r="B2" s="87"/>
      <c r="C2" s="87"/>
      <c r="D2" s="87"/>
      <c r="E2" s="87"/>
      <c r="F2" s="87"/>
      <c r="G2" s="87"/>
      <c r="H2" s="87"/>
      <c r="I2" s="87" t="s">
        <v>149</v>
      </c>
      <c r="J2" s="87"/>
      <c r="K2" s="87"/>
    </row>
    <row r="3" spans="1:11" x14ac:dyDescent="0.25">
      <c r="A3" s="5" t="s">
        <v>168</v>
      </c>
      <c r="B3" s="87"/>
      <c r="C3" s="87"/>
      <c r="D3" s="87"/>
      <c r="E3" s="87"/>
      <c r="F3" s="87"/>
      <c r="G3" s="87"/>
      <c r="H3" s="87" t="s">
        <v>149</v>
      </c>
      <c r="I3" s="87"/>
      <c r="J3" s="87"/>
      <c r="K3" s="87"/>
    </row>
    <row r="4" spans="1:11" x14ac:dyDescent="0.25">
      <c r="A4" s="5" t="s">
        <v>169</v>
      </c>
      <c r="B4" s="87"/>
      <c r="C4" s="87"/>
      <c r="D4" s="87" t="s">
        <v>149</v>
      </c>
      <c r="E4" s="87"/>
      <c r="F4" s="87"/>
      <c r="G4" s="87"/>
      <c r="H4" s="87"/>
      <c r="I4" s="87"/>
      <c r="J4" s="87"/>
      <c r="K4" s="87"/>
    </row>
    <row r="5" spans="1:11" x14ac:dyDescent="0.25">
      <c r="A5" s="5" t="s">
        <v>170</v>
      </c>
      <c r="B5" s="87"/>
      <c r="C5" s="87" t="s">
        <v>149</v>
      </c>
      <c r="D5" s="87"/>
      <c r="E5" s="87"/>
      <c r="F5" s="87"/>
      <c r="G5" s="87"/>
      <c r="H5" s="87"/>
      <c r="I5" s="87"/>
      <c r="J5" s="87"/>
      <c r="K5" s="87"/>
    </row>
    <row r="6" spans="1:11" x14ac:dyDescent="0.25">
      <c r="A6" s="5" t="s">
        <v>171</v>
      </c>
      <c r="B6" s="87"/>
      <c r="C6" s="87"/>
      <c r="D6" s="87"/>
      <c r="E6" s="87"/>
      <c r="F6" s="87"/>
      <c r="G6" s="87"/>
      <c r="H6" s="87"/>
      <c r="I6" s="87"/>
      <c r="J6" s="87" t="s">
        <v>149</v>
      </c>
      <c r="K6" s="87" t="s">
        <v>149</v>
      </c>
    </row>
    <row r="7" spans="1:11" x14ac:dyDescent="0.25">
      <c r="A7" s="5" t="s">
        <v>172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/>
      <c r="J7" s="87"/>
      <c r="K7" s="87"/>
    </row>
    <row r="8" spans="1:11" x14ac:dyDescent="0.25">
      <c r="A8" s="5" t="s">
        <v>173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/>
      <c r="J8" s="87"/>
      <c r="K8" s="87"/>
    </row>
    <row r="9" spans="1:11" x14ac:dyDescent="0.25">
      <c r="A9" s="5" t="s">
        <v>174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/>
      <c r="J9" s="87"/>
      <c r="K9" s="87"/>
    </row>
    <row r="10" spans="1:11" x14ac:dyDescent="0.25">
      <c r="A10" s="11" t="s">
        <v>175</v>
      </c>
      <c r="B10" s="87"/>
      <c r="C10" s="87" t="s">
        <v>149</v>
      </c>
      <c r="D10" s="87"/>
      <c r="E10" s="87"/>
      <c r="F10" s="87"/>
      <c r="G10" s="87"/>
      <c r="H10" s="87"/>
      <c r="I10" s="87"/>
      <c r="J10" s="87"/>
      <c r="K10" s="87"/>
    </row>
    <row r="11" spans="1:11" x14ac:dyDescent="0.25">
      <c r="A11" s="11" t="s">
        <v>176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/>
      <c r="K11" s="87"/>
    </row>
    <row r="12" spans="1:11" x14ac:dyDescent="0.25">
      <c r="A12" s="11" t="s">
        <v>177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/>
    </row>
    <row r="13" spans="1:11" x14ac:dyDescent="0.25">
      <c r="A13" s="11" t="s">
        <v>178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/>
    </row>
    <row r="14" spans="1:11" x14ac:dyDescent="0.25">
      <c r="A14" s="5" t="s">
        <v>179</v>
      </c>
      <c r="B14" s="87"/>
      <c r="C14" s="87" t="s">
        <v>149</v>
      </c>
      <c r="D14" s="87"/>
      <c r="E14" s="87"/>
      <c r="F14" s="87"/>
      <c r="G14" s="87"/>
      <c r="H14" s="87"/>
      <c r="I14" s="87" t="s">
        <v>149</v>
      </c>
      <c r="J14" s="87"/>
      <c r="K14" s="87"/>
    </row>
    <row r="15" spans="1:11" x14ac:dyDescent="0.25">
      <c r="A15" s="5" t="s">
        <v>180</v>
      </c>
      <c r="B15" s="87"/>
      <c r="C15" s="87" t="s">
        <v>149</v>
      </c>
      <c r="D15" s="87"/>
      <c r="E15" s="87"/>
      <c r="F15" s="87"/>
      <c r="G15" s="87"/>
      <c r="H15" s="87"/>
      <c r="I15" s="87" t="s">
        <v>149</v>
      </c>
      <c r="J15" s="87"/>
      <c r="K15" s="87"/>
    </row>
    <row r="16" spans="1:11" x14ac:dyDescent="0.25">
      <c r="A16" s="5" t="s">
        <v>181</v>
      </c>
      <c r="B16" s="87"/>
      <c r="C16" s="87" t="s">
        <v>149</v>
      </c>
      <c r="D16" s="87"/>
      <c r="E16" s="87"/>
      <c r="F16" s="87"/>
      <c r="G16" s="87"/>
      <c r="H16" s="87" t="s">
        <v>149</v>
      </c>
      <c r="I16" s="87" t="s">
        <v>149</v>
      </c>
      <c r="J16" s="87"/>
      <c r="K16" s="87"/>
    </row>
    <row r="17" spans="1:11" x14ac:dyDescent="0.25">
      <c r="A17" s="5" t="s">
        <v>182</v>
      </c>
      <c r="B17" s="87"/>
      <c r="C17" s="87" t="s">
        <v>149</v>
      </c>
      <c r="D17" s="87"/>
      <c r="E17" s="87"/>
      <c r="F17" s="87"/>
      <c r="G17" s="87"/>
      <c r="H17" s="87"/>
      <c r="I17" s="87"/>
      <c r="J17" s="87"/>
      <c r="K17" s="87"/>
    </row>
    <row r="18" spans="1:11" x14ac:dyDescent="0.25">
      <c r="A18" s="5" t="s">
        <v>148</v>
      </c>
      <c r="B18" s="87" t="s">
        <v>149</v>
      </c>
      <c r="C18" s="87"/>
      <c r="D18" s="87"/>
      <c r="E18" s="87"/>
      <c r="F18" s="87" t="s">
        <v>149</v>
      </c>
      <c r="G18" s="87"/>
      <c r="H18" s="87"/>
      <c r="I18" s="87"/>
      <c r="J18" s="87"/>
      <c r="K18" s="87"/>
    </row>
    <row r="19" spans="1:11" x14ac:dyDescent="0.25">
      <c r="A19" s="5" t="s">
        <v>151</v>
      </c>
      <c r="B19" s="87" t="s">
        <v>149</v>
      </c>
      <c r="C19" s="87"/>
      <c r="D19" s="87"/>
      <c r="E19" s="87"/>
      <c r="F19" s="87" t="s">
        <v>149</v>
      </c>
      <c r="G19" s="87"/>
      <c r="H19" s="87"/>
      <c r="I19" s="87"/>
      <c r="J19" s="87"/>
      <c r="K19" s="87"/>
    </row>
    <row r="20" spans="1:11" x14ac:dyDescent="0.25">
      <c r="A20" s="5" t="s">
        <v>152</v>
      </c>
      <c r="B20" s="87" t="s">
        <v>149</v>
      </c>
      <c r="C20" s="87"/>
      <c r="D20" s="87"/>
      <c r="E20" s="87"/>
      <c r="F20" s="87" t="s">
        <v>149</v>
      </c>
      <c r="G20" s="87"/>
      <c r="H20" s="87"/>
      <c r="I20" s="87"/>
      <c r="J20" s="87"/>
      <c r="K20" s="87"/>
    </row>
    <row r="21" spans="1:11" x14ac:dyDescent="0.25">
      <c r="A21" s="5" t="s">
        <v>183</v>
      </c>
      <c r="B21" s="87"/>
      <c r="C21" s="87"/>
      <c r="D21" s="87"/>
      <c r="E21" s="87"/>
      <c r="F21" s="87"/>
      <c r="G21" s="87"/>
      <c r="H21" s="87" t="s">
        <v>149</v>
      </c>
      <c r="I21" s="87" t="s">
        <v>149</v>
      </c>
      <c r="J21" s="87"/>
      <c r="K21" s="87"/>
    </row>
    <row r="22" spans="1:11" x14ac:dyDescent="0.25">
      <c r="A22" s="5" t="s">
        <v>184</v>
      </c>
      <c r="B22" s="87" t="s">
        <v>149</v>
      </c>
      <c r="C22" s="87" t="s">
        <v>149</v>
      </c>
      <c r="D22" s="87" t="s">
        <v>149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185</v>
      </c>
      <c r="B23" s="87"/>
      <c r="C23" s="87" t="s">
        <v>149</v>
      </c>
      <c r="D23" s="87"/>
      <c r="E23" s="87"/>
      <c r="F23" s="87"/>
      <c r="G23" s="87"/>
      <c r="H23" s="87"/>
      <c r="I23" s="87" t="s">
        <v>149</v>
      </c>
      <c r="J23" s="87"/>
      <c r="K23" s="87"/>
    </row>
    <row r="24" spans="1:11" x14ac:dyDescent="0.25">
      <c r="A24" s="5" t="s">
        <v>186</v>
      </c>
      <c r="B24" s="87"/>
      <c r="C24" s="87"/>
      <c r="D24" s="87"/>
      <c r="E24" s="87"/>
      <c r="F24" s="87"/>
      <c r="G24" s="87"/>
      <c r="H24" s="87" t="s">
        <v>149</v>
      </c>
      <c r="I24" s="87"/>
      <c r="J24" s="87"/>
      <c r="K24" s="87"/>
    </row>
    <row r="25" spans="1:11" x14ac:dyDescent="0.25">
      <c r="A25" s="5" t="s">
        <v>187</v>
      </c>
      <c r="B25" s="87"/>
      <c r="C25" s="87"/>
      <c r="D25" s="87"/>
      <c r="E25" s="87"/>
      <c r="F25" s="87"/>
      <c r="G25" s="87"/>
      <c r="H25" s="87" t="s">
        <v>149</v>
      </c>
      <c r="I25" s="87"/>
      <c r="J25" s="87"/>
      <c r="K25" s="87"/>
    </row>
    <row r="26" spans="1:11" x14ac:dyDescent="0.25">
      <c r="A26" s="5" t="s">
        <v>188</v>
      </c>
      <c r="B26" s="87"/>
      <c r="C26" s="87" t="s">
        <v>149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189</v>
      </c>
      <c r="B27" s="87"/>
      <c r="C27" s="87" t="s">
        <v>149</v>
      </c>
      <c r="D27" s="87"/>
      <c r="E27" s="87"/>
      <c r="F27" s="87"/>
      <c r="G27" s="87"/>
      <c r="H27" s="87"/>
      <c r="I27" s="87" t="s">
        <v>149</v>
      </c>
      <c r="J27" s="87"/>
      <c r="K27" s="87"/>
    </row>
    <row r="28" spans="1:11" x14ac:dyDescent="0.25">
      <c r="A28" s="5" t="s">
        <v>190</v>
      </c>
      <c r="B28" s="87"/>
      <c r="C28" s="87"/>
      <c r="D28" s="87"/>
      <c r="E28" s="87"/>
      <c r="F28" s="87"/>
      <c r="G28" s="87"/>
      <c r="H28" s="87" t="s">
        <v>149</v>
      </c>
      <c r="I28" s="87"/>
      <c r="J28" s="87"/>
      <c r="K28" s="87"/>
    </row>
    <row r="29" spans="1:11" x14ac:dyDescent="0.25">
      <c r="A29" s="5" t="s">
        <v>191</v>
      </c>
      <c r="B29" s="87" t="s">
        <v>149</v>
      </c>
      <c r="C29" s="87"/>
      <c r="D29" s="87" t="s">
        <v>149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192</v>
      </c>
      <c r="B30" s="87" t="s">
        <v>149</v>
      </c>
      <c r="C30" s="87" t="s">
        <v>149</v>
      </c>
      <c r="D30" s="87" t="s">
        <v>149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157</v>
      </c>
      <c r="B31" s="87"/>
      <c r="C31" s="87"/>
      <c r="D31" s="87"/>
      <c r="E31" s="87" t="s">
        <v>149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149</v>
      </c>
      <c r="H32" s="87" t="s">
        <v>149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149</v>
      </c>
      <c r="H33" s="87" t="s">
        <v>149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149</v>
      </c>
      <c r="H34" s="87" t="s">
        <v>149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149</v>
      </c>
      <c r="H35" s="87" t="s">
        <v>149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149</v>
      </c>
      <c r="H36" s="87" t="s">
        <v>149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149</v>
      </c>
      <c r="H37" s="87" t="s">
        <v>149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149</v>
      </c>
      <c r="I38" s="87"/>
      <c r="J38" s="87"/>
      <c r="K38" s="87"/>
    </row>
    <row r="39" spans="1:11" x14ac:dyDescent="0.25">
      <c r="A39" s="5" t="s">
        <v>200</v>
      </c>
      <c r="B39" s="87" t="s">
        <v>149</v>
      </c>
      <c r="C39" s="87"/>
      <c r="D39" s="87"/>
      <c r="E39" s="87"/>
      <c r="F39" s="87"/>
      <c r="G39" s="87" t="s">
        <v>149</v>
      </c>
      <c r="H39" s="87" t="s">
        <v>149</v>
      </c>
      <c r="I39" s="87"/>
      <c r="J39" s="87"/>
      <c r="K39" s="87"/>
    </row>
  </sheetData>
  <sheetProtection algorithmName="SHA-512" hashValue="IvQDIxW99fzq1Zy0EhkbKUzL+Oo6JppYFJRusT7f1RK58axANCQbQrXBA4I5Zda1hiQSlfJ6FnKfxlkgJRWRpg==" saltValue="tOfPnYqP3Wy6+yrctBxWk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225</v>
      </c>
      <c r="C1" s="8" t="s">
        <v>111</v>
      </c>
      <c r="D1" s="8" t="s">
        <v>226</v>
      </c>
      <c r="E1" s="8" t="s">
        <v>227</v>
      </c>
      <c r="F1" s="8" t="s">
        <v>118</v>
      </c>
      <c r="G1" s="8" t="s">
        <v>81</v>
      </c>
      <c r="H1" s="8" t="s">
        <v>32</v>
      </c>
      <c r="I1" s="8" t="s">
        <v>228</v>
      </c>
      <c r="J1" s="8" t="s">
        <v>25</v>
      </c>
      <c r="K1" s="8" t="s">
        <v>229</v>
      </c>
    </row>
    <row r="2" spans="1:11" x14ac:dyDescent="0.25">
      <c r="A2" s="8" t="s">
        <v>67</v>
      </c>
      <c r="B2" s="87" t="s">
        <v>149</v>
      </c>
      <c r="C2" s="87" t="s">
        <v>149</v>
      </c>
      <c r="D2" s="87" t="s">
        <v>149</v>
      </c>
      <c r="E2" s="87" t="s">
        <v>149</v>
      </c>
      <c r="F2" s="87" t="s">
        <v>149</v>
      </c>
      <c r="G2" s="87" t="s">
        <v>149</v>
      </c>
      <c r="H2" s="87" t="s">
        <v>149</v>
      </c>
      <c r="I2" s="87"/>
      <c r="J2" s="87"/>
      <c r="K2" s="87"/>
    </row>
    <row r="3" spans="1:11" x14ac:dyDescent="0.25">
      <c r="A3" s="8" t="s">
        <v>77</v>
      </c>
      <c r="B3" s="87" t="s">
        <v>149</v>
      </c>
      <c r="C3" s="87" t="s">
        <v>149</v>
      </c>
      <c r="D3" s="87" t="s">
        <v>149</v>
      </c>
      <c r="E3" s="87" t="s">
        <v>149</v>
      </c>
      <c r="F3" s="87" t="s">
        <v>149</v>
      </c>
      <c r="G3" s="87" t="s">
        <v>149</v>
      </c>
      <c r="H3" s="87" t="s">
        <v>149</v>
      </c>
      <c r="I3" s="87"/>
      <c r="J3" s="87"/>
      <c r="K3" s="87"/>
    </row>
    <row r="4" spans="1:11" x14ac:dyDescent="0.25">
      <c r="A4" s="8" t="s">
        <v>78</v>
      </c>
      <c r="B4" s="87" t="s">
        <v>149</v>
      </c>
      <c r="C4" s="87" t="s">
        <v>149</v>
      </c>
      <c r="D4" s="87" t="s">
        <v>149</v>
      </c>
      <c r="E4" s="87" t="s">
        <v>149</v>
      </c>
      <c r="F4" s="87" t="s">
        <v>149</v>
      </c>
      <c r="G4" s="87" t="s">
        <v>149</v>
      </c>
      <c r="H4" s="87" t="s">
        <v>149</v>
      </c>
      <c r="I4" s="87"/>
      <c r="J4" s="87"/>
      <c r="K4" s="87"/>
    </row>
    <row r="5" spans="1:11" x14ac:dyDescent="0.25">
      <c r="A5" s="8" t="s">
        <v>79</v>
      </c>
      <c r="B5" s="87" t="s">
        <v>149</v>
      </c>
      <c r="C5" s="87" t="s">
        <v>149</v>
      </c>
      <c r="D5" s="87" t="s">
        <v>149</v>
      </c>
      <c r="E5" s="87" t="s">
        <v>149</v>
      </c>
      <c r="F5" s="87" t="s">
        <v>149</v>
      </c>
      <c r="G5" s="87" t="s">
        <v>149</v>
      </c>
      <c r="H5" s="87" t="s">
        <v>149</v>
      </c>
      <c r="I5" s="87"/>
      <c r="J5" s="87"/>
      <c r="K5" s="87"/>
    </row>
    <row r="6" spans="1:11" x14ac:dyDescent="0.25">
      <c r="A6" s="8" t="s">
        <v>80</v>
      </c>
      <c r="B6" s="87" t="s">
        <v>149</v>
      </c>
      <c r="C6" s="87" t="s">
        <v>149</v>
      </c>
      <c r="D6" s="87" t="s">
        <v>149</v>
      </c>
      <c r="E6" s="87" t="s">
        <v>149</v>
      </c>
      <c r="F6" s="87" t="s">
        <v>149</v>
      </c>
      <c r="G6" s="87" t="s">
        <v>149</v>
      </c>
      <c r="H6" s="87" t="s">
        <v>149</v>
      </c>
      <c r="I6" s="87"/>
      <c r="J6" s="87"/>
      <c r="K6" s="87"/>
    </row>
    <row r="7" spans="1:11" x14ac:dyDescent="0.25">
      <c r="A7" s="8" t="s">
        <v>112</v>
      </c>
      <c r="B7" s="87"/>
      <c r="C7" s="87" t="s">
        <v>149</v>
      </c>
      <c r="D7" s="87"/>
      <c r="E7" s="87"/>
      <c r="F7" s="87"/>
      <c r="G7" s="87"/>
      <c r="H7" s="87" t="s">
        <v>149</v>
      </c>
      <c r="I7" s="87" t="s">
        <v>149</v>
      </c>
      <c r="J7" s="87"/>
      <c r="K7" s="87"/>
    </row>
    <row r="8" spans="1:11" x14ac:dyDescent="0.25">
      <c r="A8" s="8" t="s">
        <v>113</v>
      </c>
      <c r="B8" s="87"/>
      <c r="C8" s="87" t="s">
        <v>149</v>
      </c>
      <c r="D8" s="87"/>
      <c r="E8" s="87"/>
      <c r="F8" s="87"/>
      <c r="G8" s="87"/>
      <c r="H8" s="87" t="s">
        <v>149</v>
      </c>
      <c r="I8" s="87" t="s">
        <v>149</v>
      </c>
      <c r="J8" s="87"/>
      <c r="K8" s="87"/>
    </row>
    <row r="9" spans="1:11" x14ac:dyDescent="0.25">
      <c r="A9" s="8" t="s">
        <v>114</v>
      </c>
      <c r="B9" s="87"/>
      <c r="C9" s="87" t="s">
        <v>149</v>
      </c>
      <c r="D9" s="87"/>
      <c r="E9" s="87"/>
      <c r="F9" s="87"/>
      <c r="G9" s="87"/>
      <c r="H9" s="87" t="s">
        <v>149</v>
      </c>
      <c r="I9" s="87" t="s">
        <v>149</v>
      </c>
      <c r="J9" s="87"/>
      <c r="K9" s="87"/>
    </row>
    <row r="10" spans="1:11" x14ac:dyDescent="0.25">
      <c r="A10" s="8" t="s">
        <v>115</v>
      </c>
      <c r="B10" s="87"/>
      <c r="C10" s="87" t="s">
        <v>149</v>
      </c>
      <c r="D10" s="87"/>
      <c r="E10" s="87"/>
      <c r="F10" s="87"/>
      <c r="G10" s="87"/>
      <c r="H10" s="87" t="s">
        <v>149</v>
      </c>
      <c r="I10" s="87" t="s">
        <v>149</v>
      </c>
      <c r="J10" s="87"/>
      <c r="K10" s="87"/>
    </row>
    <row r="11" spans="1:11" x14ac:dyDescent="0.25">
      <c r="A11" s="8" t="s">
        <v>58</v>
      </c>
      <c r="B11" s="87"/>
      <c r="C11" s="87" t="s">
        <v>149</v>
      </c>
      <c r="D11" s="87"/>
      <c r="E11" s="87"/>
      <c r="F11" s="87"/>
      <c r="G11" s="87"/>
      <c r="H11" s="87"/>
      <c r="I11" s="87"/>
      <c r="J11" s="87" t="s">
        <v>149</v>
      </c>
      <c r="K11" s="87" t="s">
        <v>149</v>
      </c>
    </row>
    <row r="12" spans="1:11" x14ac:dyDescent="0.25">
      <c r="A12" s="8" t="s">
        <v>59</v>
      </c>
      <c r="B12" s="87"/>
      <c r="C12" s="87" t="s">
        <v>149</v>
      </c>
      <c r="D12" s="87"/>
      <c r="E12" s="87"/>
      <c r="F12" s="87"/>
      <c r="G12" s="87"/>
      <c r="H12" s="87"/>
      <c r="I12" s="87"/>
      <c r="J12" s="87"/>
      <c r="K12" s="87" t="s">
        <v>149</v>
      </c>
    </row>
    <row r="13" spans="1:11" x14ac:dyDescent="0.25">
      <c r="A13" s="8" t="s">
        <v>60</v>
      </c>
      <c r="B13" s="87"/>
      <c r="C13" s="87" t="s">
        <v>149</v>
      </c>
      <c r="D13" s="87"/>
      <c r="E13" s="87"/>
      <c r="F13" s="87"/>
      <c r="G13" s="87"/>
      <c r="H13" s="87"/>
      <c r="I13" s="87"/>
      <c r="J13" s="87"/>
      <c r="K13" s="87" t="s">
        <v>149</v>
      </c>
    </row>
    <row r="14" spans="1:11" x14ac:dyDescent="0.25">
      <c r="A14" s="8" t="s">
        <v>61</v>
      </c>
      <c r="B14" s="87"/>
      <c r="C14" s="87" t="s">
        <v>149</v>
      </c>
      <c r="D14" s="87"/>
      <c r="E14" s="87"/>
      <c r="F14" s="87"/>
      <c r="G14" s="87"/>
      <c r="H14" s="87"/>
      <c r="I14" s="87"/>
      <c r="J14" s="87"/>
      <c r="K14" s="87" t="s">
        <v>149</v>
      </c>
    </row>
  </sheetData>
  <sheetProtection algorithmName="SHA-512" hashValue="9wIG9Gim71KVsT3md4UjHKWLN/dmVTAHDAhRa4jGvwy4VGKHj7mGyWZMKQgGvDCmZmlmSsHFRHQVC+GKpvnATg==" saltValue="lgc1Xvk31gXE9M1YSAdFWQ==" spinCount="100000" sheet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144</v>
      </c>
      <c r="C1" s="4" t="s">
        <v>159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customHeight="1" x14ac:dyDescent="0.3">
      <c r="A2" s="4" t="s">
        <v>232</v>
      </c>
      <c r="B2" s="103" t="s">
        <v>90</v>
      </c>
      <c r="C2" s="8" t="s">
        <v>145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04"/>
      <c r="C3" s="8" t="s">
        <v>146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04"/>
      <c r="C4" s="8" t="s">
        <v>147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03" t="s">
        <v>67</v>
      </c>
      <c r="C5" s="8" t="s">
        <v>145</v>
      </c>
      <c r="D5" s="88">
        <v>1.56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04"/>
      <c r="C6" s="8" t="s">
        <v>146</v>
      </c>
      <c r="D6" s="88">
        <v>1.56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04"/>
      <c r="C7" s="8" t="s">
        <v>147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03" t="s">
        <v>77</v>
      </c>
      <c r="C8" s="8" t="s">
        <v>145</v>
      </c>
      <c r="D8" s="88">
        <v>1</v>
      </c>
      <c r="E8" s="88">
        <v>1.56</v>
      </c>
      <c r="F8" s="88">
        <v>1</v>
      </c>
      <c r="G8" s="88">
        <v>1</v>
      </c>
      <c r="H8" s="88">
        <v>1</v>
      </c>
    </row>
    <row r="9" spans="1:10" x14ac:dyDescent="0.25">
      <c r="B9" s="104"/>
      <c r="C9" s="8" t="s">
        <v>146</v>
      </c>
      <c r="D9" s="88">
        <v>1</v>
      </c>
      <c r="E9" s="88">
        <v>1.56</v>
      </c>
      <c r="F9" s="88">
        <v>1</v>
      </c>
      <c r="G9" s="88">
        <v>1</v>
      </c>
      <c r="H9" s="88">
        <v>1</v>
      </c>
    </row>
    <row r="10" spans="1:10" x14ac:dyDescent="0.25">
      <c r="B10" s="104"/>
      <c r="C10" s="8" t="s">
        <v>147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03" t="s">
        <v>78</v>
      </c>
      <c r="C11" s="8" t="s">
        <v>145</v>
      </c>
      <c r="D11" s="88">
        <v>1</v>
      </c>
      <c r="E11" s="88">
        <v>1</v>
      </c>
      <c r="F11" s="88">
        <v>1.73</v>
      </c>
      <c r="G11" s="88">
        <v>1</v>
      </c>
      <c r="H11" s="88">
        <v>1</v>
      </c>
    </row>
    <row r="12" spans="1:10" x14ac:dyDescent="0.25">
      <c r="B12" s="104"/>
      <c r="C12" s="8" t="s">
        <v>146</v>
      </c>
      <c r="D12" s="88">
        <v>1</v>
      </c>
      <c r="E12" s="88">
        <v>1</v>
      </c>
      <c r="F12" s="88">
        <v>1.73</v>
      </c>
      <c r="G12" s="88">
        <v>1</v>
      </c>
      <c r="H12" s="88">
        <v>1</v>
      </c>
    </row>
    <row r="13" spans="1:10" x14ac:dyDescent="0.25">
      <c r="B13" s="104"/>
      <c r="C13" s="8" t="s">
        <v>147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03" t="s">
        <v>79</v>
      </c>
      <c r="C14" s="8" t="s">
        <v>145</v>
      </c>
      <c r="D14" s="88">
        <v>1</v>
      </c>
      <c r="E14" s="88">
        <v>1</v>
      </c>
      <c r="F14" s="88">
        <v>1</v>
      </c>
      <c r="G14" s="88">
        <v>1.73</v>
      </c>
      <c r="H14" s="88">
        <v>1</v>
      </c>
    </row>
    <row r="15" spans="1:10" x14ac:dyDescent="0.25">
      <c r="B15" s="104"/>
      <c r="C15" s="8" t="s">
        <v>146</v>
      </c>
      <c r="D15" s="88">
        <v>1</v>
      </c>
      <c r="E15" s="88">
        <v>1</v>
      </c>
      <c r="F15" s="88">
        <v>1</v>
      </c>
      <c r="G15" s="88">
        <v>1.73</v>
      </c>
      <c r="H15" s="88">
        <v>1</v>
      </c>
    </row>
    <row r="16" spans="1:10" x14ac:dyDescent="0.25">
      <c r="B16" s="104"/>
      <c r="C16" s="8" t="s">
        <v>147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150</v>
      </c>
      <c r="C17" s="8" t="s">
        <v>147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90</v>
      </c>
      <c r="C19" s="8" t="s">
        <v>145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04"/>
      <c r="C20" s="8" t="s">
        <v>146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04"/>
      <c r="C21" s="8" t="s">
        <v>147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03" t="s">
        <v>67</v>
      </c>
      <c r="C22" s="8" t="s">
        <v>145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04"/>
      <c r="C23" s="8" t="s">
        <v>146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04"/>
      <c r="C24" s="8" t="s">
        <v>147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03" t="s">
        <v>77</v>
      </c>
      <c r="C25" s="8" t="s">
        <v>145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04"/>
      <c r="C26" s="8" t="s">
        <v>146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04"/>
      <c r="C27" s="8" t="s">
        <v>147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03" t="s">
        <v>78</v>
      </c>
      <c r="C28" s="8" t="s">
        <v>145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04"/>
      <c r="C29" s="8" t="s">
        <v>146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04"/>
      <c r="C30" s="8" t="s">
        <v>147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03" t="s">
        <v>79</v>
      </c>
      <c r="C31" s="8" t="s">
        <v>145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04"/>
      <c r="C32" s="8" t="s">
        <v>146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04"/>
      <c r="C33" s="8" t="s">
        <v>147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150</v>
      </c>
      <c r="C34" s="8" t="s">
        <v>147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90</v>
      </c>
      <c r="C36" s="8" t="s">
        <v>145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04"/>
      <c r="C37" s="8" t="s">
        <v>146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04"/>
      <c r="C38" s="8" t="s">
        <v>147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03" t="s">
        <v>67</v>
      </c>
      <c r="C39" s="8" t="s">
        <v>145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04"/>
      <c r="C40" s="8" t="s">
        <v>146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04"/>
      <c r="C41" s="8" t="s">
        <v>147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03" t="s">
        <v>77</v>
      </c>
      <c r="C42" s="8" t="s">
        <v>145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04"/>
      <c r="C43" s="8" t="s">
        <v>146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04"/>
      <c r="C44" s="8" t="s">
        <v>147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03" t="s">
        <v>78</v>
      </c>
      <c r="C45" s="8" t="s">
        <v>145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04"/>
      <c r="C46" s="8" t="s">
        <v>146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04"/>
      <c r="C47" s="8" t="s">
        <v>147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03" t="s">
        <v>79</v>
      </c>
      <c r="C48" s="8" t="s">
        <v>145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04"/>
      <c r="C49" s="8" t="s">
        <v>146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04"/>
      <c r="C50" s="8" t="s">
        <v>147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150</v>
      </c>
      <c r="C51" s="8" t="s">
        <v>147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144</v>
      </c>
      <c r="C54" s="4" t="s">
        <v>159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customHeight="1" x14ac:dyDescent="0.3">
      <c r="A55" s="4" t="s">
        <v>236</v>
      </c>
      <c r="B55" s="103" t="s">
        <v>90</v>
      </c>
      <c r="C55" s="8" t="s">
        <v>145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04"/>
      <c r="C56" s="8" t="s">
        <v>146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04"/>
      <c r="C57" s="8" t="s">
        <v>147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03" t="s">
        <v>67</v>
      </c>
      <c r="C58" s="8" t="s">
        <v>145</v>
      </c>
      <c r="D58" s="88">
        <v>1.37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04"/>
      <c r="C59" s="8" t="s">
        <v>146</v>
      </c>
      <c r="D59" s="88">
        <v>1.37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04"/>
      <c r="C60" s="8" t="s">
        <v>147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03" t="s">
        <v>77</v>
      </c>
      <c r="C61" s="8" t="s">
        <v>145</v>
      </c>
      <c r="D61" s="88">
        <f t="shared" si="2"/>
        <v>1</v>
      </c>
      <c r="E61" s="88">
        <v>1.37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04"/>
      <c r="C62" s="8" t="s">
        <v>146</v>
      </c>
      <c r="D62" s="88">
        <f t="shared" si="2"/>
        <v>1</v>
      </c>
      <c r="E62" s="88">
        <v>1.37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04"/>
      <c r="C63" s="8" t="s">
        <v>147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03" t="s">
        <v>78</v>
      </c>
      <c r="C64" s="8" t="s">
        <v>145</v>
      </c>
      <c r="D64" s="88">
        <f t="shared" si="2"/>
        <v>1</v>
      </c>
      <c r="E64" s="88">
        <f t="shared" si="4"/>
        <v>1</v>
      </c>
      <c r="F64" s="88">
        <v>1.35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04"/>
      <c r="C65" s="8" t="s">
        <v>146</v>
      </c>
      <c r="D65" s="88">
        <f t="shared" si="2"/>
        <v>1</v>
      </c>
      <c r="E65" s="88">
        <f t="shared" si="4"/>
        <v>1</v>
      </c>
      <c r="F65" s="88">
        <v>1.35</v>
      </c>
      <c r="G65" s="88">
        <f t="shared" si="5"/>
        <v>1</v>
      </c>
      <c r="H65" s="88">
        <f t="shared" si="5"/>
        <v>1</v>
      </c>
    </row>
    <row r="66" spans="1:8" x14ac:dyDescent="0.25">
      <c r="B66" s="104"/>
      <c r="C66" s="8" t="s">
        <v>147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03" t="s">
        <v>79</v>
      </c>
      <c r="C67" s="8" t="s">
        <v>145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1.35</v>
      </c>
      <c r="H67" s="88">
        <f>IF(H14=1,1,H14*0.9)</f>
        <v>1</v>
      </c>
    </row>
    <row r="68" spans="1:8" x14ac:dyDescent="0.25">
      <c r="B68" s="104"/>
      <c r="C68" s="8" t="s">
        <v>146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1.35</v>
      </c>
      <c r="H68" s="88">
        <f>IF(H15=1,1,H15*0.9)</f>
        <v>1</v>
      </c>
    </row>
    <row r="69" spans="1:8" x14ac:dyDescent="0.25">
      <c r="B69" s="104"/>
      <c r="C69" s="8" t="s">
        <v>147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150</v>
      </c>
      <c r="C70" s="8" t="s">
        <v>147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90</v>
      </c>
      <c r="C72" s="8" t="s">
        <v>145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04"/>
      <c r="C73" s="8" t="s">
        <v>146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04"/>
      <c r="C74" s="8" t="s">
        <v>147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03" t="s">
        <v>67</v>
      </c>
      <c r="C75" s="8" t="s">
        <v>145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04"/>
      <c r="C76" s="8" t="s">
        <v>146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04"/>
      <c r="C77" s="8" t="s">
        <v>147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03" t="s">
        <v>77</v>
      </c>
      <c r="C78" s="8" t="s">
        <v>145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04"/>
      <c r="C79" s="8" t="s">
        <v>146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04"/>
      <c r="C80" s="8" t="s">
        <v>147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03" t="s">
        <v>78</v>
      </c>
      <c r="C81" s="8" t="s">
        <v>145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04"/>
      <c r="C82" s="8" t="s">
        <v>146</v>
      </c>
      <c r="D82" s="88">
        <f t="shared" ref="D82:H91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04"/>
      <c r="C83" s="8" t="s">
        <v>147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03" t="s">
        <v>79</v>
      </c>
      <c r="C84" s="8" t="s">
        <v>145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04"/>
      <c r="C85" s="8" t="s">
        <v>146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04"/>
      <c r="C86" s="8" t="s">
        <v>147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150</v>
      </c>
      <c r="C87" s="8" t="s">
        <v>147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90</v>
      </c>
      <c r="C89" s="8" t="s">
        <v>145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04"/>
      <c r="C90" s="8" t="s">
        <v>146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04"/>
      <c r="C91" s="8" t="s">
        <v>147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03" t="s">
        <v>67</v>
      </c>
      <c r="C92" s="8" t="s">
        <v>145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04"/>
      <c r="C93" s="8" t="s">
        <v>146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04"/>
      <c r="C94" s="8" t="s">
        <v>147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03" t="s">
        <v>77</v>
      </c>
      <c r="C95" s="8" t="s">
        <v>145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04"/>
      <c r="C96" s="8" t="s">
        <v>146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04"/>
      <c r="C97" s="8" t="s">
        <v>147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03" t="s">
        <v>78</v>
      </c>
      <c r="C98" s="8" t="s">
        <v>145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04"/>
      <c r="C99" s="8" t="s">
        <v>146</v>
      </c>
      <c r="D99" s="88">
        <f t="shared" ref="D99:H108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04"/>
      <c r="C100" s="8" t="s">
        <v>147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03" t="s">
        <v>79</v>
      </c>
      <c r="C101" s="8" t="s">
        <v>145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04"/>
      <c r="C102" s="8" t="s">
        <v>146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04"/>
      <c r="C103" s="8" t="s">
        <v>147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150</v>
      </c>
      <c r="C104" s="8" t="s">
        <v>147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144</v>
      </c>
      <c r="C107" s="4" t="s">
        <v>159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customHeight="1" x14ac:dyDescent="0.3">
      <c r="A108" s="4" t="s">
        <v>240</v>
      </c>
      <c r="B108" s="103" t="s">
        <v>90</v>
      </c>
      <c r="C108" s="8" t="s">
        <v>145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04"/>
      <c r="C109" s="8" t="s">
        <v>146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04"/>
      <c r="C110" s="8" t="s">
        <v>147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03" t="s">
        <v>67</v>
      </c>
      <c r="C111" s="8" t="s">
        <v>145</v>
      </c>
      <c r="D111" s="88">
        <v>1.77</v>
      </c>
      <c r="E111" s="88">
        <f t="shared" ref="E111:H113" si="11">IF(E5=1,1,E5*1.05)</f>
        <v>1</v>
      </c>
      <c r="F111" s="88">
        <f t="shared" si="11"/>
        <v>1</v>
      </c>
      <c r="G111" s="88">
        <f t="shared" si="11"/>
        <v>1</v>
      </c>
      <c r="H111" s="88">
        <f t="shared" si="11"/>
        <v>1</v>
      </c>
    </row>
    <row r="112" spans="1:8" x14ac:dyDescent="0.25">
      <c r="B112" s="104"/>
      <c r="C112" s="8" t="s">
        <v>146</v>
      </c>
      <c r="D112" s="88">
        <v>1.77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1"/>
        <v>1</v>
      </c>
    </row>
    <row r="113" spans="1:8" x14ac:dyDescent="0.25">
      <c r="B113" s="104"/>
      <c r="C113" s="8" t="s">
        <v>147</v>
      </c>
      <c r="D113" s="88">
        <f t="shared" ref="D113:D123" si="12">IF(D7=1,1,D7*1.05)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1"/>
        <v>1</v>
      </c>
    </row>
    <row r="114" spans="1:8" x14ac:dyDescent="0.25">
      <c r="B114" s="103" t="s">
        <v>77</v>
      </c>
      <c r="C114" s="8" t="s">
        <v>145</v>
      </c>
      <c r="D114" s="88">
        <f t="shared" si="12"/>
        <v>1</v>
      </c>
      <c r="E114" s="88">
        <v>1.77</v>
      </c>
      <c r="F114" s="88">
        <f t="shared" ref="F114:H116" si="13">IF(F8=1,1,F8*1.05)</f>
        <v>1</v>
      </c>
      <c r="G114" s="88">
        <f t="shared" si="13"/>
        <v>1</v>
      </c>
      <c r="H114" s="88">
        <f t="shared" si="13"/>
        <v>1</v>
      </c>
    </row>
    <row r="115" spans="1:8" x14ac:dyDescent="0.25">
      <c r="B115" s="104"/>
      <c r="C115" s="8" t="s">
        <v>146</v>
      </c>
      <c r="D115" s="88">
        <f t="shared" si="12"/>
        <v>1</v>
      </c>
      <c r="E115" s="88">
        <v>1.77</v>
      </c>
      <c r="F115" s="88">
        <f t="shared" si="13"/>
        <v>1</v>
      </c>
      <c r="G115" s="88">
        <f t="shared" si="13"/>
        <v>1</v>
      </c>
      <c r="H115" s="88">
        <f t="shared" si="13"/>
        <v>1</v>
      </c>
    </row>
    <row r="116" spans="1:8" x14ac:dyDescent="0.25">
      <c r="B116" s="104"/>
      <c r="C116" s="8" t="s">
        <v>147</v>
      </c>
      <c r="D116" s="88">
        <f t="shared" si="12"/>
        <v>1</v>
      </c>
      <c r="E116" s="88">
        <f t="shared" ref="E116:E123" si="14">IF(E10=1,1,E10*1.05)</f>
        <v>1</v>
      </c>
      <c r="F116" s="88">
        <f t="shared" si="13"/>
        <v>1</v>
      </c>
      <c r="G116" s="88">
        <f t="shared" si="13"/>
        <v>1</v>
      </c>
      <c r="H116" s="88">
        <f t="shared" si="13"/>
        <v>1</v>
      </c>
    </row>
    <row r="117" spans="1:8" x14ac:dyDescent="0.25">
      <c r="B117" s="103" t="s">
        <v>78</v>
      </c>
      <c r="C117" s="8" t="s">
        <v>145</v>
      </c>
      <c r="D117" s="88">
        <f t="shared" si="12"/>
        <v>1</v>
      </c>
      <c r="E117" s="88">
        <f t="shared" si="14"/>
        <v>1</v>
      </c>
      <c r="F117" s="88">
        <v>2.11</v>
      </c>
      <c r="G117" s="88">
        <f t="shared" ref="G117:H119" si="15">IF(G11=1,1,G11*1.05)</f>
        <v>1</v>
      </c>
      <c r="H117" s="88">
        <f t="shared" si="15"/>
        <v>1</v>
      </c>
    </row>
    <row r="118" spans="1:8" x14ac:dyDescent="0.25">
      <c r="B118" s="104"/>
      <c r="C118" s="8" t="s">
        <v>146</v>
      </c>
      <c r="D118" s="88">
        <f t="shared" si="12"/>
        <v>1</v>
      </c>
      <c r="E118" s="88">
        <f t="shared" si="14"/>
        <v>1</v>
      </c>
      <c r="F118" s="88">
        <v>2.11</v>
      </c>
      <c r="G118" s="88">
        <f t="shared" si="15"/>
        <v>1</v>
      </c>
      <c r="H118" s="88">
        <f t="shared" si="15"/>
        <v>1</v>
      </c>
    </row>
    <row r="119" spans="1:8" x14ac:dyDescent="0.25">
      <c r="B119" s="104"/>
      <c r="C119" s="8" t="s">
        <v>147</v>
      </c>
      <c r="D119" s="88">
        <f t="shared" si="12"/>
        <v>1</v>
      </c>
      <c r="E119" s="88">
        <f t="shared" si="14"/>
        <v>1</v>
      </c>
      <c r="F119" s="88">
        <f>IF(F13=1,1,F13*1.05)</f>
        <v>1</v>
      </c>
      <c r="G119" s="88">
        <f t="shared" si="15"/>
        <v>1</v>
      </c>
      <c r="H119" s="88">
        <f t="shared" si="15"/>
        <v>1</v>
      </c>
    </row>
    <row r="120" spans="1:8" x14ac:dyDescent="0.25">
      <c r="B120" s="103" t="s">
        <v>79</v>
      </c>
      <c r="C120" s="8" t="s">
        <v>145</v>
      </c>
      <c r="D120" s="88">
        <f t="shared" si="12"/>
        <v>1</v>
      </c>
      <c r="E120" s="88">
        <f t="shared" si="14"/>
        <v>1</v>
      </c>
      <c r="F120" s="88">
        <f>IF(F14=1,1,F14*1.05)</f>
        <v>1</v>
      </c>
      <c r="G120" s="88">
        <v>2.11</v>
      </c>
      <c r="H120" s="88">
        <f>IF(H14=1,1,H14*1.05)</f>
        <v>1</v>
      </c>
    </row>
    <row r="121" spans="1:8" x14ac:dyDescent="0.25">
      <c r="B121" s="104"/>
      <c r="C121" s="8" t="s">
        <v>146</v>
      </c>
      <c r="D121" s="88">
        <f t="shared" si="12"/>
        <v>1</v>
      </c>
      <c r="E121" s="88">
        <f t="shared" si="14"/>
        <v>1</v>
      </c>
      <c r="F121" s="88">
        <f>IF(F15=1,1,F15*1.05)</f>
        <v>1</v>
      </c>
      <c r="G121" s="88">
        <v>2.11</v>
      </c>
      <c r="H121" s="88">
        <f>IF(H15=1,1,H15*1.05)</f>
        <v>1</v>
      </c>
    </row>
    <row r="122" spans="1:8" x14ac:dyDescent="0.25">
      <c r="B122" s="104"/>
      <c r="C122" s="8" t="s">
        <v>147</v>
      </c>
      <c r="D122" s="88">
        <f t="shared" si="12"/>
        <v>1</v>
      </c>
      <c r="E122" s="88">
        <f t="shared" si="14"/>
        <v>1</v>
      </c>
      <c r="F122" s="88">
        <f>IF(F16=1,1,F16*1.05)</f>
        <v>1</v>
      </c>
      <c r="G122" s="88">
        <f>IF(G16=1,1,G16*1.05)</f>
        <v>1</v>
      </c>
      <c r="H122" s="88">
        <f>IF(H16=1,1,H16*1.05)</f>
        <v>1</v>
      </c>
    </row>
    <row r="123" spans="1:8" ht="13" customHeight="1" x14ac:dyDescent="0.25">
      <c r="B123" s="65" t="s">
        <v>150</v>
      </c>
      <c r="C123" s="8" t="s">
        <v>147</v>
      </c>
      <c r="D123" s="88">
        <f t="shared" si="12"/>
        <v>1.1025</v>
      </c>
      <c r="E123" s="88">
        <f t="shared" si="14"/>
        <v>1.1025</v>
      </c>
      <c r="F123" s="88">
        <f>IF(F17=1,1,F17*1.05)</f>
        <v>1.1025</v>
      </c>
      <c r="G123" s="88">
        <f>IF(G17=1,1,G17*1.05)</f>
        <v>1.1025</v>
      </c>
      <c r="H123" s="88">
        <f>IF(H17=1,1,H17*1.05)</f>
        <v>1</v>
      </c>
    </row>
    <row r="124" spans="1:8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90</v>
      </c>
      <c r="C125" s="8" t="s">
        <v>145</v>
      </c>
      <c r="D125" s="88">
        <f t="shared" ref="D125:H134" si="16">IF(D19=1,1,D19*1.05)</f>
        <v>1</v>
      </c>
      <c r="E125" s="88">
        <f t="shared" si="16"/>
        <v>1</v>
      </c>
      <c r="F125" s="88">
        <f t="shared" si="16"/>
        <v>1</v>
      </c>
      <c r="G125" s="88">
        <f t="shared" si="16"/>
        <v>1</v>
      </c>
      <c r="H125" s="88">
        <f t="shared" si="16"/>
        <v>1</v>
      </c>
    </row>
    <row r="126" spans="1:8" x14ac:dyDescent="0.25">
      <c r="B126" s="104"/>
      <c r="C126" s="8" t="s">
        <v>146</v>
      </c>
      <c r="D126" s="88">
        <f t="shared" si="16"/>
        <v>1</v>
      </c>
      <c r="E126" s="88">
        <f t="shared" si="16"/>
        <v>1</v>
      </c>
      <c r="F126" s="88">
        <f t="shared" si="16"/>
        <v>1</v>
      </c>
      <c r="G126" s="88">
        <f t="shared" si="16"/>
        <v>1</v>
      </c>
      <c r="H126" s="88">
        <f t="shared" si="16"/>
        <v>1</v>
      </c>
    </row>
    <row r="127" spans="1:8" x14ac:dyDescent="0.25">
      <c r="B127" s="104"/>
      <c r="C127" s="8" t="s">
        <v>147</v>
      </c>
      <c r="D127" s="88">
        <f t="shared" si="16"/>
        <v>1</v>
      </c>
      <c r="E127" s="88">
        <f t="shared" si="16"/>
        <v>1</v>
      </c>
      <c r="F127" s="88">
        <f t="shared" si="16"/>
        <v>1</v>
      </c>
      <c r="G127" s="88">
        <f t="shared" si="16"/>
        <v>1</v>
      </c>
      <c r="H127" s="88">
        <f t="shared" si="16"/>
        <v>1</v>
      </c>
    </row>
    <row r="128" spans="1:8" x14ac:dyDescent="0.25">
      <c r="B128" s="103" t="s">
        <v>67</v>
      </c>
      <c r="C128" s="8" t="s">
        <v>145</v>
      </c>
      <c r="D128" s="88">
        <f t="shared" si="16"/>
        <v>1</v>
      </c>
      <c r="E128" s="88">
        <f t="shared" si="16"/>
        <v>1</v>
      </c>
      <c r="F128" s="88">
        <f t="shared" si="16"/>
        <v>1</v>
      </c>
      <c r="G128" s="88">
        <f t="shared" si="16"/>
        <v>1</v>
      </c>
      <c r="H128" s="88">
        <f t="shared" si="16"/>
        <v>1</v>
      </c>
    </row>
    <row r="129" spans="1:8" x14ac:dyDescent="0.25">
      <c r="B129" s="104"/>
      <c r="C129" s="8" t="s">
        <v>146</v>
      </c>
      <c r="D129" s="88">
        <f t="shared" si="16"/>
        <v>1</v>
      </c>
      <c r="E129" s="88">
        <f t="shared" si="16"/>
        <v>1</v>
      </c>
      <c r="F129" s="88">
        <f t="shared" si="16"/>
        <v>1</v>
      </c>
      <c r="G129" s="88">
        <f t="shared" si="16"/>
        <v>1</v>
      </c>
      <c r="H129" s="88">
        <f t="shared" si="16"/>
        <v>1</v>
      </c>
    </row>
    <row r="130" spans="1:8" x14ac:dyDescent="0.25">
      <c r="B130" s="104"/>
      <c r="C130" s="8" t="s">
        <v>147</v>
      </c>
      <c r="D130" s="88">
        <f t="shared" si="16"/>
        <v>1</v>
      </c>
      <c r="E130" s="88">
        <f t="shared" si="16"/>
        <v>1</v>
      </c>
      <c r="F130" s="88">
        <f t="shared" si="16"/>
        <v>1</v>
      </c>
      <c r="G130" s="88">
        <f t="shared" si="16"/>
        <v>1</v>
      </c>
      <c r="H130" s="88">
        <f t="shared" si="16"/>
        <v>1</v>
      </c>
    </row>
    <row r="131" spans="1:8" x14ac:dyDescent="0.25">
      <c r="B131" s="103" t="s">
        <v>77</v>
      </c>
      <c r="C131" s="8" t="s">
        <v>145</v>
      </c>
      <c r="D131" s="88">
        <f t="shared" si="16"/>
        <v>1</v>
      </c>
      <c r="E131" s="88">
        <f t="shared" si="16"/>
        <v>1</v>
      </c>
      <c r="F131" s="88">
        <f t="shared" si="16"/>
        <v>1</v>
      </c>
      <c r="G131" s="88">
        <f t="shared" si="16"/>
        <v>1</v>
      </c>
      <c r="H131" s="88">
        <f t="shared" si="16"/>
        <v>1</v>
      </c>
    </row>
    <row r="132" spans="1:8" x14ac:dyDescent="0.25">
      <c r="B132" s="104"/>
      <c r="C132" s="8" t="s">
        <v>146</v>
      </c>
      <c r="D132" s="88">
        <f t="shared" si="16"/>
        <v>1</v>
      </c>
      <c r="E132" s="88">
        <f t="shared" si="16"/>
        <v>1</v>
      </c>
      <c r="F132" s="88">
        <f t="shared" si="16"/>
        <v>1</v>
      </c>
      <c r="G132" s="88">
        <f t="shared" si="16"/>
        <v>1</v>
      </c>
      <c r="H132" s="88">
        <f t="shared" si="16"/>
        <v>1</v>
      </c>
    </row>
    <row r="133" spans="1:8" x14ac:dyDescent="0.25">
      <c r="B133" s="104"/>
      <c r="C133" s="8" t="s">
        <v>147</v>
      </c>
      <c r="D133" s="88">
        <f t="shared" si="16"/>
        <v>1</v>
      </c>
      <c r="E133" s="88">
        <f t="shared" si="16"/>
        <v>1</v>
      </c>
      <c r="F133" s="88">
        <f t="shared" si="16"/>
        <v>1</v>
      </c>
      <c r="G133" s="88">
        <f t="shared" si="16"/>
        <v>1</v>
      </c>
      <c r="H133" s="88">
        <f t="shared" si="16"/>
        <v>1</v>
      </c>
    </row>
    <row r="134" spans="1:8" x14ac:dyDescent="0.25">
      <c r="B134" s="103" t="s">
        <v>78</v>
      </c>
      <c r="C134" s="8" t="s">
        <v>145</v>
      </c>
      <c r="D134" s="88">
        <f t="shared" si="16"/>
        <v>1</v>
      </c>
      <c r="E134" s="88">
        <f t="shared" si="16"/>
        <v>1</v>
      </c>
      <c r="F134" s="88">
        <f t="shared" si="16"/>
        <v>1</v>
      </c>
      <c r="G134" s="88">
        <f t="shared" si="16"/>
        <v>1</v>
      </c>
      <c r="H134" s="88">
        <f t="shared" si="16"/>
        <v>1</v>
      </c>
    </row>
    <row r="135" spans="1:8" x14ac:dyDescent="0.25">
      <c r="B135" s="104"/>
      <c r="C135" s="8" t="s">
        <v>146</v>
      </c>
      <c r="D135" s="88">
        <f t="shared" ref="D135:H144" si="17">IF(D29=1,1,D29*1.05)</f>
        <v>1</v>
      </c>
      <c r="E135" s="88">
        <f t="shared" si="17"/>
        <v>1</v>
      </c>
      <c r="F135" s="88">
        <f t="shared" si="17"/>
        <v>1</v>
      </c>
      <c r="G135" s="88">
        <f t="shared" si="17"/>
        <v>1</v>
      </c>
      <c r="H135" s="88">
        <f t="shared" si="17"/>
        <v>1</v>
      </c>
    </row>
    <row r="136" spans="1:8" x14ac:dyDescent="0.25">
      <c r="B136" s="104"/>
      <c r="C136" s="8" t="s">
        <v>147</v>
      </c>
      <c r="D136" s="88">
        <f t="shared" si="17"/>
        <v>1</v>
      </c>
      <c r="E136" s="88">
        <f t="shared" si="17"/>
        <v>1</v>
      </c>
      <c r="F136" s="88">
        <f t="shared" si="17"/>
        <v>1</v>
      </c>
      <c r="G136" s="88">
        <f t="shared" si="17"/>
        <v>1</v>
      </c>
      <c r="H136" s="88">
        <f t="shared" si="17"/>
        <v>1</v>
      </c>
    </row>
    <row r="137" spans="1:8" x14ac:dyDescent="0.25">
      <c r="B137" s="103" t="s">
        <v>79</v>
      </c>
      <c r="C137" s="8" t="s">
        <v>145</v>
      </c>
      <c r="D137" s="88">
        <f t="shared" si="17"/>
        <v>1</v>
      </c>
      <c r="E137" s="88">
        <f t="shared" si="17"/>
        <v>1</v>
      </c>
      <c r="F137" s="88">
        <f t="shared" si="17"/>
        <v>1</v>
      </c>
      <c r="G137" s="88">
        <f t="shared" si="17"/>
        <v>1</v>
      </c>
      <c r="H137" s="88">
        <f t="shared" si="17"/>
        <v>1</v>
      </c>
    </row>
    <row r="138" spans="1:8" x14ac:dyDescent="0.25">
      <c r="B138" s="104"/>
      <c r="C138" s="8" t="s">
        <v>146</v>
      </c>
      <c r="D138" s="88">
        <f t="shared" si="17"/>
        <v>1</v>
      </c>
      <c r="E138" s="88">
        <f t="shared" si="17"/>
        <v>1</v>
      </c>
      <c r="F138" s="88">
        <f t="shared" si="17"/>
        <v>1</v>
      </c>
      <c r="G138" s="88">
        <f t="shared" si="17"/>
        <v>1</v>
      </c>
      <c r="H138" s="88">
        <f t="shared" si="17"/>
        <v>1</v>
      </c>
    </row>
    <row r="139" spans="1:8" x14ac:dyDescent="0.25">
      <c r="B139" s="104"/>
      <c r="C139" s="8" t="s">
        <v>147</v>
      </c>
      <c r="D139" s="88">
        <f t="shared" si="17"/>
        <v>1</v>
      </c>
      <c r="E139" s="88">
        <f t="shared" si="17"/>
        <v>1</v>
      </c>
      <c r="F139" s="88">
        <f t="shared" si="17"/>
        <v>1</v>
      </c>
      <c r="G139" s="88">
        <f t="shared" si="17"/>
        <v>1</v>
      </c>
      <c r="H139" s="88">
        <f t="shared" si="17"/>
        <v>1</v>
      </c>
    </row>
    <row r="140" spans="1:8" ht="13" customHeight="1" x14ac:dyDescent="0.25">
      <c r="B140" s="65" t="s">
        <v>150</v>
      </c>
      <c r="C140" s="8" t="s">
        <v>147</v>
      </c>
      <c r="D140" s="88">
        <f t="shared" si="17"/>
        <v>1</v>
      </c>
      <c r="E140" s="88">
        <f t="shared" si="17"/>
        <v>1</v>
      </c>
      <c r="F140" s="88">
        <f t="shared" si="17"/>
        <v>1</v>
      </c>
      <c r="G140" s="88">
        <f t="shared" si="17"/>
        <v>1</v>
      </c>
      <c r="H140" s="88">
        <f t="shared" si="17"/>
        <v>1</v>
      </c>
    </row>
    <row r="141" spans="1:8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90</v>
      </c>
      <c r="C142" s="8" t="s">
        <v>145</v>
      </c>
      <c r="D142" s="88">
        <f t="shared" ref="D142:H151" si="18">IF(D36=1,1,D36*1.05)</f>
        <v>1</v>
      </c>
      <c r="E142" s="88">
        <f t="shared" si="18"/>
        <v>1</v>
      </c>
      <c r="F142" s="88">
        <f t="shared" si="18"/>
        <v>1</v>
      </c>
      <c r="G142" s="88">
        <f t="shared" si="18"/>
        <v>1</v>
      </c>
      <c r="H142" s="88">
        <f t="shared" si="18"/>
        <v>1</v>
      </c>
    </row>
    <row r="143" spans="1:8" x14ac:dyDescent="0.25">
      <c r="B143" s="104"/>
      <c r="C143" s="8" t="s">
        <v>146</v>
      </c>
      <c r="D143" s="88">
        <f t="shared" si="18"/>
        <v>1</v>
      </c>
      <c r="E143" s="88">
        <f t="shared" si="18"/>
        <v>1</v>
      </c>
      <c r="F143" s="88">
        <f t="shared" si="18"/>
        <v>1</v>
      </c>
      <c r="G143" s="88">
        <f t="shared" si="18"/>
        <v>1</v>
      </c>
      <c r="H143" s="88">
        <f t="shared" si="18"/>
        <v>1</v>
      </c>
    </row>
    <row r="144" spans="1:8" x14ac:dyDescent="0.25">
      <c r="B144" s="104"/>
      <c r="C144" s="8" t="s">
        <v>147</v>
      </c>
      <c r="D144" s="88">
        <f t="shared" si="18"/>
        <v>1</v>
      </c>
      <c r="E144" s="88">
        <f t="shared" si="18"/>
        <v>1</v>
      </c>
      <c r="F144" s="88">
        <f t="shared" si="18"/>
        <v>1</v>
      </c>
      <c r="G144" s="88">
        <f t="shared" si="18"/>
        <v>1</v>
      </c>
      <c r="H144" s="88">
        <f t="shared" si="18"/>
        <v>1</v>
      </c>
    </row>
    <row r="145" spans="2:8" x14ac:dyDescent="0.25">
      <c r="B145" s="103" t="s">
        <v>67</v>
      </c>
      <c r="C145" s="8" t="s">
        <v>145</v>
      </c>
      <c r="D145" s="88">
        <f t="shared" si="18"/>
        <v>1</v>
      </c>
      <c r="E145" s="88">
        <f t="shared" si="18"/>
        <v>1</v>
      </c>
      <c r="F145" s="88">
        <f t="shared" si="18"/>
        <v>1</v>
      </c>
      <c r="G145" s="88">
        <f t="shared" si="18"/>
        <v>1</v>
      </c>
      <c r="H145" s="88">
        <f t="shared" si="18"/>
        <v>1</v>
      </c>
    </row>
    <row r="146" spans="2:8" x14ac:dyDescent="0.25">
      <c r="B146" s="104"/>
      <c r="C146" s="8" t="s">
        <v>146</v>
      </c>
      <c r="D146" s="88">
        <f t="shared" si="18"/>
        <v>1</v>
      </c>
      <c r="E146" s="88">
        <f t="shared" si="18"/>
        <v>1</v>
      </c>
      <c r="F146" s="88">
        <f t="shared" si="18"/>
        <v>1</v>
      </c>
      <c r="G146" s="88">
        <f t="shared" si="18"/>
        <v>1</v>
      </c>
      <c r="H146" s="88">
        <f t="shared" si="18"/>
        <v>1</v>
      </c>
    </row>
    <row r="147" spans="2:8" x14ac:dyDescent="0.25">
      <c r="B147" s="104"/>
      <c r="C147" s="8" t="s">
        <v>147</v>
      </c>
      <c r="D147" s="88">
        <f t="shared" si="18"/>
        <v>1</v>
      </c>
      <c r="E147" s="88">
        <f t="shared" si="18"/>
        <v>1</v>
      </c>
      <c r="F147" s="88">
        <f t="shared" si="18"/>
        <v>1</v>
      </c>
      <c r="G147" s="88">
        <f t="shared" si="18"/>
        <v>1</v>
      </c>
      <c r="H147" s="88">
        <f t="shared" si="18"/>
        <v>1</v>
      </c>
    </row>
    <row r="148" spans="2:8" x14ac:dyDescent="0.25">
      <c r="B148" s="103" t="s">
        <v>77</v>
      </c>
      <c r="C148" s="8" t="s">
        <v>145</v>
      </c>
      <c r="D148" s="88">
        <f t="shared" si="18"/>
        <v>1</v>
      </c>
      <c r="E148" s="88">
        <f t="shared" si="18"/>
        <v>1</v>
      </c>
      <c r="F148" s="88">
        <f t="shared" si="18"/>
        <v>1</v>
      </c>
      <c r="G148" s="88">
        <f t="shared" si="18"/>
        <v>1</v>
      </c>
      <c r="H148" s="88">
        <f t="shared" si="18"/>
        <v>1</v>
      </c>
    </row>
    <row r="149" spans="2:8" x14ac:dyDescent="0.25">
      <c r="B149" s="104"/>
      <c r="C149" s="8" t="s">
        <v>146</v>
      </c>
      <c r="D149" s="88">
        <f t="shared" si="18"/>
        <v>1</v>
      </c>
      <c r="E149" s="88">
        <f t="shared" si="18"/>
        <v>1</v>
      </c>
      <c r="F149" s="88">
        <f t="shared" si="18"/>
        <v>1</v>
      </c>
      <c r="G149" s="88">
        <f t="shared" si="18"/>
        <v>1</v>
      </c>
      <c r="H149" s="88">
        <f t="shared" si="18"/>
        <v>1</v>
      </c>
    </row>
    <row r="150" spans="2:8" x14ac:dyDescent="0.25">
      <c r="B150" s="104"/>
      <c r="C150" s="8" t="s">
        <v>147</v>
      </c>
      <c r="D150" s="88">
        <f t="shared" si="18"/>
        <v>1</v>
      </c>
      <c r="E150" s="88">
        <f t="shared" si="18"/>
        <v>1</v>
      </c>
      <c r="F150" s="88">
        <f t="shared" si="18"/>
        <v>1</v>
      </c>
      <c r="G150" s="88">
        <f t="shared" si="18"/>
        <v>1</v>
      </c>
      <c r="H150" s="88">
        <f t="shared" si="18"/>
        <v>1</v>
      </c>
    </row>
    <row r="151" spans="2:8" x14ac:dyDescent="0.25">
      <c r="B151" s="103" t="s">
        <v>78</v>
      </c>
      <c r="C151" s="8" t="s">
        <v>145</v>
      </c>
      <c r="D151" s="88">
        <f t="shared" si="18"/>
        <v>1</v>
      </c>
      <c r="E151" s="88">
        <f t="shared" si="18"/>
        <v>1</v>
      </c>
      <c r="F151" s="88">
        <f t="shared" si="18"/>
        <v>1</v>
      </c>
      <c r="G151" s="88">
        <f t="shared" si="18"/>
        <v>1</v>
      </c>
      <c r="H151" s="88">
        <f t="shared" si="18"/>
        <v>1</v>
      </c>
    </row>
    <row r="152" spans="2:8" x14ac:dyDescent="0.25">
      <c r="B152" s="104"/>
      <c r="C152" s="8" t="s">
        <v>146</v>
      </c>
      <c r="D152" s="88">
        <f t="shared" ref="D152:H161" si="19">IF(D46=1,1,D46*1.05)</f>
        <v>1</v>
      </c>
      <c r="E152" s="88">
        <f t="shared" si="19"/>
        <v>1</v>
      </c>
      <c r="F152" s="88">
        <f t="shared" si="19"/>
        <v>1</v>
      </c>
      <c r="G152" s="88">
        <f t="shared" si="19"/>
        <v>1</v>
      </c>
      <c r="H152" s="88">
        <f t="shared" si="19"/>
        <v>1</v>
      </c>
    </row>
    <row r="153" spans="2:8" x14ac:dyDescent="0.25">
      <c r="B153" s="104"/>
      <c r="C153" s="8" t="s">
        <v>147</v>
      </c>
      <c r="D153" s="88">
        <f t="shared" si="19"/>
        <v>1</v>
      </c>
      <c r="E153" s="88">
        <f t="shared" si="19"/>
        <v>1</v>
      </c>
      <c r="F153" s="88">
        <f t="shared" si="19"/>
        <v>1</v>
      </c>
      <c r="G153" s="88">
        <f t="shared" si="19"/>
        <v>1</v>
      </c>
      <c r="H153" s="88">
        <f t="shared" si="19"/>
        <v>1</v>
      </c>
    </row>
    <row r="154" spans="2:8" x14ac:dyDescent="0.25">
      <c r="B154" s="103" t="s">
        <v>79</v>
      </c>
      <c r="C154" s="8" t="s">
        <v>145</v>
      </c>
      <c r="D154" s="88">
        <f t="shared" si="19"/>
        <v>1</v>
      </c>
      <c r="E154" s="88">
        <f t="shared" si="19"/>
        <v>1</v>
      </c>
      <c r="F154" s="88">
        <f t="shared" si="19"/>
        <v>1</v>
      </c>
      <c r="G154" s="88">
        <f t="shared" si="19"/>
        <v>1</v>
      </c>
      <c r="H154" s="88">
        <f t="shared" si="19"/>
        <v>1</v>
      </c>
    </row>
    <row r="155" spans="2:8" x14ac:dyDescent="0.25">
      <c r="B155" s="104"/>
      <c r="C155" s="8" t="s">
        <v>146</v>
      </c>
      <c r="D155" s="88">
        <f t="shared" si="19"/>
        <v>1</v>
      </c>
      <c r="E155" s="88">
        <f t="shared" si="19"/>
        <v>1</v>
      </c>
      <c r="F155" s="88">
        <f t="shared" si="19"/>
        <v>1</v>
      </c>
      <c r="G155" s="88">
        <f t="shared" si="19"/>
        <v>1</v>
      </c>
      <c r="H155" s="88">
        <f t="shared" si="19"/>
        <v>1</v>
      </c>
    </row>
    <row r="156" spans="2:8" x14ac:dyDescent="0.25">
      <c r="B156" s="104"/>
      <c r="C156" s="8" t="s">
        <v>147</v>
      </c>
      <c r="D156" s="88">
        <f t="shared" si="19"/>
        <v>1</v>
      </c>
      <c r="E156" s="88">
        <f t="shared" si="19"/>
        <v>1</v>
      </c>
      <c r="F156" s="88">
        <f t="shared" si="19"/>
        <v>1</v>
      </c>
      <c r="G156" s="88">
        <f t="shared" si="19"/>
        <v>1</v>
      </c>
      <c r="H156" s="88">
        <f t="shared" si="19"/>
        <v>1</v>
      </c>
    </row>
    <row r="157" spans="2:8" ht="13" customHeight="1" x14ac:dyDescent="0.25">
      <c r="B157" s="65" t="s">
        <v>150</v>
      </c>
      <c r="C157" s="8" t="s">
        <v>147</v>
      </c>
      <c r="D157" s="88">
        <f t="shared" si="19"/>
        <v>1</v>
      </c>
      <c r="E157" s="88">
        <f t="shared" si="19"/>
        <v>1</v>
      </c>
      <c r="F157" s="88">
        <f t="shared" si="19"/>
        <v>1</v>
      </c>
      <c r="G157" s="88">
        <f t="shared" si="19"/>
        <v>1</v>
      </c>
      <c r="H157" s="88">
        <f t="shared" si="19"/>
        <v>1</v>
      </c>
    </row>
  </sheetData>
  <sheetProtection algorithmName="SHA-512" hashValue="riIqDHxQDNIc95k8WEEMlpv2yK5yRhEl3GZr9d21PG7QnhNwxgtjaWmZN+9widROwyhXiwQ4XZiTM/cZ2Cl95g==" saltValue="b1Xx0XPjIcbtdUQJGdoNkQ==" spinCount="100000" sheet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31" zoomScale="85" zoomScaleNormal="85" workbookViewId="0">
      <selection activeCell="D5" sqref="D5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245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246</v>
      </c>
      <c r="C11" s="74"/>
      <c r="D11" s="75"/>
      <c r="E11" s="75"/>
      <c r="F11" s="75"/>
    </row>
    <row r="12" spans="1:6" ht="15.75" customHeight="1" x14ac:dyDescent="0.3">
      <c r="A12" s="4" t="s">
        <v>247</v>
      </c>
      <c r="C12" s="73"/>
      <c r="D12" s="64"/>
      <c r="E12" s="64"/>
      <c r="F12" s="64"/>
    </row>
    <row r="13" spans="1:6" ht="15.75" customHeight="1" x14ac:dyDescent="0.25">
      <c r="B13" s="11" t="s">
        <v>248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249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251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246</v>
      </c>
      <c r="B38" s="68"/>
      <c r="C38" s="74"/>
      <c r="D38" s="75"/>
      <c r="E38" s="75"/>
      <c r="F38" s="75"/>
    </row>
    <row r="39" spans="1:6" ht="15.75" customHeight="1" x14ac:dyDescent="0.3">
      <c r="A39" s="4" t="s">
        <v>252</v>
      </c>
      <c r="C39" s="73"/>
      <c r="D39" s="64"/>
      <c r="E39" s="64"/>
      <c r="F39" s="64"/>
    </row>
    <row r="40" spans="1:6" ht="15.75" customHeight="1" x14ac:dyDescent="0.25">
      <c r="B40" s="11" t="s">
        <v>253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254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255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256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257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258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246</v>
      </c>
      <c r="B65" s="68"/>
      <c r="C65" s="74"/>
      <c r="D65" s="75"/>
      <c r="E65" s="75"/>
      <c r="F65" s="75"/>
    </row>
    <row r="66" spans="1:6" ht="15.75" customHeight="1" x14ac:dyDescent="0.3">
      <c r="A66" s="4" t="s">
        <v>259</v>
      </c>
      <c r="C66" s="73"/>
      <c r="D66" s="64"/>
      <c r="E66" s="64"/>
      <c r="F66" s="64"/>
    </row>
    <row r="67" spans="1:6" ht="15.75" customHeight="1" x14ac:dyDescent="0.25">
      <c r="B67" s="11" t="s">
        <v>260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261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262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263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OEa5xq8Dht0iRzVx1fQ1EOJdDm09uSIzQRujIfp/VJ8GNGNECqE8Uut2U6j1omy5Y9ajcKxMUHwzsTWrCb+nAw==" saltValue="Poj67khbkyqhF7WVYd6Cs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topLeftCell="A54" zoomScaleNormal="100" workbookViewId="0">
      <selection activeCell="D5" sqref="D5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225</v>
      </c>
      <c r="B2" s="1" t="s">
        <v>265</v>
      </c>
      <c r="C2" s="1" t="s">
        <v>266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81</v>
      </c>
      <c r="C3" s="3" t="s">
        <v>267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268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269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270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268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269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270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268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269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270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268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269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270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268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269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270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268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269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270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271</v>
      </c>
    </row>
    <row r="29" spans="1:16" ht="13" customHeight="1" x14ac:dyDescent="0.3">
      <c r="A29" s="39" t="s">
        <v>272</v>
      </c>
      <c r="B29" s="4" t="s">
        <v>265</v>
      </c>
      <c r="C29" s="4" t="s">
        <v>273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81</v>
      </c>
      <c r="C30" s="3" t="s">
        <v>267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268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204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205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268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204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205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204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205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268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204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205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268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204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205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268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204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205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274</v>
      </c>
    </row>
    <row r="56" spans="1:16" ht="26" customHeight="1" x14ac:dyDescent="0.3">
      <c r="A56" s="39" t="s">
        <v>111</v>
      </c>
      <c r="B56" s="4" t="s">
        <v>265</v>
      </c>
      <c r="C56" s="69" t="s">
        <v>275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91</v>
      </c>
      <c r="C57" s="3" t="s">
        <v>276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277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276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277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276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277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278</v>
      </c>
    </row>
    <row r="65" spans="1:16" ht="26" customHeight="1" x14ac:dyDescent="0.3">
      <c r="A65" s="39" t="s">
        <v>118</v>
      </c>
      <c r="B65" s="4" t="s">
        <v>265</v>
      </c>
      <c r="C65" s="69" t="s">
        <v>279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68</v>
      </c>
      <c r="C66" s="3" t="s">
        <v>119</v>
      </c>
      <c r="D66" s="90">
        <v>1.35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1.35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1.35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280</v>
      </c>
    </row>
    <row r="104" spans="1:16" ht="26" customHeight="1" x14ac:dyDescent="0.3">
      <c r="A104" s="39" t="s">
        <v>81</v>
      </c>
      <c r="B104" s="82" t="s">
        <v>122</v>
      </c>
      <c r="C104" s="69" t="s">
        <v>279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225</v>
      </c>
      <c r="B112" s="1" t="s">
        <v>265</v>
      </c>
      <c r="C112" s="1" t="s">
        <v>266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customHeight="1" x14ac:dyDescent="0.3">
      <c r="A113" s="4"/>
      <c r="B113" s="8" t="s">
        <v>81</v>
      </c>
      <c r="C113" s="3" t="s">
        <v>267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268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269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270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268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269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270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268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269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270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268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269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270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268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269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270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267</v>
      </c>
      <c r="D133" s="91">
        <f t="shared" ref="D133:H142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268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269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270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271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272</v>
      </c>
      <c r="B139" s="4" t="s">
        <v>265</v>
      </c>
      <c r="C139" s="4" t="s">
        <v>273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customHeight="1" x14ac:dyDescent="0.3">
      <c r="A140" s="4"/>
      <c r="B140" s="8" t="s">
        <v>81</v>
      </c>
      <c r="C140" s="3" t="s">
        <v>267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268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204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205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268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204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205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268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204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205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268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204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205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268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204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205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267</v>
      </c>
      <c r="D160" s="91">
        <f t="shared" ref="D160:H169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268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204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205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274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111</v>
      </c>
      <c r="B166" s="4" t="s">
        <v>265</v>
      </c>
      <c r="C166" s="69" t="s">
        <v>275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customHeight="1" x14ac:dyDescent="0.3">
      <c r="A167" s="4"/>
      <c r="B167" s="8" t="s">
        <v>91</v>
      </c>
      <c r="C167" s="3" t="s">
        <v>276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277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276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277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276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277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278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118</v>
      </c>
      <c r="B175" s="4" t="s">
        <v>265</v>
      </c>
      <c r="C175" s="69" t="s">
        <v>279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customHeight="1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1.2150000000000001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1.2150000000000001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1.2150000000000001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5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280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81</v>
      </c>
      <c r="B214" s="82" t="s">
        <v>122</v>
      </c>
      <c r="C214" s="69" t="s">
        <v>279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customHeight="1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225</v>
      </c>
      <c r="B222" s="1" t="s">
        <v>265</v>
      </c>
      <c r="C222" s="1" t="s">
        <v>266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customHeight="1" x14ac:dyDescent="0.3">
      <c r="A223" s="4"/>
      <c r="B223" s="8" t="s">
        <v>81</v>
      </c>
      <c r="C223" s="3" t="s">
        <v>267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268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269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270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268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269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270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268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269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270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268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269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270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268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269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270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267</v>
      </c>
      <c r="D243" s="91">
        <f t="shared" ref="D243:H252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268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269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270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272</v>
      </c>
      <c r="B249" s="4" t="s">
        <v>265</v>
      </c>
      <c r="C249" s="4" t="s">
        <v>273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customHeight="1" x14ac:dyDescent="0.3">
      <c r="A250" s="4"/>
      <c r="B250" s="8" t="s">
        <v>81</v>
      </c>
      <c r="C250" s="3" t="s">
        <v>267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268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204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205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268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204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205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268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204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205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268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204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205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268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204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205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267</v>
      </c>
      <c r="D270" s="91">
        <f t="shared" ref="D270:H279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268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204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205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274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111</v>
      </c>
      <c r="B276" s="4" t="s">
        <v>265</v>
      </c>
      <c r="C276" s="69" t="s">
        <v>275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customHeight="1" x14ac:dyDescent="0.3">
      <c r="A277" s="4"/>
      <c r="B277" s="8" t="s">
        <v>91</v>
      </c>
      <c r="C277" s="3" t="s">
        <v>276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277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276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277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276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277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278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118</v>
      </c>
      <c r="B285" s="4" t="s">
        <v>265</v>
      </c>
      <c r="C285" s="69" t="s">
        <v>279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customHeight="1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1.4850000000000003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1.4850000000000003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1.4850000000000003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5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280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81</v>
      </c>
      <c r="B324" s="82" t="s">
        <v>122</v>
      </c>
      <c r="C324" s="69" t="s">
        <v>279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customHeight="1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rzjjr+eUY+zLxtgvRuigrXBCYk8ZjZeKkvy/Wu7lqFGhk7GKsrVngS9i2Jt2gxX9Fn0pC2b9tyB7+BxRGGivEA==" saltValue="vsQDJsypwJz22iUc18xJ6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6" zoomScale="70" zoomScaleNormal="70" workbookViewId="0">
      <selection activeCell="E53" sqref="E53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281</v>
      </c>
    </row>
    <row r="2" spans="1:7" ht="14.25" customHeight="1" x14ac:dyDescent="0.3">
      <c r="A2" s="82" t="s">
        <v>203</v>
      </c>
      <c r="B2" s="1"/>
      <c r="C2" s="4" t="s">
        <v>67</v>
      </c>
      <c r="D2" s="4" t="s">
        <v>77</v>
      </c>
      <c r="E2" s="4" t="s">
        <v>78</v>
      </c>
      <c r="F2" s="4" t="s">
        <v>79</v>
      </c>
      <c r="G2" s="4" t="s">
        <v>80</v>
      </c>
    </row>
    <row r="3" spans="1:7" ht="14.25" customHeight="1" x14ac:dyDescent="0.25">
      <c r="B3" s="11" t="s">
        <v>282</v>
      </c>
      <c r="C3" s="90" t="s">
        <v>283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284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285</v>
      </c>
    </row>
    <row r="6" spans="1:7" ht="14.25" customHeight="1" x14ac:dyDescent="0.25">
      <c r="B6" s="5" t="s">
        <v>191</v>
      </c>
      <c r="C6" s="90">
        <v>1</v>
      </c>
      <c r="D6" s="90">
        <v>1</v>
      </c>
      <c r="E6" s="90">
        <v>0.64</v>
      </c>
      <c r="F6" s="90">
        <v>0.64</v>
      </c>
      <c r="G6" s="90">
        <v>1</v>
      </c>
    </row>
    <row r="7" spans="1:7" ht="14.25" customHeight="1" x14ac:dyDescent="0.25">
      <c r="B7" s="5" t="s">
        <v>184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192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183</v>
      </c>
      <c r="C12" s="90">
        <v>1.5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287</v>
      </c>
    </row>
    <row r="15" spans="1:7" ht="14.25" customHeight="1" x14ac:dyDescent="0.3">
      <c r="A15" s="82" t="s">
        <v>272</v>
      </c>
      <c r="B15" s="5" t="s">
        <v>288</v>
      </c>
      <c r="C15" s="90">
        <v>1.0249999999999999</v>
      </c>
      <c r="D15" s="90">
        <v>1.0249999999999999</v>
      </c>
      <c r="E15" s="90">
        <v>1.0249999999999999</v>
      </c>
      <c r="F15" s="90">
        <v>1.0249999999999999</v>
      </c>
      <c r="G15" s="90">
        <v>1.0249999999999999</v>
      </c>
    </row>
    <row r="16" spans="1:7" ht="14.25" customHeight="1" x14ac:dyDescent="0.3">
      <c r="A16" s="4"/>
      <c r="B16" s="5" t="s">
        <v>289</v>
      </c>
      <c r="C16" s="90">
        <v>1.0249999999999999</v>
      </c>
      <c r="D16" s="90">
        <v>1.0249999999999999</v>
      </c>
      <c r="E16" s="90">
        <v>1.0249999999999999</v>
      </c>
      <c r="F16" s="90">
        <v>1.0249999999999999</v>
      </c>
      <c r="G16" s="90">
        <v>1.0249999999999999</v>
      </c>
    </row>
    <row r="17" spans="1:7" ht="14.25" customHeight="1" x14ac:dyDescent="0.3">
      <c r="A17" s="82" t="s">
        <v>111</v>
      </c>
      <c r="B17" s="11" t="s">
        <v>290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291</v>
      </c>
    </row>
    <row r="20" spans="1:7" s="14" customFormat="1" ht="14.25" customHeight="1" x14ac:dyDescent="0.3">
      <c r="C20" s="4" t="s">
        <v>58</v>
      </c>
      <c r="D20" s="4" t="s">
        <v>59</v>
      </c>
      <c r="E20" s="4" t="s">
        <v>60</v>
      </c>
      <c r="F20" s="4" t="s">
        <v>61</v>
      </c>
    </row>
    <row r="21" spans="1:7" x14ac:dyDescent="0.25">
      <c r="B21" s="11" t="s">
        <v>171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281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203</v>
      </c>
      <c r="B25" s="1"/>
      <c r="C25" s="4" t="s">
        <v>67</v>
      </c>
      <c r="D25" s="4" t="s">
        <v>77</v>
      </c>
      <c r="E25" s="4" t="s">
        <v>78</v>
      </c>
      <c r="F25" s="4" t="s">
        <v>79</v>
      </c>
      <c r="G25" s="4" t="s">
        <v>80</v>
      </c>
    </row>
    <row r="26" spans="1:7" x14ac:dyDescent="0.25">
      <c r="B26" s="11" t="s">
        <v>292</v>
      </c>
      <c r="C26" s="90" t="s">
        <v>283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293</v>
      </c>
      <c r="C27" s="90">
        <f>IF(C4=1,1,C4*0.9)</f>
        <v>0.92249999999999999</v>
      </c>
      <c r="D27" s="90">
        <f>IF(D4=1,1,D4*0.9)</f>
        <v>0.92249999999999999</v>
      </c>
      <c r="E27" s="90">
        <f>IF(E4=1,1,E4*0.9)</f>
        <v>0.92249999999999999</v>
      </c>
      <c r="F27" s="90">
        <f>IF(F4=1,1,F4*0.9)</f>
        <v>0.92249999999999999</v>
      </c>
      <c r="G27" s="90">
        <f>IF(G4=1,1,G4*0.9)</f>
        <v>0.92249999999999999</v>
      </c>
    </row>
    <row r="28" spans="1:7" ht="13" customHeight="1" x14ac:dyDescent="0.3">
      <c r="A28" s="14" t="s">
        <v>294</v>
      </c>
    </row>
    <row r="29" spans="1:7" x14ac:dyDescent="0.25">
      <c r="B29" s="5" t="s">
        <v>295</v>
      </c>
      <c r="C29" s="90">
        <f t="shared" ref="C29:D32" si="0">IF(C6=1,1,C6*0.9)</f>
        <v>1</v>
      </c>
      <c r="D29" s="90">
        <f t="shared" si="0"/>
        <v>1</v>
      </c>
      <c r="E29" s="90">
        <v>0.44</v>
      </c>
      <c r="F29" s="90">
        <v>0.44</v>
      </c>
      <c r="G29" s="90">
        <f>IF(G6=1,1,G6*0.9)</f>
        <v>1</v>
      </c>
    </row>
    <row r="30" spans="1:7" x14ac:dyDescent="0.25">
      <c r="B30" s="5" t="s">
        <v>296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297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298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299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300</v>
      </c>
      <c r="C35" s="90">
        <v>1.26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287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272</v>
      </c>
      <c r="B38" s="5" t="s">
        <v>301</v>
      </c>
      <c r="C38" s="90">
        <f t="shared" ref="C38:G40" si="1">IF(C15=1,1,C15*0.9)</f>
        <v>0.92249999999999999</v>
      </c>
      <c r="D38" s="90">
        <f t="shared" si="1"/>
        <v>0.92249999999999999</v>
      </c>
      <c r="E38" s="90">
        <f t="shared" si="1"/>
        <v>0.92249999999999999</v>
      </c>
      <c r="F38" s="90">
        <f t="shared" si="1"/>
        <v>0.92249999999999999</v>
      </c>
      <c r="G38" s="90">
        <f t="shared" si="1"/>
        <v>0.92249999999999999</v>
      </c>
    </row>
    <row r="39" spans="1:7" ht="13" customHeight="1" x14ac:dyDescent="0.3">
      <c r="A39" s="4"/>
      <c r="B39" s="5" t="s">
        <v>302</v>
      </c>
      <c r="C39" s="90">
        <f t="shared" si="1"/>
        <v>0.92249999999999999</v>
      </c>
      <c r="D39" s="90">
        <f t="shared" si="1"/>
        <v>0.92249999999999999</v>
      </c>
      <c r="E39" s="90">
        <f t="shared" si="1"/>
        <v>0.92249999999999999</v>
      </c>
      <c r="F39" s="90">
        <f t="shared" si="1"/>
        <v>0.92249999999999999</v>
      </c>
      <c r="G39" s="90">
        <f t="shared" si="1"/>
        <v>0.92249999999999999</v>
      </c>
    </row>
    <row r="40" spans="1:7" ht="13" customHeight="1" x14ac:dyDescent="0.3">
      <c r="A40" s="82" t="s">
        <v>111</v>
      </c>
      <c r="B40" s="11" t="s">
        <v>303</v>
      </c>
      <c r="C40" s="90">
        <f t="shared" si="1"/>
        <v>1</v>
      </c>
      <c r="D40" s="90">
        <f t="shared" si="1"/>
        <v>1</v>
      </c>
      <c r="E40" s="90">
        <f t="shared" si="1"/>
        <v>1</v>
      </c>
      <c r="F40" s="90">
        <f t="shared" si="1"/>
        <v>1</v>
      </c>
      <c r="G40" s="90">
        <f t="shared" si="1"/>
        <v>1</v>
      </c>
    </row>
    <row r="42" spans="1:7" ht="13" customHeight="1" x14ac:dyDescent="0.3">
      <c r="A42" s="67" t="s">
        <v>304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58</v>
      </c>
      <c r="D43" s="4" t="s">
        <v>59</v>
      </c>
      <c r="E43" s="4" t="s">
        <v>60</v>
      </c>
      <c r="F43" s="4" t="s">
        <v>61</v>
      </c>
      <c r="G43" s="14"/>
    </row>
    <row r="44" spans="1:7" x14ac:dyDescent="0.25">
      <c r="B44" s="11" t="s">
        <v>305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281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203</v>
      </c>
      <c r="B48" s="1"/>
      <c r="C48" s="4" t="s">
        <v>67</v>
      </c>
      <c r="D48" s="4" t="s">
        <v>77</v>
      </c>
      <c r="E48" s="4" t="s">
        <v>78</v>
      </c>
      <c r="F48" s="4" t="s">
        <v>79</v>
      </c>
      <c r="G48" s="4" t="s">
        <v>80</v>
      </c>
    </row>
    <row r="49" spans="1:7" x14ac:dyDescent="0.25">
      <c r="B49" s="11" t="s">
        <v>306</v>
      </c>
      <c r="C49" s="90" t="s">
        <v>283</v>
      </c>
      <c r="D49" s="90">
        <f t="shared" ref="D49:G50" si="2">D3*1.05</f>
        <v>47.25</v>
      </c>
      <c r="E49" s="90">
        <f t="shared" si="2"/>
        <v>379.68000000000006</v>
      </c>
      <c r="F49" s="90">
        <f t="shared" si="2"/>
        <v>183.435</v>
      </c>
      <c r="G49" s="90">
        <f t="shared" si="2"/>
        <v>183.435</v>
      </c>
    </row>
    <row r="50" spans="1:7" ht="13" customHeight="1" x14ac:dyDescent="0.3">
      <c r="A50" s="4"/>
      <c r="B50" s="5" t="s">
        <v>307</v>
      </c>
      <c r="C50" s="90">
        <f>C4*1.05</f>
        <v>1.0762499999999999</v>
      </c>
      <c r="D50" s="90">
        <f t="shared" si="2"/>
        <v>1.0762499999999999</v>
      </c>
      <c r="E50" s="90">
        <f t="shared" si="2"/>
        <v>1.0762499999999999</v>
      </c>
      <c r="F50" s="90">
        <f t="shared" si="2"/>
        <v>1.0762499999999999</v>
      </c>
      <c r="G50" s="90">
        <f t="shared" si="2"/>
        <v>1.0762499999999999</v>
      </c>
    </row>
    <row r="51" spans="1:7" ht="13" customHeight="1" x14ac:dyDescent="0.3">
      <c r="A51" s="14" t="s">
        <v>308</v>
      </c>
    </row>
    <row r="52" spans="1:7" x14ac:dyDescent="0.25">
      <c r="B52" s="5" t="s">
        <v>309</v>
      </c>
      <c r="C52" s="90">
        <f t="shared" ref="C52:D55" si="3">IF(C6=1,1,C6*1.1)</f>
        <v>1</v>
      </c>
      <c r="D52" s="90">
        <f t="shared" si="3"/>
        <v>1</v>
      </c>
      <c r="E52" s="90">
        <v>0.92</v>
      </c>
      <c r="F52" s="90">
        <v>0.92</v>
      </c>
      <c r="G52" s="90">
        <f>IF(G6=1,1,G6*1.1)</f>
        <v>1</v>
      </c>
    </row>
    <row r="53" spans="1:7" x14ac:dyDescent="0.25">
      <c r="B53" s="5" t="s">
        <v>310</v>
      </c>
      <c r="C53" s="90">
        <f t="shared" si="3"/>
        <v>1</v>
      </c>
      <c r="D53" s="90">
        <f t="shared" si="3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311</v>
      </c>
      <c r="C54" s="90">
        <f t="shared" si="3"/>
        <v>1</v>
      </c>
      <c r="D54" s="90">
        <f t="shared" si="3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312</v>
      </c>
      <c r="C55" s="90">
        <f t="shared" si="3"/>
        <v>1</v>
      </c>
      <c r="D55" s="90">
        <f t="shared" si="3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313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314</v>
      </c>
      <c r="C58" s="90">
        <v>1.78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287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272</v>
      </c>
      <c r="B61" s="5" t="s">
        <v>315</v>
      </c>
      <c r="C61" s="90">
        <f t="shared" ref="C61:G63" si="4">IF(C15=1,1,C15*1.1)</f>
        <v>1.1274999999999999</v>
      </c>
      <c r="D61" s="90">
        <f t="shared" si="4"/>
        <v>1.1274999999999999</v>
      </c>
      <c r="E61" s="90">
        <f t="shared" si="4"/>
        <v>1.1274999999999999</v>
      </c>
      <c r="F61" s="90">
        <f t="shared" si="4"/>
        <v>1.1274999999999999</v>
      </c>
      <c r="G61" s="90">
        <f t="shared" si="4"/>
        <v>1.1274999999999999</v>
      </c>
    </row>
    <row r="62" spans="1:7" ht="13" customHeight="1" x14ac:dyDescent="0.3">
      <c r="A62" s="4"/>
      <c r="B62" s="5" t="s">
        <v>316</v>
      </c>
      <c r="C62" s="90">
        <f t="shared" si="4"/>
        <v>1.1274999999999999</v>
      </c>
      <c r="D62" s="90">
        <f t="shared" si="4"/>
        <v>1.1274999999999999</v>
      </c>
      <c r="E62" s="90">
        <f t="shared" si="4"/>
        <v>1.1274999999999999</v>
      </c>
      <c r="F62" s="90">
        <f t="shared" si="4"/>
        <v>1.1274999999999999</v>
      </c>
      <c r="G62" s="90">
        <f t="shared" si="4"/>
        <v>1.1274999999999999</v>
      </c>
    </row>
    <row r="63" spans="1:7" ht="13" customHeight="1" x14ac:dyDescent="0.3">
      <c r="A63" s="82" t="s">
        <v>111</v>
      </c>
      <c r="B63" s="11" t="s">
        <v>317</v>
      </c>
      <c r="C63" s="90">
        <f t="shared" si="4"/>
        <v>1</v>
      </c>
      <c r="D63" s="90">
        <f t="shared" si="4"/>
        <v>1</v>
      </c>
      <c r="E63" s="90">
        <f t="shared" si="4"/>
        <v>1</v>
      </c>
      <c r="F63" s="90">
        <f t="shared" si="4"/>
        <v>1</v>
      </c>
      <c r="G63" s="90">
        <f t="shared" si="4"/>
        <v>1</v>
      </c>
    </row>
    <row r="65" spans="1:7" ht="13" customHeight="1" x14ac:dyDescent="0.3">
      <c r="A65" s="67" t="s">
        <v>318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58</v>
      </c>
      <c r="D66" s="4" t="s">
        <v>59</v>
      </c>
      <c r="E66" s="4" t="s">
        <v>60</v>
      </c>
      <c r="F66" s="4" t="s">
        <v>61</v>
      </c>
      <c r="G66" s="14"/>
    </row>
    <row r="67" spans="1:7" x14ac:dyDescent="0.25">
      <c r="B67" s="11" t="s">
        <v>319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uxH3qxfpHv3MxEVFpMF959vuuHVMbjUY0YDJlIXIgHOAA25UaRTm/IIjRx7RzEUfWaTP3eP7cZpYIm+m6J8PbA==" saltValue="wm1A0TwV/0DyOIoqtNvf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topLeftCell="A10" zoomScale="70" zoomScaleNormal="70" workbookViewId="0">
      <selection activeCell="D5" sqref="D5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156</v>
      </c>
      <c r="B1" s="4"/>
      <c r="C1" s="4" t="s">
        <v>40</v>
      </c>
      <c r="D1" s="4" t="s">
        <v>42</v>
      </c>
      <c r="E1" s="4" t="s">
        <v>41</v>
      </c>
      <c r="F1" s="1" t="s">
        <v>43</v>
      </c>
    </row>
    <row r="2" spans="1:6" ht="15.75" customHeight="1" x14ac:dyDescent="0.25">
      <c r="A2" s="5" t="s">
        <v>166</v>
      </c>
      <c r="B2" s="5" t="s">
        <v>320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321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179</v>
      </c>
      <c r="B4" s="5" t="s">
        <v>320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321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180</v>
      </c>
      <c r="B6" s="5" t="s">
        <v>320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321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181</v>
      </c>
      <c r="B8" s="5" t="s">
        <v>320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321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185</v>
      </c>
      <c r="B10" s="5" t="s">
        <v>320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321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189</v>
      </c>
      <c r="B12" s="5" t="s">
        <v>320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321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156</v>
      </c>
      <c r="B16" s="4"/>
      <c r="C16" s="4" t="s">
        <v>40</v>
      </c>
      <c r="D16" s="4" t="s">
        <v>42</v>
      </c>
      <c r="E16" s="4" t="s">
        <v>41</v>
      </c>
      <c r="F16" s="1" t="s">
        <v>43</v>
      </c>
    </row>
    <row r="17" spans="1:6" ht="15.75" customHeight="1" x14ac:dyDescent="0.25">
      <c r="A17" s="5" t="s">
        <v>166</v>
      </c>
      <c r="B17" s="5" t="s">
        <v>320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321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179</v>
      </c>
      <c r="B19" s="5" t="s">
        <v>320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321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180</v>
      </c>
      <c r="B21" s="5" t="s">
        <v>320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321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181</v>
      </c>
      <c r="B23" s="5" t="s">
        <v>320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321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185</v>
      </c>
      <c r="B25" s="5" t="s">
        <v>320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321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189</v>
      </c>
      <c r="B27" s="5" t="s">
        <v>320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321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156</v>
      </c>
      <c r="B31" s="4"/>
      <c r="C31" s="4" t="s">
        <v>40</v>
      </c>
      <c r="D31" s="4" t="s">
        <v>42</v>
      </c>
      <c r="E31" s="4" t="s">
        <v>41</v>
      </c>
      <c r="F31" s="1" t="s">
        <v>43</v>
      </c>
    </row>
    <row r="32" spans="1:6" ht="15.75" customHeight="1" x14ac:dyDescent="0.25">
      <c r="A32" s="5" t="s">
        <v>166</v>
      </c>
      <c r="B32" s="5" t="s">
        <v>320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321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179</v>
      </c>
      <c r="B34" s="5" t="s">
        <v>320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321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180</v>
      </c>
      <c r="B36" s="5" t="s">
        <v>320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321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181</v>
      </c>
      <c r="B38" s="5" t="s">
        <v>320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321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185</v>
      </c>
      <c r="B40" s="5" t="s">
        <v>320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321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189</v>
      </c>
      <c r="B42" s="5" t="s">
        <v>320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321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Evf/7Nn9p0s2t120JFgJzNA1BIMAO9h8EmTziKGX5ZA7K3Y+rQ77oXfzNqKwsdbYQwCY96ujjsdxuDmqt1luA==" saltValue="pZcegXbvW/wKpwHEQP8p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D5" sqref="D5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customHeight="1" x14ac:dyDescent="0.3">
      <c r="A2" s="4" t="s">
        <v>322</v>
      </c>
    </row>
    <row r="3" spans="1:15" x14ac:dyDescent="0.25">
      <c r="B3" s="11" t="s">
        <v>170</v>
      </c>
      <c r="C3" s="90">
        <v>0.53</v>
      </c>
      <c r="D3" s="90">
        <v>0.53</v>
      </c>
      <c r="E3" s="90">
        <v>1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175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176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177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178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179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181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184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185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188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189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v>0.51</v>
      </c>
      <c r="M14" s="90">
        <v>0.51</v>
      </c>
      <c r="N14" s="90">
        <v>0.51</v>
      </c>
      <c r="O14" s="90">
        <v>0.51</v>
      </c>
    </row>
    <row r="15" spans="1:15" x14ac:dyDescent="0.25">
      <c r="B15" s="5" t="s">
        <v>192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323</v>
      </c>
      <c r="B17" s="11"/>
    </row>
    <row r="18" spans="1:15" x14ac:dyDescent="0.25">
      <c r="B18" s="5" t="s">
        <v>172</v>
      </c>
      <c r="C18" s="90">
        <v>1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90">
        <v>1</v>
      </c>
      <c r="J18" s="90">
        <v>1</v>
      </c>
      <c r="K18" s="90">
        <v>1</v>
      </c>
      <c r="L18" s="90">
        <v>1</v>
      </c>
      <c r="M18" s="90">
        <v>1</v>
      </c>
      <c r="N18" s="90">
        <v>1</v>
      </c>
      <c r="O18" s="90">
        <v>1</v>
      </c>
    </row>
    <row r="19" spans="1:15" x14ac:dyDescent="0.25">
      <c r="B19" s="5" t="s">
        <v>173</v>
      </c>
      <c r="C19" s="90">
        <v>1</v>
      </c>
      <c r="D19" s="90">
        <v>1</v>
      </c>
      <c r="E19" s="90">
        <f t="shared" ref="E19:O19" si="0">0.72</f>
        <v>0.72</v>
      </c>
      <c r="F19" s="90">
        <f t="shared" si="0"/>
        <v>0.72</v>
      </c>
      <c r="G19" s="90">
        <f t="shared" si="0"/>
        <v>0.72</v>
      </c>
      <c r="H19" s="90">
        <f t="shared" si="0"/>
        <v>0.72</v>
      </c>
      <c r="I19" s="90">
        <f t="shared" si="0"/>
        <v>0.72</v>
      </c>
      <c r="J19" s="90">
        <f t="shared" si="0"/>
        <v>0.72</v>
      </c>
      <c r="K19" s="90">
        <f t="shared" si="0"/>
        <v>0.72</v>
      </c>
      <c r="L19" s="90">
        <f t="shared" si="0"/>
        <v>0.72</v>
      </c>
      <c r="M19" s="90">
        <f t="shared" si="0"/>
        <v>0.72</v>
      </c>
      <c r="N19" s="90">
        <f t="shared" si="0"/>
        <v>0.72</v>
      </c>
      <c r="O19" s="90">
        <f t="shared" si="0"/>
        <v>0.72</v>
      </c>
    </row>
    <row r="20" spans="1:15" x14ac:dyDescent="0.25">
      <c r="B20" s="5" t="s">
        <v>174</v>
      </c>
      <c r="C20" s="90">
        <v>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90">
        <v>1</v>
      </c>
      <c r="J20" s="90">
        <v>1</v>
      </c>
      <c r="K20" s="90">
        <v>1</v>
      </c>
      <c r="L20" s="90">
        <v>1</v>
      </c>
      <c r="M20" s="90">
        <v>1</v>
      </c>
      <c r="N20" s="90">
        <v>1</v>
      </c>
      <c r="O20" s="90">
        <v>1</v>
      </c>
    </row>
    <row r="21" spans="1:15" x14ac:dyDescent="0.25">
      <c r="B21" s="5" t="s">
        <v>182</v>
      </c>
      <c r="C21" s="90">
        <v>1</v>
      </c>
      <c r="D21" s="90">
        <v>1</v>
      </c>
      <c r="E21" s="90">
        <v>0.8</v>
      </c>
      <c r="F21" s="90">
        <v>0.8</v>
      </c>
      <c r="G21" s="90">
        <v>0.8</v>
      </c>
      <c r="H21" s="90">
        <v>0.8</v>
      </c>
      <c r="I21" s="90">
        <v>0.8</v>
      </c>
      <c r="J21" s="90">
        <v>0.8</v>
      </c>
      <c r="K21" s="90">
        <v>0.8</v>
      </c>
      <c r="L21" s="90">
        <v>0.8</v>
      </c>
      <c r="M21" s="90">
        <v>0.8</v>
      </c>
      <c r="N21" s="90">
        <v>0.8</v>
      </c>
      <c r="O21" s="90">
        <v>0.8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customHeight="1" x14ac:dyDescent="0.3">
      <c r="A25" s="4" t="s">
        <v>324</v>
      </c>
    </row>
    <row r="26" spans="1:15" x14ac:dyDescent="0.25">
      <c r="B26" s="11" t="s">
        <v>170</v>
      </c>
      <c r="C26" s="90">
        <v>0.4</v>
      </c>
      <c r="D26" s="90">
        <v>0.4</v>
      </c>
      <c r="E26" s="90">
        <f t="shared" ref="E26:O26" si="1">IF(E3=1,1,E3*0.9)</f>
        <v>1</v>
      </c>
      <c r="F26" s="90">
        <f t="shared" si="1"/>
        <v>1</v>
      </c>
      <c r="G26" s="90">
        <f t="shared" si="1"/>
        <v>1</v>
      </c>
      <c r="H26" s="90">
        <f t="shared" si="1"/>
        <v>1</v>
      </c>
      <c r="I26" s="90">
        <f t="shared" si="1"/>
        <v>1</v>
      </c>
      <c r="J26" s="90">
        <f t="shared" si="1"/>
        <v>1</v>
      </c>
      <c r="K26" s="90">
        <f t="shared" si="1"/>
        <v>1</v>
      </c>
      <c r="L26" s="90">
        <f t="shared" si="1"/>
        <v>1</v>
      </c>
      <c r="M26" s="90">
        <f t="shared" si="1"/>
        <v>1</v>
      </c>
      <c r="N26" s="90">
        <f t="shared" si="1"/>
        <v>1</v>
      </c>
      <c r="O26" s="90">
        <f t="shared" si="1"/>
        <v>1</v>
      </c>
    </row>
    <row r="27" spans="1:15" x14ac:dyDescent="0.25">
      <c r="B27" s="11" t="s">
        <v>175</v>
      </c>
      <c r="C27" s="90">
        <f t="shared" ref="C27:G33" si="2">IF(C4=1,1,C4*0.9)</f>
        <v>1</v>
      </c>
      <c r="D27" s="90">
        <f t="shared" si="2"/>
        <v>1</v>
      </c>
      <c r="E27" s="90">
        <f t="shared" si="2"/>
        <v>1</v>
      </c>
      <c r="F27" s="90">
        <f t="shared" si="2"/>
        <v>1</v>
      </c>
      <c r="G27" s="90">
        <f t="shared" si="2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3">IF(L4=1,1,L4*0.9)</f>
        <v>1</v>
      </c>
      <c r="M27" s="90">
        <f t="shared" si="3"/>
        <v>1</v>
      </c>
      <c r="N27" s="90">
        <f t="shared" si="3"/>
        <v>1</v>
      </c>
      <c r="O27" s="90">
        <f t="shared" si="3"/>
        <v>1</v>
      </c>
    </row>
    <row r="28" spans="1:15" x14ac:dyDescent="0.25">
      <c r="B28" s="11" t="s">
        <v>176</v>
      </c>
      <c r="C28" s="90">
        <f t="shared" si="2"/>
        <v>1</v>
      </c>
      <c r="D28" s="90">
        <f t="shared" si="2"/>
        <v>1</v>
      </c>
      <c r="E28" s="90">
        <f t="shared" si="2"/>
        <v>1</v>
      </c>
      <c r="F28" s="90">
        <f t="shared" si="2"/>
        <v>1</v>
      </c>
      <c r="G28" s="90">
        <f t="shared" si="2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3"/>
        <v>1</v>
      </c>
      <c r="M28" s="90">
        <f t="shared" si="3"/>
        <v>1</v>
      </c>
      <c r="N28" s="90">
        <f t="shared" si="3"/>
        <v>1</v>
      </c>
      <c r="O28" s="90">
        <f t="shared" si="3"/>
        <v>1</v>
      </c>
    </row>
    <row r="29" spans="1:15" x14ac:dyDescent="0.25">
      <c r="B29" s="11" t="s">
        <v>177</v>
      </c>
      <c r="C29" s="90">
        <f t="shared" si="2"/>
        <v>1</v>
      </c>
      <c r="D29" s="90">
        <f t="shared" si="2"/>
        <v>1</v>
      </c>
      <c r="E29" s="90">
        <f t="shared" si="2"/>
        <v>1</v>
      </c>
      <c r="F29" s="90">
        <f t="shared" si="2"/>
        <v>1</v>
      </c>
      <c r="G29" s="90">
        <f t="shared" si="2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3"/>
        <v>1</v>
      </c>
      <c r="M29" s="90">
        <f t="shared" si="3"/>
        <v>1</v>
      </c>
      <c r="N29" s="90">
        <f t="shared" si="3"/>
        <v>1</v>
      </c>
      <c r="O29" s="90">
        <f t="shared" si="3"/>
        <v>1</v>
      </c>
    </row>
    <row r="30" spans="1:15" x14ac:dyDescent="0.25">
      <c r="B30" s="11" t="s">
        <v>178</v>
      </c>
      <c r="C30" s="90">
        <f t="shared" si="2"/>
        <v>1</v>
      </c>
      <c r="D30" s="90">
        <f t="shared" si="2"/>
        <v>1</v>
      </c>
      <c r="E30" s="90">
        <f t="shared" si="2"/>
        <v>1</v>
      </c>
      <c r="F30" s="90">
        <f t="shared" si="2"/>
        <v>1</v>
      </c>
      <c r="G30" s="90">
        <f t="shared" si="2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3"/>
        <v>1</v>
      </c>
      <c r="M30" s="90">
        <f t="shared" si="3"/>
        <v>1</v>
      </c>
      <c r="N30" s="90">
        <f t="shared" si="3"/>
        <v>1</v>
      </c>
      <c r="O30" s="90">
        <f t="shared" si="3"/>
        <v>1</v>
      </c>
    </row>
    <row r="31" spans="1:15" x14ac:dyDescent="0.25">
      <c r="B31" s="5" t="s">
        <v>179</v>
      </c>
      <c r="C31" s="90">
        <f t="shared" si="2"/>
        <v>1</v>
      </c>
      <c r="D31" s="90">
        <f t="shared" si="2"/>
        <v>1</v>
      </c>
      <c r="E31" s="90">
        <f t="shared" si="2"/>
        <v>1</v>
      </c>
      <c r="F31" s="90">
        <f t="shared" si="2"/>
        <v>1</v>
      </c>
      <c r="G31" s="90">
        <f t="shared" si="2"/>
        <v>1</v>
      </c>
      <c r="H31" s="90">
        <f t="shared" ref="H31:K34" si="4">IF(H8=1,1,H8*0.9)</f>
        <v>1</v>
      </c>
      <c r="I31" s="90">
        <f t="shared" si="4"/>
        <v>1</v>
      </c>
      <c r="J31" s="90">
        <f t="shared" si="4"/>
        <v>1</v>
      </c>
      <c r="K31" s="90">
        <f t="shared" si="4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180</v>
      </c>
      <c r="C32" s="90">
        <f t="shared" si="2"/>
        <v>1</v>
      </c>
      <c r="D32" s="90">
        <f t="shared" si="2"/>
        <v>1</v>
      </c>
      <c r="E32" s="90">
        <f t="shared" si="2"/>
        <v>1</v>
      </c>
      <c r="F32" s="90">
        <f t="shared" si="2"/>
        <v>1</v>
      </c>
      <c r="G32" s="90">
        <f t="shared" si="2"/>
        <v>1</v>
      </c>
      <c r="H32" s="90">
        <f t="shared" si="4"/>
        <v>1</v>
      </c>
      <c r="I32" s="90">
        <f t="shared" si="4"/>
        <v>1</v>
      </c>
      <c r="J32" s="90">
        <f t="shared" si="4"/>
        <v>1</v>
      </c>
      <c r="K32" s="90">
        <f t="shared" si="4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181</v>
      </c>
      <c r="C33" s="90">
        <f t="shared" si="2"/>
        <v>1</v>
      </c>
      <c r="D33" s="90">
        <f t="shared" si="2"/>
        <v>1</v>
      </c>
      <c r="E33" s="90">
        <f t="shared" si="2"/>
        <v>1</v>
      </c>
      <c r="F33" s="90">
        <f t="shared" si="2"/>
        <v>1</v>
      </c>
      <c r="G33" s="90">
        <f t="shared" si="2"/>
        <v>1</v>
      </c>
      <c r="H33" s="90">
        <f t="shared" si="4"/>
        <v>1</v>
      </c>
      <c r="I33" s="90">
        <f t="shared" si="4"/>
        <v>1</v>
      </c>
      <c r="J33" s="90">
        <f t="shared" si="4"/>
        <v>1</v>
      </c>
      <c r="K33" s="90">
        <f t="shared" si="4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184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4"/>
        <v>1</v>
      </c>
      <c r="I34" s="90">
        <f t="shared" si="4"/>
        <v>1</v>
      </c>
      <c r="J34" s="90">
        <f t="shared" si="4"/>
        <v>1</v>
      </c>
      <c r="K34" s="90">
        <f t="shared" si="4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185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188</v>
      </c>
      <c r="C36" s="90">
        <f t="shared" ref="C36:D38" si="5">IF(C13=1,1,C13*0.9)</f>
        <v>1</v>
      </c>
      <c r="D36" s="90">
        <f t="shared" si="5"/>
        <v>1</v>
      </c>
      <c r="E36" s="90">
        <v>0.62</v>
      </c>
      <c r="F36" s="90">
        <v>0.62</v>
      </c>
      <c r="G36" s="90">
        <v>0.62</v>
      </c>
      <c r="H36" s="90">
        <f t="shared" ref="H36:O36" si="6">IF(H13=1,1,H13*0.9)</f>
        <v>1</v>
      </c>
      <c r="I36" s="90">
        <f t="shared" si="6"/>
        <v>1</v>
      </c>
      <c r="J36" s="90">
        <f t="shared" si="6"/>
        <v>1</v>
      </c>
      <c r="K36" s="90">
        <f t="shared" si="6"/>
        <v>1</v>
      </c>
      <c r="L36" s="90">
        <f t="shared" si="6"/>
        <v>1</v>
      </c>
      <c r="M36" s="90">
        <f t="shared" si="6"/>
        <v>1</v>
      </c>
      <c r="N36" s="90">
        <f t="shared" si="6"/>
        <v>1</v>
      </c>
      <c r="O36" s="90">
        <f t="shared" si="6"/>
        <v>1</v>
      </c>
    </row>
    <row r="37" spans="1:15" x14ac:dyDescent="0.25">
      <c r="B37" s="11" t="s">
        <v>189</v>
      </c>
      <c r="C37" s="90">
        <f t="shared" si="5"/>
        <v>1</v>
      </c>
      <c r="D37" s="90">
        <f t="shared" si="5"/>
        <v>1</v>
      </c>
      <c r="E37" s="90">
        <f t="shared" ref="E37:K37" si="7">IF(E14=1,1,E14*0.9)</f>
        <v>1</v>
      </c>
      <c r="F37" s="90">
        <f t="shared" si="7"/>
        <v>1</v>
      </c>
      <c r="G37" s="90">
        <f t="shared" si="7"/>
        <v>1</v>
      </c>
      <c r="H37" s="90">
        <f t="shared" si="7"/>
        <v>1</v>
      </c>
      <c r="I37" s="90">
        <f t="shared" si="7"/>
        <v>1</v>
      </c>
      <c r="J37" s="90">
        <f t="shared" si="7"/>
        <v>1</v>
      </c>
      <c r="K37" s="90">
        <f t="shared" si="7"/>
        <v>1</v>
      </c>
      <c r="L37" s="90">
        <f>L32</f>
        <v>0.38</v>
      </c>
      <c r="M37" s="90">
        <f>M32</f>
        <v>0.38</v>
      </c>
      <c r="N37" s="90">
        <f>N32</f>
        <v>0.38</v>
      </c>
      <c r="O37" s="90">
        <f>O32</f>
        <v>0.38</v>
      </c>
    </row>
    <row r="38" spans="1:15" x14ac:dyDescent="0.25">
      <c r="B38" s="5" t="s">
        <v>192</v>
      </c>
      <c r="C38" s="90">
        <f t="shared" si="5"/>
        <v>1</v>
      </c>
      <c r="D38" s="90">
        <f t="shared" si="5"/>
        <v>1</v>
      </c>
      <c r="E38" s="90">
        <v>0.3</v>
      </c>
      <c r="F38" s="90">
        <v>0.3</v>
      </c>
      <c r="G38" s="90">
        <f t="shared" ref="G38:O38" si="8">IF(G15=1,1,G15*0.9)</f>
        <v>1</v>
      </c>
      <c r="H38" s="90">
        <f t="shared" si="8"/>
        <v>1</v>
      </c>
      <c r="I38" s="90">
        <f t="shared" si="8"/>
        <v>1</v>
      </c>
      <c r="J38" s="90">
        <f t="shared" si="8"/>
        <v>1</v>
      </c>
      <c r="K38" s="90">
        <f t="shared" si="8"/>
        <v>1</v>
      </c>
      <c r="L38" s="90">
        <f t="shared" si="8"/>
        <v>1</v>
      </c>
      <c r="M38" s="90">
        <f t="shared" si="8"/>
        <v>1</v>
      </c>
      <c r="N38" s="90">
        <f t="shared" si="8"/>
        <v>1</v>
      </c>
      <c r="O38" s="90">
        <f t="shared" si="8"/>
        <v>1</v>
      </c>
    </row>
    <row r="40" spans="1:15" ht="13" customHeight="1" x14ac:dyDescent="0.3">
      <c r="A40" s="4" t="s">
        <v>325</v>
      </c>
      <c r="B40" s="11"/>
    </row>
    <row r="41" spans="1:15" x14ac:dyDescent="0.25">
      <c r="B41" s="5" t="s">
        <v>172</v>
      </c>
      <c r="C41" s="90">
        <f t="shared" ref="C41:O41" si="9">IF(C18=1,1,C18*0.9)</f>
        <v>1</v>
      </c>
      <c r="D41" s="90">
        <f t="shared" si="9"/>
        <v>1</v>
      </c>
      <c r="E41" s="90">
        <f t="shared" si="9"/>
        <v>1</v>
      </c>
      <c r="F41" s="90">
        <f t="shared" si="9"/>
        <v>1</v>
      </c>
      <c r="G41" s="90">
        <f t="shared" si="9"/>
        <v>1</v>
      </c>
      <c r="H41" s="90">
        <f t="shared" si="9"/>
        <v>1</v>
      </c>
      <c r="I41" s="90">
        <f t="shared" si="9"/>
        <v>1</v>
      </c>
      <c r="J41" s="90">
        <f t="shared" si="9"/>
        <v>1</v>
      </c>
      <c r="K41" s="90">
        <f t="shared" si="9"/>
        <v>1</v>
      </c>
      <c r="L41" s="90">
        <f t="shared" si="9"/>
        <v>1</v>
      </c>
      <c r="M41" s="90">
        <f t="shared" si="9"/>
        <v>1</v>
      </c>
      <c r="N41" s="90">
        <f t="shared" si="9"/>
        <v>1</v>
      </c>
      <c r="O41" s="90">
        <f t="shared" si="9"/>
        <v>1</v>
      </c>
    </row>
    <row r="42" spans="1:15" x14ac:dyDescent="0.25">
      <c r="B42" s="5" t="s">
        <v>173</v>
      </c>
      <c r="C42" s="90">
        <f t="shared" ref="C42:D44" si="10">IF(C19=1,1,C19*0.9)</f>
        <v>1</v>
      </c>
      <c r="D42" s="90">
        <f t="shared" si="10"/>
        <v>1</v>
      </c>
      <c r="E42" s="90">
        <v>0.54</v>
      </c>
      <c r="F42" s="90">
        <v>0.54</v>
      </c>
      <c r="G42" s="90">
        <v>0.54</v>
      </c>
      <c r="H42" s="90">
        <v>0.54</v>
      </c>
      <c r="I42" s="90">
        <v>0.54</v>
      </c>
      <c r="J42" s="90">
        <v>0.54</v>
      </c>
      <c r="K42" s="90">
        <v>0.54</v>
      </c>
      <c r="L42" s="90">
        <v>0.54</v>
      </c>
      <c r="M42" s="90">
        <v>0.54</v>
      </c>
      <c r="N42" s="90">
        <v>0.54</v>
      </c>
      <c r="O42" s="90">
        <v>0.54</v>
      </c>
    </row>
    <row r="43" spans="1:15" x14ac:dyDescent="0.25">
      <c r="B43" s="5" t="s">
        <v>174</v>
      </c>
      <c r="C43" s="90">
        <f t="shared" si="10"/>
        <v>1</v>
      </c>
      <c r="D43" s="90">
        <f t="shared" si="10"/>
        <v>1</v>
      </c>
      <c r="E43" s="90">
        <f t="shared" ref="E43:O43" si="11">IF(E20=1,1,E20*0.9)</f>
        <v>1</v>
      </c>
      <c r="F43" s="90">
        <f t="shared" si="11"/>
        <v>1</v>
      </c>
      <c r="G43" s="90">
        <f t="shared" si="11"/>
        <v>1</v>
      </c>
      <c r="H43" s="90">
        <f t="shared" si="11"/>
        <v>1</v>
      </c>
      <c r="I43" s="90">
        <f t="shared" si="11"/>
        <v>1</v>
      </c>
      <c r="J43" s="90">
        <f t="shared" si="11"/>
        <v>1</v>
      </c>
      <c r="K43" s="90">
        <f t="shared" si="11"/>
        <v>1</v>
      </c>
      <c r="L43" s="90">
        <f t="shared" si="11"/>
        <v>1</v>
      </c>
      <c r="M43" s="90">
        <f t="shared" si="11"/>
        <v>1</v>
      </c>
      <c r="N43" s="90">
        <f t="shared" si="11"/>
        <v>1</v>
      </c>
      <c r="O43" s="90">
        <f t="shared" si="11"/>
        <v>1</v>
      </c>
    </row>
    <row r="44" spans="1:15" x14ac:dyDescent="0.25">
      <c r="B44" s="5" t="s">
        <v>182</v>
      </c>
      <c r="C44" s="90">
        <f t="shared" si="10"/>
        <v>1</v>
      </c>
      <c r="D44" s="90">
        <f t="shared" si="10"/>
        <v>1</v>
      </c>
      <c r="E44" s="90">
        <v>0.7</v>
      </c>
      <c r="F44" s="90">
        <v>0.7</v>
      </c>
      <c r="G44" s="90">
        <v>0.7</v>
      </c>
      <c r="H44" s="90">
        <v>0.7</v>
      </c>
      <c r="I44" s="90">
        <v>0.7</v>
      </c>
      <c r="J44" s="90">
        <v>0.7</v>
      </c>
      <c r="K44" s="90">
        <v>0.7</v>
      </c>
      <c r="L44" s="90">
        <v>0.7</v>
      </c>
      <c r="M44" s="90">
        <v>0.7</v>
      </c>
      <c r="N44" s="90">
        <v>0.7</v>
      </c>
      <c r="O44" s="90">
        <v>0.7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customHeight="1" x14ac:dyDescent="0.3">
      <c r="A48" s="4" t="s">
        <v>326</v>
      </c>
    </row>
    <row r="49" spans="1:15" x14ac:dyDescent="0.25">
      <c r="B49" s="11" t="s">
        <v>170</v>
      </c>
      <c r="C49" s="90">
        <v>0.7</v>
      </c>
      <c r="D49" s="90">
        <v>0.7</v>
      </c>
      <c r="E49" s="90">
        <f t="shared" ref="E49:O49" si="12">IF(E3=1,1,E3*1.05)</f>
        <v>1</v>
      </c>
      <c r="F49" s="90">
        <f t="shared" si="12"/>
        <v>1</v>
      </c>
      <c r="G49" s="90">
        <f t="shared" si="12"/>
        <v>1</v>
      </c>
      <c r="H49" s="90">
        <f t="shared" si="12"/>
        <v>1</v>
      </c>
      <c r="I49" s="90">
        <f t="shared" si="12"/>
        <v>1</v>
      </c>
      <c r="J49" s="90">
        <f t="shared" si="12"/>
        <v>1</v>
      </c>
      <c r="K49" s="90">
        <f t="shared" si="12"/>
        <v>1</v>
      </c>
      <c r="L49" s="90">
        <f t="shared" si="12"/>
        <v>1</v>
      </c>
      <c r="M49" s="90">
        <f t="shared" si="12"/>
        <v>1</v>
      </c>
      <c r="N49" s="90">
        <f t="shared" si="12"/>
        <v>1</v>
      </c>
      <c r="O49" s="90">
        <f t="shared" si="12"/>
        <v>1</v>
      </c>
    </row>
    <row r="50" spans="1:15" x14ac:dyDescent="0.25">
      <c r="B50" s="11" t="s">
        <v>175</v>
      </c>
      <c r="C50" s="90">
        <f t="shared" ref="C50:G56" si="13">IF(C4=1,1,C4*1.05)</f>
        <v>1</v>
      </c>
      <c r="D50" s="90">
        <f t="shared" si="13"/>
        <v>1</v>
      </c>
      <c r="E50" s="90">
        <f t="shared" si="13"/>
        <v>1</v>
      </c>
      <c r="F50" s="90">
        <f t="shared" si="13"/>
        <v>1</v>
      </c>
      <c r="G50" s="90">
        <f t="shared" si="13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4">IF(L4=1,1,L4*1.05)</f>
        <v>1</v>
      </c>
      <c r="M50" s="90">
        <f t="shared" si="14"/>
        <v>1</v>
      </c>
      <c r="N50" s="90">
        <f t="shared" si="14"/>
        <v>1</v>
      </c>
      <c r="O50" s="90">
        <f t="shared" si="14"/>
        <v>1</v>
      </c>
    </row>
    <row r="51" spans="1:15" x14ac:dyDescent="0.25">
      <c r="B51" s="11" t="s">
        <v>176</v>
      </c>
      <c r="C51" s="90">
        <f t="shared" si="13"/>
        <v>1</v>
      </c>
      <c r="D51" s="90">
        <f t="shared" si="13"/>
        <v>1</v>
      </c>
      <c r="E51" s="90">
        <f t="shared" si="13"/>
        <v>1</v>
      </c>
      <c r="F51" s="90">
        <f t="shared" si="13"/>
        <v>1</v>
      </c>
      <c r="G51" s="90">
        <f t="shared" si="13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4"/>
        <v>1</v>
      </c>
      <c r="M51" s="90">
        <f t="shared" si="14"/>
        <v>1</v>
      </c>
      <c r="N51" s="90">
        <f t="shared" si="14"/>
        <v>1</v>
      </c>
      <c r="O51" s="90">
        <f t="shared" si="14"/>
        <v>1</v>
      </c>
    </row>
    <row r="52" spans="1:15" x14ac:dyDescent="0.25">
      <c r="B52" s="11" t="s">
        <v>177</v>
      </c>
      <c r="C52" s="90">
        <f t="shared" si="13"/>
        <v>1</v>
      </c>
      <c r="D52" s="90">
        <f t="shared" si="13"/>
        <v>1</v>
      </c>
      <c r="E52" s="90">
        <f t="shared" si="13"/>
        <v>1</v>
      </c>
      <c r="F52" s="90">
        <f t="shared" si="13"/>
        <v>1</v>
      </c>
      <c r="G52" s="90">
        <f t="shared" si="13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4"/>
        <v>1</v>
      </c>
      <c r="M52" s="90">
        <f t="shared" si="14"/>
        <v>1</v>
      </c>
      <c r="N52" s="90">
        <f t="shared" si="14"/>
        <v>1</v>
      </c>
      <c r="O52" s="90">
        <f t="shared" si="14"/>
        <v>1</v>
      </c>
    </row>
    <row r="53" spans="1:15" x14ac:dyDescent="0.25">
      <c r="B53" s="11" t="s">
        <v>178</v>
      </c>
      <c r="C53" s="90">
        <f t="shared" si="13"/>
        <v>1</v>
      </c>
      <c r="D53" s="90">
        <f t="shared" si="13"/>
        <v>1</v>
      </c>
      <c r="E53" s="90">
        <f t="shared" si="13"/>
        <v>1</v>
      </c>
      <c r="F53" s="90">
        <f t="shared" si="13"/>
        <v>1</v>
      </c>
      <c r="G53" s="90">
        <f t="shared" si="13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4"/>
        <v>1</v>
      </c>
      <c r="M53" s="90">
        <f t="shared" si="14"/>
        <v>1</v>
      </c>
      <c r="N53" s="90">
        <f t="shared" si="14"/>
        <v>1</v>
      </c>
      <c r="O53" s="90">
        <f t="shared" si="14"/>
        <v>1</v>
      </c>
    </row>
    <row r="54" spans="1:15" x14ac:dyDescent="0.25">
      <c r="B54" s="5" t="s">
        <v>179</v>
      </c>
      <c r="C54" s="90">
        <f t="shared" si="13"/>
        <v>1</v>
      </c>
      <c r="D54" s="90">
        <f t="shared" si="13"/>
        <v>1</v>
      </c>
      <c r="E54" s="90">
        <f t="shared" si="13"/>
        <v>1</v>
      </c>
      <c r="F54" s="90">
        <f t="shared" si="13"/>
        <v>1</v>
      </c>
      <c r="G54" s="90">
        <f t="shared" si="13"/>
        <v>1</v>
      </c>
      <c r="H54" s="90">
        <f t="shared" ref="H54:K57" si="15">IF(H8=1,1,H8*1.05)</f>
        <v>1</v>
      </c>
      <c r="I54" s="90">
        <f t="shared" si="15"/>
        <v>1</v>
      </c>
      <c r="J54" s="90">
        <f t="shared" si="15"/>
        <v>1</v>
      </c>
      <c r="K54" s="90">
        <f t="shared" si="15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180</v>
      </c>
      <c r="C55" s="90">
        <f t="shared" si="13"/>
        <v>1</v>
      </c>
      <c r="D55" s="90">
        <f t="shared" si="13"/>
        <v>1</v>
      </c>
      <c r="E55" s="90">
        <f t="shared" si="13"/>
        <v>1</v>
      </c>
      <c r="F55" s="90">
        <f t="shared" si="13"/>
        <v>1</v>
      </c>
      <c r="G55" s="90">
        <f t="shared" si="13"/>
        <v>1</v>
      </c>
      <c r="H55" s="90">
        <f t="shared" si="15"/>
        <v>1</v>
      </c>
      <c r="I55" s="90">
        <f t="shared" si="15"/>
        <v>1</v>
      </c>
      <c r="J55" s="90">
        <f t="shared" si="15"/>
        <v>1</v>
      </c>
      <c r="K55" s="90">
        <f t="shared" si="15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181</v>
      </c>
      <c r="C56" s="90">
        <f t="shared" si="13"/>
        <v>1</v>
      </c>
      <c r="D56" s="90">
        <f t="shared" si="13"/>
        <v>1</v>
      </c>
      <c r="E56" s="90">
        <f t="shared" si="13"/>
        <v>1</v>
      </c>
      <c r="F56" s="90">
        <f t="shared" si="13"/>
        <v>1</v>
      </c>
      <c r="G56" s="90">
        <f t="shared" si="13"/>
        <v>1</v>
      </c>
      <c r="H56" s="90">
        <f t="shared" si="15"/>
        <v>1</v>
      </c>
      <c r="I56" s="90">
        <f t="shared" si="15"/>
        <v>1</v>
      </c>
      <c r="J56" s="90">
        <f t="shared" si="15"/>
        <v>1</v>
      </c>
      <c r="K56" s="90">
        <f t="shared" si="15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184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5"/>
        <v>1</v>
      </c>
      <c r="I57" s="90">
        <f t="shared" si="15"/>
        <v>1</v>
      </c>
      <c r="J57" s="90">
        <f t="shared" si="15"/>
        <v>1</v>
      </c>
      <c r="K57" s="90">
        <f t="shared" si="15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185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188</v>
      </c>
      <c r="C59" s="90">
        <f t="shared" ref="C59:D61" si="16">IF(C13=1,1,C13*1.05)</f>
        <v>1</v>
      </c>
      <c r="D59" s="90">
        <f t="shared" si="16"/>
        <v>1</v>
      </c>
      <c r="E59" s="90">
        <v>0.77</v>
      </c>
      <c r="F59" s="90">
        <v>0.77</v>
      </c>
      <c r="G59" s="90">
        <v>0.77</v>
      </c>
      <c r="H59" s="90">
        <f t="shared" ref="H59:O59" si="17">IF(H13=1,1,H13*1.05)</f>
        <v>1</v>
      </c>
      <c r="I59" s="90">
        <f t="shared" si="17"/>
        <v>1</v>
      </c>
      <c r="J59" s="90">
        <f t="shared" si="17"/>
        <v>1</v>
      </c>
      <c r="K59" s="90">
        <f t="shared" si="17"/>
        <v>1</v>
      </c>
      <c r="L59" s="90">
        <f t="shared" si="17"/>
        <v>1</v>
      </c>
      <c r="M59" s="90">
        <f t="shared" si="17"/>
        <v>1</v>
      </c>
      <c r="N59" s="90">
        <f t="shared" si="17"/>
        <v>1</v>
      </c>
      <c r="O59" s="90">
        <f t="shared" si="17"/>
        <v>1</v>
      </c>
    </row>
    <row r="60" spans="1:15" x14ac:dyDescent="0.25">
      <c r="B60" s="11" t="s">
        <v>189</v>
      </c>
      <c r="C60" s="90">
        <f t="shared" si="16"/>
        <v>1</v>
      </c>
      <c r="D60" s="90">
        <f t="shared" si="16"/>
        <v>1</v>
      </c>
      <c r="E60" s="90">
        <f t="shared" ref="E60:K60" si="18">IF(E14=1,1,E14*1.05)</f>
        <v>1</v>
      </c>
      <c r="F60" s="90">
        <f t="shared" si="18"/>
        <v>1</v>
      </c>
      <c r="G60" s="90">
        <f t="shared" si="18"/>
        <v>1</v>
      </c>
      <c r="H60" s="90">
        <f t="shared" si="18"/>
        <v>1</v>
      </c>
      <c r="I60" s="90">
        <f t="shared" si="18"/>
        <v>1</v>
      </c>
      <c r="J60" s="90">
        <f t="shared" si="18"/>
        <v>1</v>
      </c>
      <c r="K60" s="90">
        <f t="shared" si="18"/>
        <v>1</v>
      </c>
      <c r="L60" s="90">
        <f>L54</f>
        <v>0.7</v>
      </c>
      <c r="M60" s="90">
        <f>M54</f>
        <v>0.7</v>
      </c>
      <c r="N60" s="90">
        <f>N54</f>
        <v>0.7</v>
      </c>
      <c r="O60" s="90">
        <f>O54</f>
        <v>0.7</v>
      </c>
    </row>
    <row r="61" spans="1:15" x14ac:dyDescent="0.25">
      <c r="B61" s="5" t="s">
        <v>192</v>
      </c>
      <c r="C61" s="90">
        <f t="shared" si="16"/>
        <v>1</v>
      </c>
      <c r="D61" s="90">
        <f t="shared" si="16"/>
        <v>1</v>
      </c>
      <c r="E61" s="90">
        <v>0.44</v>
      </c>
      <c r="F61" s="90">
        <v>0.44</v>
      </c>
      <c r="G61" s="90">
        <f t="shared" ref="G61:O61" si="19">IF(G15=1,1,G15*1.05)</f>
        <v>1</v>
      </c>
      <c r="H61" s="90">
        <f t="shared" si="19"/>
        <v>1</v>
      </c>
      <c r="I61" s="90">
        <f t="shared" si="19"/>
        <v>1</v>
      </c>
      <c r="J61" s="90">
        <f t="shared" si="19"/>
        <v>1</v>
      </c>
      <c r="K61" s="90">
        <f t="shared" si="19"/>
        <v>1</v>
      </c>
      <c r="L61" s="90">
        <f t="shared" si="19"/>
        <v>1</v>
      </c>
      <c r="M61" s="90">
        <f t="shared" si="19"/>
        <v>1</v>
      </c>
      <c r="N61" s="90">
        <f t="shared" si="19"/>
        <v>1</v>
      </c>
      <c r="O61" s="90">
        <f t="shared" si="19"/>
        <v>1</v>
      </c>
    </row>
    <row r="63" spans="1:15" ht="13" customHeight="1" x14ac:dyDescent="0.3">
      <c r="A63" s="4" t="s">
        <v>327</v>
      </c>
      <c r="B63" s="11"/>
    </row>
    <row r="64" spans="1:15" x14ac:dyDescent="0.25">
      <c r="B64" s="5" t="s">
        <v>172</v>
      </c>
      <c r="C64" s="90">
        <f t="shared" ref="C64:O64" si="20">IF(C18=1,1,C18*1.05)</f>
        <v>1</v>
      </c>
      <c r="D64" s="90">
        <f t="shared" si="20"/>
        <v>1</v>
      </c>
      <c r="E64" s="90">
        <f t="shared" si="20"/>
        <v>1</v>
      </c>
      <c r="F64" s="90">
        <f t="shared" si="20"/>
        <v>1</v>
      </c>
      <c r="G64" s="90">
        <f t="shared" si="20"/>
        <v>1</v>
      </c>
      <c r="H64" s="90">
        <f t="shared" si="20"/>
        <v>1</v>
      </c>
      <c r="I64" s="90">
        <f t="shared" si="20"/>
        <v>1</v>
      </c>
      <c r="J64" s="90">
        <f t="shared" si="20"/>
        <v>1</v>
      </c>
      <c r="K64" s="90">
        <f t="shared" si="20"/>
        <v>1</v>
      </c>
      <c r="L64" s="90">
        <f t="shared" si="20"/>
        <v>1</v>
      </c>
      <c r="M64" s="90">
        <f t="shared" si="20"/>
        <v>1</v>
      </c>
      <c r="N64" s="90">
        <f t="shared" si="20"/>
        <v>1</v>
      </c>
      <c r="O64" s="90">
        <f t="shared" si="20"/>
        <v>1</v>
      </c>
    </row>
    <row r="65" spans="2:15" x14ac:dyDescent="0.25">
      <c r="B65" s="5" t="s">
        <v>173</v>
      </c>
      <c r="C65" s="90">
        <f t="shared" ref="C65:D67" si="21">IF(C19=1,1,C19*1.05)</f>
        <v>1</v>
      </c>
      <c r="D65" s="90">
        <f t="shared" si="21"/>
        <v>1</v>
      </c>
      <c r="E65" s="90">
        <v>0.97</v>
      </c>
      <c r="F65" s="90">
        <v>0.97</v>
      </c>
      <c r="G65" s="90">
        <v>0.97</v>
      </c>
      <c r="H65" s="90">
        <v>0.97</v>
      </c>
      <c r="I65" s="90">
        <v>0.97</v>
      </c>
      <c r="J65" s="90">
        <v>0.97</v>
      </c>
      <c r="K65" s="90">
        <v>0.97</v>
      </c>
      <c r="L65" s="90">
        <v>0.97</v>
      </c>
      <c r="M65" s="90">
        <v>0.97</v>
      </c>
      <c r="N65" s="90">
        <v>0.97</v>
      </c>
      <c r="O65" s="90">
        <v>0.97</v>
      </c>
    </row>
    <row r="66" spans="2:15" x14ac:dyDescent="0.25">
      <c r="B66" s="5" t="s">
        <v>174</v>
      </c>
      <c r="C66" s="90">
        <f t="shared" si="21"/>
        <v>1</v>
      </c>
      <c r="D66" s="90">
        <f t="shared" si="21"/>
        <v>1</v>
      </c>
      <c r="E66" s="90">
        <f t="shared" ref="E66:O66" si="22">IF(E20=1,1,E20*1.05)</f>
        <v>1</v>
      </c>
      <c r="F66" s="90">
        <f t="shared" si="22"/>
        <v>1</v>
      </c>
      <c r="G66" s="90">
        <f t="shared" si="22"/>
        <v>1</v>
      </c>
      <c r="H66" s="90">
        <f t="shared" si="22"/>
        <v>1</v>
      </c>
      <c r="I66" s="90">
        <f t="shared" si="22"/>
        <v>1</v>
      </c>
      <c r="J66" s="90">
        <f t="shared" si="22"/>
        <v>1</v>
      </c>
      <c r="K66" s="90">
        <f t="shared" si="22"/>
        <v>1</v>
      </c>
      <c r="L66" s="90">
        <f t="shared" si="22"/>
        <v>1</v>
      </c>
      <c r="M66" s="90">
        <f t="shared" si="22"/>
        <v>1</v>
      </c>
      <c r="N66" s="90">
        <f t="shared" si="22"/>
        <v>1</v>
      </c>
      <c r="O66" s="90">
        <f t="shared" si="22"/>
        <v>1</v>
      </c>
    </row>
    <row r="67" spans="2:15" x14ac:dyDescent="0.25">
      <c r="B67" s="5" t="s">
        <v>182</v>
      </c>
      <c r="C67" s="90">
        <f t="shared" si="21"/>
        <v>1</v>
      </c>
      <c r="D67" s="90">
        <f t="shared" si="21"/>
        <v>1</v>
      </c>
      <c r="E67" s="90">
        <v>0.92</v>
      </c>
      <c r="F67" s="90">
        <v>0.92</v>
      </c>
      <c r="G67" s="90">
        <v>0.92</v>
      </c>
      <c r="H67" s="90">
        <v>0.92</v>
      </c>
      <c r="I67" s="90">
        <v>0.92</v>
      </c>
      <c r="J67" s="90">
        <v>0.92</v>
      </c>
      <c r="K67" s="90">
        <v>0.92</v>
      </c>
      <c r="L67" s="90">
        <v>0.92</v>
      </c>
      <c r="M67" s="90">
        <v>0.92</v>
      </c>
      <c r="N67" s="90">
        <v>0.92</v>
      </c>
      <c r="O67" s="90">
        <f>IF(ISBLANK('Nutritional status distribution'!O$14),0.92,(0.92*'Nutritional status distribution'!O$14/(1-0.92*'Nutritional status distribution'!O$14))
/ ('Nutritional status distribution'!O$14/(1-'Nutritional status distribution'!O$14)))</f>
        <v>0.90454371897670893</v>
      </c>
    </row>
  </sheetData>
  <sheetProtection algorithmName="SHA-512" hashValue="QTNrTNcX0LQnvnw9OcFIuF8iiKsb7nBsadUCrO1kCxqB4CvEkER3v8YCwNBmR8txM/1IAuOQ/zC/vA8HLWjOhA==" saltValue="f5+QlQPEjGE24L/HhPaCM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customHeight="1" x14ac:dyDescent="0.3">
      <c r="A2" s="4" t="s">
        <v>328</v>
      </c>
    </row>
    <row r="3" spans="1:7" x14ac:dyDescent="0.25">
      <c r="B3" s="11" t="s">
        <v>157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329</v>
      </c>
      <c r="B4" s="11"/>
      <c r="C4" s="83"/>
      <c r="D4" s="83"/>
      <c r="E4" s="83"/>
      <c r="F4" s="83"/>
      <c r="G4" s="83"/>
    </row>
    <row r="5" spans="1:7" x14ac:dyDescent="0.25">
      <c r="B5" s="5" t="s">
        <v>158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330</v>
      </c>
    </row>
    <row r="8" spans="1:7" ht="13" customHeight="1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customHeight="1" x14ac:dyDescent="0.3">
      <c r="A9" s="4" t="s">
        <v>331</v>
      </c>
    </row>
    <row r="10" spans="1:7" x14ac:dyDescent="0.25">
      <c r="B10" s="11" t="s">
        <v>157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332</v>
      </c>
      <c r="B11" s="11"/>
      <c r="C11" s="83"/>
      <c r="D11" s="83"/>
      <c r="E11" s="83"/>
      <c r="F11" s="83"/>
      <c r="G11" s="83"/>
    </row>
    <row r="12" spans="1:7" x14ac:dyDescent="0.25">
      <c r="B12" s="5" t="s">
        <v>158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333</v>
      </c>
    </row>
    <row r="15" spans="1:7" ht="13" customHeight="1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customHeight="1" x14ac:dyDescent="0.3">
      <c r="A16" s="4" t="s">
        <v>334</v>
      </c>
    </row>
    <row r="17" spans="1:7" x14ac:dyDescent="0.25">
      <c r="B17" s="11" t="s">
        <v>157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335</v>
      </c>
      <c r="B18" s="11"/>
      <c r="C18" s="83"/>
      <c r="D18" s="83"/>
      <c r="E18" s="83"/>
      <c r="F18" s="83"/>
      <c r="G18" s="83"/>
    </row>
    <row r="19" spans="1:7" x14ac:dyDescent="0.25">
      <c r="B19" s="5" t="s">
        <v>158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ZIjv20oIFeX8hEAP3JXu7+FjYQdIWvRgXIH4IkxRsMm14MAW5JMg2x9QOPJ7rc+IAMFEDvKO0XCydnz4Atw3VA==" saltValue="eIHIWivrA2mRyU/FI0KAAQ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53" zoomScale="80" zoomScaleNormal="80" workbookViewId="0">
      <selection activeCell="D5" sqref="D5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156</v>
      </c>
      <c r="B1" s="4" t="s">
        <v>336</v>
      </c>
      <c r="C1" s="82" t="s">
        <v>337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5" t="s">
        <v>193</v>
      </c>
      <c r="B2" s="5" t="s">
        <v>81</v>
      </c>
      <c r="C2" s="5" t="s">
        <v>338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339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340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191</v>
      </c>
      <c r="B5" s="5" t="s">
        <v>205</v>
      </c>
      <c r="C5" s="5" t="s">
        <v>338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340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204</v>
      </c>
      <c r="C7" s="5" t="s">
        <v>338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340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184</v>
      </c>
      <c r="B9" s="5" t="s">
        <v>205</v>
      </c>
      <c r="C9" s="5" t="s">
        <v>338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340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204</v>
      </c>
      <c r="C11" s="5" t="s">
        <v>338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340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192</v>
      </c>
      <c r="B13" s="5" t="s">
        <v>205</v>
      </c>
      <c r="C13" s="5" t="s">
        <v>338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340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204</v>
      </c>
      <c r="C15" s="5" t="s">
        <v>338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340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169</v>
      </c>
      <c r="B17" s="5" t="s">
        <v>205</v>
      </c>
      <c r="C17" s="5" t="s">
        <v>338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340</v>
      </c>
      <c r="D18" s="90">
        <v>0</v>
      </c>
      <c r="E18" s="90">
        <v>0</v>
      </c>
      <c r="F18" s="90">
        <v>0.68</v>
      </c>
      <c r="G18" s="90">
        <v>0.68</v>
      </c>
      <c r="H18" s="90">
        <v>0.68</v>
      </c>
    </row>
    <row r="19" spans="1:8" x14ac:dyDescent="0.25">
      <c r="B19" s="5" t="s">
        <v>204</v>
      </c>
      <c r="C19" s="5" t="s">
        <v>338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340</v>
      </c>
      <c r="D20" s="90">
        <v>0</v>
      </c>
      <c r="E20" s="90">
        <v>0</v>
      </c>
      <c r="F20" s="90">
        <v>0.6</v>
      </c>
      <c r="G20" s="90">
        <v>0.6</v>
      </c>
      <c r="H20" s="90">
        <v>0.6</v>
      </c>
    </row>
    <row r="21" spans="1:8" x14ac:dyDescent="0.25">
      <c r="A21" s="5" t="s">
        <v>174</v>
      </c>
      <c r="B21" s="5" t="s">
        <v>74</v>
      </c>
      <c r="C21" s="5" t="s">
        <v>338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339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172</v>
      </c>
      <c r="B23" s="5" t="s">
        <v>74</v>
      </c>
      <c r="C23" s="5" t="s">
        <v>338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339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173</v>
      </c>
      <c r="B25" s="5" t="s">
        <v>74</v>
      </c>
      <c r="C25" s="5" t="s">
        <v>338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339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197</v>
      </c>
      <c r="B27" s="5" t="s">
        <v>81</v>
      </c>
      <c r="C27" s="5" t="s">
        <v>338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339</v>
      </c>
      <c r="D28" s="90">
        <v>0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C29" s="5" t="s">
        <v>340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198</v>
      </c>
      <c r="B30" s="5" t="s">
        <v>81</v>
      </c>
      <c r="C30" s="5" t="s">
        <v>338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339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340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196</v>
      </c>
      <c r="B33" s="5" t="s">
        <v>81</v>
      </c>
      <c r="C33" s="5" t="s">
        <v>338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339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340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195</v>
      </c>
      <c r="B36" s="5" t="s">
        <v>81</v>
      </c>
      <c r="C36" s="5" t="s">
        <v>338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339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340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194</v>
      </c>
      <c r="B39" s="5" t="s">
        <v>81</v>
      </c>
      <c r="C39" s="5" t="s">
        <v>338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339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340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200</v>
      </c>
      <c r="B42" s="5" t="s">
        <v>81</v>
      </c>
      <c r="C42" s="5" t="s">
        <v>338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339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340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82</v>
      </c>
      <c r="C45" s="5" t="s">
        <v>338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339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340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190</v>
      </c>
      <c r="B48" s="5" t="s">
        <v>81</v>
      </c>
      <c r="C48" s="5" t="s">
        <v>338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339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81</v>
      </c>
      <c r="C50" s="5" t="s">
        <v>338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339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183</v>
      </c>
      <c r="B52" s="5" t="s">
        <v>72</v>
      </c>
      <c r="C52" s="5" t="s">
        <v>338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339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330</v>
      </c>
      <c r="B55" s="97"/>
      <c r="C55" s="97"/>
    </row>
    <row r="56" spans="1:8" ht="13" customHeight="1" x14ac:dyDescent="0.3">
      <c r="A56" s="4" t="s">
        <v>156</v>
      </c>
      <c r="B56" s="4" t="s">
        <v>336</v>
      </c>
      <c r="C56" s="82" t="s">
        <v>337</v>
      </c>
      <c r="D56" s="4" t="s">
        <v>67</v>
      </c>
      <c r="E56" s="4" t="s">
        <v>77</v>
      </c>
      <c r="F56" s="4" t="s">
        <v>78</v>
      </c>
      <c r="G56" s="4" t="s">
        <v>79</v>
      </c>
      <c r="H56" s="4" t="s">
        <v>80</v>
      </c>
    </row>
    <row r="57" spans="1:8" x14ac:dyDescent="0.25">
      <c r="A57" s="5" t="s">
        <v>193</v>
      </c>
      <c r="B57" s="5" t="s">
        <v>81</v>
      </c>
      <c r="C57" s="5" t="s">
        <v>338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339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340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191</v>
      </c>
      <c r="B60" s="5" t="s">
        <v>205</v>
      </c>
      <c r="C60" s="5" t="s">
        <v>338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340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204</v>
      </c>
      <c r="C62" s="5" t="s">
        <v>338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340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184</v>
      </c>
      <c r="B64" s="5" t="s">
        <v>205</v>
      </c>
      <c r="C64" s="5" t="s">
        <v>338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340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204</v>
      </c>
      <c r="C66" s="5" t="s">
        <v>338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340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192</v>
      </c>
      <c r="B68" s="5" t="s">
        <v>205</v>
      </c>
      <c r="C68" s="5" t="s">
        <v>338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340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204</v>
      </c>
      <c r="C70" s="5" t="s">
        <v>338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340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169</v>
      </c>
      <c r="B72" s="5" t="s">
        <v>205</v>
      </c>
      <c r="C72" s="5" t="s">
        <v>338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340</v>
      </c>
      <c r="D73" s="90">
        <f t="shared" si="0"/>
        <v>0</v>
      </c>
      <c r="E73" s="90">
        <f t="shared" si="0"/>
        <v>0</v>
      </c>
      <c r="F73" s="90">
        <v>0.39</v>
      </c>
      <c r="G73" s="90">
        <v>0.39</v>
      </c>
      <c r="H73" s="90">
        <v>0.39</v>
      </c>
    </row>
    <row r="74" spans="1:8" x14ac:dyDescent="0.25">
      <c r="B74" s="5" t="s">
        <v>204</v>
      </c>
      <c r="C74" s="5" t="s">
        <v>338</v>
      </c>
      <c r="D74" s="90">
        <f t="shared" si="0"/>
        <v>0</v>
      </c>
      <c r="E74" s="90">
        <f t="shared" si="0"/>
        <v>0</v>
      </c>
      <c r="F74" s="90">
        <f>IF($C19="Affected fraction",F19,IF(F19=1,1,F19*0.9))</f>
        <v>1</v>
      </c>
      <c r="G74" s="90">
        <f>IF($C19="Affected fraction",G19,IF(G19=1,1,G19*0.9))</f>
        <v>1</v>
      </c>
      <c r="H74" s="90">
        <f>IF($C19="Affected fraction",H19,IF(H19=1,1,H19*0.9))</f>
        <v>1</v>
      </c>
    </row>
    <row r="75" spans="1:8" x14ac:dyDescent="0.25">
      <c r="C75" s="5" t="s">
        <v>340</v>
      </c>
      <c r="D75" s="90">
        <f t="shared" si="0"/>
        <v>0</v>
      </c>
      <c r="E75" s="90">
        <f t="shared" si="0"/>
        <v>0</v>
      </c>
      <c r="F75" s="90">
        <v>0.32</v>
      </c>
      <c r="G75" s="90">
        <v>0.32</v>
      </c>
      <c r="H75" s="90">
        <v>0.32</v>
      </c>
    </row>
    <row r="76" spans="1:8" x14ac:dyDescent="0.25">
      <c r="A76" s="5" t="s">
        <v>174</v>
      </c>
      <c r="B76" s="5" t="s">
        <v>74</v>
      </c>
      <c r="C76" s="5" t="s">
        <v>338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339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172</v>
      </c>
      <c r="B78" s="5" t="s">
        <v>74</v>
      </c>
      <c r="C78" s="5" t="s">
        <v>338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339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173</v>
      </c>
      <c r="B80" s="5" t="s">
        <v>74</v>
      </c>
      <c r="C80" s="5" t="s">
        <v>338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339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81</v>
      </c>
      <c r="C82" s="5" t="s">
        <v>338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339</v>
      </c>
      <c r="D83" s="90">
        <v>0</v>
      </c>
      <c r="E83" s="90">
        <v>0</v>
      </c>
      <c r="F83" s="90">
        <v>0</v>
      </c>
      <c r="G83" s="90">
        <v>0</v>
      </c>
      <c r="H83" s="90">
        <v>0</v>
      </c>
    </row>
    <row r="84" spans="1:8" x14ac:dyDescent="0.25">
      <c r="C84" s="5" t="s">
        <v>340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81</v>
      </c>
      <c r="C85" s="5" t="s">
        <v>338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339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340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81</v>
      </c>
      <c r="C88" s="5" t="s">
        <v>338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339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340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81</v>
      </c>
      <c r="C91" s="5" t="s">
        <v>338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339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340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81</v>
      </c>
      <c r="C94" s="5" t="s">
        <v>338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339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340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81</v>
      </c>
      <c r="C97" s="5" t="s">
        <v>338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339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340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82</v>
      </c>
      <c r="C100" s="5" t="s">
        <v>338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339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340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190</v>
      </c>
      <c r="B103" s="5" t="s">
        <v>81</v>
      </c>
      <c r="C103" s="5" t="s">
        <v>338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339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81</v>
      </c>
      <c r="C105" s="5" t="s">
        <v>338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339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183</v>
      </c>
      <c r="B107" s="5" t="s">
        <v>72</v>
      </c>
      <c r="C107" s="5" t="s">
        <v>338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339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333</v>
      </c>
      <c r="B110" s="97"/>
      <c r="C110" s="97"/>
    </row>
    <row r="111" spans="1:8" ht="13" customHeight="1" x14ac:dyDescent="0.3">
      <c r="A111" s="4" t="s">
        <v>156</v>
      </c>
      <c r="B111" s="4" t="s">
        <v>336</v>
      </c>
      <c r="C111" s="82" t="s">
        <v>337</v>
      </c>
      <c r="D111" s="4" t="s">
        <v>67</v>
      </c>
      <c r="E111" s="4" t="s">
        <v>77</v>
      </c>
      <c r="F111" s="4" t="s">
        <v>78</v>
      </c>
      <c r="G111" s="4" t="s">
        <v>79</v>
      </c>
      <c r="H111" s="4" t="s">
        <v>80</v>
      </c>
    </row>
    <row r="112" spans="1:8" x14ac:dyDescent="0.25">
      <c r="A112" s="5" t="s">
        <v>193</v>
      </c>
      <c r="B112" s="5" t="s">
        <v>81</v>
      </c>
      <c r="C112" s="5" t="s">
        <v>338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339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340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191</v>
      </c>
      <c r="B115" s="5" t="s">
        <v>205</v>
      </c>
      <c r="C115" s="5" t="s">
        <v>338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340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204</v>
      </c>
      <c r="C117" s="5" t="s">
        <v>338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340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184</v>
      </c>
      <c r="B119" s="5" t="s">
        <v>205</v>
      </c>
      <c r="C119" s="5" t="s">
        <v>338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340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204</v>
      </c>
      <c r="C121" s="5" t="s">
        <v>338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340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192</v>
      </c>
      <c r="B123" s="5" t="s">
        <v>205</v>
      </c>
      <c r="C123" s="5" t="s">
        <v>338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340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204</v>
      </c>
      <c r="C125" s="5" t="s">
        <v>338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340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169</v>
      </c>
      <c r="B127" s="5" t="s">
        <v>205</v>
      </c>
      <c r="C127" s="5" t="s">
        <v>338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340</v>
      </c>
      <c r="D128" s="90">
        <f t="shared" si="3"/>
        <v>0</v>
      </c>
      <c r="E128" s="90">
        <f t="shared" si="3"/>
        <v>0</v>
      </c>
      <c r="F128" s="90">
        <v>0.84</v>
      </c>
      <c r="G128" s="90">
        <v>0.84</v>
      </c>
      <c r="H128" s="90">
        <v>0.84</v>
      </c>
    </row>
    <row r="129" spans="1:8" x14ac:dyDescent="0.25">
      <c r="B129" s="5" t="s">
        <v>204</v>
      </c>
      <c r="C129" s="5" t="s">
        <v>338</v>
      </c>
      <c r="D129" s="90">
        <f t="shared" si="3"/>
        <v>0</v>
      </c>
      <c r="E129" s="90">
        <f t="shared" si="3"/>
        <v>0</v>
      </c>
      <c r="F129" s="90">
        <f>IF($C74="Affected fraction",F74,IF(F74=1,1,F74*0.9))</f>
        <v>1</v>
      </c>
      <c r="G129" s="90">
        <f>IF($C74="Affected fraction",G74,IF(G74=1,1,G74*0.9))</f>
        <v>1</v>
      </c>
      <c r="H129" s="90">
        <f>IF($C74="Affected fraction",H74,IF(H74=1,1,H74*0.9))</f>
        <v>1</v>
      </c>
    </row>
    <row r="130" spans="1:8" x14ac:dyDescent="0.25">
      <c r="C130" s="5" t="s">
        <v>340</v>
      </c>
      <c r="D130" s="90">
        <f t="shared" si="3"/>
        <v>0</v>
      </c>
      <c r="E130" s="90">
        <f t="shared" si="3"/>
        <v>0</v>
      </c>
      <c r="F130" s="90">
        <v>0.77</v>
      </c>
      <c r="G130" s="90">
        <v>0.77</v>
      </c>
      <c r="H130" s="90">
        <v>0.77</v>
      </c>
    </row>
    <row r="131" spans="1:8" x14ac:dyDescent="0.25">
      <c r="A131" s="5" t="s">
        <v>174</v>
      </c>
      <c r="B131" s="5" t="s">
        <v>74</v>
      </c>
      <c r="C131" s="5" t="s">
        <v>338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339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172</v>
      </c>
      <c r="B133" s="5" t="s">
        <v>74</v>
      </c>
      <c r="C133" s="5" t="s">
        <v>338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339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173</v>
      </c>
      <c r="B135" s="5" t="s">
        <v>74</v>
      </c>
      <c r="C135" s="5" t="s">
        <v>338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339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81</v>
      </c>
      <c r="C137" s="5" t="s">
        <v>338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339</v>
      </c>
      <c r="D138" s="90">
        <v>0</v>
      </c>
      <c r="E138" s="90">
        <v>0</v>
      </c>
      <c r="F138" s="90">
        <v>0</v>
      </c>
      <c r="G138" s="90">
        <v>0</v>
      </c>
      <c r="H138" s="90">
        <v>0</v>
      </c>
    </row>
    <row r="139" spans="1:8" x14ac:dyDescent="0.25">
      <c r="C139" s="5" t="s">
        <v>340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81</v>
      </c>
      <c r="C140" s="5" t="s">
        <v>338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339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340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81</v>
      </c>
      <c r="C143" s="5" t="s">
        <v>338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339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340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81</v>
      </c>
      <c r="C146" s="5" t="s">
        <v>338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339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340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81</v>
      </c>
      <c r="C149" s="5" t="s">
        <v>338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339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340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81</v>
      </c>
      <c r="C152" s="5" t="s">
        <v>338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339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340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82</v>
      </c>
      <c r="C155" s="5" t="s">
        <v>338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339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340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190</v>
      </c>
      <c r="B158" s="5" t="s">
        <v>81</v>
      </c>
      <c r="C158" s="5" t="s">
        <v>338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339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81</v>
      </c>
      <c r="C160" s="5" t="s">
        <v>338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339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183</v>
      </c>
      <c r="B162" s="5" t="s">
        <v>72</v>
      </c>
      <c r="C162" s="5" t="s">
        <v>338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339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gIF3gzcRwMevsVP9JM+eFJliWIfkjL6RYnVy29HH1zFwKTB/eJc1NVFGROY84dwrfqcI+B8KpOZ1waT1qDgCXQ==" saltValue="0Itsi1W8Rg+oXl6coWpoc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5" sqref="D5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156</v>
      </c>
      <c r="B1" s="1" t="s">
        <v>336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168</v>
      </c>
      <c r="B2" s="8" t="s">
        <v>94</v>
      </c>
      <c r="C2" s="3" t="s">
        <v>338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339</v>
      </c>
      <c r="D3" s="90">
        <v>0.83</v>
      </c>
      <c r="E3" s="90">
        <v>0.83</v>
      </c>
      <c r="F3" s="90">
        <v>0.83</v>
      </c>
      <c r="G3" s="90">
        <v>0.83</v>
      </c>
      <c r="H3" s="3"/>
    </row>
    <row r="4" spans="1:8" x14ac:dyDescent="0.25">
      <c r="A4" s="3" t="s">
        <v>187</v>
      </c>
      <c r="B4" s="8" t="s">
        <v>94</v>
      </c>
      <c r="C4" s="3" t="s">
        <v>338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339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186</v>
      </c>
      <c r="B6" s="8" t="s">
        <v>94</v>
      </c>
      <c r="C6" s="3" t="s">
        <v>338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339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330</v>
      </c>
    </row>
    <row r="10" spans="1:8" ht="13" customHeight="1" x14ac:dyDescent="0.3">
      <c r="A10" s="1" t="s">
        <v>156</v>
      </c>
      <c r="B10" s="1" t="s">
        <v>336</v>
      </c>
      <c r="C10" s="1"/>
      <c r="D10" s="4" t="s">
        <v>112</v>
      </c>
      <c r="E10" s="4" t="s">
        <v>113</v>
      </c>
      <c r="F10" s="4" t="s">
        <v>114</v>
      </c>
      <c r="G10" s="4" t="s">
        <v>115</v>
      </c>
    </row>
    <row r="11" spans="1:8" x14ac:dyDescent="0.25">
      <c r="A11" s="3" t="s">
        <v>168</v>
      </c>
      <c r="B11" s="8" t="s">
        <v>94</v>
      </c>
      <c r="C11" s="3" t="s">
        <v>338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x14ac:dyDescent="0.25">
      <c r="C12" s="8" t="s">
        <v>339</v>
      </c>
      <c r="D12" s="90">
        <v>0</v>
      </c>
      <c r="E12" s="90">
        <v>0</v>
      </c>
      <c r="F12" s="90">
        <v>0</v>
      </c>
      <c r="G12" s="90">
        <v>0</v>
      </c>
    </row>
    <row r="13" spans="1:8" x14ac:dyDescent="0.25">
      <c r="A13" s="3" t="s">
        <v>187</v>
      </c>
      <c r="B13" s="8" t="s">
        <v>94</v>
      </c>
      <c r="C13" s="3" t="s">
        <v>338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x14ac:dyDescent="0.25">
      <c r="C14" s="8" t="s">
        <v>339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x14ac:dyDescent="0.25">
      <c r="A15" s="3" t="s">
        <v>186</v>
      </c>
      <c r="B15" s="8" t="s">
        <v>94</v>
      </c>
      <c r="C15" s="3" t="s">
        <v>338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339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333</v>
      </c>
    </row>
    <row r="19" spans="1:7" ht="13" customHeight="1" x14ac:dyDescent="0.3">
      <c r="A19" s="1" t="s">
        <v>156</v>
      </c>
      <c r="B19" s="1" t="s">
        <v>336</v>
      </c>
      <c r="C19" s="1"/>
      <c r="D19" s="4" t="s">
        <v>112</v>
      </c>
      <c r="E19" s="4" t="s">
        <v>113</v>
      </c>
      <c r="F19" s="4" t="s">
        <v>114</v>
      </c>
      <c r="G19" s="4" t="s">
        <v>115</v>
      </c>
    </row>
    <row r="20" spans="1:7" x14ac:dyDescent="0.25">
      <c r="A20" s="3" t="s">
        <v>168</v>
      </c>
      <c r="B20" s="8" t="s">
        <v>94</v>
      </c>
      <c r="C20" s="3" t="s">
        <v>338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x14ac:dyDescent="0.25">
      <c r="C21" s="8" t="s">
        <v>339</v>
      </c>
      <c r="D21" s="90">
        <v>0.98</v>
      </c>
      <c r="E21" s="90">
        <v>0.98</v>
      </c>
      <c r="F21" s="90">
        <v>0.98</v>
      </c>
      <c r="G21" s="90">
        <v>0.98</v>
      </c>
    </row>
    <row r="22" spans="1:7" x14ac:dyDescent="0.25">
      <c r="A22" s="3" t="s">
        <v>187</v>
      </c>
      <c r="B22" s="8" t="s">
        <v>94</v>
      </c>
      <c r="C22" s="3" t="s">
        <v>338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x14ac:dyDescent="0.25">
      <c r="C23" s="8" t="s">
        <v>339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x14ac:dyDescent="0.25">
      <c r="A24" s="3" t="s">
        <v>186</v>
      </c>
      <c r="B24" s="8" t="s">
        <v>94</v>
      </c>
      <c r="C24" s="3" t="s">
        <v>338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x14ac:dyDescent="0.25">
      <c r="C25" s="8" t="s">
        <v>339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SSCu+FR+SN+siPEoAiap+3g3Z0SGqFtJklZqGSbEJvGKfBY2J7BHBpfevFvAYPx8Hf15tBeGKZdJ4ehQEpyLRg==" saltValue="A0PmMaoo+OfazXy7x4UxVw==" spinCount="100000" sheet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loss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Birth outcome risks</vt:lpstr>
      <vt:lpstr>Relative risks</vt:lpstr>
      <vt:lpstr>Odds ratios</vt:lpstr>
      <vt:lpstr>Programs birth outcomes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lastModifiedBy>Tharindu Wickramaarachchi</cp:lastModifiedBy>
  <dcterms:created xsi:type="dcterms:W3CDTF">2017-08-01T10:42:13Z</dcterms:created>
  <dcterms:modified xsi:type="dcterms:W3CDTF">2024-03-28T03:04:08Z</dcterms:modified>
</cp:coreProperties>
</file>