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394828B7-6899-4443-914C-B3C2578799CA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H13" i="2"/>
  <c r="G13" i="2"/>
  <c r="H12" i="2"/>
  <c r="G12" i="2"/>
  <c r="I12" i="2" s="1"/>
  <c r="H11" i="2"/>
  <c r="G11" i="2"/>
  <c r="H10" i="2"/>
  <c r="G10" i="2"/>
  <c r="H9" i="2"/>
  <c r="G9" i="2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5" i="2" l="1"/>
  <c r="A26" i="2"/>
  <c r="I39" i="2"/>
  <c r="I9" i="2"/>
  <c r="I13" i="2"/>
  <c r="A31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<sst xmlns="http://schemas.openxmlformats.org/spreadsheetml/2006/main" count="2159" uniqueCount="372">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</sst>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1147833.5</v>
      </c>
    </row>
    <row r="8" spans="1:3" ht="15" customHeight="1" x14ac:dyDescent="0.25">
      <c r="B8" s="5" t="s">
        <v>8</v>
      </c>
      <c r="C8" s="44">
        <v>0.16500000000000001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0.48369369506835902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0.24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0.14680000000000001</v>
      </c>
    </row>
    <row r="24" spans="1:3" ht="15" customHeight="1" x14ac:dyDescent="0.25">
      <c r="B24" s="15" t="s">
        <v>22</v>
      </c>
      <c r="C24" s="45">
        <v>0.50009999999999999</v>
      </c>
    </row>
    <row r="25" spans="1:3" ht="15" customHeight="1" x14ac:dyDescent="0.25">
      <c r="B25" s="15" t="s">
        <v>23</v>
      </c>
      <c r="C25" s="45">
        <v>0.28989999999999999</v>
      </c>
    </row>
    <row r="26" spans="1:3" ht="15" customHeight="1" x14ac:dyDescent="0.25">
      <c r="B26" s="15" t="s">
        <v>24</v>
      </c>
      <c r="C26" s="45">
        <v>6.3199999999999992E-2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0.113828003000999</v>
      </c>
    </row>
    <row r="30" spans="1:3" ht="14.25" customHeight="1" x14ac:dyDescent="0.25">
      <c r="B30" s="25" t="s">
        <v>27</v>
      </c>
      <c r="C30" s="99">
        <v>0.86686825779453802</v>
      </c>
    </row>
    <row r="31" spans="1:3" ht="14.25" customHeight="1" x14ac:dyDescent="0.25">
      <c r="B31" s="25" t="s">
        <v>28</v>
      </c>
      <c r="C31" s="99">
        <v>1.7877388634686599E-2</v>
      </c>
    </row>
    <row r="32" spans="1:3" ht="14.25" customHeight="1" x14ac:dyDescent="0.25">
      <c r="B32" s="25" t="s">
        <v>29</v>
      </c>
      <c r="C32" s="99">
        <v>1.42635056977604E-3</v>
      </c>
    </row>
    <row r="33" spans="1:5" ht="13.25" customHeight="1" x14ac:dyDescent="0.25">
      <c r="B33" s="27" t="s">
        <v>30</v>
      </c>
      <c r="C33" s="48">
        <f>SUM(C29:C32)</f>
        <v>0.99999999999999967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9.5039800000000003</v>
      </c>
    </row>
    <row r="38" spans="1:5" ht="15" customHeight="1" x14ac:dyDescent="0.25">
      <c r="B38" s="11" t="s">
        <v>34</v>
      </c>
      <c r="C38" s="43">
        <v>14.23409</v>
      </c>
      <c r="D38" s="12"/>
      <c r="E38" s="13"/>
    </row>
    <row r="39" spans="1:5" ht="15" customHeight="1" x14ac:dyDescent="0.25">
      <c r="B39" s="11" t="s">
        <v>35</v>
      </c>
      <c r="C39" s="43">
        <v>16.555910000000001</v>
      </c>
      <c r="D39" s="12"/>
      <c r="E39" s="12"/>
    </row>
    <row r="40" spans="1:5" ht="15" customHeight="1" x14ac:dyDescent="0.25">
      <c r="B40" s="11" t="s">
        <v>36</v>
      </c>
      <c r="C40" s="100">
        <v>0.72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8.2260899999999992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7.1935000000000002E-3</v>
      </c>
      <c r="D45" s="12"/>
    </row>
    <row r="46" spans="1:5" ht="15.75" customHeight="1" x14ac:dyDescent="0.25">
      <c r="B46" s="11" t="s">
        <v>41</v>
      </c>
      <c r="C46" s="45">
        <v>7.7293600000000004E-2</v>
      </c>
      <c r="D46" s="12"/>
    </row>
    <row r="47" spans="1:5" ht="15.75" customHeight="1" x14ac:dyDescent="0.25">
      <c r="B47" s="11" t="s">
        <v>42</v>
      </c>
      <c r="C47" s="45">
        <v>7.4160000000000004E-2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0.62768099999999993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0.108972099999999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234369</v>
      </c>
      <c r="C2" s="49">
        <v>518689.49999999994</v>
      </c>
      <c r="D2" s="49">
        <v>1003145</v>
      </c>
      <c r="E2" s="49">
        <v>818781.99999999988</v>
      </c>
      <c r="F2" s="49">
        <v>619956.5</v>
      </c>
      <c r="G2" s="17">
        <f t="shared" ref="G2:G13" si="0">C2+D2+E2+F2</f>
        <v>2960573</v>
      </c>
      <c r="H2" s="17">
        <f t="shared" ref="H2:H13" si="1">(B2 + stillbirth*B2/(1000-stillbirth))/(1-abortion)</f>
        <v>268537.42209341755</v>
      </c>
      <c r="I2" s="17">
        <f t="shared" ref="I2:I13" si="2">G2-H2</f>
        <v>2692035.5779065825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234594</v>
      </c>
      <c r="C3" s="50">
        <v>518692.5</v>
      </c>
      <c r="D3" s="50">
        <v>1011557</v>
      </c>
      <c r="E3" s="50">
        <v>838171.5</v>
      </c>
      <c r="F3" s="50">
        <v>639763.5</v>
      </c>
      <c r="G3" s="17">
        <f t="shared" si="0"/>
        <v>3008184.5</v>
      </c>
      <c r="H3" s="17">
        <f t="shared" si="1"/>
        <v>268795.22461837187</v>
      </c>
      <c r="I3" s="17">
        <f t="shared" si="2"/>
        <v>2739389.275381628</v>
      </c>
    </row>
    <row r="4" spans="1:9" ht="15.75" customHeight="1" x14ac:dyDescent="0.25">
      <c r="A4" s="5">
        <f t="shared" si="3"/>
        <v>2026</v>
      </c>
      <c r="B4" s="49">
        <v>234199</v>
      </c>
      <c r="C4" s="50">
        <v>519025.49999999994</v>
      </c>
      <c r="D4" s="50">
        <v>1017980</v>
      </c>
      <c r="E4" s="50">
        <v>857451</v>
      </c>
      <c r="F4" s="50">
        <v>658539.5</v>
      </c>
      <c r="G4" s="17">
        <f t="shared" si="0"/>
        <v>3052996</v>
      </c>
      <c r="H4" s="17">
        <f t="shared" si="1"/>
        <v>268342.63796345203</v>
      </c>
      <c r="I4" s="17">
        <f t="shared" si="2"/>
        <v>2784653.3620365481</v>
      </c>
    </row>
    <row r="5" spans="1:9" ht="15.75" customHeight="1" x14ac:dyDescent="0.25">
      <c r="A5" s="5">
        <f t="shared" si="3"/>
        <v>2027</v>
      </c>
      <c r="B5" s="49">
        <v>233847</v>
      </c>
      <c r="C5" s="50">
        <v>519692.5</v>
      </c>
      <c r="D5" s="50">
        <v>1023029</v>
      </c>
      <c r="E5" s="50">
        <v>876030.50000000012</v>
      </c>
      <c r="F5" s="50">
        <v>676920.5</v>
      </c>
      <c r="G5" s="17">
        <f t="shared" si="0"/>
        <v>3095672.5</v>
      </c>
      <c r="H5" s="17">
        <f t="shared" si="1"/>
        <v>267939.32023552351</v>
      </c>
      <c r="I5" s="17">
        <f t="shared" si="2"/>
        <v>2827733.1797644766</v>
      </c>
    </row>
    <row r="6" spans="1:9" ht="15.75" customHeight="1" x14ac:dyDescent="0.25">
      <c r="A6" s="5">
        <f t="shared" si="3"/>
        <v>2028</v>
      </c>
      <c r="B6" s="49">
        <v>233565</v>
      </c>
      <c r="C6" s="50">
        <v>520307.5</v>
      </c>
      <c r="D6" s="50">
        <v>1027096.5000000001</v>
      </c>
      <c r="E6" s="50">
        <v>894123.49999999988</v>
      </c>
      <c r="F6" s="50">
        <v>694897.99999999988</v>
      </c>
      <c r="G6" s="17">
        <f t="shared" si="0"/>
        <v>3136425.5</v>
      </c>
      <c r="H6" s="17">
        <f t="shared" si="1"/>
        <v>267616.20773758076</v>
      </c>
      <c r="I6" s="17">
        <f t="shared" si="2"/>
        <v>2868809.2922624191</v>
      </c>
    </row>
    <row r="7" spans="1:9" ht="15.75" customHeight="1" x14ac:dyDescent="0.25">
      <c r="A7" s="5">
        <f t="shared" si="3"/>
        <v>2029</v>
      </c>
      <c r="B7" s="49">
        <v>232875</v>
      </c>
      <c r="C7" s="50">
        <v>520881</v>
      </c>
      <c r="D7" s="50">
        <v>1029816</v>
      </c>
      <c r="E7" s="50">
        <v>912420</v>
      </c>
      <c r="F7" s="50">
        <v>712219.5</v>
      </c>
      <c r="G7" s="17">
        <f t="shared" si="0"/>
        <v>3175336.5</v>
      </c>
      <c r="H7" s="17">
        <f t="shared" si="1"/>
        <v>266825.61332772084</v>
      </c>
      <c r="I7" s="17">
        <f t="shared" si="2"/>
        <v>2908510.8866722793</v>
      </c>
    </row>
    <row r="8" spans="1:9" ht="15.75" customHeight="1" x14ac:dyDescent="0.25">
      <c r="A8" s="5">
        <f t="shared" si="3"/>
        <v>2030</v>
      </c>
      <c r="B8" s="49">
        <v>231857</v>
      </c>
      <c r="C8" s="50">
        <v>522011.49999999994</v>
      </c>
      <c r="D8" s="50">
        <v>1030648.0000000001</v>
      </c>
      <c r="E8" s="50">
        <v>930936.5</v>
      </c>
      <c r="F8" s="50">
        <v>729278</v>
      </c>
      <c r="G8" s="17">
        <f t="shared" si="0"/>
        <v>3212874</v>
      </c>
      <c r="H8" s="17">
        <f t="shared" si="1"/>
        <v>265659.20012592751</v>
      </c>
      <c r="I8" s="17">
        <f t="shared" si="2"/>
        <v>2947214.7998740724</v>
      </c>
    </row>
    <row r="9" spans="1:9" ht="15.75" customHeight="1" x14ac:dyDescent="0.25">
      <c r="A9" s="5">
        <f t="shared" si="3"/>
        <v>2031</v>
      </c>
      <c r="B9" s="49">
        <v>230996</v>
      </c>
      <c r="C9" s="50">
        <v>524020.99999999994</v>
      </c>
      <c r="D9" s="50">
        <v>1030231.5000000001</v>
      </c>
      <c r="E9" s="50">
        <v>948634.5</v>
      </c>
      <c r="F9" s="50">
        <v>746586.5</v>
      </c>
      <c r="G9" s="17">
        <f t="shared" si="0"/>
        <v>3249473.5</v>
      </c>
      <c r="H9" s="17">
        <f t="shared" si="1"/>
        <v>264672.67579710233</v>
      </c>
      <c r="I9" s="17">
        <f t="shared" si="2"/>
        <v>2984800.8242028975</v>
      </c>
    </row>
    <row r="10" spans="1:9" ht="15.75" customHeight="1" x14ac:dyDescent="0.25">
      <c r="A10" s="5">
        <f t="shared" si="3"/>
        <v>2032</v>
      </c>
      <c r="B10" s="49">
        <v>230170</v>
      </c>
      <c r="C10" s="50">
        <v>526617.5</v>
      </c>
      <c r="D10" s="50">
        <v>1029855.5000000001</v>
      </c>
      <c r="E10" s="50">
        <v>964349.5</v>
      </c>
      <c r="F10" s="50">
        <v>764381.5</v>
      </c>
      <c r="G10" s="17">
        <f t="shared" si="0"/>
        <v>3285204</v>
      </c>
      <c r="H10" s="17">
        <f t="shared" si="1"/>
        <v>263726.25408327003</v>
      </c>
      <c r="I10" s="17">
        <f t="shared" si="2"/>
        <v>3021477.7459167298</v>
      </c>
    </row>
    <row r="11" spans="1:9" ht="15.75" customHeight="1" x14ac:dyDescent="0.25">
      <c r="A11" s="5">
        <f t="shared" si="3"/>
        <v>2033</v>
      </c>
      <c r="B11" s="49">
        <v>229201</v>
      </c>
      <c r="C11" s="50">
        <v>530160</v>
      </c>
      <c r="D11" s="50">
        <v>1029989.5000000001</v>
      </c>
      <c r="E11" s="50">
        <v>977556.5</v>
      </c>
      <c r="F11" s="50">
        <v>782789</v>
      </c>
      <c r="G11" s="17">
        <f t="shared" si="0"/>
        <v>3320495</v>
      </c>
      <c r="H11" s="17">
        <f t="shared" si="1"/>
        <v>262615.98454246676</v>
      </c>
      <c r="I11" s="17">
        <f t="shared" si="2"/>
        <v>3057879.0154575333</v>
      </c>
    </row>
    <row r="12" spans="1:9" ht="15.75" customHeight="1" x14ac:dyDescent="0.25">
      <c r="A12" s="5">
        <f t="shared" si="3"/>
        <v>2034</v>
      </c>
      <c r="B12" s="49">
        <v>228139</v>
      </c>
      <c r="C12" s="50">
        <v>534632.5</v>
      </c>
      <c r="D12" s="50">
        <v>1030644</v>
      </c>
      <c r="E12" s="50">
        <v>988429.5</v>
      </c>
      <c r="F12" s="50">
        <v>801767</v>
      </c>
      <c r="G12" s="17">
        <f t="shared" si="0"/>
        <v>3355473</v>
      </c>
      <c r="H12" s="17">
        <f t="shared" si="1"/>
        <v>261399.15662468236</v>
      </c>
      <c r="I12" s="17">
        <f t="shared" si="2"/>
        <v>3094073.8433753178</v>
      </c>
    </row>
    <row r="13" spans="1:9" ht="15.75" customHeight="1" x14ac:dyDescent="0.25">
      <c r="A13" s="5">
        <f t="shared" si="3"/>
        <v>2035</v>
      </c>
      <c r="B13" s="49">
        <v>227503</v>
      </c>
      <c r="C13" s="50">
        <v>539166</v>
      </c>
      <c r="D13" s="50">
        <v>1032095</v>
      </c>
      <c r="E13" s="50">
        <v>997204.99999999988</v>
      </c>
      <c r="F13" s="50">
        <v>821178.5</v>
      </c>
      <c r="G13" s="17">
        <f t="shared" si="0"/>
        <v>3389644.5</v>
      </c>
      <c r="H13" s="17">
        <f t="shared" si="1"/>
        <v>260670.4348208115</v>
      </c>
      <c r="I13" s="17">
        <f t="shared" si="2"/>
        <v>3128974.0651791887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7.7452100000000051E-2</v>
      </c>
    </row>
    <row r="5" spans="1:8" ht="15.75" customHeight="1" x14ac:dyDescent="0.25">
      <c r="B5" s="19" t="s">
        <v>70</v>
      </c>
      <c r="C5" s="101">
        <v>2.7733600000000049E-2</v>
      </c>
    </row>
    <row r="6" spans="1:8" ht="15.75" customHeight="1" x14ac:dyDescent="0.25">
      <c r="B6" s="19" t="s">
        <v>71</v>
      </c>
      <c r="C6" s="101">
        <v>0.16728139999999991</v>
      </c>
    </row>
    <row r="7" spans="1:8" ht="15.75" customHeight="1" x14ac:dyDescent="0.25">
      <c r="B7" s="19" t="s">
        <v>72</v>
      </c>
      <c r="C7" s="101">
        <v>0.43133549999999909</v>
      </c>
    </row>
    <row r="8" spans="1:8" ht="15.75" customHeight="1" x14ac:dyDescent="0.25">
      <c r="B8" s="19" t="s">
        <v>73</v>
      </c>
      <c r="C8" s="101">
        <v>9.3167000000000041E-3</v>
      </c>
    </row>
    <row r="9" spans="1:8" ht="15.75" customHeight="1" x14ac:dyDescent="0.25">
      <c r="B9" s="19" t="s">
        <v>74</v>
      </c>
      <c r="C9" s="101">
        <v>0.2029222000000008</v>
      </c>
    </row>
    <row r="10" spans="1:8" ht="15.75" customHeight="1" x14ac:dyDescent="0.25">
      <c r="B10" s="19" t="s">
        <v>75</v>
      </c>
      <c r="C10" s="101">
        <v>8.3958499999999908E-2</v>
      </c>
    </row>
    <row r="11" spans="1:8" ht="15.75" customHeight="1" x14ac:dyDescent="0.25">
      <c r="B11" s="27" t="s">
        <v>30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0.32066211308131543</v>
      </c>
      <c r="D14" s="55">
        <v>0.32066211308131543</v>
      </c>
      <c r="E14" s="55">
        <v>0.32066211308131543</v>
      </c>
      <c r="F14" s="55">
        <v>0.32066211308131543</v>
      </c>
    </row>
    <row r="15" spans="1:8" ht="15.75" customHeight="1" x14ac:dyDescent="0.25">
      <c r="B15" s="19" t="s">
        <v>82</v>
      </c>
      <c r="C15" s="101">
        <v>0.40880962009481991</v>
      </c>
      <c r="D15" s="101">
        <v>0.40880962009481991</v>
      </c>
      <c r="E15" s="101">
        <v>0.40880962009481991</v>
      </c>
      <c r="F15" s="101">
        <v>0.40880962009481991</v>
      </c>
    </row>
    <row r="16" spans="1:8" ht="15.75" customHeight="1" x14ac:dyDescent="0.25">
      <c r="B16" s="19" t="s">
        <v>83</v>
      </c>
      <c r="C16" s="101">
        <v>1.389605921598821E-2</v>
      </c>
      <c r="D16" s="101">
        <v>1.389605921598821E-2</v>
      </c>
      <c r="E16" s="101">
        <v>1.389605921598821E-2</v>
      </c>
      <c r="F16" s="101">
        <v>1.389605921598821E-2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2.2400301830658709E-2</v>
      </c>
      <c r="D19" s="101">
        <v>2.2400301830658709E-2</v>
      </c>
      <c r="E19" s="101">
        <v>2.2400301830658709E-2</v>
      </c>
      <c r="F19" s="101">
        <v>2.2400301830658709E-2</v>
      </c>
    </row>
    <row r="20" spans="1:8" ht="15.75" customHeight="1" x14ac:dyDescent="0.25">
      <c r="B20" s="19" t="s">
        <v>87</v>
      </c>
      <c r="C20" s="101">
        <v>1.215411425305395E-2</v>
      </c>
      <c r="D20" s="101">
        <v>1.215411425305395E-2</v>
      </c>
      <c r="E20" s="101">
        <v>1.215411425305395E-2</v>
      </c>
      <c r="F20" s="101">
        <v>1.215411425305395E-2</v>
      </c>
    </row>
    <row r="21" spans="1:8" ht="15.75" customHeight="1" x14ac:dyDescent="0.25">
      <c r="B21" s="19" t="s">
        <v>88</v>
      </c>
      <c r="C21" s="101">
        <v>0.11903384826955</v>
      </c>
      <c r="D21" s="101">
        <v>0.11903384826955</v>
      </c>
      <c r="E21" s="101">
        <v>0.11903384826955</v>
      </c>
      <c r="F21" s="101">
        <v>0.11903384826955</v>
      </c>
    </row>
    <row r="22" spans="1:8" ht="15.75" customHeight="1" x14ac:dyDescent="0.25">
      <c r="B22" s="19" t="s">
        <v>89</v>
      </c>
      <c r="C22" s="101">
        <v>0.1030439432546139</v>
      </c>
      <c r="D22" s="101">
        <v>0.1030439432546139</v>
      </c>
      <c r="E22" s="101">
        <v>0.1030439432546139</v>
      </c>
      <c r="F22" s="101">
        <v>0.1030439432546139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2.3295386000000001E-2</v>
      </c>
    </row>
    <row r="27" spans="1:8" ht="15.75" customHeight="1" x14ac:dyDescent="0.25">
      <c r="B27" s="19" t="s">
        <v>92</v>
      </c>
      <c r="C27" s="101">
        <v>9.7438085999999993E-2</v>
      </c>
    </row>
    <row r="28" spans="1:8" ht="15.75" customHeight="1" x14ac:dyDescent="0.25">
      <c r="B28" s="19" t="s">
        <v>93</v>
      </c>
      <c r="C28" s="101">
        <v>0.31612977399999997</v>
      </c>
    </row>
    <row r="29" spans="1:8" ht="15.75" customHeight="1" x14ac:dyDescent="0.25">
      <c r="B29" s="19" t="s">
        <v>94</v>
      </c>
      <c r="C29" s="101">
        <v>0.192412257</v>
      </c>
    </row>
    <row r="30" spans="1:8" ht="15.75" customHeight="1" x14ac:dyDescent="0.25">
      <c r="B30" s="19" t="s">
        <v>95</v>
      </c>
      <c r="C30" s="101">
        <v>0.10694290400000001</v>
      </c>
    </row>
    <row r="31" spans="1:8" ht="15.75" customHeight="1" x14ac:dyDescent="0.25">
      <c r="B31" s="19" t="s">
        <v>96</v>
      </c>
      <c r="C31" s="101">
        <v>2.3714310999999998E-2</v>
      </c>
    </row>
    <row r="32" spans="1:8" ht="15.75" customHeight="1" x14ac:dyDescent="0.25">
      <c r="B32" s="19" t="s">
        <v>97</v>
      </c>
      <c r="C32" s="101">
        <v>2.6508690000000001E-3</v>
      </c>
    </row>
    <row r="33" spans="2:3" ht="15.75" customHeight="1" x14ac:dyDescent="0.25">
      <c r="B33" s="19" t="s">
        <v>98</v>
      </c>
      <c r="C33" s="101">
        <v>0.189281701</v>
      </c>
    </row>
    <row r="34" spans="2:3" ht="15.75" customHeight="1" x14ac:dyDescent="0.25">
      <c r="B34" s="19" t="s">
        <v>99</v>
      </c>
      <c r="C34" s="101">
        <v>4.813471099999999E-2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0.63510746440877086</v>
      </c>
      <c r="D2" s="52">
        <f>IFERROR(1-_xlfn.NORM.DIST(_xlfn.NORM.INV(SUM(D4:D5), 0, 1) + 1, 0, 1, TRUE), "")</f>
        <v>0.63510746440877086</v>
      </c>
      <c r="E2" s="52">
        <f>IFERROR(1-_xlfn.NORM.DIST(_xlfn.NORM.INV(SUM(E4:E5), 0, 1) + 1, 0, 1, TRUE), "")</f>
        <v>0.59147396426392407</v>
      </c>
      <c r="F2" s="52">
        <f>IFERROR(1-_xlfn.NORM.DIST(_xlfn.NORM.INV(SUM(F4:F5), 0, 1) + 1, 0, 1, TRUE), "")</f>
        <v>0.46485871553857572</v>
      </c>
      <c r="G2" s="52">
        <f>IFERROR(1-_xlfn.NORM.DIST(_xlfn.NORM.INV(SUM(G4:G5), 0, 1) + 1, 0, 1, TRUE), "")</f>
        <v>0.41426804604924083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0.27564633559122909</v>
      </c>
      <c r="D3" s="52">
        <f>IFERROR(_xlfn.NORM.DIST(_xlfn.NORM.INV(SUM(D4:D5), 0, 1) + 1, 0, 1, TRUE) - SUM(D4:D5), "")</f>
        <v>0.27564633559122909</v>
      </c>
      <c r="E3" s="52">
        <f>IFERROR(_xlfn.NORM.DIST(_xlfn.NORM.INV(SUM(E4:E5), 0, 1) + 1, 0, 1, TRUE) - SUM(E4:E5), "")</f>
        <v>0.2994278357360759</v>
      </c>
      <c r="F3" s="52">
        <f>IFERROR(_xlfn.NORM.DIST(_xlfn.NORM.INV(SUM(F4:F5), 0, 1) + 1, 0, 1, TRUE) - SUM(F4:F5), "")</f>
        <v>0.35420418446142432</v>
      </c>
      <c r="G3" s="52">
        <f>IFERROR(_xlfn.NORM.DIST(_xlfn.NORM.INV(SUM(G4:G5), 0, 1) + 1, 0, 1, TRUE) - SUM(G4:G5), "")</f>
        <v>0.36904185395075917</v>
      </c>
    </row>
    <row r="4" spans="1:15" ht="15.75" customHeight="1" x14ac:dyDescent="0.25">
      <c r="B4" s="5" t="s">
        <v>104</v>
      </c>
      <c r="C4" s="45">
        <v>7.2389800000000004E-2</v>
      </c>
      <c r="D4" s="53">
        <v>7.2389800000000004E-2</v>
      </c>
      <c r="E4" s="53">
        <v>8.9044200000000004E-2</v>
      </c>
      <c r="F4" s="53">
        <v>0.14756929999999999</v>
      </c>
      <c r="G4" s="53">
        <v>0.16535710000000001</v>
      </c>
    </row>
    <row r="5" spans="1:15" ht="15.75" customHeight="1" x14ac:dyDescent="0.25">
      <c r="B5" s="5" t="s">
        <v>105</v>
      </c>
      <c r="C5" s="45">
        <v>1.6856400000000001E-2</v>
      </c>
      <c r="D5" s="53">
        <v>1.6856400000000001E-2</v>
      </c>
      <c r="E5" s="53">
        <v>2.0053999999999999E-2</v>
      </c>
      <c r="F5" s="53">
        <v>3.3367800000000003E-2</v>
      </c>
      <c r="G5" s="53">
        <v>5.1332999999999997E-2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0.81830302949581957</v>
      </c>
      <c r="D8" s="52">
        <f>IFERROR(1-_xlfn.NORM.DIST(_xlfn.NORM.INV(SUM(D10:D11), 0, 1) + 1, 0, 1, TRUE), "")</f>
        <v>0.81830302949581957</v>
      </c>
      <c r="E8" s="52">
        <f>IFERROR(1-_xlfn.NORM.DIST(_xlfn.NORM.INV(SUM(E10:E11), 0, 1) + 1, 0, 1, TRUE), "")</f>
        <v>0.84828482406908745</v>
      </c>
      <c r="F8" s="52">
        <f>IFERROR(1-_xlfn.NORM.DIST(_xlfn.NORM.INV(SUM(F10:F11), 0, 1) + 1, 0, 1, TRUE), "")</f>
        <v>0.83033086748500462</v>
      </c>
      <c r="G8" s="52">
        <f>IFERROR(1-_xlfn.NORM.DIST(_xlfn.NORM.INV(SUM(G10:G11), 0, 1) + 1, 0, 1, TRUE), "")</f>
        <v>0.87951930789818533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0.1535605705041804</v>
      </c>
      <c r="D9" s="52">
        <f>IFERROR(_xlfn.NORM.DIST(_xlfn.NORM.INV(SUM(D10:D11), 0, 1) + 1, 0, 1, TRUE) - SUM(D10:D11), "")</f>
        <v>0.1535605705041804</v>
      </c>
      <c r="E9" s="52">
        <f>IFERROR(_xlfn.NORM.DIST(_xlfn.NORM.INV(SUM(E10:E11), 0, 1) + 1, 0, 1, TRUE) - SUM(E10:E11), "")</f>
        <v>0.13049137593091248</v>
      </c>
      <c r="F9" s="52">
        <f>IFERROR(_xlfn.NORM.DIST(_xlfn.NORM.INV(SUM(F10:F11), 0, 1) + 1, 0, 1, TRUE) - SUM(F10:F11), "")</f>
        <v>0.14440553251499541</v>
      </c>
      <c r="G9" s="52">
        <f>IFERROR(_xlfn.NORM.DIST(_xlfn.NORM.INV(SUM(G10:G11), 0, 1) + 1, 0, 1, TRUE) - SUM(G10:G11), "")</f>
        <v>0.10557499210181473</v>
      </c>
    </row>
    <row r="10" spans="1:15" ht="15.75" customHeight="1" x14ac:dyDescent="0.25">
      <c r="B10" s="5" t="s">
        <v>109</v>
      </c>
      <c r="C10" s="45">
        <v>2.02408E-2</v>
      </c>
      <c r="D10" s="53">
        <v>2.02408E-2</v>
      </c>
      <c r="E10" s="53">
        <v>1.9192799999999999E-2</v>
      </c>
      <c r="F10" s="53">
        <v>1.6846099999999999E-2</v>
      </c>
      <c r="G10" s="53">
        <v>1.1436699999999999E-2</v>
      </c>
    </row>
    <row r="11" spans="1:15" ht="15.75" customHeight="1" x14ac:dyDescent="0.25">
      <c r="B11" s="5" t="s">
        <v>110</v>
      </c>
      <c r="C11" s="45">
        <v>7.8956000000000009E-3</v>
      </c>
      <c r="D11" s="53">
        <v>7.8956000000000009E-3</v>
      </c>
      <c r="E11" s="53">
        <v>2.0309999999999998E-3</v>
      </c>
      <c r="F11" s="53">
        <v>8.4174999999999996E-3</v>
      </c>
      <c r="G11" s="53">
        <v>3.4689999999999999E-3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0.64111971849999994</v>
      </c>
      <c r="D14" s="54">
        <v>0.61129918249399995</v>
      </c>
      <c r="E14" s="54">
        <v>0.61129918249399995</v>
      </c>
      <c r="F14" s="54">
        <v>0.28696047060300001</v>
      </c>
      <c r="G14" s="54">
        <v>0.28696047060300001</v>
      </c>
      <c r="H14" s="45">
        <v>0.21299999999999999</v>
      </c>
      <c r="I14" s="55">
        <v>0.21299999999999999</v>
      </c>
      <c r="J14" s="55">
        <v>0.21299999999999999</v>
      </c>
      <c r="K14" s="55">
        <v>0.21299999999999999</v>
      </c>
      <c r="L14" s="45">
        <v>0.17599999999999999</v>
      </c>
      <c r="M14" s="55">
        <v>0.17599999999999999</v>
      </c>
      <c r="N14" s="55">
        <v>0.17599999999999999</v>
      </c>
      <c r="O14" s="55">
        <v>0.17599999999999999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0.40241866602779841</v>
      </c>
      <c r="D15" s="52">
        <f t="shared" si="0"/>
        <v>0.38370088216701637</v>
      </c>
      <c r="E15" s="52">
        <f t="shared" si="0"/>
        <v>0.38370088216701637</v>
      </c>
      <c r="F15" s="52">
        <f t="shared" si="0"/>
        <v>0.18011963514856164</v>
      </c>
      <c r="G15" s="52">
        <f t="shared" si="0"/>
        <v>0.18011963514856164</v>
      </c>
      <c r="H15" s="52">
        <f t="shared" si="0"/>
        <v>0.13369605299999998</v>
      </c>
      <c r="I15" s="52">
        <f t="shared" si="0"/>
        <v>0.13369605299999998</v>
      </c>
      <c r="J15" s="52">
        <f t="shared" si="0"/>
        <v>0.13369605299999998</v>
      </c>
      <c r="K15" s="52">
        <f t="shared" si="0"/>
        <v>0.13369605299999998</v>
      </c>
      <c r="L15" s="52">
        <f t="shared" si="0"/>
        <v>0.11047185599999998</v>
      </c>
      <c r="M15" s="52">
        <f t="shared" si="0"/>
        <v>0.11047185599999998</v>
      </c>
      <c r="N15" s="52">
        <f t="shared" si="0"/>
        <v>0.11047185599999998</v>
      </c>
      <c r="O15" s="52">
        <f t="shared" si="0"/>
        <v>0.11047185599999998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0.44225300000000001</v>
      </c>
      <c r="D2" s="53">
        <v>0.26074360000000002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7.7970999999999999E-2</v>
      </c>
      <c r="D3" s="53">
        <v>0.1322419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0.4561074</v>
      </c>
      <c r="D4" s="53">
        <v>0.48804560000000002</v>
      </c>
      <c r="E4" s="53">
        <v>0.72140609999999994</v>
      </c>
      <c r="F4" s="53">
        <v>0.51482410000000001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2.3668599999999929E-2</v>
      </c>
      <c r="D5" s="52">
        <f t="shared" si="0"/>
        <v>0.11896890000000004</v>
      </c>
      <c r="E5" s="52">
        <f>1-SUM(E2:E4)</f>
        <v>0.27859390000000006</v>
      </c>
      <c r="F5" s="52">
        <f>1-SUM(F2:F4)</f>
        <v>0.48517589999999999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3040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0.57194999999999996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0.51329999999999998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2.2120174917966671E-2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98338.093609999996</v>
      </c>
      <c r="C22" s="109">
        <v>98152.464099999997</v>
      </c>
      <c r="D22" s="109">
        <v>97906.269419999997</v>
      </c>
      <c r="E22" s="109">
        <v>97532.453399999999</v>
      </c>
      <c r="F22" s="109">
        <v>97013.722020000001</v>
      </c>
      <c r="G22" s="109">
        <v>96424.570540000001</v>
      </c>
      <c r="H22" s="109">
        <v>95700.401589999994</v>
      </c>
      <c r="I22" s="109">
        <v>94711.500220000002</v>
      </c>
      <c r="J22" s="109">
        <v>93216.127739999996</v>
      </c>
      <c r="K22" s="109">
        <v>90893.292709999994</v>
      </c>
      <c r="L22" s="109">
        <v>87338.992859999998</v>
      </c>
      <c r="M22" s="109">
        <v>82054.692039999994</v>
      </c>
      <c r="N22" s="109">
        <v>74596.261029999994</v>
      </c>
      <c r="O22" s="109">
        <v>64682.934430000001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19.75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19.75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21.195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0.48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0.19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0.79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0.5</v>
      </c>
      <c r="C9" s="98">
        <v>0.95</v>
      </c>
      <c r="D9" s="56">
        <v>0.32855565777368906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0.37362450000000003</v>
      </c>
      <c r="C10" s="98">
        <v>0.95</v>
      </c>
      <c r="D10" s="56">
        <v>13.73503902833848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13.73503902833848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13.73503902833848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13.73503902833848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0.37362450000000003</v>
      </c>
      <c r="C14" s="98">
        <v>0.95</v>
      </c>
      <c r="D14" s="56">
        <v>13.73503902833848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13.73503902833848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</v>
      </c>
      <c r="C16" s="98">
        <v>0.95</v>
      </c>
      <c r="D16" s="56">
        <v>2.5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0.23271111111111101</v>
      </c>
      <c r="C17" s="98">
        <v>0.95</v>
      </c>
      <c r="D17" s="56">
        <v>0.14000000000000001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0.26074360000000002</v>
      </c>
      <c r="C18" s="98">
        <v>0.95</v>
      </c>
      <c r="D18" s="56">
        <v>21.195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0.26074360000000002</v>
      </c>
      <c r="C19" s="98">
        <v>0.95</v>
      </c>
      <c r="D19" s="56">
        <v>5.4969809474092566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7.48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21.195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</v>
      </c>
      <c r="C23" s="98">
        <v>0.95</v>
      </c>
      <c r="D23" s="56">
        <v>4.5831213765060994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0.658036540114042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0.37362450000000003</v>
      </c>
      <c r="C26" s="98">
        <v>0.95</v>
      </c>
      <c r="D26" s="56">
        <v>4.4421306161984946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9.2958524157825622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0.52924979999999999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0.57343129999999998</v>
      </c>
      <c r="C29" s="98">
        <v>0.95</v>
      </c>
      <c r="D29" s="56">
        <v>87.693263589511574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53.05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0</v>
      </c>
      <c r="C31" s="98">
        <v>0.95</v>
      </c>
      <c r="D31" s="56">
        <v>123.05968780269725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0.4</v>
      </c>
      <c r="C32" s="98">
        <v>0.95</v>
      </c>
      <c r="D32" s="56">
        <v>1.5917274986535743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0.84963560000000005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0.2250375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4.1947599999999988E-2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0.91775859999999998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0.306954</v>
      </c>
      <c r="C38" s="98">
        <v>0.95</v>
      </c>
      <c r="D38" s="56">
        <v>2.4500000000000002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3.43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197</v>
      </c>
      <c r="B3" s="21">
        <f>frac_mam_1month * 2.6</f>
        <v>5.2626079999999999E-2</v>
      </c>
      <c r="C3" s="21">
        <f>frac_mam_1_5months * 2.6</f>
        <v>5.2626079999999999E-2</v>
      </c>
      <c r="D3" s="21">
        <f>frac_mam_6_11months * 2.6</f>
        <v>4.9901279999999999E-2</v>
      </c>
      <c r="E3" s="21">
        <f>frac_mam_12_23months * 2.6</f>
        <v>4.3799860000000003E-2</v>
      </c>
      <c r="F3" s="21">
        <f>frac_mam_24_59months * 2.6</f>
        <v>2.9735419999999999E-2</v>
      </c>
    </row>
    <row r="4" spans="1:6" ht="15.75" customHeight="1" x14ac:dyDescent="0.25">
      <c r="A4" s="3" t="s">
        <v>198</v>
      </c>
      <c r="B4" s="21">
        <f>frac_sam_1month * 2.6</f>
        <v>2.0528560000000005E-2</v>
      </c>
      <c r="C4" s="21">
        <f>frac_sam_1_5months * 2.6</f>
        <v>2.0528560000000005E-2</v>
      </c>
      <c r="D4" s="21">
        <f>frac_sam_6_11months * 2.6</f>
        <v>5.2805999999999999E-3</v>
      </c>
      <c r="E4" s="21">
        <f>frac_sam_12_23months * 2.6</f>
        <v>2.1885499999999999E-2</v>
      </c>
      <c r="F4" s="21">
        <f>frac_sam_24_59months * 2.6</f>
        <v>9.0194000000000003E-3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0.16500000000000001</v>
      </c>
      <c r="F2" s="60">
        <f>food_insecure</f>
        <v>0.16500000000000001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0.16500000000000001</v>
      </c>
      <c r="F5" s="60">
        <f>food_insecure</f>
        <v>0.16500000000000001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0.16500000000000001</v>
      </c>
      <c r="F8" s="60">
        <f>food_insecure</f>
        <v>0.16500000000000001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0.16500000000000001</v>
      </c>
      <c r="F9" s="60">
        <f>food_insecure</f>
        <v>0.16500000000000001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0.16500000000000001</v>
      </c>
      <c r="I15" s="60">
        <f t="shared" si="0"/>
        <v>0.16500000000000001</v>
      </c>
      <c r="J15" s="60">
        <f t="shared" si="0"/>
        <v>0.16500000000000001</v>
      </c>
      <c r="K15" s="60">
        <f t="shared" si="0"/>
        <v>0.16500000000000001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0.16500000000000001</v>
      </c>
      <c r="I16" s="60">
        <f t="shared" si="0"/>
        <v>0.16500000000000001</v>
      </c>
      <c r="J16" s="60">
        <f t="shared" si="0"/>
        <v>0.16500000000000001</v>
      </c>
      <c r="K16" s="60">
        <f t="shared" si="0"/>
        <v>0.16500000000000001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</v>
      </c>
      <c r="M24" s="60">
        <f>famplan_unmet_need</f>
        <v>0.24</v>
      </c>
      <c r="N24" s="60">
        <f>famplan_unmet_need</f>
        <v>0.24</v>
      </c>
      <c r="O24" s="60">
        <f>famplan_unmet_need</f>
        <v>0.24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0.2708801028823854</v>
      </c>
      <c r="M25" s="60">
        <f>(1-food_insecure)*(0.49)+food_insecure*(0.7)</f>
        <v>0.52464999999999995</v>
      </c>
      <c r="N25" s="60">
        <f>(1-food_insecure)*(0.49)+food_insecure*(0.7)</f>
        <v>0.52464999999999995</v>
      </c>
      <c r="O25" s="60">
        <f>(1-food_insecure)*(0.49)+food_insecure*(0.7)</f>
        <v>0.52464999999999995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0.11609147266387945</v>
      </c>
      <c r="M26" s="60">
        <f>(1-food_insecure)*(0.21)+food_insecure*(0.3)</f>
        <v>0.22484999999999999</v>
      </c>
      <c r="N26" s="60">
        <f>(1-food_insecure)*(0.21)+food_insecure*(0.3)</f>
        <v>0.22484999999999999</v>
      </c>
      <c r="O26" s="60">
        <f>(1-food_insecure)*(0.21)+food_insecure*(0.3)</f>
        <v>0.22484999999999999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0.12933472938537607</v>
      </c>
      <c r="M27" s="60">
        <f>(1-food_insecure)*(0.3)</f>
        <v>0.2505</v>
      </c>
      <c r="N27" s="60">
        <f>(1-food_insecure)*(0.3)</f>
        <v>0.2505</v>
      </c>
      <c r="O27" s="60">
        <f>(1-food_insecure)*(0.3)</f>
        <v>0.2505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0.48369369506835896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2025-06-25T23:21:05Z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