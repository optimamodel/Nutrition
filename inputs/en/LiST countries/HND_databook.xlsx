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A81684D-D333-4CE8-B0A3-7E61A3A253BF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<sst xmlns="http://schemas.openxmlformats.org/spreadsheetml/2006/main" count="2102" uniqueCount="341">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</sst>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1065094.578125</v>
      </c>
    </row>
    <row r="8" spans="1:3" ht="15" customHeight="1" x14ac:dyDescent="0.25">
      <c r="B8" s="5" t="s">
        <v>8</v>
      </c>
      <c r="C8" s="44">
        <v>0.16500000000000001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0.48369369506835902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0.14680000000000001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0.28989999999999999</v>
      </c>
    </row>
    <row r="26" spans="1:3" ht="15" customHeight="1" x14ac:dyDescent="0.25">
      <c r="B26" s="15" t="s">
        <v>24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0.113828003000999</v>
      </c>
    </row>
    <row r="30" spans="1:3" ht="14.25" customHeight="1" x14ac:dyDescent="0.25">
      <c r="B30" s="25" t="s">
        <v>27</v>
      </c>
      <c r="C30" s="99">
        <v>0.86686825779453802</v>
      </c>
    </row>
    <row r="31" spans="1:3" ht="14.25" customHeight="1" x14ac:dyDescent="0.25">
      <c r="B31" s="25" t="s">
        <v>28</v>
      </c>
      <c r="C31" s="99">
        <v>1.7877388634686599E-2</v>
      </c>
    </row>
    <row r="32" spans="1:3" ht="14.25" customHeight="1" x14ac:dyDescent="0.25">
      <c r="B32" s="25" t="s">
        <v>29</v>
      </c>
      <c r="C32" s="99">
        <v>1.42635056977604E-3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9.5039800000000003</v>
      </c>
    </row>
    <row r="38" spans="1:5" ht="15" customHeight="1" x14ac:dyDescent="0.25">
      <c r="B38" s="11" t="s">
        <v>34</v>
      </c>
      <c r="C38" s="43">
        <v>14.23409</v>
      </c>
      <c r="D38" s="12"/>
      <c r="E38" s="13"/>
    </row>
    <row r="39" spans="1:5" ht="15" customHeight="1" x14ac:dyDescent="0.25">
      <c r="B39" s="11" t="s">
        <v>35</v>
      </c>
      <c r="C39" s="43">
        <v>16.555910000000001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7.1935000000000002E-3</v>
      </c>
      <c r="D45" s="12"/>
    </row>
    <row r="46" spans="1:5" ht="15.75" customHeight="1" x14ac:dyDescent="0.25">
      <c r="B46" s="11" t="s">
        <v>41</v>
      </c>
      <c r="C46" s="45">
        <v>7.7293600000000004E-2</v>
      </c>
      <c r="D46" s="12"/>
    </row>
    <row r="47" spans="1:5" ht="15.75" customHeight="1" x14ac:dyDescent="0.25">
      <c r="B47" s="11" t="s">
        <v>42</v>
      </c>
      <c r="C47" s="45">
        <v>7.4160000000000004E-2</v>
      </c>
      <c r="D47" s="12"/>
      <c r="E47" s="13"/>
    </row>
    <row r="48" spans="1:5" ht="15" customHeight="1" x14ac:dyDescent="0.25">
      <c r="B48" s="11" t="s">
        <v>43</v>
      </c>
      <c r="C48" s="46">
        <v>0.84135289999999996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0.62768099999999993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217184</v>
      </c>
      <c r="C2" s="49">
        <v>618856.50000000012</v>
      </c>
      <c r="D2" s="49">
        <v>1008097.5</v>
      </c>
      <c r="E2" s="49">
        <v>825340</v>
      </c>
      <c r="F2" s="49">
        <v>562616</v>
      </c>
      <c r="G2" s="17">
        <f t="shared" ref="G2:G13" si="0">C2+D2+E2+F2</f>
        <v>3014910</v>
      </c>
      <c r="H2" s="17">
        <f t="shared" ref="H2:H13" si="1">(B2 + stillbirth*B2/(1000-stillbirth))/(1-abortion)</f>
        <v>248847.03813190648</v>
      </c>
      <c r="I2" s="17">
        <f t="shared" ref="I2:I13" si="2">G2-H2</f>
        <v>2766062.9618680933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216965</v>
      </c>
      <c r="C3" s="50">
        <v>615624</v>
      </c>
      <c r="D3" s="50">
        <v>1016725.5</v>
      </c>
      <c r="E3" s="50">
        <v>843590</v>
      </c>
      <c r="F3" s="50">
        <v>580687</v>
      </c>
      <c r="G3" s="17">
        <f t="shared" si="0"/>
        <v>3056626.5</v>
      </c>
      <c r="H3" s="17">
        <f t="shared" si="1"/>
        <v>248596.11034095095</v>
      </c>
      <c r="I3" s="17">
        <f t="shared" si="2"/>
        <v>2808030.389659049</v>
      </c>
    </row>
    <row r="4" spans="1:9" ht="15.75" customHeight="1" x14ac:dyDescent="0.25">
      <c r="A4" s="5">
        <f t="shared" si="3"/>
        <v>2026</v>
      </c>
      <c r="B4" s="49">
        <v>216964</v>
      </c>
      <c r="C4" s="50">
        <v>612278.5</v>
      </c>
      <c r="D4" s="50">
        <v>1023552.5</v>
      </c>
      <c r="E4" s="50">
        <v>861838.5</v>
      </c>
      <c r="F4" s="50">
        <v>597547.5</v>
      </c>
      <c r="G4" s="17">
        <f t="shared" si="0"/>
        <v>3095217</v>
      </c>
      <c r="H4" s="17">
        <f t="shared" si="1"/>
        <v>248594.96455195115</v>
      </c>
      <c r="I4" s="17">
        <f t="shared" si="2"/>
        <v>2846622.0354480487</v>
      </c>
    </row>
    <row r="5" spans="1:9" ht="15.75" customHeight="1" x14ac:dyDescent="0.25">
      <c r="A5" s="5">
        <f t="shared" si="3"/>
        <v>2027</v>
      </c>
      <c r="B5" s="49">
        <v>216158</v>
      </c>
      <c r="C5" s="50">
        <v>609103.99999999988</v>
      </c>
      <c r="D5" s="50">
        <v>1028359</v>
      </c>
      <c r="E5" s="50">
        <v>880163.5</v>
      </c>
      <c r="F5" s="50">
        <v>613690.5</v>
      </c>
      <c r="G5" s="17">
        <f t="shared" si="0"/>
        <v>3131317</v>
      </c>
      <c r="H5" s="17">
        <f t="shared" si="1"/>
        <v>247671.45861811482</v>
      </c>
      <c r="I5" s="17">
        <f t="shared" si="2"/>
        <v>2883645.5413818853</v>
      </c>
    </row>
    <row r="6" spans="1:9" ht="15.75" customHeight="1" x14ac:dyDescent="0.25">
      <c r="A6" s="5">
        <f t="shared" si="3"/>
        <v>2028</v>
      </c>
      <c r="B6" s="49">
        <v>215913</v>
      </c>
      <c r="C6" s="50">
        <v>606371.5</v>
      </c>
      <c r="D6" s="50">
        <v>1030792</v>
      </c>
      <c r="E6" s="50">
        <v>898873.5</v>
      </c>
      <c r="F6" s="50">
        <v>629201.5</v>
      </c>
      <c r="G6" s="17">
        <f t="shared" si="0"/>
        <v>3165238.5</v>
      </c>
      <c r="H6" s="17">
        <f t="shared" si="1"/>
        <v>247390.74031316454</v>
      </c>
      <c r="I6" s="17">
        <f t="shared" si="2"/>
        <v>2917847.7596868356</v>
      </c>
    </row>
    <row r="7" spans="1:9" ht="15.75" customHeight="1" x14ac:dyDescent="0.25">
      <c r="A7" s="5">
        <f t="shared" si="3"/>
        <v>2029</v>
      </c>
      <c r="B7" s="49">
        <v>215104</v>
      </c>
      <c r="C7" s="50">
        <v>604360</v>
      </c>
      <c r="D7" s="50">
        <v>1030517.5</v>
      </c>
      <c r="E7" s="50">
        <v>918089</v>
      </c>
      <c r="F7" s="50">
        <v>644001.5</v>
      </c>
      <c r="G7" s="17">
        <f t="shared" si="0"/>
        <v>3196968</v>
      </c>
      <c r="H7" s="17">
        <f t="shared" si="1"/>
        <v>246463.79701232878</v>
      </c>
      <c r="I7" s="17">
        <f t="shared" si="2"/>
        <v>2950504.2029876714</v>
      </c>
    </row>
    <row r="8" spans="1:9" ht="15.75" customHeight="1" x14ac:dyDescent="0.25">
      <c r="A8" s="5">
        <f t="shared" si="3"/>
        <v>2030</v>
      </c>
      <c r="B8" s="49">
        <v>214795</v>
      </c>
      <c r="C8" s="50">
        <v>603372.99999999988</v>
      </c>
      <c r="D8" s="50">
        <v>1028100.5</v>
      </c>
      <c r="E8" s="50">
        <v>936964.5</v>
      </c>
      <c r="F8" s="50">
        <v>658391.5</v>
      </c>
      <c r="G8" s="17">
        <f t="shared" si="0"/>
        <v>3226829.5</v>
      </c>
      <c r="H8" s="17">
        <f t="shared" si="1"/>
        <v>246109.7482113915</v>
      </c>
      <c r="I8" s="17">
        <f t="shared" si="2"/>
        <v>2980719.7517886087</v>
      </c>
    </row>
    <row r="9" spans="1:9" ht="15.75" customHeight="1" x14ac:dyDescent="0.25">
      <c r="A9" s="5">
        <f t="shared" si="3"/>
        <v>2031</v>
      </c>
      <c r="B9" s="49">
        <v>213113</v>
      </c>
      <c r="C9" s="50">
        <v>603548</v>
      </c>
      <c r="D9" s="50">
        <v>1024482</v>
      </c>
      <c r="E9" s="50">
        <v>954492.5</v>
      </c>
      <c r="F9" s="50">
        <v>672778</v>
      </c>
      <c r="G9" s="17">
        <f t="shared" si="0"/>
        <v>3255300.5</v>
      </c>
      <c r="H9" s="17">
        <f t="shared" si="1"/>
        <v>244182.53111373298</v>
      </c>
      <c r="I9" s="17">
        <f t="shared" si="2"/>
        <v>3011117.9688862669</v>
      </c>
    </row>
    <row r="10" spans="1:9" ht="15.75" customHeight="1" x14ac:dyDescent="0.25">
      <c r="A10" s="5">
        <f t="shared" si="3"/>
        <v>2032</v>
      </c>
      <c r="B10" s="49">
        <v>212134</v>
      </c>
      <c r="C10" s="50">
        <v>604822.5</v>
      </c>
      <c r="D10" s="50">
        <v>1020245.5</v>
      </c>
      <c r="E10" s="50">
        <v>970043.5</v>
      </c>
      <c r="F10" s="50">
        <v>687439</v>
      </c>
      <c r="G10" s="17">
        <f t="shared" si="0"/>
        <v>3282550.5</v>
      </c>
      <c r="H10" s="17">
        <f t="shared" si="1"/>
        <v>243060.80368293179</v>
      </c>
      <c r="I10" s="17">
        <f t="shared" si="2"/>
        <v>3039489.6963170683</v>
      </c>
    </row>
    <row r="11" spans="1:9" ht="15.75" customHeight="1" x14ac:dyDescent="0.25">
      <c r="A11" s="5">
        <f t="shared" si="3"/>
        <v>2033</v>
      </c>
      <c r="B11" s="49">
        <v>210819</v>
      </c>
      <c r="C11" s="50">
        <v>607020</v>
      </c>
      <c r="D11" s="50">
        <v>1015854.5</v>
      </c>
      <c r="E11" s="50">
        <v>983210</v>
      </c>
      <c r="F11" s="50">
        <v>702601</v>
      </c>
      <c r="G11" s="17">
        <f t="shared" si="0"/>
        <v>3308685.5</v>
      </c>
      <c r="H11" s="17">
        <f t="shared" si="1"/>
        <v>241554.09114819873</v>
      </c>
      <c r="I11" s="17">
        <f t="shared" si="2"/>
        <v>3067131.4088518014</v>
      </c>
    </row>
    <row r="12" spans="1:9" ht="15.75" customHeight="1" x14ac:dyDescent="0.25">
      <c r="A12" s="5">
        <f t="shared" si="3"/>
        <v>2034</v>
      </c>
      <c r="B12" s="49">
        <v>208915</v>
      </c>
      <c r="C12" s="50">
        <v>609816</v>
      </c>
      <c r="D12" s="50">
        <v>1011656</v>
      </c>
      <c r="E12" s="50">
        <v>994073.5</v>
      </c>
      <c r="F12" s="50">
        <v>718539</v>
      </c>
      <c r="G12" s="17">
        <f t="shared" si="0"/>
        <v>3334084.5</v>
      </c>
      <c r="H12" s="17">
        <f t="shared" si="1"/>
        <v>239372.50889258529</v>
      </c>
      <c r="I12" s="17">
        <f t="shared" si="2"/>
        <v>3094711.9911074145</v>
      </c>
    </row>
    <row r="13" spans="1:9" ht="15.75" customHeight="1" x14ac:dyDescent="0.25">
      <c r="A13" s="5">
        <f t="shared" si="3"/>
        <v>2035</v>
      </c>
      <c r="B13" s="49">
        <v>208357</v>
      </c>
      <c r="C13" s="50">
        <v>612797</v>
      </c>
      <c r="D13" s="50">
        <v>1007957.5</v>
      </c>
      <c r="E13" s="50">
        <v>1003012</v>
      </c>
      <c r="F13" s="50">
        <v>735159</v>
      </c>
      <c r="G13" s="17">
        <f t="shared" si="0"/>
        <v>3358925.5</v>
      </c>
      <c r="H13" s="17">
        <f t="shared" si="1"/>
        <v>238733.15863069857</v>
      </c>
      <c r="I13" s="17">
        <f t="shared" si="2"/>
        <v>3120192.3413693015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7.7452100000000051E-2</v>
      </c>
    </row>
    <row r="5" spans="1:8" ht="15.75" customHeight="1" x14ac:dyDescent="0.25">
      <c r="B5" s="19" t="s">
        <v>70</v>
      </c>
      <c r="C5" s="101">
        <v>2.7733600000000049E-2</v>
      </c>
    </row>
    <row r="6" spans="1:8" ht="15.75" customHeight="1" x14ac:dyDescent="0.25">
      <c r="B6" s="19" t="s">
        <v>71</v>
      </c>
      <c r="C6" s="101">
        <v>0.16728139999999991</v>
      </c>
    </row>
    <row r="7" spans="1:8" ht="15.75" customHeight="1" x14ac:dyDescent="0.25">
      <c r="B7" s="19" t="s">
        <v>72</v>
      </c>
      <c r="C7" s="101">
        <v>0.43133549999999909</v>
      </c>
    </row>
    <row r="8" spans="1:8" ht="15.75" customHeight="1" x14ac:dyDescent="0.25">
      <c r="B8" s="19" t="s">
        <v>73</v>
      </c>
      <c r="C8" s="101">
        <v>9.3167000000000041E-3</v>
      </c>
    </row>
    <row r="9" spans="1:8" ht="15.75" customHeight="1" x14ac:dyDescent="0.25">
      <c r="B9" s="19" t="s">
        <v>74</v>
      </c>
      <c r="C9" s="101">
        <v>0.2029222000000008</v>
      </c>
    </row>
    <row r="10" spans="1:8" ht="15.75" customHeight="1" x14ac:dyDescent="0.25">
      <c r="B10" s="19" t="s">
        <v>75</v>
      </c>
      <c r="C10" s="101">
        <v>8.3958499999999908E-2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82</v>
      </c>
      <c r="C15" s="101">
        <v>0.40880962009481991</v>
      </c>
      <c r="D15" s="101">
        <v>0.40880962009481991</v>
      </c>
      <c r="E15" s="101">
        <v>0.40880962009481991</v>
      </c>
      <c r="F15" s="101">
        <v>0.40880962009481991</v>
      </c>
    </row>
    <row r="16" spans="1:8" ht="15.75" customHeight="1" x14ac:dyDescent="0.25">
      <c r="B16" s="19" t="s">
        <v>83</v>
      </c>
      <c r="C16" s="101">
        <v>1.389605921598821E-2</v>
      </c>
      <c r="D16" s="101">
        <v>1.389605921598821E-2</v>
      </c>
      <c r="E16" s="101">
        <v>1.389605921598821E-2</v>
      </c>
      <c r="F16" s="101">
        <v>1.389605921598821E-2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2.2400301830658709E-2</v>
      </c>
      <c r="D19" s="101">
        <v>2.2400301830658709E-2</v>
      </c>
      <c r="E19" s="101">
        <v>2.2400301830658709E-2</v>
      </c>
      <c r="F19" s="101">
        <v>2.2400301830658709E-2</v>
      </c>
    </row>
    <row r="20" spans="1:8" ht="15.75" customHeight="1" x14ac:dyDescent="0.25">
      <c r="B20" s="19" t="s">
        <v>87</v>
      </c>
      <c r="C20" s="101">
        <v>1.215411425305395E-2</v>
      </c>
      <c r="D20" s="101">
        <v>1.215411425305395E-2</v>
      </c>
      <c r="E20" s="101">
        <v>1.215411425305395E-2</v>
      </c>
      <c r="F20" s="101">
        <v>1.215411425305395E-2</v>
      </c>
    </row>
    <row r="21" spans="1:8" ht="15.75" customHeight="1" x14ac:dyDescent="0.25">
      <c r="B21" s="19" t="s">
        <v>88</v>
      </c>
      <c r="C21" s="101">
        <v>0.11903384826955</v>
      </c>
      <c r="D21" s="101">
        <v>0.11903384826955</v>
      </c>
      <c r="E21" s="101">
        <v>0.11903384826955</v>
      </c>
      <c r="F21" s="101">
        <v>0.11903384826955</v>
      </c>
    </row>
    <row r="22" spans="1:8" ht="15.75" customHeight="1" x14ac:dyDescent="0.25">
      <c r="B22" s="19" t="s">
        <v>89</v>
      </c>
      <c r="C22" s="101">
        <v>0.1030439432546139</v>
      </c>
      <c r="D22" s="101">
        <v>0.1030439432546139</v>
      </c>
      <c r="E22" s="101">
        <v>0.1030439432546139</v>
      </c>
      <c r="F22" s="101">
        <v>0.1030439432546139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2.3295386000000001E-2</v>
      </c>
    </row>
    <row r="27" spans="1:8" ht="15.75" customHeight="1" x14ac:dyDescent="0.25">
      <c r="B27" s="19" t="s">
        <v>92</v>
      </c>
      <c r="C27" s="101">
        <v>9.7438085999999993E-2</v>
      </c>
    </row>
    <row r="28" spans="1:8" ht="15.75" customHeight="1" x14ac:dyDescent="0.25">
      <c r="B28" s="19" t="s">
        <v>93</v>
      </c>
      <c r="C28" s="101">
        <v>0.31612977399999997</v>
      </c>
    </row>
    <row r="29" spans="1:8" ht="15.75" customHeight="1" x14ac:dyDescent="0.25">
      <c r="B29" s="19" t="s">
        <v>94</v>
      </c>
      <c r="C29" s="101">
        <v>0.192412257</v>
      </c>
    </row>
    <row r="30" spans="1:8" ht="15.75" customHeight="1" x14ac:dyDescent="0.25">
      <c r="B30" s="19" t="s">
        <v>95</v>
      </c>
      <c r="C30" s="101">
        <v>0.10694290400000001</v>
      </c>
    </row>
    <row r="31" spans="1:8" ht="15.75" customHeight="1" x14ac:dyDescent="0.25">
      <c r="B31" s="19" t="s">
        <v>96</v>
      </c>
      <c r="C31" s="101">
        <v>2.3714310999999998E-2</v>
      </c>
    </row>
    <row r="32" spans="1:8" ht="15.75" customHeight="1" x14ac:dyDescent="0.25">
      <c r="B32" s="19" t="s">
        <v>97</v>
      </c>
      <c r="C32" s="101">
        <v>2.6508690000000001E-3</v>
      </c>
    </row>
    <row r="33" spans="2:3" ht="15.75" customHeight="1" x14ac:dyDescent="0.25">
      <c r="B33" s="19" t="s">
        <v>98</v>
      </c>
      <c r="C33" s="101">
        <v>0.189281701</v>
      </c>
    </row>
    <row r="34" spans="2:3" ht="15.75" customHeight="1" x14ac:dyDescent="0.25">
      <c r="B34" s="19" t="s">
        <v>99</v>
      </c>
      <c r="C34" s="101">
        <v>4.813471099999999E-2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104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105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109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110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122</v>
      </c>
      <c r="C5" s="52">
        <v>2.3668600000000001E-2</v>
      </c>
      <c r="D5" s="52">
        <v>0.1189689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46.657462083638059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0.237512345991895</v>
      </c>
      <c r="C3" s="98">
        <v>0.95</v>
      </c>
      <c r="D3" s="56">
        <v>42.717327128317891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236.1160204529337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1.0318710934702491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0.37362450000000003</v>
      </c>
      <c r="C10" s="98">
        <v>0.95</v>
      </c>
      <c r="D10" s="56">
        <v>13.73503902833848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0.37362450000000003</v>
      </c>
      <c r="C11" s="98">
        <v>0.95</v>
      </c>
      <c r="D11" s="56">
        <v>13.73503902833848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0.37362450000000003</v>
      </c>
      <c r="C12" s="98">
        <v>0.95</v>
      </c>
      <c r="D12" s="56">
        <v>13.73503902833848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0.37362450000000003</v>
      </c>
      <c r="C13" s="98">
        <v>0.95</v>
      </c>
      <c r="D13" s="56">
        <v>13.73503902833848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0.37362450000000003</v>
      </c>
      <c r="C14" s="98">
        <v>0.95</v>
      </c>
      <c r="D14" s="56">
        <v>13.73503902833848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0.37362450000000003</v>
      </c>
      <c r="C15" s="98">
        <v>0.95</v>
      </c>
      <c r="D15" s="56">
        <v>13.73503902833848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0.47428176618855961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0.23271111111111101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0.13223304177</v>
      </c>
      <c r="C18" s="98">
        <v>0.95</v>
      </c>
      <c r="D18" s="56">
        <v>5.4969809474092566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0.84396990000000005</v>
      </c>
      <c r="C19" s="98">
        <v>0.95</v>
      </c>
      <c r="D19" s="56">
        <v>5.4969809474092566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0.91775859999999998</v>
      </c>
      <c r="C21" s="98">
        <v>0.95</v>
      </c>
      <c r="D21" s="56">
        <v>8.8005415971440346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23.544341700323429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4.5831213765060994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0.87805682541595798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0.37362450000000003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19.732801874256189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0.68858724983404196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87.693263589511574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</v>
      </c>
      <c r="C31" s="98">
        <v>0.95</v>
      </c>
      <c r="D31" s="56">
        <v>0.2992427386952129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0.98736889208471235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0.57343129999999998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0.52924979999999999</v>
      </c>
      <c r="C38" s="98">
        <v>0.95</v>
      </c>
      <c r="D38" s="56">
        <v>6.3501454073226729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205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0.16500000000000001</v>
      </c>
      <c r="E2" s="60">
        <f>food_insecure</f>
        <v>0.16500000000000001</v>
      </c>
      <c r="F2" s="60">
        <f>food_insecure</f>
        <v>0.16500000000000001</v>
      </c>
      <c r="G2" s="60">
        <f>food_insecure</f>
        <v>0.16500000000000001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0.16500000000000001</v>
      </c>
      <c r="I15" s="60">
        <f>food_insecure</f>
        <v>0.16500000000000001</v>
      </c>
      <c r="J15" s="60">
        <f>food_insecure</f>
        <v>0.16500000000000001</v>
      </c>
      <c r="K15" s="60">
        <f>food_insecure</f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2024-05-09T01:46:21Z</dcterms:modified>
</cp:coreProperties>
</file>