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DFD5C6E-4DE4-4AE2-BBE4-4F58B5591A4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31" i="2"/>
  <c r="A29" i="2"/>
  <c r="A26" i="2"/>
  <c r="A25" i="2"/>
  <c r="A23" i="2"/>
  <c r="A21" i="2"/>
  <c r="A18" i="2"/>
  <c r="A17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2" i="2" s="1"/>
  <c r="C33" i="1"/>
  <c r="C20" i="1"/>
  <c r="A19" i="2" l="1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<sst xmlns="http://schemas.openxmlformats.org/spreadsheetml/2006/main" count="2103" uniqueCount="341">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</sst>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0.30406169891357399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36.104865630041672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47.391762786682577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70.675747512215978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7.4868999999999986E-3</v>
      </c>
      <c r="C16" s="98">
        <v>0.95</v>
      </c>
      <c r="D16" s="56">
        <v>0.25353452797983911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0.56024590000000007</v>
      </c>
      <c r="C18" s="98">
        <v>0.95</v>
      </c>
      <c r="D18" s="56">
        <v>1.7327840647821271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0.56024590000000007</v>
      </c>
      <c r="C19" s="98">
        <v>0.95</v>
      </c>
      <c r="D19" s="56">
        <v>1.7327840647821271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1.648928588690538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0.70499999999999996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0.34613380963715201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21.746117356862921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0.29529529999999998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0.13494429999999999</v>
      </c>
      <c r="C29" s="98">
        <v>0.95</v>
      </c>
      <c r="D29" s="56">
        <v>63.608546888725961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0.1201</v>
      </c>
      <c r="C31" s="98">
        <v>0.95</v>
      </c>
      <c r="D31" s="56">
        <v>2.179529460069769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0.73</v>
      </c>
      <c r="C32" s="98">
        <v>0.95</v>
      </c>
      <c r="D32" s="56">
        <v>0.48159678577230752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8.32175E-2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0.36904579999999998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1.1650499999999999E-2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0.44068459999999998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0.33287060000000002</v>
      </c>
      <c r="C38" s="98">
        <v>0.95</v>
      </c>
      <c r="D38" s="56">
        <v>3.993553334710461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0.1090276239327933</v>
      </c>
      <c r="G18" s="90">
        <f>MIN(MAX(1-0.89/(1-frac_sam_12_23months+(frac_sam_12_23months*0.89)),0),1)</f>
        <v>0.10870394590793542</v>
      </c>
      <c r="H18" s="90">
        <f>MIN(MAX(1-0.89/(1-frac_sam_24_59months+(frac_sam_24_59months*0.89)),0),1)</f>
        <v>0.10879543543366832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0.10482161054535344</v>
      </c>
      <c r="G20" s="90">
        <f>MIN(MAX(1-0.89/(1-frac_mam_12_23months+(frac_mam_12_23months*0.89)),0),1)</f>
        <v>0.10363164886335774</v>
      </c>
      <c r="H20" s="90">
        <f>MIN(MAX(1-0.89/(1-frac_mam_24_59months+(frac_mam_24_59months*0.89)),0),1)</f>
        <v>0.10479283775689452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9.9017674038529568E-3</v>
      </c>
      <c r="G73" s="90">
        <f>MIN(MAX(1-0.99/(1-frac_sam_12_23months+(frac_sam_12_23months*0.99)),0),1)</f>
        <v>9.8691116274733925E-3</v>
      </c>
      <c r="H73" s="90">
        <f>MIN(MAX(1-0.99/(1-frac_sam_24_59months+(frac_sam_24_59months*0.99)),0),1)</f>
        <v>9.8783397911235138E-3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9.4790979343754023E-3</v>
      </c>
      <c r="G75" s="90">
        <f>MIN(MAX(1-0.99/(1-frac_mam_12_23months+(frac_mam_12_23months*0.99)),0),1)</f>
        <v>9.3601714914018919E-3</v>
      </c>
      <c r="H75" s="90">
        <f>MIN(MAX(1-0.99/(1-frac_mam_24_59months+(frac_mam_24_59months*0.99)),0),1)</f>
        <v>9.4762189487703763E-3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0.19840940377992045</v>
      </c>
      <c r="G128" s="90">
        <f>MIN(MAX(1-0.8/(1-frac_sam_12_23months+(frac_sam_12_23months*0.8)),0),1)</f>
        <v>0.19787930517979258</v>
      </c>
      <c r="H128" s="90">
        <f>MIN(MAX(1-0.8/(1-frac_sam_24_59months+(frac_sam_24_59months*0.8)),0),1)</f>
        <v>0.19802917273140397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0.19149636902029943</v>
      </c>
      <c r="G130" s="90">
        <f>MIN(MAX(1-0.8/(1-frac_mam_12_23months+(frac_mam_12_23months*0.8)),0),1)</f>
        <v>0.18953078006082003</v>
      </c>
      <c r="H130" s="90">
        <f>MIN(MAX(1-0.8/(1-frac_mam_24_59months+(frac_mam_24_59months*0.8)),0),1)</f>
        <v>0.19144889285905442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2024-06-18T06:55:08Z</dcterms:modified>
</cp:coreProperties>
</file>