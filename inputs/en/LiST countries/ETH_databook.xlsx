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D5BFFC4-688B-4236-AD77-B78B210FD0BC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7" i="2"/>
  <c r="A35" i="2"/>
  <c r="A33" i="2"/>
  <c r="A31" i="2"/>
  <c r="A29" i="2"/>
  <c r="A27" i="2"/>
  <c r="A25" i="2"/>
  <c r="A23" i="2"/>
  <c r="A21" i="2"/>
  <c r="A19" i="2"/>
  <c r="A17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A39" i="2" s="1"/>
  <c r="C33" i="1"/>
  <c r="C20" i="1"/>
  <c r="A20" i="2" l="1"/>
  <c r="A28" i="2"/>
  <c r="A36" i="2"/>
  <c r="A14" i="2"/>
  <c r="A22" i="2"/>
  <c r="A30" i="2"/>
  <c r="A38" i="2"/>
  <c r="A40" i="2"/>
  <c r="A16" i="2"/>
  <c r="A24" i="2"/>
  <c r="A3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<sst xmlns="http://schemas.openxmlformats.org/spreadsheetml/2006/main" count="2092" uniqueCount="341">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</sst>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18886935.875</v>
      </c>
    </row>
    <row r="8" spans="1:3" ht="15" customHeight="1" x14ac:dyDescent="0.25">
      <c r="B8" s="5" t="s">
        <v>8</v>
      </c>
      <c r="C8" s="44">
        <v>0.308</v>
      </c>
    </row>
    <row r="9" spans="1:3" ht="15" customHeight="1" x14ac:dyDescent="0.25">
      <c r="B9" s="5" t="s">
        <v>9</v>
      </c>
      <c r="C9" s="45">
        <v>0.14000000000000001</v>
      </c>
    </row>
    <row r="10" spans="1:3" ht="15" customHeight="1" x14ac:dyDescent="0.25">
      <c r="B10" s="5" t="s">
        <v>10</v>
      </c>
      <c r="C10" s="45">
        <v>0.30406169891357399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0.40600000000000003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8.4900000000000003E-2</v>
      </c>
    </row>
    <row r="24" spans="1:3" ht="15" customHeight="1" x14ac:dyDescent="0.25">
      <c r="B24" s="15" t="s">
        <v>22</v>
      </c>
      <c r="C24" s="45">
        <v>0.46400000000000002</v>
      </c>
    </row>
    <row r="25" spans="1:3" ht="15" customHeight="1" x14ac:dyDescent="0.25">
      <c r="B25" s="15" t="s">
        <v>23</v>
      </c>
      <c r="C25" s="45">
        <v>0.35129999999999989</v>
      </c>
    </row>
    <row r="26" spans="1:3" ht="15" customHeight="1" x14ac:dyDescent="0.25">
      <c r="B26" s="15" t="s">
        <v>24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9">
        <v>7.529214782846369E-2</v>
      </c>
    </row>
    <row r="31" spans="1:3" ht="14.25" customHeight="1" x14ac:dyDescent="0.25">
      <c r="B31" s="25" t="s">
        <v>28</v>
      </c>
      <c r="C31" s="99">
        <v>0.10030682254742999</v>
      </c>
    </row>
    <row r="32" spans="1:3" ht="14.25" customHeight="1" x14ac:dyDescent="0.25">
      <c r="B32" s="25" t="s">
        <v>29</v>
      </c>
      <c r="C32" s="99">
        <v>0.63627567094802595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26.188870000000001</v>
      </c>
    </row>
    <row r="38" spans="1:5" ht="15" customHeight="1" x14ac:dyDescent="0.25">
      <c r="B38" s="11" t="s">
        <v>34</v>
      </c>
      <c r="C38" s="43">
        <v>34.274819999999998</v>
      </c>
      <c r="D38" s="12"/>
      <c r="E38" s="13"/>
    </row>
    <row r="39" spans="1:5" ht="15" customHeight="1" x14ac:dyDescent="0.25">
      <c r="B39" s="11" t="s">
        <v>35</v>
      </c>
      <c r="C39" s="43">
        <v>46.81147</v>
      </c>
      <c r="D39" s="12"/>
      <c r="E39" s="12"/>
    </row>
    <row r="40" spans="1:5" ht="15" customHeight="1" x14ac:dyDescent="0.25">
      <c r="B40" s="11" t="s">
        <v>36</v>
      </c>
      <c r="C40" s="100">
        <v>2.67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1.10796E-2</v>
      </c>
      <c r="D45" s="12"/>
    </row>
    <row r="46" spans="1:5" ht="15.75" customHeight="1" x14ac:dyDescent="0.25">
      <c r="B46" s="11" t="s">
        <v>41</v>
      </c>
      <c r="C46" s="45">
        <v>0.1180031</v>
      </c>
      <c r="D46" s="12"/>
    </row>
    <row r="47" spans="1:5" ht="15.75" customHeight="1" x14ac:dyDescent="0.25">
      <c r="B47" s="11" t="s">
        <v>42</v>
      </c>
      <c r="C47" s="45">
        <v>0.15551380000000001</v>
      </c>
      <c r="D47" s="12"/>
      <c r="E47" s="13"/>
    </row>
    <row r="48" spans="1:5" ht="15" customHeight="1" x14ac:dyDescent="0.25">
      <c r="B48" s="11" t="s">
        <v>43</v>
      </c>
      <c r="C48" s="46">
        <v>0.71540350000000008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0.56030799999999992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3412956.9992</v>
      </c>
      <c r="C2" s="49">
        <v>6594000</v>
      </c>
      <c r="D2" s="49">
        <v>11826000</v>
      </c>
      <c r="E2" s="49">
        <v>8122000</v>
      </c>
      <c r="F2" s="49">
        <v>5377000</v>
      </c>
      <c r="G2" s="17">
        <f t="shared" ref="G2:G13" si="0">C2+D2+E2+F2</f>
        <v>31919000</v>
      </c>
      <c r="H2" s="17">
        <f t="shared" ref="H2:H13" si="1">(B2 + stillbirth*B2/(1000-stillbirth))/(1-abortion)</f>
        <v>3959792.97287144</v>
      </c>
      <c r="I2" s="17">
        <f t="shared" ref="I2:I13" si="2">G2-H2</f>
        <v>27959207.027128559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3422797.8190000001</v>
      </c>
      <c r="C3" s="50">
        <v>6660000</v>
      </c>
      <c r="D3" s="50">
        <v>12076000</v>
      </c>
      <c r="E3" s="50">
        <v>8450000</v>
      </c>
      <c r="F3" s="50">
        <v>5604000</v>
      </c>
      <c r="G3" s="17">
        <f t="shared" si="0"/>
        <v>32790000</v>
      </c>
      <c r="H3" s="17">
        <f t="shared" si="1"/>
        <v>3971210.523429642</v>
      </c>
      <c r="I3" s="17">
        <f t="shared" si="2"/>
        <v>28818789.476570357</v>
      </c>
    </row>
    <row r="4" spans="1:9" ht="15.75" customHeight="1" x14ac:dyDescent="0.25">
      <c r="A4" s="5">
        <f t="shared" si="3"/>
        <v>2026</v>
      </c>
      <c r="B4" s="49">
        <v>3434184.8256000001</v>
      </c>
      <c r="C4" s="50">
        <v>6741000</v>
      </c>
      <c r="D4" s="50">
        <v>12290000</v>
      </c>
      <c r="E4" s="50">
        <v>8801000</v>
      </c>
      <c r="F4" s="50">
        <v>5829000</v>
      </c>
      <c r="G4" s="17">
        <f t="shared" si="0"/>
        <v>33661000</v>
      </c>
      <c r="H4" s="17">
        <f t="shared" si="1"/>
        <v>3984421.9962748284</v>
      </c>
      <c r="I4" s="17">
        <f t="shared" si="2"/>
        <v>29676578.003725171</v>
      </c>
    </row>
    <row r="5" spans="1:9" ht="15.75" customHeight="1" x14ac:dyDescent="0.25">
      <c r="A5" s="5">
        <f t="shared" si="3"/>
        <v>2027</v>
      </c>
      <c r="B5" s="49">
        <v>3443062.3292</v>
      </c>
      <c r="C5" s="50">
        <v>6841000</v>
      </c>
      <c r="D5" s="50">
        <v>12471000</v>
      </c>
      <c r="E5" s="50">
        <v>9179000</v>
      </c>
      <c r="F5" s="50">
        <v>6057000</v>
      </c>
      <c r="G5" s="17">
        <f t="shared" si="0"/>
        <v>34548000</v>
      </c>
      <c r="H5" s="17">
        <f t="shared" si="1"/>
        <v>3994721.8847235139</v>
      </c>
      <c r="I5" s="17">
        <f t="shared" si="2"/>
        <v>30553278.115276486</v>
      </c>
    </row>
    <row r="6" spans="1:9" ht="15.75" customHeight="1" x14ac:dyDescent="0.25">
      <c r="A6" s="5">
        <f t="shared" si="3"/>
        <v>2028</v>
      </c>
      <c r="B6" s="49">
        <v>3449374.6124</v>
      </c>
      <c r="C6" s="50">
        <v>6951000</v>
      </c>
      <c r="D6" s="50">
        <v>12627000</v>
      </c>
      <c r="E6" s="50">
        <v>9571000</v>
      </c>
      <c r="F6" s="50">
        <v>6288000</v>
      </c>
      <c r="G6" s="17">
        <f t="shared" si="0"/>
        <v>35437000</v>
      </c>
      <c r="H6" s="17">
        <f t="shared" si="1"/>
        <v>4002045.5441379147</v>
      </c>
      <c r="I6" s="17">
        <f t="shared" si="2"/>
        <v>31434954.455862086</v>
      </c>
    </row>
    <row r="7" spans="1:9" ht="15.75" customHeight="1" x14ac:dyDescent="0.25">
      <c r="A7" s="5">
        <f t="shared" si="3"/>
        <v>2029</v>
      </c>
      <c r="B7" s="49">
        <v>3453095.0159999989</v>
      </c>
      <c r="C7" s="50">
        <v>7061000</v>
      </c>
      <c r="D7" s="50">
        <v>12774000</v>
      </c>
      <c r="E7" s="50">
        <v>9959000</v>
      </c>
      <c r="F7" s="50">
        <v>6525000</v>
      </c>
      <c r="G7" s="17">
        <f t="shared" si="0"/>
        <v>36319000</v>
      </c>
      <c r="H7" s="17">
        <f t="shared" si="1"/>
        <v>4006362.0438872445</v>
      </c>
      <c r="I7" s="17">
        <f t="shared" si="2"/>
        <v>32312637.956112757</v>
      </c>
    </row>
    <row r="8" spans="1:9" ht="15.75" customHeight="1" x14ac:dyDescent="0.25">
      <c r="A8" s="5">
        <f t="shared" si="3"/>
        <v>2030</v>
      </c>
      <c r="B8" s="49">
        <v>3454198.8</v>
      </c>
      <c r="C8" s="50">
        <v>7164000</v>
      </c>
      <c r="D8" s="50">
        <v>12922000</v>
      </c>
      <c r="E8" s="50">
        <v>10330000</v>
      </c>
      <c r="F8" s="50">
        <v>6772000</v>
      </c>
      <c r="G8" s="17">
        <f t="shared" si="0"/>
        <v>37188000</v>
      </c>
      <c r="H8" s="17">
        <f t="shared" si="1"/>
        <v>4007642.6800416983</v>
      </c>
      <c r="I8" s="17">
        <f t="shared" si="2"/>
        <v>33180357.319958303</v>
      </c>
    </row>
    <row r="9" spans="1:9" ht="15.75" customHeight="1" x14ac:dyDescent="0.25">
      <c r="A9" s="5">
        <f t="shared" si="3"/>
        <v>2031</v>
      </c>
      <c r="B9" s="49">
        <v>3460090.485828571</v>
      </c>
      <c r="C9" s="50">
        <v>7245428.5714285718</v>
      </c>
      <c r="D9" s="50">
        <v>13078571.428571429</v>
      </c>
      <c r="E9" s="50">
        <v>10645428.571428571</v>
      </c>
      <c r="F9" s="50">
        <v>6971285.7142857146</v>
      </c>
      <c r="G9" s="17">
        <f t="shared" si="0"/>
        <v>37940714.285714284</v>
      </c>
      <c r="H9" s="17">
        <f t="shared" si="1"/>
        <v>4014478.3524945923</v>
      </c>
      <c r="I9" s="17">
        <f t="shared" si="2"/>
        <v>33926235.933219694</v>
      </c>
    </row>
    <row r="10" spans="1:9" ht="15.75" customHeight="1" x14ac:dyDescent="0.25">
      <c r="A10" s="5">
        <f t="shared" si="3"/>
        <v>2032</v>
      </c>
      <c r="B10" s="49">
        <v>3465418.0096612242</v>
      </c>
      <c r="C10" s="50">
        <v>7329061.224489796</v>
      </c>
      <c r="D10" s="50">
        <v>13221795.91836735</v>
      </c>
      <c r="E10" s="50">
        <v>10959061.224489801</v>
      </c>
      <c r="F10" s="50">
        <v>7166612.2448979598</v>
      </c>
      <c r="G10" s="17">
        <f t="shared" si="0"/>
        <v>38676530.612244904</v>
      </c>
      <c r="H10" s="17">
        <f t="shared" si="1"/>
        <v>4020659.4709324422</v>
      </c>
      <c r="I10" s="17">
        <f t="shared" si="2"/>
        <v>34655871.141312465</v>
      </c>
    </row>
    <row r="11" spans="1:9" ht="15.75" customHeight="1" x14ac:dyDescent="0.25">
      <c r="A11" s="5">
        <f t="shared" si="3"/>
        <v>2033</v>
      </c>
      <c r="B11" s="49">
        <v>3469879.893098542</v>
      </c>
      <c r="C11" s="50">
        <v>7413069.9708454814</v>
      </c>
      <c r="D11" s="50">
        <v>13354909.620991251</v>
      </c>
      <c r="E11" s="50">
        <v>11267355.68513119</v>
      </c>
      <c r="F11" s="50">
        <v>7357699.708454811</v>
      </c>
      <c r="G11" s="17">
        <f t="shared" si="0"/>
        <v>39393034.98542273</v>
      </c>
      <c r="H11" s="17">
        <f t="shared" si="1"/>
        <v>4025836.2530263872</v>
      </c>
      <c r="I11" s="17">
        <f t="shared" si="2"/>
        <v>35367198.732396342</v>
      </c>
    </row>
    <row r="12" spans="1:9" ht="15.75" customHeight="1" x14ac:dyDescent="0.25">
      <c r="A12" s="5">
        <f t="shared" si="3"/>
        <v>2034</v>
      </c>
      <c r="B12" s="49">
        <v>3473710.9736554772</v>
      </c>
      <c r="C12" s="50">
        <v>7494794.2523948355</v>
      </c>
      <c r="D12" s="50">
        <v>13481182.423990009</v>
      </c>
      <c r="E12" s="50">
        <v>11565692.211578511</v>
      </c>
      <c r="F12" s="50">
        <v>7543513.9525197838</v>
      </c>
      <c r="G12" s="17">
        <f t="shared" si="0"/>
        <v>40085182.840483136</v>
      </c>
      <c r="H12" s="17">
        <f t="shared" si="1"/>
        <v>4030281.1627839413</v>
      </c>
      <c r="I12" s="17">
        <f t="shared" si="2"/>
        <v>36054901.677699193</v>
      </c>
    </row>
    <row r="13" spans="1:9" ht="15.75" customHeight="1" x14ac:dyDescent="0.25">
      <c r="A13" s="5">
        <f t="shared" si="3"/>
        <v>2035</v>
      </c>
      <c r="B13" s="49">
        <v>3477187.596691974</v>
      </c>
      <c r="C13" s="50">
        <v>7572479.1455940977</v>
      </c>
      <c r="D13" s="50">
        <v>13603208.484560009</v>
      </c>
      <c r="E13" s="50">
        <v>11850648.241804009</v>
      </c>
      <c r="F13" s="50">
        <v>7722873.088594039</v>
      </c>
      <c r="G13" s="17">
        <f t="shared" si="0"/>
        <v>40749208.960552156</v>
      </c>
      <c r="H13" s="17">
        <f t="shared" si="1"/>
        <v>4034314.8225905169</v>
      </c>
      <c r="I13" s="17">
        <f t="shared" si="2"/>
        <v>36714894.137961641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1.9891899999999921E-2</v>
      </c>
    </row>
    <row r="4" spans="1:8" ht="15.75" customHeight="1" x14ac:dyDescent="0.25">
      <c r="B4" s="19" t="s">
        <v>69</v>
      </c>
      <c r="C4" s="101">
        <v>7.4515400000000037E-2</v>
      </c>
    </row>
    <row r="5" spans="1:8" ht="15.75" customHeight="1" x14ac:dyDescent="0.25">
      <c r="B5" s="19" t="s">
        <v>70</v>
      </c>
      <c r="C5" s="101">
        <v>0.11823790000000001</v>
      </c>
    </row>
    <row r="6" spans="1:8" ht="15.75" customHeight="1" x14ac:dyDescent="0.25">
      <c r="B6" s="19" t="s">
        <v>71</v>
      </c>
      <c r="C6" s="101">
        <v>0.25948660000000018</v>
      </c>
    </row>
    <row r="7" spans="1:8" ht="15.75" customHeight="1" x14ac:dyDescent="0.25">
      <c r="B7" s="19" t="s">
        <v>72</v>
      </c>
      <c r="C7" s="101">
        <v>0.36006529999999981</v>
      </c>
    </row>
    <row r="8" spans="1:8" ht="15.75" customHeight="1" x14ac:dyDescent="0.25">
      <c r="B8" s="19" t="s">
        <v>73</v>
      </c>
      <c r="C8" s="101">
        <v>4.5411999999999961E-3</v>
      </c>
    </row>
    <row r="9" spans="1:8" ht="15.75" customHeight="1" x14ac:dyDescent="0.25">
      <c r="B9" s="19" t="s">
        <v>74</v>
      </c>
      <c r="C9" s="101">
        <v>4.8583099999999983E-2</v>
      </c>
    </row>
    <row r="10" spans="1:8" ht="15.75" customHeight="1" x14ac:dyDescent="0.25">
      <c r="B10" s="19" t="s">
        <v>75</v>
      </c>
      <c r="C10" s="101">
        <v>0.11467859999999989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82</v>
      </c>
      <c r="C15" s="101">
        <v>0.2728039497558219</v>
      </c>
      <c r="D15" s="101">
        <v>0.2728039497558219</v>
      </c>
      <c r="E15" s="101">
        <v>0.2728039497558219</v>
      </c>
      <c r="F15" s="101">
        <v>0.2728039497558219</v>
      </c>
    </row>
    <row r="16" spans="1:8" ht="15.75" customHeight="1" x14ac:dyDescent="0.25">
      <c r="B16" s="19" t="s">
        <v>83</v>
      </c>
      <c r="C16" s="101">
        <v>3.9761713379282131E-2</v>
      </c>
      <c r="D16" s="101">
        <v>3.9761713379282131E-2</v>
      </c>
      <c r="E16" s="101">
        <v>3.9761713379282131E-2</v>
      </c>
      <c r="F16" s="101">
        <v>3.9761713379282131E-2</v>
      </c>
    </row>
    <row r="17" spans="1:8" ht="15.75" customHeight="1" x14ac:dyDescent="0.25">
      <c r="B17" s="19" t="s">
        <v>84</v>
      </c>
      <c r="C17" s="101">
        <v>8.5734847111629542E-2</v>
      </c>
      <c r="D17" s="101">
        <v>8.5734847111629542E-2</v>
      </c>
      <c r="E17" s="101">
        <v>8.5734847111629542E-2</v>
      </c>
      <c r="F17" s="101">
        <v>8.5734847111629542E-2</v>
      </c>
    </row>
    <row r="18" spans="1:8" ht="15.75" customHeight="1" x14ac:dyDescent="0.25">
      <c r="B18" s="19" t="s">
        <v>85</v>
      </c>
      <c r="C18" s="101">
        <v>2.34600871035626E-2</v>
      </c>
      <c r="D18" s="101">
        <v>2.34600871035626E-2</v>
      </c>
      <c r="E18" s="101">
        <v>2.34600871035626E-2</v>
      </c>
      <c r="F18" s="101">
        <v>2.34600871035626E-2</v>
      </c>
    </row>
    <row r="19" spans="1:8" ht="15.75" customHeight="1" x14ac:dyDescent="0.25">
      <c r="B19" s="19" t="s">
        <v>86</v>
      </c>
      <c r="C19" s="101">
        <v>5.4515108223392533E-2</v>
      </c>
      <c r="D19" s="101">
        <v>5.4515108223392533E-2</v>
      </c>
      <c r="E19" s="101">
        <v>5.4515108223392533E-2</v>
      </c>
      <c r="F19" s="101">
        <v>5.4515108223392533E-2</v>
      </c>
    </row>
    <row r="20" spans="1:8" ht="15.75" customHeight="1" x14ac:dyDescent="0.25">
      <c r="B20" s="19" t="s">
        <v>87</v>
      </c>
      <c r="C20" s="101">
        <v>3.5370094976026271E-2</v>
      </c>
      <c r="D20" s="101">
        <v>3.5370094976026271E-2</v>
      </c>
      <c r="E20" s="101">
        <v>3.5370094976026271E-2</v>
      </c>
      <c r="F20" s="101">
        <v>3.5370094976026271E-2</v>
      </c>
    </row>
    <row r="21" spans="1:8" ht="15.75" customHeight="1" x14ac:dyDescent="0.25">
      <c r="B21" s="19" t="s">
        <v>88</v>
      </c>
      <c r="C21" s="101">
        <v>9.0345210755778893E-2</v>
      </c>
      <c r="D21" s="101">
        <v>9.0345210755778893E-2</v>
      </c>
      <c r="E21" s="101">
        <v>9.0345210755778893E-2</v>
      </c>
      <c r="F21" s="101">
        <v>9.0345210755778893E-2</v>
      </c>
    </row>
    <row r="22" spans="1:8" ht="15.75" customHeight="1" x14ac:dyDescent="0.25">
      <c r="B22" s="19" t="s">
        <v>89</v>
      </c>
      <c r="C22" s="101">
        <v>0.20326773696787509</v>
      </c>
      <c r="D22" s="101">
        <v>0.20326773696787509</v>
      </c>
      <c r="E22" s="101">
        <v>0.20326773696787509</v>
      </c>
      <c r="F22" s="101">
        <v>0.20326773696787509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8.7529259999999998E-2</v>
      </c>
    </row>
    <row r="27" spans="1:8" ht="15.75" customHeight="1" x14ac:dyDescent="0.25">
      <c r="B27" s="19" t="s">
        <v>92</v>
      </c>
      <c r="C27" s="101">
        <v>8.5087389999999995E-3</v>
      </c>
    </row>
    <row r="28" spans="1:8" ht="15.75" customHeight="1" x14ac:dyDescent="0.25">
      <c r="B28" s="19" t="s">
        <v>93</v>
      </c>
      <c r="C28" s="101">
        <v>0.15587014399999999</v>
      </c>
    </row>
    <row r="29" spans="1:8" ht="15.75" customHeight="1" x14ac:dyDescent="0.25">
      <c r="B29" s="19" t="s">
        <v>94</v>
      </c>
      <c r="C29" s="101">
        <v>0.16769983199999999</v>
      </c>
    </row>
    <row r="30" spans="1:8" ht="15.75" customHeight="1" x14ac:dyDescent="0.25">
      <c r="B30" s="19" t="s">
        <v>95</v>
      </c>
      <c r="C30" s="101">
        <v>0.106388358</v>
      </c>
    </row>
    <row r="31" spans="1:8" ht="15.75" customHeight="1" x14ac:dyDescent="0.25">
      <c r="B31" s="19" t="s">
        <v>96</v>
      </c>
      <c r="C31" s="101">
        <v>0.108993619</v>
      </c>
    </row>
    <row r="32" spans="1:8" ht="15.75" customHeight="1" x14ac:dyDescent="0.25">
      <c r="B32" s="19" t="s">
        <v>97</v>
      </c>
      <c r="C32" s="101">
        <v>1.8349142999999998E-2</v>
      </c>
    </row>
    <row r="33" spans="2:3" ht="15.75" customHeight="1" x14ac:dyDescent="0.25">
      <c r="B33" s="19" t="s">
        <v>98</v>
      </c>
      <c r="C33" s="101">
        <v>8.4419259999999982E-2</v>
      </c>
    </row>
    <row r="34" spans="2:3" ht="15.75" customHeight="1" x14ac:dyDescent="0.25">
      <c r="B34" s="19" t="s">
        <v>99</v>
      </c>
      <c r="C34" s="101">
        <v>0.26224164300000002</v>
      </c>
    </row>
    <row r="35" spans="2:3" ht="15.75" customHeight="1" x14ac:dyDescent="0.25">
      <c r="B35" s="27" t="s">
        <v>30</v>
      </c>
      <c r="C35" s="48">
        <f>SUM(C26:C34)</f>
        <v>0.99999999800000006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104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105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109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110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0.50891614317623801</v>
      </c>
      <c r="D15" s="52">
        <f t="shared" si="0"/>
        <v>0.50440734762784722</v>
      </c>
      <c r="E15" s="52">
        <f t="shared" si="0"/>
        <v>0.50440734762784722</v>
      </c>
      <c r="F15" s="52">
        <f t="shared" si="0"/>
        <v>0.35011406081392238</v>
      </c>
      <c r="G15" s="52">
        <f t="shared" si="0"/>
        <v>0.35011406081392238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122</v>
      </c>
      <c r="C5" s="52">
        <v>7.6444999999999999E-2</v>
      </c>
      <c r="D5" s="52">
        <v>5.1927000000000001E-2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0.20787759317648</v>
      </c>
      <c r="C2" s="98">
        <v>0.95</v>
      </c>
      <c r="D2" s="56">
        <v>36.104865630041672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47.391762786682577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70.675747512215978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0.1529754384232421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15.05101211717766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15.05101211717766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15.05101211717766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15.05101211717766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15.05101211717766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15.05101211717766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0.36139310657109602</v>
      </c>
      <c r="C16" s="98">
        <v>0.95</v>
      </c>
      <c r="D16" s="56">
        <v>0.25353452797983911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1.7327840647821271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1.7327840647821271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0.36904579999999998</v>
      </c>
      <c r="C21" s="98">
        <v>0.95</v>
      </c>
      <c r="D21" s="56">
        <v>1.648928588690538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25.652464004019169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1.1650499999999999E-2</v>
      </c>
      <c r="C23" s="98">
        <v>0.95</v>
      </c>
      <c r="D23" s="56">
        <v>4.9325180741630454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0.340060866443958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0.21164658696156699</v>
      </c>
      <c r="C27" s="98">
        <v>0.95</v>
      </c>
      <c r="D27" s="56">
        <v>21.746117356862921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0.29529529999999998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63.608546888725961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0.1201</v>
      </c>
      <c r="C31" s="98">
        <v>0.95</v>
      </c>
      <c r="D31" s="56">
        <v>2.179529460069769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0.56024590000000007</v>
      </c>
      <c r="C32" s="98">
        <v>0.95</v>
      </c>
      <c r="D32" s="56">
        <v>0.48159678577230752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9.3362200000000006E-2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0.73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0.33287060000000002</v>
      </c>
      <c r="C38" s="98">
        <v>0.95</v>
      </c>
      <c r="D38" s="56">
        <v>3.993553334710461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0.13494429999999999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205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0.308</v>
      </c>
      <c r="E2" s="60">
        <f>food_insecure</f>
        <v>0.308</v>
      </c>
      <c r="F2" s="60">
        <f>food_insecure</f>
        <v>0.308</v>
      </c>
      <c r="G2" s="60">
        <f>food_insecure</f>
        <v>0.308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0.308</v>
      </c>
      <c r="F5" s="60">
        <f>food_insecure</f>
        <v>0.308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0.308</v>
      </c>
      <c r="F8" s="60">
        <f>food_insecure</f>
        <v>0.308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0.308</v>
      </c>
      <c r="F9" s="60">
        <f>food_insecure</f>
        <v>0.308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0.308</v>
      </c>
      <c r="I15" s="60">
        <f>food_insecure</f>
        <v>0.308</v>
      </c>
      <c r="J15" s="60">
        <f>food_insecure</f>
        <v>0.308</v>
      </c>
      <c r="K15" s="60">
        <f>food_insecure</f>
        <v>0.308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0.40600000000000003</v>
      </c>
      <c r="M24" s="60">
        <f>famplan_unmet_need</f>
        <v>0.40600000000000003</v>
      </c>
      <c r="N24" s="60">
        <f>famplan_unmet_need</f>
        <v>0.40600000000000003</v>
      </c>
      <c r="O24" s="60">
        <f>famplan_unmet_need</f>
        <v>0.40600000000000003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0.38602305684661875</v>
      </c>
      <c r="M25" s="60">
        <f>(1-food_insecure)*(0.49)+food_insecure*(0.7)</f>
        <v>0.55467999999999995</v>
      </c>
      <c r="N25" s="60">
        <f>(1-food_insecure)*(0.49)+food_insecure*(0.7)</f>
        <v>0.55467999999999995</v>
      </c>
      <c r="O25" s="60">
        <f>(1-food_insecure)*(0.49)+food_insecure*(0.7)</f>
        <v>0.55467999999999995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0.16543845293426518</v>
      </c>
      <c r="M26" s="60">
        <f>(1-food_insecure)*(0.21)+food_insecure*(0.3)</f>
        <v>0.23771999999999999</v>
      </c>
      <c r="N26" s="60">
        <f>(1-food_insecure)*(0.21)+food_insecure*(0.3)</f>
        <v>0.23771999999999999</v>
      </c>
      <c r="O26" s="60">
        <f>(1-food_insecure)*(0.21)+food_insecure*(0.3)</f>
        <v>0.23771999999999999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0.144476791305542</v>
      </c>
      <c r="M27" s="60">
        <f>(1-food_insecure)*(0.3)</f>
        <v>0.20759999999999998</v>
      </c>
      <c r="N27" s="60">
        <f>(1-food_insecure)*(0.3)</f>
        <v>0.20759999999999998</v>
      </c>
      <c r="O27" s="60">
        <f>(1-food_insecure)*(0.3)</f>
        <v>0.20759999999999998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0.30406169891357393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0.14000000000000001</v>
      </c>
      <c r="D34" s="60">
        <f t="shared" si="3"/>
        <v>0.14000000000000001</v>
      </c>
      <c r="E34" s="60">
        <f t="shared" si="3"/>
        <v>0.14000000000000001</v>
      </c>
      <c r="F34" s="60">
        <f t="shared" si="3"/>
        <v>0.14000000000000001</v>
      </c>
      <c r="G34" s="60">
        <f t="shared" si="3"/>
        <v>0.14000000000000001</v>
      </c>
      <c r="H34" s="60">
        <f t="shared" si="3"/>
        <v>0.14000000000000001</v>
      </c>
      <c r="I34" s="60">
        <f t="shared" si="3"/>
        <v>0.14000000000000001</v>
      </c>
      <c r="J34" s="60">
        <f t="shared" si="3"/>
        <v>0.14000000000000001</v>
      </c>
      <c r="K34" s="60">
        <f t="shared" si="3"/>
        <v>0.14000000000000001</v>
      </c>
      <c r="L34" s="60">
        <f t="shared" si="3"/>
        <v>0.14000000000000001</v>
      </c>
      <c r="M34" s="60">
        <f t="shared" si="3"/>
        <v>0.14000000000000001</v>
      </c>
      <c r="N34" s="60">
        <f t="shared" si="3"/>
        <v>0.14000000000000001</v>
      </c>
      <c r="O34" s="60">
        <f t="shared" si="3"/>
        <v>0.14000000000000001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0.89817219082531452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2024-03-28T03:04:00Z</dcterms:modified>
</cp:coreProperties>
</file>