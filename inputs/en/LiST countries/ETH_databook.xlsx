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4150877-1F18-44D6-89F9-9888BEC8928D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7" i="2"/>
  <c r="A36" i="2"/>
  <c r="A26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4" i="2" l="1"/>
  <c r="I8" i="2"/>
  <c r="I12" i="2"/>
  <c r="A25" i="2"/>
  <c r="A31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<sst xmlns="http://schemas.openxmlformats.org/spreadsheetml/2006/main" count="2159" uniqueCount="372">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</sst>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18796069.5</v>
      </c>
    </row>
    <row r="8" spans="1:3" ht="15" customHeight="1" x14ac:dyDescent="0.25">
      <c r="B8" s="5" t="s">
        <v>8</v>
      </c>
      <c r="C8" s="44">
        <v>0.23499999999999999</v>
      </c>
    </row>
    <row r="9" spans="1:3" ht="15" customHeight="1" x14ac:dyDescent="0.25">
      <c r="B9" s="5" t="s">
        <v>9</v>
      </c>
      <c r="C9" s="45">
        <v>0.14000000000000001</v>
      </c>
    </row>
    <row r="10" spans="1:3" ht="15" customHeight="1" x14ac:dyDescent="0.25">
      <c r="B10" s="5" t="s">
        <v>10</v>
      </c>
      <c r="C10" s="45">
        <v>0.30312600000000001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0.192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8.4900000000000003E-2</v>
      </c>
    </row>
    <row r="24" spans="1:3" ht="15" customHeight="1" x14ac:dyDescent="0.25">
      <c r="B24" s="15" t="s">
        <v>22</v>
      </c>
      <c r="C24" s="45">
        <v>0.46400000000000002</v>
      </c>
    </row>
    <row r="25" spans="1:3" ht="15" customHeight="1" x14ac:dyDescent="0.25">
      <c r="B25" s="15" t="s">
        <v>23</v>
      </c>
      <c r="C25" s="45">
        <v>0.35129999999999989</v>
      </c>
    </row>
    <row r="26" spans="1:3" ht="15" customHeight="1" x14ac:dyDescent="0.25">
      <c r="B26" s="15" t="s">
        <v>24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0.18812535867607999</v>
      </c>
    </row>
    <row r="30" spans="1:3" ht="14.25" customHeight="1" x14ac:dyDescent="0.25">
      <c r="B30" s="25" t="s">
        <v>27</v>
      </c>
      <c r="C30" s="99">
        <v>7.529214782846369E-2</v>
      </c>
    </row>
    <row r="31" spans="1:3" ht="14.25" customHeight="1" x14ac:dyDescent="0.25">
      <c r="B31" s="25" t="s">
        <v>28</v>
      </c>
      <c r="C31" s="99">
        <v>0.10030682254742999</v>
      </c>
    </row>
    <row r="32" spans="1:3" ht="14.25" customHeight="1" x14ac:dyDescent="0.25">
      <c r="B32" s="25" t="s">
        <v>29</v>
      </c>
      <c r="C32" s="99">
        <v>0.63627567094802595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26.188870000000001</v>
      </c>
    </row>
    <row r="38" spans="1:5" ht="15" customHeight="1" x14ac:dyDescent="0.25">
      <c r="B38" s="11" t="s">
        <v>34</v>
      </c>
      <c r="C38" s="43">
        <v>34.274819999999998</v>
      </c>
      <c r="D38" s="12"/>
      <c r="E38" s="13"/>
    </row>
    <row r="39" spans="1:5" ht="15" customHeight="1" x14ac:dyDescent="0.25">
      <c r="B39" s="11" t="s">
        <v>35</v>
      </c>
      <c r="C39" s="43">
        <v>46.81147</v>
      </c>
      <c r="D39" s="12"/>
      <c r="E39" s="12"/>
    </row>
    <row r="40" spans="1:5" ht="15" customHeight="1" x14ac:dyDescent="0.25">
      <c r="B40" s="11" t="s">
        <v>36</v>
      </c>
      <c r="C40" s="100">
        <v>2.67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1.10796E-2</v>
      </c>
      <c r="D45" s="12"/>
    </row>
    <row r="46" spans="1:5" ht="15.75" customHeight="1" x14ac:dyDescent="0.25">
      <c r="B46" s="11" t="s">
        <v>41</v>
      </c>
      <c r="C46" s="45">
        <v>0.1180031</v>
      </c>
      <c r="D46" s="12"/>
    </row>
    <row r="47" spans="1:5" ht="15.75" customHeight="1" x14ac:dyDescent="0.25">
      <c r="B47" s="11" t="s">
        <v>42</v>
      </c>
      <c r="C47" s="45">
        <v>0.15551380000000001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1.976</v>
      </c>
      <c r="D51" s="12"/>
    </row>
    <row r="52" spans="1:4" ht="15" customHeight="1" x14ac:dyDescent="0.25">
      <c r="B52" s="11" t="s">
        <v>46</v>
      </c>
      <c r="C52" s="100">
        <v>1.976</v>
      </c>
    </row>
    <row r="53" spans="1:4" ht="15.75" customHeight="1" x14ac:dyDescent="0.25">
      <c r="B53" s="11" t="s">
        <v>47</v>
      </c>
      <c r="C53" s="100">
        <v>5.8500000000000014</v>
      </c>
    </row>
    <row r="54" spans="1:4" ht="15.75" customHeight="1" x14ac:dyDescent="0.25">
      <c r="B54" s="11" t="s">
        <v>48</v>
      </c>
      <c r="C54" s="100">
        <v>4.6280000000000001</v>
      </c>
    </row>
    <row r="55" spans="1:4" ht="15.75" customHeight="1" x14ac:dyDescent="0.25">
      <c r="B55" s="11" t="s">
        <v>49</v>
      </c>
      <c r="C55" s="100">
        <v>2.3226666666666671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0.56030799999999992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19653558</v>
      </c>
      <c r="C2" s="49">
        <v>4410061</v>
      </c>
      <c r="D2" s="49">
        <v>8584638.5</v>
      </c>
      <c r="E2" s="49">
        <v>15452382.5</v>
      </c>
      <c r="F2" s="49">
        <v>11976800</v>
      </c>
      <c r="G2" s="17">
        <f t="shared" ref="G2:G13" si="0">C2+D2+E2+F2</f>
        <v>40423882</v>
      </c>
      <c r="H2" s="17">
        <f t="shared" ref="H2:H13" si="1">(B2 + stillbirth*B2/(1000-stillbirth))/(1-abortion)</f>
        <v>22802520.183689184</v>
      </c>
      <c r="I2" s="17">
        <f t="shared" ref="I2:I13" si="2">G2-H2</f>
        <v>17621361.816310816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4155828.0000000005</v>
      </c>
      <c r="C3" s="50">
        <v>7221408</v>
      </c>
      <c r="D3" s="50">
        <v>12191654.5</v>
      </c>
      <c r="E3" s="50">
        <v>8363976.5000000009</v>
      </c>
      <c r="F3" s="50">
        <v>5317700.5</v>
      </c>
      <c r="G3" s="17">
        <f t="shared" si="0"/>
        <v>33094739.5</v>
      </c>
      <c r="H3" s="17">
        <f t="shared" si="1"/>
        <v>4821689.378072951</v>
      </c>
      <c r="I3" s="17">
        <f t="shared" si="2"/>
        <v>28273050.121927049</v>
      </c>
    </row>
    <row r="4" spans="1:9" ht="15.75" customHeight="1" x14ac:dyDescent="0.25">
      <c r="A4" s="5">
        <f t="shared" si="3"/>
        <v>2026</v>
      </c>
      <c r="B4" s="49">
        <v>4176742</v>
      </c>
      <c r="C4" s="50">
        <v>7308247.5</v>
      </c>
      <c r="D4" s="50">
        <v>12557533.5</v>
      </c>
      <c r="E4" s="50">
        <v>8713901</v>
      </c>
      <c r="F4" s="50">
        <v>5477857</v>
      </c>
      <c r="G4" s="17">
        <f t="shared" si="0"/>
        <v>34057539</v>
      </c>
      <c r="H4" s="17">
        <f t="shared" si="1"/>
        <v>4845954.2927068137</v>
      </c>
      <c r="I4" s="17">
        <f t="shared" si="2"/>
        <v>29211584.707293186</v>
      </c>
    </row>
    <row r="5" spans="1:9" ht="15.75" customHeight="1" x14ac:dyDescent="0.25">
      <c r="A5" s="5">
        <f t="shared" si="3"/>
        <v>2027</v>
      </c>
      <c r="B5" s="49">
        <v>4213081</v>
      </c>
      <c r="C5" s="50">
        <v>7372853.5</v>
      </c>
      <c r="D5" s="50">
        <v>12930713</v>
      </c>
      <c r="E5" s="50">
        <v>9051049.5</v>
      </c>
      <c r="F5" s="50">
        <v>5661555</v>
      </c>
      <c r="G5" s="17">
        <f t="shared" si="0"/>
        <v>35016171</v>
      </c>
      <c r="H5" s="17">
        <f t="shared" si="1"/>
        <v>4888115.6550899046</v>
      </c>
      <c r="I5" s="17">
        <f t="shared" si="2"/>
        <v>30128055.344910096</v>
      </c>
    </row>
    <row r="6" spans="1:9" ht="15.75" customHeight="1" x14ac:dyDescent="0.25">
      <c r="A6" s="5">
        <f t="shared" si="3"/>
        <v>2028</v>
      </c>
      <c r="B6" s="49">
        <v>4246110</v>
      </c>
      <c r="C6" s="50">
        <v>7421398</v>
      </c>
      <c r="D6" s="50">
        <v>13301002.499999998</v>
      </c>
      <c r="E6" s="50">
        <v>9374526</v>
      </c>
      <c r="F6" s="50">
        <v>5872157.4999999991</v>
      </c>
      <c r="G6" s="17">
        <f t="shared" si="0"/>
        <v>35969084</v>
      </c>
      <c r="H6" s="17">
        <f t="shared" si="1"/>
        <v>4926436.6776318308</v>
      </c>
      <c r="I6" s="17">
        <f t="shared" si="2"/>
        <v>31042647.322368167</v>
      </c>
    </row>
    <row r="7" spans="1:9" ht="15.75" customHeight="1" x14ac:dyDescent="0.25">
      <c r="A7" s="5">
        <f t="shared" si="3"/>
        <v>2029</v>
      </c>
      <c r="B7" s="49">
        <v>4275107</v>
      </c>
      <c r="C7" s="50">
        <v>7457635.5</v>
      </c>
      <c r="D7" s="50">
        <v>13661325</v>
      </c>
      <c r="E7" s="50">
        <v>9686858.4999999981</v>
      </c>
      <c r="F7" s="50">
        <v>6101437.5</v>
      </c>
      <c r="G7" s="17">
        <f t="shared" si="0"/>
        <v>36907256.5</v>
      </c>
      <c r="H7" s="17">
        <f t="shared" si="1"/>
        <v>4960079.678953344</v>
      </c>
      <c r="I7" s="17">
        <f t="shared" si="2"/>
        <v>31947176.821046658</v>
      </c>
    </row>
    <row r="8" spans="1:9" ht="15.75" customHeight="1" x14ac:dyDescent="0.25">
      <c r="A8" s="5">
        <f t="shared" si="3"/>
        <v>2030</v>
      </c>
      <c r="B8" s="49">
        <v>4302510</v>
      </c>
      <c r="C8" s="50">
        <v>7510026</v>
      </c>
      <c r="D8" s="50">
        <v>13998336</v>
      </c>
      <c r="E8" s="50">
        <v>9998494.5</v>
      </c>
      <c r="F8" s="50">
        <v>6344748</v>
      </c>
      <c r="G8" s="17">
        <f t="shared" si="0"/>
        <v>37851604.5</v>
      </c>
      <c r="H8" s="17">
        <f t="shared" si="1"/>
        <v>4991873.2839888111</v>
      </c>
      <c r="I8" s="17">
        <f t="shared" si="2"/>
        <v>32859731.216011189</v>
      </c>
    </row>
    <row r="9" spans="1:9" ht="15.75" customHeight="1" x14ac:dyDescent="0.25">
      <c r="A9" s="5">
        <f t="shared" si="3"/>
        <v>2031</v>
      </c>
      <c r="B9" s="49">
        <v>4325561</v>
      </c>
      <c r="C9" s="50">
        <v>7597463.5</v>
      </c>
      <c r="D9" s="50">
        <v>14310022</v>
      </c>
      <c r="E9" s="50">
        <v>10311470.5</v>
      </c>
      <c r="F9" s="50">
        <v>6606360.0000000009</v>
      </c>
      <c r="G9" s="17">
        <f t="shared" si="0"/>
        <v>38825316</v>
      </c>
      <c r="H9" s="17">
        <f t="shared" si="1"/>
        <v>5018617.5962784337</v>
      </c>
      <c r="I9" s="17">
        <f t="shared" si="2"/>
        <v>33806698.403721564</v>
      </c>
    </row>
    <row r="10" spans="1:9" ht="15.75" customHeight="1" x14ac:dyDescent="0.25">
      <c r="A10" s="5">
        <f t="shared" si="3"/>
        <v>2032</v>
      </c>
      <c r="B10" s="49">
        <v>4344290</v>
      </c>
      <c r="C10" s="50">
        <v>7718890</v>
      </c>
      <c r="D10" s="50">
        <v>14596887.5</v>
      </c>
      <c r="E10" s="50">
        <v>10627870.5</v>
      </c>
      <c r="F10" s="50">
        <v>6888968</v>
      </c>
      <c r="G10" s="17">
        <f t="shared" si="0"/>
        <v>39832616</v>
      </c>
      <c r="H10" s="17">
        <f t="shared" si="1"/>
        <v>5040347.4225277221</v>
      </c>
      <c r="I10" s="17">
        <f t="shared" si="2"/>
        <v>34792268.577472277</v>
      </c>
    </row>
    <row r="11" spans="1:9" ht="15.75" customHeight="1" x14ac:dyDescent="0.25">
      <c r="A11" s="5">
        <f t="shared" si="3"/>
        <v>2033</v>
      </c>
      <c r="B11" s="49">
        <v>4361174</v>
      </c>
      <c r="C11" s="50">
        <v>7879458</v>
      </c>
      <c r="D11" s="50">
        <v>14850085</v>
      </c>
      <c r="E11" s="50">
        <v>10952232</v>
      </c>
      <c r="F11" s="50">
        <v>7198825.5</v>
      </c>
      <c r="G11" s="17">
        <f t="shared" si="0"/>
        <v>40880600.5</v>
      </c>
      <c r="H11" s="17">
        <f t="shared" si="1"/>
        <v>5059936.6363882059</v>
      </c>
      <c r="I11" s="17">
        <f t="shared" si="2"/>
        <v>35820663.863611795</v>
      </c>
    </row>
    <row r="12" spans="1:9" ht="15.75" customHeight="1" x14ac:dyDescent="0.25">
      <c r="A12" s="5">
        <f t="shared" si="3"/>
        <v>2034</v>
      </c>
      <c r="B12" s="49">
        <v>4378050</v>
      </c>
      <c r="C12" s="50">
        <v>8086428.5</v>
      </c>
      <c r="D12" s="50">
        <v>15064674.500000002</v>
      </c>
      <c r="E12" s="50">
        <v>11280195</v>
      </c>
      <c r="F12" s="50">
        <v>7533713</v>
      </c>
      <c r="G12" s="17">
        <f t="shared" si="0"/>
        <v>41965011</v>
      </c>
      <c r="H12" s="17">
        <f t="shared" si="1"/>
        <v>5079516.568460553</v>
      </c>
      <c r="I12" s="17">
        <f t="shared" si="2"/>
        <v>36885494.431539446</v>
      </c>
    </row>
    <row r="13" spans="1:9" ht="15.75" customHeight="1" x14ac:dyDescent="0.25">
      <c r="A13" s="5">
        <f t="shared" si="3"/>
        <v>2035</v>
      </c>
      <c r="B13" s="49">
        <v>4392233</v>
      </c>
      <c r="C13" s="50">
        <v>8330466.5</v>
      </c>
      <c r="D13" s="50">
        <v>15258237.000000002</v>
      </c>
      <c r="E13" s="50">
        <v>11618625.5</v>
      </c>
      <c r="F13" s="50">
        <v>7877997.4999999991</v>
      </c>
      <c r="G13" s="17">
        <f t="shared" si="0"/>
        <v>43085326.5</v>
      </c>
      <c r="H13" s="17">
        <f t="shared" si="1"/>
        <v>5095972.0186017063</v>
      </c>
      <c r="I13" s="17">
        <f t="shared" si="2"/>
        <v>37989354.481398292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1.9891899999999921E-2</v>
      </c>
    </row>
    <row r="4" spans="1:8" ht="15.75" customHeight="1" x14ac:dyDescent="0.25">
      <c r="B4" s="19" t="s">
        <v>69</v>
      </c>
      <c r="C4" s="101">
        <v>7.4515400000000037E-2</v>
      </c>
    </row>
    <row r="5" spans="1:8" ht="15.75" customHeight="1" x14ac:dyDescent="0.25">
      <c r="B5" s="19" t="s">
        <v>70</v>
      </c>
      <c r="C5" s="101">
        <v>0.11823790000000001</v>
      </c>
    </row>
    <row r="6" spans="1:8" ht="15.75" customHeight="1" x14ac:dyDescent="0.25">
      <c r="B6" s="19" t="s">
        <v>71</v>
      </c>
      <c r="C6" s="101">
        <v>0.25948660000000018</v>
      </c>
    </row>
    <row r="7" spans="1:8" ht="15.75" customHeight="1" x14ac:dyDescent="0.25">
      <c r="B7" s="19" t="s">
        <v>72</v>
      </c>
      <c r="C7" s="101">
        <v>0.36006529999999981</v>
      </c>
    </row>
    <row r="8" spans="1:8" ht="15.75" customHeight="1" x14ac:dyDescent="0.25">
      <c r="B8" s="19" t="s">
        <v>73</v>
      </c>
      <c r="C8" s="101">
        <v>4.5411999999999961E-3</v>
      </c>
    </row>
    <row r="9" spans="1:8" ht="15.75" customHeight="1" x14ac:dyDescent="0.25">
      <c r="B9" s="19" t="s">
        <v>74</v>
      </c>
      <c r="C9" s="101">
        <v>4.8583099999999983E-2</v>
      </c>
    </row>
    <row r="10" spans="1:8" ht="15.75" customHeight="1" x14ac:dyDescent="0.25">
      <c r="B10" s="19" t="s">
        <v>75</v>
      </c>
      <c r="C10" s="101">
        <v>0.11467859999999989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82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83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84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85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86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87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88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89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8.7529259999999998E-2</v>
      </c>
    </row>
    <row r="27" spans="1:8" ht="15.75" customHeight="1" x14ac:dyDescent="0.25">
      <c r="B27" s="19" t="s">
        <v>92</v>
      </c>
      <c r="C27" s="101">
        <v>8.5087389999999995E-3</v>
      </c>
    </row>
    <row r="28" spans="1:8" ht="15.75" customHeight="1" x14ac:dyDescent="0.25">
      <c r="B28" s="19" t="s">
        <v>93</v>
      </c>
      <c r="C28" s="101">
        <v>0.15587014399999999</v>
      </c>
    </row>
    <row r="29" spans="1:8" ht="15.75" customHeight="1" x14ac:dyDescent="0.25">
      <c r="B29" s="19" t="s">
        <v>94</v>
      </c>
      <c r="C29" s="101">
        <v>0.16769983199999999</v>
      </c>
    </row>
    <row r="30" spans="1:8" ht="15.75" customHeight="1" x14ac:dyDescent="0.25">
      <c r="B30" s="19" t="s">
        <v>95</v>
      </c>
      <c r="C30" s="101">
        <v>0.106388358</v>
      </c>
    </row>
    <row r="31" spans="1:8" ht="15.75" customHeight="1" x14ac:dyDescent="0.25">
      <c r="B31" s="19" t="s">
        <v>96</v>
      </c>
      <c r="C31" s="101">
        <v>0.108993619</v>
      </c>
    </row>
    <row r="32" spans="1:8" ht="15.75" customHeight="1" x14ac:dyDescent="0.25">
      <c r="B32" s="19" t="s">
        <v>97</v>
      </c>
      <c r="C32" s="101">
        <v>1.8349142999999998E-2</v>
      </c>
    </row>
    <row r="33" spans="2:3" ht="15.75" customHeight="1" x14ac:dyDescent="0.25">
      <c r="B33" s="19" t="s">
        <v>98</v>
      </c>
      <c r="C33" s="101">
        <v>8.4419259999999982E-2</v>
      </c>
    </row>
    <row r="34" spans="2:3" ht="15.75" customHeight="1" x14ac:dyDescent="0.25">
      <c r="B34" s="19" t="s">
        <v>99</v>
      </c>
      <c r="C34" s="101">
        <v>0.26224164300000002</v>
      </c>
    </row>
    <row r="35" spans="2:3" ht="15.75" customHeight="1" x14ac:dyDescent="0.25">
      <c r="B35" s="27" t="s">
        <v>30</v>
      </c>
      <c r="C35" s="48">
        <f>SUM(C26:C34)</f>
        <v>0.99999999800000006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104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105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109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110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0.50891614317623801</v>
      </c>
      <c r="D15" s="52">
        <f t="shared" si="0"/>
        <v>0.50440734762784722</v>
      </c>
      <c r="E15" s="52">
        <f t="shared" si="0"/>
        <v>0.50440734762784722</v>
      </c>
      <c r="F15" s="52">
        <f t="shared" si="0"/>
        <v>0.35011406081392238</v>
      </c>
      <c r="G15" s="52">
        <f t="shared" si="0"/>
        <v>0.35011406081392238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7.6444900000000038E-2</v>
      </c>
      <c r="D5" s="52">
        <f t="shared" si="0"/>
        <v>5.1926999999999945E-2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1027.5859109596399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0.40490000000000004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0.77071000000000001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2.4687130139517139E-2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94939.810110000006</v>
      </c>
      <c r="C22" s="109">
        <v>94394.652409999995</v>
      </c>
      <c r="D22" s="109">
        <v>93918.992370000007</v>
      </c>
      <c r="E22" s="109">
        <v>93459.920029999994</v>
      </c>
      <c r="F22" s="109">
        <v>92872.787299999996</v>
      </c>
      <c r="G22" s="109">
        <v>92160.999639999995</v>
      </c>
      <c r="H22" s="109">
        <v>91258.673129999996</v>
      </c>
      <c r="I22" s="109">
        <v>90029.466419999997</v>
      </c>
      <c r="J22" s="109">
        <v>88278.746150000006</v>
      </c>
      <c r="K22" s="109">
        <v>85858.932950000002</v>
      </c>
      <c r="L22" s="109">
        <v>82450.769769999999</v>
      </c>
      <c r="M22" s="109">
        <v>77795.806060000003</v>
      </c>
      <c r="N22" s="109">
        <v>71063.838699999993</v>
      </c>
      <c r="O22" s="109">
        <v>61951.776660000003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6.8747382117628364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2.1291837256908908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0.78848199824391296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0.22197642864885933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0.1060524</v>
      </c>
      <c r="C10" s="98">
        <v>0.95</v>
      </c>
      <c r="D10" s="56">
        <v>15.05101211717766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15.05101211717766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15.05101211717766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15.05101211717766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6.8099999999999994E-2</v>
      </c>
      <c r="C14" s="98">
        <v>0.95</v>
      </c>
      <c r="D14" s="56">
        <v>2.7509100930955666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15.05101211717766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7.4868999999999986E-3</v>
      </c>
      <c r="C16" s="98">
        <v>0.95</v>
      </c>
      <c r="D16" s="56">
        <v>2.1562548532894295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0.58636119533868591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0.182</v>
      </c>
      <c r="C18" s="98">
        <v>0.95</v>
      </c>
      <c r="D18" s="56">
        <v>6.8747382117628364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0.56024590000000007</v>
      </c>
      <c r="C19" s="98">
        <v>0.95</v>
      </c>
      <c r="D19" s="56">
        <v>1.7327840647821271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7.2638561333206297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6.8747382117628364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0.70499999999999996</v>
      </c>
      <c r="C23" s="98">
        <v>0.95</v>
      </c>
      <c r="D23" s="56">
        <v>4.9325180741630454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0.34613380963715201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5.0999999999999997E-2</v>
      </c>
      <c r="C26" s="98">
        <v>0.95</v>
      </c>
      <c r="D26" s="56">
        <v>4.4432147531692987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8.8360724993186164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0.29529529999999998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0.13494429999999999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57.448392612859095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0.1201</v>
      </c>
      <c r="C31" s="98">
        <v>0.95</v>
      </c>
      <c r="D31" s="56">
        <v>125.66324080233395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0.73</v>
      </c>
      <c r="C32" s="98">
        <v>0.95</v>
      </c>
      <c r="D32" s="56">
        <v>0.65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8.32175E-2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0.36904579999999998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1.1650499999999999E-2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0.44068459999999998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0.16600000000000001</v>
      </c>
      <c r="C38" s="98">
        <v>0.95</v>
      </c>
      <c r="D38" s="56">
        <v>2.2145073762257557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5.8497136845734818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1.976</v>
      </c>
      <c r="C2" s="21">
        <f>'Baseline year population inputs'!C52</f>
        <v>1.976</v>
      </c>
      <c r="D2" s="21">
        <f>'Baseline year population inputs'!C53</f>
        <v>5.8500000000000014</v>
      </c>
      <c r="E2" s="21">
        <f>'Baseline year population inputs'!C54</f>
        <v>4.6280000000000001</v>
      </c>
      <c r="F2" s="21">
        <f>'Baseline year population inputs'!C55</f>
        <v>2.3226666666666671</v>
      </c>
    </row>
    <row r="3" spans="1:6" ht="15.75" customHeight="1" x14ac:dyDescent="0.25">
      <c r="A3" s="3" t="s">
        <v>197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198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0.23499999999999999</v>
      </c>
      <c r="F2" s="60">
        <f>food_insecure</f>
        <v>0.23499999999999999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0.23499999999999999</v>
      </c>
      <c r="F5" s="60">
        <f>food_insecure</f>
        <v>0.23499999999999999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4.3112727272727275E-2</v>
      </c>
      <c r="D7" s="60">
        <f>diarrhoea_1_5mo*frac_diarrhea_severe</f>
        <v>4.3112727272727275E-2</v>
      </c>
      <c r="E7" s="60">
        <f>diarrhoea_6_11mo*frac_diarrhea_severe</f>
        <v>0.12763636363636369</v>
      </c>
      <c r="F7" s="60">
        <f>diarrhoea_12_23mo*frac_diarrhea_severe</f>
        <v>0.10097454545454547</v>
      </c>
      <c r="G7" s="60">
        <f>diarrhoea_24_59mo*frac_diarrhea_severe</f>
        <v>5.0676363636363651E-2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0.23499999999999999</v>
      </c>
      <c r="F8" s="60">
        <f>food_insecure</f>
        <v>0.23499999999999999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0.23499999999999999</v>
      </c>
      <c r="F9" s="60">
        <f>food_insecure</f>
        <v>0.23499999999999999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4.3112727272727275E-2</v>
      </c>
      <c r="D12" s="60">
        <f>diarrhoea_1_5mo*frac_diarrhea_severe</f>
        <v>4.3112727272727275E-2</v>
      </c>
      <c r="E12" s="60">
        <f>diarrhoea_6_11mo*frac_diarrhea_severe</f>
        <v>0.12763636363636369</v>
      </c>
      <c r="F12" s="60">
        <f>diarrhoea_12_23mo*frac_diarrhea_severe</f>
        <v>0.10097454545454547</v>
      </c>
      <c r="G12" s="60">
        <f>diarrhoea_24_59mo*frac_diarrhea_severe</f>
        <v>5.0676363636363651E-2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0.23499999999999999</v>
      </c>
      <c r="I15" s="60">
        <f t="shared" si="0"/>
        <v>0.23499999999999999</v>
      </c>
      <c r="J15" s="60">
        <f t="shared" si="0"/>
        <v>0.23499999999999999</v>
      </c>
      <c r="K15" s="60">
        <f t="shared" si="0"/>
        <v>0.23499999999999999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0.23499999999999999</v>
      </c>
      <c r="I16" s="60">
        <f t="shared" si="0"/>
        <v>0.23499999999999999</v>
      </c>
      <c r="J16" s="60">
        <f t="shared" si="0"/>
        <v>0.23499999999999999</v>
      </c>
      <c r="K16" s="60">
        <f t="shared" si="0"/>
        <v>0.23499999999999999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0.192</v>
      </c>
      <c r="M24" s="60">
        <f>famplan_unmet_need</f>
        <v>0.192</v>
      </c>
      <c r="N24" s="60">
        <f>famplan_unmet_need</f>
        <v>0.192</v>
      </c>
      <c r="O24" s="60">
        <f>famplan_unmet_need</f>
        <v>0.192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0.37585899189999999</v>
      </c>
      <c r="M25" s="60">
        <f>(1-food_insecure)*(0.49)+food_insecure*(0.7)</f>
        <v>0.53935</v>
      </c>
      <c r="N25" s="60">
        <f>(1-food_insecure)*(0.49)+food_insecure*(0.7)</f>
        <v>0.53935</v>
      </c>
      <c r="O25" s="60">
        <f>(1-food_insecure)*(0.49)+food_insecure*(0.7)</f>
        <v>0.53935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0.16108242509999998</v>
      </c>
      <c r="M26" s="60">
        <f>(1-food_insecure)*(0.21)+food_insecure*(0.3)</f>
        <v>0.23114999999999997</v>
      </c>
      <c r="N26" s="60">
        <f>(1-food_insecure)*(0.21)+food_insecure*(0.3)</f>
        <v>0.23114999999999997</v>
      </c>
      <c r="O26" s="60">
        <f>(1-food_insecure)*(0.21)+food_insecure*(0.3)</f>
        <v>0.23114999999999997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0.15993258299999999</v>
      </c>
      <c r="M27" s="60">
        <f>(1-food_insecure)*(0.3)</f>
        <v>0.22949999999999998</v>
      </c>
      <c r="N27" s="60">
        <f>(1-food_insecure)*(0.3)</f>
        <v>0.22949999999999998</v>
      </c>
      <c r="O27" s="60">
        <f>(1-food_insecure)*(0.3)</f>
        <v>0.22949999999999998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0.30312600000000001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0.14000000000000001</v>
      </c>
      <c r="D34" s="60">
        <f t="shared" si="4"/>
        <v>0.14000000000000001</v>
      </c>
      <c r="E34" s="60">
        <f t="shared" si="4"/>
        <v>0.14000000000000001</v>
      </c>
      <c r="F34" s="60">
        <f t="shared" si="4"/>
        <v>0.14000000000000001</v>
      </c>
      <c r="G34" s="60">
        <f t="shared" si="4"/>
        <v>0.14000000000000001</v>
      </c>
      <c r="H34" s="60">
        <f t="shared" si="4"/>
        <v>0.14000000000000001</v>
      </c>
      <c r="I34" s="60">
        <f t="shared" si="4"/>
        <v>0.14000000000000001</v>
      </c>
      <c r="J34" s="60">
        <f t="shared" si="4"/>
        <v>0.14000000000000001</v>
      </c>
      <c r="K34" s="60">
        <f t="shared" si="4"/>
        <v>0.14000000000000001</v>
      </c>
      <c r="L34" s="60">
        <f t="shared" si="4"/>
        <v>0.14000000000000001</v>
      </c>
      <c r="M34" s="60">
        <f t="shared" si="4"/>
        <v>0.14000000000000001</v>
      </c>
      <c r="N34" s="60">
        <f t="shared" si="4"/>
        <v>0.14000000000000001</v>
      </c>
      <c r="O34" s="60">
        <f t="shared" si="4"/>
        <v>0.14000000000000001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