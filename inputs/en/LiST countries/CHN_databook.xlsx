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987CBDC4-BC60-4CE9-98F5-C82217726D69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A39" i="2"/>
  <c r="I38" i="2"/>
  <c r="H38" i="2"/>
  <c r="G38" i="2"/>
  <c r="A36" i="2"/>
  <c r="A34" i="2"/>
  <c r="A33" i="2"/>
  <c r="A28" i="2"/>
  <c r="A26" i="2"/>
  <c r="A25" i="2"/>
  <c r="A20" i="2"/>
  <c r="A18" i="2"/>
  <c r="A17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32" i="2" s="1"/>
  <c r="C33" i="1"/>
  <c r="C20" i="1"/>
  <c r="A19" i="2" l="1"/>
  <c r="A27" i="2"/>
  <c r="A35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8" i="2"/>
  <c r="A40" i="2"/>
  <c r="A15" i="2"/>
  <c r="A23" i="2"/>
  <c r="A31" i="2"/>
  <c r="A30" i="2"/>
  <c r="A16" i="2"/>
  <c r="A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<sst xmlns="http://schemas.openxmlformats.org/spreadsheetml/2006/main" count="2103" uniqueCount="341">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</sst>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54492174.5</v>
      </c>
    </row>
    <row r="8" spans="1:3" ht="15" customHeight="1" x14ac:dyDescent="0.25">
      <c r="B8" s="5" t="s">
        <v>8</v>
      </c>
      <c r="C8" s="44">
        <v>5.0000000000000001E-3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0.81408699039999999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0.10299999999999999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7.980000000000001E-2</v>
      </c>
    </row>
    <row r="24" spans="1:3" ht="15" customHeight="1" x14ac:dyDescent="0.25">
      <c r="B24" s="15" t="s">
        <v>22</v>
      </c>
      <c r="C24" s="45">
        <v>0.68840000000000001</v>
      </c>
    </row>
    <row r="25" spans="1:3" ht="15" customHeight="1" x14ac:dyDescent="0.25">
      <c r="B25" s="15" t="s">
        <v>23</v>
      </c>
      <c r="C25" s="45">
        <v>0.20130000000000001</v>
      </c>
    </row>
    <row r="26" spans="1:3" ht="15" customHeight="1" x14ac:dyDescent="0.25">
      <c r="B26" s="15" t="s">
        <v>24</v>
      </c>
      <c r="C26" s="45">
        <v>3.0499999999999999E-2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0.40385805873750502</v>
      </c>
    </row>
    <row r="30" spans="1:3" ht="14.25" customHeight="1" x14ac:dyDescent="0.25">
      <c r="B30" s="25" t="s">
        <v>27</v>
      </c>
      <c r="C30" s="99">
        <v>3.4597339605538499E-2</v>
      </c>
    </row>
    <row r="31" spans="1:3" ht="14.25" customHeight="1" x14ac:dyDescent="0.25">
      <c r="B31" s="25" t="s">
        <v>28</v>
      </c>
      <c r="C31" s="99">
        <v>5.9568417955223898E-2</v>
      </c>
    </row>
    <row r="32" spans="1:3" ht="14.25" customHeight="1" x14ac:dyDescent="0.25">
      <c r="B32" s="25" t="s">
        <v>29</v>
      </c>
      <c r="C32" s="99">
        <v>0.50197618370173303</v>
      </c>
    </row>
    <row r="33" spans="1:5" ht="13" customHeight="1" x14ac:dyDescent="0.25">
      <c r="B33" s="27" t="s">
        <v>30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3.1912600000000002</v>
      </c>
    </row>
    <row r="38" spans="1:5" ht="15" customHeight="1" x14ac:dyDescent="0.25">
      <c r="B38" s="11" t="s">
        <v>34</v>
      </c>
      <c r="C38" s="43">
        <v>5.0500699999999998</v>
      </c>
      <c r="D38" s="12"/>
      <c r="E38" s="13"/>
    </row>
    <row r="39" spans="1:5" ht="15" customHeight="1" x14ac:dyDescent="0.25">
      <c r="B39" s="11" t="s">
        <v>35</v>
      </c>
      <c r="C39" s="43">
        <v>6.93459</v>
      </c>
      <c r="D39" s="12"/>
      <c r="E39" s="12"/>
    </row>
    <row r="40" spans="1:5" ht="15" customHeight="1" x14ac:dyDescent="0.25">
      <c r="B40" s="11" t="s">
        <v>36</v>
      </c>
      <c r="C40" s="100">
        <v>0.23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4.8971999999999998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5.2434999999999999E-3</v>
      </c>
      <c r="D45" s="12"/>
    </row>
    <row r="46" spans="1:5" ht="15.75" customHeight="1" x14ac:dyDescent="0.25">
      <c r="B46" s="11" t="s">
        <v>41</v>
      </c>
      <c r="C46" s="45">
        <v>5.6247199999999997E-2</v>
      </c>
      <c r="D46" s="12"/>
    </row>
    <row r="47" spans="1:5" ht="15.75" customHeight="1" x14ac:dyDescent="0.25">
      <c r="B47" s="11" t="s">
        <v>42</v>
      </c>
      <c r="C47" s="45">
        <v>6.706680000000001E-2</v>
      </c>
      <c r="D47" s="12"/>
      <c r="E47" s="13"/>
    </row>
    <row r="48" spans="1:5" ht="15" customHeight="1" x14ac:dyDescent="0.25">
      <c r="B48" s="11" t="s">
        <v>43</v>
      </c>
      <c r="C48" s="46">
        <v>0.87144250000000001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0.65754500000000005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4.9525832999999901E-2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10577046</v>
      </c>
      <c r="C2" s="49">
        <v>46617241.5</v>
      </c>
      <c r="D2" s="49">
        <v>75475910.5</v>
      </c>
      <c r="E2" s="49">
        <v>106915917</v>
      </c>
      <c r="F2" s="49">
        <v>85663749.5</v>
      </c>
      <c r="G2" s="17">
        <f t="shared" ref="G2:G13" si="0">C2+D2+E2+F2</f>
        <v>314672818.5</v>
      </c>
      <c r="H2" s="17">
        <f t="shared" ref="H2:H13" si="1">(B2 + stillbirth*B2/(1000-stillbirth))/(1-abortion)</f>
        <v>12078521.389494086</v>
      </c>
      <c r="I2" s="17">
        <f t="shared" ref="I2:I13" si="2">G2-H2</f>
        <v>302594297.11050594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10441801</v>
      </c>
      <c r="C3" s="50">
        <v>47320188.500000007</v>
      </c>
      <c r="D3" s="50">
        <v>74442793</v>
      </c>
      <c r="E3" s="50">
        <v>104783531.5</v>
      </c>
      <c r="F3" s="50">
        <v>85204412</v>
      </c>
      <c r="G3" s="17">
        <f t="shared" si="0"/>
        <v>311750925</v>
      </c>
      <c r="H3" s="17">
        <f t="shared" si="1"/>
        <v>11924077.547109157</v>
      </c>
      <c r="I3" s="17">
        <f t="shared" si="2"/>
        <v>299826847.45289087</v>
      </c>
    </row>
    <row r="4" spans="1:9" ht="15.75" customHeight="1" x14ac:dyDescent="0.25">
      <c r="A4" s="5">
        <f t="shared" si="3"/>
        <v>2026</v>
      </c>
      <c r="B4" s="49">
        <v>10326067</v>
      </c>
      <c r="C4" s="50">
        <v>48221500.499999993</v>
      </c>
      <c r="D4" s="50">
        <v>73818610.5</v>
      </c>
      <c r="E4" s="50">
        <v>101684567.5</v>
      </c>
      <c r="F4" s="50">
        <v>85995019.5</v>
      </c>
      <c r="G4" s="17">
        <f t="shared" si="0"/>
        <v>309719698</v>
      </c>
      <c r="H4" s="17">
        <f t="shared" si="1"/>
        <v>11791914.408696815</v>
      </c>
      <c r="I4" s="17">
        <f t="shared" si="2"/>
        <v>297927783.59130317</v>
      </c>
    </row>
    <row r="5" spans="1:9" ht="15.75" customHeight="1" x14ac:dyDescent="0.25">
      <c r="A5" s="5">
        <f t="shared" si="3"/>
        <v>2027</v>
      </c>
      <c r="B5" s="49">
        <v>10232622</v>
      </c>
      <c r="C5" s="50">
        <v>49085713.5</v>
      </c>
      <c r="D5" s="50">
        <v>73648810.5</v>
      </c>
      <c r="E5" s="50">
        <v>97559103</v>
      </c>
      <c r="F5" s="50">
        <v>87993306</v>
      </c>
      <c r="G5" s="17">
        <f t="shared" si="0"/>
        <v>308286933</v>
      </c>
      <c r="H5" s="17">
        <f t="shared" si="1"/>
        <v>11685204.328090068</v>
      </c>
      <c r="I5" s="17">
        <f t="shared" si="2"/>
        <v>296601728.67190993</v>
      </c>
    </row>
    <row r="6" spans="1:9" ht="15.75" customHeight="1" x14ac:dyDescent="0.25">
      <c r="A6" s="5">
        <f t="shared" si="3"/>
        <v>2028</v>
      </c>
      <c r="B6" s="49">
        <v>10142147</v>
      </c>
      <c r="C6" s="50">
        <v>49645384.500000007</v>
      </c>
      <c r="D6" s="50">
        <v>73932032</v>
      </c>
      <c r="E6" s="50">
        <v>93168448.5</v>
      </c>
      <c r="F6" s="50">
        <v>91044223.5</v>
      </c>
      <c r="G6" s="17">
        <f t="shared" si="0"/>
        <v>307790088.5</v>
      </c>
      <c r="H6" s="17">
        <f t="shared" si="1"/>
        <v>11581885.856872823</v>
      </c>
      <c r="I6" s="17">
        <f t="shared" si="2"/>
        <v>296208202.6431272</v>
      </c>
    </row>
    <row r="7" spans="1:9" ht="15.75" customHeight="1" x14ac:dyDescent="0.25">
      <c r="A7" s="5">
        <f t="shared" si="3"/>
        <v>2029</v>
      </c>
      <c r="B7" s="49">
        <v>10083803</v>
      </c>
      <c r="C7" s="50">
        <v>49846024.5</v>
      </c>
      <c r="D7" s="50">
        <v>74584499.5</v>
      </c>
      <c r="E7" s="50">
        <v>88738340</v>
      </c>
      <c r="F7" s="50">
        <v>93859745.5</v>
      </c>
      <c r="G7" s="17">
        <f t="shared" si="0"/>
        <v>307028609.5</v>
      </c>
      <c r="H7" s="17">
        <f t="shared" si="1"/>
        <v>11515259.574643489</v>
      </c>
      <c r="I7" s="17">
        <f t="shared" si="2"/>
        <v>295513349.92535651</v>
      </c>
    </row>
    <row r="8" spans="1:9" ht="15.75" customHeight="1" x14ac:dyDescent="0.25">
      <c r="A8" s="5">
        <f t="shared" si="3"/>
        <v>2030</v>
      </c>
      <c r="B8" s="49">
        <v>10016146</v>
      </c>
      <c r="C8" s="50">
        <v>49919150</v>
      </c>
      <c r="D8" s="50">
        <v>75193551</v>
      </c>
      <c r="E8" s="50">
        <v>84038843.5</v>
      </c>
      <c r="F8" s="50">
        <v>96128193.5</v>
      </c>
      <c r="G8" s="17">
        <f t="shared" si="0"/>
        <v>305279738</v>
      </c>
      <c r="H8" s="17">
        <f t="shared" si="1"/>
        <v>11437998.255968219</v>
      </c>
      <c r="I8" s="17">
        <f t="shared" si="2"/>
        <v>293841739.74403179</v>
      </c>
    </row>
    <row r="9" spans="1:9" ht="15.75" customHeight="1" x14ac:dyDescent="0.25">
      <c r="A9" s="5">
        <f t="shared" si="3"/>
        <v>2031</v>
      </c>
      <c r="B9" s="49">
        <v>9983340</v>
      </c>
      <c r="C9" s="50">
        <v>50282071</v>
      </c>
      <c r="D9" s="50">
        <v>75802915.5</v>
      </c>
      <c r="E9" s="50">
        <v>80303426</v>
      </c>
      <c r="F9" s="50">
        <v>98386347</v>
      </c>
      <c r="G9" s="17">
        <f t="shared" si="0"/>
        <v>304774759.5</v>
      </c>
      <c r="H9" s="17">
        <f t="shared" si="1"/>
        <v>11400535.246664509</v>
      </c>
      <c r="I9" s="17">
        <f t="shared" si="2"/>
        <v>293374224.25333548</v>
      </c>
    </row>
    <row r="10" spans="1:9" ht="15.75" customHeight="1" x14ac:dyDescent="0.25">
      <c r="A10" s="5">
        <f t="shared" si="3"/>
        <v>2032</v>
      </c>
      <c r="B10" s="49">
        <v>9975985</v>
      </c>
      <c r="C10" s="50">
        <v>49711249.5</v>
      </c>
      <c r="D10" s="50">
        <v>76952876.5</v>
      </c>
      <c r="E10" s="50">
        <v>77919514.5</v>
      </c>
      <c r="F10" s="50">
        <v>99028005.5</v>
      </c>
      <c r="G10" s="17">
        <f t="shared" si="0"/>
        <v>303611646</v>
      </c>
      <c r="H10" s="17">
        <f t="shared" si="1"/>
        <v>11392136.160112392</v>
      </c>
      <c r="I10" s="17">
        <f t="shared" si="2"/>
        <v>292219509.83988762</v>
      </c>
    </row>
    <row r="11" spans="1:9" ht="15.75" customHeight="1" x14ac:dyDescent="0.25">
      <c r="A11" s="5">
        <f t="shared" si="3"/>
        <v>2033</v>
      </c>
      <c r="B11" s="49">
        <v>9975509</v>
      </c>
      <c r="C11" s="50">
        <v>48164067</v>
      </c>
      <c r="D11" s="50">
        <v>78265715</v>
      </c>
      <c r="E11" s="50">
        <v>76069799</v>
      </c>
      <c r="F11" s="50">
        <v>98301972</v>
      </c>
      <c r="G11" s="17">
        <f t="shared" si="0"/>
        <v>300801553</v>
      </c>
      <c r="H11" s="17">
        <f t="shared" si="1"/>
        <v>11391592.589045255</v>
      </c>
      <c r="I11" s="17">
        <f t="shared" si="2"/>
        <v>289409960.41095477</v>
      </c>
    </row>
    <row r="12" spans="1:9" ht="15.75" customHeight="1" x14ac:dyDescent="0.25">
      <c r="A12" s="5">
        <f t="shared" si="3"/>
        <v>2034</v>
      </c>
      <c r="B12" s="49">
        <v>9945347</v>
      </c>
      <c r="C12" s="50">
        <v>45971958.999999993</v>
      </c>
      <c r="D12" s="50">
        <v>79430886.5</v>
      </c>
      <c r="E12" s="50">
        <v>74644569</v>
      </c>
      <c r="F12" s="50">
        <v>97359475</v>
      </c>
      <c r="G12" s="17">
        <f t="shared" si="0"/>
        <v>297406889.5</v>
      </c>
      <c r="H12" s="17">
        <f t="shared" si="1"/>
        <v>11357148.911467422</v>
      </c>
      <c r="I12" s="17">
        <f t="shared" si="2"/>
        <v>286049740.58853257</v>
      </c>
    </row>
    <row r="13" spans="1:9" ht="15.75" customHeight="1" x14ac:dyDescent="0.25">
      <c r="A13" s="5">
        <f t="shared" si="3"/>
        <v>2035</v>
      </c>
      <c r="B13" s="49">
        <v>9999279</v>
      </c>
      <c r="C13" s="50">
        <v>43080504.499999993</v>
      </c>
      <c r="D13" s="50">
        <v>80318549</v>
      </c>
      <c r="E13" s="50">
        <v>73624062.5</v>
      </c>
      <c r="F13" s="50">
        <v>95535864.5</v>
      </c>
      <c r="G13" s="17">
        <f t="shared" si="0"/>
        <v>292558980.5</v>
      </c>
      <c r="H13" s="17">
        <f t="shared" si="1"/>
        <v>11418736.883721506</v>
      </c>
      <c r="I13" s="17">
        <f t="shared" si="2"/>
        <v>281140243.61627847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4.9413000000000009E-3</v>
      </c>
    </row>
    <row r="4" spans="1:8" ht="15.75" customHeight="1" x14ac:dyDescent="0.25">
      <c r="B4" s="19" t="s">
        <v>69</v>
      </c>
      <c r="C4" s="101">
        <v>2.3830000000000101E-2</v>
      </c>
    </row>
    <row r="5" spans="1:8" ht="15.75" customHeight="1" x14ac:dyDescent="0.25">
      <c r="B5" s="19" t="s">
        <v>70</v>
      </c>
      <c r="C5" s="101">
        <v>5.7832200000000118E-2</v>
      </c>
    </row>
    <row r="6" spans="1:8" ht="15.75" customHeight="1" x14ac:dyDescent="0.25">
      <c r="B6" s="19" t="s">
        <v>71</v>
      </c>
      <c r="C6" s="101">
        <v>0.27551590000000031</v>
      </c>
    </row>
    <row r="7" spans="1:8" ht="15.75" customHeight="1" x14ac:dyDescent="0.25">
      <c r="B7" s="19" t="s">
        <v>72</v>
      </c>
      <c r="C7" s="101">
        <v>0.31112999999999941</v>
      </c>
    </row>
    <row r="8" spans="1:8" ht="15.75" customHeight="1" x14ac:dyDescent="0.25">
      <c r="B8" s="19" t="s">
        <v>73</v>
      </c>
      <c r="C8" s="101">
        <v>4.9439999999999998E-4</v>
      </c>
    </row>
    <row r="9" spans="1:8" ht="15.75" customHeight="1" x14ac:dyDescent="0.25">
      <c r="B9" s="19" t="s">
        <v>74</v>
      </c>
      <c r="C9" s="101">
        <v>0.17996240000000011</v>
      </c>
    </row>
    <row r="10" spans="1:8" ht="15.75" customHeight="1" x14ac:dyDescent="0.25">
      <c r="B10" s="19" t="s">
        <v>75</v>
      </c>
      <c r="C10" s="101">
        <v>0.1462938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9.3615614352048612E-2</v>
      </c>
      <c r="D14" s="55">
        <v>9.3615614352048612E-2</v>
      </c>
      <c r="E14" s="55">
        <v>9.3615614352048612E-2</v>
      </c>
      <c r="F14" s="55">
        <v>9.3615614352048612E-2</v>
      </c>
    </row>
    <row r="15" spans="1:8" ht="15.75" customHeight="1" x14ac:dyDescent="0.25">
      <c r="B15" s="19" t="s">
        <v>82</v>
      </c>
      <c r="C15" s="101">
        <v>0.16932976336606129</v>
      </c>
      <c r="D15" s="101">
        <v>0.16932976336606129</v>
      </c>
      <c r="E15" s="101">
        <v>0.16932976336606129</v>
      </c>
      <c r="F15" s="101">
        <v>0.16932976336606129</v>
      </c>
    </row>
    <row r="16" spans="1:8" ht="15.75" customHeight="1" x14ac:dyDescent="0.25">
      <c r="B16" s="19" t="s">
        <v>83</v>
      </c>
      <c r="C16" s="101">
        <v>4.0391351019369762E-2</v>
      </c>
      <c r="D16" s="101">
        <v>4.0391351019369762E-2</v>
      </c>
      <c r="E16" s="101">
        <v>4.0391351019369762E-2</v>
      </c>
      <c r="F16" s="101">
        <v>4.0391351019369762E-2</v>
      </c>
    </row>
    <row r="17" spans="1:8" ht="15.75" customHeight="1" x14ac:dyDescent="0.25">
      <c r="B17" s="19" t="s">
        <v>84</v>
      </c>
      <c r="C17" s="101">
        <v>4.6859604326945706E-3</v>
      </c>
      <c r="D17" s="101">
        <v>4.6859604326945706E-3</v>
      </c>
      <c r="E17" s="101">
        <v>4.6859604326945706E-3</v>
      </c>
      <c r="F17" s="101">
        <v>4.6859604326945706E-3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5.8536834753466688E-2</v>
      </c>
      <c r="D19" s="101">
        <v>5.8536834753466688E-2</v>
      </c>
      <c r="E19" s="101">
        <v>5.8536834753466688E-2</v>
      </c>
      <c r="F19" s="101">
        <v>5.8536834753466688E-2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0.42620646579798821</v>
      </c>
      <c r="D21" s="101">
        <v>0.42620646579798821</v>
      </c>
      <c r="E21" s="101">
        <v>0.42620646579798821</v>
      </c>
      <c r="F21" s="101">
        <v>0.42620646579798821</v>
      </c>
    </row>
    <row r="22" spans="1:8" ht="15.75" customHeight="1" x14ac:dyDescent="0.25">
      <c r="B22" s="19" t="s">
        <v>89</v>
      </c>
      <c r="C22" s="101">
        <v>0.20723401027837079</v>
      </c>
      <c r="D22" s="101">
        <v>0.20723401027837079</v>
      </c>
      <c r="E22" s="101">
        <v>0.20723401027837079</v>
      </c>
      <c r="F22" s="101">
        <v>0.20723401027837079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6.7517338999999996E-2</v>
      </c>
    </row>
    <row r="27" spans="1:8" ht="15.75" customHeight="1" x14ac:dyDescent="0.25">
      <c r="B27" s="19" t="s">
        <v>92</v>
      </c>
      <c r="C27" s="101">
        <v>2.6177430000000001E-3</v>
      </c>
    </row>
    <row r="28" spans="1:8" ht="15.75" customHeight="1" x14ac:dyDescent="0.25">
      <c r="B28" s="19" t="s">
        <v>93</v>
      </c>
      <c r="C28" s="101">
        <v>0.29081648100000002</v>
      </c>
    </row>
    <row r="29" spans="1:8" ht="15.75" customHeight="1" x14ac:dyDescent="0.25">
      <c r="B29" s="19" t="s">
        <v>94</v>
      </c>
      <c r="C29" s="101">
        <v>0.10208263099999999</v>
      </c>
    </row>
    <row r="30" spans="1:8" ht="15.75" customHeight="1" x14ac:dyDescent="0.25">
      <c r="B30" s="19" t="s">
        <v>95</v>
      </c>
      <c r="C30" s="101">
        <v>2.4702686000000001E-2</v>
      </c>
    </row>
    <row r="31" spans="1:8" ht="15.75" customHeight="1" x14ac:dyDescent="0.25">
      <c r="B31" s="19" t="s">
        <v>96</v>
      </c>
      <c r="C31" s="101">
        <v>4.3597729999999999E-3</v>
      </c>
    </row>
    <row r="32" spans="1:8" ht="15.75" customHeight="1" x14ac:dyDescent="0.25">
      <c r="B32" s="19" t="s">
        <v>97</v>
      </c>
      <c r="C32" s="101">
        <v>0.112627305</v>
      </c>
    </row>
    <row r="33" spans="2:3" ht="15.75" customHeight="1" x14ac:dyDescent="0.25">
      <c r="B33" s="19" t="s">
        <v>98</v>
      </c>
      <c r="C33" s="101">
        <v>0.14088149799999999</v>
      </c>
    </row>
    <row r="34" spans="2:3" ht="15.75" customHeight="1" x14ac:dyDescent="0.25">
      <c r="B34" s="19" t="s">
        <v>99</v>
      </c>
      <c r="C34" s="101">
        <v>0.254394544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104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105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109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110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0.24106760525000001</v>
      </c>
      <c r="D14" s="54">
        <v>0.22647946759500001</v>
      </c>
      <c r="E14" s="54">
        <v>0.22647946759500001</v>
      </c>
      <c r="F14" s="54">
        <v>8.3043017710499989E-2</v>
      </c>
      <c r="G14" s="54">
        <v>8.3043017710499989E-2</v>
      </c>
      <c r="H14" s="45">
        <v>0.32400000000000001</v>
      </c>
      <c r="I14" s="55">
        <v>0.32400000000000001</v>
      </c>
      <c r="J14" s="55">
        <v>0.32400000000000001</v>
      </c>
      <c r="K14" s="55">
        <v>0.32400000000000001</v>
      </c>
      <c r="L14" s="45">
        <v>0.26200000000000001</v>
      </c>
      <c r="M14" s="55">
        <v>0.26200000000000001</v>
      </c>
      <c r="N14" s="55">
        <v>0.26200000000000001</v>
      </c>
      <c r="O14" s="55">
        <v>0.26200000000000001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0.15851279849411126</v>
      </c>
      <c r="D15" s="52">
        <f t="shared" si="0"/>
        <v>0.14892044151975428</v>
      </c>
      <c r="E15" s="52">
        <f t="shared" si="0"/>
        <v>0.14892044151975428</v>
      </c>
      <c r="F15" s="52">
        <f t="shared" si="0"/>
        <v>5.4604521080450719E-2</v>
      </c>
      <c r="G15" s="52">
        <f t="shared" si="0"/>
        <v>5.4604521080450719E-2</v>
      </c>
      <c r="H15" s="52">
        <f t="shared" si="0"/>
        <v>0.21304458000000001</v>
      </c>
      <c r="I15" s="52">
        <f t="shared" si="0"/>
        <v>0.21304458000000001</v>
      </c>
      <c r="J15" s="52">
        <f t="shared" si="0"/>
        <v>0.21304458000000001</v>
      </c>
      <c r="K15" s="52">
        <f t="shared" si="0"/>
        <v>0.21304458000000001</v>
      </c>
      <c r="L15" s="52">
        <f t="shared" si="0"/>
        <v>0.17227679000000001</v>
      </c>
      <c r="M15" s="52">
        <f t="shared" si="0"/>
        <v>0.17227679000000001</v>
      </c>
      <c r="N15" s="52">
        <f t="shared" si="0"/>
        <v>0.17227679000000001</v>
      </c>
      <c r="O15" s="52">
        <f t="shared" si="0"/>
        <v>0.17227679000000001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0.63046120140845097</v>
      </c>
      <c r="D2" s="53">
        <v>0.43695124225352111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0.13987543571428601</v>
      </c>
      <c r="D3" s="53">
        <v>0.172720771830986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0.18968471549295801</v>
      </c>
      <c r="D4" s="53">
        <v>0.32114636056337997</v>
      </c>
      <c r="E4" s="53">
        <v>0.86012135342465701</v>
      </c>
      <c r="F4" s="53">
        <v>0.68589079999999991</v>
      </c>
      <c r="G4" s="53">
        <v>0</v>
      </c>
    </row>
    <row r="5" spans="1:7" x14ac:dyDescent="0.25">
      <c r="B5" s="3" t="s">
        <v>122</v>
      </c>
      <c r="C5" s="52">
        <v>4.2547995714285698E-2</v>
      </c>
      <c r="D5" s="52">
        <v>6.9181616901408394E-2</v>
      </c>
      <c r="E5" s="52">
        <f>1-SUM(E2:E4)</f>
        <v>0.13987864657534299</v>
      </c>
      <c r="F5" s="52">
        <f>1-SUM(F2:F4)</f>
        <v>0.31410920000000009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83.410471363702499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40.449016074200848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812.31808725464009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3.1156800607451971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13.58131551799676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13.58131551799676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13.58131551799676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13.58131551799676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13.58131551799676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13.58131551799676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1.288081317892106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1.7000977777777799E-3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18.60707793325918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18.60707793325918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39.938718228324198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23.735422745953461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4.6350477086017117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0.70933694079999998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19.14284064169528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0.40699999999999997</v>
      </c>
      <c r="C29" s="98">
        <v>0.95</v>
      </c>
      <c r="D29" s="56">
        <v>171.57648799823241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0.97300645133854413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2.8242409092683909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0.97206789999999998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0.85931000000000002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2.9611221982701048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205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5.0000000000000001E-3</v>
      </c>
      <c r="E2" s="60">
        <f>food_insecure</f>
        <v>5.0000000000000001E-3</v>
      </c>
      <c r="F2" s="60">
        <f>food_insecure</f>
        <v>5.0000000000000001E-3</v>
      </c>
      <c r="G2" s="60">
        <f>food_insecure</f>
        <v>5.0000000000000001E-3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5.0000000000000001E-3</v>
      </c>
      <c r="F5" s="60">
        <f>food_insecure</f>
        <v>5.0000000000000001E-3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5.0000000000000001E-3</v>
      </c>
      <c r="F8" s="60">
        <f>food_insecure</f>
        <v>5.0000000000000001E-3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5.0000000000000001E-3</v>
      </c>
      <c r="F9" s="60">
        <f>food_insecure</f>
        <v>5.0000000000000001E-3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5.0000000000000001E-3</v>
      </c>
      <c r="I15" s="60">
        <f>food_insecure</f>
        <v>5.0000000000000001E-3</v>
      </c>
      <c r="J15" s="60">
        <f>food_insecure</f>
        <v>5.0000000000000001E-3</v>
      </c>
      <c r="K15" s="60">
        <f>food_insecure</f>
        <v>5.0000000000000001E-3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0.10299999999999999</v>
      </c>
      <c r="M24" s="60">
        <f>famplan_unmet_need</f>
        <v>0.10299999999999999</v>
      </c>
      <c r="N24" s="60">
        <f>famplan_unmet_need</f>
        <v>0.10299999999999999</v>
      </c>
      <c r="O24" s="60">
        <f>famplan_unmet_need</f>
        <v>0.10299999999999999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9.1292583364080013E-2</v>
      </c>
      <c r="M25" s="60">
        <f>(1-food_insecure)*(0.49)+food_insecure*(0.7)</f>
        <v>0.49104999999999999</v>
      </c>
      <c r="N25" s="60">
        <f>(1-food_insecure)*(0.49)+food_insecure*(0.7)</f>
        <v>0.49104999999999999</v>
      </c>
      <c r="O25" s="60">
        <f>(1-food_insecure)*(0.49)+food_insecure*(0.7)</f>
        <v>0.49104999999999999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3.9125392870320005E-2</v>
      </c>
      <c r="M26" s="60">
        <f>(1-food_insecure)*(0.21)+food_insecure*(0.3)</f>
        <v>0.21045</v>
      </c>
      <c r="N26" s="60">
        <f>(1-food_insecure)*(0.21)+food_insecure*(0.3)</f>
        <v>0.21045</v>
      </c>
      <c r="O26" s="60">
        <f>(1-food_insecure)*(0.21)+food_insecure*(0.3)</f>
        <v>0.21045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5.5495033365600001E-2</v>
      </c>
      <c r="M27" s="60">
        <f>(1-food_insecure)*(0.3)</f>
        <v>0.29849999999999999</v>
      </c>
      <c r="N27" s="60">
        <f>(1-food_insecure)*(0.3)</f>
        <v>0.29849999999999999</v>
      </c>
      <c r="O27" s="60">
        <f>(1-food_insecure)*(0.3)</f>
        <v>0.29849999999999999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0.81408699039999999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0.1061043049026611</v>
      </c>
      <c r="G18" s="90">
        <f>MIN(MAX(1-0.89/(1-frac_sam_12_23months+(frac_sam_12_23months*0.89)),0),1)</f>
        <v>0.10672753483027453</v>
      </c>
      <c r="H18" s="90">
        <f>MIN(MAX(1-0.89/(1-frac_sam_24_59months+(frac_sam_24_59months*0.89)),0),1)</f>
        <v>0.10792624649961502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0.10159302095390743</v>
      </c>
      <c r="G20" s="90">
        <f>MIN(MAX(1-0.89/(1-frac_mam_12_23months+(frac_mam_12_23months*0.89)),0),1)</f>
        <v>0.10192091694100414</v>
      </c>
      <c r="H20" s="90">
        <f>MIN(MAX(1-0.89/(1-frac_mam_24_59months+(frac_mam_24_59months*0.89)),0),1)</f>
        <v>0.10391137176824317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9.6076147076843421E-3</v>
      </c>
      <c r="G73" s="90">
        <f>MIN(MAX(1-0.99/(1-frac_sam_12_23months+(frac_sam_12_23months*0.99)),0),1)</f>
        <v>9.6701790355624428E-3</v>
      </c>
      <c r="H73" s="90">
        <f>MIN(MAX(1-0.99/(1-frac_sam_24_59months+(frac_sam_24_59months*0.99)),0),1)</f>
        <v>9.7907378565519343E-3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9.1570943458723075E-3</v>
      </c>
      <c r="G75" s="90">
        <f>MIN(MAX(1-0.99/(1-frac_mam_12_23months+(frac_mam_12_23months*0.99)),0),1)</f>
        <v>9.1897009707044841E-3</v>
      </c>
      <c r="H75" s="90">
        <f>MIN(MAX(1-0.99/(1-frac_mam_24_59months+(frac_mam_24_59months*0.99)),0),1)</f>
        <v>9.3881015599317497E-3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0.19361030108005861</v>
      </c>
      <c r="G128" s="90">
        <f>MIN(MAX(1-0.8/(1-frac_sam_12_23months+(frac_sam_12_23months*0.8)),0),1)</f>
        <v>0.19463560409556757</v>
      </c>
      <c r="H128" s="90">
        <f>MIN(MAX(1-0.8/(1-frac_sam_24_59months+(frac_sam_24_59months*0.8)),0),1)</f>
        <v>0.1966043481398837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0.18615328435422862</v>
      </c>
      <c r="G130" s="90">
        <f>MIN(MAX(1-0.8/(1-frac_mam_12_23months+(frac_mam_12_23months*0.8)),0),1)</f>
        <v>0.18669738659742963</v>
      </c>
      <c r="H130" s="90">
        <f>MIN(MAX(1-0.8/(1-frac_mam_24_59months+(frac_mam_24_59months*0.8)),0),1)</f>
        <v>0.18999321757816412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2024-06-18T06:54:36Z</dcterms:modified>
</cp:coreProperties>
</file>