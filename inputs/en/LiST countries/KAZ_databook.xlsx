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EC8D03A-732B-443D-89C6-889BD854FDE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<sst xmlns="http://schemas.openxmlformats.org/spreadsheetml/2006/main" count="2103" uniqueCount="341">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</sst>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2016945.46875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8.2799999999999999E-2</v>
      </c>
    </row>
    <row r="24" spans="1:3" ht="15" customHeight="1" x14ac:dyDescent="0.25">
      <c r="B24" s="15" t="s">
        <v>22</v>
      </c>
      <c r="C24" s="45">
        <v>0.55079999999999996</v>
      </c>
    </row>
    <row r="25" spans="1:3" ht="15" customHeight="1" x14ac:dyDescent="0.25">
      <c r="B25" s="15" t="s">
        <v>23</v>
      </c>
      <c r="C25" s="45">
        <v>0.33279999999999998</v>
      </c>
    </row>
    <row r="26" spans="1:3" ht="15" customHeight="1" x14ac:dyDescent="0.25">
      <c r="B26" s="15" t="s">
        <v>24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0.36614845374562899</v>
      </c>
    </row>
    <row r="30" spans="1:3" ht="14.25" customHeight="1" x14ac:dyDescent="0.25">
      <c r="B30" s="25" t="s">
        <v>27</v>
      </c>
      <c r="C30" s="99">
        <v>8.5813228575563602E-2</v>
      </c>
    </row>
    <row r="31" spans="1:3" ht="14.25" customHeight="1" x14ac:dyDescent="0.25">
      <c r="B31" s="25" t="s">
        <v>28</v>
      </c>
      <c r="C31" s="99">
        <v>0.11932858239091</v>
      </c>
    </row>
    <row r="32" spans="1:3" ht="14.25" customHeight="1" x14ac:dyDescent="0.25">
      <c r="B32" s="25" t="s">
        <v>29</v>
      </c>
      <c r="C32" s="99">
        <v>0.42870973528789802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5.0274900000000002</v>
      </c>
    </row>
    <row r="38" spans="1:5" ht="15" customHeight="1" x14ac:dyDescent="0.25">
      <c r="B38" s="11" t="s">
        <v>34</v>
      </c>
      <c r="C38" s="43">
        <v>9.1445000000000007</v>
      </c>
      <c r="D38" s="12"/>
      <c r="E38" s="13"/>
    </row>
    <row r="39" spans="1:5" ht="15" customHeight="1" x14ac:dyDescent="0.25">
      <c r="B39" s="11" t="s">
        <v>35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100">
        <v>0.13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4.6695E-3</v>
      </c>
      <c r="D45" s="12"/>
    </row>
    <row r="46" spans="1:5" ht="15.75" customHeight="1" x14ac:dyDescent="0.25">
      <c r="B46" s="11" t="s">
        <v>41</v>
      </c>
      <c r="C46" s="45">
        <v>5.0173500000000003E-2</v>
      </c>
      <c r="D46" s="12"/>
    </row>
    <row r="47" spans="1:5" ht="15.75" customHeight="1" x14ac:dyDescent="0.25">
      <c r="B47" s="11" t="s">
        <v>42</v>
      </c>
      <c r="C47" s="45">
        <v>7.6561299999999999E-2</v>
      </c>
      <c r="D47" s="12"/>
      <c r="E47" s="13"/>
    </row>
    <row r="48" spans="1:5" ht="15" customHeight="1" x14ac:dyDescent="0.25">
      <c r="B48" s="11" t="s">
        <v>43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0.6155790000000001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388294</v>
      </c>
      <c r="C2" s="49">
        <v>944612.00000000012</v>
      </c>
      <c r="D2" s="49">
        <v>1159228.5</v>
      </c>
      <c r="E2" s="49">
        <v>1528944.5</v>
      </c>
      <c r="F2" s="49">
        <v>1134381</v>
      </c>
      <c r="G2" s="17">
        <f t="shared" ref="G2:G13" si="0">C2+D2+E2+F2</f>
        <v>4767166</v>
      </c>
      <c r="H2" s="17">
        <f t="shared" ref="H2:H13" si="1">(B2 + stillbirth*B2/(1000-stillbirth))/(1-abortion)</f>
        <v>444854.34030815412</v>
      </c>
      <c r="I2" s="17">
        <f t="shared" ref="I2:I13" si="2">G2-H2</f>
        <v>4322311.659691846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384906</v>
      </c>
      <c r="C3" s="50">
        <v>987448.50000000012</v>
      </c>
      <c r="D3" s="50">
        <v>1163755.5</v>
      </c>
      <c r="E3" s="50">
        <v>1502722</v>
      </c>
      <c r="F3" s="50">
        <v>1160204.5</v>
      </c>
      <c r="G3" s="17">
        <f t="shared" si="0"/>
        <v>4814130.5</v>
      </c>
      <c r="H3" s="17">
        <f t="shared" si="1"/>
        <v>440972.83169621567</v>
      </c>
      <c r="I3" s="17">
        <f t="shared" si="2"/>
        <v>4373157.668303784</v>
      </c>
    </row>
    <row r="4" spans="1:9" ht="15.75" customHeight="1" x14ac:dyDescent="0.25">
      <c r="A4" s="5">
        <f t="shared" si="3"/>
        <v>2026</v>
      </c>
      <c r="B4" s="49">
        <v>382439</v>
      </c>
      <c r="C4" s="50">
        <v>1024040</v>
      </c>
      <c r="D4" s="50">
        <v>1186327</v>
      </c>
      <c r="E4" s="50">
        <v>1462682.5</v>
      </c>
      <c r="F4" s="50">
        <v>1191329.5</v>
      </c>
      <c r="G4" s="17">
        <f t="shared" si="0"/>
        <v>4864379</v>
      </c>
      <c r="H4" s="17">
        <f t="shared" si="1"/>
        <v>438146.47935098183</v>
      </c>
      <c r="I4" s="17">
        <f t="shared" si="2"/>
        <v>4426232.5206490178</v>
      </c>
    </row>
    <row r="5" spans="1:9" ht="15.75" customHeight="1" x14ac:dyDescent="0.25">
      <c r="A5" s="5">
        <f t="shared" si="3"/>
        <v>2027</v>
      </c>
      <c r="B5" s="49">
        <v>380506</v>
      </c>
      <c r="C5" s="50">
        <v>1053201</v>
      </c>
      <c r="D5" s="50">
        <v>1226643</v>
      </c>
      <c r="E5" s="50">
        <v>1411790.5</v>
      </c>
      <c r="F5" s="50">
        <v>1226142</v>
      </c>
      <c r="G5" s="17">
        <f t="shared" si="0"/>
        <v>4917776.5</v>
      </c>
      <c r="H5" s="17">
        <f t="shared" si="1"/>
        <v>435931.91142097092</v>
      </c>
      <c r="I5" s="17">
        <f t="shared" si="2"/>
        <v>4481844.5885790288</v>
      </c>
    </row>
    <row r="6" spans="1:9" ht="15.75" customHeight="1" x14ac:dyDescent="0.25">
      <c r="A6" s="5">
        <f t="shared" si="3"/>
        <v>2028</v>
      </c>
      <c r="B6" s="49">
        <v>380476</v>
      </c>
      <c r="C6" s="50">
        <v>1076132.5</v>
      </c>
      <c r="D6" s="50">
        <v>1280601.5</v>
      </c>
      <c r="E6" s="50">
        <v>1356566.5</v>
      </c>
      <c r="F6" s="50">
        <v>1262641</v>
      </c>
      <c r="G6" s="17">
        <f t="shared" si="0"/>
        <v>4975941.5</v>
      </c>
      <c r="H6" s="17">
        <f t="shared" si="1"/>
        <v>435897.54151000333</v>
      </c>
      <c r="I6" s="17">
        <f t="shared" si="2"/>
        <v>4540043.9584899964</v>
      </c>
    </row>
    <row r="7" spans="1:9" ht="15.75" customHeight="1" x14ac:dyDescent="0.25">
      <c r="A7" s="5">
        <f t="shared" si="3"/>
        <v>2029</v>
      </c>
      <c r="B7" s="49">
        <v>382496</v>
      </c>
      <c r="C7" s="50">
        <v>1094937.5</v>
      </c>
      <c r="D7" s="50">
        <v>1342414.5</v>
      </c>
      <c r="E7" s="50">
        <v>1304007</v>
      </c>
      <c r="F7" s="50">
        <v>1299332.5</v>
      </c>
      <c r="G7" s="17">
        <f t="shared" si="0"/>
        <v>5040691.5</v>
      </c>
      <c r="H7" s="17">
        <f t="shared" si="1"/>
        <v>438211.78218182025</v>
      </c>
      <c r="I7" s="17">
        <f t="shared" si="2"/>
        <v>4602479.7178181801</v>
      </c>
    </row>
    <row r="8" spans="1:9" ht="15.75" customHeight="1" x14ac:dyDescent="0.25">
      <c r="A8" s="5">
        <f t="shared" si="3"/>
        <v>2030</v>
      </c>
      <c r="B8" s="49">
        <v>385667</v>
      </c>
      <c r="C8" s="50">
        <v>1111365.5</v>
      </c>
      <c r="D8" s="50">
        <v>1406696.5</v>
      </c>
      <c r="E8" s="50">
        <v>1257632</v>
      </c>
      <c r="F8" s="50">
        <v>1332405.5</v>
      </c>
      <c r="G8" s="17">
        <f t="shared" si="0"/>
        <v>5108099.5</v>
      </c>
      <c r="H8" s="17">
        <f t="shared" si="1"/>
        <v>441844.68177109322</v>
      </c>
      <c r="I8" s="17">
        <f t="shared" si="2"/>
        <v>4666254.818228907</v>
      </c>
    </row>
    <row r="9" spans="1:9" ht="15.75" customHeight="1" x14ac:dyDescent="0.25">
      <c r="A9" s="5">
        <f t="shared" si="3"/>
        <v>2031</v>
      </c>
      <c r="B9" s="49">
        <v>387720</v>
      </c>
      <c r="C9" s="50">
        <v>1123467.5</v>
      </c>
      <c r="D9" s="50">
        <v>1472929</v>
      </c>
      <c r="E9" s="50">
        <v>1216957</v>
      </c>
      <c r="F9" s="50">
        <v>1357922.5</v>
      </c>
      <c r="G9" s="17">
        <f t="shared" si="0"/>
        <v>5171276</v>
      </c>
      <c r="H9" s="17">
        <f t="shared" si="1"/>
        <v>444196.72934497445</v>
      </c>
      <c r="I9" s="17">
        <f t="shared" si="2"/>
        <v>4727079.2706550257</v>
      </c>
    </row>
    <row r="10" spans="1:9" ht="15.75" customHeight="1" x14ac:dyDescent="0.25">
      <c r="A10" s="5">
        <f t="shared" si="3"/>
        <v>2032</v>
      </c>
      <c r="B10" s="49">
        <v>392283</v>
      </c>
      <c r="C10" s="50">
        <v>1132134.5</v>
      </c>
      <c r="D10" s="50">
        <v>1540897.5</v>
      </c>
      <c r="E10" s="50">
        <v>1183327</v>
      </c>
      <c r="F10" s="50">
        <v>1373806</v>
      </c>
      <c r="G10" s="17">
        <f t="shared" si="0"/>
        <v>5230165</v>
      </c>
      <c r="H10" s="17">
        <f t="shared" si="1"/>
        <v>449424.39280314301</v>
      </c>
      <c r="I10" s="17">
        <f t="shared" si="2"/>
        <v>4780740.6071968572</v>
      </c>
    </row>
    <row r="11" spans="1:9" ht="15.75" customHeight="1" x14ac:dyDescent="0.25">
      <c r="A11" s="5">
        <f t="shared" si="3"/>
        <v>2033</v>
      </c>
      <c r="B11" s="49">
        <v>396216</v>
      </c>
      <c r="C11" s="50">
        <v>1140794</v>
      </c>
      <c r="D11" s="50">
        <v>1606466.5</v>
      </c>
      <c r="E11" s="50">
        <v>1160444</v>
      </c>
      <c r="F11" s="50">
        <v>1377805.5</v>
      </c>
      <c r="G11" s="17">
        <f t="shared" si="0"/>
        <v>5285510</v>
      </c>
      <c r="H11" s="17">
        <f t="shared" si="1"/>
        <v>453930.28813099244</v>
      </c>
      <c r="I11" s="17">
        <f t="shared" si="2"/>
        <v>4831579.7118690079</v>
      </c>
    </row>
    <row r="12" spans="1:9" ht="15.75" customHeight="1" x14ac:dyDescent="0.25">
      <c r="A12" s="5">
        <f t="shared" si="3"/>
        <v>2034</v>
      </c>
      <c r="B12" s="49">
        <v>401567</v>
      </c>
      <c r="C12" s="50">
        <v>1151789</v>
      </c>
      <c r="D12" s="50">
        <v>1668205.5</v>
      </c>
      <c r="E12" s="50">
        <v>1150489</v>
      </c>
      <c r="F12" s="50">
        <v>1369756.5</v>
      </c>
      <c r="G12" s="17">
        <f t="shared" si="0"/>
        <v>5340240</v>
      </c>
      <c r="H12" s="17">
        <f t="shared" si="1"/>
        <v>460060.73458390939</v>
      </c>
      <c r="I12" s="17">
        <f t="shared" si="2"/>
        <v>4880179.2654160904</v>
      </c>
    </row>
    <row r="13" spans="1:9" ht="15.75" customHeight="1" x14ac:dyDescent="0.25">
      <c r="A13" s="5">
        <f t="shared" si="3"/>
        <v>2035</v>
      </c>
      <c r="B13" s="49">
        <v>405658</v>
      </c>
      <c r="C13" s="50">
        <v>1162277.5</v>
      </c>
      <c r="D13" s="50">
        <v>1724699</v>
      </c>
      <c r="E13" s="50">
        <v>1155209</v>
      </c>
      <c r="F13" s="50">
        <v>1350579</v>
      </c>
      <c r="G13" s="17">
        <f t="shared" si="0"/>
        <v>5392764.5</v>
      </c>
      <c r="H13" s="17">
        <f t="shared" si="1"/>
        <v>464747.64477618807</v>
      </c>
      <c r="I13" s="17">
        <f t="shared" si="2"/>
        <v>4928016.8552238122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1.760868851984851E-3</v>
      </c>
    </row>
    <row r="4" spans="1:8" ht="15.75" customHeight="1" x14ac:dyDescent="0.25">
      <c r="B4" s="19" t="s">
        <v>69</v>
      </c>
      <c r="C4" s="101">
        <v>4.4030896216346517E-2</v>
      </c>
    </row>
    <row r="5" spans="1:8" ht="15.75" customHeight="1" x14ac:dyDescent="0.25">
      <c r="B5" s="19" t="s">
        <v>70</v>
      </c>
      <c r="C5" s="101">
        <v>1.6053023273165951E-2</v>
      </c>
    </row>
    <row r="6" spans="1:8" ht="15.75" customHeight="1" x14ac:dyDescent="0.25">
      <c r="B6" s="19" t="s">
        <v>71</v>
      </c>
      <c r="C6" s="101">
        <v>0.15322500827529759</v>
      </c>
    </row>
    <row r="7" spans="1:8" ht="15.75" customHeight="1" x14ac:dyDescent="0.25">
      <c r="B7" s="19" t="s">
        <v>72</v>
      </c>
      <c r="C7" s="101">
        <v>0.41398825647937221</v>
      </c>
    </row>
    <row r="8" spans="1:8" ht="15.75" customHeight="1" x14ac:dyDescent="0.25">
      <c r="B8" s="19" t="s">
        <v>73</v>
      </c>
      <c r="C8" s="101">
        <v>1.9861197931209979E-3</v>
      </c>
    </row>
    <row r="9" spans="1:8" ht="15.75" customHeight="1" x14ac:dyDescent="0.25">
      <c r="B9" s="19" t="s">
        <v>74</v>
      </c>
      <c r="C9" s="101">
        <v>0.26293527901943192</v>
      </c>
    </row>
    <row r="10" spans="1:8" ht="15.75" customHeight="1" x14ac:dyDescent="0.25">
      <c r="B10" s="19" t="s">
        <v>75</v>
      </c>
      <c r="C10" s="101">
        <v>0.10602054809128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82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83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87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88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89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1.8716897E-2</v>
      </c>
    </row>
    <row r="27" spans="1:8" ht="15.75" customHeight="1" x14ac:dyDescent="0.25">
      <c r="B27" s="19" t="s">
        <v>92</v>
      </c>
      <c r="C27" s="101">
        <v>2.6342269999999998E-3</v>
      </c>
    </row>
    <row r="28" spans="1:8" ht="15.75" customHeight="1" x14ac:dyDescent="0.25">
      <c r="B28" s="19" t="s">
        <v>93</v>
      </c>
      <c r="C28" s="101">
        <v>0.29297385599999998</v>
      </c>
    </row>
    <row r="29" spans="1:8" ht="15.75" customHeight="1" x14ac:dyDescent="0.25">
      <c r="B29" s="19" t="s">
        <v>94</v>
      </c>
      <c r="C29" s="101">
        <v>7.1156342999999997E-2</v>
      </c>
    </row>
    <row r="30" spans="1:8" ht="15.75" customHeight="1" x14ac:dyDescent="0.25">
      <c r="B30" s="19" t="s">
        <v>95</v>
      </c>
      <c r="C30" s="101">
        <v>0.18743774999999999</v>
      </c>
    </row>
    <row r="31" spans="1:8" ht="15.75" customHeight="1" x14ac:dyDescent="0.25">
      <c r="B31" s="19" t="s">
        <v>96</v>
      </c>
      <c r="C31" s="101">
        <v>5.5795655999999999E-2</v>
      </c>
    </row>
    <row r="32" spans="1:8" ht="15.75" customHeight="1" x14ac:dyDescent="0.25">
      <c r="B32" s="19" t="s">
        <v>97</v>
      </c>
      <c r="C32" s="101">
        <v>3.8825242000000003E-2</v>
      </c>
    </row>
    <row r="33" spans="2:3" ht="15.75" customHeight="1" x14ac:dyDescent="0.25">
      <c r="B33" s="19" t="s">
        <v>98</v>
      </c>
      <c r="C33" s="101">
        <v>1.5145660999999999E-2</v>
      </c>
    </row>
    <row r="34" spans="2:3" ht="15.75" customHeight="1" x14ac:dyDescent="0.25">
      <c r="B34" s="19" t="s">
        <v>99</v>
      </c>
      <c r="C34" s="101">
        <v>0.31731436899999999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104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122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80.804937896193479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40.390616174846663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771.46935681029902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5.6454600415379952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13.522915618642561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13.522915618642561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13.522915618642561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13.522915618642561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13.522915618642561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13.522915618642561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1.2296814185379119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0.32737588888888902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0.35208210000000001</v>
      </c>
      <c r="C18" s="98">
        <v>0.95</v>
      </c>
      <c r="D18" s="56">
        <v>17.67766297845575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0.35208210000000001</v>
      </c>
      <c r="C19" s="98">
        <v>0.95</v>
      </c>
      <c r="D19" s="56">
        <v>17.67766297845575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60.730148203505237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23.604022972406518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4.5985477715053404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0.91476330971695807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19.08390202702364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0.61788880000000002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0.48980810000000002</v>
      </c>
      <c r="C29" s="98">
        <v>0.95</v>
      </c>
      <c r="D29" s="56">
        <v>165.62974913682319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1.20038967895152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2.6928411357214559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0.66691699999999998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0.25818419999999997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0.83941149999999998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2.0061220772807462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205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0.10906443479953187</v>
      </c>
      <c r="G18" s="90">
        <f>MIN(MAX(1-0.89/(1-frac_sam_12_23months+(frac_sam_12_23months*0.89)),0),1)</f>
        <v>0.10915468311472476</v>
      </c>
      <c r="H18" s="90">
        <f>MIN(MAX(1-0.89/(1-frac_sam_24_59months+(frac_sam_24_59months*0.89)),0),1)</f>
        <v>0.10942367154422672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0.10816017814766987</v>
      </c>
      <c r="G20" s="90">
        <f>MIN(MAX(1-0.89/(1-frac_mam_12_23months+(frac_mam_12_23months*0.89)),0),1)</f>
        <v>0.10831776299184726</v>
      </c>
      <c r="H20" s="90">
        <f>MIN(MAX(1-0.89/(1-frac_mam_24_59months+(frac_mam_24_59months*0.89)),0),1)</f>
        <v>0.10879726130234124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9.9054826070861246E-3</v>
      </c>
      <c r="G73" s="90">
        <f>MIN(MAX(1-0.99/(1-frac_sam_12_23months+(frac_sam_12_23months*0.99)),0),1)</f>
        <v>9.914592262472266E-3</v>
      </c>
      <c r="H73" s="90">
        <f>MIN(MAX(1-0.99/(1-frac_sam_24_59months+(frac_sam_24_59months*0.99)),0),1)</f>
        <v>9.9417538833226349E-3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9.8142995835582836E-3</v>
      </c>
      <c r="G75" s="90">
        <f>MIN(MAX(1-0.99/(1-frac_mam_12_23months+(frac_mam_12_23months*0.99)),0),1)</f>
        <v>9.8301779541606349E-3</v>
      </c>
      <c r="H75" s="90">
        <f>MIN(MAX(1-0.99/(1-frac_mam_24_59months+(frac_mam_24_59months*0.99)),0),1)</f>
        <v>9.8785239763496957E-3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0.19846967020253081</v>
      </c>
      <c r="G128" s="90">
        <f>MIN(MAX(1-0.8/(1-frac_sam_12_23months+(frac_sam_12_23months*0.8)),0),1)</f>
        <v>0.19861740666702632</v>
      </c>
      <c r="H128" s="90">
        <f>MIN(MAX(1-0.8/(1-frac_sam_24_59months+(frac_sam_24_59months*0.8)),0),1)</f>
        <v>0.19905759514760246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0.19698804670534331</v>
      </c>
      <c r="G130" s="90">
        <f>MIN(MAX(1-0.8/(1-frac_mam_12_23months+(frac_mam_12_23months*0.8)),0),1)</f>
        <v>0.19724642680336368</v>
      </c>
      <c r="H130" s="90">
        <f>MIN(MAX(1-0.8/(1-frac_mam_24_59months+(frac_mam_24_59months*0.8)),0),1)</f>
        <v>0.1980321634012675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2024-06-18T06:55:45Z</dcterms:modified>
</cp:coreProperties>
</file>