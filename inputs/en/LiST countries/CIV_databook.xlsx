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5293CC7-121D-4351-8982-BBC9D13DBBF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33" i="2"/>
  <c r="A29" i="2"/>
  <c r="A27" i="2"/>
  <c r="A25" i="2"/>
  <c r="A21" i="2"/>
  <c r="A19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I2" i="2"/>
  <c r="H2" i="2"/>
  <c r="G2" i="2"/>
  <c r="A2" i="2"/>
  <c r="A39" i="2" s="1"/>
  <c r="C33" i="1"/>
  <c r="C20" i="1"/>
  <c r="A20" i="2" l="1"/>
  <c r="A28" i="2"/>
  <c r="A36" i="2"/>
  <c r="A38" i="2"/>
  <c r="A14" i="2"/>
  <c r="A40" i="2"/>
  <c r="A15" i="2"/>
  <c r="A23" i="2"/>
  <c r="A31" i="2"/>
  <c r="A22" i="2"/>
  <c r="A30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<sst xmlns="http://schemas.openxmlformats.org/spreadsheetml/2006/main" count="2092" uniqueCount="341">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</sst>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0.33406288146972701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9">
        <v>4.6049300000000001E-2</v>
      </c>
    </row>
    <row r="31" spans="1:3" ht="14.25" customHeight="1" x14ac:dyDescent="0.25">
      <c r="B31" s="25" t="s">
        <v>28</v>
      </c>
      <c r="C31" s="99">
        <v>6.9075899999999996E-2</v>
      </c>
    </row>
    <row r="32" spans="1:3" ht="14.25" customHeight="1" x14ac:dyDescent="0.25">
      <c r="B32" s="25" t="s">
        <v>29</v>
      </c>
      <c r="C32" s="99">
        <v>0.65803900000000004</v>
      </c>
    </row>
    <row r="33" spans="1:5" ht="13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992449.64800000016</v>
      </c>
      <c r="C2" s="49">
        <v>1520000</v>
      </c>
      <c r="D2" s="49">
        <v>2517000</v>
      </c>
      <c r="E2" s="49">
        <v>1747000</v>
      </c>
      <c r="F2" s="49">
        <v>1193000</v>
      </c>
      <c r="G2" s="17">
        <f t="shared" ref="G2:G13" si="0">C2+D2+E2+F2</f>
        <v>6977000</v>
      </c>
      <c r="H2" s="17">
        <f t="shared" ref="H2:H13" si="1">(B2 + stillbirth*B2/(1000-stillbirth))/(1-abortion)</f>
        <v>1132567.7363069935</v>
      </c>
      <c r="I2" s="17">
        <f t="shared" ref="I2:I13" si="2">G2-H2</f>
        <v>5844432.2636930067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1007307.231</v>
      </c>
      <c r="C3" s="50">
        <v>1555000</v>
      </c>
      <c r="D3" s="50">
        <v>2578000</v>
      </c>
      <c r="E3" s="50">
        <v>1808000</v>
      </c>
      <c r="F3" s="50">
        <v>1231000</v>
      </c>
      <c r="G3" s="17">
        <f t="shared" si="0"/>
        <v>7172000</v>
      </c>
      <c r="H3" s="17">
        <f t="shared" si="1"/>
        <v>1149522.9734610531</v>
      </c>
      <c r="I3" s="17">
        <f t="shared" si="2"/>
        <v>6022477.0265389467</v>
      </c>
    </row>
    <row r="4" spans="1:9" ht="15.75" customHeight="1" x14ac:dyDescent="0.25">
      <c r="A4" s="5">
        <f t="shared" si="3"/>
        <v>2026</v>
      </c>
      <c r="B4" s="49">
        <v>1022412.4036</v>
      </c>
      <c r="C4" s="50">
        <v>1591000</v>
      </c>
      <c r="D4" s="50">
        <v>2637000</v>
      </c>
      <c r="E4" s="50">
        <v>1870000</v>
      </c>
      <c r="F4" s="50">
        <v>1269000</v>
      </c>
      <c r="G4" s="17">
        <f t="shared" si="0"/>
        <v>7367000</v>
      </c>
      <c r="H4" s="17">
        <f t="shared" si="1"/>
        <v>1166760.7559244595</v>
      </c>
      <c r="I4" s="17">
        <f t="shared" si="2"/>
        <v>6200239.2440755405</v>
      </c>
    </row>
    <row r="5" spans="1:9" ht="15.75" customHeight="1" x14ac:dyDescent="0.25">
      <c r="A5" s="5">
        <f t="shared" si="3"/>
        <v>2027</v>
      </c>
      <c r="B5" s="49">
        <v>1037498.49</v>
      </c>
      <c r="C5" s="50">
        <v>1631000</v>
      </c>
      <c r="D5" s="50">
        <v>2694000</v>
      </c>
      <c r="E5" s="50">
        <v>1937000</v>
      </c>
      <c r="F5" s="50">
        <v>1305000</v>
      </c>
      <c r="G5" s="17">
        <f t="shared" si="0"/>
        <v>7567000</v>
      </c>
      <c r="H5" s="17">
        <f t="shared" si="1"/>
        <v>1183976.7575203206</v>
      </c>
      <c r="I5" s="17">
        <f t="shared" si="2"/>
        <v>6383023.2424796792</v>
      </c>
    </row>
    <row r="6" spans="1:9" ht="15.75" customHeight="1" x14ac:dyDescent="0.25">
      <c r="A6" s="5">
        <f t="shared" si="3"/>
        <v>2028</v>
      </c>
      <c r="B6" s="49">
        <v>1052553.2598000001</v>
      </c>
      <c r="C6" s="50">
        <v>1673000</v>
      </c>
      <c r="D6" s="50">
        <v>2751000</v>
      </c>
      <c r="E6" s="50">
        <v>2006000</v>
      </c>
      <c r="F6" s="50">
        <v>1345000</v>
      </c>
      <c r="G6" s="17">
        <f t="shared" si="0"/>
        <v>7775000</v>
      </c>
      <c r="H6" s="17">
        <f t="shared" si="1"/>
        <v>1201157.0211108914</v>
      </c>
      <c r="I6" s="17">
        <f t="shared" si="2"/>
        <v>6573842.9788891086</v>
      </c>
    </row>
    <row r="7" spans="1:9" ht="15.75" customHeight="1" x14ac:dyDescent="0.25">
      <c r="A7" s="5">
        <f t="shared" si="3"/>
        <v>2029</v>
      </c>
      <c r="B7" s="49">
        <v>1067597.2692</v>
      </c>
      <c r="C7" s="50">
        <v>1716000</v>
      </c>
      <c r="D7" s="50">
        <v>2810000</v>
      </c>
      <c r="E7" s="50">
        <v>2074000</v>
      </c>
      <c r="F7" s="50">
        <v>1386000</v>
      </c>
      <c r="G7" s="17">
        <f t="shared" si="0"/>
        <v>7986000</v>
      </c>
      <c r="H7" s="17">
        <f t="shared" si="1"/>
        <v>1218325.005104311</v>
      </c>
      <c r="I7" s="17">
        <f t="shared" si="2"/>
        <v>6767674.9948956892</v>
      </c>
    </row>
    <row r="8" spans="1:9" ht="15.75" customHeight="1" x14ac:dyDescent="0.25">
      <c r="A8" s="5">
        <f t="shared" si="3"/>
        <v>2030</v>
      </c>
      <c r="B8" s="49">
        <v>1082552.4010000001</v>
      </c>
      <c r="C8" s="50">
        <v>1759000</v>
      </c>
      <c r="D8" s="50">
        <v>2873000</v>
      </c>
      <c r="E8" s="50">
        <v>2141000</v>
      </c>
      <c r="F8" s="50">
        <v>1431000</v>
      </c>
      <c r="G8" s="17">
        <f t="shared" si="0"/>
        <v>8204000</v>
      </c>
      <c r="H8" s="17">
        <f t="shared" si="1"/>
        <v>1235391.5633957386</v>
      </c>
      <c r="I8" s="17">
        <f t="shared" si="2"/>
        <v>6968608.4366042614</v>
      </c>
    </row>
    <row r="9" spans="1:9" ht="15.75" customHeight="1" x14ac:dyDescent="0.25">
      <c r="A9" s="5">
        <f t="shared" si="3"/>
        <v>2031</v>
      </c>
      <c r="B9" s="49">
        <v>1095424.222857143</v>
      </c>
      <c r="C9" s="50">
        <v>1793142.857142857</v>
      </c>
      <c r="D9" s="50">
        <v>2923857.1428571432</v>
      </c>
      <c r="E9" s="50">
        <v>2197285.7142857141</v>
      </c>
      <c r="F9" s="50">
        <v>1465000</v>
      </c>
      <c r="G9" s="17">
        <f t="shared" si="0"/>
        <v>8379285.7142857146</v>
      </c>
      <c r="H9" s="17">
        <f t="shared" si="1"/>
        <v>1250080.6815512737</v>
      </c>
      <c r="I9" s="17">
        <f t="shared" si="2"/>
        <v>7129205.0327344406</v>
      </c>
    </row>
    <row r="10" spans="1:9" ht="15.75" customHeight="1" x14ac:dyDescent="0.25">
      <c r="A10" s="5">
        <f t="shared" si="3"/>
        <v>2032</v>
      </c>
      <c r="B10" s="49">
        <v>1108012.3645510201</v>
      </c>
      <c r="C10" s="50">
        <v>1827163.2653061219</v>
      </c>
      <c r="D10" s="50">
        <v>2973265.3061224492</v>
      </c>
      <c r="E10" s="50">
        <v>2252897.9591836729</v>
      </c>
      <c r="F10" s="50">
        <v>1498428.5714285709</v>
      </c>
      <c r="G10" s="17">
        <f t="shared" si="0"/>
        <v>8551755.1020408142</v>
      </c>
      <c r="H10" s="17">
        <f t="shared" si="1"/>
        <v>1264446.0684213047</v>
      </c>
      <c r="I10" s="17">
        <f t="shared" si="2"/>
        <v>7287309.03361951</v>
      </c>
    </row>
    <row r="11" spans="1:9" ht="15.75" customHeight="1" x14ac:dyDescent="0.25">
      <c r="A11" s="5">
        <f t="shared" si="3"/>
        <v>2033</v>
      </c>
      <c r="B11" s="49">
        <v>1120240.930401166</v>
      </c>
      <c r="C11" s="50">
        <v>1860900.8746355679</v>
      </c>
      <c r="D11" s="50">
        <v>3021303.206997084</v>
      </c>
      <c r="E11" s="50">
        <v>2307597.6676384839</v>
      </c>
      <c r="F11" s="50">
        <v>1531204.081632653</v>
      </c>
      <c r="G11" s="17">
        <f t="shared" si="0"/>
        <v>8721005.830903789</v>
      </c>
      <c r="H11" s="17">
        <f t="shared" si="1"/>
        <v>1278401.1130637114</v>
      </c>
      <c r="I11" s="17">
        <f t="shared" si="2"/>
        <v>7442604.7178400774</v>
      </c>
    </row>
    <row r="12" spans="1:9" ht="15.75" customHeight="1" x14ac:dyDescent="0.25">
      <c r="A12" s="5">
        <f t="shared" si="3"/>
        <v>2034</v>
      </c>
      <c r="B12" s="49">
        <v>1132061.2790299039</v>
      </c>
      <c r="C12" s="50">
        <v>1893743.856726364</v>
      </c>
      <c r="D12" s="50">
        <v>3068060.8079966679</v>
      </c>
      <c r="E12" s="50">
        <v>2360540.191586839</v>
      </c>
      <c r="F12" s="50">
        <v>1563518.9504373181</v>
      </c>
      <c r="G12" s="17">
        <f t="shared" si="0"/>
        <v>8885863.8067471888</v>
      </c>
      <c r="H12" s="17">
        <f t="shared" si="1"/>
        <v>1291890.3067127669</v>
      </c>
      <c r="I12" s="17">
        <f t="shared" si="2"/>
        <v>7593973.5000344217</v>
      </c>
    </row>
    <row r="13" spans="1:9" ht="15.75" customHeight="1" x14ac:dyDescent="0.25">
      <c r="A13" s="5">
        <f t="shared" si="3"/>
        <v>2035</v>
      </c>
      <c r="B13" s="49">
        <v>1143419.567491319</v>
      </c>
      <c r="C13" s="50">
        <v>1925278.693401559</v>
      </c>
      <c r="D13" s="50">
        <v>3113355.2091390491</v>
      </c>
      <c r="E13" s="50">
        <v>2411188.790384958</v>
      </c>
      <c r="F13" s="50">
        <v>1594735.9433569349</v>
      </c>
      <c r="G13" s="17">
        <f t="shared" si="0"/>
        <v>9044558.6362825017</v>
      </c>
      <c r="H13" s="17">
        <f t="shared" si="1"/>
        <v>1304852.2046558924</v>
      </c>
      <c r="I13" s="17">
        <f t="shared" si="2"/>
        <v>7739706.4316266095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0.59761968593124903</v>
      </c>
      <c r="C2" s="98">
        <v>0.95</v>
      </c>
      <c r="D2" s="56">
        <v>41.387637286401322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44.781858972877899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153.4973723658575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0.29312507679810212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14.30692084199827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14.30692084199827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14.30692084199827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14.30692084199827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14.30692084199827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14.30692084199827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0.72617600246982905</v>
      </c>
      <c r="C16" s="98">
        <v>0.95</v>
      </c>
      <c r="D16" s="56">
        <v>0.36320040935559378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3.617191631009383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3.617191631009383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0.20890819999999999</v>
      </c>
      <c r="C21" s="98">
        <v>0.95</v>
      </c>
      <c r="D21" s="56">
        <v>2.758347102408317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3.2008099999999998E-2</v>
      </c>
      <c r="C23" s="98">
        <v>0.95</v>
      </c>
      <c r="D23" s="56">
        <v>4.7321919239691654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0.86933957623125091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0.57825758418322304</v>
      </c>
      <c r="C27" s="98">
        <v>0.95</v>
      </c>
      <c r="D27" s="56">
        <v>20.61562649086434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0.56282260000000006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75.665679869964904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0.89524516395230957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0.224714</v>
      </c>
      <c r="C32" s="98">
        <v>0.95</v>
      </c>
      <c r="D32" s="56">
        <v>0.73334431799167266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0.98383619999999994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4.8103300000000002E-2</v>
      </c>
      <c r="C38" s="98">
        <v>0.95</v>
      </c>
      <c r="D38" s="56">
        <v>5.7467676630794493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0.75648280000000001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0.90758709915904257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2024-03-28T03:03:54Z</dcterms:modified>
</cp:coreProperties>
</file>