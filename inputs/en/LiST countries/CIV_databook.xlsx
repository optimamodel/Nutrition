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550A5D5-362E-4647-91A9-C655B0167B10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33" i="2"/>
  <c r="A32" i="2"/>
  <c r="A31" i="2"/>
  <c r="A27" i="2"/>
  <c r="A25" i="2"/>
  <c r="A24" i="2"/>
  <c r="A23" i="2"/>
  <c r="A19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3" i="2" l="1"/>
  <c r="A18" i="2"/>
  <c r="A26" i="2"/>
  <c r="A34" i="2"/>
  <c r="A39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<sst xmlns="http://schemas.openxmlformats.org/spreadsheetml/2006/main" count="2101" uniqueCount="341">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</sst>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301295.630859375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0.33406288146972701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0.13689999999999999</v>
      </c>
    </row>
    <row r="24" spans="1:3" ht="15" customHeight="1" x14ac:dyDescent="0.25">
      <c r="B24" s="15" t="s">
        <v>22</v>
      </c>
      <c r="C24" s="45">
        <v>0.45260000000000011</v>
      </c>
    </row>
    <row r="25" spans="1:3" ht="15" customHeight="1" x14ac:dyDescent="0.25">
      <c r="B25" s="15" t="s">
        <v>23</v>
      </c>
      <c r="C25" s="45">
        <v>0.30809999999999998</v>
      </c>
    </row>
    <row r="26" spans="1:3" ht="15" customHeight="1" x14ac:dyDescent="0.25">
      <c r="B26" s="15" t="s">
        <v>24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0.2268357</v>
      </c>
    </row>
    <row r="30" spans="1:3" ht="14.25" customHeight="1" x14ac:dyDescent="0.25">
      <c r="B30" s="25" t="s">
        <v>27</v>
      </c>
      <c r="C30" s="99">
        <v>4.6049300000000001E-2</v>
      </c>
    </row>
    <row r="31" spans="1:3" ht="14.25" customHeight="1" x14ac:dyDescent="0.25">
      <c r="B31" s="25" t="s">
        <v>28</v>
      </c>
      <c r="C31" s="99">
        <v>6.9075899999999996E-2</v>
      </c>
    </row>
    <row r="32" spans="1:3" ht="14.25" customHeight="1" x14ac:dyDescent="0.25">
      <c r="B32" s="25" t="s">
        <v>29</v>
      </c>
      <c r="C32" s="99">
        <v>0.65803900000000004</v>
      </c>
    </row>
    <row r="33" spans="1:5" ht="13" customHeight="1" x14ac:dyDescent="0.25">
      <c r="B33" s="27" t="s">
        <v>30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974998</v>
      </c>
      <c r="C2" s="49">
        <v>1986264.5</v>
      </c>
      <c r="D2" s="49">
        <v>2598987</v>
      </c>
      <c r="E2" s="49">
        <v>1771321</v>
      </c>
      <c r="F2" s="49">
        <v>1186631.5</v>
      </c>
      <c r="G2" s="17">
        <f t="shared" ref="G2:G13" si="0">C2+D2+E2+F2</f>
        <v>7543204</v>
      </c>
      <c r="H2" s="17">
        <f t="shared" ref="H2:H13" si="1">(B2 + stillbirth*B2/(1000-stillbirth))/(1-abortion)</f>
        <v>1112652.193478178</v>
      </c>
      <c r="I2" s="17">
        <f t="shared" ref="I2:I13" si="2">G2-H2</f>
        <v>6430551.8065218218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989981</v>
      </c>
      <c r="C3" s="50">
        <v>2036863</v>
      </c>
      <c r="D3" s="50">
        <v>2684621.5</v>
      </c>
      <c r="E3" s="50">
        <v>1826042.5</v>
      </c>
      <c r="F3" s="50">
        <v>1219585.5</v>
      </c>
      <c r="G3" s="17">
        <f t="shared" si="0"/>
        <v>7767112.5</v>
      </c>
      <c r="H3" s="17">
        <f t="shared" si="1"/>
        <v>1129750.5545157224</v>
      </c>
      <c r="I3" s="17">
        <f t="shared" si="2"/>
        <v>6637361.9454842778</v>
      </c>
    </row>
    <row r="4" spans="1:9" ht="15.75" customHeight="1" x14ac:dyDescent="0.25">
      <c r="A4" s="5">
        <f t="shared" si="3"/>
        <v>2026</v>
      </c>
      <c r="B4" s="49">
        <v>1004962</v>
      </c>
      <c r="C4" s="50">
        <v>2083487.5</v>
      </c>
      <c r="D4" s="50">
        <v>2769715.5</v>
      </c>
      <c r="E4" s="50">
        <v>1890099.5</v>
      </c>
      <c r="F4" s="50">
        <v>1245990</v>
      </c>
      <c r="G4" s="17">
        <f t="shared" si="0"/>
        <v>7989292.5</v>
      </c>
      <c r="H4" s="17">
        <f t="shared" si="1"/>
        <v>1146846.633185111</v>
      </c>
      <c r="I4" s="17">
        <f t="shared" si="2"/>
        <v>6842445.866814889</v>
      </c>
    </row>
    <row r="5" spans="1:9" ht="15.75" customHeight="1" x14ac:dyDescent="0.25">
      <c r="A5" s="5">
        <f t="shared" si="3"/>
        <v>2027</v>
      </c>
      <c r="B5" s="49">
        <v>1020230</v>
      </c>
      <c r="C5" s="50">
        <v>2125720.5</v>
      </c>
      <c r="D5" s="50">
        <v>2853192</v>
      </c>
      <c r="E5" s="50">
        <v>1962788.5</v>
      </c>
      <c r="F5" s="50">
        <v>1263327</v>
      </c>
      <c r="G5" s="17">
        <f t="shared" si="0"/>
        <v>8205028</v>
      </c>
      <c r="H5" s="17">
        <f t="shared" si="1"/>
        <v>1164270.2316848256</v>
      </c>
      <c r="I5" s="17">
        <f t="shared" si="2"/>
        <v>7040757.7683151746</v>
      </c>
    </row>
    <row r="6" spans="1:9" ht="15.75" customHeight="1" x14ac:dyDescent="0.25">
      <c r="A6" s="5">
        <f t="shared" si="3"/>
        <v>2028</v>
      </c>
      <c r="B6" s="49">
        <v>1037875</v>
      </c>
      <c r="C6" s="50">
        <v>2163898.5</v>
      </c>
      <c r="D6" s="50">
        <v>2933881</v>
      </c>
      <c r="E6" s="50">
        <v>2037931.5</v>
      </c>
      <c r="F6" s="50">
        <v>1275059</v>
      </c>
      <c r="G6" s="17">
        <f t="shared" si="0"/>
        <v>8410770</v>
      </c>
      <c r="H6" s="17">
        <f t="shared" si="1"/>
        <v>1184406.4247374497</v>
      </c>
      <c r="I6" s="17">
        <f t="shared" si="2"/>
        <v>7226363.5752625503</v>
      </c>
    </row>
    <row r="7" spans="1:9" ht="15.75" customHeight="1" x14ac:dyDescent="0.25">
      <c r="A7" s="5">
        <f t="shared" si="3"/>
        <v>2029</v>
      </c>
      <c r="B7" s="49">
        <v>1055006</v>
      </c>
      <c r="C7" s="50">
        <v>2199257.5</v>
      </c>
      <c r="D7" s="50">
        <v>3013314.5</v>
      </c>
      <c r="E7" s="50">
        <v>2110937</v>
      </c>
      <c r="F7" s="50">
        <v>1290639.5</v>
      </c>
      <c r="G7" s="17">
        <f t="shared" si="0"/>
        <v>8614148.5</v>
      </c>
      <c r="H7" s="17">
        <f t="shared" si="1"/>
        <v>1203956.0491740895</v>
      </c>
      <c r="I7" s="17">
        <f t="shared" si="2"/>
        <v>7410192.450825911</v>
      </c>
    </row>
    <row r="8" spans="1:9" ht="15.75" customHeight="1" x14ac:dyDescent="0.25">
      <c r="A8" s="5">
        <f t="shared" si="3"/>
        <v>2030</v>
      </c>
      <c r="B8" s="49">
        <v>1068104</v>
      </c>
      <c r="C8" s="50">
        <v>2232459</v>
      </c>
      <c r="D8" s="50">
        <v>3094021.5</v>
      </c>
      <c r="E8" s="50">
        <v>2184677</v>
      </c>
      <c r="F8" s="50">
        <v>1314420.5</v>
      </c>
      <c r="G8" s="17">
        <f t="shared" si="0"/>
        <v>8825578</v>
      </c>
      <c r="H8" s="17">
        <f t="shared" si="1"/>
        <v>1218903.2782249972</v>
      </c>
      <c r="I8" s="17">
        <f t="shared" si="2"/>
        <v>7606674.7217750028</v>
      </c>
    </row>
    <row r="9" spans="1:9" ht="15.75" customHeight="1" x14ac:dyDescent="0.25">
      <c r="A9" s="5">
        <f t="shared" si="3"/>
        <v>2031</v>
      </c>
      <c r="B9" s="49">
        <v>1085163</v>
      </c>
      <c r="C9" s="50">
        <v>2266813.5</v>
      </c>
      <c r="D9" s="50">
        <v>3175581.5</v>
      </c>
      <c r="E9" s="50">
        <v>2259689</v>
      </c>
      <c r="F9" s="50">
        <v>1343216.5</v>
      </c>
      <c r="G9" s="17">
        <f t="shared" si="0"/>
        <v>9045300.5</v>
      </c>
      <c r="H9" s="17">
        <f t="shared" si="1"/>
        <v>1238370.7374080359</v>
      </c>
      <c r="I9" s="17">
        <f t="shared" si="2"/>
        <v>7806929.7625919636</v>
      </c>
    </row>
    <row r="10" spans="1:9" ht="15.75" customHeight="1" x14ac:dyDescent="0.25">
      <c r="A10" s="5">
        <f t="shared" si="3"/>
        <v>2032</v>
      </c>
      <c r="B10" s="49">
        <v>1100286</v>
      </c>
      <c r="C10" s="50">
        <v>2303095.5</v>
      </c>
      <c r="D10" s="50">
        <v>3254177</v>
      </c>
      <c r="E10" s="50">
        <v>2336106</v>
      </c>
      <c r="F10" s="50">
        <v>1375903</v>
      </c>
      <c r="G10" s="17">
        <f t="shared" si="0"/>
        <v>9269281.5</v>
      </c>
      <c r="H10" s="17">
        <f t="shared" si="1"/>
        <v>1255628.8642164709</v>
      </c>
      <c r="I10" s="17">
        <f t="shared" si="2"/>
        <v>8013652.6357835289</v>
      </c>
    </row>
    <row r="11" spans="1:9" ht="15.75" customHeight="1" x14ac:dyDescent="0.25">
      <c r="A11" s="5">
        <f t="shared" si="3"/>
        <v>2033</v>
      </c>
      <c r="B11" s="49">
        <v>1115956</v>
      </c>
      <c r="C11" s="50">
        <v>2339788.5</v>
      </c>
      <c r="D11" s="50">
        <v>3327577.5</v>
      </c>
      <c r="E11" s="50">
        <v>2416008.5</v>
      </c>
      <c r="F11" s="50">
        <v>1413037</v>
      </c>
      <c r="G11" s="17">
        <f t="shared" si="0"/>
        <v>9496411.5</v>
      </c>
      <c r="H11" s="17">
        <f t="shared" si="1"/>
        <v>1273511.2187154575</v>
      </c>
      <c r="I11" s="17">
        <f t="shared" si="2"/>
        <v>8222900.2812845428</v>
      </c>
    </row>
    <row r="12" spans="1:9" ht="15.75" customHeight="1" x14ac:dyDescent="0.25">
      <c r="A12" s="5">
        <f t="shared" si="3"/>
        <v>2034</v>
      </c>
      <c r="B12" s="49">
        <v>1124540</v>
      </c>
      <c r="C12" s="50">
        <v>2378723</v>
      </c>
      <c r="D12" s="50">
        <v>3397090</v>
      </c>
      <c r="E12" s="50">
        <v>2499016</v>
      </c>
      <c r="F12" s="50">
        <v>1454483.5</v>
      </c>
      <c r="G12" s="17">
        <f t="shared" si="0"/>
        <v>9729312.5</v>
      </c>
      <c r="H12" s="17">
        <f t="shared" si="1"/>
        <v>1283307.1428392164</v>
      </c>
      <c r="I12" s="17">
        <f t="shared" si="2"/>
        <v>8446005.3571607843</v>
      </c>
    </row>
    <row r="13" spans="1:9" ht="15.75" customHeight="1" x14ac:dyDescent="0.25">
      <c r="A13" s="5">
        <f t="shared" si="3"/>
        <v>2035</v>
      </c>
      <c r="B13" s="49">
        <v>1138011</v>
      </c>
      <c r="C13" s="50">
        <v>2418844.5</v>
      </c>
      <c r="D13" s="50">
        <v>3464964</v>
      </c>
      <c r="E13" s="50">
        <v>2582725.5</v>
      </c>
      <c r="F13" s="50">
        <v>1500562.5</v>
      </c>
      <c r="G13" s="17">
        <f t="shared" si="0"/>
        <v>9967096.5</v>
      </c>
      <c r="H13" s="17">
        <f t="shared" si="1"/>
        <v>1298680.0335511407</v>
      </c>
      <c r="I13" s="17">
        <f t="shared" si="2"/>
        <v>8668416.4664488584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2.2469799999999981E-2</v>
      </c>
    </row>
    <row r="5" spans="1:8" ht="15.75" customHeight="1" x14ac:dyDescent="0.25">
      <c r="B5" s="19" t="s">
        <v>70</v>
      </c>
      <c r="C5" s="101">
        <v>2.4460900000000049E-2</v>
      </c>
    </row>
    <row r="6" spans="1:8" ht="15.75" customHeight="1" x14ac:dyDescent="0.25">
      <c r="B6" s="19" t="s">
        <v>71</v>
      </c>
      <c r="C6" s="101">
        <v>0.10187679999999991</v>
      </c>
    </row>
    <row r="7" spans="1:8" ht="15.75" customHeight="1" x14ac:dyDescent="0.25">
      <c r="B7" s="19" t="s">
        <v>72</v>
      </c>
      <c r="C7" s="101">
        <v>0.41340200000000021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0.39500150000000001</v>
      </c>
    </row>
    <row r="10" spans="1:8" ht="15.75" customHeight="1" x14ac:dyDescent="0.25">
      <c r="B10" s="19" t="s">
        <v>75</v>
      </c>
      <c r="C10" s="101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83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87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89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101">
        <v>3.4044087000000001E-2</v>
      </c>
    </row>
    <row r="28" spans="1:8" ht="15.75" customHeight="1" x14ac:dyDescent="0.25">
      <c r="B28" s="19" t="s">
        <v>93</v>
      </c>
      <c r="C28" s="101">
        <v>4.3283602999999997E-2</v>
      </c>
    </row>
    <row r="29" spans="1:8" ht="15.75" customHeight="1" x14ac:dyDescent="0.25">
      <c r="B29" s="19" t="s">
        <v>94</v>
      </c>
      <c r="C29" s="101">
        <v>0.177569167</v>
      </c>
    </row>
    <row r="30" spans="1:8" ht="15.75" customHeight="1" x14ac:dyDescent="0.25">
      <c r="B30" s="19" t="s">
        <v>95</v>
      </c>
      <c r="C30" s="101">
        <v>3.1893660999999997E-2</v>
      </c>
    </row>
    <row r="31" spans="1:8" ht="15.75" customHeight="1" x14ac:dyDescent="0.25">
      <c r="B31" s="19" t="s">
        <v>96</v>
      </c>
      <c r="C31" s="101">
        <v>9.3503550000000005E-2</v>
      </c>
    </row>
    <row r="32" spans="1:8" ht="15.75" customHeight="1" x14ac:dyDescent="0.25">
      <c r="B32" s="19" t="s">
        <v>97</v>
      </c>
      <c r="C32" s="101">
        <v>7.8392814000000005E-2</v>
      </c>
    </row>
    <row r="33" spans="2:3" ht="15.75" customHeight="1" x14ac:dyDescent="0.25">
      <c r="B33" s="19" t="s">
        <v>98</v>
      </c>
      <c r="C33" s="101">
        <v>0.15751110600000001</v>
      </c>
    </row>
    <row r="34" spans="2:3" ht="15.75" customHeight="1" x14ac:dyDescent="0.25">
      <c r="B34" s="19" t="s">
        <v>99</v>
      </c>
      <c r="C34" s="101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11.223012790221791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0.31097639397510651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0.33594128499662412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14.30692084199827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14.30692084199827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14.30692084199827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14.30692084199827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14.30692084199827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14.30692084199827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0.31415611111111102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0.185</v>
      </c>
      <c r="C18" s="98">
        <v>0.95</v>
      </c>
      <c r="D18" s="56">
        <v>11.223012790221791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0.224714</v>
      </c>
      <c r="C19" s="98">
        <v>0.95</v>
      </c>
      <c r="D19" s="56">
        <v>11.223012790221791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24.452045938305751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4.7321919239691654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0.93597991376873002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2.3140232557158318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0.56282260000000006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0.75648280000000001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318.91097169190363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0.85956929999999998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0.20890819999999999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3.2008099999999998E-2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0.107</v>
      </c>
      <c r="C38" s="98">
        <v>0.95</v>
      </c>
      <c r="D38" s="56">
        <v>0.85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205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0.32826704320831274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0.14068587566070545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0.19698419966125474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0.33406288146972701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0.10957058952636967</v>
      </c>
      <c r="H18" s="90">
        <f>MIN(MAX(1-0.89/(1-frac_sam_24_59months+(frac_sam_24_59months*0.89)),0),1)</f>
        <v>0.10995040109605148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0.10958295625964032</v>
      </c>
      <c r="G20" s="90">
        <f>MIN(MAX(1-0.89/(1-frac_mam_12_23months+(frac_mam_12_23months*0.89)),0),1)</f>
        <v>0.10813292711934752</v>
      </c>
      <c r="H20" s="90">
        <f>MIN(MAX(1-0.89/(1-frac_mam_24_59months+(frac_mam_24_59months*0.89)),0),1)</f>
        <v>0.10819930189260185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9.9565955071035939E-3</v>
      </c>
      <c r="H73" s="90">
        <f>MIN(MAX(1-0.99/(1-frac_sam_24_59months+(frac_sam_24_59months*0.99)),0),1)</f>
        <v>9.9949846345921411E-3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9.9578449950820103E-3</v>
      </c>
      <c r="G75" s="90">
        <f>MIN(MAX(1-0.99/(1-frac_mam_12_23months+(frac_mam_12_23months*0.99)),0),1)</f>
        <v>9.8115542663271826E-3</v>
      </c>
      <c r="H75" s="90">
        <f>MIN(MAX(1-0.99/(1-frac_mam_24_59months+(frac_mam_24_59months*0.99)),0),1)</f>
        <v>9.8182412461814694E-3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0.19929792840958804</v>
      </c>
      <c r="H128" s="90">
        <f>MIN(MAX(1-0.8/(1-frac_sam_24_59months+(frac_sam_24_59months*0.8)),0),1)</f>
        <v>0.19991893578657383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0.19931815535473685</v>
      </c>
      <c r="G130" s="90">
        <f>MIN(MAX(1-0.8/(1-frac_mam_12_23months+(frac_mam_12_23months*0.8)),0),1)</f>
        <v>0.19694335762439141</v>
      </c>
      <c r="H130" s="90">
        <f>MIN(MAX(1-0.8/(1-frac_mam_24_59months+(frac_mam_24_59months*0.8)),0),1)</f>
        <v>0.1970522019849712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2024-08-06T06:31:17Z</dcterms:modified>
</cp:coreProperties>
</file>