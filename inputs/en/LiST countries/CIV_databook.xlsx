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40F3B53-092E-4C5D-9398-B333C0A7BBF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<sst xmlns="http://schemas.openxmlformats.org/spreadsheetml/2006/main" count="2169" uniqueCount="373">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</sst>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4637010</v>
      </c>
    </row>
    <row r="8" spans="1:3" ht="15" customHeight="1" x14ac:dyDescent="0.25">
      <c r="B8" s="5" t="s">
        <v>8</v>
      </c>
      <c r="C8" s="44">
        <v>0.34100000000000003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0.24519759999999999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7">
        <v>4.6049300000000001E-2</v>
      </c>
    </row>
    <row r="31" spans="1:3" ht="14.25" customHeight="1" x14ac:dyDescent="0.25">
      <c r="B31" s="25" t="s">
        <v>28</v>
      </c>
      <c r="C31" s="97">
        <v>6.9075899999999996E-2</v>
      </c>
    </row>
    <row r="32" spans="1:3" ht="14.25" customHeight="1" x14ac:dyDescent="0.25">
      <c r="B32" s="25" t="s">
        <v>29</v>
      </c>
      <c r="C32" s="97">
        <v>0.65803900000000004</v>
      </c>
    </row>
    <row r="33" spans="1:5" ht="13.25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98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1.5860000000000001</v>
      </c>
      <c r="D51" s="12"/>
    </row>
    <row r="52" spans="1:4" ht="15" customHeight="1" x14ac:dyDescent="0.25">
      <c r="B52" s="11" t="s">
        <v>46</v>
      </c>
      <c r="C52" s="98">
        <v>1.5860000000000001</v>
      </c>
    </row>
    <row r="53" spans="1:4" ht="15.75" customHeight="1" x14ac:dyDescent="0.25">
      <c r="B53" s="11" t="s">
        <v>47</v>
      </c>
      <c r="C53" s="98">
        <v>4.524</v>
      </c>
    </row>
    <row r="54" spans="1:4" ht="15.75" customHeight="1" x14ac:dyDescent="0.25">
      <c r="B54" s="11" t="s">
        <v>48</v>
      </c>
      <c r="C54" s="98">
        <v>4.55</v>
      </c>
    </row>
    <row r="55" spans="1:4" ht="15.75" customHeight="1" x14ac:dyDescent="0.25">
      <c r="B55" s="11" t="s">
        <v>49</v>
      </c>
      <c r="C55" s="98">
        <v>2.4006666666666669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2.2469799999999981E-2</v>
      </c>
    </row>
    <row r="5" spans="1:8" ht="15.75" customHeight="1" x14ac:dyDescent="0.25">
      <c r="B5" s="19" t="s">
        <v>70</v>
      </c>
      <c r="C5" s="99">
        <v>2.4460900000000049E-2</v>
      </c>
    </row>
    <row r="6" spans="1:8" ht="15.75" customHeight="1" x14ac:dyDescent="0.25">
      <c r="B6" s="19" t="s">
        <v>71</v>
      </c>
      <c r="C6" s="99">
        <v>0.10187679999999991</v>
      </c>
    </row>
    <row r="7" spans="1:8" ht="15.75" customHeight="1" x14ac:dyDescent="0.25">
      <c r="B7" s="19" t="s">
        <v>72</v>
      </c>
      <c r="C7" s="99">
        <v>0.41340200000000021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0.39500150000000001</v>
      </c>
    </row>
    <row r="10" spans="1:8" ht="15.75" customHeight="1" x14ac:dyDescent="0.25">
      <c r="B10" s="19" t="s">
        <v>75</v>
      </c>
      <c r="C10" s="99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83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87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88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89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99">
        <v>3.4044087000000001E-2</v>
      </c>
    </row>
    <row r="28" spans="1:8" ht="15.75" customHeight="1" x14ac:dyDescent="0.25">
      <c r="B28" s="19" t="s">
        <v>93</v>
      </c>
      <c r="C28" s="99">
        <v>4.3283602999999997E-2</v>
      </c>
    </row>
    <row r="29" spans="1:8" ht="15.75" customHeight="1" x14ac:dyDescent="0.25">
      <c r="B29" s="19" t="s">
        <v>94</v>
      </c>
      <c r="C29" s="99">
        <v>0.177569167</v>
      </c>
    </row>
    <row r="30" spans="1:8" ht="15.75" customHeight="1" x14ac:dyDescent="0.25">
      <c r="B30" s="19" t="s">
        <v>95</v>
      </c>
      <c r="C30" s="99">
        <v>3.1893660999999997E-2</v>
      </c>
    </row>
    <row r="31" spans="1:8" ht="15.75" customHeight="1" x14ac:dyDescent="0.25">
      <c r="B31" s="19" t="s">
        <v>96</v>
      </c>
      <c r="C31" s="99">
        <v>9.3503550000000005E-2</v>
      </c>
    </row>
    <row r="32" spans="1:8" ht="15.75" customHeight="1" x14ac:dyDescent="0.25">
      <c r="B32" s="19" t="s">
        <v>97</v>
      </c>
      <c r="C32" s="99">
        <v>7.8392814000000005E-2</v>
      </c>
    </row>
    <row r="33" spans="2:3" ht="15.75" customHeight="1" x14ac:dyDescent="0.25">
      <c r="B33" s="19" t="s">
        <v>98</v>
      </c>
      <c r="C33" s="99">
        <v>0.15751110600000001</v>
      </c>
    </row>
    <row r="34" spans="2:3" ht="15.75" customHeight="1" x14ac:dyDescent="0.25">
      <c r="B34" s="19" t="s">
        <v>99</v>
      </c>
      <c r="C34" s="99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2486.4121939424799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0.31214999999999998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0.58029000000000008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1.2964714354519241E-2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92069.397580000004</v>
      </c>
      <c r="C22" s="107">
        <v>90749.257360000003</v>
      </c>
      <c r="D22" s="107">
        <v>89790.536429999993</v>
      </c>
      <c r="E22" s="107">
        <v>89178.959210000001</v>
      </c>
      <c r="F22" s="107">
        <v>88374.46819</v>
      </c>
      <c r="G22" s="107">
        <v>87395.65986</v>
      </c>
      <c r="H22" s="107">
        <v>86127.279179999998</v>
      </c>
      <c r="I22" s="107">
        <v>84387.821970000005</v>
      </c>
      <c r="J22" s="107">
        <v>81916.292199999996</v>
      </c>
      <c r="K22" s="107">
        <v>78625.321379999994</v>
      </c>
      <c r="L22" s="107">
        <v>74160.815640000001</v>
      </c>
      <c r="M22" s="107">
        <v>68437.283880000003</v>
      </c>
      <c r="N22" s="107">
        <v>60724.808649999999</v>
      </c>
      <c r="O22" s="107">
        <v>51151.459410000003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14.30692084199827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14.30692084199827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14.30692084199827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14.30692084199827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14.30692084199827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14.30692084199827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0.31415611111111102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0.185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0.224714</v>
      </c>
      <c r="C19" s="96">
        <v>0.95</v>
      </c>
      <c r="D19" s="56">
        <v>11.223012790221791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4.7321919239691654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0.93597991376873002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0.56282260000000006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0.75648280000000001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0.21814959119999999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0.20890819999999999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3.2008099999999998E-2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0.107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1.5860000000000001</v>
      </c>
      <c r="C2" s="21">
        <f>'Baseline year population inputs'!C52</f>
        <v>1.5860000000000001</v>
      </c>
      <c r="D2" s="21">
        <f>'Baseline year population inputs'!C53</f>
        <v>4.524</v>
      </c>
      <c r="E2" s="21">
        <f>'Baseline year population inputs'!C54</f>
        <v>4.55</v>
      </c>
      <c r="F2" s="21">
        <f>'Baseline year population inputs'!C55</f>
        <v>2.4006666666666669</v>
      </c>
    </row>
    <row r="3" spans="1:6" ht="15.75" customHeight="1" x14ac:dyDescent="0.25">
      <c r="A3" s="3" t="s">
        <v>197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198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