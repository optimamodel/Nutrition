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9FB830F-67D5-4485-9670-4E57ACE6AC42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<sst xmlns="http://schemas.openxmlformats.org/spreadsheetml/2006/main" count="2102" uniqueCount="341">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</sst>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301295.630859375</v>
      </c>
    </row>
    <row r="8" spans="1:3" ht="15" customHeight="1" x14ac:dyDescent="0.25">
      <c r="B8" s="5" t="s">
        <v>8</v>
      </c>
      <c r="C8" s="44">
        <v>1.4E-2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0.33406288146972701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0.68900000000000006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0.13689999999999999</v>
      </c>
    </row>
    <row r="24" spans="1:3" ht="15" customHeight="1" x14ac:dyDescent="0.25">
      <c r="B24" s="15" t="s">
        <v>22</v>
      </c>
      <c r="C24" s="45">
        <v>0.45260000000000011</v>
      </c>
    </row>
    <row r="25" spans="1:3" ht="15" customHeight="1" x14ac:dyDescent="0.25">
      <c r="B25" s="15" t="s">
        <v>23</v>
      </c>
      <c r="C25" s="45">
        <v>0.30809999999999998</v>
      </c>
    </row>
    <row r="26" spans="1:3" ht="15" customHeight="1" x14ac:dyDescent="0.25">
      <c r="B26" s="15" t="s">
        <v>24</v>
      </c>
      <c r="C26" s="45">
        <v>0.1024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0.2268357</v>
      </c>
    </row>
    <row r="30" spans="1:3" ht="14.25" customHeight="1" x14ac:dyDescent="0.25">
      <c r="B30" s="25" t="s">
        <v>27</v>
      </c>
      <c r="C30" s="99">
        <v>4.6049300000000001E-2</v>
      </c>
    </row>
    <row r="31" spans="1:3" ht="14.25" customHeight="1" x14ac:dyDescent="0.25">
      <c r="B31" s="25" t="s">
        <v>28</v>
      </c>
      <c r="C31" s="99">
        <v>6.9075899999999996E-2</v>
      </c>
    </row>
    <row r="32" spans="1:3" ht="14.25" customHeight="1" x14ac:dyDescent="0.25">
      <c r="B32" s="25" t="s">
        <v>29</v>
      </c>
      <c r="C32" s="99">
        <v>0.65803900000000004</v>
      </c>
    </row>
    <row r="33" spans="1:5" ht="13" customHeight="1" x14ac:dyDescent="0.25">
      <c r="B33" s="27" t="s">
        <v>30</v>
      </c>
      <c r="C33" s="48">
        <f>SUM(C29:C32)</f>
        <v>0.99999990000000005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5.3631900000000003</v>
      </c>
    </row>
    <row r="38" spans="1:5" ht="15" customHeight="1" x14ac:dyDescent="0.25">
      <c r="B38" s="11" t="s">
        <v>34</v>
      </c>
      <c r="C38" s="43">
        <v>6.2443299999999997</v>
      </c>
      <c r="D38" s="12"/>
      <c r="E38" s="13"/>
    </row>
    <row r="39" spans="1:5" ht="15" customHeight="1" x14ac:dyDescent="0.25">
      <c r="B39" s="11" t="s">
        <v>35</v>
      </c>
      <c r="C39" s="43">
        <v>7.6475099999999996</v>
      </c>
      <c r="D39" s="12"/>
      <c r="E39" s="12"/>
    </row>
    <row r="40" spans="1:5" ht="15" customHeight="1" x14ac:dyDescent="0.25">
      <c r="B40" s="11" t="s">
        <v>36</v>
      </c>
      <c r="C40" s="100">
        <v>0.22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4.2240700000000002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7.2145000000000004E-3</v>
      </c>
      <c r="D45" s="12"/>
    </row>
    <row r="46" spans="1:5" ht="15.75" customHeight="1" x14ac:dyDescent="0.25">
      <c r="B46" s="11" t="s">
        <v>41</v>
      </c>
      <c r="C46" s="45">
        <v>7.7518500000000004E-2</v>
      </c>
      <c r="D46" s="12"/>
    </row>
    <row r="47" spans="1:5" ht="15.75" customHeight="1" x14ac:dyDescent="0.25">
      <c r="B47" s="11" t="s">
        <v>42</v>
      </c>
      <c r="C47" s="45">
        <v>7.41401E-2</v>
      </c>
      <c r="D47" s="12"/>
      <c r="E47" s="13"/>
    </row>
    <row r="48" spans="1:5" ht="15" customHeight="1" x14ac:dyDescent="0.25">
      <c r="B48" s="11" t="s">
        <v>43</v>
      </c>
      <c r="C48" s="46">
        <v>0.84112690000000001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0.54813400000000001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0.15460177999999999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974998</v>
      </c>
      <c r="C2" s="49">
        <v>1986264.5</v>
      </c>
      <c r="D2" s="49">
        <v>2598987</v>
      </c>
      <c r="E2" s="49">
        <v>1771321</v>
      </c>
      <c r="F2" s="49">
        <v>1186631.5</v>
      </c>
      <c r="G2" s="17">
        <f t="shared" ref="G2:G13" si="0">C2+D2+E2+F2</f>
        <v>7543204</v>
      </c>
      <c r="H2" s="17">
        <f t="shared" ref="H2:H13" si="1">(B2 + stillbirth*B2/(1000-stillbirth))/(1-abortion)</f>
        <v>1112652.193478178</v>
      </c>
      <c r="I2" s="17">
        <f t="shared" ref="I2:I13" si="2">G2-H2</f>
        <v>6430551.8065218218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989981</v>
      </c>
      <c r="C3" s="50">
        <v>2036863</v>
      </c>
      <c r="D3" s="50">
        <v>2684621.5</v>
      </c>
      <c r="E3" s="50">
        <v>1826042.5</v>
      </c>
      <c r="F3" s="50">
        <v>1219585.5</v>
      </c>
      <c r="G3" s="17">
        <f t="shared" si="0"/>
        <v>7767112.5</v>
      </c>
      <c r="H3" s="17">
        <f t="shared" si="1"/>
        <v>1129750.5545157224</v>
      </c>
      <c r="I3" s="17">
        <f t="shared" si="2"/>
        <v>6637361.9454842778</v>
      </c>
    </row>
    <row r="4" spans="1:9" ht="15.75" customHeight="1" x14ac:dyDescent="0.25">
      <c r="A4" s="5">
        <f t="shared" si="3"/>
        <v>2026</v>
      </c>
      <c r="B4" s="49">
        <v>1004962</v>
      </c>
      <c r="C4" s="50">
        <v>2083487.5</v>
      </c>
      <c r="D4" s="50">
        <v>2769715.5</v>
      </c>
      <c r="E4" s="50">
        <v>1890099.5</v>
      </c>
      <c r="F4" s="50">
        <v>1245990</v>
      </c>
      <c r="G4" s="17">
        <f t="shared" si="0"/>
        <v>7989292.5</v>
      </c>
      <c r="H4" s="17">
        <f t="shared" si="1"/>
        <v>1146846.633185111</v>
      </c>
      <c r="I4" s="17">
        <f t="shared" si="2"/>
        <v>6842445.866814889</v>
      </c>
    </row>
    <row r="5" spans="1:9" ht="15.75" customHeight="1" x14ac:dyDescent="0.25">
      <c r="A5" s="5">
        <f t="shared" si="3"/>
        <v>2027</v>
      </c>
      <c r="B5" s="49">
        <v>1020230</v>
      </c>
      <c r="C5" s="50">
        <v>2125720.5</v>
      </c>
      <c r="D5" s="50">
        <v>2853192</v>
      </c>
      <c r="E5" s="50">
        <v>1962788.5</v>
      </c>
      <c r="F5" s="50">
        <v>1263327</v>
      </c>
      <c r="G5" s="17">
        <f t="shared" si="0"/>
        <v>8205028</v>
      </c>
      <c r="H5" s="17">
        <f t="shared" si="1"/>
        <v>1164270.2316848256</v>
      </c>
      <c r="I5" s="17">
        <f t="shared" si="2"/>
        <v>7040757.7683151746</v>
      </c>
    </row>
    <row r="6" spans="1:9" ht="15.75" customHeight="1" x14ac:dyDescent="0.25">
      <c r="A6" s="5">
        <f t="shared" si="3"/>
        <v>2028</v>
      </c>
      <c r="B6" s="49">
        <v>1037875</v>
      </c>
      <c r="C6" s="50">
        <v>2163898.5</v>
      </c>
      <c r="D6" s="50">
        <v>2933881</v>
      </c>
      <c r="E6" s="50">
        <v>2037931.5</v>
      </c>
      <c r="F6" s="50">
        <v>1275059</v>
      </c>
      <c r="G6" s="17">
        <f t="shared" si="0"/>
        <v>8410770</v>
      </c>
      <c r="H6" s="17">
        <f t="shared" si="1"/>
        <v>1184406.4247374497</v>
      </c>
      <c r="I6" s="17">
        <f t="shared" si="2"/>
        <v>7226363.5752625503</v>
      </c>
    </row>
    <row r="7" spans="1:9" ht="15.75" customHeight="1" x14ac:dyDescent="0.25">
      <c r="A7" s="5">
        <f t="shared" si="3"/>
        <v>2029</v>
      </c>
      <c r="B7" s="49">
        <v>1055006</v>
      </c>
      <c r="C7" s="50">
        <v>2199257.5</v>
      </c>
      <c r="D7" s="50">
        <v>3013314.5</v>
      </c>
      <c r="E7" s="50">
        <v>2110937</v>
      </c>
      <c r="F7" s="50">
        <v>1290639.5</v>
      </c>
      <c r="G7" s="17">
        <f t="shared" si="0"/>
        <v>8614148.5</v>
      </c>
      <c r="H7" s="17">
        <f t="shared" si="1"/>
        <v>1203956.0491740895</v>
      </c>
      <c r="I7" s="17">
        <f t="shared" si="2"/>
        <v>7410192.450825911</v>
      </c>
    </row>
    <row r="8" spans="1:9" ht="15.75" customHeight="1" x14ac:dyDescent="0.25">
      <c r="A8" s="5">
        <f t="shared" si="3"/>
        <v>2030</v>
      </c>
      <c r="B8" s="49">
        <v>1068104</v>
      </c>
      <c r="C8" s="50">
        <v>2232459</v>
      </c>
      <c r="D8" s="50">
        <v>3094021.5</v>
      </c>
      <c r="E8" s="50">
        <v>2184677</v>
      </c>
      <c r="F8" s="50">
        <v>1314420.5</v>
      </c>
      <c r="G8" s="17">
        <f t="shared" si="0"/>
        <v>8825578</v>
      </c>
      <c r="H8" s="17">
        <f t="shared" si="1"/>
        <v>1218903.2782249972</v>
      </c>
      <c r="I8" s="17">
        <f t="shared" si="2"/>
        <v>7606674.7217750028</v>
      </c>
    </row>
    <row r="9" spans="1:9" ht="15.75" customHeight="1" x14ac:dyDescent="0.25">
      <c r="A9" s="5">
        <f t="shared" si="3"/>
        <v>2031</v>
      </c>
      <c r="B9" s="49">
        <v>1085163</v>
      </c>
      <c r="C9" s="50">
        <v>2266813.5</v>
      </c>
      <c r="D9" s="50">
        <v>3175581.5</v>
      </c>
      <c r="E9" s="50">
        <v>2259689</v>
      </c>
      <c r="F9" s="50">
        <v>1343216.5</v>
      </c>
      <c r="G9" s="17">
        <f t="shared" si="0"/>
        <v>9045300.5</v>
      </c>
      <c r="H9" s="17">
        <f t="shared" si="1"/>
        <v>1238370.7374080359</v>
      </c>
      <c r="I9" s="17">
        <f t="shared" si="2"/>
        <v>7806929.7625919636</v>
      </c>
    </row>
    <row r="10" spans="1:9" ht="15.75" customHeight="1" x14ac:dyDescent="0.25">
      <c r="A10" s="5">
        <f t="shared" si="3"/>
        <v>2032</v>
      </c>
      <c r="B10" s="49">
        <v>1100286</v>
      </c>
      <c r="C10" s="50">
        <v>2303095.5</v>
      </c>
      <c r="D10" s="50">
        <v>3254177</v>
      </c>
      <c r="E10" s="50">
        <v>2336106</v>
      </c>
      <c r="F10" s="50">
        <v>1375903</v>
      </c>
      <c r="G10" s="17">
        <f t="shared" si="0"/>
        <v>9269281.5</v>
      </c>
      <c r="H10" s="17">
        <f t="shared" si="1"/>
        <v>1255628.8642164709</v>
      </c>
      <c r="I10" s="17">
        <f t="shared" si="2"/>
        <v>8013652.6357835289</v>
      </c>
    </row>
    <row r="11" spans="1:9" ht="15.75" customHeight="1" x14ac:dyDescent="0.25">
      <c r="A11" s="5">
        <f t="shared" si="3"/>
        <v>2033</v>
      </c>
      <c r="B11" s="49">
        <v>1115956</v>
      </c>
      <c r="C11" s="50">
        <v>2339788.5</v>
      </c>
      <c r="D11" s="50">
        <v>3327577.5</v>
      </c>
      <c r="E11" s="50">
        <v>2416008.5</v>
      </c>
      <c r="F11" s="50">
        <v>1413037</v>
      </c>
      <c r="G11" s="17">
        <f t="shared" si="0"/>
        <v>9496411.5</v>
      </c>
      <c r="H11" s="17">
        <f t="shared" si="1"/>
        <v>1273511.2187154575</v>
      </c>
      <c r="I11" s="17">
        <f t="shared" si="2"/>
        <v>8222900.2812845428</v>
      </c>
    </row>
    <row r="12" spans="1:9" ht="15.75" customHeight="1" x14ac:dyDescent="0.25">
      <c r="A12" s="5">
        <f t="shared" si="3"/>
        <v>2034</v>
      </c>
      <c r="B12" s="49">
        <v>1124540</v>
      </c>
      <c r="C12" s="50">
        <v>2378723</v>
      </c>
      <c r="D12" s="50">
        <v>3397090</v>
      </c>
      <c r="E12" s="50">
        <v>2499016</v>
      </c>
      <c r="F12" s="50">
        <v>1454483.5</v>
      </c>
      <c r="G12" s="17">
        <f t="shared" si="0"/>
        <v>9729312.5</v>
      </c>
      <c r="H12" s="17">
        <f t="shared" si="1"/>
        <v>1283307.1428392164</v>
      </c>
      <c r="I12" s="17">
        <f t="shared" si="2"/>
        <v>8446005.3571607843</v>
      </c>
    </row>
    <row r="13" spans="1:9" ht="15.75" customHeight="1" x14ac:dyDescent="0.25">
      <c r="A13" s="5">
        <f t="shared" si="3"/>
        <v>2035</v>
      </c>
      <c r="B13" s="49">
        <v>1138011</v>
      </c>
      <c r="C13" s="50">
        <v>2418844.5</v>
      </c>
      <c r="D13" s="50">
        <v>3464964</v>
      </c>
      <c r="E13" s="50">
        <v>2582725.5</v>
      </c>
      <c r="F13" s="50">
        <v>1500562.5</v>
      </c>
      <c r="G13" s="17">
        <f t="shared" si="0"/>
        <v>9967096.5</v>
      </c>
      <c r="H13" s="17">
        <f t="shared" si="1"/>
        <v>1298680.0335511407</v>
      </c>
      <c r="I13" s="17">
        <f t="shared" si="2"/>
        <v>8668416.4664488584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2.2469799999999981E-2</v>
      </c>
    </row>
    <row r="5" spans="1:8" ht="15.75" customHeight="1" x14ac:dyDescent="0.25">
      <c r="B5" s="19" t="s">
        <v>70</v>
      </c>
      <c r="C5" s="101">
        <v>2.4460900000000049E-2</v>
      </c>
    </row>
    <row r="6" spans="1:8" ht="15.75" customHeight="1" x14ac:dyDescent="0.25">
      <c r="B6" s="19" t="s">
        <v>71</v>
      </c>
      <c r="C6" s="101">
        <v>0.10187679999999991</v>
      </c>
    </row>
    <row r="7" spans="1:8" ht="15.75" customHeight="1" x14ac:dyDescent="0.25">
      <c r="B7" s="19" t="s">
        <v>72</v>
      </c>
      <c r="C7" s="101">
        <v>0.41340200000000021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0.39500150000000001</v>
      </c>
    </row>
    <row r="10" spans="1:8" ht="15.75" customHeight="1" x14ac:dyDescent="0.25">
      <c r="B10" s="19" t="s">
        <v>75</v>
      </c>
      <c r="C10" s="101">
        <v>4.2788999999999952E-2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6.6684069736894405E-2</v>
      </c>
      <c r="D14" s="55">
        <v>6.6684069736894405E-2</v>
      </c>
      <c r="E14" s="55">
        <v>6.6684069736894405E-2</v>
      </c>
      <c r="F14" s="55">
        <v>6.6684069736894405E-2</v>
      </c>
    </row>
    <row r="15" spans="1:8" ht="15.75" customHeight="1" x14ac:dyDescent="0.25">
      <c r="B15" s="19" t="s">
        <v>82</v>
      </c>
      <c r="C15" s="101">
        <v>0.1594063741512792</v>
      </c>
      <c r="D15" s="101">
        <v>0.1594063741512792</v>
      </c>
      <c r="E15" s="101">
        <v>0.1594063741512792</v>
      </c>
      <c r="F15" s="101">
        <v>0.1594063741512792</v>
      </c>
    </row>
    <row r="16" spans="1:8" ht="15.75" customHeight="1" x14ac:dyDescent="0.25">
      <c r="B16" s="19" t="s">
        <v>83</v>
      </c>
      <c r="C16" s="101">
        <v>4.5121886732581648E-2</v>
      </c>
      <c r="D16" s="101">
        <v>4.5121886732581648E-2</v>
      </c>
      <c r="E16" s="101">
        <v>4.5121886732581648E-2</v>
      </c>
      <c r="F16" s="101">
        <v>4.5121886732581648E-2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3.5873226357410631E-3</v>
      </c>
      <c r="D19" s="101">
        <v>3.5873226357410631E-3</v>
      </c>
      <c r="E19" s="101">
        <v>3.5873226357410631E-3</v>
      </c>
      <c r="F19" s="101">
        <v>3.5873226357410631E-3</v>
      </c>
    </row>
    <row r="20" spans="1:8" ht="15.75" customHeight="1" x14ac:dyDescent="0.25">
      <c r="B20" s="19" t="s">
        <v>87</v>
      </c>
      <c r="C20" s="101">
        <v>0.42885433690608749</v>
      </c>
      <c r="D20" s="101">
        <v>0.42885433690608749</v>
      </c>
      <c r="E20" s="101">
        <v>0.42885433690608749</v>
      </c>
      <c r="F20" s="101">
        <v>0.42885433690608749</v>
      </c>
    </row>
    <row r="21" spans="1:8" ht="15.75" customHeight="1" x14ac:dyDescent="0.25">
      <c r="B21" s="19" t="s">
        <v>88</v>
      </c>
      <c r="C21" s="101">
        <v>0.21280453826937559</v>
      </c>
      <c r="D21" s="101">
        <v>0.21280453826937559</v>
      </c>
      <c r="E21" s="101">
        <v>0.21280453826937559</v>
      </c>
      <c r="F21" s="101">
        <v>0.21280453826937559</v>
      </c>
    </row>
    <row r="22" spans="1:8" ht="15.75" customHeight="1" x14ac:dyDescent="0.25">
      <c r="B22" s="19" t="s">
        <v>89</v>
      </c>
      <c r="C22" s="101">
        <v>8.354147156804044E-2</v>
      </c>
      <c r="D22" s="101">
        <v>8.354147156804044E-2</v>
      </c>
      <c r="E22" s="101">
        <v>8.354147156804044E-2</v>
      </c>
      <c r="F22" s="101">
        <v>8.354147156804044E-2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4.3847376999999993E-2</v>
      </c>
    </row>
    <row r="27" spans="1:8" ht="15.75" customHeight="1" x14ac:dyDescent="0.25">
      <c r="B27" s="19" t="s">
        <v>92</v>
      </c>
      <c r="C27" s="101">
        <v>3.4044087000000001E-2</v>
      </c>
    </row>
    <row r="28" spans="1:8" ht="15.75" customHeight="1" x14ac:dyDescent="0.25">
      <c r="B28" s="19" t="s">
        <v>93</v>
      </c>
      <c r="C28" s="101">
        <v>4.3283602999999997E-2</v>
      </c>
    </row>
    <row r="29" spans="1:8" ht="15.75" customHeight="1" x14ac:dyDescent="0.25">
      <c r="B29" s="19" t="s">
        <v>94</v>
      </c>
      <c r="C29" s="101">
        <v>0.177569167</v>
      </c>
    </row>
    <row r="30" spans="1:8" ht="15.75" customHeight="1" x14ac:dyDescent="0.25">
      <c r="B30" s="19" t="s">
        <v>95</v>
      </c>
      <c r="C30" s="101">
        <v>3.1893660999999997E-2</v>
      </c>
    </row>
    <row r="31" spans="1:8" ht="15.75" customHeight="1" x14ac:dyDescent="0.25">
      <c r="B31" s="19" t="s">
        <v>96</v>
      </c>
      <c r="C31" s="101">
        <v>9.3503550000000005E-2</v>
      </c>
    </row>
    <row r="32" spans="1:8" ht="15.75" customHeight="1" x14ac:dyDescent="0.25">
      <c r="B32" s="19" t="s">
        <v>97</v>
      </c>
      <c r="C32" s="101">
        <v>7.8392814000000005E-2</v>
      </c>
    </row>
    <row r="33" spans="2:3" ht="15.75" customHeight="1" x14ac:dyDescent="0.25">
      <c r="B33" s="19" t="s">
        <v>98</v>
      </c>
      <c r="C33" s="101">
        <v>0.15751110600000001</v>
      </c>
    </row>
    <row r="34" spans="2:3" ht="15.75" customHeight="1" x14ac:dyDescent="0.25">
      <c r="B34" s="19" t="s">
        <v>99</v>
      </c>
      <c r="C34" s="101">
        <v>0.33995463500000001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0.93833849674838177</v>
      </c>
      <c r="D2" s="52">
        <f>IFERROR(1-_xlfn.NORM.DIST(_xlfn.NORM.INV(SUM(D4:D5), 0, 1) + 1, 0, 1, TRUE), "")</f>
        <v>0.93833849674838177</v>
      </c>
      <c r="E2" s="52">
        <f>IFERROR(1-_xlfn.NORM.DIST(_xlfn.NORM.INV(SUM(E4:E5), 0, 1) + 1, 0, 1, TRUE), "")</f>
        <v>0.97657306715428949</v>
      </c>
      <c r="F2" s="52">
        <f>IFERROR(1-_xlfn.NORM.DIST(_xlfn.NORM.INV(SUM(F4:F5), 0, 1) + 1, 0, 1, TRUE), "")</f>
        <v>0.76771311952628396</v>
      </c>
      <c r="G2" s="52">
        <f>IFERROR(1-_xlfn.NORM.DIST(_xlfn.NORM.INV(SUM(G4:G5), 0, 1) + 1, 0, 1, TRUE), "")</f>
        <v>0.76772716564738364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5.6134303251618188E-2</v>
      </c>
      <c r="D3" s="52">
        <f>IFERROR(_xlfn.NORM.DIST(_xlfn.NORM.INV(SUM(D4:D5), 0, 1) + 1, 0, 1, TRUE) - SUM(D4:D5), "")</f>
        <v>5.6134303251618188E-2</v>
      </c>
      <c r="E3" s="52">
        <f>IFERROR(_xlfn.NORM.DIST(_xlfn.NORM.INV(SUM(E4:E5), 0, 1) + 1, 0, 1, TRUE) - SUM(E4:E5), "")</f>
        <v>2.2021132845710556E-2</v>
      </c>
      <c r="F3" s="52">
        <f>IFERROR(_xlfn.NORM.DIST(_xlfn.NORM.INV(SUM(F4:F5), 0, 1) + 1, 0, 1, TRUE) - SUM(F4:F5), "")</f>
        <v>0.190590980473716</v>
      </c>
      <c r="G3" s="52">
        <f>IFERROR(_xlfn.NORM.DIST(_xlfn.NORM.INV(SUM(G4:G5), 0, 1) + 1, 0, 1, TRUE) - SUM(G4:G5), "")</f>
        <v>0.19058103435261639</v>
      </c>
    </row>
    <row r="4" spans="1:15" ht="15.75" customHeight="1" x14ac:dyDescent="0.25">
      <c r="B4" s="5" t="s">
        <v>104</v>
      </c>
      <c r="C4" s="45">
        <v>5.5271999999999986E-3</v>
      </c>
      <c r="D4" s="53">
        <v>5.5271999999999986E-3</v>
      </c>
      <c r="E4" s="53">
        <v>0</v>
      </c>
      <c r="F4" s="53">
        <v>3.6424100000000001E-2</v>
      </c>
      <c r="G4" s="53">
        <v>3.7740099999999999E-2</v>
      </c>
    </row>
    <row r="5" spans="1:15" ht="15.75" customHeight="1" x14ac:dyDescent="0.25">
      <c r="B5" s="5" t="s">
        <v>105</v>
      </c>
      <c r="C5" s="45">
        <v>0</v>
      </c>
      <c r="D5" s="53">
        <v>0</v>
      </c>
      <c r="E5" s="53">
        <v>1.4058E-3</v>
      </c>
      <c r="F5" s="53">
        <v>5.2718000000000001E-3</v>
      </c>
      <c r="G5" s="53">
        <v>3.9516999999999998E-3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0.86844675866203558</v>
      </c>
      <c r="D8" s="52">
        <f>IFERROR(1-_xlfn.NORM.DIST(_xlfn.NORM.INV(SUM(D10:D11), 0, 1) + 1, 0, 1, TRUE), "")</f>
        <v>0.86844675866203558</v>
      </c>
      <c r="E8" s="52">
        <f>IFERROR(1-_xlfn.NORM.DIST(_xlfn.NORM.INV(SUM(E10:E11), 0, 1) + 1, 0, 1, TRUE), "")</f>
        <v>0.94854474794398136</v>
      </c>
      <c r="F8" s="52">
        <f>IFERROR(1-_xlfn.NORM.DIST(_xlfn.NORM.INV(SUM(F10:F11), 0, 1) + 1, 0, 1, TRUE), "")</f>
        <v>0.83838136775660943</v>
      </c>
      <c r="G8" s="52">
        <f>IFERROR(1-_xlfn.NORM.DIST(_xlfn.NORM.INV(SUM(G10:G11), 0, 1) + 1, 0, 1, TRUE), "")</f>
        <v>0.85944426429782506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0.1145113413379644</v>
      </c>
      <c r="D9" s="52">
        <f>IFERROR(_xlfn.NORM.DIST(_xlfn.NORM.INV(SUM(D10:D11), 0, 1) + 1, 0, 1, TRUE) - SUM(D10:D11), "")</f>
        <v>0.1145113413379644</v>
      </c>
      <c r="E9" s="52">
        <f>IFERROR(_xlfn.NORM.DIST(_xlfn.NORM.INV(SUM(E10:E11), 0, 1) + 1, 0, 1, TRUE) - SUM(E10:E11), "")</f>
        <v>4.7197352056018639E-2</v>
      </c>
      <c r="F9" s="52">
        <f>IFERROR(_xlfn.NORM.DIST(_xlfn.NORM.INV(SUM(F10:F11), 0, 1) + 1, 0, 1, TRUE) - SUM(F10:F11), "")</f>
        <v>0.13820323224339057</v>
      </c>
      <c r="G9" s="52">
        <f>IFERROR(_xlfn.NORM.DIST(_xlfn.NORM.INV(SUM(G10:G11), 0, 1) + 1, 0, 1, TRUE) - SUM(G10:G11), "")</f>
        <v>0.12169303570217489</v>
      </c>
    </row>
    <row r="10" spans="1:15" ht="15.75" customHeight="1" x14ac:dyDescent="0.25">
      <c r="B10" s="5" t="s">
        <v>109</v>
      </c>
      <c r="C10" s="45">
        <v>1.52268E-2</v>
      </c>
      <c r="D10" s="53">
        <v>1.52268E-2</v>
      </c>
      <c r="E10" s="53">
        <v>4.2579000000000002E-3</v>
      </c>
      <c r="F10" s="53">
        <v>1.9031300000000001E-2</v>
      </c>
      <c r="G10" s="53">
        <v>1.83561E-2</v>
      </c>
    </row>
    <row r="11" spans="1:15" ht="15.75" customHeight="1" x14ac:dyDescent="0.25">
      <c r="B11" s="5" t="s">
        <v>110</v>
      </c>
      <c r="C11" s="45">
        <v>1.8151E-3</v>
      </c>
      <c r="D11" s="53">
        <v>1.8151E-3</v>
      </c>
      <c r="E11" s="53">
        <v>0</v>
      </c>
      <c r="F11" s="53">
        <v>4.3841000000000001E-3</v>
      </c>
      <c r="G11" s="53">
        <v>5.0659999999999995E-4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0.95296559150000004</v>
      </c>
      <c r="D14" s="54">
        <v>0.95116511860899999</v>
      </c>
      <c r="E14" s="54">
        <v>0.95116511860899999</v>
      </c>
      <c r="F14" s="54">
        <v>0.76734861546599997</v>
      </c>
      <c r="G14" s="54">
        <v>0.76734861546599997</v>
      </c>
      <c r="H14" s="45">
        <v>0.247</v>
      </c>
      <c r="I14" s="55">
        <v>0.247</v>
      </c>
      <c r="J14" s="55">
        <v>0.247</v>
      </c>
      <c r="K14" s="55">
        <v>0.247</v>
      </c>
      <c r="L14" s="45">
        <v>0.14599999999999999</v>
      </c>
      <c r="M14" s="55">
        <v>0.14599999999999999</v>
      </c>
      <c r="N14" s="55">
        <v>0.14599999999999999</v>
      </c>
      <c r="O14" s="55">
        <v>0.14599999999999999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0.52235284153126105</v>
      </c>
      <c r="D15" s="52">
        <f t="shared" si="0"/>
        <v>0.52136594112362566</v>
      </c>
      <c r="E15" s="52">
        <f t="shared" si="0"/>
        <v>0.52136594112362566</v>
      </c>
      <c r="F15" s="52">
        <f t="shared" si="0"/>
        <v>0.42060986598984046</v>
      </c>
      <c r="G15" s="52">
        <f t="shared" si="0"/>
        <v>0.42060986598984046</v>
      </c>
      <c r="H15" s="52">
        <f t="shared" si="0"/>
        <v>0.13538909800000001</v>
      </c>
      <c r="I15" s="52">
        <f t="shared" si="0"/>
        <v>0.13538909800000001</v>
      </c>
      <c r="J15" s="52">
        <f t="shared" si="0"/>
        <v>0.13538909800000001</v>
      </c>
      <c r="K15" s="52">
        <f t="shared" si="0"/>
        <v>0.13538909800000001</v>
      </c>
      <c r="L15" s="52">
        <f t="shared" si="0"/>
        <v>8.0027563999999995E-2</v>
      </c>
      <c r="M15" s="52">
        <f t="shared" si="0"/>
        <v>8.0027563999999995E-2</v>
      </c>
      <c r="N15" s="52">
        <f t="shared" si="0"/>
        <v>8.0027563999999995E-2</v>
      </c>
      <c r="O15" s="52">
        <f t="shared" si="0"/>
        <v>8.0027563999999995E-2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0.43854949999999998</v>
      </c>
      <c r="D2" s="53">
        <v>0.224714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8.4648000000000001E-2</v>
      </c>
      <c r="D3" s="53">
        <v>0.1454685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0.37770900000000002</v>
      </c>
      <c r="D4" s="53">
        <v>0.45987929999999999</v>
      </c>
      <c r="E4" s="53">
        <v>0.60442529999999994</v>
      </c>
      <c r="F4" s="53">
        <v>0.4598352</v>
      </c>
      <c r="G4" s="53">
        <v>0</v>
      </c>
    </row>
    <row r="5" spans="1:7" x14ac:dyDescent="0.25">
      <c r="B5" s="3" t="s">
        <v>122</v>
      </c>
      <c r="C5" s="52">
        <v>9.9093500000000001E-2</v>
      </c>
      <c r="D5" s="52">
        <v>0.16993820000000001</v>
      </c>
      <c r="E5" s="52">
        <f>1-SUM(E2:E4)</f>
        <v>0.39557470000000006</v>
      </c>
      <c r="F5" s="52">
        <f>1-SUM(F2:F4)</f>
        <v>0.5401648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41.387637286401322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0.72617600246982905</v>
      </c>
      <c r="C3" s="98">
        <v>0.95</v>
      </c>
      <c r="D3" s="56">
        <v>44.781858972877899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153.4973723658575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0.31097639397510651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14.30692084199827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14.30692084199827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14.30692084199827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14.30692084199827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14.30692084199827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14.30692084199827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0.36320040935559378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0.31415611111111102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0.56533556835215604</v>
      </c>
      <c r="C18" s="98">
        <v>0.95</v>
      </c>
      <c r="D18" s="56">
        <v>3.617191631009383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0.98383619999999994</v>
      </c>
      <c r="C19" s="98">
        <v>0.95</v>
      </c>
      <c r="D19" s="56">
        <v>3.617191631009383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0.99</v>
      </c>
      <c r="C21" s="98">
        <v>0.95</v>
      </c>
      <c r="D21" s="56">
        <v>2.758347102408317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24.452045938305751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4.7321919239691654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0.96312972311938694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20.61562649086434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0.86933957623125091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75.665679869964904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0.89524516395230957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0.73334431799167266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0.75648280000000001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0.56282260000000006</v>
      </c>
      <c r="C38" s="98">
        <v>0.95</v>
      </c>
      <c r="D38" s="56">
        <v>5.7467676630794493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3.9589680000000002E-2</v>
      </c>
      <c r="C3" s="21">
        <f>frac_mam_1_5months * 2.6</f>
        <v>3.9589680000000002E-2</v>
      </c>
      <c r="D3" s="21">
        <f>frac_mam_6_11months * 2.6</f>
        <v>1.107054E-2</v>
      </c>
      <c r="E3" s="21">
        <f>frac_mam_12_23months * 2.6</f>
        <v>4.9481380000000005E-2</v>
      </c>
      <c r="F3" s="21">
        <f>frac_mam_24_59months * 2.6</f>
        <v>4.7725860000000002E-2</v>
      </c>
    </row>
    <row r="4" spans="1:6" ht="15.75" customHeight="1" x14ac:dyDescent="0.25">
      <c r="A4" s="3" t="s">
        <v>205</v>
      </c>
      <c r="B4" s="21">
        <f>frac_sam_1month * 2.6</f>
        <v>4.7192600000000003E-3</v>
      </c>
      <c r="C4" s="21">
        <f>frac_sam_1_5months * 2.6</f>
        <v>4.7192600000000003E-3</v>
      </c>
      <c r="D4" s="21">
        <f>frac_sam_6_11months * 2.6</f>
        <v>0</v>
      </c>
      <c r="E4" s="21">
        <f>frac_sam_12_23months * 2.6</f>
        <v>1.1398660000000001E-2</v>
      </c>
      <c r="F4" s="21">
        <f>frac_sam_24_59months * 2.6</f>
        <v>1.3171599999999999E-3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1.4E-2</v>
      </c>
      <c r="E2" s="60">
        <f>food_insecure</f>
        <v>1.4E-2</v>
      </c>
      <c r="F2" s="60">
        <f>food_insecure</f>
        <v>1.4E-2</v>
      </c>
      <c r="G2" s="60">
        <f>food_insecure</f>
        <v>1.4E-2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1.4E-2</v>
      </c>
      <c r="F5" s="60">
        <f>food_insecure</f>
        <v>1.4E-2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1.4E-2</v>
      </c>
      <c r="F8" s="60">
        <f>food_insecure</f>
        <v>1.4E-2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1.4E-2</v>
      </c>
      <c r="F9" s="60">
        <f>food_insecure</f>
        <v>1.4E-2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1.4E-2</v>
      </c>
      <c r="I15" s="60">
        <f>food_insecure</f>
        <v>1.4E-2</v>
      </c>
      <c r="J15" s="60">
        <f>food_insecure</f>
        <v>1.4E-2</v>
      </c>
      <c r="K15" s="60">
        <f>food_insecure</f>
        <v>1.4E-2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0.68900000000000006</v>
      </c>
      <c r="M24" s="60">
        <f>famplan_unmet_need</f>
        <v>0.68900000000000006</v>
      </c>
      <c r="N24" s="60">
        <f>famplan_unmet_need</f>
        <v>0.68900000000000006</v>
      </c>
      <c r="O24" s="60">
        <f>famplan_unmet_need</f>
        <v>0.68900000000000006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0.32826704320831274</v>
      </c>
      <c r="M25" s="60">
        <f>(1-food_insecure)*(0.49)+food_insecure*(0.7)</f>
        <v>0.49293999999999993</v>
      </c>
      <c r="N25" s="60">
        <f>(1-food_insecure)*(0.49)+food_insecure*(0.7)</f>
        <v>0.49293999999999993</v>
      </c>
      <c r="O25" s="60">
        <f>(1-food_insecure)*(0.49)+food_insecure*(0.7)</f>
        <v>0.49293999999999993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0.14068587566070545</v>
      </c>
      <c r="M26" s="60">
        <f>(1-food_insecure)*(0.21)+food_insecure*(0.3)</f>
        <v>0.21126</v>
      </c>
      <c r="N26" s="60">
        <f>(1-food_insecure)*(0.21)+food_insecure*(0.3)</f>
        <v>0.21126</v>
      </c>
      <c r="O26" s="60">
        <f>(1-food_insecure)*(0.21)+food_insecure*(0.3)</f>
        <v>0.21126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0.19698419966125474</v>
      </c>
      <c r="M27" s="60">
        <f>(1-food_insecure)*(0.3)</f>
        <v>0.29580000000000001</v>
      </c>
      <c r="N27" s="60">
        <f>(1-food_insecure)*(0.3)</f>
        <v>0.29580000000000001</v>
      </c>
      <c r="O27" s="60">
        <f>(1-food_insecure)*(0.3)</f>
        <v>0.29580000000000001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0.33406288146972701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2024-05-09T01:46:06Z</dcterms:modified>
</cp:coreProperties>
</file>