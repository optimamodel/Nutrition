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8013C151-56C6-44E9-8CE0-7CBEFB865AE5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A37" i="2"/>
  <c r="A36" i="2"/>
  <c r="A35" i="2"/>
  <c r="A26" i="2"/>
  <c r="A23" i="2"/>
  <c r="A22" i="2"/>
  <c r="A19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I6" i="2" s="1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I4" i="2" l="1"/>
  <c r="I8" i="2"/>
  <c r="I12" i="2"/>
  <c r="A25" i="2"/>
  <c r="A31" i="2"/>
  <c r="A34" i="2"/>
  <c r="A40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<sst xmlns="http://schemas.openxmlformats.org/spreadsheetml/2006/main" count="2159" uniqueCount="372">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</sst>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4637010</v>
      </c>
    </row>
    <row r="8" spans="1:3" ht="15" customHeight="1" x14ac:dyDescent="0.25">
      <c r="B8" s="5" t="s">
        <v>8</v>
      </c>
      <c r="C8" s="44">
        <v>0.34100000000000003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0.24519759999999999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0.68900000000000006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0.13689999999999999</v>
      </c>
    </row>
    <row r="24" spans="1:3" ht="15" customHeight="1" x14ac:dyDescent="0.25">
      <c r="B24" s="15" t="s">
        <v>22</v>
      </c>
      <c r="C24" s="45">
        <v>0.45260000000000011</v>
      </c>
    </row>
    <row r="25" spans="1:3" ht="15" customHeight="1" x14ac:dyDescent="0.25">
      <c r="B25" s="15" t="s">
        <v>23</v>
      </c>
      <c r="C25" s="45">
        <v>0.30809999999999998</v>
      </c>
    </row>
    <row r="26" spans="1:3" ht="15" customHeight="1" x14ac:dyDescent="0.25">
      <c r="B26" s="15" t="s">
        <v>24</v>
      </c>
      <c r="C26" s="45">
        <v>0.1024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0.2268357</v>
      </c>
    </row>
    <row r="30" spans="1:3" ht="14.25" customHeight="1" x14ac:dyDescent="0.25">
      <c r="B30" s="25" t="s">
        <v>27</v>
      </c>
      <c r="C30" s="99">
        <v>4.6049300000000001E-2</v>
      </c>
    </row>
    <row r="31" spans="1:3" ht="14.25" customHeight="1" x14ac:dyDescent="0.25">
      <c r="B31" s="25" t="s">
        <v>28</v>
      </c>
      <c r="C31" s="99">
        <v>6.9075899999999996E-2</v>
      </c>
    </row>
    <row r="32" spans="1:3" ht="14.25" customHeight="1" x14ac:dyDescent="0.25">
      <c r="B32" s="25" t="s">
        <v>29</v>
      </c>
      <c r="C32" s="99">
        <v>0.65803900000000004</v>
      </c>
    </row>
    <row r="33" spans="1:5" ht="13.25" customHeight="1" x14ac:dyDescent="0.25">
      <c r="B33" s="27" t="s">
        <v>30</v>
      </c>
      <c r="C33" s="48">
        <f>SUM(C29:C32)</f>
        <v>0.99999990000000005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5.3631900000000003</v>
      </c>
    </row>
    <row r="38" spans="1:5" ht="15" customHeight="1" x14ac:dyDescent="0.25">
      <c r="B38" s="11" t="s">
        <v>34</v>
      </c>
      <c r="C38" s="43">
        <v>6.2443299999999997</v>
      </c>
      <c r="D38" s="12"/>
      <c r="E38" s="13"/>
    </row>
    <row r="39" spans="1:5" ht="15" customHeight="1" x14ac:dyDescent="0.25">
      <c r="B39" s="11" t="s">
        <v>35</v>
      </c>
      <c r="C39" s="43">
        <v>7.6475099999999996</v>
      </c>
      <c r="D39" s="12"/>
      <c r="E39" s="12"/>
    </row>
    <row r="40" spans="1:5" ht="15" customHeight="1" x14ac:dyDescent="0.25">
      <c r="B40" s="11" t="s">
        <v>36</v>
      </c>
      <c r="C40" s="100">
        <v>0.22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4.2240700000000002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7.2145000000000004E-3</v>
      </c>
      <c r="D45" s="12"/>
    </row>
    <row r="46" spans="1:5" ht="15.75" customHeight="1" x14ac:dyDescent="0.25">
      <c r="B46" s="11" t="s">
        <v>41</v>
      </c>
      <c r="C46" s="45">
        <v>7.7518500000000004E-2</v>
      </c>
      <c r="D46" s="12"/>
    </row>
    <row r="47" spans="1:5" ht="15.75" customHeight="1" x14ac:dyDescent="0.25">
      <c r="B47" s="11" t="s">
        <v>42</v>
      </c>
      <c r="C47" s="45">
        <v>7.41401E-2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1.5860000000000001</v>
      </c>
      <c r="D51" s="12"/>
    </row>
    <row r="52" spans="1:4" ht="15" customHeight="1" x14ac:dyDescent="0.25">
      <c r="B52" s="11" t="s">
        <v>46</v>
      </c>
      <c r="C52" s="100">
        <v>1.5860000000000001</v>
      </c>
    </row>
    <row r="53" spans="1:4" ht="15.75" customHeight="1" x14ac:dyDescent="0.25">
      <c r="B53" s="11" t="s">
        <v>47</v>
      </c>
      <c r="C53" s="100">
        <v>4.524</v>
      </c>
    </row>
    <row r="54" spans="1:4" ht="15.75" customHeight="1" x14ac:dyDescent="0.25">
      <c r="B54" s="11" t="s">
        <v>48</v>
      </c>
      <c r="C54" s="100">
        <v>4.55</v>
      </c>
    </row>
    <row r="55" spans="1:4" ht="15.75" customHeight="1" x14ac:dyDescent="0.25">
      <c r="B55" s="11" t="s">
        <v>49</v>
      </c>
      <c r="C55" s="100">
        <v>2.4006666666666669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0.54813400000000001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0.15460177999999999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1007981</v>
      </c>
      <c r="C2" s="49">
        <v>1656966.5</v>
      </c>
      <c r="D2" s="49">
        <v>2466048.5</v>
      </c>
      <c r="E2" s="49">
        <v>2161676</v>
      </c>
      <c r="F2" s="49">
        <v>1481389.0000000002</v>
      </c>
      <c r="G2" s="17">
        <f t="shared" ref="G2:G13" si="0">C2+D2+E2+F2</f>
        <v>7766080</v>
      </c>
      <c r="H2" s="17">
        <f t="shared" ref="H2:H13" si="1">(B2 + stillbirth*B2/(1000-stillbirth))/(1-abortion)</f>
        <v>1150291.8679159624</v>
      </c>
      <c r="I2" s="17">
        <f t="shared" ref="I2:I13" si="2">G2-H2</f>
        <v>6615788.1320840381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1017551</v>
      </c>
      <c r="C3" s="50">
        <v>1732287</v>
      </c>
      <c r="D3" s="50">
        <v>2543638</v>
      </c>
      <c r="E3" s="50">
        <v>2169543.5</v>
      </c>
      <c r="F3" s="50">
        <v>1555078.5</v>
      </c>
      <c r="G3" s="17">
        <f t="shared" si="0"/>
        <v>8000547</v>
      </c>
      <c r="H3" s="17">
        <f t="shared" si="1"/>
        <v>1161212.9995404233</v>
      </c>
      <c r="I3" s="17">
        <f t="shared" si="2"/>
        <v>6839334.000459577</v>
      </c>
    </row>
    <row r="4" spans="1:9" ht="15.75" customHeight="1" x14ac:dyDescent="0.25">
      <c r="A4" s="5">
        <f t="shared" si="3"/>
        <v>2026</v>
      </c>
      <c r="B4" s="49">
        <v>1028953</v>
      </c>
      <c r="C4" s="50">
        <v>1793160</v>
      </c>
      <c r="D4" s="50">
        <v>2644324.4999999995</v>
      </c>
      <c r="E4" s="50">
        <v>2169354.0000000005</v>
      </c>
      <c r="F4" s="50">
        <v>1626603.5</v>
      </c>
      <c r="G4" s="17">
        <f t="shared" si="0"/>
        <v>8233442</v>
      </c>
      <c r="H4" s="17">
        <f t="shared" si="1"/>
        <v>1174224.7803953975</v>
      </c>
      <c r="I4" s="17">
        <f t="shared" si="2"/>
        <v>7059217.2196046021</v>
      </c>
    </row>
    <row r="5" spans="1:9" ht="15.75" customHeight="1" x14ac:dyDescent="0.25">
      <c r="A5" s="5">
        <f t="shared" si="3"/>
        <v>2027</v>
      </c>
      <c r="B5" s="49">
        <v>1041753.9999999999</v>
      </c>
      <c r="C5" s="50">
        <v>1836287.5</v>
      </c>
      <c r="D5" s="50">
        <v>2765998.4999999995</v>
      </c>
      <c r="E5" s="50">
        <v>2162914.5</v>
      </c>
      <c r="F5" s="50">
        <v>1694704</v>
      </c>
      <c r="G5" s="17">
        <f t="shared" si="0"/>
        <v>8459904.5</v>
      </c>
      <c r="H5" s="17">
        <f t="shared" si="1"/>
        <v>1188833.0777752013</v>
      </c>
      <c r="I5" s="17">
        <f t="shared" si="2"/>
        <v>7271071.4222247992</v>
      </c>
    </row>
    <row r="6" spans="1:9" ht="15.75" customHeight="1" x14ac:dyDescent="0.25">
      <c r="A6" s="5">
        <f t="shared" si="3"/>
        <v>2028</v>
      </c>
      <c r="B6" s="49">
        <v>1055080</v>
      </c>
      <c r="C6" s="50">
        <v>1874506.5</v>
      </c>
      <c r="D6" s="50">
        <v>2898871.5</v>
      </c>
      <c r="E6" s="50">
        <v>2157620</v>
      </c>
      <c r="F6" s="50">
        <v>1758264.5</v>
      </c>
      <c r="G6" s="17">
        <f t="shared" si="0"/>
        <v>8689262.5</v>
      </c>
      <c r="H6" s="17">
        <f t="shared" si="1"/>
        <v>1204040.4967958459</v>
      </c>
      <c r="I6" s="17">
        <f t="shared" si="2"/>
        <v>7485222.0032041539</v>
      </c>
    </row>
    <row r="7" spans="1:9" ht="15.75" customHeight="1" x14ac:dyDescent="0.25">
      <c r="A7" s="5">
        <f t="shared" si="3"/>
        <v>2029</v>
      </c>
      <c r="B7" s="49">
        <v>1069934</v>
      </c>
      <c r="C7" s="50">
        <v>1932710</v>
      </c>
      <c r="D7" s="50">
        <v>3034207.5</v>
      </c>
      <c r="E7" s="50">
        <v>2159835.5</v>
      </c>
      <c r="F7" s="50">
        <v>1815879</v>
      </c>
      <c r="G7" s="17">
        <f t="shared" si="0"/>
        <v>8942632</v>
      </c>
      <c r="H7" s="17">
        <f t="shared" si="1"/>
        <v>1220991.6450873553</v>
      </c>
      <c r="I7" s="17">
        <f t="shared" si="2"/>
        <v>7721640.3549126443</v>
      </c>
    </row>
    <row r="8" spans="1:9" ht="15.75" customHeight="1" x14ac:dyDescent="0.25">
      <c r="A8" s="5">
        <f t="shared" si="3"/>
        <v>2030</v>
      </c>
      <c r="B8" s="49">
        <v>1088188</v>
      </c>
      <c r="C8" s="50">
        <v>2004597.5</v>
      </c>
      <c r="D8" s="50">
        <v>3170563</v>
      </c>
      <c r="E8" s="50">
        <v>2168435.0000000005</v>
      </c>
      <c r="F8" s="50">
        <v>1866803</v>
      </c>
      <c r="G8" s="17">
        <f t="shared" si="0"/>
        <v>9210398.5</v>
      </c>
      <c r="H8" s="17">
        <f t="shared" si="1"/>
        <v>1241822.819243354</v>
      </c>
      <c r="I8" s="17">
        <f t="shared" si="2"/>
        <v>7968575.6807566462</v>
      </c>
    </row>
    <row r="9" spans="1:9" ht="15.75" customHeight="1" x14ac:dyDescent="0.25">
      <c r="A9" s="5">
        <f t="shared" si="3"/>
        <v>2031</v>
      </c>
      <c r="B9" s="49">
        <v>1106870</v>
      </c>
      <c r="C9" s="50">
        <v>2072992.0000000002</v>
      </c>
      <c r="D9" s="50">
        <v>3306380.5</v>
      </c>
      <c r="E9" s="50">
        <v>2183667</v>
      </c>
      <c r="F9" s="50">
        <v>1910133.5</v>
      </c>
      <c r="G9" s="17">
        <f t="shared" si="0"/>
        <v>9473173</v>
      </c>
      <c r="H9" s="17">
        <f t="shared" si="1"/>
        <v>1263142.4201846474</v>
      </c>
      <c r="I9" s="17">
        <f t="shared" si="2"/>
        <v>8210030.5798153523</v>
      </c>
    </row>
    <row r="10" spans="1:9" ht="15.75" customHeight="1" x14ac:dyDescent="0.25">
      <c r="A10" s="5">
        <f t="shared" si="3"/>
        <v>2032</v>
      </c>
      <c r="B10" s="49">
        <v>1126736</v>
      </c>
      <c r="C10" s="50">
        <v>2140690.5</v>
      </c>
      <c r="D10" s="50">
        <v>3433941</v>
      </c>
      <c r="E10" s="50">
        <v>2210833</v>
      </c>
      <c r="F10" s="50">
        <v>1944451</v>
      </c>
      <c r="G10" s="17">
        <f t="shared" si="0"/>
        <v>9729915.5</v>
      </c>
      <c r="H10" s="17">
        <f t="shared" si="1"/>
        <v>1285813.1830740457</v>
      </c>
      <c r="I10" s="17">
        <f t="shared" si="2"/>
        <v>8444102.3169259541</v>
      </c>
    </row>
    <row r="11" spans="1:9" ht="15.75" customHeight="1" x14ac:dyDescent="0.25">
      <c r="A11" s="5">
        <f t="shared" si="3"/>
        <v>2033</v>
      </c>
      <c r="B11" s="49">
        <v>1153646</v>
      </c>
      <c r="C11" s="50">
        <v>2195838.5</v>
      </c>
      <c r="D11" s="50">
        <v>3557734.5</v>
      </c>
      <c r="E11" s="50">
        <v>2254428.5</v>
      </c>
      <c r="F11" s="50">
        <v>1969161</v>
      </c>
      <c r="G11" s="17">
        <f t="shared" si="0"/>
        <v>9977162.5</v>
      </c>
      <c r="H11" s="17">
        <f t="shared" si="1"/>
        <v>1316522.4466074046</v>
      </c>
      <c r="I11" s="17">
        <f t="shared" si="2"/>
        <v>8660640.0533925947</v>
      </c>
    </row>
    <row r="12" spans="1:9" ht="15.75" customHeight="1" x14ac:dyDescent="0.25">
      <c r="A12" s="5">
        <f t="shared" si="3"/>
        <v>2034</v>
      </c>
      <c r="B12" s="49">
        <v>1171560</v>
      </c>
      <c r="C12" s="50">
        <v>2218609</v>
      </c>
      <c r="D12" s="50">
        <v>3700533</v>
      </c>
      <c r="E12" s="50">
        <v>2313455.5</v>
      </c>
      <c r="F12" s="50">
        <v>1984934.4999999998</v>
      </c>
      <c r="G12" s="17">
        <f t="shared" si="0"/>
        <v>10217532</v>
      </c>
      <c r="H12" s="17">
        <f t="shared" si="1"/>
        <v>1336965.6181769546</v>
      </c>
      <c r="I12" s="17">
        <f t="shared" si="2"/>
        <v>8880566.3818230461</v>
      </c>
    </row>
    <row r="13" spans="1:9" ht="15.75" customHeight="1" x14ac:dyDescent="0.25">
      <c r="A13" s="5">
        <f t="shared" si="3"/>
        <v>2035</v>
      </c>
      <c r="B13" s="49">
        <v>1193342</v>
      </c>
      <c r="C13" s="50">
        <v>2221778.5</v>
      </c>
      <c r="D13" s="50">
        <v>3851374.5</v>
      </c>
      <c r="E13" s="50">
        <v>2388996.5</v>
      </c>
      <c r="F13" s="50">
        <v>1992500</v>
      </c>
      <c r="G13" s="17">
        <f t="shared" si="0"/>
        <v>10454649.5</v>
      </c>
      <c r="H13" s="17">
        <f t="shared" si="1"/>
        <v>1361822.8897594006</v>
      </c>
      <c r="I13" s="17">
        <f t="shared" si="2"/>
        <v>9092826.6102405991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2.2469799999999981E-2</v>
      </c>
    </row>
    <row r="5" spans="1:8" ht="15.75" customHeight="1" x14ac:dyDescent="0.25">
      <c r="B5" s="19" t="s">
        <v>70</v>
      </c>
      <c r="C5" s="101">
        <v>2.4460900000000049E-2</v>
      </c>
    </row>
    <row r="6" spans="1:8" ht="15.75" customHeight="1" x14ac:dyDescent="0.25">
      <c r="B6" s="19" t="s">
        <v>71</v>
      </c>
      <c r="C6" s="101">
        <v>0.10187679999999991</v>
      </c>
    </row>
    <row r="7" spans="1:8" ht="15.75" customHeight="1" x14ac:dyDescent="0.25">
      <c r="B7" s="19" t="s">
        <v>72</v>
      </c>
      <c r="C7" s="101">
        <v>0.41340200000000021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0.39500150000000001</v>
      </c>
    </row>
    <row r="10" spans="1:8" ht="15.75" customHeight="1" x14ac:dyDescent="0.25">
      <c r="B10" s="19" t="s">
        <v>75</v>
      </c>
      <c r="C10" s="101">
        <v>4.2788999999999952E-2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6.6684069736894405E-2</v>
      </c>
      <c r="D14" s="55">
        <v>6.6684069736894405E-2</v>
      </c>
      <c r="E14" s="55">
        <v>6.6684069736894405E-2</v>
      </c>
      <c r="F14" s="55">
        <v>6.6684069736894405E-2</v>
      </c>
    </row>
    <row r="15" spans="1:8" ht="15.75" customHeight="1" x14ac:dyDescent="0.25">
      <c r="B15" s="19" t="s">
        <v>82</v>
      </c>
      <c r="C15" s="101">
        <v>0.1594063741512792</v>
      </c>
      <c r="D15" s="101">
        <v>0.1594063741512792</v>
      </c>
      <c r="E15" s="101">
        <v>0.1594063741512792</v>
      </c>
      <c r="F15" s="101">
        <v>0.1594063741512792</v>
      </c>
    </row>
    <row r="16" spans="1:8" ht="15.75" customHeight="1" x14ac:dyDescent="0.25">
      <c r="B16" s="19" t="s">
        <v>83</v>
      </c>
      <c r="C16" s="101">
        <v>4.5121886732581648E-2</v>
      </c>
      <c r="D16" s="101">
        <v>4.5121886732581648E-2</v>
      </c>
      <c r="E16" s="101">
        <v>4.5121886732581648E-2</v>
      </c>
      <c r="F16" s="101">
        <v>4.5121886732581648E-2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3.5873226357410631E-3</v>
      </c>
      <c r="D19" s="101">
        <v>3.5873226357410631E-3</v>
      </c>
      <c r="E19" s="101">
        <v>3.5873226357410631E-3</v>
      </c>
      <c r="F19" s="101">
        <v>3.5873226357410631E-3</v>
      </c>
    </row>
    <row r="20" spans="1:8" ht="15.75" customHeight="1" x14ac:dyDescent="0.25">
      <c r="B20" s="19" t="s">
        <v>87</v>
      </c>
      <c r="C20" s="101">
        <v>0.42885433690608749</v>
      </c>
      <c r="D20" s="101">
        <v>0.42885433690608749</v>
      </c>
      <c r="E20" s="101">
        <v>0.42885433690608749</v>
      </c>
      <c r="F20" s="101">
        <v>0.42885433690608749</v>
      </c>
    </row>
    <row r="21" spans="1:8" ht="15.75" customHeight="1" x14ac:dyDescent="0.25">
      <c r="B21" s="19" t="s">
        <v>88</v>
      </c>
      <c r="C21" s="101">
        <v>0.21280453826937559</v>
      </c>
      <c r="D21" s="101">
        <v>0.21280453826937559</v>
      </c>
      <c r="E21" s="101">
        <v>0.21280453826937559</v>
      </c>
      <c r="F21" s="101">
        <v>0.21280453826937559</v>
      </c>
    </row>
    <row r="22" spans="1:8" ht="15.75" customHeight="1" x14ac:dyDescent="0.25">
      <c r="B22" s="19" t="s">
        <v>89</v>
      </c>
      <c r="C22" s="101">
        <v>8.354147156804044E-2</v>
      </c>
      <c r="D22" s="101">
        <v>8.354147156804044E-2</v>
      </c>
      <c r="E22" s="101">
        <v>8.354147156804044E-2</v>
      </c>
      <c r="F22" s="101">
        <v>8.354147156804044E-2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4.3847376999999993E-2</v>
      </c>
    </row>
    <row r="27" spans="1:8" ht="15.75" customHeight="1" x14ac:dyDescent="0.25">
      <c r="B27" s="19" t="s">
        <v>92</v>
      </c>
      <c r="C27" s="101">
        <v>3.4044087000000001E-2</v>
      </c>
    </row>
    <row r="28" spans="1:8" ht="15.75" customHeight="1" x14ac:dyDescent="0.25">
      <c r="B28" s="19" t="s">
        <v>93</v>
      </c>
      <c r="C28" s="101">
        <v>4.3283602999999997E-2</v>
      </c>
    </row>
    <row r="29" spans="1:8" ht="15.75" customHeight="1" x14ac:dyDescent="0.25">
      <c r="B29" s="19" t="s">
        <v>94</v>
      </c>
      <c r="C29" s="101">
        <v>0.177569167</v>
      </c>
    </row>
    <row r="30" spans="1:8" ht="15.75" customHeight="1" x14ac:dyDescent="0.25">
      <c r="B30" s="19" t="s">
        <v>95</v>
      </c>
      <c r="C30" s="101">
        <v>3.1893660999999997E-2</v>
      </c>
    </row>
    <row r="31" spans="1:8" ht="15.75" customHeight="1" x14ac:dyDescent="0.25">
      <c r="B31" s="19" t="s">
        <v>96</v>
      </c>
      <c r="C31" s="101">
        <v>9.3503550000000005E-2</v>
      </c>
    </row>
    <row r="32" spans="1:8" ht="15.75" customHeight="1" x14ac:dyDescent="0.25">
      <c r="B32" s="19" t="s">
        <v>97</v>
      </c>
      <c r="C32" s="101">
        <v>7.8392814000000005E-2</v>
      </c>
    </row>
    <row r="33" spans="2:3" ht="15.75" customHeight="1" x14ac:dyDescent="0.25">
      <c r="B33" s="19" t="s">
        <v>98</v>
      </c>
      <c r="C33" s="101">
        <v>0.15751110600000001</v>
      </c>
    </row>
    <row r="34" spans="2:3" ht="15.75" customHeight="1" x14ac:dyDescent="0.25">
      <c r="B34" s="19" t="s">
        <v>99</v>
      </c>
      <c r="C34" s="101">
        <v>0.33995463500000001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0.93833849674838177</v>
      </c>
      <c r="D2" s="52">
        <f>IFERROR(1-_xlfn.NORM.DIST(_xlfn.NORM.INV(SUM(D4:D5), 0, 1) + 1, 0, 1, TRUE), "")</f>
        <v>0.93833849674838177</v>
      </c>
      <c r="E2" s="52">
        <f>IFERROR(1-_xlfn.NORM.DIST(_xlfn.NORM.INV(SUM(E4:E5), 0, 1) + 1, 0, 1, TRUE), "")</f>
        <v>0.97657306715428949</v>
      </c>
      <c r="F2" s="52">
        <f>IFERROR(1-_xlfn.NORM.DIST(_xlfn.NORM.INV(SUM(F4:F5), 0, 1) + 1, 0, 1, TRUE), "")</f>
        <v>0.76771311952628396</v>
      </c>
      <c r="G2" s="52">
        <f>IFERROR(1-_xlfn.NORM.DIST(_xlfn.NORM.INV(SUM(G4:G5), 0, 1) + 1, 0, 1, TRUE), "")</f>
        <v>0.76772716564738364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5.6134303251618188E-2</v>
      </c>
      <c r="D3" s="52">
        <f>IFERROR(_xlfn.NORM.DIST(_xlfn.NORM.INV(SUM(D4:D5), 0, 1) + 1, 0, 1, TRUE) - SUM(D4:D5), "")</f>
        <v>5.6134303251618188E-2</v>
      </c>
      <c r="E3" s="52">
        <f>IFERROR(_xlfn.NORM.DIST(_xlfn.NORM.INV(SUM(E4:E5), 0, 1) + 1, 0, 1, TRUE) - SUM(E4:E5), "")</f>
        <v>2.2021132845710556E-2</v>
      </c>
      <c r="F3" s="52">
        <f>IFERROR(_xlfn.NORM.DIST(_xlfn.NORM.INV(SUM(F4:F5), 0, 1) + 1, 0, 1, TRUE) - SUM(F4:F5), "")</f>
        <v>0.190590980473716</v>
      </c>
      <c r="G3" s="52">
        <f>IFERROR(_xlfn.NORM.DIST(_xlfn.NORM.INV(SUM(G4:G5), 0, 1) + 1, 0, 1, TRUE) - SUM(G4:G5), "")</f>
        <v>0.19058103435261639</v>
      </c>
    </row>
    <row r="4" spans="1:15" ht="15.75" customHeight="1" x14ac:dyDescent="0.25">
      <c r="B4" s="5" t="s">
        <v>104</v>
      </c>
      <c r="C4" s="45">
        <v>5.5271999999999986E-3</v>
      </c>
      <c r="D4" s="53">
        <v>5.5271999999999986E-3</v>
      </c>
      <c r="E4" s="53">
        <v>0</v>
      </c>
      <c r="F4" s="53">
        <v>3.6424100000000001E-2</v>
      </c>
      <c r="G4" s="53">
        <v>3.7740099999999999E-2</v>
      </c>
    </row>
    <row r="5" spans="1:15" ht="15.75" customHeight="1" x14ac:dyDescent="0.25">
      <c r="B5" s="5" t="s">
        <v>105</v>
      </c>
      <c r="C5" s="45">
        <v>0</v>
      </c>
      <c r="D5" s="53">
        <v>0</v>
      </c>
      <c r="E5" s="53">
        <v>1.4058E-3</v>
      </c>
      <c r="F5" s="53">
        <v>5.2718000000000001E-3</v>
      </c>
      <c r="G5" s="53">
        <v>3.9516999999999998E-3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0.86844675866203558</v>
      </c>
      <c r="D8" s="52">
        <f>IFERROR(1-_xlfn.NORM.DIST(_xlfn.NORM.INV(SUM(D10:D11), 0, 1) + 1, 0, 1, TRUE), "")</f>
        <v>0.86844675866203558</v>
      </c>
      <c r="E8" s="52">
        <f>IFERROR(1-_xlfn.NORM.DIST(_xlfn.NORM.INV(SUM(E10:E11), 0, 1) + 1, 0, 1, TRUE), "")</f>
        <v>0.94854474794398136</v>
      </c>
      <c r="F8" s="52">
        <f>IFERROR(1-_xlfn.NORM.DIST(_xlfn.NORM.INV(SUM(F10:F11), 0, 1) + 1, 0, 1, TRUE), "")</f>
        <v>0.83838136775660943</v>
      </c>
      <c r="G8" s="52">
        <f>IFERROR(1-_xlfn.NORM.DIST(_xlfn.NORM.INV(SUM(G10:G11), 0, 1) + 1, 0, 1, TRUE), "")</f>
        <v>0.85944426429782506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0.1145113413379644</v>
      </c>
      <c r="D9" s="52">
        <f>IFERROR(_xlfn.NORM.DIST(_xlfn.NORM.INV(SUM(D10:D11), 0, 1) + 1, 0, 1, TRUE) - SUM(D10:D11), "")</f>
        <v>0.1145113413379644</v>
      </c>
      <c r="E9" s="52">
        <f>IFERROR(_xlfn.NORM.DIST(_xlfn.NORM.INV(SUM(E10:E11), 0, 1) + 1, 0, 1, TRUE) - SUM(E10:E11), "")</f>
        <v>4.7197352056018639E-2</v>
      </c>
      <c r="F9" s="52">
        <f>IFERROR(_xlfn.NORM.DIST(_xlfn.NORM.INV(SUM(F10:F11), 0, 1) + 1, 0, 1, TRUE) - SUM(F10:F11), "")</f>
        <v>0.13820323224339057</v>
      </c>
      <c r="G9" s="52">
        <f>IFERROR(_xlfn.NORM.DIST(_xlfn.NORM.INV(SUM(G10:G11), 0, 1) + 1, 0, 1, TRUE) - SUM(G10:G11), "")</f>
        <v>0.12169303570217489</v>
      </c>
    </row>
    <row r="10" spans="1:15" ht="15.75" customHeight="1" x14ac:dyDescent="0.25">
      <c r="B10" s="5" t="s">
        <v>109</v>
      </c>
      <c r="C10" s="45">
        <v>1.52268E-2</v>
      </c>
      <c r="D10" s="53">
        <v>1.52268E-2</v>
      </c>
      <c r="E10" s="53">
        <v>4.2579000000000002E-3</v>
      </c>
      <c r="F10" s="53">
        <v>1.9031300000000001E-2</v>
      </c>
      <c r="G10" s="53">
        <v>1.83561E-2</v>
      </c>
    </row>
    <row r="11" spans="1:15" ht="15.75" customHeight="1" x14ac:dyDescent="0.25">
      <c r="B11" s="5" t="s">
        <v>110</v>
      </c>
      <c r="C11" s="45">
        <v>1.8151E-3</v>
      </c>
      <c r="D11" s="53">
        <v>1.8151E-3</v>
      </c>
      <c r="E11" s="53">
        <v>0</v>
      </c>
      <c r="F11" s="53">
        <v>4.3841000000000001E-3</v>
      </c>
      <c r="G11" s="53">
        <v>5.0659999999999995E-4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0.95296559150000004</v>
      </c>
      <c r="D14" s="54">
        <v>0.95116511860899999</v>
      </c>
      <c r="E14" s="54">
        <v>0.95116511860899999</v>
      </c>
      <c r="F14" s="54">
        <v>0.76734861546599997</v>
      </c>
      <c r="G14" s="54">
        <v>0.76734861546599997</v>
      </c>
      <c r="H14" s="45">
        <v>0.247</v>
      </c>
      <c r="I14" s="55">
        <v>0.247</v>
      </c>
      <c r="J14" s="55">
        <v>0.247</v>
      </c>
      <c r="K14" s="55">
        <v>0.247</v>
      </c>
      <c r="L14" s="45">
        <v>0.14599999999999999</v>
      </c>
      <c r="M14" s="55">
        <v>0.14599999999999999</v>
      </c>
      <c r="N14" s="55">
        <v>0.14599999999999999</v>
      </c>
      <c r="O14" s="55">
        <v>0.14599999999999999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0.52235284153126105</v>
      </c>
      <c r="D15" s="52">
        <f t="shared" si="0"/>
        <v>0.52136594112362566</v>
      </c>
      <c r="E15" s="52">
        <f t="shared" si="0"/>
        <v>0.52136594112362566</v>
      </c>
      <c r="F15" s="52">
        <f t="shared" si="0"/>
        <v>0.42060986598984046</v>
      </c>
      <c r="G15" s="52">
        <f t="shared" si="0"/>
        <v>0.42060986598984046</v>
      </c>
      <c r="H15" s="52">
        <f t="shared" si="0"/>
        <v>0.13538909800000001</v>
      </c>
      <c r="I15" s="52">
        <f t="shared" si="0"/>
        <v>0.13538909800000001</v>
      </c>
      <c r="J15" s="52">
        <f t="shared" si="0"/>
        <v>0.13538909800000001</v>
      </c>
      <c r="K15" s="52">
        <f t="shared" si="0"/>
        <v>0.13538909800000001</v>
      </c>
      <c r="L15" s="52">
        <f t="shared" si="0"/>
        <v>8.0027563999999995E-2</v>
      </c>
      <c r="M15" s="52">
        <f t="shared" si="0"/>
        <v>8.0027563999999995E-2</v>
      </c>
      <c r="N15" s="52">
        <f t="shared" si="0"/>
        <v>8.0027563999999995E-2</v>
      </c>
      <c r="O15" s="52">
        <f t="shared" si="0"/>
        <v>8.0027563999999995E-2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0.43854949999999998</v>
      </c>
      <c r="D2" s="53">
        <v>0.224714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8.4648000000000001E-2</v>
      </c>
      <c r="D3" s="53">
        <v>0.1454685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0.37770900000000002</v>
      </c>
      <c r="D4" s="53">
        <v>0.45987929999999999</v>
      </c>
      <c r="E4" s="53">
        <v>0.60442529999999994</v>
      </c>
      <c r="F4" s="53">
        <v>0.4598352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9.9093499999999946E-2</v>
      </c>
      <c r="D5" s="52">
        <f t="shared" si="0"/>
        <v>0.16993820000000004</v>
      </c>
      <c r="E5" s="52">
        <f>1-SUM(E2:E4)</f>
        <v>0.39557470000000006</v>
      </c>
      <c r="F5" s="52">
        <f>1-SUM(F2:F4)</f>
        <v>0.5401648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2486.4121939424799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0.31214999999999998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0.58029000000000008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1.2964714354519241E-2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92069.397580000004</v>
      </c>
      <c r="C22" s="109">
        <v>90749.257360000003</v>
      </c>
      <c r="D22" s="109">
        <v>89790.536429999993</v>
      </c>
      <c r="E22" s="109">
        <v>89178.959210000001</v>
      </c>
      <c r="F22" s="109">
        <v>88374.46819</v>
      </c>
      <c r="G22" s="109">
        <v>87395.65986</v>
      </c>
      <c r="H22" s="109">
        <v>86127.279179999998</v>
      </c>
      <c r="I22" s="109">
        <v>84387.821970000005</v>
      </c>
      <c r="J22" s="109">
        <v>81916.292199999996</v>
      </c>
      <c r="K22" s="109">
        <v>78625.321379999994</v>
      </c>
      <c r="L22" s="109">
        <v>74160.815640000001</v>
      </c>
      <c r="M22" s="109">
        <v>68437.283880000003</v>
      </c>
      <c r="N22" s="109">
        <v>60724.808649999999</v>
      </c>
      <c r="O22" s="109">
        <v>51151.459410000003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18.025735670419653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18.025735670419653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5.2668836507008754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0.56149571024496792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0.2139553248340432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0.78848199824391296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0.5</v>
      </c>
      <c r="C9" s="98">
        <v>0.95</v>
      </c>
      <c r="D9" s="56">
        <v>0.23003335421429147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</v>
      </c>
      <c r="C10" s="98">
        <v>0.95</v>
      </c>
      <c r="D10" s="56">
        <v>14.30692084199827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14.30692084199827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14.30692084199827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14.30692084199827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</v>
      </c>
      <c r="C14" s="98">
        <v>0.95</v>
      </c>
      <c r="D14" s="56">
        <v>14.30692084199827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14.30692084199827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</v>
      </c>
      <c r="C16" s="98">
        <v>0.95</v>
      </c>
      <c r="D16" s="56">
        <v>2.8407188685968858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0.31415611111111102</v>
      </c>
      <c r="C17" s="98">
        <v>0.95</v>
      </c>
      <c r="D17" s="56">
        <v>0.35500000000000004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0.185</v>
      </c>
      <c r="C18" s="98">
        <v>0.95</v>
      </c>
      <c r="D18" s="56">
        <v>5.2668836507008754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0.224714</v>
      </c>
      <c r="C19" s="98">
        <v>0.95</v>
      </c>
      <c r="D19" s="56">
        <v>11.223012790221791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2.1939130069251829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5.2668836507008754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</v>
      </c>
      <c r="C23" s="98">
        <v>0.95</v>
      </c>
      <c r="D23" s="56">
        <v>4.7321919239691654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0.93597991376873002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3.8681355531509101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13.457928721749347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0.56282260000000006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0.75648280000000001</v>
      </c>
      <c r="C29" s="98">
        <v>0.95</v>
      </c>
      <c r="D29" s="56">
        <v>88.005851455993124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44.783843336315748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126.62714253872848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0.72</v>
      </c>
      <c r="C32" s="98">
        <v>0.95</v>
      </c>
      <c r="D32" s="56">
        <v>0.46210405728622134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0.21814959119999999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0.20890819999999999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3.2008099999999998E-2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0.99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0.107</v>
      </c>
      <c r="C38" s="98">
        <v>0.95</v>
      </c>
      <c r="D38" s="56">
        <v>4.0706758054007581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3.4125000000000001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1.5860000000000001</v>
      </c>
      <c r="C2" s="21">
        <f>'Baseline year population inputs'!C52</f>
        <v>1.5860000000000001</v>
      </c>
      <c r="D2" s="21">
        <f>'Baseline year population inputs'!C53</f>
        <v>4.524</v>
      </c>
      <c r="E2" s="21">
        <f>'Baseline year population inputs'!C54</f>
        <v>4.55</v>
      </c>
      <c r="F2" s="21">
        <f>'Baseline year population inputs'!C55</f>
        <v>2.4006666666666669</v>
      </c>
    </row>
    <row r="3" spans="1:6" ht="15.75" customHeight="1" x14ac:dyDescent="0.25">
      <c r="A3" s="3" t="s">
        <v>197</v>
      </c>
      <c r="B3" s="21">
        <f>frac_mam_1month * 2.6</f>
        <v>3.9589680000000002E-2</v>
      </c>
      <c r="C3" s="21">
        <f>frac_mam_1_5months * 2.6</f>
        <v>3.9589680000000002E-2</v>
      </c>
      <c r="D3" s="21">
        <f>frac_mam_6_11months * 2.6</f>
        <v>1.107054E-2</v>
      </c>
      <c r="E3" s="21">
        <f>frac_mam_12_23months * 2.6</f>
        <v>4.9481380000000005E-2</v>
      </c>
      <c r="F3" s="21">
        <f>frac_mam_24_59months * 2.6</f>
        <v>4.7725860000000002E-2</v>
      </c>
    </row>
    <row r="4" spans="1:6" ht="15.75" customHeight="1" x14ac:dyDescent="0.25">
      <c r="A4" s="3" t="s">
        <v>198</v>
      </c>
      <c r="B4" s="21">
        <f>frac_sam_1month * 2.6</f>
        <v>4.7192600000000003E-3</v>
      </c>
      <c r="C4" s="21">
        <f>frac_sam_1_5months * 2.6</f>
        <v>4.7192600000000003E-3</v>
      </c>
      <c r="D4" s="21">
        <f>frac_sam_6_11months * 2.6</f>
        <v>0</v>
      </c>
      <c r="E4" s="21">
        <f>frac_sam_12_23months * 2.6</f>
        <v>1.1398660000000001E-2</v>
      </c>
      <c r="F4" s="21">
        <f>frac_sam_24_59months * 2.6</f>
        <v>1.3171599999999999E-3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0.34100000000000003</v>
      </c>
      <c r="F2" s="60">
        <f>food_insecure</f>
        <v>0.34100000000000003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0.34100000000000003</v>
      </c>
      <c r="F5" s="60">
        <f>food_insecure</f>
        <v>0.34100000000000003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3.0728750000000003E-2</v>
      </c>
      <c r="D7" s="60">
        <f>diarrhoea_1_5mo*frac_diarrhea_severe</f>
        <v>3.0728750000000003E-2</v>
      </c>
      <c r="E7" s="60">
        <f>diarrhoea_6_11mo*frac_diarrhea_severe</f>
        <v>8.7652499999999994E-2</v>
      </c>
      <c r="F7" s="60">
        <f>diarrhoea_12_23mo*frac_diarrhea_severe</f>
        <v>8.8156249999999992E-2</v>
      </c>
      <c r="G7" s="60">
        <f>diarrhoea_24_59mo*frac_diarrhea_severe</f>
        <v>4.6512916666666675E-2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0.34100000000000003</v>
      </c>
      <c r="F8" s="60">
        <f>food_insecure</f>
        <v>0.34100000000000003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0.34100000000000003</v>
      </c>
      <c r="F9" s="60">
        <f>food_insecure</f>
        <v>0.34100000000000003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3.0728750000000003E-2</v>
      </c>
      <c r="D12" s="60">
        <f>diarrhoea_1_5mo*frac_diarrhea_severe</f>
        <v>3.0728750000000003E-2</v>
      </c>
      <c r="E12" s="60">
        <f>diarrhoea_6_11mo*frac_diarrhea_severe</f>
        <v>8.7652499999999994E-2</v>
      </c>
      <c r="F12" s="60">
        <f>diarrhoea_12_23mo*frac_diarrhea_severe</f>
        <v>8.8156249999999992E-2</v>
      </c>
      <c r="G12" s="60">
        <f>diarrhoea_24_59mo*frac_diarrhea_severe</f>
        <v>4.6512916666666675E-2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0.34100000000000003</v>
      </c>
      <c r="I15" s="60">
        <f t="shared" si="0"/>
        <v>0.34100000000000003</v>
      </c>
      <c r="J15" s="60">
        <f t="shared" si="0"/>
        <v>0.34100000000000003</v>
      </c>
      <c r="K15" s="60">
        <f t="shared" si="0"/>
        <v>0.34100000000000003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0.34100000000000003</v>
      </c>
      <c r="I16" s="60">
        <f t="shared" si="0"/>
        <v>0.34100000000000003</v>
      </c>
      <c r="J16" s="60">
        <f t="shared" si="0"/>
        <v>0.34100000000000003</v>
      </c>
      <c r="K16" s="60">
        <f t="shared" si="0"/>
        <v>0.34100000000000003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0.68900000000000006</v>
      </c>
      <c r="M24" s="60">
        <f>famplan_unmet_need</f>
        <v>0.68900000000000006</v>
      </c>
      <c r="N24" s="60">
        <f>famplan_unmet_need</f>
        <v>0.68900000000000006</v>
      </c>
      <c r="O24" s="60">
        <f>famplan_unmet_need</f>
        <v>0.68900000000000006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0.42390457586399999</v>
      </c>
      <c r="M25" s="60">
        <f>(1-food_insecure)*(0.49)+food_insecure*(0.7)</f>
        <v>0.56161000000000005</v>
      </c>
      <c r="N25" s="60">
        <f>(1-food_insecure)*(0.49)+food_insecure*(0.7)</f>
        <v>0.56161000000000005</v>
      </c>
      <c r="O25" s="60">
        <f>(1-food_insecure)*(0.49)+food_insecure*(0.7)</f>
        <v>0.56161000000000005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0.181673389656</v>
      </c>
      <c r="M26" s="60">
        <f>(1-food_insecure)*(0.21)+food_insecure*(0.3)</f>
        <v>0.24069000000000002</v>
      </c>
      <c r="N26" s="60">
        <f>(1-food_insecure)*(0.21)+food_insecure*(0.3)</f>
        <v>0.24069000000000002</v>
      </c>
      <c r="O26" s="60">
        <f>(1-food_insecure)*(0.21)+food_insecure*(0.3)</f>
        <v>0.24069000000000002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0.14922443448</v>
      </c>
      <c r="M27" s="60">
        <f>(1-food_insecure)*(0.3)</f>
        <v>0.19770000000000001</v>
      </c>
      <c r="N27" s="60">
        <f>(1-food_insecure)*(0.3)</f>
        <v>0.19770000000000001</v>
      </c>
      <c r="O27" s="60">
        <f>(1-food_insecure)*(0.3)</f>
        <v>0.19770000000000001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0.24519760000000002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2025-06-25T23:18:52Z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