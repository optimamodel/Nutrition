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B49F818-2409-4C02-BB9D-5118CBA9ED2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1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4" i="2" l="1"/>
  <c r="I6" i="2"/>
  <c r="I12" i="2"/>
  <c r="A35" i="2"/>
  <c r="A36" i="2"/>
  <c r="I7" i="2"/>
  <c r="I13" i="2"/>
  <c r="A37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<sst xmlns="http://schemas.openxmlformats.org/spreadsheetml/2006/main" count="2169" uniqueCount="373">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</sst>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4335257.5000000009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0.31031189999999997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7">
        <v>6.9844134891047002E-2</v>
      </c>
    </row>
    <row r="31" spans="1:3" ht="14.25" customHeight="1" x14ac:dyDescent="0.25">
      <c r="B31" s="25" t="s">
        <v>28</v>
      </c>
      <c r="C31" s="97">
        <v>8.7209546463448695E-2</v>
      </c>
    </row>
    <row r="32" spans="1:3" ht="14.25" customHeight="1" x14ac:dyDescent="0.25">
      <c r="B32" s="25" t="s">
        <v>29</v>
      </c>
      <c r="C32" s="97">
        <v>0.55715987733112793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98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2.0019999999999998</v>
      </c>
      <c r="D51" s="12"/>
    </row>
    <row r="52" spans="1:4" ht="15" customHeight="1" x14ac:dyDescent="0.25">
      <c r="B52" s="11" t="s">
        <v>46</v>
      </c>
      <c r="C52" s="98">
        <v>2.0019999999999998</v>
      </c>
    </row>
    <row r="53" spans="1:4" ht="15.75" customHeight="1" x14ac:dyDescent="0.25">
      <c r="B53" s="11" t="s">
        <v>47</v>
      </c>
      <c r="C53" s="98">
        <v>4.524</v>
      </c>
    </row>
    <row r="54" spans="1:4" ht="15.75" customHeight="1" x14ac:dyDescent="0.25">
      <c r="B54" s="11" t="s">
        <v>48</v>
      </c>
      <c r="C54" s="98">
        <v>3.9780000000000002</v>
      </c>
    </row>
    <row r="55" spans="1:4" ht="15.75" customHeight="1" x14ac:dyDescent="0.25">
      <c r="B55" s="11" t="s">
        <v>49</v>
      </c>
      <c r="C55" s="98">
        <v>1.5166666666666671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1013751</v>
      </c>
      <c r="C2" s="49">
        <v>1689273.5</v>
      </c>
      <c r="D2" s="49">
        <v>2853003</v>
      </c>
      <c r="E2" s="49">
        <v>1963261</v>
      </c>
      <c r="F2" s="49">
        <v>1400324</v>
      </c>
      <c r="G2" s="17">
        <f t="shared" ref="G2:G13" si="0">C2+D2+E2+F2</f>
        <v>7905861.5</v>
      </c>
      <c r="H2" s="17">
        <f t="shared" ref="H2:H13" si="1">(B2 + stillbirth*B2/(1000-stillbirth))/(1-abortion)</f>
        <v>1173539.5977140556</v>
      </c>
      <c r="I2" s="17">
        <f t="shared" ref="I2:I13" si="2">G2-H2</f>
        <v>6732321.9022859447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1023320</v>
      </c>
      <c r="C3" s="50">
        <v>1728089.5</v>
      </c>
      <c r="D3" s="50">
        <v>2916805</v>
      </c>
      <c r="E3" s="50">
        <v>2038939.5</v>
      </c>
      <c r="F3" s="50">
        <v>1438928.5</v>
      </c>
      <c r="G3" s="17">
        <f t="shared" si="0"/>
        <v>8122762.5</v>
      </c>
      <c r="H3" s="17">
        <f t="shared" si="1"/>
        <v>1184616.8744916134</v>
      </c>
      <c r="I3" s="17">
        <f t="shared" si="2"/>
        <v>6938145.6255083866</v>
      </c>
    </row>
    <row r="4" spans="1:9" ht="15.75" customHeight="1" x14ac:dyDescent="0.25">
      <c r="A4" s="5">
        <f t="shared" si="3"/>
        <v>2026</v>
      </c>
      <c r="B4" s="49">
        <v>1033723</v>
      </c>
      <c r="C4" s="50">
        <v>1763264</v>
      </c>
      <c r="D4" s="50">
        <v>2975900.5</v>
      </c>
      <c r="E4" s="50">
        <v>2121549.5</v>
      </c>
      <c r="F4" s="50">
        <v>1477199</v>
      </c>
      <c r="G4" s="17">
        <f t="shared" si="0"/>
        <v>8337913</v>
      </c>
      <c r="H4" s="17">
        <f t="shared" si="1"/>
        <v>1196659.607307679</v>
      </c>
      <c r="I4" s="17">
        <f t="shared" si="2"/>
        <v>7141253.392692321</v>
      </c>
    </row>
    <row r="5" spans="1:9" ht="15.75" customHeight="1" x14ac:dyDescent="0.25">
      <c r="A5" s="5">
        <f t="shared" si="3"/>
        <v>2027</v>
      </c>
      <c r="B5" s="49">
        <v>1042914</v>
      </c>
      <c r="C5" s="50">
        <v>1792878</v>
      </c>
      <c r="D5" s="50">
        <v>3032284</v>
      </c>
      <c r="E5" s="50">
        <v>2209831</v>
      </c>
      <c r="F5" s="50">
        <v>1515620</v>
      </c>
      <c r="G5" s="17">
        <f t="shared" si="0"/>
        <v>8550613</v>
      </c>
      <c r="H5" s="17">
        <f t="shared" si="1"/>
        <v>1207299.3032908048</v>
      </c>
      <c r="I5" s="17">
        <f t="shared" si="2"/>
        <v>7343313.6967091952</v>
      </c>
    </row>
    <row r="6" spans="1:9" ht="15.75" customHeight="1" x14ac:dyDescent="0.25">
      <c r="A6" s="5">
        <f t="shared" si="3"/>
        <v>2028</v>
      </c>
      <c r="B6" s="49">
        <v>1051289</v>
      </c>
      <c r="C6" s="50">
        <v>1818644.5</v>
      </c>
      <c r="D6" s="50">
        <v>3087947.5</v>
      </c>
      <c r="E6" s="50">
        <v>2300742</v>
      </c>
      <c r="F6" s="50">
        <v>1556189</v>
      </c>
      <c r="G6" s="17">
        <f t="shared" si="0"/>
        <v>8763523</v>
      </c>
      <c r="H6" s="17">
        <f t="shared" si="1"/>
        <v>1216994.3804161099</v>
      </c>
      <c r="I6" s="17">
        <f t="shared" si="2"/>
        <v>7546528.6195838898</v>
      </c>
    </row>
    <row r="7" spans="1:9" ht="15.75" customHeight="1" x14ac:dyDescent="0.25">
      <c r="A7" s="5">
        <f t="shared" si="3"/>
        <v>2029</v>
      </c>
      <c r="B7" s="49">
        <v>1059649</v>
      </c>
      <c r="C7" s="50">
        <v>1840783.5</v>
      </c>
      <c r="D7" s="50">
        <v>3145892</v>
      </c>
      <c r="E7" s="50">
        <v>2390960.5</v>
      </c>
      <c r="F7" s="50">
        <v>1599925</v>
      </c>
      <c r="G7" s="17">
        <f t="shared" si="0"/>
        <v>8977561</v>
      </c>
      <c r="H7" s="17">
        <f t="shared" si="1"/>
        <v>1226672.0932241757</v>
      </c>
      <c r="I7" s="17">
        <f t="shared" si="2"/>
        <v>7750888.9067758247</v>
      </c>
    </row>
    <row r="8" spans="1:9" ht="15.75" customHeight="1" x14ac:dyDescent="0.25">
      <c r="A8" s="5">
        <f t="shared" si="3"/>
        <v>2030</v>
      </c>
      <c r="B8" s="49">
        <v>1068175</v>
      </c>
      <c r="C8" s="50">
        <v>1861104</v>
      </c>
      <c r="D8" s="50">
        <v>3206882.5</v>
      </c>
      <c r="E8" s="50">
        <v>2476861.5</v>
      </c>
      <c r="F8" s="50">
        <v>1648066.5</v>
      </c>
      <c r="G8" s="17">
        <f t="shared" si="0"/>
        <v>9192914.5</v>
      </c>
      <c r="H8" s="17">
        <f t="shared" si="1"/>
        <v>1236541.9711430236</v>
      </c>
      <c r="I8" s="17">
        <f t="shared" si="2"/>
        <v>7956372.528856976</v>
      </c>
    </row>
    <row r="9" spans="1:9" ht="15.75" customHeight="1" x14ac:dyDescent="0.25">
      <c r="A9" s="5">
        <f t="shared" si="3"/>
        <v>2031</v>
      </c>
      <c r="B9" s="49">
        <v>1076930</v>
      </c>
      <c r="C9" s="50">
        <v>1885846</v>
      </c>
      <c r="D9" s="50">
        <v>3266865.5</v>
      </c>
      <c r="E9" s="50">
        <v>2557978</v>
      </c>
      <c r="F9" s="50">
        <v>1701387.5</v>
      </c>
      <c r="G9" s="17">
        <f t="shared" si="0"/>
        <v>9412077</v>
      </c>
      <c r="H9" s="17">
        <f t="shared" si="1"/>
        <v>1246676.944305059</v>
      </c>
      <c r="I9" s="17">
        <f t="shared" si="2"/>
        <v>8165400.0556949414</v>
      </c>
    </row>
    <row r="10" spans="1:9" ht="15.75" customHeight="1" x14ac:dyDescent="0.25">
      <c r="A10" s="5">
        <f t="shared" si="3"/>
        <v>2032</v>
      </c>
      <c r="B10" s="49">
        <v>1083649</v>
      </c>
      <c r="C10" s="50">
        <v>1917984</v>
      </c>
      <c r="D10" s="50">
        <v>3324989.5</v>
      </c>
      <c r="E10" s="50">
        <v>2635129.5</v>
      </c>
      <c r="F10" s="50">
        <v>1759103</v>
      </c>
      <c r="G10" s="17">
        <f t="shared" si="0"/>
        <v>9637206</v>
      </c>
      <c r="H10" s="17">
        <f t="shared" si="1"/>
        <v>1254455.0008071398</v>
      </c>
      <c r="I10" s="17">
        <f t="shared" si="2"/>
        <v>8382750.99919286</v>
      </c>
    </row>
    <row r="11" spans="1:9" ht="15.75" customHeight="1" x14ac:dyDescent="0.25">
      <c r="A11" s="5">
        <f t="shared" si="3"/>
        <v>2033</v>
      </c>
      <c r="B11" s="49">
        <v>1091296</v>
      </c>
      <c r="C11" s="50">
        <v>1956371</v>
      </c>
      <c r="D11" s="50">
        <v>3383741.5</v>
      </c>
      <c r="E11" s="50">
        <v>2707797</v>
      </c>
      <c r="F11" s="50">
        <v>1821539</v>
      </c>
      <c r="G11" s="17">
        <f t="shared" si="0"/>
        <v>9869448.5</v>
      </c>
      <c r="H11" s="17">
        <f t="shared" si="1"/>
        <v>1263307.3297357617</v>
      </c>
      <c r="I11" s="17">
        <f t="shared" si="2"/>
        <v>8606141.1702642385</v>
      </c>
    </row>
    <row r="12" spans="1:9" ht="15.75" customHeight="1" x14ac:dyDescent="0.25">
      <c r="A12" s="5">
        <f t="shared" si="3"/>
        <v>2034</v>
      </c>
      <c r="B12" s="49">
        <v>1099269</v>
      </c>
      <c r="C12" s="50">
        <v>2000299</v>
      </c>
      <c r="D12" s="50">
        <v>3442757</v>
      </c>
      <c r="E12" s="50">
        <v>2775911.5</v>
      </c>
      <c r="F12" s="50">
        <v>1889556.5</v>
      </c>
      <c r="G12" s="17">
        <f t="shared" si="0"/>
        <v>10108524</v>
      </c>
      <c r="H12" s="17">
        <f t="shared" si="1"/>
        <v>1272537.043159052</v>
      </c>
      <c r="I12" s="17">
        <f t="shared" si="2"/>
        <v>8835986.9568409473</v>
      </c>
    </row>
    <row r="13" spans="1:9" ht="15.75" customHeight="1" x14ac:dyDescent="0.25">
      <c r="A13" s="5">
        <f t="shared" si="3"/>
        <v>2035</v>
      </c>
      <c r="B13" s="49">
        <v>1108252</v>
      </c>
      <c r="C13" s="50">
        <v>2048083</v>
      </c>
      <c r="D13" s="50">
        <v>3501255.5</v>
      </c>
      <c r="E13" s="50">
        <v>2839299</v>
      </c>
      <c r="F13" s="50">
        <v>1963437</v>
      </c>
      <c r="G13" s="17">
        <f t="shared" si="0"/>
        <v>10352074.5</v>
      </c>
      <c r="H13" s="17">
        <f t="shared" si="1"/>
        <v>1282935.9539431257</v>
      </c>
      <c r="I13" s="17">
        <f t="shared" si="2"/>
        <v>9069138.5460568741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99">
        <v>7.1480107148010633E-2</v>
      </c>
    </row>
    <row r="5" spans="1:8" ht="15.75" customHeight="1" x14ac:dyDescent="0.25">
      <c r="B5" s="19" t="s">
        <v>70</v>
      </c>
      <c r="C5" s="99">
        <v>0.105523710552371</v>
      </c>
    </row>
    <row r="6" spans="1:8" ht="15.75" customHeight="1" x14ac:dyDescent="0.25">
      <c r="B6" s="19" t="s">
        <v>71</v>
      </c>
      <c r="C6" s="99">
        <v>0.25522302552230253</v>
      </c>
    </row>
    <row r="7" spans="1:8" ht="15.75" customHeight="1" x14ac:dyDescent="0.25">
      <c r="B7" s="19" t="s">
        <v>72</v>
      </c>
      <c r="C7" s="99">
        <v>0.37572243757224411</v>
      </c>
    </row>
    <row r="8" spans="1:8" ht="15.75" customHeight="1" x14ac:dyDescent="0.25">
      <c r="B8" s="19" t="s">
        <v>73</v>
      </c>
      <c r="C8" s="99">
        <v>3.1590003159000352E-3</v>
      </c>
    </row>
    <row r="9" spans="1:8" ht="15.75" customHeight="1" x14ac:dyDescent="0.25">
      <c r="B9" s="19" t="s">
        <v>74</v>
      </c>
      <c r="C9" s="99">
        <v>5.5272605527260543E-2</v>
      </c>
    </row>
    <row r="10" spans="1:8" ht="15.75" customHeight="1" x14ac:dyDescent="0.25">
      <c r="B10" s="19" t="s">
        <v>75</v>
      </c>
      <c r="C10" s="99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83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84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85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86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87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88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89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99">
        <v>9.0154729999999995E-3</v>
      </c>
    </row>
    <row r="28" spans="1:8" ht="15.75" customHeight="1" x14ac:dyDescent="0.25">
      <c r="B28" s="19" t="s">
        <v>93</v>
      </c>
      <c r="C28" s="99">
        <v>0.15676572499999999</v>
      </c>
    </row>
    <row r="29" spans="1:8" ht="15.75" customHeight="1" x14ac:dyDescent="0.25">
      <c r="B29" s="19" t="s">
        <v>94</v>
      </c>
      <c r="C29" s="99">
        <v>0.168756885</v>
      </c>
    </row>
    <row r="30" spans="1:8" ht="15.75" customHeight="1" x14ac:dyDescent="0.25">
      <c r="B30" s="19" t="s">
        <v>95</v>
      </c>
      <c r="C30" s="99">
        <v>0.105851448</v>
      </c>
    </row>
    <row r="31" spans="1:8" ht="15.75" customHeight="1" x14ac:dyDescent="0.25">
      <c r="B31" s="19" t="s">
        <v>96</v>
      </c>
      <c r="C31" s="99">
        <v>0.11038854400000001</v>
      </c>
    </row>
    <row r="32" spans="1:8" ht="15.75" customHeight="1" x14ac:dyDescent="0.25">
      <c r="B32" s="19" t="s">
        <v>97</v>
      </c>
      <c r="C32" s="99">
        <v>1.8940327999999999E-2</v>
      </c>
    </row>
    <row r="33" spans="2:3" ht="15.75" customHeight="1" x14ac:dyDescent="0.25">
      <c r="B33" s="19" t="s">
        <v>98</v>
      </c>
      <c r="C33" s="99">
        <v>8.4923389999999987E-2</v>
      </c>
    </row>
    <row r="34" spans="2:3" ht="15.75" customHeight="1" x14ac:dyDescent="0.25">
      <c r="B34" s="19" t="s">
        <v>99</v>
      </c>
      <c r="C34" s="99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1.74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0.20096420000000001</v>
      </c>
      <c r="C10" s="96">
        <v>0.95</v>
      </c>
      <c r="D10" s="56">
        <v>14.144906987123459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14.144906987123459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14.144906987123459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14.144906987123459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0.2021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14.144906987123459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0.53998999999999997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0.38100000000000001</v>
      </c>
      <c r="C18" s="96">
        <v>0.95</v>
      </c>
      <c r="D18" s="56">
        <v>1.7392913600436088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0.49888320000000003</v>
      </c>
      <c r="C19" s="96">
        <v>0.95</v>
      </c>
      <c r="D19" s="56">
        <v>1.0387950708930269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1.74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0.6758495000000001</v>
      </c>
      <c r="C23" s="96">
        <v>0.95</v>
      </c>
      <c r="D23" s="56">
        <v>4.6309332646724153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0.27543303141174003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2.9000000000000001E-2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3.8721449986372307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0.19636580000000001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0.26000139999999999</v>
      </c>
      <c r="C29" s="96">
        <v>0.95</v>
      </c>
      <c r="D29" s="56">
        <v>48.649233418724378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1.37E-2</v>
      </c>
      <c r="C31" s="96">
        <v>0.95</v>
      </c>
      <c r="D31" s="56">
        <v>83.790678659035166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0.378</v>
      </c>
      <c r="C32" s="96">
        <v>0.95</v>
      </c>
      <c r="D32" s="56">
        <v>5.0782229490324342E-2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0.23435629999999999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0.34356619999999999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7.9883999999999997E-3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0.36189339999999998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6.2E-2</v>
      </c>
      <c r="C38" s="96">
        <v>0.95</v>
      </c>
      <c r="D38" s="56">
        <v>0.48243118015808123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3.4278004905968933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2.0019999999999998</v>
      </c>
      <c r="C2" s="21">
        <f>'Baseline year population inputs'!C52</f>
        <v>2.0019999999999998</v>
      </c>
      <c r="D2" s="21">
        <f>'Baseline year population inputs'!C53</f>
        <v>4.524</v>
      </c>
      <c r="E2" s="21">
        <f>'Baseline year population inputs'!C54</f>
        <v>3.9780000000000002</v>
      </c>
      <c r="F2" s="21">
        <f>'Baseline year population inputs'!C55</f>
        <v>1.5166666666666671</v>
      </c>
    </row>
    <row r="3" spans="1:6" ht="15.75" customHeight="1" x14ac:dyDescent="0.25">
      <c r="A3" s="3" t="s">
        <v>197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198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