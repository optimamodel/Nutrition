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BDD2A4E-AE84-4121-82F2-48F09917629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<sst xmlns="http://schemas.openxmlformats.org/spreadsheetml/2006/main" count="2103" uniqueCount="341">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</sst>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4354785.1875</v>
      </c>
    </row>
    <row r="8" spans="1:3" ht="15" customHeight="1" x14ac:dyDescent="0.25">
      <c r="B8" s="5" t="s">
        <v>8</v>
      </c>
      <c r="C8" s="44">
        <v>0.77599999999999991</v>
      </c>
    </row>
    <row r="9" spans="1:3" ht="15" customHeight="1" x14ac:dyDescent="0.25">
      <c r="B9" s="5" t="s">
        <v>9</v>
      </c>
      <c r="C9" s="45">
        <v>0.6</v>
      </c>
    </row>
    <row r="10" spans="1:3" ht="15" customHeight="1" x14ac:dyDescent="0.25">
      <c r="B10" s="5" t="s">
        <v>10</v>
      </c>
      <c r="C10" s="45">
        <v>0.30287649154663099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0.13400000000000001</v>
      </c>
    </row>
    <row r="24" spans="1:3" ht="15" customHeight="1" x14ac:dyDescent="0.25">
      <c r="B24" s="15" t="s">
        <v>22</v>
      </c>
      <c r="C24" s="45">
        <v>0.50590000000000002</v>
      </c>
    </row>
    <row r="25" spans="1:3" ht="15" customHeight="1" x14ac:dyDescent="0.25">
      <c r="B25" s="15" t="s">
        <v>23</v>
      </c>
      <c r="C25" s="45">
        <v>0.29549999999999998</v>
      </c>
    </row>
    <row r="26" spans="1:3" ht="15" customHeight="1" x14ac:dyDescent="0.25">
      <c r="B26" s="15" t="s">
        <v>24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24.115670000000001</v>
      </c>
    </row>
    <row r="38" spans="1:5" ht="15" customHeight="1" x14ac:dyDescent="0.25">
      <c r="B38" s="11" t="s">
        <v>34</v>
      </c>
      <c r="C38" s="43">
        <v>45.25882</v>
      </c>
      <c r="D38" s="12"/>
      <c r="E38" s="13"/>
    </row>
    <row r="39" spans="1:5" ht="15" customHeight="1" x14ac:dyDescent="0.25">
      <c r="B39" s="11" t="s">
        <v>35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7.9161000000000006E-3</v>
      </c>
      <c r="D45" s="12"/>
    </row>
    <row r="46" spans="1:5" ht="15.75" customHeight="1" x14ac:dyDescent="0.25">
      <c r="B46" s="11" t="s">
        <v>41</v>
      </c>
      <c r="C46" s="45">
        <v>8.5057899999999992E-2</v>
      </c>
      <c r="D46" s="12"/>
    </row>
    <row r="47" spans="1:5" ht="15.75" customHeight="1" x14ac:dyDescent="0.25">
      <c r="B47" s="11" t="s">
        <v>42</v>
      </c>
      <c r="C47" s="45">
        <v>7.3472599999999999E-2</v>
      </c>
      <c r="D47" s="12"/>
      <c r="E47" s="13"/>
    </row>
    <row r="48" spans="1:5" ht="15" customHeight="1" x14ac:dyDescent="0.25">
      <c r="B48" s="11" t="s">
        <v>43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0.52655600000000002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1.2181401218140131E-2</v>
      </c>
    </row>
    <row r="4" spans="1:8" ht="15.75" customHeight="1" x14ac:dyDescent="0.25">
      <c r="B4" s="19" t="s">
        <v>69</v>
      </c>
      <c r="C4" s="101">
        <v>7.1480107148010633E-2</v>
      </c>
    </row>
    <row r="5" spans="1:8" ht="15.75" customHeight="1" x14ac:dyDescent="0.25">
      <c r="B5" s="19" t="s">
        <v>70</v>
      </c>
      <c r="C5" s="101">
        <v>0.105523710552371</v>
      </c>
    </row>
    <row r="6" spans="1:8" ht="15.75" customHeight="1" x14ac:dyDescent="0.25">
      <c r="B6" s="19" t="s">
        <v>71</v>
      </c>
      <c r="C6" s="101">
        <v>0.25522302552230253</v>
      </c>
    </row>
    <row r="7" spans="1:8" ht="15.75" customHeight="1" x14ac:dyDescent="0.25">
      <c r="B7" s="19" t="s">
        <v>72</v>
      </c>
      <c r="C7" s="101">
        <v>0.37572243757224411</v>
      </c>
    </row>
    <row r="8" spans="1:8" ht="15.75" customHeight="1" x14ac:dyDescent="0.25">
      <c r="B8" s="19" t="s">
        <v>73</v>
      </c>
      <c r="C8" s="101">
        <v>3.1590003159000352E-3</v>
      </c>
    </row>
    <row r="9" spans="1:8" ht="15.75" customHeight="1" x14ac:dyDescent="0.25">
      <c r="B9" s="19" t="s">
        <v>74</v>
      </c>
      <c r="C9" s="101">
        <v>5.5272605527260543E-2</v>
      </c>
    </row>
    <row r="10" spans="1:8" ht="15.75" customHeight="1" x14ac:dyDescent="0.25">
      <c r="B10" s="19" t="s">
        <v>75</v>
      </c>
      <c r="C10" s="101">
        <v>0.1214377121437713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82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83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84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85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86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87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89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8.7985991E-2</v>
      </c>
    </row>
    <row r="27" spans="1:8" ht="15.75" customHeight="1" x14ac:dyDescent="0.25">
      <c r="B27" s="19" t="s">
        <v>92</v>
      </c>
      <c r="C27" s="101">
        <v>9.0154729999999995E-3</v>
      </c>
    </row>
    <row r="28" spans="1:8" ht="15.75" customHeight="1" x14ac:dyDescent="0.25">
      <c r="B28" s="19" t="s">
        <v>93</v>
      </c>
      <c r="C28" s="101">
        <v>0.15676572499999999</v>
      </c>
    </row>
    <row r="29" spans="1:8" ht="15.75" customHeight="1" x14ac:dyDescent="0.25">
      <c r="B29" s="19" t="s">
        <v>94</v>
      </c>
      <c r="C29" s="101">
        <v>0.168756885</v>
      </c>
    </row>
    <row r="30" spans="1:8" ht="15.75" customHeight="1" x14ac:dyDescent="0.25">
      <c r="B30" s="19" t="s">
        <v>95</v>
      </c>
      <c r="C30" s="101">
        <v>0.105851448</v>
      </c>
    </row>
    <row r="31" spans="1:8" ht="15.75" customHeight="1" x14ac:dyDescent="0.25">
      <c r="B31" s="19" t="s">
        <v>96</v>
      </c>
      <c r="C31" s="101">
        <v>0.11038854400000001</v>
      </c>
    </row>
    <row r="32" spans="1:8" ht="15.75" customHeight="1" x14ac:dyDescent="0.25">
      <c r="B32" s="19" t="s">
        <v>97</v>
      </c>
      <c r="C32" s="101">
        <v>1.8940327999999999E-2</v>
      </c>
    </row>
    <row r="33" spans="2:3" ht="15.75" customHeight="1" x14ac:dyDescent="0.25">
      <c r="B33" s="19" t="s">
        <v>98</v>
      </c>
      <c r="C33" s="101">
        <v>8.4923389999999987E-2</v>
      </c>
    </row>
    <row r="34" spans="2:3" ht="15.75" customHeight="1" x14ac:dyDescent="0.25">
      <c r="B34" s="19" t="s">
        <v>99</v>
      </c>
      <c r="C34" s="101">
        <v>0.25737221700000001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104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105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109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110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122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34.15932823545198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44.619845118003099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40.174226962967943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0.12057311705742579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0.20096420000000001</v>
      </c>
      <c r="C10" s="98">
        <v>0.95</v>
      </c>
      <c r="D10" s="56">
        <v>14.144906987123459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14.144906987123459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14.144906987123459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14.144906987123459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0.20096420000000001</v>
      </c>
      <c r="C14" s="98">
        <v>0.95</v>
      </c>
      <c r="D14" s="56">
        <v>14.144906987123459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14.144906987123459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0.53998999999999997</v>
      </c>
      <c r="C16" s="98">
        <v>0.95</v>
      </c>
      <c r="D16" s="56">
        <v>0.201186158790533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0.49888320000000003</v>
      </c>
      <c r="C18" s="98">
        <v>0.95</v>
      </c>
      <c r="D18" s="56">
        <v>1.0387950708930269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0.49888320000000003</v>
      </c>
      <c r="C19" s="98">
        <v>0.95</v>
      </c>
      <c r="D19" s="56">
        <v>1.0387950708930269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0.97794835932458724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0.6758495000000001</v>
      </c>
      <c r="C23" s="98">
        <v>0.95</v>
      </c>
      <c r="D23" s="56">
        <v>4.6309332646724153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0.27543303141174003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0.20096420000000001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20.45240587972765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0.19636580000000001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0.26000139999999999</v>
      </c>
      <c r="C29" s="98">
        <v>0.95</v>
      </c>
      <c r="D29" s="56">
        <v>59.16814995082278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1.37E-2</v>
      </c>
      <c r="C31" s="98">
        <v>0.95</v>
      </c>
      <c r="D31" s="56">
        <v>0.82917296352271452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0.24</v>
      </c>
      <c r="C32" s="98">
        <v>0.95</v>
      </c>
      <c r="D32" s="56">
        <v>0.36881327727825219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0.23435629999999999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0.34356619999999999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7.9883999999999997E-3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0.36189339999999998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0.11203050000000001</v>
      </c>
      <c r="C38" s="98">
        <v>0.95</v>
      </c>
      <c r="D38" s="56">
        <v>5.7015504682514626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205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0.10843195827288454</v>
      </c>
      <c r="G18" s="90">
        <f>MIN(MAX(1-0.89/(1-frac_sam_12_23months+(frac_sam_12_23months*0.89)),0),1)</f>
        <v>0.10846598913647965</v>
      </c>
      <c r="H18" s="90">
        <f>MIN(MAX(1-0.89/(1-frac_sam_24_59months+(frac_sam_24_59months*0.89)),0),1)</f>
        <v>0.10867038489522629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0.10361536237528379</v>
      </c>
      <c r="G20" s="90">
        <f>MIN(MAX(1-0.89/(1-frac_mam_12_23months+(frac_mam_12_23months*0.89)),0),1)</f>
        <v>0.10286638916254287</v>
      </c>
      <c r="H20" s="90">
        <f>MIN(MAX(1-0.89/(1-frac_mam_24_59months+(frac_mam_24_59months*0.89)),0),1)</f>
        <v>0.1046869815578052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9.8416875480552557E-3</v>
      </c>
      <c r="G73" s="90">
        <f>MIN(MAX(1-0.99/(1-frac_sam_12_23months+(frac_sam_12_23months*0.99)),0),1)</f>
        <v>9.8451179930466592E-3</v>
      </c>
      <c r="H73" s="90">
        <f>MIN(MAX(1-0.99/(1-frac_sam_24_59months+(frac_sam_24_59months*0.99)),0),1)</f>
        <v>9.8657269010907767E-3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9.3585457894183044E-3</v>
      </c>
      <c r="G75" s="90">
        <f>MIN(MAX(1-0.99/(1-frac_mam_12_23months+(frac_mam_12_23months*0.99)),0),1)</f>
        <v>9.2838420015838308E-3</v>
      </c>
      <c r="H75" s="90">
        <f>MIN(MAX(1-0.99/(1-frac_mam_24_59months+(frac_mam_24_59months*0.99)),0),1)</f>
        <v>9.4656284983311023E-3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0.19743361742711896</v>
      </c>
      <c r="G128" s="90">
        <f>MIN(MAX(1-0.8/(1-frac_sam_12_23months+(frac_sam_12_23months*0.8)),0),1)</f>
        <v>0.19748939371888585</v>
      </c>
      <c r="H128" s="90">
        <f>MIN(MAX(1-0.8/(1-frac_sam_24_59months+(frac_sam_24_59months*0.8)),0),1)</f>
        <v>0.19782432308555908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0.18950384789126928</v>
      </c>
      <c r="G130" s="90">
        <f>MIN(MAX(1-0.8/(1-frac_mam_12_23months+(frac_mam_12_23months*0.8)),0),1)</f>
        <v>0.18826443041093432</v>
      </c>
      <c r="H130" s="90">
        <f>MIN(MAX(1-0.8/(1-frac_mam_24_59months+(frac_mam_24_59months*0.8)),0),1)</f>
        <v>0.19127420450596944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2024-06-18T06:56:03Z</dcterms:modified>
</cp:coreProperties>
</file>