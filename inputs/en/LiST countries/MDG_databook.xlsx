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7A50085-DA0D-4CCA-9707-2F814EDDE62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7" i="2"/>
  <c r="A36" i="2"/>
  <c r="A31" i="2"/>
  <c r="A29" i="2"/>
  <c r="A28" i="2"/>
  <c r="A23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8" i="2"/>
  <c r="A34" i="2"/>
  <c r="A3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6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<sst xmlns="http://schemas.openxmlformats.org/spreadsheetml/2006/main" count="2101" uniqueCount="341">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</sst>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4354785.1875</v>
      </c>
    </row>
    <row r="8" spans="1:3" ht="15" customHeight="1" x14ac:dyDescent="0.25">
      <c r="B8" s="5" t="s">
        <v>8</v>
      </c>
      <c r="C8" s="44">
        <v>0.77599999999999991</v>
      </c>
    </row>
    <row r="9" spans="1:3" ht="15" customHeight="1" x14ac:dyDescent="0.25">
      <c r="B9" s="5" t="s">
        <v>9</v>
      </c>
      <c r="C9" s="45">
        <v>0.6</v>
      </c>
    </row>
    <row r="10" spans="1:3" ht="15" customHeight="1" x14ac:dyDescent="0.25">
      <c r="B10" s="5" t="s">
        <v>10</v>
      </c>
      <c r="C10" s="45">
        <v>0.30287649154663099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0.13400000000000001</v>
      </c>
    </row>
    <row r="24" spans="1:3" ht="15" customHeight="1" x14ac:dyDescent="0.25">
      <c r="B24" s="15" t="s">
        <v>22</v>
      </c>
      <c r="C24" s="45">
        <v>0.50590000000000002</v>
      </c>
    </row>
    <row r="25" spans="1:3" ht="15" customHeight="1" x14ac:dyDescent="0.25">
      <c r="B25" s="15" t="s">
        <v>23</v>
      </c>
      <c r="C25" s="45">
        <v>0.29549999999999998</v>
      </c>
    </row>
    <row r="26" spans="1:3" ht="15" customHeight="1" x14ac:dyDescent="0.25">
      <c r="B26" s="15" t="s">
        <v>24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24.115670000000001</v>
      </c>
    </row>
    <row r="38" spans="1:5" ht="15" customHeight="1" x14ac:dyDescent="0.25">
      <c r="B38" s="11" t="s">
        <v>34</v>
      </c>
      <c r="C38" s="43">
        <v>45.25882</v>
      </c>
      <c r="D38" s="12"/>
      <c r="E38" s="13"/>
    </row>
    <row r="39" spans="1:5" ht="15" customHeight="1" x14ac:dyDescent="0.25">
      <c r="B39" s="11" t="s">
        <v>35</v>
      </c>
      <c r="C39" s="43">
        <v>66.003</v>
      </c>
      <c r="D39" s="12"/>
      <c r="E39" s="12"/>
    </row>
    <row r="40" spans="1:5" ht="15" customHeight="1" x14ac:dyDescent="0.25">
      <c r="B40" s="11" t="s">
        <v>36</v>
      </c>
      <c r="C40" s="100">
        <v>3.92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7.9161000000000006E-3</v>
      </c>
      <c r="D45" s="12"/>
    </row>
    <row r="46" spans="1:5" ht="15.75" customHeight="1" x14ac:dyDescent="0.25">
      <c r="B46" s="11" t="s">
        <v>41</v>
      </c>
      <c r="C46" s="45">
        <v>8.5057899999999992E-2</v>
      </c>
      <c r="D46" s="12"/>
    </row>
    <row r="47" spans="1:5" ht="15.75" customHeight="1" x14ac:dyDescent="0.25">
      <c r="B47" s="11" t="s">
        <v>42</v>
      </c>
      <c r="C47" s="45">
        <v>7.3472599999999999E-2</v>
      </c>
      <c r="D47" s="12"/>
      <c r="E47" s="13"/>
    </row>
    <row r="48" spans="1:5" ht="15" customHeight="1" x14ac:dyDescent="0.25">
      <c r="B48" s="11" t="s">
        <v>43</v>
      </c>
      <c r="C48" s="46">
        <v>0.8335534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0.52655600000000002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0.17138204999999901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927190</v>
      </c>
      <c r="C2" s="49">
        <v>2003918.5</v>
      </c>
      <c r="D2" s="49">
        <v>2754665.5</v>
      </c>
      <c r="E2" s="49">
        <v>1965655.5</v>
      </c>
      <c r="F2" s="49">
        <v>1229754.5</v>
      </c>
      <c r="G2" s="17">
        <f t="shared" ref="G2:G13" si="0">C2+D2+E2+F2</f>
        <v>7953994</v>
      </c>
      <c r="H2" s="17">
        <f t="shared" ref="H2:H13" si="1">(B2 + stillbirth*B2/(1000-stillbirth))/(1-abortion)</f>
        <v>1073334.7534103496</v>
      </c>
      <c r="I2" s="17">
        <f t="shared" ref="I2:I13" si="2">G2-H2</f>
        <v>6880659.2465896504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937701</v>
      </c>
      <c r="C3" s="50">
        <v>2045160.5</v>
      </c>
      <c r="D3" s="50">
        <v>2816849</v>
      </c>
      <c r="E3" s="50">
        <v>2043037</v>
      </c>
      <c r="F3" s="50">
        <v>1259247</v>
      </c>
      <c r="G3" s="17">
        <f t="shared" si="0"/>
        <v>8164293.5</v>
      </c>
      <c r="H3" s="17">
        <f t="shared" si="1"/>
        <v>1085502.5093105384</v>
      </c>
      <c r="I3" s="17">
        <f t="shared" si="2"/>
        <v>7078790.9906894621</v>
      </c>
    </row>
    <row r="4" spans="1:9" ht="15.75" customHeight="1" x14ac:dyDescent="0.25">
      <c r="A4" s="5">
        <f t="shared" si="3"/>
        <v>2026</v>
      </c>
      <c r="B4" s="49">
        <v>946788</v>
      </c>
      <c r="C4" s="50">
        <v>2079533</v>
      </c>
      <c r="D4" s="50">
        <v>2879054.5</v>
      </c>
      <c r="E4" s="50">
        <v>2123351.5</v>
      </c>
      <c r="F4" s="50">
        <v>1290745.5</v>
      </c>
      <c r="G4" s="17">
        <f t="shared" si="0"/>
        <v>8372684.5</v>
      </c>
      <c r="H4" s="17">
        <f t="shared" si="1"/>
        <v>1096021.8126941381</v>
      </c>
      <c r="I4" s="17">
        <f t="shared" si="2"/>
        <v>7276662.6873058621</v>
      </c>
    </row>
    <row r="5" spans="1:9" ht="15.75" customHeight="1" x14ac:dyDescent="0.25">
      <c r="A5" s="5">
        <f t="shared" si="3"/>
        <v>2027</v>
      </c>
      <c r="B5" s="49">
        <v>958349</v>
      </c>
      <c r="C5" s="50">
        <v>2108957</v>
      </c>
      <c r="D5" s="50">
        <v>2942505</v>
      </c>
      <c r="E5" s="50">
        <v>2204304</v>
      </c>
      <c r="F5" s="50">
        <v>1324112.5</v>
      </c>
      <c r="G5" s="17">
        <f t="shared" si="0"/>
        <v>8579878.5</v>
      </c>
      <c r="H5" s="17">
        <f t="shared" si="1"/>
        <v>1109405.0708010818</v>
      </c>
      <c r="I5" s="17">
        <f t="shared" si="2"/>
        <v>7470473.4291989179</v>
      </c>
    </row>
    <row r="6" spans="1:9" ht="15.75" customHeight="1" x14ac:dyDescent="0.25">
      <c r="A6" s="5">
        <f t="shared" si="3"/>
        <v>2028</v>
      </c>
      <c r="B6" s="49">
        <v>969625</v>
      </c>
      <c r="C6" s="50">
        <v>2134680</v>
      </c>
      <c r="D6" s="50">
        <v>3007941.5</v>
      </c>
      <c r="E6" s="50">
        <v>2283427.5</v>
      </c>
      <c r="F6" s="50">
        <v>1360507</v>
      </c>
      <c r="G6" s="17">
        <f t="shared" si="0"/>
        <v>8786556</v>
      </c>
      <c r="H6" s="17">
        <f t="shared" si="1"/>
        <v>1122458.4068804779</v>
      </c>
      <c r="I6" s="17">
        <f t="shared" si="2"/>
        <v>7664097.5931195226</v>
      </c>
    </row>
    <row r="7" spans="1:9" ht="15.75" customHeight="1" x14ac:dyDescent="0.25">
      <c r="A7" s="5">
        <f t="shared" si="3"/>
        <v>2029</v>
      </c>
      <c r="B7" s="49">
        <v>977745</v>
      </c>
      <c r="C7" s="50">
        <v>2157955.5</v>
      </c>
      <c r="D7" s="50">
        <v>3076177</v>
      </c>
      <c r="E7" s="50">
        <v>2360065</v>
      </c>
      <c r="F7" s="50">
        <v>1401253.5</v>
      </c>
      <c r="G7" s="17">
        <f t="shared" si="0"/>
        <v>8995451</v>
      </c>
      <c r="H7" s="17">
        <f t="shared" si="1"/>
        <v>1131858.2906127139</v>
      </c>
      <c r="I7" s="17">
        <f t="shared" si="2"/>
        <v>7863592.7093872856</v>
      </c>
    </row>
    <row r="8" spans="1:9" ht="15.75" customHeight="1" x14ac:dyDescent="0.25">
      <c r="A8" s="5">
        <f t="shared" si="3"/>
        <v>2030</v>
      </c>
      <c r="B8" s="49">
        <v>986067</v>
      </c>
      <c r="C8" s="50">
        <v>2183886</v>
      </c>
      <c r="D8" s="50">
        <v>3146394.5</v>
      </c>
      <c r="E8" s="50">
        <v>2432767.5</v>
      </c>
      <c r="F8" s="50">
        <v>1446639</v>
      </c>
      <c r="G8" s="17">
        <f t="shared" si="0"/>
        <v>9209687</v>
      </c>
      <c r="H8" s="17">
        <f t="shared" si="1"/>
        <v>1141492.0138171066</v>
      </c>
      <c r="I8" s="17">
        <f t="shared" si="2"/>
        <v>8068194.9861828936</v>
      </c>
    </row>
    <row r="9" spans="1:9" ht="15.75" customHeight="1" x14ac:dyDescent="0.25">
      <c r="A9" s="5">
        <f t="shared" si="3"/>
        <v>2031</v>
      </c>
      <c r="B9" s="49">
        <v>994660</v>
      </c>
      <c r="C9" s="50">
        <v>2216348.5</v>
      </c>
      <c r="D9" s="50">
        <v>3214493</v>
      </c>
      <c r="E9" s="50">
        <v>2502118.5</v>
      </c>
      <c r="F9" s="50">
        <v>1497634.5</v>
      </c>
      <c r="G9" s="17">
        <f t="shared" si="0"/>
        <v>9430594.5</v>
      </c>
      <c r="H9" s="17">
        <f t="shared" si="1"/>
        <v>1151439.4523529571</v>
      </c>
      <c r="I9" s="17">
        <f t="shared" si="2"/>
        <v>8279155.0476470431</v>
      </c>
    </row>
    <row r="10" spans="1:9" ht="15.75" customHeight="1" x14ac:dyDescent="0.25">
      <c r="A10" s="5">
        <f t="shared" si="3"/>
        <v>2032</v>
      </c>
      <c r="B10" s="49">
        <v>1002209</v>
      </c>
      <c r="C10" s="50">
        <v>2253927</v>
      </c>
      <c r="D10" s="50">
        <v>3278796.5</v>
      </c>
      <c r="E10" s="50">
        <v>2569322.5</v>
      </c>
      <c r="F10" s="50">
        <v>1553466.5</v>
      </c>
      <c r="G10" s="17">
        <f t="shared" si="0"/>
        <v>9655512.5</v>
      </c>
      <c r="H10" s="17">
        <f t="shared" si="1"/>
        <v>1160178.3344089487</v>
      </c>
      <c r="I10" s="17">
        <f t="shared" si="2"/>
        <v>8495334.1655910518</v>
      </c>
    </row>
    <row r="11" spans="1:9" ht="15.75" customHeight="1" x14ac:dyDescent="0.25">
      <c r="A11" s="5">
        <f t="shared" si="3"/>
        <v>2033</v>
      </c>
      <c r="B11" s="49">
        <v>1012090</v>
      </c>
      <c r="C11" s="50">
        <v>2294226</v>
      </c>
      <c r="D11" s="50">
        <v>3340565</v>
      </c>
      <c r="E11" s="50">
        <v>2634280</v>
      </c>
      <c r="F11" s="50">
        <v>1613104</v>
      </c>
      <c r="G11" s="17">
        <f t="shared" si="0"/>
        <v>9882175</v>
      </c>
      <c r="H11" s="17">
        <f t="shared" si="1"/>
        <v>1171616.7889850847</v>
      </c>
      <c r="I11" s="17">
        <f t="shared" si="2"/>
        <v>8710558.2110149153</v>
      </c>
    </row>
    <row r="12" spans="1:9" ht="15.75" customHeight="1" x14ac:dyDescent="0.25">
      <c r="A12" s="5">
        <f t="shared" si="3"/>
        <v>2034</v>
      </c>
      <c r="B12" s="49">
        <v>1016579</v>
      </c>
      <c r="C12" s="50">
        <v>2336697</v>
      </c>
      <c r="D12" s="50">
        <v>3399269.5</v>
      </c>
      <c r="E12" s="50">
        <v>2697623.5</v>
      </c>
      <c r="F12" s="50">
        <v>1676662</v>
      </c>
      <c r="G12" s="17">
        <f t="shared" si="0"/>
        <v>10110252</v>
      </c>
      <c r="H12" s="17">
        <f t="shared" si="1"/>
        <v>1176813.3503242482</v>
      </c>
      <c r="I12" s="17">
        <f t="shared" si="2"/>
        <v>8933438.6496757511</v>
      </c>
    </row>
    <row r="13" spans="1:9" ht="15.75" customHeight="1" x14ac:dyDescent="0.25">
      <c r="A13" s="5">
        <f t="shared" si="3"/>
        <v>2035</v>
      </c>
      <c r="B13" s="49">
        <v>1022598</v>
      </c>
      <c r="C13" s="50">
        <v>2379916.5</v>
      </c>
      <c r="D13" s="50">
        <v>3455477</v>
      </c>
      <c r="E13" s="50">
        <v>2759846.5</v>
      </c>
      <c r="F13" s="50">
        <v>1743809</v>
      </c>
      <c r="G13" s="17">
        <f t="shared" si="0"/>
        <v>10339049</v>
      </c>
      <c r="H13" s="17">
        <f t="shared" si="1"/>
        <v>1183781.0720218257</v>
      </c>
      <c r="I13" s="17">
        <f t="shared" si="2"/>
        <v>9155267.9279781748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1.2181401218140131E-2</v>
      </c>
    </row>
    <row r="4" spans="1:8" ht="15.75" customHeight="1" x14ac:dyDescent="0.25">
      <c r="B4" s="19" t="s">
        <v>69</v>
      </c>
      <c r="C4" s="101">
        <v>7.1480107148010633E-2</v>
      </c>
    </row>
    <row r="5" spans="1:8" ht="15.75" customHeight="1" x14ac:dyDescent="0.25">
      <c r="B5" s="19" t="s">
        <v>70</v>
      </c>
      <c r="C5" s="101">
        <v>0.105523710552371</v>
      </c>
    </row>
    <row r="6" spans="1:8" ht="15.75" customHeight="1" x14ac:dyDescent="0.25">
      <c r="B6" s="19" t="s">
        <v>71</v>
      </c>
      <c r="C6" s="101">
        <v>0.25522302552230253</v>
      </c>
    </row>
    <row r="7" spans="1:8" ht="15.75" customHeight="1" x14ac:dyDescent="0.25">
      <c r="B7" s="19" t="s">
        <v>72</v>
      </c>
      <c r="C7" s="101">
        <v>0.37572243757224411</v>
      </c>
    </row>
    <row r="8" spans="1:8" ht="15.75" customHeight="1" x14ac:dyDescent="0.25">
      <c r="B8" s="19" t="s">
        <v>73</v>
      </c>
      <c r="C8" s="101">
        <v>3.1590003159000352E-3</v>
      </c>
    </row>
    <row r="9" spans="1:8" ht="15.75" customHeight="1" x14ac:dyDescent="0.25">
      <c r="B9" s="19" t="s">
        <v>74</v>
      </c>
      <c r="C9" s="101">
        <v>5.5272605527260543E-2</v>
      </c>
    </row>
    <row r="10" spans="1:8" ht="15.75" customHeight="1" x14ac:dyDescent="0.25">
      <c r="B10" s="19" t="s">
        <v>75</v>
      </c>
      <c r="C10" s="101">
        <v>0.1214377121437713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82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83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84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85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86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87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88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89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8.7985991E-2</v>
      </c>
    </row>
    <row r="27" spans="1:8" ht="15.75" customHeight="1" x14ac:dyDescent="0.25">
      <c r="B27" s="19" t="s">
        <v>92</v>
      </c>
      <c r="C27" s="101">
        <v>9.0154729999999995E-3</v>
      </c>
    </row>
    <row r="28" spans="1:8" ht="15.75" customHeight="1" x14ac:dyDescent="0.25">
      <c r="B28" s="19" t="s">
        <v>93</v>
      </c>
      <c r="C28" s="101">
        <v>0.15676572499999999</v>
      </c>
    </row>
    <row r="29" spans="1:8" ht="15.75" customHeight="1" x14ac:dyDescent="0.25">
      <c r="B29" s="19" t="s">
        <v>94</v>
      </c>
      <c r="C29" s="101">
        <v>0.168756885</v>
      </c>
    </row>
    <row r="30" spans="1:8" ht="15.75" customHeight="1" x14ac:dyDescent="0.25">
      <c r="B30" s="19" t="s">
        <v>95</v>
      </c>
      <c r="C30" s="101">
        <v>0.105851448</v>
      </c>
    </row>
    <row r="31" spans="1:8" ht="15.75" customHeight="1" x14ac:dyDescent="0.25">
      <c r="B31" s="19" t="s">
        <v>96</v>
      </c>
      <c r="C31" s="101">
        <v>0.11038854400000001</v>
      </c>
    </row>
    <row r="32" spans="1:8" ht="15.75" customHeight="1" x14ac:dyDescent="0.25">
      <c r="B32" s="19" t="s">
        <v>97</v>
      </c>
      <c r="C32" s="101">
        <v>1.8940327999999999E-2</v>
      </c>
    </row>
    <row r="33" spans="2:3" ht="15.75" customHeight="1" x14ac:dyDescent="0.25">
      <c r="B33" s="19" t="s">
        <v>98</v>
      </c>
      <c r="C33" s="101">
        <v>8.4923389999999987E-2</v>
      </c>
    </row>
    <row r="34" spans="2:3" ht="15.75" customHeight="1" x14ac:dyDescent="0.25">
      <c r="B34" s="19" t="s">
        <v>99</v>
      </c>
      <c r="C34" s="101">
        <v>0.25737221700000001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104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105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109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110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122</v>
      </c>
      <c r="C5" s="52">
        <v>3.1852900000000003E-2</v>
      </c>
      <c r="D5" s="52">
        <v>2.1344700000000001E-2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75.462172087916926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19.380454267979939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3.478572535681232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0.12057311705742579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0.40394964285693302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0.20096420000000001</v>
      </c>
      <c r="C10" s="98">
        <v>0.95</v>
      </c>
      <c r="D10" s="56">
        <v>14.144906987123459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14.144906987123459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14.144906987123459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14.144906987123459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0.20096420000000001</v>
      </c>
      <c r="C14" s="98">
        <v>0.95</v>
      </c>
      <c r="D14" s="56">
        <v>14.144906987123459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14.144906987123459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0.53998999999999997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0.38100000000000001</v>
      </c>
      <c r="C18" s="98">
        <v>0.95</v>
      </c>
      <c r="D18" s="56">
        <v>3.478572535681232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0.49888320000000003</v>
      </c>
      <c r="C19" s="98">
        <v>0.95</v>
      </c>
      <c r="D19" s="56">
        <v>3.478572535681232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24.087514764837451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0.6758495000000001</v>
      </c>
      <c r="C23" s="98">
        <v>0.95</v>
      </c>
      <c r="D23" s="56">
        <v>4.6309332646724153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0.27543303141174003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2.9000000000000001E-2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3.872133661980933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0.19636580000000001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0.26000139999999999</v>
      </c>
      <c r="C29" s="98">
        <v>0.95</v>
      </c>
      <c r="D29" s="56">
        <v>48.649233418724378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1.37E-2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0.24</v>
      </c>
      <c r="C32" s="98">
        <v>0.95</v>
      </c>
      <c r="D32" s="56">
        <v>5.0782080812864692E-2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0.23435629999999999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0.34356619999999999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7.9883999999999997E-3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0.36189339999999998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6.2E-2</v>
      </c>
      <c r="C38" s="98">
        <v>0.95</v>
      </c>
      <c r="D38" s="56">
        <v>0.48242976772221458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205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0.77599999999999991</v>
      </c>
      <c r="E2" s="60">
        <f>food_insecure</f>
        <v>0.77599999999999991</v>
      </c>
      <c r="F2" s="60">
        <f>food_insecure</f>
        <v>0.77599999999999991</v>
      </c>
      <c r="G2" s="60">
        <f>food_insecure</f>
        <v>0.77599999999999991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0.77599999999999991</v>
      </c>
      <c r="I15" s="60">
        <f>food_insecure</f>
        <v>0.77599999999999991</v>
      </c>
      <c r="J15" s="60">
        <f>food_insecure</f>
        <v>0.77599999999999991</v>
      </c>
      <c r="K15" s="60">
        <f>food_insecure</f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0.504</v>
      </c>
      <c r="M24" s="60">
        <f>famplan_unmet_need</f>
        <v>0.504</v>
      </c>
      <c r="N24" s="60">
        <f>famplan_unmet_need</f>
        <v>0.504</v>
      </c>
      <c r="O24" s="60">
        <f>famplan_unmet_need</f>
        <v>0.504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0.45519376607971179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0.19508304260559076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4.6846699768066415E-2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0.30287649154663099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0.6</v>
      </c>
      <c r="D34" s="60">
        <f t="shared" si="3"/>
        <v>0.6</v>
      </c>
      <c r="E34" s="60">
        <f t="shared" si="3"/>
        <v>0.6</v>
      </c>
      <c r="F34" s="60">
        <f t="shared" si="3"/>
        <v>0.6</v>
      </c>
      <c r="G34" s="60">
        <f t="shared" si="3"/>
        <v>0.6</v>
      </c>
      <c r="H34" s="60">
        <f t="shared" si="3"/>
        <v>0.6</v>
      </c>
      <c r="I34" s="60">
        <f t="shared" si="3"/>
        <v>0.6</v>
      </c>
      <c r="J34" s="60">
        <f t="shared" si="3"/>
        <v>0.6</v>
      </c>
      <c r="K34" s="60">
        <f t="shared" si="3"/>
        <v>0.6</v>
      </c>
      <c r="L34" s="60">
        <f t="shared" si="3"/>
        <v>0.6</v>
      </c>
      <c r="M34" s="60">
        <f t="shared" si="3"/>
        <v>0.6</v>
      </c>
      <c r="N34" s="60">
        <f t="shared" si="3"/>
        <v>0.6</v>
      </c>
      <c r="O34" s="60">
        <f t="shared" si="3"/>
        <v>0.6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0.10843195827288454</v>
      </c>
      <c r="G18" s="90">
        <f>MIN(MAX(1-0.89/(1-frac_sam_12_23months+(frac_sam_12_23months*0.89)),0),1)</f>
        <v>0.10846598913647965</v>
      </c>
      <c r="H18" s="90">
        <f>MIN(MAX(1-0.89/(1-frac_sam_24_59months+(frac_sam_24_59months*0.89)),0),1)</f>
        <v>0.10867038489522629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0.10361536237528379</v>
      </c>
      <c r="G20" s="90">
        <f>MIN(MAX(1-0.89/(1-frac_mam_12_23months+(frac_mam_12_23months*0.89)),0),1)</f>
        <v>0.10286638916254287</v>
      </c>
      <c r="H20" s="90">
        <f>MIN(MAX(1-0.89/(1-frac_mam_24_59months+(frac_mam_24_59months*0.89)),0),1)</f>
        <v>0.1046869815578052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9.8416875480552557E-3</v>
      </c>
      <c r="G73" s="90">
        <f>MIN(MAX(1-0.99/(1-frac_sam_12_23months+(frac_sam_12_23months*0.99)),0),1)</f>
        <v>9.8451179930466592E-3</v>
      </c>
      <c r="H73" s="90">
        <f>MIN(MAX(1-0.99/(1-frac_sam_24_59months+(frac_sam_24_59months*0.99)),0),1)</f>
        <v>9.8657269010907767E-3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9.3585457894183044E-3</v>
      </c>
      <c r="G75" s="90">
        <f>MIN(MAX(1-0.99/(1-frac_mam_12_23months+(frac_mam_12_23months*0.99)),0),1)</f>
        <v>9.2838420015838308E-3</v>
      </c>
      <c r="H75" s="90">
        <f>MIN(MAX(1-0.99/(1-frac_mam_24_59months+(frac_mam_24_59months*0.99)),0),1)</f>
        <v>9.4656284983311023E-3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0.19743361742711896</v>
      </c>
      <c r="G128" s="90">
        <f>MIN(MAX(1-0.8/(1-frac_sam_12_23months+(frac_sam_12_23months*0.8)),0),1)</f>
        <v>0.19748939371888585</v>
      </c>
      <c r="H128" s="90">
        <f>MIN(MAX(1-0.8/(1-frac_sam_24_59months+(frac_sam_24_59months*0.8)),0),1)</f>
        <v>0.19782432308555908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0.18950384789126928</v>
      </c>
      <c r="G130" s="90">
        <f>MIN(MAX(1-0.8/(1-frac_mam_12_23months+(frac_mam_12_23months*0.8)),0),1)</f>
        <v>0.18826443041093432</v>
      </c>
      <c r="H130" s="90">
        <f>MIN(MAX(1-0.8/(1-frac_mam_24_59months+(frac_mam_24_59months*0.8)),0),1)</f>
        <v>0.19127420450596944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2024-08-06T06:31:48Z</dcterms:modified>
</cp:coreProperties>
</file>