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98AA0B0-9C0C-457D-A62A-DE5233FD8DE0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40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15" i="2"/>
  <c r="A23" i="2"/>
  <c r="A31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<sst xmlns="http://schemas.openxmlformats.org/spreadsheetml/2006/main" count="2092" uniqueCount="341">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</sst>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4354785.1875</v>
      </c>
    </row>
    <row r="8" spans="1:3" ht="15" customHeight="1" x14ac:dyDescent="0.25">
      <c r="B8" s="5" t="s">
        <v>8</v>
      </c>
      <c r="C8" s="44">
        <v>0.77599999999999991</v>
      </c>
    </row>
    <row r="9" spans="1:3" ht="15" customHeight="1" x14ac:dyDescent="0.25">
      <c r="B9" s="5" t="s">
        <v>9</v>
      </c>
      <c r="C9" s="45">
        <v>0.6</v>
      </c>
    </row>
    <row r="10" spans="1:3" ht="15" customHeight="1" x14ac:dyDescent="0.25">
      <c r="B10" s="5" t="s">
        <v>10</v>
      </c>
      <c r="C10" s="45">
        <v>0.30287649154663099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0.13400000000000001</v>
      </c>
    </row>
    <row r="24" spans="1:3" ht="15" customHeight="1" x14ac:dyDescent="0.25">
      <c r="B24" s="15" t="s">
        <v>22</v>
      </c>
      <c r="C24" s="45">
        <v>0.50590000000000002</v>
      </c>
    </row>
    <row r="25" spans="1:3" ht="15" customHeight="1" x14ac:dyDescent="0.25">
      <c r="B25" s="15" t="s">
        <v>23</v>
      </c>
      <c r="C25" s="45">
        <v>0.29549999999999998</v>
      </c>
    </row>
    <row r="26" spans="1:3" ht="15" customHeight="1" x14ac:dyDescent="0.25">
      <c r="B26" s="15" t="s">
        <v>24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24.115670000000001</v>
      </c>
    </row>
    <row r="38" spans="1:5" ht="15" customHeight="1" x14ac:dyDescent="0.25">
      <c r="B38" s="11" t="s">
        <v>34</v>
      </c>
      <c r="C38" s="43">
        <v>45.25882</v>
      </c>
      <c r="D38" s="12"/>
      <c r="E38" s="13"/>
    </row>
    <row r="39" spans="1:5" ht="15" customHeight="1" x14ac:dyDescent="0.25">
      <c r="B39" s="11" t="s">
        <v>35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100">
        <v>3.92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7.9161000000000006E-3</v>
      </c>
      <c r="D45" s="12"/>
    </row>
    <row r="46" spans="1:5" ht="15.75" customHeight="1" x14ac:dyDescent="0.25">
      <c r="B46" s="11" t="s">
        <v>41</v>
      </c>
      <c r="C46" s="45">
        <v>8.5057899999999992E-2</v>
      </c>
      <c r="D46" s="12"/>
    </row>
    <row r="47" spans="1:5" ht="15.75" customHeight="1" x14ac:dyDescent="0.25">
      <c r="B47" s="11" t="s">
        <v>42</v>
      </c>
      <c r="C47" s="45">
        <v>7.3472599999999999E-2</v>
      </c>
      <c r="D47" s="12"/>
      <c r="E47" s="13"/>
    </row>
    <row r="48" spans="1:5" ht="15" customHeight="1" x14ac:dyDescent="0.25">
      <c r="B48" s="11" t="s">
        <v>43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0.52655600000000002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947551.33339999989</v>
      </c>
      <c r="C2" s="49">
        <v>1618000</v>
      </c>
      <c r="D2" s="49">
        <v>2755000</v>
      </c>
      <c r="E2" s="49">
        <v>1937000</v>
      </c>
      <c r="F2" s="49">
        <v>1360000</v>
      </c>
      <c r="G2" s="17">
        <f t="shared" ref="G2:G13" si="0">C2+D2+E2+F2</f>
        <v>7670000</v>
      </c>
      <c r="H2" s="17">
        <f t="shared" ref="H2:H13" si="1">(B2 + stillbirth*B2/(1000-stillbirth))/(1-abortion)</f>
        <v>1096905.4635819376</v>
      </c>
      <c r="I2" s="17">
        <f t="shared" ref="I2:I13" si="2">G2-H2</f>
        <v>6573094.5364180626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961852.5</v>
      </c>
      <c r="C3" s="50">
        <v>1646000</v>
      </c>
      <c r="D3" s="50">
        <v>2822000</v>
      </c>
      <c r="E3" s="50">
        <v>2009000</v>
      </c>
      <c r="F3" s="50">
        <v>1402000</v>
      </c>
      <c r="G3" s="17">
        <f t="shared" si="0"/>
        <v>7879000</v>
      </c>
      <c r="H3" s="17">
        <f t="shared" si="1"/>
        <v>1113460.7964976199</v>
      </c>
      <c r="I3" s="17">
        <f t="shared" si="2"/>
        <v>6765539.2035023803</v>
      </c>
    </row>
    <row r="4" spans="1:9" ht="15.75" customHeight="1" x14ac:dyDescent="0.25">
      <c r="A4" s="5">
        <f t="shared" si="3"/>
        <v>2026</v>
      </c>
      <c r="B4" s="49">
        <v>974579.23080000002</v>
      </c>
      <c r="C4" s="50">
        <v>1674000</v>
      </c>
      <c r="D4" s="50">
        <v>2886000</v>
      </c>
      <c r="E4" s="50">
        <v>2085000</v>
      </c>
      <c r="F4" s="50">
        <v>1444000</v>
      </c>
      <c r="G4" s="17">
        <f t="shared" si="0"/>
        <v>8089000</v>
      </c>
      <c r="H4" s="17">
        <f t="shared" si="1"/>
        <v>1128193.5292330226</v>
      </c>
      <c r="I4" s="17">
        <f t="shared" si="2"/>
        <v>6960806.4707669774</v>
      </c>
    </row>
    <row r="5" spans="1:9" ht="15.75" customHeight="1" x14ac:dyDescent="0.25">
      <c r="A5" s="5">
        <f t="shared" si="3"/>
        <v>2027</v>
      </c>
      <c r="B5" s="49">
        <v>987058.71940000006</v>
      </c>
      <c r="C5" s="50">
        <v>1701000</v>
      </c>
      <c r="D5" s="50">
        <v>2948000</v>
      </c>
      <c r="E5" s="50">
        <v>2166000</v>
      </c>
      <c r="F5" s="50">
        <v>1488000</v>
      </c>
      <c r="G5" s="17">
        <f t="shared" si="0"/>
        <v>8303000</v>
      </c>
      <c r="H5" s="17">
        <f t="shared" si="1"/>
        <v>1142640.049168708</v>
      </c>
      <c r="I5" s="17">
        <f t="shared" si="2"/>
        <v>7160359.9508312922</v>
      </c>
    </row>
    <row r="6" spans="1:9" ht="15.75" customHeight="1" x14ac:dyDescent="0.25">
      <c r="A6" s="5">
        <f t="shared" si="3"/>
        <v>2028</v>
      </c>
      <c r="B6" s="49">
        <v>999279.07260000019</v>
      </c>
      <c r="C6" s="50">
        <v>1728000</v>
      </c>
      <c r="D6" s="50">
        <v>3006000</v>
      </c>
      <c r="E6" s="50">
        <v>2248000</v>
      </c>
      <c r="F6" s="50">
        <v>1533000</v>
      </c>
      <c r="G6" s="17">
        <f t="shared" si="0"/>
        <v>8515000</v>
      </c>
      <c r="H6" s="17">
        <f t="shared" si="1"/>
        <v>1156786.5884848242</v>
      </c>
      <c r="I6" s="17">
        <f t="shared" si="2"/>
        <v>7358213.4115151763</v>
      </c>
    </row>
    <row r="7" spans="1:9" ht="15.75" customHeight="1" x14ac:dyDescent="0.25">
      <c r="A7" s="5">
        <f t="shared" si="3"/>
        <v>2029</v>
      </c>
      <c r="B7" s="49">
        <v>1011141.117</v>
      </c>
      <c r="C7" s="50">
        <v>1758000</v>
      </c>
      <c r="D7" s="50">
        <v>3063000</v>
      </c>
      <c r="E7" s="50">
        <v>2331000</v>
      </c>
      <c r="F7" s="50">
        <v>1582000</v>
      </c>
      <c r="G7" s="17">
        <f t="shared" si="0"/>
        <v>8734000</v>
      </c>
      <c r="H7" s="17">
        <f t="shared" si="1"/>
        <v>1170518.3419560827</v>
      </c>
      <c r="I7" s="17">
        <f t="shared" si="2"/>
        <v>7563481.6580439173</v>
      </c>
    </row>
    <row r="8" spans="1:9" ht="15.75" customHeight="1" x14ac:dyDescent="0.25">
      <c r="A8" s="5">
        <f t="shared" si="3"/>
        <v>2030</v>
      </c>
      <c r="B8" s="49">
        <v>1022664.936</v>
      </c>
      <c r="C8" s="50">
        <v>1792000</v>
      </c>
      <c r="D8" s="50">
        <v>3119000</v>
      </c>
      <c r="E8" s="50">
        <v>2411000</v>
      </c>
      <c r="F8" s="50">
        <v>1634000</v>
      </c>
      <c r="G8" s="17">
        <f t="shared" si="0"/>
        <v>8956000</v>
      </c>
      <c r="H8" s="17">
        <f t="shared" si="1"/>
        <v>1183858.5585510747</v>
      </c>
      <c r="I8" s="17">
        <f t="shared" si="2"/>
        <v>7772141.4414489251</v>
      </c>
    </row>
    <row r="9" spans="1:9" ht="15.75" customHeight="1" x14ac:dyDescent="0.25">
      <c r="A9" s="5">
        <f t="shared" si="3"/>
        <v>2031</v>
      </c>
      <c r="B9" s="49">
        <v>1033395.450657143</v>
      </c>
      <c r="C9" s="50">
        <v>1816857.142857143</v>
      </c>
      <c r="D9" s="50">
        <v>3171000</v>
      </c>
      <c r="E9" s="50">
        <v>2478714.2857142859</v>
      </c>
      <c r="F9" s="50">
        <v>1673142.857142857</v>
      </c>
      <c r="G9" s="17">
        <f t="shared" si="0"/>
        <v>9139714.2857142854</v>
      </c>
      <c r="H9" s="17">
        <f t="shared" si="1"/>
        <v>1196280.4292609515</v>
      </c>
      <c r="I9" s="17">
        <f t="shared" si="2"/>
        <v>7943433.856453334</v>
      </c>
    </row>
    <row r="10" spans="1:9" ht="15.75" customHeight="1" x14ac:dyDescent="0.25">
      <c r="A10" s="5">
        <f t="shared" si="3"/>
        <v>2032</v>
      </c>
      <c r="B10" s="49">
        <v>1043615.872179592</v>
      </c>
      <c r="C10" s="50">
        <v>1841265.306122449</v>
      </c>
      <c r="D10" s="50">
        <v>3220857.1428571432</v>
      </c>
      <c r="E10" s="50">
        <v>2545816.326530613</v>
      </c>
      <c r="F10" s="50">
        <v>1711877.551020408</v>
      </c>
      <c r="G10" s="17">
        <f t="shared" si="0"/>
        <v>9319816.326530613</v>
      </c>
      <c r="H10" s="17">
        <f t="shared" si="1"/>
        <v>1208111.8053699988</v>
      </c>
      <c r="I10" s="17">
        <f t="shared" si="2"/>
        <v>8111704.5211606137</v>
      </c>
    </row>
    <row r="11" spans="1:9" ht="15.75" customHeight="1" x14ac:dyDescent="0.25">
      <c r="A11" s="5">
        <f t="shared" si="3"/>
        <v>2033</v>
      </c>
      <c r="B11" s="49">
        <v>1053478.2495195339</v>
      </c>
      <c r="C11" s="50">
        <v>1865160.3498542269</v>
      </c>
      <c r="D11" s="50">
        <v>3268693.8775510201</v>
      </c>
      <c r="E11" s="50">
        <v>2611647.2303207</v>
      </c>
      <c r="F11" s="50">
        <v>1750145.772594752</v>
      </c>
      <c r="G11" s="17">
        <f t="shared" si="0"/>
        <v>9495647.2303206995</v>
      </c>
      <c r="H11" s="17">
        <f t="shared" si="1"/>
        <v>1219528.7019609958</v>
      </c>
      <c r="I11" s="17">
        <f t="shared" si="2"/>
        <v>8276118.5283597037</v>
      </c>
    </row>
    <row r="12" spans="1:9" ht="15.75" customHeight="1" x14ac:dyDescent="0.25">
      <c r="A12" s="5">
        <f t="shared" si="3"/>
        <v>2034</v>
      </c>
      <c r="B12" s="49">
        <v>1062966.7538223241</v>
      </c>
      <c r="C12" s="50">
        <v>1888611.828404831</v>
      </c>
      <c r="D12" s="50">
        <v>3314507.2886297372</v>
      </c>
      <c r="E12" s="50">
        <v>2675311.1203665142</v>
      </c>
      <c r="F12" s="50">
        <v>1787595.168679717</v>
      </c>
      <c r="G12" s="17">
        <f t="shared" si="0"/>
        <v>9666025.406080801</v>
      </c>
      <c r="H12" s="17">
        <f t="shared" si="1"/>
        <v>1230512.7952170365</v>
      </c>
      <c r="I12" s="17">
        <f t="shared" si="2"/>
        <v>8435512.6108637638</v>
      </c>
    </row>
    <row r="13" spans="1:9" ht="15.75" customHeight="1" x14ac:dyDescent="0.25">
      <c r="A13" s="5">
        <f t="shared" si="3"/>
        <v>2035</v>
      </c>
      <c r="B13" s="49">
        <v>1072064.993996942</v>
      </c>
      <c r="C13" s="50">
        <v>1911556.3753198071</v>
      </c>
      <c r="D13" s="50">
        <v>3358579.758433986</v>
      </c>
      <c r="E13" s="50">
        <v>2736355.5661331592</v>
      </c>
      <c r="F13" s="50">
        <v>1823965.9070625331</v>
      </c>
      <c r="G13" s="17">
        <f t="shared" si="0"/>
        <v>9830457.6069494858</v>
      </c>
      <c r="H13" s="17">
        <f t="shared" si="1"/>
        <v>1241045.1104644956</v>
      </c>
      <c r="I13" s="17">
        <f t="shared" si="2"/>
        <v>8589412.4964849912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1.2181401218140131E-2</v>
      </c>
    </row>
    <row r="4" spans="1:8" ht="15.75" customHeight="1" x14ac:dyDescent="0.25">
      <c r="B4" s="19" t="s">
        <v>69</v>
      </c>
      <c r="C4" s="101">
        <v>7.1480107148010633E-2</v>
      </c>
    </row>
    <row r="5" spans="1:8" ht="15.75" customHeight="1" x14ac:dyDescent="0.25">
      <c r="B5" s="19" t="s">
        <v>70</v>
      </c>
      <c r="C5" s="101">
        <v>0.105523710552371</v>
      </c>
    </row>
    <row r="6" spans="1:8" ht="15.75" customHeight="1" x14ac:dyDescent="0.25">
      <c r="B6" s="19" t="s">
        <v>71</v>
      </c>
      <c r="C6" s="101">
        <v>0.25522302552230253</v>
      </c>
    </row>
    <row r="7" spans="1:8" ht="15.75" customHeight="1" x14ac:dyDescent="0.25">
      <c r="B7" s="19" t="s">
        <v>72</v>
      </c>
      <c r="C7" s="101">
        <v>0.37572243757224411</v>
      </c>
    </row>
    <row r="8" spans="1:8" ht="15.75" customHeight="1" x14ac:dyDescent="0.25">
      <c r="B8" s="19" t="s">
        <v>73</v>
      </c>
      <c r="C8" s="101">
        <v>3.1590003159000352E-3</v>
      </c>
    </row>
    <row r="9" spans="1:8" ht="15.75" customHeight="1" x14ac:dyDescent="0.25">
      <c r="B9" s="19" t="s">
        <v>74</v>
      </c>
      <c r="C9" s="101">
        <v>5.5272605527260543E-2</v>
      </c>
    </row>
    <row r="10" spans="1:8" ht="15.75" customHeight="1" x14ac:dyDescent="0.25">
      <c r="B10" s="19" t="s">
        <v>75</v>
      </c>
      <c r="C10" s="101">
        <v>0.1214377121437713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82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83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84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85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86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87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88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89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8.7985991E-2</v>
      </c>
    </row>
    <row r="27" spans="1:8" ht="15.75" customHeight="1" x14ac:dyDescent="0.25">
      <c r="B27" s="19" t="s">
        <v>92</v>
      </c>
      <c r="C27" s="101">
        <v>9.0154729999999995E-3</v>
      </c>
    </row>
    <row r="28" spans="1:8" ht="15.75" customHeight="1" x14ac:dyDescent="0.25">
      <c r="B28" s="19" t="s">
        <v>93</v>
      </c>
      <c r="C28" s="101">
        <v>0.15676572499999999</v>
      </c>
    </row>
    <row r="29" spans="1:8" ht="15.75" customHeight="1" x14ac:dyDescent="0.25">
      <c r="B29" s="19" t="s">
        <v>94</v>
      </c>
      <c r="C29" s="101">
        <v>0.168756885</v>
      </c>
    </row>
    <row r="30" spans="1:8" ht="15.75" customHeight="1" x14ac:dyDescent="0.25">
      <c r="B30" s="19" t="s">
        <v>95</v>
      </c>
      <c r="C30" s="101">
        <v>0.105851448</v>
      </c>
    </row>
    <row r="31" spans="1:8" ht="15.75" customHeight="1" x14ac:dyDescent="0.25">
      <c r="B31" s="19" t="s">
        <v>96</v>
      </c>
      <c r="C31" s="101">
        <v>0.11038854400000001</v>
      </c>
    </row>
    <row r="32" spans="1:8" ht="15.75" customHeight="1" x14ac:dyDescent="0.25">
      <c r="B32" s="19" t="s">
        <v>97</v>
      </c>
      <c r="C32" s="101">
        <v>1.8940327999999999E-2</v>
      </c>
    </row>
    <row r="33" spans="2:3" ht="15.75" customHeight="1" x14ac:dyDescent="0.25">
      <c r="B33" s="19" t="s">
        <v>98</v>
      </c>
      <c r="C33" s="101">
        <v>8.4923389999999987E-2</v>
      </c>
    </row>
    <row r="34" spans="2:3" ht="15.75" customHeight="1" x14ac:dyDescent="0.25">
      <c r="B34" s="19" t="s">
        <v>99</v>
      </c>
      <c r="C34" s="101">
        <v>0.25737221700000001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104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122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0.11007333269422</v>
      </c>
      <c r="C2" s="98">
        <v>0.95</v>
      </c>
      <c r="D2" s="56">
        <v>34.15932823545198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44.619845118003099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40.174226962967943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0.1136517268898348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14.144906987123459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14.144906987123459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14.144906987123459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14.144906987123459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14.144906987123459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14.144906987123459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0.217244284915</v>
      </c>
      <c r="C16" s="98">
        <v>0.95</v>
      </c>
      <c r="D16" s="56">
        <v>0.201186158790533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1.0387950708930269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1.0387950708930269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0.34356619999999999</v>
      </c>
      <c r="C21" s="98">
        <v>0.95</v>
      </c>
      <c r="D21" s="56">
        <v>0.97794835932458724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24.087514764837451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7.9883999999999997E-3</v>
      </c>
      <c r="C23" s="98">
        <v>0.95</v>
      </c>
      <c r="D23" s="56">
        <v>4.6309332646724153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0.28824549415100997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0.14113095914792001</v>
      </c>
      <c r="C27" s="98">
        <v>0.95</v>
      </c>
      <c r="D27" s="56">
        <v>20.45240587972765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0.19636580000000001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59.16814995082278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1.37E-2</v>
      </c>
      <c r="C31" s="98">
        <v>0.95</v>
      </c>
      <c r="D31" s="56">
        <v>0.82917296352271452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0.49888320000000003</v>
      </c>
      <c r="C32" s="98">
        <v>0.95</v>
      </c>
      <c r="D32" s="56">
        <v>0.36881327727825219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0.1475428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0.11203050000000001</v>
      </c>
      <c r="C38" s="98">
        <v>0.95</v>
      </c>
      <c r="D38" s="56">
        <v>5.7015504682514626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0.26000139999999999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205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0.87871437234687699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2024-03-28T03:04:19Z</dcterms:modified>
</cp:coreProperties>
</file>