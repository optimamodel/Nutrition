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AEFD740-6A05-4D23-9524-72142E3980A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32" i="2"/>
  <c r="A31" i="2"/>
  <c r="A28" i="2"/>
  <c r="A27" i="2"/>
  <c r="A26" i="2"/>
  <c r="A24" i="2"/>
  <c r="A23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7" i="2" l="1"/>
  <c r="A25" i="2"/>
  <c r="A33" i="2"/>
  <c r="A21" i="2"/>
  <c r="A29" i="2"/>
  <c r="A37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<sst xmlns="http://schemas.openxmlformats.org/spreadsheetml/2006/main" count="2103" uniqueCount="341">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</sst>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29873.677734375029</v>
      </c>
    </row>
    <row r="8" spans="1:3" ht="15" customHeight="1" x14ac:dyDescent="0.25">
      <c r="B8" s="5" t="s">
        <v>8</v>
      </c>
      <c r="C8" s="44">
        <v>1.0999999999999999E-2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0.81079986572265594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6017</v>
      </c>
      <c r="C2" s="49">
        <v>13475.5</v>
      </c>
      <c r="D2" s="49">
        <v>17368.5</v>
      </c>
      <c r="E2" s="49">
        <v>13245</v>
      </c>
      <c r="F2" s="49">
        <v>9776</v>
      </c>
      <c r="G2" s="17">
        <f t="shared" ref="G2:G13" si="0">C2+D2+E2+F2</f>
        <v>53865</v>
      </c>
      <c r="H2" s="17">
        <f t="shared" ref="H2:H13" si="1">(B2 + stillbirth*B2/(1000-stillbirth))/(1-abortion)</f>
        <v>6889.9803603062192</v>
      </c>
      <c r="I2" s="17">
        <f t="shared" ref="I2:I13" si="2">G2-H2</f>
        <v>46975.019639693783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6015</v>
      </c>
      <c r="C3" s="50">
        <v>13898.5</v>
      </c>
      <c r="D3" s="50">
        <v>17478.5</v>
      </c>
      <c r="E3" s="50">
        <v>13599</v>
      </c>
      <c r="F3" s="50">
        <v>9752</v>
      </c>
      <c r="G3" s="17">
        <f t="shared" si="0"/>
        <v>54728</v>
      </c>
      <c r="H3" s="17">
        <f t="shared" si="1"/>
        <v>6887.6901890048057</v>
      </c>
      <c r="I3" s="17">
        <f t="shared" si="2"/>
        <v>47840.309810995197</v>
      </c>
    </row>
    <row r="4" spans="1:9" ht="15.75" customHeight="1" x14ac:dyDescent="0.25">
      <c r="A4" s="5">
        <f t="shared" si="3"/>
        <v>2026</v>
      </c>
      <c r="B4" s="49">
        <v>6059</v>
      </c>
      <c r="C4" s="50">
        <v>14336</v>
      </c>
      <c r="D4" s="50">
        <v>17658.5</v>
      </c>
      <c r="E4" s="50">
        <v>13935.5</v>
      </c>
      <c r="F4" s="50">
        <v>9702.5</v>
      </c>
      <c r="G4" s="17">
        <f t="shared" si="0"/>
        <v>55632.5</v>
      </c>
      <c r="H4" s="17">
        <f t="shared" si="1"/>
        <v>6938.0739576359301</v>
      </c>
      <c r="I4" s="17">
        <f t="shared" si="2"/>
        <v>48694.426042364066</v>
      </c>
    </row>
    <row r="5" spans="1:9" ht="15.75" customHeight="1" x14ac:dyDescent="0.25">
      <c r="A5" s="5">
        <f t="shared" si="3"/>
        <v>2027</v>
      </c>
      <c r="B5" s="49">
        <v>6053</v>
      </c>
      <c r="C5" s="50">
        <v>14772.5</v>
      </c>
      <c r="D5" s="50">
        <v>17899</v>
      </c>
      <c r="E5" s="50">
        <v>14251</v>
      </c>
      <c r="F5" s="50">
        <v>9651</v>
      </c>
      <c r="G5" s="17">
        <f t="shared" si="0"/>
        <v>56573.5</v>
      </c>
      <c r="H5" s="17">
        <f t="shared" si="1"/>
        <v>6931.2034437316852</v>
      </c>
      <c r="I5" s="17">
        <f t="shared" si="2"/>
        <v>49642.296556268317</v>
      </c>
    </row>
    <row r="6" spans="1:9" ht="15.75" customHeight="1" x14ac:dyDescent="0.25">
      <c r="A6" s="5">
        <f t="shared" si="3"/>
        <v>2028</v>
      </c>
      <c r="B6" s="49">
        <v>6096</v>
      </c>
      <c r="C6" s="50">
        <v>15174.5</v>
      </c>
      <c r="D6" s="50">
        <v>18216</v>
      </c>
      <c r="E6" s="50">
        <v>14528.5</v>
      </c>
      <c r="F6" s="50">
        <v>9600.5</v>
      </c>
      <c r="G6" s="17">
        <f t="shared" si="0"/>
        <v>57519.5</v>
      </c>
      <c r="H6" s="17">
        <f t="shared" si="1"/>
        <v>6980.4421267121015</v>
      </c>
      <c r="I6" s="17">
        <f t="shared" si="2"/>
        <v>50539.0578732879</v>
      </c>
    </row>
    <row r="7" spans="1:9" ht="15.75" customHeight="1" x14ac:dyDescent="0.25">
      <c r="A7" s="5">
        <f t="shared" si="3"/>
        <v>2029</v>
      </c>
      <c r="B7" s="49">
        <v>6140</v>
      </c>
      <c r="C7" s="50">
        <v>15511.5</v>
      </c>
      <c r="D7" s="50">
        <v>18630.5</v>
      </c>
      <c r="E7" s="50">
        <v>14741</v>
      </c>
      <c r="F7" s="50">
        <v>9563.5</v>
      </c>
      <c r="G7" s="17">
        <f t="shared" si="0"/>
        <v>58446.5</v>
      </c>
      <c r="H7" s="17">
        <f t="shared" si="1"/>
        <v>7030.825895343226</v>
      </c>
      <c r="I7" s="17">
        <f t="shared" si="2"/>
        <v>51415.674104656777</v>
      </c>
    </row>
    <row r="8" spans="1:9" ht="15.75" customHeight="1" x14ac:dyDescent="0.25">
      <c r="A8" s="5">
        <f t="shared" si="3"/>
        <v>2030</v>
      </c>
      <c r="B8" s="49">
        <v>6200</v>
      </c>
      <c r="C8" s="50">
        <v>15770.5</v>
      </c>
      <c r="D8" s="50">
        <v>19142.5</v>
      </c>
      <c r="E8" s="50">
        <v>14880.5</v>
      </c>
      <c r="F8" s="50">
        <v>9574</v>
      </c>
      <c r="G8" s="17">
        <f t="shared" si="0"/>
        <v>59367.5</v>
      </c>
      <c r="H8" s="17">
        <f t="shared" si="1"/>
        <v>7099.5310343856681</v>
      </c>
      <c r="I8" s="17">
        <f t="shared" si="2"/>
        <v>52267.968965614331</v>
      </c>
    </row>
    <row r="9" spans="1:9" ht="15.75" customHeight="1" x14ac:dyDescent="0.25">
      <c r="A9" s="5">
        <f t="shared" si="3"/>
        <v>2031</v>
      </c>
      <c r="B9" s="49">
        <v>6249</v>
      </c>
      <c r="C9" s="50">
        <v>15951</v>
      </c>
      <c r="D9" s="50">
        <v>19744.5</v>
      </c>
      <c r="E9" s="50">
        <v>14905</v>
      </c>
      <c r="F9" s="50">
        <v>9656</v>
      </c>
      <c r="G9" s="17">
        <f t="shared" si="0"/>
        <v>60256.5</v>
      </c>
      <c r="H9" s="17">
        <f t="shared" si="1"/>
        <v>7155.6402312703294</v>
      </c>
      <c r="I9" s="17">
        <f t="shared" si="2"/>
        <v>53100.859768729671</v>
      </c>
    </row>
    <row r="10" spans="1:9" ht="15.75" customHeight="1" x14ac:dyDescent="0.25">
      <c r="A10" s="5">
        <f t="shared" si="3"/>
        <v>2032</v>
      </c>
      <c r="B10" s="49">
        <v>6306</v>
      </c>
      <c r="C10" s="50">
        <v>16067.5</v>
      </c>
      <c r="D10" s="50">
        <v>20402.5</v>
      </c>
      <c r="E10" s="50">
        <v>14866</v>
      </c>
      <c r="F10" s="50">
        <v>9864</v>
      </c>
      <c r="G10" s="17">
        <f t="shared" si="0"/>
        <v>61200</v>
      </c>
      <c r="H10" s="17">
        <f t="shared" si="1"/>
        <v>7220.9101133606491</v>
      </c>
      <c r="I10" s="17">
        <f t="shared" si="2"/>
        <v>53979.089886639355</v>
      </c>
    </row>
    <row r="11" spans="1:9" ht="15.75" customHeight="1" x14ac:dyDescent="0.25">
      <c r="A11" s="5">
        <f t="shared" si="3"/>
        <v>2033</v>
      </c>
      <c r="B11" s="49">
        <v>6369</v>
      </c>
      <c r="C11" s="50">
        <v>16143</v>
      </c>
      <c r="D11" s="50">
        <v>21057</v>
      </c>
      <c r="E11" s="50">
        <v>14864</v>
      </c>
      <c r="F11" s="50">
        <v>10170.5</v>
      </c>
      <c r="G11" s="17">
        <f t="shared" si="0"/>
        <v>62234.5</v>
      </c>
      <c r="H11" s="17">
        <f t="shared" si="1"/>
        <v>7293.0505093552129</v>
      </c>
      <c r="I11" s="17">
        <f t="shared" si="2"/>
        <v>54941.449490644787</v>
      </c>
    </row>
    <row r="12" spans="1:9" ht="15.75" customHeight="1" x14ac:dyDescent="0.25">
      <c r="A12" s="5">
        <f t="shared" si="3"/>
        <v>2034</v>
      </c>
      <c r="B12" s="49">
        <v>6438</v>
      </c>
      <c r="C12" s="50">
        <v>16195</v>
      </c>
      <c r="D12" s="50">
        <v>21675</v>
      </c>
      <c r="E12" s="50">
        <v>14911.5</v>
      </c>
      <c r="F12" s="50">
        <v>10506</v>
      </c>
      <c r="G12" s="17">
        <f t="shared" si="0"/>
        <v>63287.5</v>
      </c>
      <c r="H12" s="17">
        <f t="shared" si="1"/>
        <v>7372.0614192540206</v>
      </c>
      <c r="I12" s="17">
        <f t="shared" si="2"/>
        <v>55915.438580745977</v>
      </c>
    </row>
    <row r="13" spans="1:9" ht="15.75" customHeight="1" x14ac:dyDescent="0.25">
      <c r="A13" s="5">
        <f t="shared" si="3"/>
        <v>2035</v>
      </c>
      <c r="B13" s="49">
        <v>6501</v>
      </c>
      <c r="C13" s="50">
        <v>16232</v>
      </c>
      <c r="D13" s="50">
        <v>22250.5</v>
      </c>
      <c r="E13" s="50">
        <v>15021.5</v>
      </c>
      <c r="F13" s="50">
        <v>10860</v>
      </c>
      <c r="G13" s="17">
        <f t="shared" si="0"/>
        <v>64364</v>
      </c>
      <c r="H13" s="17">
        <f t="shared" si="1"/>
        <v>7444.2018152485853</v>
      </c>
      <c r="I13" s="17">
        <f t="shared" si="2"/>
        <v>56919.798184751417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7.2663600000000161E-2</v>
      </c>
    </row>
    <row r="5" spans="1:8" ht="15.75" customHeight="1" x14ac:dyDescent="0.25">
      <c r="B5" s="19" t="s">
        <v>70</v>
      </c>
      <c r="C5" s="101">
        <v>3.2022400000000013E-2</v>
      </c>
    </row>
    <row r="6" spans="1:8" ht="15.75" customHeight="1" x14ac:dyDescent="0.25">
      <c r="B6" s="19" t="s">
        <v>71</v>
      </c>
      <c r="C6" s="101">
        <v>0.18112940000000011</v>
      </c>
    </row>
    <row r="7" spans="1:8" ht="15.75" customHeight="1" x14ac:dyDescent="0.25">
      <c r="B7" s="19" t="s">
        <v>72</v>
      </c>
      <c r="C7" s="101">
        <v>0.43143469999999928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0.18141010000000021</v>
      </c>
    </row>
    <row r="10" spans="1:8" ht="15.75" customHeight="1" x14ac:dyDescent="0.25">
      <c r="B10" s="19" t="s">
        <v>75</v>
      </c>
      <c r="C10" s="101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83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84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89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101">
        <v>1.836863E-2</v>
      </c>
    </row>
    <row r="28" spans="1:8" ht="15.75" customHeight="1" x14ac:dyDescent="0.25">
      <c r="B28" s="19" t="s">
        <v>93</v>
      </c>
      <c r="C28" s="101">
        <v>0.231175139</v>
      </c>
    </row>
    <row r="29" spans="1:8" ht="15.75" customHeight="1" x14ac:dyDescent="0.25">
      <c r="B29" s="19" t="s">
        <v>94</v>
      </c>
      <c r="C29" s="101">
        <v>0.138527135</v>
      </c>
    </row>
    <row r="30" spans="1:8" ht="15.75" customHeight="1" x14ac:dyDescent="0.25">
      <c r="B30" s="19" t="s">
        <v>95</v>
      </c>
      <c r="C30" s="101">
        <v>4.9111505E-2</v>
      </c>
    </row>
    <row r="31" spans="1:8" ht="15.75" customHeight="1" x14ac:dyDescent="0.25">
      <c r="B31" s="19" t="s">
        <v>96</v>
      </c>
      <c r="C31" s="101">
        <v>6.9658183999999998E-2</v>
      </c>
    </row>
    <row r="32" spans="1:8" ht="15.75" customHeight="1" x14ac:dyDescent="0.25">
      <c r="B32" s="19" t="s">
        <v>97</v>
      </c>
      <c r="C32" s="101">
        <v>0.14941447299999999</v>
      </c>
    </row>
    <row r="33" spans="2:3" ht="15.75" customHeight="1" x14ac:dyDescent="0.25">
      <c r="B33" s="19" t="s">
        <v>98</v>
      </c>
      <c r="C33" s="101">
        <v>0.122223571</v>
      </c>
    </row>
    <row r="34" spans="2:3" ht="15.75" customHeight="1" x14ac:dyDescent="0.25">
      <c r="B34" s="19" t="s">
        <v>99</v>
      </c>
      <c r="C34" s="101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57.302229105544832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39.863831220809203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403.00131444088152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1.1645825935762411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1.1113E-2</v>
      </c>
      <c r="C10" s="98">
        <v>0.95</v>
      </c>
      <c r="D10" s="56">
        <v>12.99613066460511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12.99613066460511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12.99613066460511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12.99613066460511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1.1113E-2</v>
      </c>
      <c r="C14" s="98">
        <v>0.95</v>
      </c>
      <c r="D14" s="56">
        <v>12.99613066460511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12.99613066460511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0.70289646450045573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0.50451279999999998</v>
      </c>
      <c r="C18" s="98">
        <v>0.95</v>
      </c>
      <c r="D18" s="56">
        <v>9.2940558205318631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0.50451279999999998</v>
      </c>
      <c r="C19" s="98">
        <v>0.95</v>
      </c>
      <c r="D19" s="56">
        <v>9.2940558205318631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17.806239734868129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22.41875682582225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4.2693071752319298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0.62744799530607998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1.1113E-2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18.370182834175559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0.58558969999999999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0.2004783</v>
      </c>
      <c r="C29" s="98">
        <v>0.95</v>
      </c>
      <c r="D29" s="56">
        <v>111.9883457710268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1.255919796850113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1.507574989137179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0.7196437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0.1203943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1.57512E-2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0.88436999999999999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0.33004980000000012</v>
      </c>
      <c r="C38" s="98">
        <v>0.95</v>
      </c>
      <c r="D38" s="56">
        <v>5.6275122920448464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205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0.10956943318984946</v>
      </c>
      <c r="G18" s="90">
        <f>MIN(MAX(1-0.89/(1-frac_sam_12_23months+(frac_sam_12_23months*0.89)),0),1)</f>
        <v>0.1088943945820906</v>
      </c>
      <c r="H18" s="90">
        <f>MIN(MAX(1-0.89/(1-frac_sam_24_59months+(frac_sam_24_59months*0.89)),0),1)</f>
        <v>0.10934382152969846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0.10694827884033253</v>
      </c>
      <c r="G20" s="90">
        <f>MIN(MAX(1-0.89/(1-frac_mam_12_23months+(frac_mam_12_23months*0.89)),0),1)</f>
        <v>0.10771762466615686</v>
      </c>
      <c r="H20" s="90">
        <f>MIN(MAX(1-0.89/(1-frac_mam_24_59months+(frac_mam_24_59months*0.89)),0),1)</f>
        <v>0.10885592071440253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9.9564786768462366E-3</v>
      </c>
      <c r="G73" s="90">
        <f>MIN(MAX(1-0.99/(1-frac_sam_12_23months+(frac_sam_12_23months*0.99)),0),1)</f>
        <v>9.8883233237643253E-3</v>
      </c>
      <c r="H73" s="90">
        <f>MIN(MAX(1-0.99/(1-frac_sam_24_59months+(frac_sam_24_59months*0.99)),0),1)</f>
        <v>9.9336893187759179E-3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9.6923579600773913E-3</v>
      </c>
      <c r="G75" s="90">
        <f>MIN(MAX(1-0.99/(1-frac_mam_12_23months+(frac_mam_12_23months*0.99)),0),1)</f>
        <v>9.7697348248269034E-3</v>
      </c>
      <c r="H75" s="90">
        <f>MIN(MAX(1-0.99/(1-frac_mam_24_59months+(frac_mam_24_59months*0.99)),0),1)</f>
        <v>9.8844416329518792E-3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0.19929603708988863</v>
      </c>
      <c r="G128" s="90">
        <f>MIN(MAX(1-0.8/(1-frac_sam_12_23months+(frac_sam_12_23months*0.8)),0),1)</f>
        <v>0.19819124774431152</v>
      </c>
      <c r="H128" s="90">
        <f>MIN(MAX(1-0.8/(1-frac_sam_24_59months+(frac_sam_24_59months*0.8)),0),1)</f>
        <v>0.19892694662354116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0.19499847723899444</v>
      </c>
      <c r="G130" s="90">
        <f>MIN(MAX(1-0.8/(1-frac_mam_12_23months+(frac_mam_12_23months*0.8)),0),1)</f>
        <v>0.19626202364384127</v>
      </c>
      <c r="H130" s="90">
        <f>MIN(MAX(1-0.8/(1-frac_mam_24_59months+(frac_mam_24_59months*0.8)),0),1)</f>
        <v>0.19812823886027708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2024-06-18T06:57:00Z</dcterms:modified>
</cp:coreProperties>
</file>