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CB5C74C-B78D-4549-988A-D01A9F1549B3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<sst xmlns="http://schemas.openxmlformats.org/spreadsheetml/2006/main" count="2169" uniqueCount="373">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</sst>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26870</v>
      </c>
    </row>
    <row r="8" spans="1:3" ht="15" customHeight="1" x14ac:dyDescent="0.25">
      <c r="B8" s="5" t="s">
        <v>8</v>
      </c>
      <c r="C8" s="44">
        <v>1.0999999999999999E-2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0.81079986572265594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3.4700000000000002E-2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0.44009999999999999</v>
      </c>
    </row>
    <row r="26" spans="1:3" ht="15" customHeight="1" x14ac:dyDescent="0.25">
      <c r="B26" s="15" t="s">
        <v>24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98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5444</v>
      </c>
      <c r="C2" s="49">
        <v>10751</v>
      </c>
      <c r="D2" s="49">
        <v>15079.5</v>
      </c>
      <c r="E2" s="49">
        <v>12395</v>
      </c>
      <c r="F2" s="49">
        <v>10020</v>
      </c>
      <c r="G2" s="17">
        <f t="shared" ref="G2:G13" si="0">C2+D2+E2+F2</f>
        <v>48245.5</v>
      </c>
      <c r="H2" s="17">
        <f t="shared" ref="H2:H13" si="1">(B2 + stillbirth*B2/(1000-stillbirth))/(1-abortion)</f>
        <v>6233.8462824508997</v>
      </c>
      <c r="I2" s="17">
        <f t="shared" ref="I2:I13" si="2">G2-H2</f>
        <v>42011.653717549103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5400</v>
      </c>
      <c r="C3" s="50">
        <v>11233</v>
      </c>
      <c r="D3" s="50">
        <v>15103</v>
      </c>
      <c r="E3" s="50">
        <v>12378.499999999998</v>
      </c>
      <c r="F3" s="50">
        <v>10097.5</v>
      </c>
      <c r="G3" s="17">
        <f t="shared" si="0"/>
        <v>48812</v>
      </c>
      <c r="H3" s="17">
        <f t="shared" si="1"/>
        <v>6183.4625138197753</v>
      </c>
      <c r="I3" s="17">
        <f t="shared" si="2"/>
        <v>42628.537486180227</v>
      </c>
    </row>
    <row r="4" spans="1:9" ht="15.75" customHeight="1" x14ac:dyDescent="0.25">
      <c r="A4" s="5">
        <f t="shared" si="3"/>
        <v>2026</v>
      </c>
      <c r="B4" s="49">
        <v>5373</v>
      </c>
      <c r="C4" s="50">
        <v>11698.5</v>
      </c>
      <c r="D4" s="50">
        <v>15221</v>
      </c>
      <c r="E4" s="50">
        <v>12376.000000000002</v>
      </c>
      <c r="F4" s="50">
        <v>10179.5</v>
      </c>
      <c r="G4" s="17">
        <f t="shared" si="0"/>
        <v>49475</v>
      </c>
      <c r="H4" s="17">
        <f t="shared" si="1"/>
        <v>6152.5452012506767</v>
      </c>
      <c r="I4" s="17">
        <f t="shared" si="2"/>
        <v>43322.454798749321</v>
      </c>
    </row>
    <row r="5" spans="1:9" ht="15.75" customHeight="1" x14ac:dyDescent="0.25">
      <c r="A5" s="5">
        <f t="shared" si="3"/>
        <v>2027</v>
      </c>
      <c r="B5" s="49">
        <v>5376</v>
      </c>
      <c r="C5" s="50">
        <v>12219</v>
      </c>
      <c r="D5" s="50">
        <v>15468.499999999998</v>
      </c>
      <c r="E5" s="50">
        <v>12314</v>
      </c>
      <c r="F5" s="50">
        <v>10251.999999999998</v>
      </c>
      <c r="G5" s="17">
        <f t="shared" si="0"/>
        <v>50253.5</v>
      </c>
      <c r="H5" s="17">
        <f t="shared" si="1"/>
        <v>6155.9804582027991</v>
      </c>
      <c r="I5" s="17">
        <f t="shared" si="2"/>
        <v>44097.519541797199</v>
      </c>
    </row>
    <row r="6" spans="1:9" ht="15.75" customHeight="1" x14ac:dyDescent="0.25">
      <c r="A6" s="5">
        <f t="shared" si="3"/>
        <v>2028</v>
      </c>
      <c r="B6" s="49">
        <v>5402</v>
      </c>
      <c r="C6" s="50">
        <v>12660.5</v>
      </c>
      <c r="D6" s="50">
        <v>15959</v>
      </c>
      <c r="E6" s="50">
        <v>12163</v>
      </c>
      <c r="F6" s="50">
        <v>10276</v>
      </c>
      <c r="G6" s="17">
        <f t="shared" si="0"/>
        <v>51058.5</v>
      </c>
      <c r="H6" s="17">
        <f t="shared" si="1"/>
        <v>6185.7526851211896</v>
      </c>
      <c r="I6" s="17">
        <f t="shared" si="2"/>
        <v>44872.747314878812</v>
      </c>
    </row>
    <row r="7" spans="1:9" ht="15.75" customHeight="1" x14ac:dyDescent="0.25">
      <c r="A7" s="5">
        <f t="shared" si="3"/>
        <v>2029</v>
      </c>
      <c r="B7" s="49">
        <v>5456</v>
      </c>
      <c r="C7" s="50">
        <v>12937</v>
      </c>
      <c r="D7" s="50">
        <v>16620</v>
      </c>
      <c r="E7" s="50">
        <v>11998.999999999998</v>
      </c>
      <c r="F7" s="50">
        <v>10241.5</v>
      </c>
      <c r="G7" s="17">
        <f t="shared" si="0"/>
        <v>51797.5</v>
      </c>
      <c r="H7" s="17">
        <f t="shared" si="1"/>
        <v>6247.5873102593878</v>
      </c>
      <c r="I7" s="17">
        <f t="shared" si="2"/>
        <v>45549.912689740609</v>
      </c>
    </row>
    <row r="8" spans="1:9" ht="15.75" customHeight="1" x14ac:dyDescent="0.25">
      <c r="A8" s="5">
        <f t="shared" si="3"/>
        <v>2030</v>
      </c>
      <c r="B8" s="49">
        <v>5525</v>
      </c>
      <c r="C8" s="50">
        <v>13141</v>
      </c>
      <c r="D8" s="50">
        <v>17330</v>
      </c>
      <c r="E8" s="50">
        <v>11807.500000000002</v>
      </c>
      <c r="F8" s="50">
        <v>10243.500000000002</v>
      </c>
      <c r="G8" s="17">
        <f t="shared" si="0"/>
        <v>52522</v>
      </c>
      <c r="H8" s="17">
        <f t="shared" si="1"/>
        <v>6326.5982201581965</v>
      </c>
      <c r="I8" s="17">
        <f t="shared" si="2"/>
        <v>46195.401779841806</v>
      </c>
    </row>
    <row r="9" spans="1:9" ht="15.75" customHeight="1" x14ac:dyDescent="0.25">
      <c r="A9" s="5">
        <f t="shared" si="3"/>
        <v>2031</v>
      </c>
      <c r="B9" s="49">
        <v>5604</v>
      </c>
      <c r="C9" s="50">
        <v>13246</v>
      </c>
      <c r="D9" s="50">
        <v>18192</v>
      </c>
      <c r="E9" s="50">
        <v>11591.999999999998</v>
      </c>
      <c r="F9" s="50">
        <v>10294.5</v>
      </c>
      <c r="G9" s="17">
        <f t="shared" si="0"/>
        <v>53324.5</v>
      </c>
      <c r="H9" s="17">
        <f t="shared" si="1"/>
        <v>6417.0599865640779</v>
      </c>
      <c r="I9" s="17">
        <f t="shared" si="2"/>
        <v>46907.440013435924</v>
      </c>
    </row>
    <row r="10" spans="1:9" ht="15.75" customHeight="1" x14ac:dyDescent="0.25">
      <c r="A10" s="5">
        <f t="shared" si="3"/>
        <v>2032</v>
      </c>
      <c r="B10" s="49">
        <v>5703</v>
      </c>
      <c r="C10" s="50">
        <v>13277.5</v>
      </c>
      <c r="D10" s="50">
        <v>19187.5</v>
      </c>
      <c r="E10" s="50">
        <v>11350</v>
      </c>
      <c r="F10" s="50">
        <v>10389.5</v>
      </c>
      <c r="G10" s="17">
        <f t="shared" si="0"/>
        <v>54204.5</v>
      </c>
      <c r="H10" s="17">
        <f t="shared" si="1"/>
        <v>6530.4234659841077</v>
      </c>
      <c r="I10" s="17">
        <f t="shared" si="2"/>
        <v>47674.076534015891</v>
      </c>
    </row>
    <row r="11" spans="1:9" ht="15.75" customHeight="1" x14ac:dyDescent="0.25">
      <c r="A11" s="5">
        <f t="shared" si="3"/>
        <v>2033</v>
      </c>
      <c r="B11" s="49">
        <v>5800</v>
      </c>
      <c r="C11" s="50">
        <v>13310.5</v>
      </c>
      <c r="D11" s="50">
        <v>20123.5</v>
      </c>
      <c r="E11" s="50">
        <v>11223</v>
      </c>
      <c r="F11" s="50">
        <v>10438.5</v>
      </c>
      <c r="G11" s="17">
        <f t="shared" si="0"/>
        <v>55095.5</v>
      </c>
      <c r="H11" s="17">
        <f t="shared" si="1"/>
        <v>6641.4967741027212</v>
      </c>
      <c r="I11" s="17">
        <f t="shared" si="2"/>
        <v>48454.003225897279</v>
      </c>
    </row>
    <row r="12" spans="1:9" ht="15.75" customHeight="1" x14ac:dyDescent="0.25">
      <c r="A12" s="5">
        <f t="shared" si="3"/>
        <v>2034</v>
      </c>
      <c r="B12" s="49">
        <v>5904</v>
      </c>
      <c r="C12" s="50">
        <v>13312</v>
      </c>
      <c r="D12" s="50">
        <v>20931.5</v>
      </c>
      <c r="E12" s="50">
        <v>11259</v>
      </c>
      <c r="F12" s="50">
        <v>10429</v>
      </c>
      <c r="G12" s="17">
        <f t="shared" si="0"/>
        <v>55931.5</v>
      </c>
      <c r="H12" s="17">
        <f t="shared" si="1"/>
        <v>6760.5856817762879</v>
      </c>
      <c r="I12" s="17">
        <f t="shared" si="2"/>
        <v>49170.914318223709</v>
      </c>
    </row>
    <row r="13" spans="1:9" ht="15.75" customHeight="1" x14ac:dyDescent="0.25">
      <c r="A13" s="5">
        <f t="shared" si="3"/>
        <v>2035</v>
      </c>
      <c r="B13" s="49">
        <v>6003</v>
      </c>
      <c r="C13" s="50">
        <v>13227.5</v>
      </c>
      <c r="D13" s="50">
        <v>21662.5</v>
      </c>
      <c r="E13" s="50">
        <v>11349.499999999998</v>
      </c>
      <c r="F13" s="50">
        <v>10446.5</v>
      </c>
      <c r="G13" s="17">
        <f t="shared" si="0"/>
        <v>56686</v>
      </c>
      <c r="H13" s="17">
        <f t="shared" si="1"/>
        <v>6873.9491611963167</v>
      </c>
      <c r="I13" s="17">
        <f t="shared" si="2"/>
        <v>49812.050838803683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7.2663600000000161E-2</v>
      </c>
    </row>
    <row r="5" spans="1:8" ht="15.75" customHeight="1" x14ac:dyDescent="0.25">
      <c r="B5" s="19" t="s">
        <v>70</v>
      </c>
      <c r="C5" s="99">
        <v>3.2022400000000013E-2</v>
      </c>
    </row>
    <row r="6" spans="1:8" ht="15.75" customHeight="1" x14ac:dyDescent="0.25">
      <c r="B6" s="19" t="s">
        <v>71</v>
      </c>
      <c r="C6" s="99">
        <v>0.18112940000000011</v>
      </c>
    </row>
    <row r="7" spans="1:8" ht="15.75" customHeight="1" x14ac:dyDescent="0.25">
      <c r="B7" s="19" t="s">
        <v>72</v>
      </c>
      <c r="C7" s="99">
        <v>0.43143469999999928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0.18141010000000021</v>
      </c>
    </row>
    <row r="10" spans="1:8" ht="15.75" customHeight="1" x14ac:dyDescent="0.25">
      <c r="B10" s="19" t="s">
        <v>75</v>
      </c>
      <c r="C10" s="99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99">
        <v>0.14201342044077259</v>
      </c>
      <c r="D15" s="99">
        <v>0.14201342044077259</v>
      </c>
      <c r="E15" s="99">
        <v>0.14201342044077259</v>
      </c>
      <c r="F15" s="99">
        <v>0.14201342044077259</v>
      </c>
    </row>
    <row r="16" spans="1:8" ht="15.75" customHeight="1" x14ac:dyDescent="0.25">
      <c r="B16" s="19" t="s">
        <v>83</v>
      </c>
      <c r="C16" s="99">
        <v>1.5148673316420749E-3</v>
      </c>
      <c r="D16" s="99">
        <v>1.5148673316420749E-3</v>
      </c>
      <c r="E16" s="99">
        <v>1.5148673316420749E-3</v>
      </c>
      <c r="F16" s="99">
        <v>1.5148673316420749E-3</v>
      </c>
    </row>
    <row r="17" spans="1:8" ht="15.75" customHeight="1" x14ac:dyDescent="0.25">
      <c r="B17" s="19" t="s">
        <v>84</v>
      </c>
      <c r="C17" s="99">
        <v>0.79207380330936872</v>
      </c>
      <c r="D17" s="99">
        <v>0.79207380330936872</v>
      </c>
      <c r="E17" s="99">
        <v>0.79207380330936872</v>
      </c>
      <c r="F17" s="99">
        <v>0.79207380330936872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7.4143769382759572E-3</v>
      </c>
      <c r="D19" s="99">
        <v>7.4143769382759572E-3</v>
      </c>
      <c r="E19" s="99">
        <v>7.4143769382759572E-3</v>
      </c>
      <c r="F19" s="99">
        <v>7.4143769382759572E-3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2.638911729579237E-2</v>
      </c>
      <c r="D21" s="99">
        <v>2.638911729579237E-2</v>
      </c>
      <c r="E21" s="99">
        <v>2.638911729579237E-2</v>
      </c>
      <c r="F21" s="99">
        <v>2.638911729579237E-2</v>
      </c>
    </row>
    <row r="22" spans="1:8" ht="15.75" customHeight="1" x14ac:dyDescent="0.25">
      <c r="B22" s="19" t="s">
        <v>89</v>
      </c>
      <c r="C22" s="99">
        <v>2.4617107653533501E-2</v>
      </c>
      <c r="D22" s="99">
        <v>2.4617107653533501E-2</v>
      </c>
      <c r="E22" s="99">
        <v>2.4617107653533501E-2</v>
      </c>
      <c r="F22" s="99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99">
        <v>1.836863E-2</v>
      </c>
    </row>
    <row r="28" spans="1:8" ht="15.75" customHeight="1" x14ac:dyDescent="0.25">
      <c r="B28" s="19" t="s">
        <v>93</v>
      </c>
      <c r="C28" s="99">
        <v>0.231175139</v>
      </c>
    </row>
    <row r="29" spans="1:8" ht="15.75" customHeight="1" x14ac:dyDescent="0.25">
      <c r="B29" s="19" t="s">
        <v>94</v>
      </c>
      <c r="C29" s="99">
        <v>0.138527135</v>
      </c>
    </row>
    <row r="30" spans="1:8" ht="15.75" customHeight="1" x14ac:dyDescent="0.25">
      <c r="B30" s="19" t="s">
        <v>95</v>
      </c>
      <c r="C30" s="99">
        <v>4.9111505E-2</v>
      </c>
    </row>
    <row r="31" spans="1:8" ht="15.75" customHeight="1" x14ac:dyDescent="0.25">
      <c r="B31" s="19" t="s">
        <v>96</v>
      </c>
      <c r="C31" s="99">
        <v>6.9658183999999998E-2</v>
      </c>
    </row>
    <row r="32" spans="1:8" ht="15.75" customHeight="1" x14ac:dyDescent="0.25">
      <c r="B32" s="19" t="s">
        <v>97</v>
      </c>
      <c r="C32" s="99">
        <v>0.14941447299999999</v>
      </c>
    </row>
    <row r="33" spans="2:3" ht="15.75" customHeight="1" x14ac:dyDescent="0.25">
      <c r="B33" s="19" t="s">
        <v>98</v>
      </c>
      <c r="C33" s="99">
        <v>0.122223571</v>
      </c>
    </row>
    <row r="34" spans="2:3" ht="15.75" customHeight="1" x14ac:dyDescent="0.25">
      <c r="B34" s="19" t="s">
        <v>99</v>
      </c>
      <c r="C34" s="99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3745.5603674631302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0.41102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0.44403999999999999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1.5164553535832142E-2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98795.523879999993</v>
      </c>
      <c r="C22" s="107">
        <v>98616.626480000006</v>
      </c>
      <c r="D22" s="107">
        <v>98448.280549999996</v>
      </c>
      <c r="E22" s="107">
        <v>98027.963820000004</v>
      </c>
      <c r="F22" s="107">
        <v>97282.981140000004</v>
      </c>
      <c r="G22" s="107">
        <v>96369.177590000007</v>
      </c>
      <c r="H22" s="107">
        <v>95232.656879999995</v>
      </c>
      <c r="I22" s="107">
        <v>93732.445389999993</v>
      </c>
      <c r="J22" s="107">
        <v>91606.786500000002</v>
      </c>
      <c r="K22" s="107">
        <v>88546.744749999998</v>
      </c>
      <c r="L22" s="107">
        <v>84224.197490000006</v>
      </c>
      <c r="M22" s="107">
        <v>78261.861390000005</v>
      </c>
      <c r="N22" s="107">
        <v>70276.234450000004</v>
      </c>
      <c r="O22" s="107">
        <v>60248.059719999997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1.1645825935762411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1.1113E-2</v>
      </c>
      <c r="C10" s="96">
        <v>0.95</v>
      </c>
      <c r="D10" s="56">
        <v>12.99613066460511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12.99613066460511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12.99613066460511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12.99613066460511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1.1113E-2</v>
      </c>
      <c r="C14" s="96">
        <v>0.95</v>
      </c>
      <c r="D14" s="56">
        <v>12.99613066460511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12.99613066460511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0.50451279999999998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0.50451279999999998</v>
      </c>
      <c r="C19" s="96">
        <v>0.95</v>
      </c>
      <c r="D19" s="56">
        <v>9.2940558205318631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4.2693071752319298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0.62744799530607998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1.1113E-2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0.58558969999999999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0.2004783</v>
      </c>
      <c r="C29" s="96">
        <v>0.95</v>
      </c>
      <c r="D29" s="56">
        <v>111.9883457710268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0.7196437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0.1203943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1.57512E-2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0.88436999999999999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0.33004980000000012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198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1.0999999999999999E-2</v>
      </c>
      <c r="F2" s="60">
        <f>food_insecure</f>
        <v>1.0999999999999999E-2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1.0999999999999999E-2</v>
      </c>
      <c r="I15" s="60">
        <f t="shared" si="0"/>
        <v>1.0999999999999999E-2</v>
      </c>
      <c r="J15" s="60">
        <f t="shared" si="0"/>
        <v>1.0999999999999999E-2</v>
      </c>
      <c r="K15" s="60">
        <f t="shared" si="0"/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1.0999999999999999E-2</v>
      </c>
      <c r="I16" s="60">
        <f t="shared" si="0"/>
        <v>1.0999999999999999E-2</v>
      </c>
      <c r="J16" s="60">
        <f t="shared" si="0"/>
        <v>1.0999999999999999E-2</v>
      </c>
      <c r="K16" s="60">
        <f t="shared" si="0"/>
        <v>1.0999999999999999E-2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