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86F8994-EFA6-49E6-91E7-A483320913EC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<sst xmlns="http://schemas.openxmlformats.org/spreadsheetml/2006/main" count="2101" uniqueCount="341">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</sst>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86570.662109375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0.87981307983398394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0.1032</v>
      </c>
    </row>
    <row r="24" spans="1:3" ht="15" customHeight="1" x14ac:dyDescent="0.25">
      <c r="B24" s="15" t="s">
        <v>22</v>
      </c>
      <c r="C24" s="45">
        <v>0.55130000000000001</v>
      </c>
    </row>
    <row r="25" spans="1:3" ht="15" customHeight="1" x14ac:dyDescent="0.25">
      <c r="B25" s="15" t="s">
        <v>23</v>
      </c>
      <c r="C25" s="45">
        <v>0.28949999999999998</v>
      </c>
    </row>
    <row r="26" spans="1:3" ht="15" customHeight="1" x14ac:dyDescent="0.25">
      <c r="B26" s="15" t="s">
        <v>24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13.74817</v>
      </c>
    </row>
    <row r="38" spans="1:5" ht="15" customHeight="1" x14ac:dyDescent="0.25">
      <c r="B38" s="11" t="s">
        <v>34</v>
      </c>
      <c r="C38" s="43">
        <v>23.256340000000002</v>
      </c>
      <c r="D38" s="12"/>
      <c r="E38" s="13"/>
    </row>
    <row r="39" spans="1:5" ht="15" customHeight="1" x14ac:dyDescent="0.25">
      <c r="B39" s="11" t="s">
        <v>35</v>
      </c>
      <c r="C39" s="43">
        <v>27.726030000000002</v>
      </c>
      <c r="D39" s="12"/>
      <c r="E39" s="12"/>
    </row>
    <row r="40" spans="1:5" ht="15" customHeight="1" x14ac:dyDescent="0.25">
      <c r="B40" s="11" t="s">
        <v>36</v>
      </c>
      <c r="C40" s="100">
        <v>0.38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6.1751000000000002E-3</v>
      </c>
      <c r="D45" s="12"/>
    </row>
    <row r="46" spans="1:5" ht="15.75" customHeight="1" x14ac:dyDescent="0.25">
      <c r="B46" s="11" t="s">
        <v>41</v>
      </c>
      <c r="C46" s="45">
        <v>6.6350900000000004E-2</v>
      </c>
      <c r="D46" s="12"/>
    </row>
    <row r="47" spans="1:5" ht="15.75" customHeight="1" x14ac:dyDescent="0.25">
      <c r="B47" s="11" t="s">
        <v>42</v>
      </c>
      <c r="C47" s="45">
        <v>7.5128899999999998E-2</v>
      </c>
      <c r="D47" s="12"/>
      <c r="E47" s="13"/>
    </row>
    <row r="48" spans="1:5" ht="15" customHeight="1" x14ac:dyDescent="0.25">
      <c r="B48" s="11" t="s">
        <v>43</v>
      </c>
      <c r="C48" s="46">
        <v>0.85234509999999997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0.48294500000000001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17547</v>
      </c>
      <c r="C2" s="49">
        <v>50350.5</v>
      </c>
      <c r="D2" s="49">
        <v>73658.5</v>
      </c>
      <c r="E2" s="49">
        <v>70610.5</v>
      </c>
      <c r="F2" s="49">
        <v>53865.5</v>
      </c>
      <c r="G2" s="17">
        <f t="shared" ref="G2:G13" si="0">C2+D2+E2+F2</f>
        <v>248485</v>
      </c>
      <c r="H2" s="17">
        <f t="shared" ref="H2:H13" si="1">(B2 + stillbirth*B2/(1000-stillbirth))/(1-abortion)</f>
        <v>20123.680629705934</v>
      </c>
      <c r="I2" s="17">
        <f t="shared" ref="I2:I13" si="2">G2-H2</f>
        <v>228361.31937029408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17498</v>
      </c>
      <c r="C3" s="50">
        <v>50805</v>
      </c>
      <c r="D3" s="50">
        <v>74085</v>
      </c>
      <c r="E3" s="50">
        <v>70629</v>
      </c>
      <c r="F3" s="50">
        <v>55615.5</v>
      </c>
      <c r="G3" s="17">
        <f t="shared" si="0"/>
        <v>251134.5</v>
      </c>
      <c r="H3" s="17">
        <f t="shared" si="1"/>
        <v>20067.485248680372</v>
      </c>
      <c r="I3" s="17">
        <f t="shared" si="2"/>
        <v>231067.01475131963</v>
      </c>
    </row>
    <row r="4" spans="1:9" ht="15.75" customHeight="1" x14ac:dyDescent="0.25">
      <c r="A4" s="5">
        <f t="shared" si="3"/>
        <v>2026</v>
      </c>
      <c r="B4" s="49">
        <v>17376</v>
      </c>
      <c r="C4" s="50">
        <v>51071.5</v>
      </c>
      <c r="D4" s="50">
        <v>74734.5</v>
      </c>
      <c r="E4" s="50">
        <v>70814.5</v>
      </c>
      <c r="F4" s="50">
        <v>56988.5</v>
      </c>
      <c r="G4" s="17">
        <f t="shared" si="0"/>
        <v>253609</v>
      </c>
      <c r="H4" s="17">
        <f t="shared" si="1"/>
        <v>19927.57021837182</v>
      </c>
      <c r="I4" s="17">
        <f t="shared" si="2"/>
        <v>233681.42978162819</v>
      </c>
    </row>
    <row r="5" spans="1:9" ht="15.75" customHeight="1" x14ac:dyDescent="0.25">
      <c r="A5" s="5">
        <f t="shared" si="3"/>
        <v>2027</v>
      </c>
      <c r="B5" s="49">
        <v>17363</v>
      </c>
      <c r="C5" s="50">
        <v>51193</v>
      </c>
      <c r="D5" s="50">
        <v>75717.999999999985</v>
      </c>
      <c r="E5" s="50">
        <v>70981.5</v>
      </c>
      <c r="F5" s="50">
        <v>57965</v>
      </c>
      <c r="G5" s="17">
        <f t="shared" si="0"/>
        <v>255857.5</v>
      </c>
      <c r="H5" s="17">
        <f t="shared" si="1"/>
        <v>19912.661239732381</v>
      </c>
      <c r="I5" s="17">
        <f t="shared" si="2"/>
        <v>235944.83876026762</v>
      </c>
    </row>
    <row r="6" spans="1:9" ht="15.75" customHeight="1" x14ac:dyDescent="0.25">
      <c r="A6" s="5">
        <f t="shared" si="3"/>
        <v>2028</v>
      </c>
      <c r="B6" s="49">
        <v>17344</v>
      </c>
      <c r="C6" s="50">
        <v>51289.999999999993</v>
      </c>
      <c r="D6" s="50">
        <v>76930</v>
      </c>
      <c r="E6" s="50">
        <v>70991</v>
      </c>
      <c r="F6" s="50">
        <v>58679.5</v>
      </c>
      <c r="G6" s="17">
        <f t="shared" si="0"/>
        <v>257890.5</v>
      </c>
      <c r="H6" s="17">
        <f t="shared" si="1"/>
        <v>19890.871194028594</v>
      </c>
      <c r="I6" s="17">
        <f t="shared" si="2"/>
        <v>237999.62880597141</v>
      </c>
    </row>
    <row r="7" spans="1:9" ht="15.75" customHeight="1" x14ac:dyDescent="0.25">
      <c r="A7" s="5">
        <f t="shared" si="3"/>
        <v>2029</v>
      </c>
      <c r="B7" s="49">
        <v>17344</v>
      </c>
      <c r="C7" s="50">
        <v>51410.000000000007</v>
      </c>
      <c r="D7" s="50">
        <v>78188</v>
      </c>
      <c r="E7" s="50">
        <v>70945.5</v>
      </c>
      <c r="F7" s="50">
        <v>59215.5</v>
      </c>
      <c r="G7" s="17">
        <f t="shared" si="0"/>
        <v>259759</v>
      </c>
      <c r="H7" s="17">
        <f t="shared" si="1"/>
        <v>19890.871194028594</v>
      </c>
      <c r="I7" s="17">
        <f t="shared" si="2"/>
        <v>239868.12880597141</v>
      </c>
    </row>
    <row r="8" spans="1:9" ht="15.75" customHeight="1" x14ac:dyDescent="0.25">
      <c r="A8" s="5">
        <f t="shared" si="3"/>
        <v>2030</v>
      </c>
      <c r="B8" s="49">
        <v>17328</v>
      </c>
      <c r="C8" s="50">
        <v>51538.5</v>
      </c>
      <c r="D8" s="50">
        <v>79361.5</v>
      </c>
      <c r="E8" s="50">
        <v>70863.5</v>
      </c>
      <c r="F8" s="50">
        <v>59576</v>
      </c>
      <c r="G8" s="17">
        <f t="shared" si="0"/>
        <v>261339.5</v>
      </c>
      <c r="H8" s="17">
        <f t="shared" si="1"/>
        <v>19872.521681856982</v>
      </c>
      <c r="I8" s="17">
        <f t="shared" si="2"/>
        <v>241466.97831814302</v>
      </c>
    </row>
    <row r="9" spans="1:9" ht="15.75" customHeight="1" x14ac:dyDescent="0.25">
      <c r="A9" s="5">
        <f t="shared" si="3"/>
        <v>2031</v>
      </c>
      <c r="B9" s="49">
        <v>17322</v>
      </c>
      <c r="C9" s="50">
        <v>51616.5</v>
      </c>
      <c r="D9" s="50">
        <v>80388</v>
      </c>
      <c r="E9" s="50">
        <v>70775.5</v>
      </c>
      <c r="F9" s="50">
        <v>59862.5</v>
      </c>
      <c r="G9" s="17">
        <f t="shared" si="0"/>
        <v>262642.5</v>
      </c>
      <c r="H9" s="17">
        <f t="shared" si="1"/>
        <v>19865.640614792625</v>
      </c>
      <c r="I9" s="17">
        <f t="shared" si="2"/>
        <v>242776.85938520738</v>
      </c>
    </row>
    <row r="10" spans="1:9" ht="15.75" customHeight="1" x14ac:dyDescent="0.25">
      <c r="A10" s="5">
        <f t="shared" si="3"/>
        <v>2032</v>
      </c>
      <c r="B10" s="49">
        <v>17314</v>
      </c>
      <c r="C10" s="50">
        <v>51571.5</v>
      </c>
      <c r="D10" s="50">
        <v>81283</v>
      </c>
      <c r="E10" s="50">
        <v>70801.5</v>
      </c>
      <c r="F10" s="50">
        <v>60143.5</v>
      </c>
      <c r="G10" s="17">
        <f t="shared" si="0"/>
        <v>263799.5</v>
      </c>
      <c r="H10" s="17">
        <f t="shared" si="1"/>
        <v>19856.465858706819</v>
      </c>
      <c r="I10" s="17">
        <f t="shared" si="2"/>
        <v>243943.03414129317</v>
      </c>
    </row>
    <row r="11" spans="1:9" ht="15.75" customHeight="1" x14ac:dyDescent="0.25">
      <c r="A11" s="5">
        <f t="shared" si="3"/>
        <v>2033</v>
      </c>
      <c r="B11" s="49">
        <v>17273</v>
      </c>
      <c r="C11" s="50">
        <v>51349.500000000007</v>
      </c>
      <c r="D11" s="50">
        <v>82121</v>
      </c>
      <c r="E11" s="50">
        <v>71020.5</v>
      </c>
      <c r="F11" s="50">
        <v>60388.5</v>
      </c>
      <c r="G11" s="17">
        <f t="shared" si="0"/>
        <v>264879.5</v>
      </c>
      <c r="H11" s="17">
        <f t="shared" si="1"/>
        <v>19809.445233767059</v>
      </c>
      <c r="I11" s="17">
        <f t="shared" si="2"/>
        <v>245070.05476623293</v>
      </c>
    </row>
    <row r="12" spans="1:9" ht="15.75" customHeight="1" x14ac:dyDescent="0.25">
      <c r="A12" s="5">
        <f t="shared" si="3"/>
        <v>2034</v>
      </c>
      <c r="B12" s="49">
        <v>17252</v>
      </c>
      <c r="C12" s="50">
        <v>50936.499999999993</v>
      </c>
      <c r="D12" s="50">
        <v>82914.5</v>
      </c>
      <c r="E12" s="50">
        <v>71426.5</v>
      </c>
      <c r="F12" s="50">
        <v>60552</v>
      </c>
      <c r="G12" s="17">
        <f t="shared" si="0"/>
        <v>265829.5</v>
      </c>
      <c r="H12" s="17">
        <f t="shared" si="1"/>
        <v>19785.361499041817</v>
      </c>
      <c r="I12" s="17">
        <f t="shared" si="2"/>
        <v>246044.13850095819</v>
      </c>
    </row>
    <row r="13" spans="1:9" ht="15.75" customHeight="1" x14ac:dyDescent="0.25">
      <c r="A13" s="5">
        <f t="shared" si="3"/>
        <v>2035</v>
      </c>
      <c r="B13" s="49">
        <v>17312</v>
      </c>
      <c r="C13" s="50">
        <v>50377.5</v>
      </c>
      <c r="D13" s="50">
        <v>83646.5</v>
      </c>
      <c r="E13" s="50">
        <v>71943</v>
      </c>
      <c r="F13" s="50">
        <v>60675.999999999993</v>
      </c>
      <c r="G13" s="17">
        <f t="shared" si="0"/>
        <v>266643</v>
      </c>
      <c r="H13" s="17">
        <f t="shared" si="1"/>
        <v>19854.172169685364</v>
      </c>
      <c r="I13" s="17">
        <f t="shared" si="2"/>
        <v>246788.82783031464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3.9490007898001562E-4</v>
      </c>
    </row>
    <row r="4" spans="1:8" ht="15.75" customHeight="1" x14ac:dyDescent="0.25">
      <c r="B4" s="19" t="s">
        <v>69</v>
      </c>
      <c r="C4" s="101">
        <v>6.7987713597542757E-2</v>
      </c>
    </row>
    <row r="5" spans="1:8" ht="15.75" customHeight="1" x14ac:dyDescent="0.25">
      <c r="B5" s="19" t="s">
        <v>70</v>
      </c>
      <c r="C5" s="101">
        <v>4.5168509033701752E-2</v>
      </c>
    </row>
    <row r="6" spans="1:8" ht="15.75" customHeight="1" x14ac:dyDescent="0.25">
      <c r="B6" s="19" t="s">
        <v>71</v>
      </c>
      <c r="C6" s="101">
        <v>0.16706933341386659</v>
      </c>
    </row>
    <row r="7" spans="1:8" ht="15.75" customHeight="1" x14ac:dyDescent="0.25">
      <c r="B7" s="19" t="s">
        <v>72</v>
      </c>
      <c r="C7" s="101">
        <v>0.42742528548505748</v>
      </c>
    </row>
    <row r="8" spans="1:8" ht="15.75" customHeight="1" x14ac:dyDescent="0.25">
      <c r="B8" s="19" t="s">
        <v>73</v>
      </c>
      <c r="C8" s="101">
        <v>4.3700008740001817E-5</v>
      </c>
    </row>
    <row r="9" spans="1:8" ht="15.75" customHeight="1" x14ac:dyDescent="0.25">
      <c r="B9" s="19" t="s">
        <v>74</v>
      </c>
      <c r="C9" s="101">
        <v>0.19184183836836749</v>
      </c>
    </row>
    <row r="10" spans="1:8" ht="15.75" customHeight="1" x14ac:dyDescent="0.25">
      <c r="B10" s="19" t="s">
        <v>75</v>
      </c>
      <c r="C10" s="101">
        <v>0.10006872001374389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82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83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84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87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88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89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101">
        <v>3.5979345000000003E-2</v>
      </c>
    </row>
    <row r="28" spans="1:8" ht="15.75" customHeight="1" x14ac:dyDescent="0.25">
      <c r="B28" s="19" t="s">
        <v>93</v>
      </c>
      <c r="C28" s="101">
        <v>0.17918920699999999</v>
      </c>
    </row>
    <row r="29" spans="1:8" ht="15.75" customHeight="1" x14ac:dyDescent="0.25">
      <c r="B29" s="19" t="s">
        <v>94</v>
      </c>
      <c r="C29" s="101">
        <v>9.3383905000000003E-2</v>
      </c>
    </row>
    <row r="30" spans="1:8" ht="15.75" customHeight="1" x14ac:dyDescent="0.25">
      <c r="B30" s="19" t="s">
        <v>95</v>
      </c>
      <c r="C30" s="101">
        <v>4.2695289999999983E-2</v>
      </c>
    </row>
    <row r="31" spans="1:8" ht="15.75" customHeight="1" x14ac:dyDescent="0.25">
      <c r="B31" s="19" t="s">
        <v>96</v>
      </c>
      <c r="C31" s="101">
        <v>0.135273369</v>
      </c>
    </row>
    <row r="32" spans="1:8" ht="15.75" customHeight="1" x14ac:dyDescent="0.25">
      <c r="B32" s="19" t="s">
        <v>97</v>
      </c>
      <c r="C32" s="101">
        <v>0.18705686599999999</v>
      </c>
    </row>
    <row r="33" spans="2:3" ht="15.75" customHeight="1" x14ac:dyDescent="0.25">
      <c r="B33" s="19" t="s">
        <v>98</v>
      </c>
      <c r="C33" s="101">
        <v>0.13805392899999999</v>
      </c>
    </row>
    <row r="34" spans="2:3" ht="15.75" customHeight="1" x14ac:dyDescent="0.25">
      <c r="B34" s="19" t="s">
        <v>99</v>
      </c>
      <c r="C34" s="101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104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105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109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110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122</v>
      </c>
      <c r="C5" s="52">
        <v>3.7704799999999997E-2</v>
      </c>
      <c r="D5" s="52">
        <v>0.13566800000000001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64.978466716900769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40.035884855702882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523.3469422837544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2.3575314448863529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0.29817860000000002</v>
      </c>
      <c r="C10" s="98">
        <v>0.95</v>
      </c>
      <c r="D10" s="56">
        <v>13.16818429949879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13.16818429949879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13.16818429949879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13.16818429949879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0.29817860000000002</v>
      </c>
      <c r="C14" s="98">
        <v>0.95</v>
      </c>
      <c r="D14" s="56">
        <v>13.16818429949879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13.16818429949879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0.87495009939413526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0.5554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0.39031369999999999</v>
      </c>
      <c r="C18" s="98">
        <v>0.95</v>
      </c>
      <c r="D18" s="56">
        <v>12.03223213704624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0.39031369999999999</v>
      </c>
      <c r="C19" s="98">
        <v>0.95</v>
      </c>
      <c r="D19" s="56">
        <v>12.03223213704624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23.370362340463299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22.805877504333029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4.3768406970404801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0.71283421503765998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0.29817860000000002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18.714394010930931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0.53874940000000004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0.54248930000000006</v>
      </c>
      <c r="C29" s="98">
        <v>0.95</v>
      </c>
      <c r="D29" s="56">
        <v>129.5082053629678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2.7005701608607802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1.894695667647958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0.86528440000000006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0.119801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5.2214799999999999E-2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0.89245750000000001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0.1946205</v>
      </c>
      <c r="C38" s="98">
        <v>0.95</v>
      </c>
      <c r="D38" s="56">
        <v>6.0398139560416322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205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0.10798894680840276</v>
      </c>
      <c r="G18" s="90">
        <f>MIN(MAX(1-0.89/(1-frac_sam_12_23months+(frac_sam_12_23months*0.89)),0),1)</f>
        <v>0.10953212502632403</v>
      </c>
      <c r="H18" s="90">
        <f>MIN(MAX(1-0.89/(1-frac_sam_24_59months+(frac_sam_24_59months*0.89)),0),1)</f>
        <v>0.10928967811392298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0.1049390101016463</v>
      </c>
      <c r="G20" s="90">
        <f>MIN(MAX(1-0.89/(1-frac_mam_12_23months+(frac_mam_12_23months*0.89)),0),1)</f>
        <v>0.10674270780652584</v>
      </c>
      <c r="H20" s="90">
        <f>MIN(MAX(1-0.89/(1-frac_mam_24_59months+(frac_mam_24_59months*0.89)),0),1)</f>
        <v>0.10697617399488379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9.7970519645825815E-3</v>
      </c>
      <c r="G73" s="90">
        <f>MIN(MAX(1-0.99/(1-frac_sam_12_23months+(frac_sam_12_23months*0.99)),0),1)</f>
        <v>9.9527094011172546E-3</v>
      </c>
      <c r="H73" s="90">
        <f>MIN(MAX(1-0.99/(1-frac_sam_24_59months+(frac_sam_24_59months*0.99)),0),1)</f>
        <v>9.9282217762223235E-3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9.4908465988589041E-3</v>
      </c>
      <c r="G75" s="90">
        <f>MIN(MAX(1-0.99/(1-frac_mam_12_23months+(frac_mam_12_23months*0.99)),0),1)</f>
        <v>9.6717031986255364E-3</v>
      </c>
      <c r="H75" s="90">
        <f>MIN(MAX(1-0.99/(1-frac_mam_24_59months+(frac_mam_24_59months*0.99)),0),1)</f>
        <v>9.6951613936656633E-3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0.19670720644407913</v>
      </c>
      <c r="G128" s="90">
        <f>MIN(MAX(1-0.8/(1-frac_sam_12_23months+(frac_sam_12_23months*0.8)),0),1)</f>
        <v>0.19923501319280335</v>
      </c>
      <c r="H128" s="90">
        <f>MIN(MAX(1-0.8/(1-frac_sam_24_59months+(frac_sam_24_59months*0.8)),0),1)</f>
        <v>0.19883834765055941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0.19169005646206616</v>
      </c>
      <c r="G130" s="90">
        <f>MIN(MAX(1-0.8/(1-frac_mam_12_23months+(frac_mam_12_23months*0.8)),0),1)</f>
        <v>0.19466055113364911</v>
      </c>
      <c r="H130" s="90">
        <f>MIN(MAX(1-0.8/(1-frac_mam_24_59months+(frac_mam_24_59months*0.8)),0),1)</f>
        <v>0.19504432257013005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2024-08-06T06:31:27Z</dcterms:modified>
</cp:coreProperties>
</file>