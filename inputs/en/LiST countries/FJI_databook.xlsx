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C70E12CD-6F3E-4CD6-A38B-76FA92F2B6E2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H129" i="27" s="1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A39" i="2"/>
  <c r="I38" i="2"/>
  <c r="H38" i="2"/>
  <c r="G38" i="2"/>
  <c r="A37" i="2"/>
  <c r="A36" i="2"/>
  <c r="A35" i="2"/>
  <c r="A34" i="2"/>
  <c r="A33" i="2"/>
  <c r="A29" i="2"/>
  <c r="A28" i="2"/>
  <c r="A27" i="2"/>
  <c r="A26" i="2"/>
  <c r="A25" i="2"/>
  <c r="A21" i="2"/>
  <c r="A20" i="2"/>
  <c r="A19" i="2"/>
  <c r="A18" i="2"/>
  <c r="A17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A3" i="2"/>
  <c r="I2" i="2"/>
  <c r="H2" i="2"/>
  <c r="G2" i="2"/>
  <c r="A2" i="2"/>
  <c r="A32" i="2" s="1"/>
  <c r="C33" i="1"/>
  <c r="C20" i="1"/>
  <c r="A4" i="2" l="1"/>
  <c r="A5" i="2" s="1"/>
  <c r="A6" i="2"/>
  <c r="A7" i="2" s="1"/>
  <c r="A8" i="2"/>
  <c r="A9" i="2" s="1"/>
  <c r="A10" i="2"/>
  <c r="A11" i="2" s="1"/>
  <c r="A12" i="2"/>
  <c r="A13" i="2" s="1"/>
  <c r="A14" i="2"/>
  <c r="A22" i="2"/>
  <c r="A30" i="2"/>
  <c r="A38" i="2"/>
  <c r="A40" i="2"/>
  <c r="A15" i="2"/>
  <c r="A23" i="2"/>
  <c r="A31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<sst xmlns="http://schemas.openxmlformats.org/spreadsheetml/2006/main" count="2094" uniqueCount="341">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</sst>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86570.662109375</v>
      </c>
    </row>
    <row r="8" spans="1:3" ht="15" customHeight="1" x14ac:dyDescent="0.25">
      <c r="B8" s="5" t="s">
        <v>8</v>
      </c>
      <c r="C8" s="44">
        <v>1.4E-2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0.87981307983398394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0.1032</v>
      </c>
    </row>
    <row r="24" spans="1:3" ht="15" customHeight="1" x14ac:dyDescent="0.25">
      <c r="B24" s="15" t="s">
        <v>22</v>
      </c>
      <c r="C24" s="45">
        <v>0.55130000000000001</v>
      </c>
    </row>
    <row r="25" spans="1:3" ht="15" customHeight="1" x14ac:dyDescent="0.25">
      <c r="B25" s="15" t="s">
        <v>23</v>
      </c>
      <c r="C25" s="45">
        <v>0.28949999999999998</v>
      </c>
    </row>
    <row r="26" spans="1:3" ht="15" customHeight="1" x14ac:dyDescent="0.25">
      <c r="B26" s="15" t="s">
        <v>24</v>
      </c>
      <c r="C26" s="45">
        <v>5.6000000000000008E-2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13.74817</v>
      </c>
    </row>
    <row r="38" spans="1:5" ht="15" customHeight="1" x14ac:dyDescent="0.25">
      <c r="B38" s="11" t="s">
        <v>34</v>
      </c>
      <c r="C38" s="43">
        <v>23.256340000000002</v>
      </c>
      <c r="D38" s="12"/>
      <c r="E38" s="13"/>
    </row>
    <row r="39" spans="1:5" ht="15" customHeight="1" x14ac:dyDescent="0.25">
      <c r="B39" s="11" t="s">
        <v>35</v>
      </c>
      <c r="C39" s="43">
        <v>27.726030000000002</v>
      </c>
      <c r="D39" s="12"/>
      <c r="E39" s="12"/>
    </row>
    <row r="40" spans="1:5" ht="15" customHeight="1" x14ac:dyDescent="0.25">
      <c r="B40" s="11" t="s">
        <v>36</v>
      </c>
      <c r="C40" s="100">
        <v>0.38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9.1388800000000003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6.1751000000000002E-3</v>
      </c>
      <c r="D45" s="12"/>
    </row>
    <row r="46" spans="1:5" ht="15.75" customHeight="1" x14ac:dyDescent="0.25">
      <c r="B46" s="11" t="s">
        <v>41</v>
      </c>
      <c r="C46" s="45">
        <v>6.6350900000000004E-2</v>
      </c>
      <c r="D46" s="12"/>
    </row>
    <row r="47" spans="1:5" ht="15.75" customHeight="1" x14ac:dyDescent="0.25">
      <c r="B47" s="11" t="s">
        <v>42</v>
      </c>
      <c r="C47" s="45">
        <v>7.5128899999999998E-2</v>
      </c>
      <c r="D47" s="12"/>
      <c r="E47" s="13"/>
    </row>
    <row r="48" spans="1:5" ht="15" customHeight="1" x14ac:dyDescent="0.25">
      <c r="B48" s="11" t="s">
        <v>43</v>
      </c>
      <c r="C48" s="46">
        <v>0.85234509999999997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0.48294500000000001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17547</v>
      </c>
      <c r="C2" s="49">
        <v>50350.5</v>
      </c>
      <c r="D2" s="49">
        <v>73658.5</v>
      </c>
      <c r="E2" s="49">
        <v>70610.5</v>
      </c>
      <c r="F2" s="49">
        <v>53865.5</v>
      </c>
      <c r="G2" s="17">
        <f t="shared" ref="G2:G13" si="0">C2+D2+E2+F2</f>
        <v>248485</v>
      </c>
      <c r="H2" s="17">
        <f t="shared" ref="H2:H13" si="1">(B2 + stillbirth*B2/(1000-stillbirth))/(1-abortion)</f>
        <v>20123.680629705934</v>
      </c>
      <c r="I2" s="17">
        <f t="shared" ref="I2:I13" si="2">G2-H2</f>
        <v>228361.31937029408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17498</v>
      </c>
      <c r="C3" s="50">
        <v>50805</v>
      </c>
      <c r="D3" s="50">
        <v>74085</v>
      </c>
      <c r="E3" s="50">
        <v>70629</v>
      </c>
      <c r="F3" s="50">
        <v>55615.5</v>
      </c>
      <c r="G3" s="17">
        <f t="shared" si="0"/>
        <v>251134.5</v>
      </c>
      <c r="H3" s="17">
        <f t="shared" si="1"/>
        <v>20067.485248680372</v>
      </c>
      <c r="I3" s="17">
        <f t="shared" si="2"/>
        <v>231067.01475131963</v>
      </c>
    </row>
    <row r="4" spans="1:9" ht="15.75" customHeight="1" x14ac:dyDescent="0.25">
      <c r="A4" s="5">
        <f t="shared" si="3"/>
        <v>2026</v>
      </c>
      <c r="B4" s="49">
        <v>17376</v>
      </c>
      <c r="C4" s="50">
        <v>51071.5</v>
      </c>
      <c r="D4" s="50">
        <v>74734.5</v>
      </c>
      <c r="E4" s="50">
        <v>70814.5</v>
      </c>
      <c r="F4" s="50">
        <v>56988.5</v>
      </c>
      <c r="G4" s="17">
        <f t="shared" si="0"/>
        <v>253609</v>
      </c>
      <c r="H4" s="17">
        <f t="shared" si="1"/>
        <v>19927.57021837182</v>
      </c>
      <c r="I4" s="17">
        <f t="shared" si="2"/>
        <v>233681.42978162819</v>
      </c>
    </row>
    <row r="5" spans="1:9" ht="15.75" customHeight="1" x14ac:dyDescent="0.25">
      <c r="A5" s="5">
        <f t="shared" si="3"/>
        <v>2027</v>
      </c>
      <c r="B5" s="49">
        <v>17363</v>
      </c>
      <c r="C5" s="50">
        <v>51193</v>
      </c>
      <c r="D5" s="50">
        <v>75717.999999999985</v>
      </c>
      <c r="E5" s="50">
        <v>70981.5</v>
      </c>
      <c r="F5" s="50">
        <v>57965</v>
      </c>
      <c r="G5" s="17">
        <f t="shared" si="0"/>
        <v>255857.5</v>
      </c>
      <c r="H5" s="17">
        <f t="shared" si="1"/>
        <v>19912.661239732381</v>
      </c>
      <c r="I5" s="17">
        <f t="shared" si="2"/>
        <v>235944.83876026762</v>
      </c>
    </row>
    <row r="6" spans="1:9" ht="15.75" customHeight="1" x14ac:dyDescent="0.25">
      <c r="A6" s="5">
        <f t="shared" si="3"/>
        <v>2028</v>
      </c>
      <c r="B6" s="49">
        <v>17344</v>
      </c>
      <c r="C6" s="50">
        <v>51289.999999999993</v>
      </c>
      <c r="D6" s="50">
        <v>76930</v>
      </c>
      <c r="E6" s="50">
        <v>70991</v>
      </c>
      <c r="F6" s="50">
        <v>58679.5</v>
      </c>
      <c r="G6" s="17">
        <f t="shared" si="0"/>
        <v>257890.5</v>
      </c>
      <c r="H6" s="17">
        <f t="shared" si="1"/>
        <v>19890.871194028594</v>
      </c>
      <c r="I6" s="17">
        <f t="shared" si="2"/>
        <v>237999.62880597141</v>
      </c>
    </row>
    <row r="7" spans="1:9" ht="15.75" customHeight="1" x14ac:dyDescent="0.25">
      <c r="A7" s="5">
        <f t="shared" si="3"/>
        <v>2029</v>
      </c>
      <c r="B7" s="49">
        <v>17344</v>
      </c>
      <c r="C7" s="50">
        <v>51410.000000000007</v>
      </c>
      <c r="D7" s="50">
        <v>78188</v>
      </c>
      <c r="E7" s="50">
        <v>70945.5</v>
      </c>
      <c r="F7" s="50">
        <v>59215.5</v>
      </c>
      <c r="G7" s="17">
        <f t="shared" si="0"/>
        <v>259759</v>
      </c>
      <c r="H7" s="17">
        <f t="shared" si="1"/>
        <v>19890.871194028594</v>
      </c>
      <c r="I7" s="17">
        <f t="shared" si="2"/>
        <v>239868.12880597141</v>
      </c>
    </row>
    <row r="8" spans="1:9" ht="15.75" customHeight="1" x14ac:dyDescent="0.25">
      <c r="A8" s="5">
        <f t="shared" si="3"/>
        <v>2030</v>
      </c>
      <c r="B8" s="49">
        <v>17328</v>
      </c>
      <c r="C8" s="50">
        <v>51538.5</v>
      </c>
      <c r="D8" s="50">
        <v>79361.5</v>
      </c>
      <c r="E8" s="50">
        <v>70863.5</v>
      </c>
      <c r="F8" s="50">
        <v>59576</v>
      </c>
      <c r="G8" s="17">
        <f t="shared" si="0"/>
        <v>261339.5</v>
      </c>
      <c r="H8" s="17">
        <f t="shared" si="1"/>
        <v>19872.521681856982</v>
      </c>
      <c r="I8" s="17">
        <f t="shared" si="2"/>
        <v>241466.97831814302</v>
      </c>
    </row>
    <row r="9" spans="1:9" ht="15.75" customHeight="1" x14ac:dyDescent="0.25">
      <c r="A9" s="5">
        <f t="shared" si="3"/>
        <v>2031</v>
      </c>
      <c r="B9" s="49">
        <v>17322</v>
      </c>
      <c r="C9" s="50">
        <v>51616.5</v>
      </c>
      <c r="D9" s="50">
        <v>80388</v>
      </c>
      <c r="E9" s="50">
        <v>70775.5</v>
      </c>
      <c r="F9" s="50">
        <v>59862.5</v>
      </c>
      <c r="G9" s="17">
        <f t="shared" si="0"/>
        <v>262642.5</v>
      </c>
      <c r="H9" s="17">
        <f t="shared" si="1"/>
        <v>19865.640614792625</v>
      </c>
      <c r="I9" s="17">
        <f t="shared" si="2"/>
        <v>242776.85938520738</v>
      </c>
    </row>
    <row r="10" spans="1:9" ht="15.75" customHeight="1" x14ac:dyDescent="0.25">
      <c r="A10" s="5">
        <f t="shared" si="3"/>
        <v>2032</v>
      </c>
      <c r="B10" s="49">
        <v>17314</v>
      </c>
      <c r="C10" s="50">
        <v>51571.5</v>
      </c>
      <c r="D10" s="50">
        <v>81283</v>
      </c>
      <c r="E10" s="50">
        <v>70801.5</v>
      </c>
      <c r="F10" s="50">
        <v>60143.5</v>
      </c>
      <c r="G10" s="17">
        <f t="shared" si="0"/>
        <v>263799.5</v>
      </c>
      <c r="H10" s="17">
        <f t="shared" si="1"/>
        <v>19856.465858706819</v>
      </c>
      <c r="I10" s="17">
        <f t="shared" si="2"/>
        <v>243943.03414129317</v>
      </c>
    </row>
    <row r="11" spans="1:9" ht="15.75" customHeight="1" x14ac:dyDescent="0.25">
      <c r="A11" s="5">
        <f t="shared" si="3"/>
        <v>2033</v>
      </c>
      <c r="B11" s="49">
        <v>17273</v>
      </c>
      <c r="C11" s="50">
        <v>51349.500000000007</v>
      </c>
      <c r="D11" s="50">
        <v>82121</v>
      </c>
      <c r="E11" s="50">
        <v>71020.5</v>
      </c>
      <c r="F11" s="50">
        <v>60388.5</v>
      </c>
      <c r="G11" s="17">
        <f t="shared" si="0"/>
        <v>264879.5</v>
      </c>
      <c r="H11" s="17">
        <f t="shared" si="1"/>
        <v>19809.445233767059</v>
      </c>
      <c r="I11" s="17">
        <f t="shared" si="2"/>
        <v>245070.05476623293</v>
      </c>
    </row>
    <row r="12" spans="1:9" ht="15.75" customHeight="1" x14ac:dyDescent="0.25">
      <c r="A12" s="5">
        <f t="shared" si="3"/>
        <v>2034</v>
      </c>
      <c r="B12" s="49">
        <v>17252</v>
      </c>
      <c r="C12" s="50">
        <v>50936.499999999993</v>
      </c>
      <c r="D12" s="50">
        <v>82914.5</v>
      </c>
      <c r="E12" s="50">
        <v>71426.5</v>
      </c>
      <c r="F12" s="50">
        <v>60552</v>
      </c>
      <c r="G12" s="17">
        <f t="shared" si="0"/>
        <v>265829.5</v>
      </c>
      <c r="H12" s="17">
        <f t="shared" si="1"/>
        <v>19785.361499041817</v>
      </c>
      <c r="I12" s="17">
        <f t="shared" si="2"/>
        <v>246044.13850095819</v>
      </c>
    </row>
    <row r="13" spans="1:9" ht="15.75" customHeight="1" x14ac:dyDescent="0.25">
      <c r="A13" s="5">
        <f t="shared" si="3"/>
        <v>2035</v>
      </c>
      <c r="B13" s="49">
        <v>17312</v>
      </c>
      <c r="C13" s="50">
        <v>50377.5</v>
      </c>
      <c r="D13" s="50">
        <v>83646.5</v>
      </c>
      <c r="E13" s="50">
        <v>71943</v>
      </c>
      <c r="F13" s="50">
        <v>60675.999999999993</v>
      </c>
      <c r="G13" s="17">
        <f t="shared" si="0"/>
        <v>266643</v>
      </c>
      <c r="H13" s="17">
        <f t="shared" si="1"/>
        <v>19854.172169685364</v>
      </c>
      <c r="I13" s="17">
        <f t="shared" si="2"/>
        <v>246788.82783031464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3.9490007898001562E-4</v>
      </c>
    </row>
    <row r="4" spans="1:8" ht="15.75" customHeight="1" x14ac:dyDescent="0.25">
      <c r="B4" s="19" t="s">
        <v>69</v>
      </c>
      <c r="C4" s="101">
        <v>6.7987713597542757E-2</v>
      </c>
    </row>
    <row r="5" spans="1:8" ht="15.75" customHeight="1" x14ac:dyDescent="0.25">
      <c r="B5" s="19" t="s">
        <v>70</v>
      </c>
      <c r="C5" s="101">
        <v>4.5168509033701752E-2</v>
      </c>
    </row>
    <row r="6" spans="1:8" ht="15.75" customHeight="1" x14ac:dyDescent="0.25">
      <c r="B6" s="19" t="s">
        <v>71</v>
      </c>
      <c r="C6" s="101">
        <v>0.16706933341386659</v>
      </c>
    </row>
    <row r="7" spans="1:8" ht="15.75" customHeight="1" x14ac:dyDescent="0.25">
      <c r="B7" s="19" t="s">
        <v>72</v>
      </c>
      <c r="C7" s="101">
        <v>0.42742528548505748</v>
      </c>
    </row>
    <row r="8" spans="1:8" ht="15.75" customHeight="1" x14ac:dyDescent="0.25">
      <c r="B8" s="19" t="s">
        <v>73</v>
      </c>
      <c r="C8" s="101">
        <v>4.3700008740001817E-5</v>
      </c>
    </row>
    <row r="9" spans="1:8" ht="15.75" customHeight="1" x14ac:dyDescent="0.25">
      <c r="B9" s="19" t="s">
        <v>74</v>
      </c>
      <c r="C9" s="101">
        <v>0.19184183836836749</v>
      </c>
    </row>
    <row r="10" spans="1:8" ht="15.75" customHeight="1" x14ac:dyDescent="0.25">
      <c r="B10" s="19" t="s">
        <v>75</v>
      </c>
      <c r="C10" s="101">
        <v>0.10006872001374389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8.9962548660723382E-2</v>
      </c>
      <c r="D14" s="55">
        <v>8.9962548660723382E-2</v>
      </c>
      <c r="E14" s="55">
        <v>8.9962548660723382E-2</v>
      </c>
      <c r="F14" s="55">
        <v>8.9962548660723382E-2</v>
      </c>
    </row>
    <row r="15" spans="1:8" ht="15.75" customHeight="1" x14ac:dyDescent="0.25">
      <c r="B15" s="19" t="s">
        <v>82</v>
      </c>
      <c r="C15" s="101">
        <v>0.47128850428328262</v>
      </c>
      <c r="D15" s="101">
        <v>0.47128850428328262</v>
      </c>
      <c r="E15" s="101">
        <v>0.47128850428328262</v>
      </c>
      <c r="F15" s="101">
        <v>0.47128850428328262</v>
      </c>
    </row>
    <row r="16" spans="1:8" ht="15.75" customHeight="1" x14ac:dyDescent="0.25">
      <c r="B16" s="19" t="s">
        <v>83</v>
      </c>
      <c r="C16" s="101">
        <v>2.1451893525098679E-2</v>
      </c>
      <c r="D16" s="101">
        <v>2.1451893525098679E-2</v>
      </c>
      <c r="E16" s="101">
        <v>2.1451893525098679E-2</v>
      </c>
      <c r="F16" s="101">
        <v>2.1451893525098679E-2</v>
      </c>
    </row>
    <row r="17" spans="1:8" ht="15.75" customHeight="1" x14ac:dyDescent="0.25">
      <c r="B17" s="19" t="s">
        <v>84</v>
      </c>
      <c r="C17" s="101">
        <v>4.399615969642604E-3</v>
      </c>
      <c r="D17" s="101">
        <v>4.399615969642604E-3</v>
      </c>
      <c r="E17" s="101">
        <v>4.399615969642604E-3</v>
      </c>
      <c r="F17" s="101">
        <v>4.399615969642604E-3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8.5593931275366152E-3</v>
      </c>
      <c r="D19" s="101">
        <v>8.5593931275366152E-3</v>
      </c>
      <c r="E19" s="101">
        <v>8.5593931275366152E-3</v>
      </c>
      <c r="F19" s="101">
        <v>8.5593931275366152E-3</v>
      </c>
    </row>
    <row r="20" spans="1:8" ht="15.75" customHeight="1" x14ac:dyDescent="0.25">
      <c r="B20" s="19" t="s">
        <v>87</v>
      </c>
      <c r="C20" s="101">
        <v>2.388630710131014E-2</v>
      </c>
      <c r="D20" s="101">
        <v>2.388630710131014E-2</v>
      </c>
      <c r="E20" s="101">
        <v>2.388630710131014E-2</v>
      </c>
      <c r="F20" s="101">
        <v>2.388630710131014E-2</v>
      </c>
    </row>
    <row r="21" spans="1:8" ht="15.75" customHeight="1" x14ac:dyDescent="0.25">
      <c r="B21" s="19" t="s">
        <v>88</v>
      </c>
      <c r="C21" s="101">
        <v>0.32209522878253438</v>
      </c>
      <c r="D21" s="101">
        <v>0.32209522878253438</v>
      </c>
      <c r="E21" s="101">
        <v>0.32209522878253438</v>
      </c>
      <c r="F21" s="101">
        <v>0.32209522878253438</v>
      </c>
    </row>
    <row r="22" spans="1:8" ht="15.75" customHeight="1" x14ac:dyDescent="0.25">
      <c r="B22" s="19" t="s">
        <v>89</v>
      </c>
      <c r="C22" s="101">
        <v>5.8356508549871497E-2</v>
      </c>
      <c r="D22" s="101">
        <v>5.8356508549871497E-2</v>
      </c>
      <c r="E22" s="101">
        <v>5.8356508549871497E-2</v>
      </c>
      <c r="F22" s="101">
        <v>5.8356508549871497E-2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3.8186174000000003E-2</v>
      </c>
    </row>
    <row r="27" spans="1:8" ht="15.75" customHeight="1" x14ac:dyDescent="0.25">
      <c r="B27" s="19" t="s">
        <v>92</v>
      </c>
      <c r="C27" s="101">
        <v>3.5979345000000003E-2</v>
      </c>
    </row>
    <row r="28" spans="1:8" ht="15.75" customHeight="1" x14ac:dyDescent="0.25">
      <c r="B28" s="19" t="s">
        <v>93</v>
      </c>
      <c r="C28" s="101">
        <v>0.17918920699999999</v>
      </c>
    </row>
    <row r="29" spans="1:8" ht="15.75" customHeight="1" x14ac:dyDescent="0.25">
      <c r="B29" s="19" t="s">
        <v>94</v>
      </c>
      <c r="C29" s="101">
        <v>9.3383905000000003E-2</v>
      </c>
    </row>
    <row r="30" spans="1:8" ht="15.75" customHeight="1" x14ac:dyDescent="0.25">
      <c r="B30" s="19" t="s">
        <v>95</v>
      </c>
      <c r="C30" s="101">
        <v>4.2695289999999983E-2</v>
      </c>
    </row>
    <row r="31" spans="1:8" ht="15.75" customHeight="1" x14ac:dyDescent="0.25">
      <c r="B31" s="19" t="s">
        <v>96</v>
      </c>
      <c r="C31" s="101">
        <v>0.135273369</v>
      </c>
    </row>
    <row r="32" spans="1:8" ht="15.75" customHeight="1" x14ac:dyDescent="0.25">
      <c r="B32" s="19" t="s">
        <v>97</v>
      </c>
      <c r="C32" s="101">
        <v>0.18705686599999999</v>
      </c>
    </row>
    <row r="33" spans="2:3" ht="15.75" customHeight="1" x14ac:dyDescent="0.25">
      <c r="B33" s="19" t="s">
        <v>98</v>
      </c>
      <c r="C33" s="101">
        <v>0.13805392899999999</v>
      </c>
    </row>
    <row r="34" spans="2:3" ht="15.75" customHeight="1" x14ac:dyDescent="0.25">
      <c r="B34" s="19" t="s">
        <v>99</v>
      </c>
      <c r="C34" s="101">
        <v>0.150181916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0.71991406732802443</v>
      </c>
      <c r="D2" s="52">
        <f>IFERROR(1-_xlfn.NORM.DIST(_xlfn.NORM.INV(SUM(D4:D5), 0, 1) + 1, 0, 1, TRUE), "")</f>
        <v>0.71991406732802443</v>
      </c>
      <c r="E2" s="52">
        <f>IFERROR(1-_xlfn.NORM.DIST(_xlfn.NORM.INV(SUM(E4:E5), 0, 1) + 1, 0, 1, TRUE), "")</f>
        <v>0.69603791482324251</v>
      </c>
      <c r="F2" s="52">
        <f>IFERROR(1-_xlfn.NORM.DIST(_xlfn.NORM.INV(SUM(F4:F5), 0, 1) + 1, 0, 1, TRUE), "")</f>
        <v>0.71878964149994229</v>
      </c>
      <c r="G2" s="52">
        <f>IFERROR(1-_xlfn.NORM.DIST(_xlfn.NORM.INV(SUM(G4:G5), 0, 1) + 1, 0, 1, TRUE), "")</f>
        <v>0.65385158335828997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0.22332803267197551</v>
      </c>
      <c r="D3" s="52">
        <f>IFERROR(_xlfn.NORM.DIST(_xlfn.NORM.INV(SUM(D4:D5), 0, 1) + 1, 0, 1, TRUE) - SUM(D4:D5), "")</f>
        <v>0.22332803267197551</v>
      </c>
      <c r="E3" s="52">
        <f>IFERROR(_xlfn.NORM.DIST(_xlfn.NORM.INV(SUM(E4:E5), 0, 1) + 1, 0, 1, TRUE) - SUM(E4:E5), "")</f>
        <v>0.23882718517675744</v>
      </c>
      <c r="F3" s="52">
        <f>IFERROR(_xlfn.NORM.DIST(_xlfn.NORM.INV(SUM(F4:F5), 0, 1) + 1, 0, 1, TRUE) - SUM(F4:F5), "")</f>
        <v>0.2240709585000577</v>
      </c>
      <c r="G3" s="52">
        <f>IFERROR(_xlfn.NORM.DIST(_xlfn.NORM.INV(SUM(G4:G5), 0, 1) + 1, 0, 1, TRUE) - SUM(G4:G5), "")</f>
        <v>0.26475201664171005</v>
      </c>
    </row>
    <row r="4" spans="1:15" ht="15.75" customHeight="1" x14ac:dyDescent="0.25">
      <c r="B4" s="5" t="s">
        <v>104</v>
      </c>
      <c r="C4" s="45">
        <v>3.2299599999999998E-2</v>
      </c>
      <c r="D4" s="53">
        <v>3.2299599999999998E-2</v>
      </c>
      <c r="E4" s="53">
        <v>2.3189100000000001E-2</v>
      </c>
      <c r="F4" s="53">
        <v>3.1199399999999999E-2</v>
      </c>
      <c r="G4" s="53">
        <v>4.7052899999999988E-2</v>
      </c>
    </row>
    <row r="5" spans="1:15" ht="15.75" customHeight="1" x14ac:dyDescent="0.25">
      <c r="B5" s="5" t="s">
        <v>105</v>
      </c>
      <c r="C5" s="45">
        <v>2.4458299999999999E-2</v>
      </c>
      <c r="D5" s="53">
        <v>2.4458299999999999E-2</v>
      </c>
      <c r="E5" s="53">
        <v>4.1945800000000012E-2</v>
      </c>
      <c r="F5" s="53">
        <v>2.5940000000000001E-2</v>
      </c>
      <c r="G5" s="53">
        <v>3.4343499999999999E-2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0.65561821603473891</v>
      </c>
      <c r="D8" s="52">
        <f>IFERROR(1-_xlfn.NORM.DIST(_xlfn.NORM.INV(SUM(D10:D11), 0, 1) + 1, 0, 1, TRUE), "")</f>
        <v>0.65561821603473891</v>
      </c>
      <c r="E8" s="52">
        <f>IFERROR(1-_xlfn.NORM.DIST(_xlfn.NORM.INV(SUM(E10:E11), 0, 1) + 1, 0, 1, TRUE), "")</f>
        <v>0.67788556299605163</v>
      </c>
      <c r="F8" s="52">
        <f>IFERROR(1-_xlfn.NORM.DIST(_xlfn.NORM.INV(SUM(F10:F11), 0, 1) + 1, 0, 1, TRUE), "")</f>
        <v>0.78090906818077377</v>
      </c>
      <c r="G8" s="52">
        <f>IFERROR(1-_xlfn.NORM.DIST(_xlfn.NORM.INV(SUM(G10:G11), 0, 1) + 1, 0, 1, TRUE), "")</f>
        <v>0.7805327279926525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0.2637049839652611</v>
      </c>
      <c r="D9" s="52">
        <f>IFERROR(_xlfn.NORM.DIST(_xlfn.NORM.INV(SUM(D10:D11), 0, 1) + 1, 0, 1, TRUE) - SUM(D10:D11), "")</f>
        <v>0.2637049839652611</v>
      </c>
      <c r="E9" s="52">
        <f>IFERROR(_xlfn.NORM.DIST(_xlfn.NORM.INV(SUM(E10:E11), 0, 1) + 1, 0, 1, TRUE) - SUM(E10:E11), "")</f>
        <v>0.25021563700394839</v>
      </c>
      <c r="F9" s="52">
        <f>IFERROR(_xlfn.NORM.DIST(_xlfn.NORM.INV(SUM(F10:F11), 0, 1) + 1, 0, 1, TRUE) - SUM(F10:F11), "")</f>
        <v>0.18116403181922625</v>
      </c>
      <c r="G9" s="52">
        <f>IFERROR(_xlfn.NORM.DIST(_xlfn.NORM.INV(SUM(G10:G11), 0, 1) + 1, 0, 1, TRUE) - SUM(G10:G11), "")</f>
        <v>0.18143517200734749</v>
      </c>
    </row>
    <row r="10" spans="1:15" ht="15.75" customHeight="1" x14ac:dyDescent="0.25">
      <c r="B10" s="5" t="s">
        <v>109</v>
      </c>
      <c r="C10" s="45">
        <v>3.7755499999999997E-2</v>
      </c>
      <c r="D10" s="53">
        <v>3.7755499999999997E-2</v>
      </c>
      <c r="E10" s="53">
        <v>5.1403200000000003E-2</v>
      </c>
      <c r="F10" s="53">
        <v>3.3150300000000001E-2</v>
      </c>
      <c r="G10" s="53">
        <v>3.0782299999999999E-2</v>
      </c>
    </row>
    <row r="11" spans="1:15" ht="15.75" customHeight="1" x14ac:dyDescent="0.25">
      <c r="B11" s="5" t="s">
        <v>110</v>
      </c>
      <c r="C11" s="45">
        <v>4.2921300000000003E-2</v>
      </c>
      <c r="D11" s="53">
        <v>4.2921300000000003E-2</v>
      </c>
      <c r="E11" s="53">
        <v>2.0495599999999999E-2</v>
      </c>
      <c r="F11" s="53">
        <v>4.7765999999999998E-3</v>
      </c>
      <c r="G11" s="53">
        <v>7.2497999999999998E-3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0.58198644774999997</v>
      </c>
      <c r="D14" s="54">
        <v>0.553427985096</v>
      </c>
      <c r="E14" s="54">
        <v>0.553427985096</v>
      </c>
      <c r="F14" s="54">
        <v>0.36485581126</v>
      </c>
      <c r="G14" s="54">
        <v>0.36485581126</v>
      </c>
      <c r="H14" s="45">
        <v>0.39</v>
      </c>
      <c r="I14" s="55">
        <v>0.39</v>
      </c>
      <c r="J14" s="55">
        <v>0.39</v>
      </c>
      <c r="K14" s="55">
        <v>0.39</v>
      </c>
      <c r="L14" s="45">
        <v>0.30599999999999999</v>
      </c>
      <c r="M14" s="55">
        <v>0.30599999999999999</v>
      </c>
      <c r="N14" s="55">
        <v>0.30599999999999999</v>
      </c>
      <c r="O14" s="55">
        <v>0.30599999999999999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0.28106744500862374</v>
      </c>
      <c r="D15" s="52">
        <f t="shared" si="0"/>
        <v>0.26727527826218772</v>
      </c>
      <c r="E15" s="52">
        <f t="shared" si="0"/>
        <v>0.26727527826218772</v>
      </c>
      <c r="F15" s="52">
        <f t="shared" si="0"/>
        <v>0.17620528976896072</v>
      </c>
      <c r="G15" s="52">
        <f t="shared" si="0"/>
        <v>0.17620528976896072</v>
      </c>
      <c r="H15" s="52">
        <f t="shared" si="0"/>
        <v>0.18834855</v>
      </c>
      <c r="I15" s="52">
        <f t="shared" si="0"/>
        <v>0.18834855</v>
      </c>
      <c r="J15" s="52">
        <f t="shared" si="0"/>
        <v>0.18834855</v>
      </c>
      <c r="K15" s="52">
        <f t="shared" si="0"/>
        <v>0.18834855</v>
      </c>
      <c r="L15" s="52">
        <f t="shared" si="0"/>
        <v>0.14778116999999999</v>
      </c>
      <c r="M15" s="52">
        <f t="shared" si="0"/>
        <v>0.14778116999999999</v>
      </c>
      <c r="N15" s="52">
        <f t="shared" si="0"/>
        <v>0.14778116999999999</v>
      </c>
      <c r="O15" s="52">
        <f t="shared" si="0"/>
        <v>0.14778116999999999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0.63254330000000003</v>
      </c>
      <c r="D2" s="53">
        <v>0.39031369999999999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5.8057499999999998E-2</v>
      </c>
      <c r="D3" s="53">
        <v>0.14022200000000001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0.2716944</v>
      </c>
      <c r="D4" s="53">
        <v>0.33379629999999999</v>
      </c>
      <c r="E4" s="53">
        <v>0.65952209999999989</v>
      </c>
      <c r="F4" s="53">
        <v>0.45808939999999998</v>
      </c>
      <c r="G4" s="53">
        <v>0</v>
      </c>
    </row>
    <row r="5" spans="1:7" x14ac:dyDescent="0.25">
      <c r="B5" s="3" t="s">
        <v>122</v>
      </c>
      <c r="C5" s="52">
        <v>3.7704799999999997E-2</v>
      </c>
      <c r="D5" s="52">
        <v>0.13566800000000001</v>
      </c>
      <c r="E5" s="52">
        <f>1-SUM(E2:E4)</f>
        <v>0.34047790000000011</v>
      </c>
      <c r="F5" s="52">
        <f>1-SUM(F2:F4)</f>
        <v>0.54191060000000002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64.978466716900769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0.24163745627</v>
      </c>
      <c r="C3" s="98">
        <v>0.95</v>
      </c>
      <c r="D3" s="56">
        <v>40.035884855702882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523.3469422837544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2.3575314448863529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0.29817860000000002</v>
      </c>
      <c r="C10" s="98">
        <v>0.95</v>
      </c>
      <c r="D10" s="56">
        <v>13.16818429949879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0.29817860000000002</v>
      </c>
      <c r="C11" s="98">
        <v>0.95</v>
      </c>
      <c r="D11" s="56">
        <v>13.16818429949879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0.29817860000000002</v>
      </c>
      <c r="C12" s="98">
        <v>0.95</v>
      </c>
      <c r="D12" s="56">
        <v>13.16818429949879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0.29817860000000002</v>
      </c>
      <c r="C13" s="98">
        <v>0.95</v>
      </c>
      <c r="D13" s="56">
        <v>13.16818429949879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0.29817860000000002</v>
      </c>
      <c r="C14" s="98">
        <v>0.95</v>
      </c>
      <c r="D14" s="56">
        <v>13.16818429949879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0.29817860000000002</v>
      </c>
      <c r="C15" s="98">
        <v>0.95</v>
      </c>
      <c r="D15" s="56">
        <v>13.16818429949879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0.98</v>
      </c>
      <c r="C16" s="98">
        <v>0.95</v>
      </c>
      <c r="D16" s="56">
        <v>0.87495009939413526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0.5554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0.12553757383518999</v>
      </c>
      <c r="C18" s="98">
        <v>0.95</v>
      </c>
      <c r="D18" s="56">
        <v>12.03223213704624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0.93043739999999997</v>
      </c>
      <c r="C19" s="98">
        <v>0.95</v>
      </c>
      <c r="D19" s="56">
        <v>12.03223213704624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0.89245750000000001</v>
      </c>
      <c r="C21" s="98">
        <v>0.95</v>
      </c>
      <c r="D21" s="56">
        <v>23.370362340463299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22.805877504333029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4.3768406970404801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0.95128234381227994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0.29817860000000002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18.714394010930931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0.74599349797708991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129.5082053629678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2.7005701608607802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1.894695667647958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0.54248930000000006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0.53874940000000004</v>
      </c>
      <c r="C38" s="98">
        <v>0.95</v>
      </c>
      <c r="D38" s="56">
        <v>6.0398139560416322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9.8164299999999996E-2</v>
      </c>
      <c r="C3" s="21">
        <f>frac_mam_1_5months * 2.6</f>
        <v>9.8164299999999996E-2</v>
      </c>
      <c r="D3" s="21">
        <f>frac_mam_6_11months * 2.6</f>
        <v>0.13364832000000001</v>
      </c>
      <c r="E3" s="21">
        <f>frac_mam_12_23months * 2.6</f>
        <v>8.6190780000000008E-2</v>
      </c>
      <c r="F3" s="21">
        <f>frac_mam_24_59months * 2.6</f>
        <v>8.0033980000000005E-2</v>
      </c>
    </row>
    <row r="4" spans="1:6" ht="15.75" customHeight="1" x14ac:dyDescent="0.25">
      <c r="A4" s="3" t="s">
        <v>205</v>
      </c>
      <c r="B4" s="21">
        <f>frac_sam_1month * 2.6</f>
        <v>0.11159538000000001</v>
      </c>
      <c r="C4" s="21">
        <f>frac_sam_1_5months * 2.6</f>
        <v>0.11159538000000001</v>
      </c>
      <c r="D4" s="21">
        <f>frac_sam_6_11months * 2.6</f>
        <v>5.3288559999999999E-2</v>
      </c>
      <c r="E4" s="21">
        <f>frac_sam_12_23months * 2.6</f>
        <v>1.241916E-2</v>
      </c>
      <c r="F4" s="21">
        <f>frac_sam_24_59months * 2.6</f>
        <v>1.8849480000000002E-2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1.4E-2</v>
      </c>
      <c r="E2" s="60">
        <f>food_insecure</f>
        <v>1.4E-2</v>
      </c>
      <c r="F2" s="60">
        <f>food_insecure</f>
        <v>1.4E-2</v>
      </c>
      <c r="G2" s="60">
        <f>food_insecure</f>
        <v>1.4E-2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1.4E-2</v>
      </c>
      <c r="I15" s="60">
        <f>food_insecure</f>
        <v>1.4E-2</v>
      </c>
      <c r="J15" s="60">
        <f>food_insecure</f>
        <v>1.4E-2</v>
      </c>
      <c r="K15" s="60">
        <f>food_insecure</f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5.9244940426635952E-2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2.5390688754272556E-2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3.555129098510755E-2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0.87981307983398394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0929C1-E92A-41C2-A728-02557FF201B4}"/>
</file>

<file path=customXml/itemProps2.xml><?xml version="1.0" encoding="utf-8"?>
<ds:datastoreItem xmlns:ds="http://schemas.openxmlformats.org/officeDocument/2006/customXml" ds:itemID="{48D96825-3CB4-40D8-8D26-6451DFB98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2024-04-11T00:40:31Z</dcterms:modified>
</cp:coreProperties>
</file>