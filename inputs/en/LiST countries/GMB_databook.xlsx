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B688CDF-094D-4CEF-B997-E266BA69521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7" i="2"/>
  <c r="A33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<sst xmlns="http://schemas.openxmlformats.org/spreadsheetml/2006/main" count="2101" uniqueCount="341">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</sst>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7.5999999999999998E-2</v>
      </c>
    </row>
    <row r="24" spans="1:3" ht="15" customHeight="1" x14ac:dyDescent="0.25">
      <c r="B24" s="15" t="s">
        <v>22</v>
      </c>
      <c r="C24" s="45">
        <v>0.42870000000000003</v>
      </c>
    </row>
    <row r="25" spans="1:3" ht="15" customHeight="1" x14ac:dyDescent="0.25">
      <c r="B25" s="15" t="s">
        <v>23</v>
      </c>
      <c r="C25" s="45">
        <v>0.38779999999999998</v>
      </c>
    </row>
    <row r="26" spans="1:3" ht="15" customHeight="1" x14ac:dyDescent="0.25">
      <c r="B26" s="15" t="s">
        <v>24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0.58969668283167476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0.70706266146872643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0.32567734710074681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13.46512306465123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13.46512306465123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13.46512306465123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13.46512306465123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13.46512306465123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13.46512306465123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0.50625290000000001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0.77200000000000002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0.1464792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22.937030782027101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0.18503539999999999</v>
      </c>
      <c r="C23" s="98">
        <v>0.95</v>
      </c>
      <c r="D23" s="56">
        <v>4.4144238992015667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0.87473390287197805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8.0000000000000002E-3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0.199735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0.26319480000000001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0.2726925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0.1465804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0.88436610000000004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0.21099999999999999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0.10957176545873382</v>
      </c>
      <c r="G18" s="90">
        <f>MIN(MAX(1-0.89/(1-frac_sam_12_23months+(frac_sam_12_23months*0.89)),0),1)</f>
        <v>0.10837566017669409</v>
      </c>
      <c r="H18" s="90">
        <f>MIN(MAX(1-0.89/(1-frac_sam_24_59months+(frac_sam_24_59months*0.89)),0),1)</f>
        <v>0.10957145187707384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0.10675684939174068</v>
      </c>
      <c r="G20" s="90">
        <f>MIN(MAX(1-0.89/(1-frac_mam_12_23months+(frac_mam_12_23months*0.89)),0),1)</f>
        <v>0.10707690731949304</v>
      </c>
      <c r="H20" s="90">
        <f>MIN(MAX(1-0.89/(1-frac_mam_24_59months+(frac_mam_24_59months*0.89)),0),1)</f>
        <v>0.10798237745219352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9.9567143175067763E-3</v>
      </c>
      <c r="G73" s="90">
        <f>MIN(MAX(1-0.99/(1-frac_sam_12_23months+(frac_sam_12_23months*0.99)),0),1)</f>
        <v>9.8360130011292402E-3</v>
      </c>
      <c r="H73" s="90">
        <f>MIN(MAX(1-0.99/(1-frac_sam_24_59months+(frac_sam_24_59months*0.99)),0),1)</f>
        <v>9.9566826347353699E-3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9.6731237982989882E-3</v>
      </c>
      <c r="G75" s="90">
        <f>MIN(MAX(1-0.99/(1-frac_mam_12_23months+(frac_mam_12_23months*0.99)),0),1)</f>
        <v>9.705286312617134E-3</v>
      </c>
      <c r="H75" s="90">
        <f>MIN(MAX(1-0.99/(1-frac_mam_24_59months+(frac_mam_24_59months*0.99)),0),1)</f>
        <v>9.7963903729740842E-3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0.1992998517763902</v>
      </c>
      <c r="G128" s="90">
        <f>MIN(MAX(1-0.8/(1-frac_sam_12_23months+(frac_sam_12_23months*0.8)),0),1)</f>
        <v>0.19734133765955653</v>
      </c>
      <c r="H128" s="90">
        <f>MIN(MAX(1-0.8/(1-frac_sam_24_59months+(frac_sam_24_59months*0.8)),0),1)</f>
        <v>0.19929933887947993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0.19468380175523092</v>
      </c>
      <c r="G130" s="90">
        <f>MIN(MAX(1-0.8/(1-frac_mam_12_23months+(frac_mam_12_23months*0.8)),0),1)</f>
        <v>0.19520985687652326</v>
      </c>
      <c r="H130" s="90">
        <f>MIN(MAX(1-0.8/(1-frac_mam_24_59months+(frac_mam_24_59months*0.8)),0),1)</f>
        <v>0.1966964301350016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2024-08-06T06:31:28Z</dcterms:modified>
</cp:coreProperties>
</file>