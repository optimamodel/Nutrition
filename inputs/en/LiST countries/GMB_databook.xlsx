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64D0B4CA-2606-4099-8DC6-775F059B7E4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6" i="2"/>
  <c r="A35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I38" i="2"/>
  <c r="A22" i="2"/>
  <c r="A23" i="2"/>
  <c r="A24" i="2"/>
  <c r="A40" i="2"/>
  <c r="I4" i="2"/>
  <c r="A25" i="2"/>
  <c r="I8" i="2"/>
  <c r="A1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<sst xmlns="http://schemas.openxmlformats.org/spreadsheetml/2006/main" count="2169" uniqueCount="373">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</sst>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388064</v>
      </c>
    </row>
    <row r="8" spans="1:3" ht="15" customHeight="1" x14ac:dyDescent="0.25">
      <c r="B8" s="5" t="s">
        <v>8</v>
      </c>
      <c r="C8" s="44">
        <v>0.52700000000000002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7.5999999999999998E-2</v>
      </c>
    </row>
    <row r="24" spans="1:3" ht="15" customHeight="1" x14ac:dyDescent="0.25">
      <c r="B24" s="15" t="s">
        <v>22</v>
      </c>
      <c r="C24" s="45">
        <v>0.42870000000000003</v>
      </c>
    </row>
    <row r="25" spans="1:3" ht="15" customHeight="1" x14ac:dyDescent="0.25">
      <c r="B25" s="15" t="s">
        <v>23</v>
      </c>
      <c r="C25" s="45">
        <v>0.38779999999999998</v>
      </c>
    </row>
    <row r="26" spans="1:3" ht="15" customHeight="1" x14ac:dyDescent="0.25">
      <c r="B26" s="15" t="s">
        <v>24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7">
        <v>6.2316367797226199E-2</v>
      </c>
    </row>
    <row r="31" spans="1:3" ht="14.25" customHeight="1" x14ac:dyDescent="0.25">
      <c r="B31" s="25" t="s">
        <v>28</v>
      </c>
      <c r="C31" s="97">
        <v>9.3002675244955299E-2</v>
      </c>
    </row>
    <row r="32" spans="1:3" ht="14.25" customHeight="1" x14ac:dyDescent="0.25">
      <c r="B32" s="25" t="s">
        <v>29</v>
      </c>
      <c r="C32" s="97">
        <v>0.57727172260250903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98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4.29</v>
      </c>
      <c r="D51" s="12"/>
    </row>
    <row r="52" spans="1:4" ht="15" customHeight="1" x14ac:dyDescent="0.25">
      <c r="B52" s="11" t="s">
        <v>46</v>
      </c>
      <c r="C52" s="98">
        <v>4.29</v>
      </c>
    </row>
    <row r="53" spans="1:4" ht="15.75" customHeight="1" x14ac:dyDescent="0.25">
      <c r="B53" s="11" t="s">
        <v>47</v>
      </c>
      <c r="C53" s="98">
        <v>7.5139999999999993</v>
      </c>
    </row>
    <row r="54" spans="1:4" ht="15.75" customHeight="1" x14ac:dyDescent="0.25">
      <c r="B54" s="11" t="s">
        <v>48</v>
      </c>
      <c r="C54" s="98">
        <v>8.1120000000000001</v>
      </c>
    </row>
    <row r="55" spans="1:4" ht="15.75" customHeight="1" x14ac:dyDescent="0.25">
      <c r="B55" s="11" t="s">
        <v>49</v>
      </c>
      <c r="C55" s="98">
        <v>3.5706666666666669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82405</v>
      </c>
      <c r="C2" s="49">
        <v>150960.5</v>
      </c>
      <c r="D2" s="49">
        <v>241543.5</v>
      </c>
      <c r="E2" s="49">
        <v>176417</v>
      </c>
      <c r="F2" s="49">
        <v>106454</v>
      </c>
      <c r="G2" s="17">
        <f t="shared" ref="G2:G13" si="0">C2+D2+E2+F2</f>
        <v>675375</v>
      </c>
      <c r="H2" s="17">
        <f t="shared" ref="H2:H13" si="1">(B2 + stillbirth*B2/(1000-stillbirth))/(1-abortion)</f>
        <v>94980.834510065237</v>
      </c>
      <c r="I2" s="17">
        <f t="shared" ref="I2:I13" si="2">G2-H2</f>
        <v>580394.16548993473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82555</v>
      </c>
      <c r="C3" s="50">
        <v>155491.5</v>
      </c>
      <c r="D3" s="50">
        <v>246716.5</v>
      </c>
      <c r="E3" s="50">
        <v>183257.99999999997</v>
      </c>
      <c r="F3" s="50">
        <v>111148</v>
      </c>
      <c r="G3" s="17">
        <f t="shared" si="0"/>
        <v>696614</v>
      </c>
      <c r="H3" s="17">
        <f t="shared" si="1"/>
        <v>95153.726023644645</v>
      </c>
      <c r="I3" s="17">
        <f t="shared" si="2"/>
        <v>601460.27397635533</v>
      </c>
    </row>
    <row r="4" spans="1:9" ht="15.75" customHeight="1" x14ac:dyDescent="0.25">
      <c r="A4" s="5">
        <f t="shared" si="3"/>
        <v>2026</v>
      </c>
      <c r="B4" s="49">
        <v>82634</v>
      </c>
      <c r="C4" s="50">
        <v>160038.5</v>
      </c>
      <c r="D4" s="50">
        <v>252547.00000000003</v>
      </c>
      <c r="E4" s="50">
        <v>189808.49999999997</v>
      </c>
      <c r="F4" s="50">
        <v>116439</v>
      </c>
      <c r="G4" s="17">
        <f t="shared" si="0"/>
        <v>718833</v>
      </c>
      <c r="H4" s="17">
        <f t="shared" si="1"/>
        <v>95244.782220796449</v>
      </c>
      <c r="I4" s="17">
        <f t="shared" si="2"/>
        <v>623588.21777920355</v>
      </c>
    </row>
    <row r="5" spans="1:9" ht="15.75" customHeight="1" x14ac:dyDescent="0.25">
      <c r="A5" s="5">
        <f t="shared" si="3"/>
        <v>2027</v>
      </c>
      <c r="B5" s="49">
        <v>82701</v>
      </c>
      <c r="C5" s="50">
        <v>164745.5</v>
      </c>
      <c r="D5" s="50">
        <v>259004.5</v>
      </c>
      <c r="E5" s="50">
        <v>196007.5</v>
      </c>
      <c r="F5" s="50">
        <v>122253.5</v>
      </c>
      <c r="G5" s="17">
        <f t="shared" si="0"/>
        <v>742011</v>
      </c>
      <c r="H5" s="17">
        <f t="shared" si="1"/>
        <v>95322.007096861926</v>
      </c>
      <c r="I5" s="17">
        <f t="shared" si="2"/>
        <v>646688.99290313805</v>
      </c>
    </row>
    <row r="6" spans="1:9" ht="15.75" customHeight="1" x14ac:dyDescent="0.25">
      <c r="A6" s="5">
        <f t="shared" si="3"/>
        <v>2028</v>
      </c>
      <c r="B6" s="49">
        <v>82773</v>
      </c>
      <c r="C6" s="50">
        <v>169530.5</v>
      </c>
      <c r="D6" s="50">
        <v>265821.5</v>
      </c>
      <c r="E6" s="50">
        <v>201943.5</v>
      </c>
      <c r="F6" s="50">
        <v>128411.49999999999</v>
      </c>
      <c r="G6" s="17">
        <f t="shared" si="0"/>
        <v>765707</v>
      </c>
      <c r="H6" s="17">
        <f t="shared" si="1"/>
        <v>95404.995023380019</v>
      </c>
      <c r="I6" s="17">
        <f t="shared" si="2"/>
        <v>670302.00497661997</v>
      </c>
    </row>
    <row r="7" spans="1:9" ht="15.75" customHeight="1" x14ac:dyDescent="0.25">
      <c r="A7" s="5">
        <f t="shared" si="3"/>
        <v>2029</v>
      </c>
      <c r="B7" s="49">
        <v>82836</v>
      </c>
      <c r="C7" s="50">
        <v>173731.5</v>
      </c>
      <c r="D7" s="50">
        <v>273024</v>
      </c>
      <c r="E7" s="50">
        <v>207595.50000000003</v>
      </c>
      <c r="F7" s="50">
        <v>134819.5</v>
      </c>
      <c r="G7" s="17">
        <f t="shared" si="0"/>
        <v>789170.5</v>
      </c>
      <c r="H7" s="17">
        <f t="shared" si="1"/>
        <v>95477.609459083367</v>
      </c>
      <c r="I7" s="17">
        <f t="shared" si="2"/>
        <v>693692.89054091659</v>
      </c>
    </row>
    <row r="8" spans="1:9" ht="15.75" customHeight="1" x14ac:dyDescent="0.25">
      <c r="A8" s="5">
        <f t="shared" si="3"/>
        <v>2030</v>
      </c>
      <c r="B8" s="49">
        <v>82941</v>
      </c>
      <c r="C8" s="50">
        <v>176920</v>
      </c>
      <c r="D8" s="50">
        <v>280759</v>
      </c>
      <c r="E8" s="50">
        <v>212868</v>
      </c>
      <c r="F8" s="50">
        <v>141461.5</v>
      </c>
      <c r="G8" s="17">
        <f t="shared" si="0"/>
        <v>812008.5</v>
      </c>
      <c r="H8" s="17">
        <f t="shared" si="1"/>
        <v>95598.633518588933</v>
      </c>
      <c r="I8" s="17">
        <f t="shared" si="2"/>
        <v>716409.86648141104</v>
      </c>
    </row>
    <row r="9" spans="1:9" ht="15.75" customHeight="1" x14ac:dyDescent="0.25">
      <c r="A9" s="5">
        <f t="shared" si="3"/>
        <v>2031</v>
      </c>
      <c r="B9" s="49">
        <v>83035</v>
      </c>
      <c r="C9" s="50">
        <v>178961</v>
      </c>
      <c r="D9" s="50">
        <v>289077</v>
      </c>
      <c r="E9" s="50">
        <v>217850.5</v>
      </c>
      <c r="F9" s="50">
        <v>148267.49999999997</v>
      </c>
      <c r="G9" s="17">
        <f t="shared" si="0"/>
        <v>834156</v>
      </c>
      <c r="H9" s="17">
        <f t="shared" si="1"/>
        <v>95706.978867098689</v>
      </c>
      <c r="I9" s="17">
        <f t="shared" si="2"/>
        <v>738449.02113290131</v>
      </c>
    </row>
    <row r="10" spans="1:9" ht="15.75" customHeight="1" x14ac:dyDescent="0.25">
      <c r="A10" s="5">
        <f t="shared" si="3"/>
        <v>2032</v>
      </c>
      <c r="B10" s="49">
        <v>83185</v>
      </c>
      <c r="C10" s="50">
        <v>179724</v>
      </c>
      <c r="D10" s="50">
        <v>298012.50000000006</v>
      </c>
      <c r="E10" s="50">
        <v>222702.5</v>
      </c>
      <c r="F10" s="50">
        <v>155131.5</v>
      </c>
      <c r="G10" s="17">
        <f t="shared" si="0"/>
        <v>855570.5</v>
      </c>
      <c r="H10" s="17">
        <f t="shared" si="1"/>
        <v>95879.870380678083</v>
      </c>
      <c r="I10" s="17">
        <f t="shared" si="2"/>
        <v>759690.6296193219</v>
      </c>
    </row>
    <row r="11" spans="1:9" ht="15.75" customHeight="1" x14ac:dyDescent="0.25">
      <c r="A11" s="5">
        <f t="shared" si="3"/>
        <v>2033</v>
      </c>
      <c r="B11" s="49">
        <v>83407</v>
      </c>
      <c r="C11" s="50">
        <v>179417.5</v>
      </c>
      <c r="D11" s="50">
        <v>307195.00000000006</v>
      </c>
      <c r="E11" s="50">
        <v>227533.00000000003</v>
      </c>
      <c r="F11" s="50">
        <v>161976</v>
      </c>
      <c r="G11" s="17">
        <f t="shared" si="0"/>
        <v>876121.50000000012</v>
      </c>
      <c r="H11" s="17">
        <f t="shared" si="1"/>
        <v>96135.7498207756</v>
      </c>
      <c r="I11" s="17">
        <f t="shared" si="2"/>
        <v>779985.75017922453</v>
      </c>
    </row>
    <row r="12" spans="1:9" ht="15.75" customHeight="1" x14ac:dyDescent="0.25">
      <c r="A12" s="5">
        <f t="shared" si="3"/>
        <v>2034</v>
      </c>
      <c r="B12" s="49">
        <v>83597</v>
      </c>
      <c r="C12" s="50">
        <v>178970</v>
      </c>
      <c r="D12" s="50">
        <v>315837</v>
      </c>
      <c r="E12" s="50">
        <v>232454.99999999997</v>
      </c>
      <c r="F12" s="50">
        <v>168790.5</v>
      </c>
      <c r="G12" s="17">
        <f t="shared" si="0"/>
        <v>896052.5</v>
      </c>
      <c r="H12" s="17">
        <f t="shared" si="1"/>
        <v>96354.745737976147</v>
      </c>
      <c r="I12" s="17">
        <f t="shared" si="2"/>
        <v>799697.75426202384</v>
      </c>
    </row>
    <row r="13" spans="1:9" ht="15.75" customHeight="1" x14ac:dyDescent="0.25">
      <c r="A13" s="5">
        <f t="shared" si="3"/>
        <v>2035</v>
      </c>
      <c r="B13" s="49">
        <v>83786</v>
      </c>
      <c r="C13" s="50">
        <v>179048</v>
      </c>
      <c r="D13" s="50">
        <v>323540</v>
      </c>
      <c r="E13" s="50">
        <v>237690</v>
      </c>
      <c r="F13" s="50">
        <v>175507.5</v>
      </c>
      <c r="G13" s="17">
        <f t="shared" si="0"/>
        <v>915785.5</v>
      </c>
      <c r="H13" s="17">
        <f t="shared" si="1"/>
        <v>96572.589045086192</v>
      </c>
      <c r="I13" s="17">
        <f t="shared" si="2"/>
        <v>819212.91095491382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99">
        <v>5.4278499999999973E-2</v>
      </c>
    </row>
    <row r="5" spans="1:8" ht="15.75" customHeight="1" x14ac:dyDescent="0.25">
      <c r="B5" s="19" t="s">
        <v>70</v>
      </c>
      <c r="C5" s="99">
        <v>6.8896700000000047E-2</v>
      </c>
    </row>
    <row r="6" spans="1:8" ht="15.75" customHeight="1" x14ac:dyDescent="0.25">
      <c r="B6" s="19" t="s">
        <v>71</v>
      </c>
      <c r="C6" s="99">
        <v>0.2405291000000005</v>
      </c>
    </row>
    <row r="7" spans="1:8" ht="15.75" customHeight="1" x14ac:dyDescent="0.25">
      <c r="B7" s="19" t="s">
        <v>72</v>
      </c>
      <c r="C7" s="99">
        <v>0.42675559999999951</v>
      </c>
    </row>
    <row r="8" spans="1:8" ht="15.75" customHeight="1" x14ac:dyDescent="0.25">
      <c r="B8" s="19" t="s">
        <v>73</v>
      </c>
      <c r="C8" s="99">
        <v>1.9896999999999992E-3</v>
      </c>
    </row>
    <row r="9" spans="1:8" ht="15.75" customHeight="1" x14ac:dyDescent="0.25">
      <c r="B9" s="19" t="s">
        <v>74</v>
      </c>
      <c r="C9" s="99">
        <v>8.7416600000000025E-2</v>
      </c>
    </row>
    <row r="10" spans="1:8" ht="15.75" customHeight="1" x14ac:dyDescent="0.25">
      <c r="B10" s="19" t="s">
        <v>75</v>
      </c>
      <c r="C10" s="99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83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84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85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86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87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88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89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99">
        <v>4.2970438999999999E-2</v>
      </c>
    </row>
    <row r="28" spans="1:8" ht="15.75" customHeight="1" x14ac:dyDescent="0.25">
      <c r="B28" s="19" t="s">
        <v>93</v>
      </c>
      <c r="C28" s="99">
        <v>0.19642078600000001</v>
      </c>
    </row>
    <row r="29" spans="1:8" ht="15.75" customHeight="1" x14ac:dyDescent="0.25">
      <c r="B29" s="19" t="s">
        <v>94</v>
      </c>
      <c r="C29" s="99">
        <v>0.206894785</v>
      </c>
    </row>
    <row r="30" spans="1:8" ht="15.75" customHeight="1" x14ac:dyDescent="0.25">
      <c r="B30" s="19" t="s">
        <v>95</v>
      </c>
      <c r="C30" s="99">
        <v>2.7698743000000001E-2</v>
      </c>
    </row>
    <row r="31" spans="1:8" ht="15.75" customHeight="1" x14ac:dyDescent="0.25">
      <c r="B31" s="19" t="s">
        <v>96</v>
      </c>
      <c r="C31" s="99">
        <v>0.20935653800000001</v>
      </c>
    </row>
    <row r="32" spans="1:8" ht="15.75" customHeight="1" x14ac:dyDescent="0.25">
      <c r="B32" s="19" t="s">
        <v>97</v>
      </c>
      <c r="C32" s="99">
        <v>1.2451637999999999E-2</v>
      </c>
    </row>
    <row r="33" spans="2:3" ht="15.75" customHeight="1" x14ac:dyDescent="0.25">
      <c r="B33" s="19" t="s">
        <v>98</v>
      </c>
      <c r="C33" s="99">
        <v>5.1474696E-2</v>
      </c>
    </row>
    <row r="34" spans="2:3" ht="15.75" customHeight="1" x14ac:dyDescent="0.25">
      <c r="B34" s="19" t="s">
        <v>99</v>
      </c>
      <c r="C34" s="99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808.27828149013499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0.41411000000000003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0.57464000000000004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2.0937270670493457E-2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94784.860339999999</v>
      </c>
      <c r="C22" s="107">
        <v>94239.764769999994</v>
      </c>
      <c r="D22" s="107">
        <v>93805.76152</v>
      </c>
      <c r="E22" s="107">
        <v>93296.847800000003</v>
      </c>
      <c r="F22" s="107">
        <v>92569.961790000001</v>
      </c>
      <c r="G22" s="107">
        <v>91625.464439999996</v>
      </c>
      <c r="H22" s="107">
        <v>90284.694900000002</v>
      </c>
      <c r="I22" s="107">
        <v>88340.950790000003</v>
      </c>
      <c r="J22" s="107">
        <v>85658.401370000007</v>
      </c>
      <c r="K22" s="107">
        <v>82128.473740000001</v>
      </c>
      <c r="L22" s="107">
        <v>77528.438569999998</v>
      </c>
      <c r="M22" s="107">
        <v>71485.227110000007</v>
      </c>
      <c r="N22" s="107">
        <v>63335.180809999998</v>
      </c>
      <c r="O22" s="107">
        <v>53144.74005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0.3935863</v>
      </c>
      <c r="C10" s="96">
        <v>0.95</v>
      </c>
      <c r="D10" s="56">
        <v>13.46512306465123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13.46512306465123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13.46512306465123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13.46512306465123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0.3935863</v>
      </c>
      <c r="C14" s="96">
        <v>0.95</v>
      </c>
      <c r="D14" s="56">
        <v>13.46512306465123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13.46512306465123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0.50625290000000001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0.77200000000000002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0.1464792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0.18503539999999999</v>
      </c>
      <c r="C23" s="96">
        <v>0.95</v>
      </c>
      <c r="D23" s="56">
        <v>4.4144238992015667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0.87473390287197805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8.0000000000000002E-3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0.199735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0.26319480000000001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0.24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0.12942334170054301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0.2726925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0.1465804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0.88436610000000004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0.21099999999999999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4.29</v>
      </c>
      <c r="C2" s="21">
        <f>'Baseline year population inputs'!C52</f>
        <v>4.29</v>
      </c>
      <c r="D2" s="21">
        <f>'Baseline year population inputs'!C53</f>
        <v>7.5139999999999993</v>
      </c>
      <c r="E2" s="21">
        <f>'Baseline year population inputs'!C54</f>
        <v>8.1120000000000001</v>
      </c>
      <c r="F2" s="21">
        <f>'Baseline year population inputs'!C55</f>
        <v>3.5706666666666669</v>
      </c>
    </row>
    <row r="3" spans="1:6" ht="15.75" customHeight="1" x14ac:dyDescent="0.25">
      <c r="A3" s="3" t="s">
        <v>197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198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0.52700000000000002</v>
      </c>
      <c r="F2" s="60">
        <f>food_insecure</f>
        <v>0.52700000000000002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0.52700000000000002</v>
      </c>
      <c r="F5" s="60">
        <f>food_insecure</f>
        <v>0.52700000000000002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9.3600000000000003E-2</v>
      </c>
      <c r="D7" s="60">
        <f>diarrhoea_1_5mo*frac_diarrhea_severe</f>
        <v>9.3600000000000003E-2</v>
      </c>
      <c r="E7" s="60">
        <f>diarrhoea_6_11mo*frac_diarrhea_severe</f>
        <v>0.16394181818181819</v>
      </c>
      <c r="F7" s="60">
        <f>diarrhoea_12_23mo*frac_diarrhea_severe</f>
        <v>0.17698909090909093</v>
      </c>
      <c r="G7" s="60">
        <f>diarrhoea_24_59mo*frac_diarrhea_severe</f>
        <v>7.7905454545454556E-2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0.52700000000000002</v>
      </c>
      <c r="F8" s="60">
        <f>food_insecure</f>
        <v>0.52700000000000002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0.52700000000000002</v>
      </c>
      <c r="F9" s="60">
        <f>food_insecure</f>
        <v>0.52700000000000002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9.3600000000000003E-2</v>
      </c>
      <c r="D12" s="60">
        <f>diarrhoea_1_5mo*frac_diarrhea_severe</f>
        <v>9.3600000000000003E-2</v>
      </c>
      <c r="E12" s="60">
        <f>diarrhoea_6_11mo*frac_diarrhea_severe</f>
        <v>0.16394181818181819</v>
      </c>
      <c r="F12" s="60">
        <f>diarrhoea_12_23mo*frac_diarrhea_severe</f>
        <v>0.17698909090909093</v>
      </c>
      <c r="G12" s="60">
        <f>diarrhoea_24_59mo*frac_diarrhea_severe</f>
        <v>7.7905454545454556E-2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0.52700000000000002</v>
      </c>
      <c r="I15" s="60">
        <f t="shared" si="0"/>
        <v>0.52700000000000002</v>
      </c>
      <c r="J15" s="60">
        <f t="shared" si="0"/>
        <v>0.52700000000000002</v>
      </c>
      <c r="K15" s="60">
        <f t="shared" si="0"/>
        <v>0.52700000000000002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0.52700000000000002</v>
      </c>
      <c r="I16" s="60">
        <f t="shared" si="0"/>
        <v>0.52700000000000002</v>
      </c>
      <c r="J16" s="60">
        <f t="shared" si="0"/>
        <v>0.52700000000000002</v>
      </c>
      <c r="K16" s="60">
        <f t="shared" si="0"/>
        <v>0.52700000000000002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0.40483163126876404</v>
      </c>
      <c r="M25" s="60">
        <f>(1-food_insecure)*(0.49)+food_insecure*(0.7)</f>
        <v>0.60067000000000004</v>
      </c>
      <c r="N25" s="60">
        <f>(1-food_insecure)*(0.49)+food_insecure*(0.7)</f>
        <v>0.60067000000000004</v>
      </c>
      <c r="O25" s="60">
        <f>(1-food_insecure)*(0.49)+food_insecure*(0.7)</f>
        <v>0.60067000000000004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0.173499270543756</v>
      </c>
      <c r="M26" s="60">
        <f>(1-food_insecure)*(0.21)+food_insecure*(0.3)</f>
        <v>0.25742999999999999</v>
      </c>
      <c r="N26" s="60">
        <f>(1-food_insecure)*(0.21)+food_insecure*(0.3)</f>
        <v>0.25742999999999999</v>
      </c>
      <c r="O26" s="60">
        <f>(1-food_insecure)*(0.21)+food_insecure*(0.3)</f>
        <v>0.25742999999999999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9.5635887387480009E-2</v>
      </c>
      <c r="M27" s="60">
        <f>(1-food_insecure)*(0.3)</f>
        <v>0.1419</v>
      </c>
      <c r="N27" s="60">
        <f>(1-food_insecure)*(0.3)</f>
        <v>0.1419</v>
      </c>
      <c r="O27" s="60">
        <f>(1-food_insecure)*(0.3)</f>
        <v>0.1419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