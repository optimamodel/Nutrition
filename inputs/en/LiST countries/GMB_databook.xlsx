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401AF7C-AFC1-4598-8F9C-BA358293F7C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22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<sst xmlns="http://schemas.openxmlformats.org/spreadsheetml/2006/main" count="2092" uniqueCount="341">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</sst>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90968.238000000027</v>
      </c>
      <c r="C2" s="49">
        <v>142000</v>
      </c>
      <c r="D2" s="49">
        <v>226000</v>
      </c>
      <c r="E2" s="49">
        <v>154000</v>
      </c>
      <c r="F2" s="49">
        <v>106000</v>
      </c>
      <c r="G2" s="17">
        <f t="shared" ref="G2:G13" si="0">C2+D2+E2+F2</f>
        <v>628000</v>
      </c>
      <c r="H2" s="17">
        <f t="shared" ref="H2:H13" si="1">(B2 + stillbirth*B2/(1000-stillbirth))/(1-abortion)</f>
        <v>104850.90903646903</v>
      </c>
      <c r="I2" s="17">
        <f t="shared" ref="I2:I13" si="2">G2-H2</f>
        <v>523149.09096353094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92196.736000000004</v>
      </c>
      <c r="C3" s="50">
        <v>146000</v>
      </c>
      <c r="D3" s="50">
        <v>234000</v>
      </c>
      <c r="E3" s="50">
        <v>158000</v>
      </c>
      <c r="F3" s="50">
        <v>109000</v>
      </c>
      <c r="G3" s="17">
        <f t="shared" si="0"/>
        <v>647000</v>
      </c>
      <c r="H3" s="17">
        <f t="shared" si="1"/>
        <v>106266.88822746405</v>
      </c>
      <c r="I3" s="17">
        <f t="shared" si="2"/>
        <v>540733.11177253595</v>
      </c>
    </row>
    <row r="4" spans="1:9" ht="15.75" customHeight="1" x14ac:dyDescent="0.25">
      <c r="A4" s="5">
        <f t="shared" si="3"/>
        <v>2026</v>
      </c>
      <c r="B4" s="49">
        <v>93431.563600000009</v>
      </c>
      <c r="C4" s="50">
        <v>150000</v>
      </c>
      <c r="D4" s="50">
        <v>242000</v>
      </c>
      <c r="E4" s="50">
        <v>163000</v>
      </c>
      <c r="F4" s="50">
        <v>114000</v>
      </c>
      <c r="G4" s="17">
        <f t="shared" si="0"/>
        <v>669000</v>
      </c>
      <c r="H4" s="17">
        <f t="shared" si="1"/>
        <v>107690.1629792881</v>
      </c>
      <c r="I4" s="17">
        <f t="shared" si="2"/>
        <v>561309.83702071186</v>
      </c>
    </row>
    <row r="5" spans="1:9" ht="15.75" customHeight="1" x14ac:dyDescent="0.25">
      <c r="A5" s="5">
        <f t="shared" si="3"/>
        <v>2027</v>
      </c>
      <c r="B5" s="49">
        <v>94634.954400000002</v>
      </c>
      <c r="C5" s="50">
        <v>154000</v>
      </c>
      <c r="D5" s="50">
        <v>248000</v>
      </c>
      <c r="E5" s="50">
        <v>169000</v>
      </c>
      <c r="F5" s="50">
        <v>116000</v>
      </c>
      <c r="G5" s="17">
        <f t="shared" si="0"/>
        <v>687000</v>
      </c>
      <c r="H5" s="17">
        <f t="shared" si="1"/>
        <v>109077.2033582182</v>
      </c>
      <c r="I5" s="17">
        <f t="shared" si="2"/>
        <v>577922.79664178181</v>
      </c>
    </row>
    <row r="6" spans="1:9" ht="15.75" customHeight="1" x14ac:dyDescent="0.25">
      <c r="A6" s="5">
        <f t="shared" si="3"/>
        <v>2028</v>
      </c>
      <c r="B6" s="49">
        <v>95805.524800000014</v>
      </c>
      <c r="C6" s="50">
        <v>158000</v>
      </c>
      <c r="D6" s="50">
        <v>256000</v>
      </c>
      <c r="E6" s="50">
        <v>175000</v>
      </c>
      <c r="F6" s="50">
        <v>120000</v>
      </c>
      <c r="G6" s="17">
        <f t="shared" si="0"/>
        <v>709000</v>
      </c>
      <c r="H6" s="17">
        <f t="shared" si="1"/>
        <v>110426.41461293312</v>
      </c>
      <c r="I6" s="17">
        <f t="shared" si="2"/>
        <v>598573.58538706694</v>
      </c>
    </row>
    <row r="7" spans="1:9" ht="15.75" customHeight="1" x14ac:dyDescent="0.25">
      <c r="A7" s="5">
        <f t="shared" si="3"/>
        <v>2029</v>
      </c>
      <c r="B7" s="49">
        <v>96941.891200000013</v>
      </c>
      <c r="C7" s="50">
        <v>162000</v>
      </c>
      <c r="D7" s="50">
        <v>264000</v>
      </c>
      <c r="E7" s="50">
        <v>181000</v>
      </c>
      <c r="F7" s="50">
        <v>122000</v>
      </c>
      <c r="G7" s="17">
        <f t="shared" si="0"/>
        <v>729000</v>
      </c>
      <c r="H7" s="17">
        <f t="shared" si="1"/>
        <v>111736.20199211154</v>
      </c>
      <c r="I7" s="17">
        <f t="shared" si="2"/>
        <v>617263.79800788849</v>
      </c>
    </row>
    <row r="8" spans="1:9" ht="15.75" customHeight="1" x14ac:dyDescent="0.25">
      <c r="A8" s="5">
        <f t="shared" si="3"/>
        <v>2030</v>
      </c>
      <c r="B8" s="49">
        <v>98042.67</v>
      </c>
      <c r="C8" s="50">
        <v>166000</v>
      </c>
      <c r="D8" s="50">
        <v>272000</v>
      </c>
      <c r="E8" s="50">
        <v>188000</v>
      </c>
      <c r="F8" s="50">
        <v>126000</v>
      </c>
      <c r="G8" s="17">
        <f t="shared" si="0"/>
        <v>752000</v>
      </c>
      <c r="H8" s="17">
        <f t="shared" si="1"/>
        <v>113004.97074443224</v>
      </c>
      <c r="I8" s="17">
        <f t="shared" si="2"/>
        <v>638995.02925556782</v>
      </c>
    </row>
    <row r="9" spans="1:9" ht="15.75" customHeight="1" x14ac:dyDescent="0.25">
      <c r="A9" s="5">
        <f t="shared" si="3"/>
        <v>2031</v>
      </c>
      <c r="B9" s="49">
        <v>99053.303142857141</v>
      </c>
      <c r="C9" s="50">
        <v>169428.57142857139</v>
      </c>
      <c r="D9" s="50">
        <v>278571.42857142858</v>
      </c>
      <c r="E9" s="50">
        <v>192857.1428571429</v>
      </c>
      <c r="F9" s="50">
        <v>128857.1428571429</v>
      </c>
      <c r="G9" s="17">
        <f t="shared" si="0"/>
        <v>769714.28571428591</v>
      </c>
      <c r="H9" s="17">
        <f t="shared" si="1"/>
        <v>114169.8367027127</v>
      </c>
      <c r="I9" s="17">
        <f t="shared" si="2"/>
        <v>655544.44901157322</v>
      </c>
    </row>
    <row r="10" spans="1:9" ht="15.75" customHeight="1" x14ac:dyDescent="0.25">
      <c r="A10" s="5">
        <f t="shared" si="3"/>
        <v>2032</v>
      </c>
      <c r="B10" s="49">
        <v>100032.8127346939</v>
      </c>
      <c r="C10" s="50">
        <v>172775.5102040816</v>
      </c>
      <c r="D10" s="50">
        <v>284938.77551020408</v>
      </c>
      <c r="E10" s="50">
        <v>197836.7346938776</v>
      </c>
      <c r="F10" s="50">
        <v>131693.87755102041</v>
      </c>
      <c r="G10" s="17">
        <f t="shared" si="0"/>
        <v>787244.89795918367</v>
      </c>
      <c r="H10" s="17">
        <f t="shared" si="1"/>
        <v>115298.82934203396</v>
      </c>
      <c r="I10" s="17">
        <f t="shared" si="2"/>
        <v>671946.06861714972</v>
      </c>
    </row>
    <row r="11" spans="1:9" ht="15.75" customHeight="1" x14ac:dyDescent="0.25">
      <c r="A11" s="5">
        <f t="shared" si="3"/>
        <v>2033</v>
      </c>
      <c r="B11" s="49">
        <v>100975.84832536439</v>
      </c>
      <c r="C11" s="50">
        <v>176029.15451895041</v>
      </c>
      <c r="D11" s="50">
        <v>291072.88629737613</v>
      </c>
      <c r="E11" s="50">
        <v>202813.41107871721</v>
      </c>
      <c r="F11" s="50">
        <v>134221.57434402331</v>
      </c>
      <c r="G11" s="17">
        <f t="shared" si="0"/>
        <v>804137.02623906708</v>
      </c>
      <c r="H11" s="17">
        <f t="shared" si="1"/>
        <v>116385.78167956902</v>
      </c>
      <c r="I11" s="17">
        <f t="shared" si="2"/>
        <v>687751.24455949804</v>
      </c>
    </row>
    <row r="12" spans="1:9" ht="15.75" customHeight="1" x14ac:dyDescent="0.25">
      <c r="A12" s="5">
        <f t="shared" si="3"/>
        <v>2034</v>
      </c>
      <c r="B12" s="49">
        <v>101881.69031470219</v>
      </c>
      <c r="C12" s="50">
        <v>179176.17659308619</v>
      </c>
      <c r="D12" s="50">
        <v>297226.1557684298</v>
      </c>
      <c r="E12" s="50">
        <v>207643.89837567689</v>
      </c>
      <c r="F12" s="50">
        <v>136824.65639316951</v>
      </c>
      <c r="G12" s="17">
        <f t="shared" si="0"/>
        <v>820870.88713036233</v>
      </c>
      <c r="H12" s="17">
        <f t="shared" si="1"/>
        <v>117429.86429690488</v>
      </c>
      <c r="I12" s="17">
        <f t="shared" si="2"/>
        <v>703441.02283345745</v>
      </c>
    </row>
    <row r="13" spans="1:9" ht="15.75" customHeight="1" x14ac:dyDescent="0.25">
      <c r="A13" s="5">
        <f t="shared" si="3"/>
        <v>2035</v>
      </c>
      <c r="B13" s="49">
        <v>102749.7139596597</v>
      </c>
      <c r="C13" s="50">
        <v>182201.3446778128</v>
      </c>
      <c r="D13" s="50">
        <v>303115.60659249121</v>
      </c>
      <c r="E13" s="50">
        <v>212307.31242934501</v>
      </c>
      <c r="F13" s="50">
        <v>139228.1787350509</v>
      </c>
      <c r="G13" s="17">
        <f t="shared" si="0"/>
        <v>836852.44243469997</v>
      </c>
      <c r="H13" s="17">
        <f t="shared" si="1"/>
        <v>118430.35710890089</v>
      </c>
      <c r="I13" s="17">
        <f t="shared" si="2"/>
        <v>718422.08532579907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0.25891212092486099</v>
      </c>
      <c r="C2" s="98">
        <v>0.95</v>
      </c>
      <c r="D2" s="56">
        <v>34.615059877826937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42.447411164630637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47.3190436565448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0.55584568086688169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13.46512306465123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13.46512306465123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13.46512306465123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13.46512306465123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13.46512306465123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13.46512306465123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0.51482233818000001</v>
      </c>
      <c r="C16" s="98">
        <v>0.95</v>
      </c>
      <c r="D16" s="56">
        <v>0.20435372756164799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1.2013582500201629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1.2013582500201629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0.2726925</v>
      </c>
      <c r="C21" s="98">
        <v>0.95</v>
      </c>
      <c r="D21" s="56">
        <v>4.1835707219283771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0.1465804</v>
      </c>
      <c r="C23" s="98">
        <v>0.95</v>
      </c>
      <c r="D23" s="56">
        <v>4.4144238992015667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0.75406460082703308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0.22967761383513899</v>
      </c>
      <c r="C27" s="98">
        <v>0.95</v>
      </c>
      <c r="D27" s="56">
        <v>19.469652401389489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60.20828898640999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2.7081244638211008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0.1464792</v>
      </c>
      <c r="C32" s="98">
        <v>0.95</v>
      </c>
      <c r="D32" s="56">
        <v>0.3800509163391646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0.49896239999999997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0.1621195</v>
      </c>
      <c r="C38" s="98">
        <v>0.95</v>
      </c>
      <c r="D38" s="56">
        <v>4.6447076133328133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0.26319480000000001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0.82537326464681748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2024-03-28T03:04:02Z</dcterms:modified>
</cp:coreProperties>
</file>