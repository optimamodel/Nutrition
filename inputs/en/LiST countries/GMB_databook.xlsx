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D5ACE57-292F-49A5-A45D-52A4CD7A6083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29" i="2"/>
  <c r="A26" i="2"/>
  <c r="A21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33" i="2" s="1"/>
  <c r="C33" i="1"/>
  <c r="C20" i="1"/>
  <c r="A35" i="2" l="1"/>
  <c r="A19" i="2"/>
  <c r="A27" i="2"/>
  <c r="A20" i="2"/>
  <c r="A28" i="2"/>
  <c r="A36" i="2"/>
  <c r="A22" i="2"/>
  <c r="A30" i="2"/>
  <c r="A38" i="2"/>
  <c r="A40" i="2"/>
  <c r="A14" i="2"/>
  <c r="A15" i="2"/>
  <c r="A4" i="2"/>
  <c r="A5" i="2" s="1"/>
  <c r="A6" i="2" s="1"/>
  <c r="A7" i="2" s="1"/>
  <c r="A8" i="2" s="1"/>
  <c r="A9" i="2" s="1"/>
  <c r="A10" i="2" s="1"/>
  <c r="A11" i="2" s="1"/>
  <c r="A12" i="2" s="1"/>
  <c r="A13" i="2" s="1"/>
  <c r="A31" i="2"/>
  <c r="A16" i="2"/>
  <c r="A24" i="2"/>
  <c r="A32" i="2"/>
  <c r="A23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<sst xmlns="http://schemas.openxmlformats.org/spreadsheetml/2006/main" count="2094" uniqueCount="341">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</sst>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309928.00390625</v>
      </c>
    </row>
    <row r="8" spans="1:3" ht="15" customHeight="1" x14ac:dyDescent="0.25">
      <c r="B8" s="5" t="s">
        <v>8</v>
      </c>
      <c r="C8" s="44">
        <v>3.4000000000000002E-2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0.7609999999999999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7.5999999999999998E-2</v>
      </c>
    </row>
    <row r="24" spans="1:3" ht="15" customHeight="1" x14ac:dyDescent="0.25">
      <c r="B24" s="15" t="s">
        <v>22</v>
      </c>
      <c r="C24" s="45">
        <v>0.42870000000000003</v>
      </c>
    </row>
    <row r="25" spans="1:3" ht="15" customHeight="1" x14ac:dyDescent="0.25">
      <c r="B25" s="15" t="s">
        <v>23</v>
      </c>
      <c r="C25" s="45">
        <v>0.38779999999999998</v>
      </c>
    </row>
    <row r="26" spans="1:3" ht="15" customHeight="1" x14ac:dyDescent="0.25">
      <c r="B26" s="15" t="s">
        <v>24</v>
      </c>
      <c r="C26" s="45">
        <v>0.1075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0.267409234355309</v>
      </c>
    </row>
    <row r="30" spans="1:3" ht="14.25" customHeight="1" x14ac:dyDescent="0.25">
      <c r="B30" s="25" t="s">
        <v>27</v>
      </c>
      <c r="C30" s="99">
        <v>6.2316367797226199E-2</v>
      </c>
    </row>
    <row r="31" spans="1:3" ht="14.25" customHeight="1" x14ac:dyDescent="0.25">
      <c r="B31" s="25" t="s">
        <v>28</v>
      </c>
      <c r="C31" s="99">
        <v>9.3002675244955299E-2</v>
      </c>
    </row>
    <row r="32" spans="1:3" ht="14.25" customHeight="1" x14ac:dyDescent="0.25">
      <c r="B32" s="25" t="s">
        <v>29</v>
      </c>
      <c r="C32" s="99">
        <v>0.57727172260250903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18.94415</v>
      </c>
    </row>
    <row r="38" spans="1:5" ht="15" customHeight="1" x14ac:dyDescent="0.25">
      <c r="B38" s="11" t="s">
        <v>34</v>
      </c>
      <c r="C38" s="43">
        <v>29.356670000000001</v>
      </c>
      <c r="D38" s="12"/>
      <c r="E38" s="13"/>
    </row>
    <row r="39" spans="1:5" ht="15" customHeight="1" x14ac:dyDescent="0.25">
      <c r="B39" s="11" t="s">
        <v>35</v>
      </c>
      <c r="C39" s="43">
        <v>39.74532</v>
      </c>
      <c r="D39" s="12"/>
      <c r="E39" s="12"/>
    </row>
    <row r="40" spans="1:5" ht="15" customHeight="1" x14ac:dyDescent="0.25">
      <c r="B40" s="11" t="s">
        <v>36</v>
      </c>
      <c r="C40" s="100">
        <v>2.27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5.8306E-3</v>
      </c>
      <c r="D45" s="12"/>
    </row>
    <row r="46" spans="1:5" ht="15.75" customHeight="1" x14ac:dyDescent="0.25">
      <c r="B46" s="11" t="s">
        <v>41</v>
      </c>
      <c r="C46" s="45">
        <v>6.2648999999999996E-2</v>
      </c>
      <c r="D46" s="12"/>
    </row>
    <row r="47" spans="1:5" ht="15.75" customHeight="1" x14ac:dyDescent="0.25">
      <c r="B47" s="11" t="s">
        <v>42</v>
      </c>
      <c r="C47" s="45">
        <v>7.5456700000000002E-2</v>
      </c>
      <c r="D47" s="12"/>
      <c r="E47" s="13"/>
    </row>
    <row r="48" spans="1:5" ht="15" customHeight="1" x14ac:dyDescent="0.25">
      <c r="B48" s="11" t="s">
        <v>43</v>
      </c>
      <c r="C48" s="46">
        <v>0.85606369999999998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0.40570099999999998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0.167510149999999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90217</v>
      </c>
      <c r="C2" s="49">
        <v>195433</v>
      </c>
      <c r="D2" s="49">
        <v>240641.5</v>
      </c>
      <c r="E2" s="49">
        <v>168986</v>
      </c>
      <c r="F2" s="49">
        <v>106578.5</v>
      </c>
      <c r="G2" s="17">
        <f t="shared" ref="G2:G13" si="0">C2+D2+E2+F2</f>
        <v>711639</v>
      </c>
      <c r="H2" s="17">
        <f t="shared" ref="H2:H13" si="1">(B2 + stillbirth*B2/(1000-stillbirth))/(1-abortion)</f>
        <v>103985.02453727997</v>
      </c>
      <c r="I2" s="17">
        <f t="shared" ref="I2:I13" si="2">G2-H2</f>
        <v>607653.97546272003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91141</v>
      </c>
      <c r="C3" s="50">
        <v>201302.5</v>
      </c>
      <c r="D3" s="50">
        <v>248943.5</v>
      </c>
      <c r="E3" s="50">
        <v>173709</v>
      </c>
      <c r="F3" s="50">
        <v>109515.5</v>
      </c>
      <c r="G3" s="17">
        <f t="shared" si="0"/>
        <v>733470.5</v>
      </c>
      <c r="H3" s="17">
        <f t="shared" si="1"/>
        <v>105050.03626092903</v>
      </c>
      <c r="I3" s="17">
        <f t="shared" si="2"/>
        <v>628420.46373907092</v>
      </c>
    </row>
    <row r="4" spans="1:9" ht="15.75" customHeight="1" x14ac:dyDescent="0.25">
      <c r="A4" s="5">
        <f t="shared" si="3"/>
        <v>2026</v>
      </c>
      <c r="B4" s="49">
        <v>91824</v>
      </c>
      <c r="C4" s="50">
        <v>206853.5</v>
      </c>
      <c r="D4" s="50">
        <v>257782</v>
      </c>
      <c r="E4" s="50">
        <v>178586</v>
      </c>
      <c r="F4" s="50">
        <v>112573</v>
      </c>
      <c r="G4" s="17">
        <f t="shared" si="0"/>
        <v>755794.5</v>
      </c>
      <c r="H4" s="17">
        <f t="shared" si="1"/>
        <v>105837.26895276053</v>
      </c>
      <c r="I4" s="17">
        <f t="shared" si="2"/>
        <v>649957.2310472395</v>
      </c>
    </row>
    <row r="5" spans="1:9" ht="15.75" customHeight="1" x14ac:dyDescent="0.25">
      <c r="A5" s="5">
        <f t="shared" si="3"/>
        <v>2027</v>
      </c>
      <c r="B5" s="49">
        <v>92338</v>
      </c>
      <c r="C5" s="50">
        <v>211983</v>
      </c>
      <c r="D5" s="50">
        <v>267004.5</v>
      </c>
      <c r="E5" s="50">
        <v>183741</v>
      </c>
      <c r="F5" s="50">
        <v>115744</v>
      </c>
      <c r="G5" s="17">
        <f t="shared" si="0"/>
        <v>778472.5</v>
      </c>
      <c r="H5" s="17">
        <f t="shared" si="1"/>
        <v>106429.71053929259</v>
      </c>
      <c r="I5" s="17">
        <f t="shared" si="2"/>
        <v>672042.78946070746</v>
      </c>
    </row>
    <row r="6" spans="1:9" ht="15.75" customHeight="1" x14ac:dyDescent="0.25">
      <c r="A6" s="5">
        <f t="shared" si="3"/>
        <v>2028</v>
      </c>
      <c r="B6" s="49">
        <v>92748</v>
      </c>
      <c r="C6" s="50">
        <v>216670.5</v>
      </c>
      <c r="D6" s="50">
        <v>276299</v>
      </c>
      <c r="E6" s="50">
        <v>189307</v>
      </c>
      <c r="F6" s="50">
        <v>119025.5</v>
      </c>
      <c r="G6" s="17">
        <f t="shared" si="0"/>
        <v>801302</v>
      </c>
      <c r="H6" s="17">
        <f t="shared" si="1"/>
        <v>106902.28067640957</v>
      </c>
      <c r="I6" s="17">
        <f t="shared" si="2"/>
        <v>694399.7193235904</v>
      </c>
    </row>
    <row r="7" spans="1:9" ht="15.75" customHeight="1" x14ac:dyDescent="0.25">
      <c r="A7" s="5">
        <f t="shared" si="3"/>
        <v>2029</v>
      </c>
      <c r="B7" s="49">
        <v>93664</v>
      </c>
      <c r="C7" s="50">
        <v>220768.5</v>
      </c>
      <c r="D7" s="50">
        <v>285732.5</v>
      </c>
      <c r="E7" s="50">
        <v>195225.5</v>
      </c>
      <c r="F7" s="50">
        <v>122397.5</v>
      </c>
      <c r="G7" s="17">
        <f t="shared" si="0"/>
        <v>824124</v>
      </c>
      <c r="H7" s="17">
        <f t="shared" si="1"/>
        <v>107958.07151933441</v>
      </c>
      <c r="I7" s="17">
        <f t="shared" si="2"/>
        <v>716165.92848066555</v>
      </c>
    </row>
    <row r="8" spans="1:9" ht="15.75" customHeight="1" x14ac:dyDescent="0.25">
      <c r="A8" s="5">
        <f t="shared" si="3"/>
        <v>2030</v>
      </c>
      <c r="B8" s="49">
        <v>94419</v>
      </c>
      <c r="C8" s="50">
        <v>224207</v>
      </c>
      <c r="D8" s="50">
        <v>295387.5</v>
      </c>
      <c r="E8" s="50">
        <v>201356.5</v>
      </c>
      <c r="F8" s="50">
        <v>125853</v>
      </c>
      <c r="G8" s="17">
        <f t="shared" si="0"/>
        <v>846804</v>
      </c>
      <c r="H8" s="17">
        <f t="shared" si="1"/>
        <v>108828.29213768399</v>
      </c>
      <c r="I8" s="17">
        <f t="shared" si="2"/>
        <v>737975.70786231605</v>
      </c>
    </row>
    <row r="9" spans="1:9" ht="15.75" customHeight="1" x14ac:dyDescent="0.25">
      <c r="A9" s="5">
        <f t="shared" si="3"/>
        <v>2031</v>
      </c>
      <c r="B9" s="49">
        <v>94907</v>
      </c>
      <c r="C9" s="50">
        <v>226988.5</v>
      </c>
      <c r="D9" s="50">
        <v>305154.5</v>
      </c>
      <c r="E9" s="50">
        <v>207709.5</v>
      </c>
      <c r="F9" s="50">
        <v>129421</v>
      </c>
      <c r="G9" s="17">
        <f t="shared" si="0"/>
        <v>869273.5</v>
      </c>
      <c r="H9" s="17">
        <f t="shared" si="1"/>
        <v>109390.7658618623</v>
      </c>
      <c r="I9" s="17">
        <f t="shared" si="2"/>
        <v>759882.73413813766</v>
      </c>
    </row>
    <row r="10" spans="1:9" ht="15.75" customHeight="1" x14ac:dyDescent="0.25">
      <c r="A10" s="5">
        <f t="shared" si="3"/>
        <v>2032</v>
      </c>
      <c r="B10" s="49">
        <v>95540</v>
      </c>
      <c r="C10" s="50">
        <v>229192</v>
      </c>
      <c r="D10" s="50">
        <v>314953.5</v>
      </c>
      <c r="E10" s="50">
        <v>214299.5</v>
      </c>
      <c r="F10" s="50">
        <v>133170</v>
      </c>
      <c r="G10" s="17">
        <f t="shared" si="0"/>
        <v>891615</v>
      </c>
      <c r="H10" s="17">
        <f t="shared" si="1"/>
        <v>110120.36804916733</v>
      </c>
      <c r="I10" s="17">
        <f t="shared" si="2"/>
        <v>781494.63195083267</v>
      </c>
    </row>
    <row r="11" spans="1:9" ht="15.75" customHeight="1" x14ac:dyDescent="0.25">
      <c r="A11" s="5">
        <f t="shared" si="3"/>
        <v>2033</v>
      </c>
      <c r="B11" s="49">
        <v>96478</v>
      </c>
      <c r="C11" s="50">
        <v>231037.5</v>
      </c>
      <c r="D11" s="50">
        <v>324402.5</v>
      </c>
      <c r="E11" s="50">
        <v>221377.5</v>
      </c>
      <c r="F11" s="50">
        <v>137120.5</v>
      </c>
      <c r="G11" s="17">
        <f t="shared" si="0"/>
        <v>913938</v>
      </c>
      <c r="H11" s="17">
        <f t="shared" si="1"/>
        <v>111201.5163140838</v>
      </c>
      <c r="I11" s="17">
        <f t="shared" si="2"/>
        <v>802736.48368591617</v>
      </c>
    </row>
    <row r="12" spans="1:9" ht="15.75" customHeight="1" x14ac:dyDescent="0.25">
      <c r="A12" s="5">
        <f t="shared" si="3"/>
        <v>2034</v>
      </c>
      <c r="B12" s="49">
        <v>96733</v>
      </c>
      <c r="C12" s="50">
        <v>232833.5</v>
      </c>
      <c r="D12" s="50">
        <v>333195</v>
      </c>
      <c r="E12" s="50">
        <v>229095.5</v>
      </c>
      <c r="F12" s="50">
        <v>141215.5</v>
      </c>
      <c r="G12" s="17">
        <f t="shared" si="0"/>
        <v>936339.5</v>
      </c>
      <c r="H12" s="17">
        <f t="shared" si="1"/>
        <v>111495.43188716876</v>
      </c>
      <c r="I12" s="17">
        <f t="shared" si="2"/>
        <v>824844.06811283121</v>
      </c>
    </row>
    <row r="13" spans="1:9" ht="15.75" customHeight="1" x14ac:dyDescent="0.25">
      <c r="A13" s="5">
        <f t="shared" si="3"/>
        <v>2035</v>
      </c>
      <c r="B13" s="49">
        <v>97504</v>
      </c>
      <c r="C13" s="50">
        <v>234776.5</v>
      </c>
      <c r="D13" s="50">
        <v>341350</v>
      </c>
      <c r="E13" s="50">
        <v>237298</v>
      </c>
      <c r="F13" s="50">
        <v>145376.5</v>
      </c>
      <c r="G13" s="17">
        <f t="shared" si="0"/>
        <v>958801</v>
      </c>
      <c r="H13" s="17">
        <f t="shared" si="1"/>
        <v>112384.09426696683</v>
      </c>
      <c r="I13" s="17">
        <f t="shared" si="2"/>
        <v>846416.9057330332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7.9603999999999977E-3</v>
      </c>
    </row>
    <row r="4" spans="1:8" ht="15.75" customHeight="1" x14ac:dyDescent="0.25">
      <c r="B4" s="19" t="s">
        <v>69</v>
      </c>
      <c r="C4" s="101">
        <v>5.4278499999999973E-2</v>
      </c>
    </row>
    <row r="5" spans="1:8" ht="15.75" customHeight="1" x14ac:dyDescent="0.25">
      <c r="B5" s="19" t="s">
        <v>70</v>
      </c>
      <c r="C5" s="101">
        <v>6.8896700000000047E-2</v>
      </c>
    </row>
    <row r="6" spans="1:8" ht="15.75" customHeight="1" x14ac:dyDescent="0.25">
      <c r="B6" s="19" t="s">
        <v>71</v>
      </c>
      <c r="C6" s="101">
        <v>0.2405291000000005</v>
      </c>
    </row>
    <row r="7" spans="1:8" ht="15.75" customHeight="1" x14ac:dyDescent="0.25">
      <c r="B7" s="19" t="s">
        <v>72</v>
      </c>
      <c r="C7" s="101">
        <v>0.42675559999999951</v>
      </c>
    </row>
    <row r="8" spans="1:8" ht="15.75" customHeight="1" x14ac:dyDescent="0.25">
      <c r="B8" s="19" t="s">
        <v>73</v>
      </c>
      <c r="C8" s="101">
        <v>1.9896999999999992E-3</v>
      </c>
    </row>
    <row r="9" spans="1:8" ht="15.75" customHeight="1" x14ac:dyDescent="0.25">
      <c r="B9" s="19" t="s">
        <v>74</v>
      </c>
      <c r="C9" s="101">
        <v>8.7416600000000025E-2</v>
      </c>
    </row>
    <row r="10" spans="1:8" ht="15.75" customHeight="1" x14ac:dyDescent="0.25">
      <c r="B10" s="19" t="s">
        <v>75</v>
      </c>
      <c r="C10" s="101">
        <v>0.11217340000000001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82</v>
      </c>
      <c r="C15" s="101">
        <v>0.1457257056059359</v>
      </c>
      <c r="D15" s="101">
        <v>0.1457257056059359</v>
      </c>
      <c r="E15" s="101">
        <v>0.1457257056059359</v>
      </c>
      <c r="F15" s="101">
        <v>0.1457257056059359</v>
      </c>
    </row>
    <row r="16" spans="1:8" ht="15.75" customHeight="1" x14ac:dyDescent="0.25">
      <c r="B16" s="19" t="s">
        <v>83</v>
      </c>
      <c r="C16" s="101">
        <v>3.6673544337957442E-2</v>
      </c>
      <c r="D16" s="101">
        <v>3.6673544337957442E-2</v>
      </c>
      <c r="E16" s="101">
        <v>3.6673544337957442E-2</v>
      </c>
      <c r="F16" s="101">
        <v>3.6673544337957442E-2</v>
      </c>
    </row>
    <row r="17" spans="1:8" ht="15.75" customHeight="1" x14ac:dyDescent="0.25">
      <c r="B17" s="19" t="s">
        <v>84</v>
      </c>
      <c r="C17" s="101">
        <v>9.8008104921843586E-2</v>
      </c>
      <c r="D17" s="101">
        <v>9.8008104921843586E-2</v>
      </c>
      <c r="E17" s="101">
        <v>9.8008104921843586E-2</v>
      </c>
      <c r="F17" s="101">
        <v>9.8008104921843586E-2</v>
      </c>
    </row>
    <row r="18" spans="1:8" ht="15.75" customHeight="1" x14ac:dyDescent="0.25">
      <c r="B18" s="19" t="s">
        <v>85</v>
      </c>
      <c r="C18" s="101">
        <v>0.135975881764268</v>
      </c>
      <c r="D18" s="101">
        <v>0.135975881764268</v>
      </c>
      <c r="E18" s="101">
        <v>0.135975881764268</v>
      </c>
      <c r="F18" s="101">
        <v>0.135975881764268</v>
      </c>
    </row>
    <row r="19" spans="1:8" ht="15.75" customHeight="1" x14ac:dyDescent="0.25">
      <c r="B19" s="19" t="s">
        <v>86</v>
      </c>
      <c r="C19" s="101">
        <v>6.2473064113144711E-2</v>
      </c>
      <c r="D19" s="101">
        <v>6.2473064113144711E-2</v>
      </c>
      <c r="E19" s="101">
        <v>6.2473064113144711E-2</v>
      </c>
      <c r="F19" s="101">
        <v>6.2473064113144711E-2</v>
      </c>
    </row>
    <row r="20" spans="1:8" ht="15.75" customHeight="1" x14ac:dyDescent="0.25">
      <c r="B20" s="19" t="s">
        <v>87</v>
      </c>
      <c r="C20" s="101">
        <v>8.6546694608013008E-2</v>
      </c>
      <c r="D20" s="101">
        <v>8.6546694608013008E-2</v>
      </c>
      <c r="E20" s="101">
        <v>8.6546694608013008E-2</v>
      </c>
      <c r="F20" s="101">
        <v>8.6546694608013008E-2</v>
      </c>
    </row>
    <row r="21" spans="1:8" ht="15.75" customHeight="1" x14ac:dyDescent="0.25">
      <c r="B21" s="19" t="s">
        <v>88</v>
      </c>
      <c r="C21" s="101">
        <v>8.7176531093682147E-2</v>
      </c>
      <c r="D21" s="101">
        <v>8.7176531093682147E-2</v>
      </c>
      <c r="E21" s="101">
        <v>8.7176531093682147E-2</v>
      </c>
      <c r="F21" s="101">
        <v>8.7176531093682147E-2</v>
      </c>
    </row>
    <row r="22" spans="1:8" ht="15.75" customHeight="1" x14ac:dyDescent="0.25">
      <c r="B22" s="19" t="s">
        <v>89</v>
      </c>
      <c r="C22" s="101">
        <v>0.1887353939572296</v>
      </c>
      <c r="D22" s="101">
        <v>0.1887353939572296</v>
      </c>
      <c r="E22" s="101">
        <v>0.1887353939572296</v>
      </c>
      <c r="F22" s="101">
        <v>0.1887353939572296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9.5711987999999998E-2</v>
      </c>
    </row>
    <row r="27" spans="1:8" ht="15.75" customHeight="1" x14ac:dyDescent="0.25">
      <c r="B27" s="19" t="s">
        <v>92</v>
      </c>
      <c r="C27" s="101">
        <v>4.2970438999999999E-2</v>
      </c>
    </row>
    <row r="28" spans="1:8" ht="15.75" customHeight="1" x14ac:dyDescent="0.25">
      <c r="B28" s="19" t="s">
        <v>93</v>
      </c>
      <c r="C28" s="101">
        <v>0.19642078600000001</v>
      </c>
    </row>
    <row r="29" spans="1:8" ht="15.75" customHeight="1" x14ac:dyDescent="0.25">
      <c r="B29" s="19" t="s">
        <v>94</v>
      </c>
      <c r="C29" s="101">
        <v>0.206894785</v>
      </c>
    </row>
    <row r="30" spans="1:8" ht="15.75" customHeight="1" x14ac:dyDescent="0.25">
      <c r="B30" s="19" t="s">
        <v>95</v>
      </c>
      <c r="C30" s="101">
        <v>2.7698743000000001E-2</v>
      </c>
    </row>
    <row r="31" spans="1:8" ht="15.75" customHeight="1" x14ac:dyDescent="0.25">
      <c r="B31" s="19" t="s">
        <v>96</v>
      </c>
      <c r="C31" s="101">
        <v>0.20935653800000001</v>
      </c>
    </row>
    <row r="32" spans="1:8" ht="15.75" customHeight="1" x14ac:dyDescent="0.25">
      <c r="B32" s="19" t="s">
        <v>97</v>
      </c>
      <c r="C32" s="101">
        <v>1.2451637999999999E-2</v>
      </c>
    </row>
    <row r="33" spans="2:3" ht="15.75" customHeight="1" x14ac:dyDescent="0.25">
      <c r="B33" s="19" t="s">
        <v>98</v>
      </c>
      <c r="C33" s="101">
        <v>5.1474696E-2</v>
      </c>
    </row>
    <row r="34" spans="2:3" ht="15.75" customHeight="1" x14ac:dyDescent="0.25">
      <c r="B34" s="19" t="s">
        <v>99</v>
      </c>
      <c r="C34" s="101">
        <v>0.15702038800000001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104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105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109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110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0.90030758050000004</v>
      </c>
      <c r="D14" s="54">
        <v>0.891409188252</v>
      </c>
      <c r="E14" s="54">
        <v>0.891409188252</v>
      </c>
      <c r="F14" s="54">
        <v>0.79417818844199994</v>
      </c>
      <c r="G14" s="54">
        <v>0.79417818844199994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0.36525568571643052</v>
      </c>
      <c r="D15" s="52">
        <f t="shared" si="0"/>
        <v>0.36164559908302463</v>
      </c>
      <c r="E15" s="52">
        <f t="shared" si="0"/>
        <v>0.36164559908302463</v>
      </c>
      <c r="F15" s="52">
        <f t="shared" si="0"/>
        <v>0.32219888522910778</v>
      </c>
      <c r="G15" s="52">
        <f t="shared" si="0"/>
        <v>0.32219888522910778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122</v>
      </c>
      <c r="C5" s="52">
        <v>4.4279099999999988E-2</v>
      </c>
      <c r="D5" s="52">
        <v>0.1063051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34.615059877826937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0.51482233818000001</v>
      </c>
      <c r="C3" s="98">
        <v>0.95</v>
      </c>
      <c r="D3" s="56">
        <v>42.447411164630637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47.3190436565448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0.58969668283167476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0.3935863</v>
      </c>
      <c r="C10" s="98">
        <v>0.95</v>
      </c>
      <c r="D10" s="56">
        <v>13.46512306465123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0.3935863</v>
      </c>
      <c r="C11" s="98">
        <v>0.95</v>
      </c>
      <c r="D11" s="56">
        <v>13.46512306465123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0.3935863</v>
      </c>
      <c r="C12" s="98">
        <v>0.95</v>
      </c>
      <c r="D12" s="56">
        <v>13.46512306465123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0.3935863</v>
      </c>
      <c r="C13" s="98">
        <v>0.95</v>
      </c>
      <c r="D13" s="56">
        <v>13.46512306465123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0.3935863</v>
      </c>
      <c r="C14" s="98">
        <v>0.95</v>
      </c>
      <c r="D14" s="56">
        <v>13.46512306465123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0.3935863</v>
      </c>
      <c r="C15" s="98">
        <v>0.95</v>
      </c>
      <c r="D15" s="56">
        <v>13.46512306465123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0.20435372756164799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0.20358792550999999</v>
      </c>
      <c r="C18" s="98">
        <v>0.95</v>
      </c>
      <c r="D18" s="56">
        <v>1.2013582500201629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0.49896239999999997</v>
      </c>
      <c r="C19" s="98">
        <v>0.95</v>
      </c>
      <c r="D19" s="56">
        <v>1.2013582500201629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0.88436610000000004</v>
      </c>
      <c r="C21" s="98">
        <v>0.95</v>
      </c>
      <c r="D21" s="56">
        <v>4.1835707219283771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22.937030782027101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4.4144238992015667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0.92389554679604402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0.3935863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19.469652401389489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0.75406460082703308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60.20828898640999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2.7081244638211008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0.3800509163391646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0.26319480000000001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0.199735</v>
      </c>
      <c r="C38" s="98">
        <v>0.95</v>
      </c>
      <c r="D38" s="56">
        <v>4.6447076133328133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205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3.4000000000000002E-2</v>
      </c>
      <c r="E2" s="60">
        <f>food_insecure</f>
        <v>3.4000000000000002E-2</v>
      </c>
      <c r="F2" s="60">
        <f>food_insecure</f>
        <v>3.4000000000000002E-2</v>
      </c>
      <c r="G2" s="60">
        <f>food_insecure</f>
        <v>3.4000000000000002E-2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3.4000000000000002E-2</v>
      </c>
      <c r="I15" s="60">
        <f>food_insecure</f>
        <v>3.4000000000000002E-2</v>
      </c>
      <c r="J15" s="60">
        <f>food_insecure</f>
        <v>3.4000000000000002E-2</v>
      </c>
      <c r="K15" s="60">
        <f>food_insecure</f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0.7609999999999999</v>
      </c>
      <c r="M24" s="60">
        <f>famplan_unmet_need</f>
        <v>0.7609999999999999</v>
      </c>
      <c r="N24" s="60">
        <f>famplan_unmet_need</f>
        <v>0.7609999999999999</v>
      </c>
      <c r="O24" s="60">
        <f>famplan_unmet_need</f>
        <v>0.7609999999999999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0.96</v>
      </c>
      <c r="D34" s="60">
        <f t="shared" si="3"/>
        <v>0.96</v>
      </c>
      <c r="E34" s="60">
        <f t="shared" si="3"/>
        <v>0.96</v>
      </c>
      <c r="F34" s="60">
        <f t="shared" si="3"/>
        <v>0.96</v>
      </c>
      <c r="G34" s="60">
        <f t="shared" si="3"/>
        <v>0.96</v>
      </c>
      <c r="H34" s="60">
        <f t="shared" si="3"/>
        <v>0.96</v>
      </c>
      <c r="I34" s="60">
        <f t="shared" si="3"/>
        <v>0.96</v>
      </c>
      <c r="J34" s="60">
        <f t="shared" si="3"/>
        <v>0.96</v>
      </c>
      <c r="K34" s="60">
        <f t="shared" si="3"/>
        <v>0.96</v>
      </c>
      <c r="L34" s="60">
        <f t="shared" si="3"/>
        <v>0.96</v>
      </c>
      <c r="M34" s="60">
        <f t="shared" si="3"/>
        <v>0.96</v>
      </c>
      <c r="N34" s="60">
        <f t="shared" si="3"/>
        <v>0.96</v>
      </c>
      <c r="O34" s="60">
        <f t="shared" si="3"/>
        <v>0.96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9049F9B-8B76-46BC-8F29-A2AA68FF9522}"/>
</file>

<file path=customXml/itemProps2.xml><?xml version="1.0" encoding="utf-8"?>
<ds:datastoreItem xmlns:ds="http://schemas.openxmlformats.org/officeDocument/2006/customXml" ds:itemID="{CFDD7C72-FE84-4F45-AF31-9664A1924D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2024-04-11T00:40:34Z</dcterms:modified>
</cp:coreProperties>
</file>