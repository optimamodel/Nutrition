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96FB6806-D359-4C9C-87C0-BDE980A9B3CD}" xr6:coauthVersionLast="47" xr6:coauthVersionMax="47" xr10:uidLastSave="{00000000-0000-0000-0000-000000000000}"/>
  <bookViews>
    <workbookView xWindow="-110" yWindow="-110" windowWidth="19420" windowHeight="10420" tabRatio="961" firstSheet="3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5" i="73" l="1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H153" i="72"/>
  <c r="G153" i="72"/>
  <c r="F153" i="72"/>
  <c r="E153" i="72"/>
  <c r="D153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F112" i="72"/>
  <c r="E112" i="72"/>
  <c r="D112" i="72"/>
  <c r="H97" i="72"/>
  <c r="H152" i="72" s="1"/>
  <c r="G97" i="72"/>
  <c r="G152" i="72" s="1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O14" i="70"/>
  <c r="N14" i="70"/>
  <c r="M14" i="70"/>
  <c r="L14" i="70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<sst xmlns="http://schemas.openxmlformats.org/spreadsheetml/2006/main" count="2093" uniqueCount="341">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</sst>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topLeftCell="A5"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0.62646497653878419</v>
      </c>
      <c r="D2" s="114">
        <f>IFERROR(1-_xlfn.NORM.DIST(_xlfn.NORM.INV(SUM(D4:D5), 0, 1) + 1, 0, 1, TRUE), "")</f>
        <v>0.62646497653878419</v>
      </c>
      <c r="E2" s="114">
        <f>IFERROR(1-_xlfn.NORM.DIST(_xlfn.NORM.INV(SUM(E4:E5), 0, 1) + 1, 0, 1, TRUE), "")</f>
        <v>0.51282536329943151</v>
      </c>
      <c r="F2" s="114">
        <f>IFERROR(1-_xlfn.NORM.DIST(_xlfn.NORM.INV(SUM(F4:F5), 0, 1) + 1, 0, 1, TRUE), "")</f>
        <v>0.30410318077879572</v>
      </c>
      <c r="G2" s="114">
        <f>IFERROR(1-_xlfn.NORM.DIST(_xlfn.NORM.INV(SUM(G4:G5), 0, 1) + 1, 0, 1, TRUE), "")</f>
        <v>0.28583192636286703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0.28053502346121584</v>
      </c>
      <c r="D3" s="114">
        <f>IFERROR(_xlfn.NORM.DIST(_xlfn.NORM.INV(SUM(D4:D5), 0, 1) + 1, 0, 1, TRUE) - SUM(D4:D5), "")</f>
        <v>0.28053502346121584</v>
      </c>
      <c r="E3" s="114">
        <f>IFERROR(_xlfn.NORM.DIST(_xlfn.NORM.INV(SUM(E4:E5), 0, 1) + 1, 0, 1, TRUE) - SUM(E4:E5), "")</f>
        <v>0.33617463670056846</v>
      </c>
      <c r="F3" s="114">
        <f>IFERROR(_xlfn.NORM.DIST(_xlfn.NORM.INV(SUM(F4:F5), 0, 1) + 1, 0, 1, TRUE) - SUM(F4:F5), "")</f>
        <v>0.38289681922120428</v>
      </c>
      <c r="G3" s="114">
        <f>IFERROR(_xlfn.NORM.DIST(_xlfn.NORM.INV(SUM(G4:G5), 0, 1) + 1, 0, 1, TRUE) - SUM(G4:G5), "")</f>
        <v>0.38216807363713295</v>
      </c>
    </row>
    <row r="4" spans="1:15" ht="15.75" customHeight="1" x14ac:dyDescent="0.25">
      <c r="B4" s="5" t="s">
        <v>116</v>
      </c>
      <c r="C4" s="59">
        <v>6.7000000000000004E-2</v>
      </c>
      <c r="D4" s="59">
        <v>6.7000000000000004E-2</v>
      </c>
      <c r="E4" s="59">
        <v>0.114</v>
      </c>
      <c r="F4" s="59">
        <v>0.2</v>
      </c>
      <c r="G4" s="59">
        <v>0.22</v>
      </c>
    </row>
    <row r="5" spans="1:15" ht="15.75" customHeight="1" x14ac:dyDescent="0.25">
      <c r="B5" s="5" t="s">
        <v>340</v>
      </c>
      <c r="C5" s="59">
        <v>2.5999999999999999E-2</v>
      </c>
      <c r="D5" s="59">
        <v>2.5999999999999999E-2</v>
      </c>
      <c r="E5" s="59">
        <v>3.6999999999999998E-2</v>
      </c>
      <c r="F5" s="59">
        <v>0.113</v>
      </c>
      <c r="G5" s="59">
        <v>0.112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0.69917745140832621</v>
      </c>
      <c r="D8" s="114">
        <f>IFERROR(1-_xlfn.NORM.DIST(_xlfn.NORM.INV(SUM(D10:D11), 0, 1) + 1, 0, 1, TRUE), "")</f>
        <v>0.69917745140832621</v>
      </c>
      <c r="E8" s="114">
        <f>IFERROR(1-_xlfn.NORM.DIST(_xlfn.NORM.INV(SUM(E10:E11), 0, 1) + 1, 0, 1, TRUE), "")</f>
        <v>0.74683493497745834</v>
      </c>
      <c r="F8" s="114">
        <f>IFERROR(1-_xlfn.NORM.DIST(_xlfn.NORM.INV(SUM(F10:F11), 0, 1) + 1, 0, 1, TRUE), "")</f>
        <v>0.79874001017986285</v>
      </c>
      <c r="G8" s="114">
        <f>IFERROR(1-_xlfn.NORM.DIST(_xlfn.NORM.INV(SUM(G10:G11), 0, 1) + 1, 0, 1, TRUE), "")</f>
        <v>0.82160468193092284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0.23682254859167379</v>
      </c>
      <c r="D9" s="114">
        <f>IFERROR(_xlfn.NORM.DIST(_xlfn.NORM.INV(SUM(D10:D11), 0, 1) + 1, 0, 1, TRUE) - SUM(D10:D11), "")</f>
        <v>0.23682254859167379</v>
      </c>
      <c r="E9" s="114">
        <f>IFERROR(_xlfn.NORM.DIST(_xlfn.NORM.INV(SUM(E10:E11), 0, 1) + 1, 0, 1, TRUE) - SUM(E10:E11), "")</f>
        <v>0.20516506502254173</v>
      </c>
      <c r="F9" s="114">
        <f>IFERROR(_xlfn.NORM.DIST(_xlfn.NORM.INV(SUM(F10:F11), 0, 1) + 1, 0, 1, TRUE) - SUM(F10:F11), "")</f>
        <v>0.16816457354324285</v>
      </c>
      <c r="G9" s="114">
        <f>IFERROR(_xlfn.NORM.DIST(_xlfn.NORM.INV(SUM(G10:G11), 0, 1) + 1, 0, 1, TRUE) - SUM(G10:G11), "")</f>
        <v>0.15106082268821613</v>
      </c>
    </row>
    <row r="10" spans="1:15" ht="15.75" customHeight="1" x14ac:dyDescent="0.25">
      <c r="B10" s="5" t="s">
        <v>222</v>
      </c>
      <c r="C10" s="59">
        <v>3.4000000000000002E-2</v>
      </c>
      <c r="D10" s="59">
        <v>3.4000000000000002E-2</v>
      </c>
      <c r="E10" s="59">
        <v>3.4000000000000002E-2</v>
      </c>
      <c r="F10" s="59">
        <v>2.3E-2</v>
      </c>
      <c r="G10" s="59">
        <v>0.02</v>
      </c>
    </row>
    <row r="11" spans="1:15" ht="15.75" customHeight="1" x14ac:dyDescent="0.25">
      <c r="B11" s="5" t="s">
        <v>223</v>
      </c>
      <c r="C11" s="59">
        <v>0.03</v>
      </c>
      <c r="D11" s="59">
        <v>0.03</v>
      </c>
      <c r="E11" s="59">
        <v>1.4E-2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8.8400000000000006E-2</v>
      </c>
      <c r="E3" s="21">
        <f>frac_mam_12_23months * 2.6</f>
        <v>5.9799999999999999E-2</v>
      </c>
      <c r="F3" s="21">
        <f>frac_mam_24_59months * 2.6</f>
        <v>5.2000000000000005E-2</v>
      </c>
    </row>
    <row r="4" spans="1:6" ht="15.75" customHeight="1" x14ac:dyDescent="0.25">
      <c r="A4" s="3" t="s">
        <v>66</v>
      </c>
      <c r="B4" s="21">
        <f>frac_sam_1month * 2.6</f>
        <v>7.8E-2</v>
      </c>
      <c r="C4" s="21">
        <f>frac_sam_1_5months * 2.6</f>
        <v>7.8E-2</v>
      </c>
      <c r="D4" s="21">
        <f>frac_sam_6_11months * 2.6</f>
        <v>3.6400000000000002E-2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topLeftCell="A21" zoomScaleNormal="100" workbookViewId="0">
      <selection activeCell="D30" sqref="D3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z5qzIi1ZlGssU/OiYY7WWiJoR1TaHnOOh+cFwOn3BpdV8g3fDSuCKM2FT4tYtp77DPGMVtU7PzAWhrFcFrpEMg==" saltValue="qsszEe2oCJFCGTnlInMl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topLeftCell="A55" zoomScale="70" zoomScaleNormal="70" workbookViewId="0">
      <selection activeCell="D30" sqref="D3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250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280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338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284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70</v>
      </c>
      <c r="B40" s="45" t="s">
        <v>285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290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339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291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294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70</v>
      </c>
      <c r="B63" s="45" t="s">
        <v>295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2aTOkQvcsuJWBOLN2ckjI7KHl3V854l5vTCVkfcr0ANH8QApmmuHtG/XADuSye+bDx7h4bFWV7MSCTfUmZWoCw==" saltValue="0Mt/Wzxt/AYjzZ0BBVBN/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29:G32 D26:G26 C39:G40 C52:G54 C55:G55 D49:G49 C63:G63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4" zoomScale="70" zoomScaleNormal="70" workbookViewId="0">
      <selection activeCell="D30" sqref="D30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1">IF(E3=1,1,E3*0.9)</f>
        <v>1</v>
      </c>
      <c r="F26" s="104">
        <f t="shared" si="1"/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5">IF(E3=1,1,E3*1.05)</f>
        <v>1</v>
      </c>
      <c r="F49" s="104">
        <f t="shared" si="5"/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NCGswl3bk6pRR//Ip+G0p1q0x8CSdirliKLz4dR3alBBXFKnAUJP7W9cZlp4Q9a5Zihxr509AhcGp3Drkh9nzQ==" saltValue="x95/MdDL5rJcAyM6I7v1Q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30" sqref="D3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0.10862728602047156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0.10665890430208969</v>
      </c>
      <c r="G20" s="104">
        <f>MIN(MAX(1-0.89/(1-frac_mam_12_23months+(frac_mam_12_23months*0.89)),0),1)</f>
        <v>0.10774258874953624</v>
      </c>
      <c r="H20" s="104">
        <f>MIN(MAX(1-0.89/(1-frac_mam_24_59months+(frac_mam_24_59months*0.89)),0),1)</f>
        <v>0.10803768290238525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9.861380593283009E-3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9.663285517075848E-3</v>
      </c>
      <c r="G75" s="104">
        <f>MIN(MAX(1-0.99/(1-frac_mam_12_23months+(frac_mam_12_23months*0.99)),0),1)</f>
        <v>9.7722476169518346E-3</v>
      </c>
      <c r="H75" s="104">
        <f>MIN(MAX(1-0.99/(1-frac_mam_24_59months+(frac_mam_24_59months*0.99)),0),1)</f>
        <v>9.8019603920784792E-3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0.1977537103890894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0.19452275473217873</v>
      </c>
      <c r="G130" s="104">
        <f>MIN(MAX(1-0.8/(1-frac_mam_12_23months+(frac_mam_12_23months*0.8)),0),1)</f>
        <v>0.19630299377134808</v>
      </c>
      <c r="H130" s="104">
        <f>MIN(MAX(1-0.8/(1-frac_mam_24_59months+(frac_mam_24_59months*0.8)),0),1)</f>
        <v>0.19678714859437751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pJuCxRkuJTNVQMXzzuWGNE8Rrsg3d47K9SpmDEM5DcFgC2uns7HIEVwwfl/+461WSpTiJHa0KUHO5B858n+jvA==" saltValue="iEtCZOa8GN8kcnGn6gdz8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0" sqref="D3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iTJVgLCbj4f2ZINQYnEBhPspO2Fj/81WOiKXi5LAMug1CpEEusmG2kPNXv6tonhqSEAeNAv2wFNoLleNVUTTrA==" saltValue="8oTqcpfRNtgtEC3P8ysW2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2024-06-18T07:29:15Z</dcterms:modified>
</cp:coreProperties>
</file>