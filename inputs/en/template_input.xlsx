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ModData\"/>
    </mc:Choice>
  </mc:AlternateContent>
  <xr:revisionPtr revIDLastSave="0" documentId="13_ncr:1_{5E67A13A-5BCC-4675-83A8-1B50EF48FA73}" xr6:coauthVersionLast="47" xr6:coauthVersionMax="47" xr10:uidLastSave="{00000000-0000-0000-0000-000000000000}"/>
  <bookViews>
    <workbookView xWindow="-110" yWindow="-110" windowWidth="19420" windowHeight="1042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2" i="68" l="1"/>
  <c r="E52" i="68"/>
  <c r="F29" i="68"/>
  <c r="E29" i="68"/>
  <c r="C44" i="68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H129" i="72"/>
  <c r="G129" i="72"/>
  <c r="F129" i="72"/>
  <c r="H74" i="72"/>
  <c r="D42" i="69" l="1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E64" i="70"/>
  <c r="F64" i="70"/>
  <c r="G64" i="70"/>
  <c r="H64" i="70"/>
  <c r="I64" i="70"/>
  <c r="J64" i="70"/>
  <c r="K64" i="70"/>
  <c r="L64" i="70"/>
  <c r="M64" i="70"/>
  <c r="N64" i="70"/>
  <c r="O64" i="70"/>
  <c r="D65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D67" i="70"/>
  <c r="C65" i="70"/>
  <c r="C66" i="70"/>
  <c r="C67" i="70"/>
  <c r="C64" i="70"/>
  <c r="E49" i="70"/>
  <c r="F49" i="70"/>
  <c r="G49" i="70"/>
  <c r="H49" i="70"/>
  <c r="I49" i="70"/>
  <c r="J49" i="70"/>
  <c r="K49" i="70"/>
  <c r="L49" i="70"/>
  <c r="M49" i="70"/>
  <c r="N49" i="70"/>
  <c r="O49" i="70"/>
  <c r="D50" i="70"/>
  <c r="E50" i="70"/>
  <c r="F50" i="70"/>
  <c r="G50" i="70"/>
  <c r="L50" i="70"/>
  <c r="M50" i="70"/>
  <c r="N50" i="70"/>
  <c r="O50" i="70"/>
  <c r="D51" i="70"/>
  <c r="E51" i="70"/>
  <c r="F51" i="70"/>
  <c r="G51" i="70"/>
  <c r="L51" i="70"/>
  <c r="M51" i="70"/>
  <c r="N51" i="70"/>
  <c r="O51" i="70"/>
  <c r="D52" i="70"/>
  <c r="E52" i="70"/>
  <c r="F52" i="70"/>
  <c r="G52" i="70"/>
  <c r="L52" i="70"/>
  <c r="M52" i="70"/>
  <c r="N52" i="70"/>
  <c r="O52" i="70"/>
  <c r="D53" i="70"/>
  <c r="E53" i="70"/>
  <c r="F53" i="70"/>
  <c r="G53" i="70"/>
  <c r="L53" i="70"/>
  <c r="M53" i="70"/>
  <c r="N53" i="70"/>
  <c r="O53" i="70"/>
  <c r="D54" i="70"/>
  <c r="E54" i="70"/>
  <c r="F54" i="70"/>
  <c r="G54" i="70"/>
  <c r="H54" i="70"/>
  <c r="I54" i="70"/>
  <c r="J54" i="70"/>
  <c r="K54" i="70"/>
  <c r="D55" i="70"/>
  <c r="E55" i="70"/>
  <c r="F55" i="70"/>
  <c r="G55" i="70"/>
  <c r="H55" i="70"/>
  <c r="I55" i="70"/>
  <c r="J55" i="70"/>
  <c r="K55" i="70"/>
  <c r="D56" i="70"/>
  <c r="E56" i="70"/>
  <c r="F56" i="70"/>
  <c r="G56" i="70"/>
  <c r="H56" i="70"/>
  <c r="I56" i="70"/>
  <c r="J56" i="70"/>
  <c r="K56" i="70"/>
  <c r="D57" i="70"/>
  <c r="G57" i="70"/>
  <c r="H57" i="70"/>
  <c r="I57" i="70"/>
  <c r="J57" i="70"/>
  <c r="K57" i="70"/>
  <c r="L57" i="70"/>
  <c r="M57" i="70"/>
  <c r="N57" i="70"/>
  <c r="O57" i="70"/>
  <c r="D59" i="70"/>
  <c r="H59" i="70"/>
  <c r="I59" i="70"/>
  <c r="J59" i="70"/>
  <c r="K59" i="70"/>
  <c r="L59" i="70"/>
  <c r="M59" i="70"/>
  <c r="N59" i="70"/>
  <c r="O59" i="70"/>
  <c r="D60" i="70"/>
  <c r="E60" i="70"/>
  <c r="F60" i="70"/>
  <c r="G60" i="70"/>
  <c r="H60" i="70"/>
  <c r="I60" i="70"/>
  <c r="J60" i="70"/>
  <c r="K60" i="70"/>
  <c r="D61" i="70"/>
  <c r="G61" i="70"/>
  <c r="H61" i="70"/>
  <c r="I61" i="70"/>
  <c r="J61" i="70"/>
  <c r="K61" i="70"/>
  <c r="L61" i="70"/>
  <c r="M61" i="70"/>
  <c r="N61" i="70"/>
  <c r="O61" i="70"/>
  <c r="C50" i="70"/>
  <c r="C51" i="70"/>
  <c r="C52" i="70"/>
  <c r="C53" i="70"/>
  <c r="C54" i="70"/>
  <c r="C55" i="70"/>
  <c r="C56" i="70"/>
  <c r="C57" i="70"/>
  <c r="C59" i="70"/>
  <c r="C60" i="70"/>
  <c r="C61" i="70"/>
  <c r="D41" i="70"/>
  <c r="E41" i="70"/>
  <c r="F41" i="70"/>
  <c r="G41" i="70"/>
  <c r="H41" i="70"/>
  <c r="I41" i="70"/>
  <c r="J41" i="70"/>
  <c r="K41" i="70"/>
  <c r="L41" i="70"/>
  <c r="M41" i="70"/>
  <c r="N41" i="70"/>
  <c r="O41" i="70"/>
  <c r="D42" i="70"/>
  <c r="D43" i="70"/>
  <c r="E43" i="70"/>
  <c r="F43" i="70"/>
  <c r="G43" i="70"/>
  <c r="H43" i="70"/>
  <c r="I43" i="70"/>
  <c r="J43" i="70"/>
  <c r="K43" i="70"/>
  <c r="L43" i="70"/>
  <c r="M43" i="70"/>
  <c r="N43" i="70"/>
  <c r="O43" i="70"/>
  <c r="D44" i="70"/>
  <c r="C42" i="70"/>
  <c r="C43" i="70"/>
  <c r="C44" i="70"/>
  <c r="C41" i="70"/>
  <c r="E26" i="70"/>
  <c r="F26" i="70"/>
  <c r="G26" i="70"/>
  <c r="H26" i="70"/>
  <c r="I26" i="70"/>
  <c r="J26" i="70"/>
  <c r="K26" i="70"/>
  <c r="L26" i="70"/>
  <c r="M26" i="70"/>
  <c r="N26" i="70"/>
  <c r="O26" i="70"/>
  <c r="D27" i="70"/>
  <c r="E27" i="70"/>
  <c r="F27" i="70"/>
  <c r="G27" i="70"/>
  <c r="L27" i="70"/>
  <c r="M27" i="70"/>
  <c r="N27" i="70"/>
  <c r="O27" i="70"/>
  <c r="D28" i="70"/>
  <c r="E28" i="70"/>
  <c r="F28" i="70"/>
  <c r="G28" i="70"/>
  <c r="L28" i="70"/>
  <c r="M28" i="70"/>
  <c r="N28" i="70"/>
  <c r="O28" i="70"/>
  <c r="D29" i="70"/>
  <c r="E29" i="70"/>
  <c r="F29" i="70"/>
  <c r="G29" i="70"/>
  <c r="L29" i="70"/>
  <c r="M29" i="70"/>
  <c r="N29" i="70"/>
  <c r="O29" i="70"/>
  <c r="D30" i="70"/>
  <c r="E30" i="70"/>
  <c r="F30" i="70"/>
  <c r="G30" i="70"/>
  <c r="L30" i="70"/>
  <c r="M30" i="70"/>
  <c r="N30" i="70"/>
  <c r="O30" i="70"/>
  <c r="D31" i="70"/>
  <c r="E31" i="70"/>
  <c r="F31" i="70"/>
  <c r="G31" i="70"/>
  <c r="H31" i="70"/>
  <c r="I31" i="70"/>
  <c r="J31" i="70"/>
  <c r="K31" i="70"/>
  <c r="D32" i="70"/>
  <c r="E32" i="70"/>
  <c r="F32" i="70"/>
  <c r="G32" i="70"/>
  <c r="H32" i="70"/>
  <c r="I32" i="70"/>
  <c r="J32" i="70"/>
  <c r="K32" i="70"/>
  <c r="D33" i="70"/>
  <c r="E33" i="70"/>
  <c r="F33" i="70"/>
  <c r="G33" i="70"/>
  <c r="H33" i="70"/>
  <c r="I33" i="70"/>
  <c r="J33" i="70"/>
  <c r="K33" i="70"/>
  <c r="D34" i="70"/>
  <c r="H34" i="70"/>
  <c r="I34" i="70"/>
  <c r="J34" i="70"/>
  <c r="K34" i="70"/>
  <c r="L34" i="70"/>
  <c r="M34" i="70"/>
  <c r="N34" i="70"/>
  <c r="O34" i="70"/>
  <c r="D36" i="70"/>
  <c r="H36" i="70"/>
  <c r="I36" i="70"/>
  <c r="J36" i="70"/>
  <c r="K36" i="70"/>
  <c r="L36" i="70"/>
  <c r="M36" i="70"/>
  <c r="N36" i="70"/>
  <c r="O36" i="70"/>
  <c r="D37" i="70"/>
  <c r="E37" i="70"/>
  <c r="F37" i="70"/>
  <c r="G37" i="70"/>
  <c r="H37" i="70"/>
  <c r="I37" i="70"/>
  <c r="J37" i="70"/>
  <c r="K37" i="70"/>
  <c r="D38" i="70"/>
  <c r="G38" i="70"/>
  <c r="H38" i="70"/>
  <c r="I38" i="70"/>
  <c r="J38" i="70"/>
  <c r="K38" i="70"/>
  <c r="L38" i="70"/>
  <c r="M38" i="70"/>
  <c r="N38" i="70"/>
  <c r="O38" i="70"/>
  <c r="C27" i="70"/>
  <c r="C28" i="70"/>
  <c r="C29" i="70"/>
  <c r="C30" i="70"/>
  <c r="C31" i="70"/>
  <c r="C32" i="70"/>
  <c r="C33" i="70"/>
  <c r="C34" i="70"/>
  <c r="C36" i="70"/>
  <c r="C37" i="70"/>
  <c r="C38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F74" i="72"/>
  <c r="G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D27" i="68"/>
  <c r="E27" i="68"/>
  <c r="F27" i="68"/>
  <c r="G27" i="68"/>
  <c r="C27" i="68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39" i="68"/>
  <c r="D39" i="68"/>
  <c r="E39" i="68"/>
  <c r="F39" i="68"/>
  <c r="G39" i="68"/>
  <c r="C40" i="68"/>
  <c r="D40" i="68"/>
  <c r="E40" i="68"/>
  <c r="F40" i="68"/>
  <c r="G40" i="68"/>
  <c r="D38" i="68"/>
  <c r="E38" i="68"/>
  <c r="F38" i="68"/>
  <c r="G38" i="68"/>
  <c r="C38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2" i="68" l="1"/>
  <c r="D62" i="68"/>
  <c r="E62" i="68"/>
  <c r="F62" i="68"/>
  <c r="G62" i="68"/>
  <c r="C63" i="68"/>
  <c r="D63" i="68"/>
  <c r="E63" i="68"/>
  <c r="F63" i="68"/>
  <c r="G63" i="68"/>
  <c r="D61" i="68"/>
  <c r="E61" i="68"/>
  <c r="F61" i="68"/>
  <c r="G61" i="68"/>
  <c r="C61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C50" i="68"/>
  <c r="D50" i="68"/>
  <c r="E50" i="68"/>
  <c r="F50" i="68"/>
  <c r="G50" i="68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6" authorId="0" shapeId="0" xr:uid="{4763D3C6-2461-434E-A9CE-8176C3AEEE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8" authorId="0" shapeId="0" xr:uid="{D2793965-226C-4498-9C0C-8763958E0A0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9" authorId="0" shapeId="0" xr:uid="{70344548-3959-4495-A5BD-FC2105C0CA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3F0FEEEB-825A-4110-B4FF-9A53AA3914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59" authorId="0" shapeId="0" xr:uid="{C9172DAA-EA75-4BC3-8012-7E92325DB8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1" authorId="0" shapeId="0" xr:uid="{D43067D2-2309-4597-85D8-BAFDF8E579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2" authorId="0" shapeId="0" xr:uid="{F39039B9-7D81-47CF-B3A8-351139B676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8646C2BC-114A-44B6-910E-A63844A6CA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112" authorId="0" shapeId="0" xr:uid="{F27C32B5-B3C2-41D1-973D-A09E1B24FC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4" authorId="0" shapeId="0" xr:uid="{C40AF175-9B94-403A-96D8-12E3FCC112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5" authorId="0" shapeId="0" xr:uid="{4799B878-EEA1-4273-B476-A4A0B739A2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FC66AFB0-BAF9-4DBB-AF6D-B8B87CA43E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C839D234-346C-480F-A0B8-0A83B9B7B1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CA18766C-7ED2-4431-93C7-93BF2011C5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6.29</t>
        </r>
      </text>
    </comment>
    <comment ref="A220" authorId="0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9046FF1F-8540-4D35-B867-C2C36C5D1F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4" authorId="0" shapeId="0" xr:uid="{D67CBEA5-65B4-4FE9-82C7-DC2AFB4A87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3BDE8296-7C75-4D75-89DD-AB7DB360894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F3E89390-03F9-4868-AA11-F5840E7153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D6341004-DACF-4489-BD18-B9D4ADBB4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38233D40-CF64-4BA1-A67E-D1A5F013CC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269025AE-B01A-4939-B3A6-C9A8A90B5D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8C9BCD7E-B703-4A83-8F19-21A01D8E5A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1CCE61E6-CCD9-4D40-832B-38F858F363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7A589E3F-DC46-4670-AAD1-FB091303D5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88A4C4E8-9044-4590-A24A-819DBD3B74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58F5961E-BE27-42DC-BA47-8052CD598E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A44DF036-F705-4C9E-869B-35FA20D22C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4853B685-0C9D-4310-89B4-FC55EFF15D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610733DC-C5A0-477F-8779-3D5E978EC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EE403504-DD2F-44B3-9A8E-DF158FE53E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CE2D5E10-5A45-4DC2-A353-819F7441B3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F2C39704-4C3A-4A8D-B44A-4D6BA1C4A29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041AC73E-CAC4-4B9B-ACEA-67394634116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0C5A92FA-D3CC-48D7-98B6-B07F92400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45B10EAE-5294-4D5C-A683-55F408C0B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744FDF-8C2B-47E9-AEB0-1C94AAACCA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D4FC7E72-C437-4FB5-9C44-584CA25710E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CF10A52A-4ED3-4679-AFB4-90DA85BE03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B970E795-852B-4AFE-B2F5-4657D760B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B49D247E-8A43-4781-A096-6E6A2FDED6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1077B81-8906-4022-BC22-AE7E434C461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AA5BBD63-A836-4F73-B67F-4BC99C44C3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501E7324-9119-44AF-98D9-3E0B0E0C2B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BCAB7316-A6FB-41C7-94CB-AF6B4B3DC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B783C35A-C5C2-453A-BF67-9BC060F631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6F4FF2C8-7E0A-452D-9458-64173E3775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754B5520-8785-4461-975F-14AD8446236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63C7E154-C355-4E37-B74E-A3F877BF9D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0AD9136A-B010-472E-B476-412E5F3485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062FE8A3-3283-42BF-A0B4-B7965DC3FA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BEABB9E-7617-4425-9F34-DDCFB6159ED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1EE23FE8-D97D-4DEE-B454-BB0CCEA6D9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2A92BEC6-9FDF-41B4-88F1-665C4663918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EA967CFD-9817-42D6-892E-FBA384C430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13BE5A6A-0492-4BAA-8205-C4784D5A42C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3BE68A51-A16C-4D2E-97C7-0702A8A5C5B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2678EEA8-4E8E-4BDA-93AA-8CDC1BD156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0B3EBDB6-6355-42A0-886E-0D1673220E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27" authorId="0" shapeId="0" xr:uid="{0CCDC919-E274-4983-8D71-A8E899C396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1B6C54F-17AF-4947-AB65-A920A491A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49F25E15-38FC-4B0B-872F-06342668DA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B4621789-60C7-4A32-8E7A-5169D4D05E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7BB77FEE-C001-44D6-82E7-58224035CC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3BF5BF1A-652C-42DC-AC35-91515B6AC3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99D0C8B5-E236-4FC6-B684-E70FA4E7AA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4EC2F4FE-02D6-4961-8634-B4576AC781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A840B2B0-4167-4D7A-9530-A506727B7D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769730BA-E261-4A37-A623-A8672BFAEC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B33C0480-82DC-47C1-A2B0-309E1A04144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AD06F308-7008-4506-9FE1-A95ED9B85B3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6F2BF4C1-4CC5-4E05-B9F0-97D1912529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FE4781E3-C7FD-43DE-85B2-A3DEE79246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C18686B2-EEAE-4B6B-86D9-E5A53F241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99B9577F-5A08-419B-9D4B-DBCE0A8297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E2226ABC-B663-441F-A667-3F60C248AA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04CD71BD-C936-4211-8F17-8914E187F4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2F2BD23D-031D-46AF-8CF4-3733CB7647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021E4BB3-D607-4A9F-8F03-38756D38D5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C7E4159B-48FA-49FA-A21E-D0E8058DD5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C55018F6-BB8B-4E47-BDDB-FF2FA31133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38B8F017-E9E3-48BE-9E3E-1F2E62357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A06F7E0F-6BCB-4171-BD35-92A1937E55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0BD504C1-DD1F-491C-8586-E9F514092F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A7E1D82F-A105-4285-9320-564ABA15FA0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76A0EBD9-EE74-49D2-BFAF-9E4570F3A4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5B469B1A-2312-4851-92CB-8318413158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5DE19DA1-9B2C-40A8-980E-1FC1E21FD5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5FC2E3EF-E369-40D1-B470-6268D53F14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C5BD6115-C708-4DEC-995E-522DA89D35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1E2B46E6-88EA-43EF-9F1E-23C9C78960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7697C34-EFEB-4834-AB19-D49B2964AA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8722465-6E97-4B0D-BB97-6A5E32582A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0F186CC8-6BE9-43A0-8E16-F53C8B65D3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50" authorId="0" shapeId="0" xr:uid="{86BB7B11-2D62-461C-B5FF-13F9D106F9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AD85D21-4A9E-4BA8-9583-AB1AEDAAA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BBFE44D4-A76B-416F-8B24-3824EBCC8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A4F204A0-9139-47F9-B75E-C981662F0F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89A7FF6D-A36B-486A-A9C6-797D8BED6AA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20798702-230C-4F00-AC38-1B4BAD0CD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3BA879E9-D676-40BD-86CA-F58D4B85CE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87F81283-9267-48E0-A463-385D11BE6F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A6D31735-995B-46FB-BC78-739AD41161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784DCF15-72B9-477B-9D34-3553E76516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EEBE9062-AEC4-4BDC-A97E-30FEC3DC42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F4AC0CCA-9161-4E26-8404-BB9BE932DE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72F82C0-6D52-4A29-B849-E7476FF3F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2C0CC425-D9FB-4B5A-91D9-D41080A5EE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F834B84-A5A0-4617-ACC2-BD9D44C9FD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CABFA532-7C41-4FD1-9A14-950757EA6F3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514E6ACE-57F4-4A0C-AE58-91B69BF03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20C90787-495B-43F3-B459-97D6525BC2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21DCA492-D9E7-4DC0-9B43-D7228E09337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C1CD31AD-0DAC-46C5-AF6A-15F92DDCB1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2D849AFF-3B69-4EE0-B4F5-99C3367EBB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2A9FF904-557C-42E3-A7CC-24E5C6F2A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C11DE72B-F6BB-4A40-AF3E-D7E2208BB4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0E6D1AFE-8A69-4BC8-B975-B23C532B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64CA34B0-A41A-4BDA-B979-BCB88E9EE8D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11F73239-626A-4DF9-9812-819843340A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10B00C10-8E38-486A-8681-EAB2DB5264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9166A6F0-10A1-4B50-8BAA-C182F31FA14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21359D7B-485C-42CE-B0DC-D76CE9D6B4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5315153-9BC1-4951-B118-6FE67FC070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7528943F-AA91-48F3-8950-3DF851CFCE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DEE4EC48-FA9D-48CE-A5A3-74CDC3DC9E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2C044F4D-68D1-424B-A7F0-E7D08785A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2DA9D23-70D8-4FAC-A7FD-A5A0E96A68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A76F8BCF-C7D9-4559-A882-2D795EECA24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7DE1034D-A7E0-4362-9134-74EB9F38F8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00A2CC2B-93A6-473D-9783-7010D10C94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6A375C4B-6000-4C47-B755-C120CD0FDD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D636E105-D8C3-42D0-9194-4D50887869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18B923B3-AD41-46EE-8233-DA746F361D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DD907AE0-B29F-46A7-A880-4C47805C02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DB4BE836-7FA2-41C2-9CD9-F1C0ED004FB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3260BDE2-DFE0-4E41-B354-4028D234C47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EFF8A991-084C-4008-8A98-1943E25D459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780F23D-3420-46C0-BD73-C4050B77B4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252B1441-0F40-4A84-B964-B8C15CE9C2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0" shapeId="0" xr:uid="{2B111FF6-32AF-490F-BF45-36D6B2F617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0.32 (0.16-0.61) for SAM incidence 
Langendorf et al. 2014</t>
        </r>
      </text>
    </comment>
    <comment ref="G18" authorId="0" shapeId="0" xr:uid="{76D98853-BB8C-4B0C-BAE1-222B40A58B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H18" authorId="0" shapeId="0" xr:uid="{8028E63A-8F6D-4DD5-9FD7-7B268382BC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F20" authorId="0" shapeId="0" xr:uid="{37DC67B4-781D-46AE-85D0-650BF89D9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0.40 (0.23-0.68) for MAM incidence Langendorf et al. 2014, PLoS Med </t>
        </r>
      </text>
    </comment>
    <comment ref="G20" authorId="0" shapeId="0" xr:uid="{BEE86973-7582-48DF-9D80-A64B6CDE2F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H20" authorId="0" shapeId="0" xr:uid="{1FD6EAE0-2A34-4907-922D-670FC38A8C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0" shapeId="0" xr:uid="{2EF31D2B-EE72-4E50-B73F-6BB854BF159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73" authorId="0" shapeId="0" xr:uid="{AA7B5B79-0EF5-4B80-ADA3-6BB092050B1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73" authorId="0" shapeId="0" xr:uid="{A23A97FE-F160-4FAF-A5C6-044B27899A4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75" authorId="0" shapeId="0" xr:uid="{D5765185-45BB-48A7-8BFA-49E29B1C9F0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75" authorId="0" shapeId="0" xr:uid="{AA6A188C-A883-4D96-A686-6C77878183D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75" authorId="0" shapeId="0" xr:uid="{971DF49E-F060-486E-9A67-11CA7117B58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0" shapeId="0" xr:uid="{C41D4345-94EC-4C3D-BAC5-55251871261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128" authorId="0" shapeId="0" xr:uid="{E5EACFBE-BDC4-44B9-A7FA-E1488BEEEAB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128" authorId="0" shapeId="0" xr:uid="{3E9D0706-9699-486E-AFE7-CA48FAE26B2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130" authorId="0" shapeId="0" xr:uid="{66F6E996-8793-4164-B934-3FE8FCAFEA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130" authorId="0" shapeId="0" xr:uid="{03906487-B396-4B62-B8FA-17ECA6B3B9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130" authorId="0" shapeId="0" xr:uid="{6E556D4E-A49C-4B50-A08F-779BAFC9204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3" authorId="0" shapeId="0" xr:uid="{9A71D084-A2DD-4EDA-9211-F5D5AE1346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3" authorId="0" shapeId="0" xr:uid="{7B22FC18-B278-4AB2-BDF9-F8817A4174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3" authorId="0" shapeId="0" xr:uid="{AEFD8D38-12E3-4BC8-81DB-1DB99406E5E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79696A72-1F7B-4916-A4C3-09F82414E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B92DFDBB-68C7-41E1-931A-A5F42F0631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75DCCE96-0ADD-4B65-B69A-0B01405DC1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<sst xmlns="http://schemas.openxmlformats.org/spreadsheetml/2006/main" count="2094" uniqueCount="341">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</sst>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100</v>
      </c>
      <c r="B1" s="31" t="s">
        <v>159</v>
      </c>
      <c r="C1" s="31" t="s">
        <v>160</v>
      </c>
    </row>
    <row r="2" spans="1:3" ht="15.9" customHeight="1" x14ac:dyDescent="0.3">
      <c r="A2" s="8" t="s">
        <v>186</v>
      </c>
      <c r="B2" s="31"/>
      <c r="C2" s="31"/>
    </row>
    <row r="3" spans="1:3" ht="15.9" customHeight="1" x14ac:dyDescent="0.3">
      <c r="A3" s="1"/>
      <c r="B3" s="5" t="s">
        <v>188</v>
      </c>
      <c r="C3" s="49">
        <v>2024</v>
      </c>
    </row>
    <row r="4" spans="1:3" ht="15.9" customHeight="1" x14ac:dyDescent="0.3">
      <c r="A4" s="1"/>
      <c r="B4" s="5" t="s">
        <v>187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3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ht="13" x14ac:dyDescent="0.3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 t="s">
        <v>189</v>
      </c>
      <c r="E5" s="45" t="str">
        <f>IF(E$7="","",E$7)</f>
        <v/>
      </c>
    </row>
    <row r="6" spans="1:5" x14ac:dyDescent="0.25">
      <c r="B6" s="35" t="s">
        <v>4</v>
      </c>
      <c r="C6" s="64"/>
      <c r="D6" s="64" t="s">
        <v>189</v>
      </c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ht="13" x14ac:dyDescent="0.3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ht="13" x14ac:dyDescent="0.3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ht="13" x14ac:dyDescent="0.3">
      <c r="A2" s="48" t="s">
        <v>69</v>
      </c>
      <c r="B2" s="35" t="s">
        <v>67</v>
      </c>
      <c r="C2" s="35" t="s">
        <v>178</v>
      </c>
      <c r="D2" s="64"/>
    </row>
    <row r="3" spans="1:4" ht="13" x14ac:dyDescent="0.3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/>
      <c r="B6" s="68"/>
      <c r="C6" s="68"/>
    </row>
    <row r="7" spans="1:3" x14ac:dyDescent="0.25">
      <c r="A7" s="67"/>
      <c r="B7" s="68"/>
      <c r="C7" s="68"/>
    </row>
    <row r="8" spans="1:3" x14ac:dyDescent="0.25">
      <c r="A8" s="67"/>
      <c r="B8" s="68"/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/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4" x14ac:dyDescent="0.3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5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ht="13" x14ac:dyDescent="0.3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1.73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1.73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1.73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1.73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ht="13" x14ac:dyDescent="0.3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1.35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170</v>
      </c>
      <c r="D59" s="103">
        <v>1.35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169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2</v>
      </c>
      <c r="C61" s="28" t="s">
        <v>171</v>
      </c>
      <c r="D61" s="103">
        <f t="shared" ref="D61:H61" si="6">IF(D8=1,1,D8*0.9)</f>
        <v>1</v>
      </c>
      <c r="E61" s="103">
        <v>1.35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170</v>
      </c>
      <c r="D62" s="103">
        <f t="shared" ref="D62:H62" si="7">IF(D9=1,1,D9*0.9)</f>
        <v>1</v>
      </c>
      <c r="E62" s="103">
        <v>1.35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169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3</v>
      </c>
      <c r="C64" s="28" t="s">
        <v>171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170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169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4</v>
      </c>
      <c r="C67" s="28" t="s">
        <v>171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170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169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167</v>
      </c>
      <c r="C70" s="28" t="s">
        <v>169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170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169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170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169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170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169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170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169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170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169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167</v>
      </c>
      <c r="C87" s="28" t="s">
        <v>169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170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169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170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169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170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169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170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169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170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169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167</v>
      </c>
      <c r="C104" s="28" t="s">
        <v>169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ht="13" x14ac:dyDescent="0.3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170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169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1</v>
      </c>
      <c r="C111" s="28" t="s">
        <v>171</v>
      </c>
      <c r="D111" s="103">
        <v>2.11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170</v>
      </c>
      <c r="D112" s="103">
        <v>2.11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169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2</v>
      </c>
      <c r="C114" s="28" t="s">
        <v>171</v>
      </c>
      <c r="D114" s="103">
        <f t="shared" ref="D114:H114" si="54">IF(D8=1,1,D8*1.05)</f>
        <v>1</v>
      </c>
      <c r="E114" s="103">
        <v>2.11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170</v>
      </c>
      <c r="D115" s="103">
        <f t="shared" ref="D115:H115" si="55">IF(D9=1,1,D9*1.05)</f>
        <v>1</v>
      </c>
      <c r="E115" s="103">
        <v>2.11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169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3</v>
      </c>
      <c r="C117" s="28" t="s">
        <v>171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170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169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4</v>
      </c>
      <c r="C120" s="28" t="s">
        <v>171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170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169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167</v>
      </c>
      <c r="C123" s="28" t="s">
        <v>169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170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169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170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169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170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169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170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169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170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169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167</v>
      </c>
      <c r="C140" s="28" t="s">
        <v>169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170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169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170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169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170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169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170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169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170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169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167</v>
      </c>
      <c r="C157" s="28" t="s">
        <v>169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216</v>
      </c>
    </row>
    <row r="2" spans="1:6" ht="15.75" customHeight="1" x14ac:dyDescent="0.3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3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219</v>
      </c>
      <c r="C11" s="88"/>
      <c r="D11" s="89"/>
      <c r="E11" s="89"/>
      <c r="F11" s="89"/>
    </row>
    <row r="12" spans="1:6" ht="15.75" customHeight="1" x14ac:dyDescent="0.3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216</v>
      </c>
    </row>
    <row r="29" spans="1:6" ht="15.75" customHeight="1" x14ac:dyDescent="0.3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3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3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216</v>
      </c>
    </row>
    <row r="56" spans="1:6" ht="15.75" customHeight="1" x14ac:dyDescent="0.3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3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3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225</v>
      </c>
    </row>
    <row r="2" spans="1:16" ht="13" x14ac:dyDescent="0.3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232</v>
      </c>
    </row>
    <row r="29" spans="1:16" ht="13" x14ac:dyDescent="0.3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235</v>
      </c>
    </row>
    <row r="56" spans="1:16" ht="26" x14ac:dyDescent="0.3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239</v>
      </c>
    </row>
    <row r="65" spans="1:16" ht="26" x14ac:dyDescent="0.3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73</v>
      </c>
      <c r="C66" s="32" t="s">
        <v>161</v>
      </c>
      <c r="D66" s="105">
        <v>1.35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1.35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1.35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241</v>
      </c>
    </row>
    <row r="104" spans="1:16" ht="26" x14ac:dyDescent="0.3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267</v>
      </c>
      <c r="H110" s="107"/>
    </row>
    <row r="111" spans="1:16" ht="13" x14ac:dyDescent="0.3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ht="13" x14ac:dyDescent="0.3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ht="13" x14ac:dyDescent="0.3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ht="13" x14ac:dyDescent="0.3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ht="13" x14ac:dyDescent="0.3">
      <c r="A176" s="97"/>
      <c r="B176" s="28" t="s">
        <v>73</v>
      </c>
      <c r="C176" s="32" t="s">
        <v>161</v>
      </c>
      <c r="D176" s="106">
        <f>IF(D66=1,1,D66*0.9)</f>
        <v>1.2150000000000001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1.2150000000000001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1.2150000000000001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ht="13" x14ac:dyDescent="0.3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268</v>
      </c>
      <c r="H220" s="107"/>
    </row>
    <row r="221" spans="1:9" ht="13" x14ac:dyDescent="0.3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ht="13" x14ac:dyDescent="0.3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ht="13" x14ac:dyDescent="0.3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ht="13" x14ac:dyDescent="0.3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ht="13" x14ac:dyDescent="0.3">
      <c r="A286" s="97"/>
      <c r="B286" s="28" t="s">
        <v>73</v>
      </c>
      <c r="C286" s="32" t="s">
        <v>161</v>
      </c>
      <c r="D286" s="106">
        <f>IF(D66=1,1,D66*1.1)</f>
        <v>1.4850000000000003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1.4850000000000003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1.4850000000000003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ht="13" x14ac:dyDescent="0.3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242</v>
      </c>
    </row>
    <row r="2" spans="1:7" ht="14.25" customHeight="1" x14ac:dyDescent="0.3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247</v>
      </c>
    </row>
    <row r="12" spans="1:7" ht="14.25" customHeight="1" x14ac:dyDescent="0.3">
      <c r="A12" s="84"/>
      <c r="B12" s="46" t="s">
        <v>190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248</v>
      </c>
    </row>
    <row r="15" spans="1:7" ht="14.25" customHeight="1" x14ac:dyDescent="0.3">
      <c r="A15" s="97" t="s">
        <v>233</v>
      </c>
      <c r="B15" s="73" t="s">
        <v>249</v>
      </c>
      <c r="C15" s="105">
        <v>1.0249999999999999</v>
      </c>
      <c r="D15" s="105">
        <v>1.0249999999999999</v>
      </c>
      <c r="E15" s="105">
        <v>1.0249999999999999</v>
      </c>
      <c r="F15" s="105">
        <v>1.0249999999999999</v>
      </c>
      <c r="G15" s="105">
        <v>1.0249999999999999</v>
      </c>
    </row>
    <row r="16" spans="1:7" ht="14.25" customHeight="1" x14ac:dyDescent="0.3">
      <c r="A16" s="30"/>
      <c r="B16" s="73" t="s">
        <v>250</v>
      </c>
      <c r="C16" s="105">
        <v>1.0249999999999999</v>
      </c>
      <c r="D16" s="105">
        <v>1.0249999999999999</v>
      </c>
      <c r="E16" s="105">
        <v>1.0249999999999999</v>
      </c>
      <c r="F16" s="105">
        <v>1.0249999999999999</v>
      </c>
      <c r="G16" s="105">
        <v>1.0249999999999999</v>
      </c>
    </row>
    <row r="17" spans="1:7" ht="14.25" customHeight="1" x14ac:dyDescent="0.3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252</v>
      </c>
    </row>
    <row r="20" spans="1:7" s="84" customFormat="1" ht="14.25" customHeight="1" x14ac:dyDescent="0.3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267</v>
      </c>
    </row>
    <row r="24" spans="1:7" ht="13" x14ac:dyDescent="0.3">
      <c r="A24" s="79" t="s">
        <v>242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278</v>
      </c>
      <c r="C27" s="105">
        <f>IF(C4=1,1,C4*0.9)</f>
        <v>0.92249999999999999</v>
      </c>
      <c r="D27" s="105">
        <f t="shared" ref="D27:G27" si="1">IF(D4=1,1,D4*0.9)</f>
        <v>0.92249999999999999</v>
      </c>
      <c r="E27" s="105">
        <f t="shared" si="1"/>
        <v>0.92249999999999999</v>
      </c>
      <c r="F27" s="105">
        <f t="shared" si="1"/>
        <v>0.92249999999999999</v>
      </c>
      <c r="G27" s="105">
        <f t="shared" si="1"/>
        <v>0.92249999999999999</v>
      </c>
    </row>
    <row r="28" spans="1:7" ht="13" x14ac:dyDescent="0.3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2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2"/>
        <v>1</v>
      </c>
    </row>
    <row r="30" spans="1:7" x14ac:dyDescent="0.25">
      <c r="B30" s="73" t="s">
        <v>280</v>
      </c>
      <c r="C30" s="105">
        <f t="shared" ref="C30:G30" si="3">IF(C7=1,1,C7*0.9)</f>
        <v>1</v>
      </c>
      <c r="D30" s="105">
        <f t="shared" si="3"/>
        <v>1</v>
      </c>
      <c r="E30" s="105">
        <v>0.85</v>
      </c>
      <c r="F30" s="105">
        <v>0.85</v>
      </c>
      <c r="G30" s="105">
        <f t="shared" si="3"/>
        <v>1</v>
      </c>
    </row>
    <row r="31" spans="1:7" x14ac:dyDescent="0.25">
      <c r="B31" s="73" t="s">
        <v>338</v>
      </c>
      <c r="C31" s="105">
        <f t="shared" ref="C31:G31" si="4">IF(C8=1,1,C8*0.9)</f>
        <v>1</v>
      </c>
      <c r="D31" s="105">
        <f t="shared" si="4"/>
        <v>1</v>
      </c>
      <c r="E31" s="105">
        <v>0.85</v>
      </c>
      <c r="F31" s="105">
        <v>0.85</v>
      </c>
      <c r="G31" s="105">
        <f t="shared" si="4"/>
        <v>1</v>
      </c>
    </row>
    <row r="32" spans="1:7" x14ac:dyDescent="0.25">
      <c r="B32" s="73" t="s">
        <v>281</v>
      </c>
      <c r="C32" s="105">
        <f t="shared" ref="C32:G32" si="5">IF(C9=1,1,C9*0.9)</f>
        <v>1</v>
      </c>
      <c r="D32" s="105">
        <f t="shared" si="5"/>
        <v>1</v>
      </c>
      <c r="E32" s="105">
        <f t="shared" si="5"/>
        <v>1</v>
      </c>
      <c r="F32" s="105">
        <f t="shared" si="5"/>
        <v>1</v>
      </c>
      <c r="G32" s="105">
        <f t="shared" si="5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320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282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248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233</v>
      </c>
      <c r="B38" s="73" t="s">
        <v>283</v>
      </c>
      <c r="C38" s="105">
        <f>IF(C15=1,1,C15*0.9)</f>
        <v>0.92249999999999999</v>
      </c>
      <c r="D38" s="105">
        <f t="shared" ref="D38:G38" si="6">IF(D15=1,1,D15*0.9)</f>
        <v>0.92249999999999999</v>
      </c>
      <c r="E38" s="105">
        <f t="shared" si="6"/>
        <v>0.92249999999999999</v>
      </c>
      <c r="F38" s="105">
        <f t="shared" si="6"/>
        <v>0.92249999999999999</v>
      </c>
      <c r="G38" s="105">
        <f t="shared" si="6"/>
        <v>0.92249999999999999</v>
      </c>
    </row>
    <row r="39" spans="1:7" ht="13" x14ac:dyDescent="0.3">
      <c r="A39" s="30"/>
      <c r="B39" s="73" t="s">
        <v>284</v>
      </c>
      <c r="C39" s="105">
        <f t="shared" ref="C39:G39" si="7">IF(C16=1,1,C16*0.9)</f>
        <v>0.92249999999999999</v>
      </c>
      <c r="D39" s="105">
        <f t="shared" si="7"/>
        <v>0.92249999999999999</v>
      </c>
      <c r="E39" s="105">
        <f t="shared" si="7"/>
        <v>0.92249999999999999</v>
      </c>
      <c r="F39" s="105">
        <f t="shared" si="7"/>
        <v>0.92249999999999999</v>
      </c>
      <c r="G39" s="105">
        <f t="shared" si="7"/>
        <v>0.92249999999999999</v>
      </c>
    </row>
    <row r="40" spans="1:7" ht="13" x14ac:dyDescent="0.3">
      <c r="A40" s="97" t="s">
        <v>70</v>
      </c>
      <c r="B40" s="46" t="s">
        <v>285</v>
      </c>
      <c r="C40" s="105">
        <f t="shared" ref="C40:G40" si="8">IF(C17=1,1,C17*0.9)</f>
        <v>1</v>
      </c>
      <c r="D40" s="105">
        <f t="shared" si="8"/>
        <v>1</v>
      </c>
      <c r="E40" s="105">
        <f t="shared" si="8"/>
        <v>1</v>
      </c>
      <c r="F40" s="105">
        <f t="shared" si="8"/>
        <v>1</v>
      </c>
      <c r="G40" s="105">
        <f t="shared" si="8"/>
        <v>1</v>
      </c>
    </row>
    <row r="42" spans="1:7" ht="13" x14ac:dyDescent="0.3">
      <c r="A42" s="79" t="s">
        <v>321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268</v>
      </c>
    </row>
    <row r="47" spans="1:7" ht="13" x14ac:dyDescent="0.3">
      <c r="A47" s="79" t="s">
        <v>242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50" si="9">D3*1.05</f>
        <v>47.25</v>
      </c>
      <c r="E49" s="105">
        <f t="shared" si="9"/>
        <v>379.68000000000006</v>
      </c>
      <c r="F49" s="105">
        <f t="shared" si="9"/>
        <v>183.435</v>
      </c>
      <c r="G49" s="105">
        <f t="shared" si="9"/>
        <v>183.435</v>
      </c>
    </row>
    <row r="50" spans="1:7" ht="13" x14ac:dyDescent="0.3">
      <c r="A50" s="30"/>
      <c r="B50" s="73" t="s">
        <v>288</v>
      </c>
      <c r="C50" s="105">
        <f>C4*1.05</f>
        <v>1.0762499999999999</v>
      </c>
      <c r="D50" s="105">
        <f t="shared" si="9"/>
        <v>1.0762499999999999</v>
      </c>
      <c r="E50" s="105">
        <f t="shared" si="9"/>
        <v>1.0762499999999999</v>
      </c>
      <c r="F50" s="105">
        <f t="shared" si="9"/>
        <v>1.0762499999999999</v>
      </c>
      <c r="G50" s="105">
        <f t="shared" si="9"/>
        <v>1.0762499999999999</v>
      </c>
    </row>
    <row r="51" spans="1:7" ht="13" x14ac:dyDescent="0.3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10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10"/>
        <v>1</v>
      </c>
    </row>
    <row r="53" spans="1:7" x14ac:dyDescent="0.25">
      <c r="B53" s="73" t="s">
        <v>290</v>
      </c>
      <c r="C53" s="105">
        <f t="shared" ref="C53:G53" si="11">IF(C7=1,1,C7*1.1)</f>
        <v>1</v>
      </c>
      <c r="D53" s="105">
        <f t="shared" si="11"/>
        <v>1</v>
      </c>
      <c r="E53" s="105">
        <v>0.91</v>
      </c>
      <c r="F53" s="105">
        <v>0.91</v>
      </c>
      <c r="G53" s="105">
        <f t="shared" si="11"/>
        <v>1</v>
      </c>
    </row>
    <row r="54" spans="1:7" x14ac:dyDescent="0.25">
      <c r="B54" s="73" t="s">
        <v>339</v>
      </c>
      <c r="C54" s="105">
        <f t="shared" ref="C54:G54" si="12">IF(C8=1,1,C8*1.1)</f>
        <v>1</v>
      </c>
      <c r="D54" s="105">
        <f t="shared" si="12"/>
        <v>1</v>
      </c>
      <c r="E54" s="105">
        <v>0.91</v>
      </c>
      <c r="F54" s="105">
        <v>0.91</v>
      </c>
      <c r="G54" s="105">
        <f t="shared" si="12"/>
        <v>1</v>
      </c>
    </row>
    <row r="55" spans="1:7" x14ac:dyDescent="0.25">
      <c r="B55" s="73" t="s">
        <v>291</v>
      </c>
      <c r="C55" s="105">
        <f t="shared" ref="C55:G55" si="13">IF(C9=1,1,C9*1.1)</f>
        <v>1</v>
      </c>
      <c r="D55" s="105">
        <f t="shared" si="13"/>
        <v>1</v>
      </c>
      <c r="E55" s="105">
        <f t="shared" si="13"/>
        <v>1</v>
      </c>
      <c r="F55" s="105">
        <f t="shared" si="13"/>
        <v>1</v>
      </c>
      <c r="G55" s="105">
        <f t="shared" si="13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322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292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248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233</v>
      </c>
      <c r="B61" s="73" t="s">
        <v>293</v>
      </c>
      <c r="C61" s="105">
        <f>IF(C15=1,1,C15*1.1)</f>
        <v>1.1274999999999999</v>
      </c>
      <c r="D61" s="105">
        <f t="shared" ref="D61:G61" si="14">IF(D15=1,1,D15*1.1)</f>
        <v>1.1274999999999999</v>
      </c>
      <c r="E61" s="105">
        <f t="shared" si="14"/>
        <v>1.1274999999999999</v>
      </c>
      <c r="F61" s="105">
        <f t="shared" si="14"/>
        <v>1.1274999999999999</v>
      </c>
      <c r="G61" s="105">
        <f t="shared" si="14"/>
        <v>1.1274999999999999</v>
      </c>
    </row>
    <row r="62" spans="1:7" ht="13" x14ac:dyDescent="0.3">
      <c r="A62" s="30"/>
      <c r="B62" s="73" t="s">
        <v>294</v>
      </c>
      <c r="C62" s="105">
        <f t="shared" ref="C62:G62" si="15">IF(C16=1,1,C16*1.1)</f>
        <v>1.1274999999999999</v>
      </c>
      <c r="D62" s="105">
        <f t="shared" si="15"/>
        <v>1.1274999999999999</v>
      </c>
      <c r="E62" s="105">
        <f t="shared" si="15"/>
        <v>1.1274999999999999</v>
      </c>
      <c r="F62" s="105">
        <f t="shared" si="15"/>
        <v>1.1274999999999999</v>
      </c>
      <c r="G62" s="105">
        <f t="shared" si="15"/>
        <v>1.1274999999999999</v>
      </c>
    </row>
    <row r="63" spans="1:7" ht="13" x14ac:dyDescent="0.3">
      <c r="A63" s="97" t="s">
        <v>70</v>
      </c>
      <c r="B63" s="46" t="s">
        <v>295</v>
      </c>
      <c r="C63" s="105">
        <f t="shared" ref="C63:G63" si="16">IF(C17=1,1,C17*1.1)</f>
        <v>1</v>
      </c>
      <c r="D63" s="105">
        <f t="shared" si="16"/>
        <v>1</v>
      </c>
      <c r="E63" s="105">
        <f t="shared" si="16"/>
        <v>1</v>
      </c>
      <c r="F63" s="105">
        <f t="shared" si="16"/>
        <v>1</v>
      </c>
      <c r="G63" s="105">
        <f t="shared" si="16"/>
        <v>1</v>
      </c>
    </row>
    <row r="65" spans="1:7" ht="13" x14ac:dyDescent="0.3">
      <c r="A65" s="79" t="s">
        <v>323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C50:G50 D49:G49 C61:G63 C27:G28 C38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267</v>
      </c>
    </row>
    <row r="16" spans="1:6" ht="15.75" customHeight="1" x14ac:dyDescent="0.3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268</v>
      </c>
    </row>
    <row r="31" spans="1:6" ht="15.75" customHeight="1" x14ac:dyDescent="0.3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ht="13" x14ac:dyDescent="0.3">
      <c r="A2" s="30" t="s">
        <v>255</v>
      </c>
    </row>
    <row r="3" spans="1:15" x14ac:dyDescent="0.25">
      <c r="B3" s="46" t="s">
        <v>144</v>
      </c>
      <c r="C3" s="105">
        <v>0.92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v>1</v>
      </c>
      <c r="M14" s="105">
        <v>1</v>
      </c>
      <c r="N14" s="105">
        <v>1</v>
      </c>
      <c r="O14" s="105">
        <v>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105">
        <v>1</v>
      </c>
      <c r="J18" s="105">
        <v>1</v>
      </c>
      <c r="K18" s="105">
        <v>1</v>
      </c>
      <c r="L18" s="105">
        <v>1</v>
      </c>
      <c r="M18" s="105">
        <v>1</v>
      </c>
      <c r="N18" s="105">
        <v>1</v>
      </c>
      <c r="O18" s="105">
        <v>1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105">
        <v>1</v>
      </c>
      <c r="J20" s="105">
        <v>1</v>
      </c>
      <c r="K20" s="105">
        <v>1</v>
      </c>
      <c r="L20" s="105">
        <v>1</v>
      </c>
      <c r="M20" s="105">
        <v>1</v>
      </c>
      <c r="N20" s="105">
        <v>1</v>
      </c>
      <c r="O20" s="105">
        <v>1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267</v>
      </c>
    </row>
    <row r="24" spans="1:15" ht="26" x14ac:dyDescent="0.3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ht="13" x14ac:dyDescent="0.3">
      <c r="A25" s="30" t="s">
        <v>271</v>
      </c>
    </row>
    <row r="26" spans="1:15" x14ac:dyDescent="0.25">
      <c r="B26" s="46" t="s">
        <v>144</v>
      </c>
      <c r="C26" s="105">
        <v>0.87</v>
      </c>
      <c r="D26" s="105">
        <v>0.4</v>
      </c>
      <c r="E26" s="105">
        <f t="shared" ref="E26:O26" si="0">IF(E3=1,1,E3*0.9)</f>
        <v>1</v>
      </c>
      <c r="F26" s="105">
        <f t="shared" si="0"/>
        <v>1</v>
      </c>
      <c r="G26" s="105">
        <f t="shared" si="0"/>
        <v>1</v>
      </c>
      <c r="H26" s="105">
        <f t="shared" si="0"/>
        <v>1</v>
      </c>
      <c r="I26" s="105">
        <f t="shared" si="0"/>
        <v>1</v>
      </c>
      <c r="J26" s="105">
        <f t="shared" si="0"/>
        <v>1</v>
      </c>
      <c r="K26" s="105">
        <f t="shared" si="0"/>
        <v>1</v>
      </c>
      <c r="L26" s="105">
        <f t="shared" si="0"/>
        <v>1</v>
      </c>
      <c r="M26" s="105">
        <f t="shared" si="0"/>
        <v>1</v>
      </c>
      <c r="N26" s="105">
        <f t="shared" si="0"/>
        <v>1</v>
      </c>
      <c r="O26" s="105">
        <f t="shared" si="0"/>
        <v>1</v>
      </c>
    </row>
    <row r="27" spans="1:15" x14ac:dyDescent="0.25">
      <c r="B27" s="46" t="s">
        <v>183</v>
      </c>
      <c r="C27" s="105">
        <f t="shared" ref="C27:O27" si="1">IF(C4=1,1,C4*0.9)</f>
        <v>1</v>
      </c>
      <c r="D27" s="105">
        <f t="shared" si="1"/>
        <v>1</v>
      </c>
      <c r="E27" s="105">
        <f t="shared" si="1"/>
        <v>1</v>
      </c>
      <c r="F27" s="105">
        <f t="shared" si="1"/>
        <v>1</v>
      </c>
      <c r="G27" s="105">
        <f t="shared" si="1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1"/>
        <v>1</v>
      </c>
      <c r="M27" s="105">
        <f t="shared" si="1"/>
        <v>1</v>
      </c>
      <c r="N27" s="105">
        <f t="shared" si="1"/>
        <v>1</v>
      </c>
      <c r="O27" s="105">
        <f t="shared" si="1"/>
        <v>1</v>
      </c>
    </row>
    <row r="28" spans="1:15" x14ac:dyDescent="0.25">
      <c r="B28" s="46" t="s">
        <v>201</v>
      </c>
      <c r="C28" s="105">
        <f t="shared" ref="C28:O28" si="2">IF(C5=1,1,C5*0.9)</f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184</v>
      </c>
      <c r="C29" s="105">
        <f t="shared" ref="C29:O29" si="3">IF(C6=1,1,C6*0.9)</f>
        <v>1</v>
      </c>
      <c r="D29" s="105">
        <f t="shared" si="3"/>
        <v>1</v>
      </c>
      <c r="E29" s="105">
        <f t="shared" si="3"/>
        <v>1</v>
      </c>
      <c r="F29" s="105">
        <f t="shared" si="3"/>
        <v>1</v>
      </c>
      <c r="G29" s="105">
        <f t="shared" si="3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3"/>
        <v>1</v>
      </c>
      <c r="M29" s="105">
        <f t="shared" si="3"/>
        <v>1</v>
      </c>
      <c r="N29" s="105">
        <f t="shared" si="3"/>
        <v>1</v>
      </c>
      <c r="O29" s="105">
        <f t="shared" si="3"/>
        <v>1</v>
      </c>
    </row>
    <row r="30" spans="1:15" x14ac:dyDescent="0.25">
      <c r="B30" s="46" t="s">
        <v>185</v>
      </c>
      <c r="C30" s="105">
        <f t="shared" ref="C30:O30" si="4">IF(C7=1,1,C7*0.9)</f>
        <v>1</v>
      </c>
      <c r="D30" s="105">
        <f t="shared" si="4"/>
        <v>1</v>
      </c>
      <c r="E30" s="105">
        <f t="shared" si="4"/>
        <v>1</v>
      </c>
      <c r="F30" s="105">
        <f t="shared" si="4"/>
        <v>1</v>
      </c>
      <c r="G30" s="105">
        <f t="shared" si="4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4"/>
        <v>1</v>
      </c>
      <c r="M30" s="105">
        <f t="shared" si="4"/>
        <v>1</v>
      </c>
      <c r="N30" s="105">
        <f t="shared" si="4"/>
        <v>1</v>
      </c>
      <c r="O30" s="105">
        <f t="shared" si="4"/>
        <v>1</v>
      </c>
    </row>
    <row r="31" spans="1:15" x14ac:dyDescent="0.25">
      <c r="B31" s="73" t="s">
        <v>182</v>
      </c>
      <c r="C31" s="105">
        <f t="shared" ref="C31:K31" si="5">IF(C8=1,1,C8*0.9)</f>
        <v>1</v>
      </c>
      <c r="D31" s="105">
        <f t="shared" si="5"/>
        <v>1</v>
      </c>
      <c r="E31" s="105">
        <f t="shared" si="5"/>
        <v>1</v>
      </c>
      <c r="F31" s="105">
        <f t="shared" si="5"/>
        <v>1</v>
      </c>
      <c r="G31" s="105">
        <f t="shared" si="5"/>
        <v>1</v>
      </c>
      <c r="H31" s="105">
        <f t="shared" si="5"/>
        <v>1</v>
      </c>
      <c r="I31" s="105">
        <f t="shared" si="5"/>
        <v>1</v>
      </c>
      <c r="J31" s="105">
        <f t="shared" si="5"/>
        <v>1</v>
      </c>
      <c r="K31" s="105">
        <f t="shared" si="5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ref="C32:K32" si="6">IF(C9=1,1,C9*0.9)</f>
        <v>1</v>
      </c>
      <c r="D32" s="105">
        <f t="shared" si="6"/>
        <v>1</v>
      </c>
      <c r="E32" s="105">
        <f t="shared" si="6"/>
        <v>1</v>
      </c>
      <c r="F32" s="105">
        <f t="shared" si="6"/>
        <v>1</v>
      </c>
      <c r="G32" s="105">
        <f t="shared" si="6"/>
        <v>1</v>
      </c>
      <c r="H32" s="105">
        <f t="shared" si="6"/>
        <v>1</v>
      </c>
      <c r="I32" s="105">
        <f t="shared" si="6"/>
        <v>1</v>
      </c>
      <c r="J32" s="105">
        <f t="shared" si="6"/>
        <v>1</v>
      </c>
      <c r="K32" s="105">
        <f t="shared" si="6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ref="C33:K33" si="7">IF(C10=1,1,C10*0.9)</f>
        <v>1</v>
      </c>
      <c r="D33" s="105">
        <f t="shared" si="7"/>
        <v>1</v>
      </c>
      <c r="E33" s="105">
        <f t="shared" si="7"/>
        <v>1</v>
      </c>
      <c r="F33" s="105">
        <f t="shared" si="7"/>
        <v>1</v>
      </c>
      <c r="G33" s="105">
        <f t="shared" si="7"/>
        <v>1</v>
      </c>
      <c r="H33" s="105">
        <f t="shared" si="7"/>
        <v>1</v>
      </c>
      <c r="I33" s="105">
        <f t="shared" si="7"/>
        <v>1</v>
      </c>
      <c r="J33" s="105">
        <f t="shared" si="7"/>
        <v>1</v>
      </c>
      <c r="K33" s="105">
        <f t="shared" si="7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ref="C34:O34" si="8">IF(C11=1,1,C11*0.9)</f>
        <v>1</v>
      </c>
      <c r="D34" s="105">
        <f t="shared" si="8"/>
        <v>1</v>
      </c>
      <c r="E34" s="105">
        <v>0.62</v>
      </c>
      <c r="F34" s="105">
        <v>0.62</v>
      </c>
      <c r="G34" s="105">
        <v>1</v>
      </c>
      <c r="H34" s="105">
        <f t="shared" si="8"/>
        <v>1</v>
      </c>
      <c r="I34" s="105">
        <f t="shared" si="8"/>
        <v>1</v>
      </c>
      <c r="J34" s="105">
        <f t="shared" si="8"/>
        <v>1</v>
      </c>
      <c r="K34" s="105">
        <f t="shared" si="8"/>
        <v>1</v>
      </c>
      <c r="L34" s="105">
        <f t="shared" si="8"/>
        <v>1</v>
      </c>
      <c r="M34" s="105">
        <f t="shared" si="8"/>
        <v>1</v>
      </c>
      <c r="N34" s="105">
        <f t="shared" si="8"/>
        <v>1</v>
      </c>
      <c r="O34" s="105">
        <f t="shared" si="8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6" si="9">IF(C13=1,1,C13*0.9)</f>
        <v>1</v>
      </c>
      <c r="D36" s="105">
        <f t="shared" si="9"/>
        <v>1</v>
      </c>
      <c r="E36" s="105">
        <v>0.62</v>
      </c>
      <c r="F36" s="105">
        <v>0.62</v>
      </c>
      <c r="G36" s="105">
        <v>0.62</v>
      </c>
      <c r="H36" s="105">
        <f t="shared" si="9"/>
        <v>1</v>
      </c>
      <c r="I36" s="105">
        <f t="shared" si="9"/>
        <v>1</v>
      </c>
      <c r="J36" s="105">
        <f t="shared" si="9"/>
        <v>1</v>
      </c>
      <c r="K36" s="105">
        <f t="shared" si="9"/>
        <v>1</v>
      </c>
      <c r="L36" s="105">
        <f t="shared" si="9"/>
        <v>1</v>
      </c>
      <c r="M36" s="105">
        <f t="shared" si="9"/>
        <v>1</v>
      </c>
      <c r="N36" s="105">
        <f t="shared" si="9"/>
        <v>1</v>
      </c>
      <c r="O36" s="105">
        <f t="shared" si="9"/>
        <v>1</v>
      </c>
    </row>
    <row r="37" spans="1:15" x14ac:dyDescent="0.25">
      <c r="B37" s="46" t="s">
        <v>59</v>
      </c>
      <c r="C37" s="105">
        <f t="shared" ref="C37:K37" si="10">IF(C14=1,1,C14*0.9)</f>
        <v>1</v>
      </c>
      <c r="D37" s="105">
        <f t="shared" si="10"/>
        <v>1</v>
      </c>
      <c r="E37" s="105">
        <f t="shared" si="10"/>
        <v>1</v>
      </c>
      <c r="F37" s="105">
        <f t="shared" si="10"/>
        <v>1</v>
      </c>
      <c r="G37" s="105">
        <f t="shared" si="10"/>
        <v>1</v>
      </c>
      <c r="H37" s="105">
        <f t="shared" si="10"/>
        <v>1</v>
      </c>
      <c r="I37" s="105">
        <f t="shared" si="10"/>
        <v>1</v>
      </c>
      <c r="J37" s="105">
        <f t="shared" si="10"/>
        <v>1</v>
      </c>
      <c r="K37" s="105">
        <f t="shared" si="10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337</v>
      </c>
      <c r="C38" s="105">
        <f t="shared" ref="C38:O38" si="11">IF(C15=1,1,C15*0.9)</f>
        <v>1</v>
      </c>
      <c r="D38" s="105">
        <f t="shared" si="11"/>
        <v>1</v>
      </c>
      <c r="E38" s="105">
        <v>0.3</v>
      </c>
      <c r="F38" s="105">
        <v>0.3</v>
      </c>
      <c r="G38" s="105">
        <f t="shared" si="11"/>
        <v>1</v>
      </c>
      <c r="H38" s="105">
        <f t="shared" si="11"/>
        <v>1</v>
      </c>
      <c r="I38" s="105">
        <f t="shared" si="11"/>
        <v>1</v>
      </c>
      <c r="J38" s="105">
        <f t="shared" si="11"/>
        <v>1</v>
      </c>
      <c r="K38" s="105">
        <f t="shared" si="11"/>
        <v>1</v>
      </c>
      <c r="L38" s="105">
        <f t="shared" si="11"/>
        <v>1</v>
      </c>
      <c r="M38" s="105">
        <f t="shared" si="11"/>
        <v>1</v>
      </c>
      <c r="N38" s="105">
        <f t="shared" si="11"/>
        <v>1</v>
      </c>
      <c r="O38" s="105">
        <f t="shared" si="11"/>
        <v>1</v>
      </c>
    </row>
    <row r="40" spans="1:15" ht="13" x14ac:dyDescent="0.3">
      <c r="A40" s="30" t="s">
        <v>272</v>
      </c>
      <c r="B40" s="46"/>
    </row>
    <row r="41" spans="1:15" x14ac:dyDescent="0.25">
      <c r="B41" s="73" t="s">
        <v>63</v>
      </c>
      <c r="C41" s="105">
        <f t="shared" ref="C41:O41" si="12">IF(C18=1,1,C18*0.9)</f>
        <v>1</v>
      </c>
      <c r="D41" s="105">
        <f t="shared" si="12"/>
        <v>1</v>
      </c>
      <c r="E41" s="105">
        <f t="shared" si="12"/>
        <v>1</v>
      </c>
      <c r="F41" s="105">
        <f t="shared" si="12"/>
        <v>1</v>
      </c>
      <c r="G41" s="105">
        <f t="shared" si="12"/>
        <v>1</v>
      </c>
      <c r="H41" s="105">
        <f t="shared" si="12"/>
        <v>1</v>
      </c>
      <c r="I41" s="105">
        <f t="shared" si="12"/>
        <v>1</v>
      </c>
      <c r="J41" s="105">
        <f t="shared" si="12"/>
        <v>1</v>
      </c>
      <c r="K41" s="105">
        <f t="shared" si="12"/>
        <v>1</v>
      </c>
      <c r="L41" s="105">
        <f t="shared" si="12"/>
        <v>1</v>
      </c>
      <c r="M41" s="105">
        <f t="shared" si="12"/>
        <v>1</v>
      </c>
      <c r="N41" s="105">
        <f t="shared" si="12"/>
        <v>1</v>
      </c>
      <c r="O41" s="105">
        <f t="shared" si="12"/>
        <v>1</v>
      </c>
    </row>
    <row r="42" spans="1:15" x14ac:dyDescent="0.25">
      <c r="B42" s="73" t="s">
        <v>64</v>
      </c>
      <c r="C42" s="105">
        <f t="shared" ref="C42:D44" si="13">IF(C19=1,1,C19*0.9)</f>
        <v>1</v>
      </c>
      <c r="D42" s="105">
        <f t="shared" si="13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62</v>
      </c>
      <c r="C43" s="105">
        <f t="shared" si="13"/>
        <v>1</v>
      </c>
      <c r="D43" s="105">
        <f t="shared" si="13"/>
        <v>1</v>
      </c>
      <c r="E43" s="105">
        <f t="shared" ref="E43:O43" si="14">IF(E20=1,1,E20*0.9)</f>
        <v>1</v>
      </c>
      <c r="F43" s="105">
        <f t="shared" si="14"/>
        <v>1</v>
      </c>
      <c r="G43" s="105">
        <f t="shared" si="14"/>
        <v>1</v>
      </c>
      <c r="H43" s="105">
        <f t="shared" si="14"/>
        <v>1</v>
      </c>
      <c r="I43" s="105">
        <f t="shared" si="14"/>
        <v>1</v>
      </c>
      <c r="J43" s="105">
        <f t="shared" si="14"/>
        <v>1</v>
      </c>
      <c r="K43" s="105">
        <f t="shared" si="14"/>
        <v>1</v>
      </c>
      <c r="L43" s="105">
        <f t="shared" si="14"/>
        <v>1</v>
      </c>
      <c r="M43" s="105">
        <f t="shared" si="14"/>
        <v>1</v>
      </c>
      <c r="N43" s="105">
        <f t="shared" si="14"/>
        <v>1</v>
      </c>
      <c r="O43" s="105">
        <f t="shared" si="14"/>
        <v>1</v>
      </c>
    </row>
    <row r="44" spans="1:15" x14ac:dyDescent="0.25">
      <c r="B44" s="73" t="s">
        <v>47</v>
      </c>
      <c r="C44" s="105">
        <f t="shared" si="13"/>
        <v>1</v>
      </c>
      <c r="D44" s="105">
        <f t="shared" si="13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268</v>
      </c>
    </row>
    <row r="47" spans="1:15" ht="26" x14ac:dyDescent="0.3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ht="13" x14ac:dyDescent="0.3">
      <c r="A48" s="30" t="s">
        <v>273</v>
      </c>
    </row>
    <row r="49" spans="1:15" x14ac:dyDescent="0.25">
      <c r="B49" s="46" t="s">
        <v>144</v>
      </c>
      <c r="C49" s="105">
        <v>0.99</v>
      </c>
      <c r="D49" s="105">
        <v>0.7</v>
      </c>
      <c r="E49" s="105">
        <f t="shared" ref="E49:O49" si="15">IF(E3=1,1,E3*1.05)</f>
        <v>1</v>
      </c>
      <c r="F49" s="105">
        <f t="shared" si="15"/>
        <v>1</v>
      </c>
      <c r="G49" s="105">
        <f t="shared" si="15"/>
        <v>1</v>
      </c>
      <c r="H49" s="105">
        <f t="shared" si="15"/>
        <v>1</v>
      </c>
      <c r="I49" s="105">
        <f t="shared" si="15"/>
        <v>1</v>
      </c>
      <c r="J49" s="105">
        <f t="shared" si="15"/>
        <v>1</v>
      </c>
      <c r="K49" s="105">
        <f t="shared" si="15"/>
        <v>1</v>
      </c>
      <c r="L49" s="105">
        <f t="shared" si="15"/>
        <v>1</v>
      </c>
      <c r="M49" s="105">
        <f t="shared" si="15"/>
        <v>1</v>
      </c>
      <c r="N49" s="105">
        <f t="shared" si="15"/>
        <v>1</v>
      </c>
      <c r="O49" s="105">
        <f t="shared" si="15"/>
        <v>1</v>
      </c>
    </row>
    <row r="50" spans="1:15" x14ac:dyDescent="0.25">
      <c r="B50" s="46" t="s">
        <v>183</v>
      </c>
      <c r="C50" s="105">
        <f t="shared" ref="C50:O50" si="16">IF(C4=1,1,C4*1.05)</f>
        <v>1</v>
      </c>
      <c r="D50" s="105">
        <f t="shared" si="16"/>
        <v>1</v>
      </c>
      <c r="E50" s="105">
        <f t="shared" si="16"/>
        <v>1</v>
      </c>
      <c r="F50" s="105">
        <f t="shared" si="16"/>
        <v>1</v>
      </c>
      <c r="G50" s="105">
        <f t="shared" si="16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16"/>
        <v>1</v>
      </c>
      <c r="M50" s="105">
        <f t="shared" si="16"/>
        <v>1</v>
      </c>
      <c r="N50" s="105">
        <f t="shared" si="16"/>
        <v>1</v>
      </c>
      <c r="O50" s="105">
        <f t="shared" si="16"/>
        <v>1</v>
      </c>
    </row>
    <row r="51" spans="1:15" x14ac:dyDescent="0.25">
      <c r="B51" s="46" t="s">
        <v>201</v>
      </c>
      <c r="C51" s="105">
        <f t="shared" ref="C51:O51" si="17">IF(C5=1,1,C5*1.05)</f>
        <v>1</v>
      </c>
      <c r="D51" s="105">
        <f t="shared" si="17"/>
        <v>1</v>
      </c>
      <c r="E51" s="105">
        <f t="shared" si="17"/>
        <v>1</v>
      </c>
      <c r="F51" s="105">
        <f t="shared" si="17"/>
        <v>1</v>
      </c>
      <c r="G51" s="105">
        <f t="shared" si="1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17"/>
        <v>1</v>
      </c>
      <c r="M51" s="105">
        <f t="shared" si="17"/>
        <v>1</v>
      </c>
      <c r="N51" s="105">
        <f t="shared" si="17"/>
        <v>1</v>
      </c>
      <c r="O51" s="105">
        <f t="shared" si="17"/>
        <v>1</v>
      </c>
    </row>
    <row r="52" spans="1:15" x14ac:dyDescent="0.25">
      <c r="B52" s="46" t="s">
        <v>184</v>
      </c>
      <c r="C52" s="105">
        <f t="shared" ref="C52:O52" si="18">IF(C6=1,1,C6*1.05)</f>
        <v>1</v>
      </c>
      <c r="D52" s="105">
        <f t="shared" si="18"/>
        <v>1</v>
      </c>
      <c r="E52" s="105">
        <f t="shared" si="18"/>
        <v>1</v>
      </c>
      <c r="F52" s="105">
        <f t="shared" si="18"/>
        <v>1</v>
      </c>
      <c r="G52" s="105">
        <f t="shared" si="18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18"/>
        <v>1</v>
      </c>
      <c r="M52" s="105">
        <f t="shared" si="18"/>
        <v>1</v>
      </c>
      <c r="N52" s="105">
        <f t="shared" si="18"/>
        <v>1</v>
      </c>
      <c r="O52" s="105">
        <f t="shared" si="18"/>
        <v>1</v>
      </c>
    </row>
    <row r="53" spans="1:15" x14ac:dyDescent="0.25">
      <c r="B53" s="46" t="s">
        <v>185</v>
      </c>
      <c r="C53" s="105">
        <f t="shared" ref="C53:O53" si="19">IF(C7=1,1,C7*1.05)</f>
        <v>1</v>
      </c>
      <c r="D53" s="105">
        <f t="shared" si="19"/>
        <v>1</v>
      </c>
      <c r="E53" s="105">
        <f t="shared" si="19"/>
        <v>1</v>
      </c>
      <c r="F53" s="105">
        <f t="shared" si="19"/>
        <v>1</v>
      </c>
      <c r="G53" s="105">
        <f t="shared" si="19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19"/>
        <v>1</v>
      </c>
      <c r="M53" s="105">
        <f t="shared" si="19"/>
        <v>1</v>
      </c>
      <c r="N53" s="105">
        <f t="shared" si="19"/>
        <v>1</v>
      </c>
      <c r="O53" s="105">
        <f t="shared" si="19"/>
        <v>1</v>
      </c>
    </row>
    <row r="54" spans="1:15" x14ac:dyDescent="0.25">
      <c r="B54" s="73" t="s">
        <v>182</v>
      </c>
      <c r="C54" s="105">
        <f t="shared" ref="C54:K54" si="20">IF(C8=1,1,C8*1.05)</f>
        <v>1</v>
      </c>
      <c r="D54" s="105">
        <f t="shared" si="20"/>
        <v>1</v>
      </c>
      <c r="E54" s="105">
        <f t="shared" si="20"/>
        <v>1</v>
      </c>
      <c r="F54" s="105">
        <f t="shared" si="20"/>
        <v>1</v>
      </c>
      <c r="G54" s="105">
        <f t="shared" si="20"/>
        <v>1</v>
      </c>
      <c r="H54" s="105">
        <f t="shared" si="20"/>
        <v>1</v>
      </c>
      <c r="I54" s="105">
        <f t="shared" si="20"/>
        <v>1</v>
      </c>
      <c r="J54" s="105">
        <f t="shared" si="20"/>
        <v>1</v>
      </c>
      <c r="K54" s="105">
        <f t="shared" si="20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ref="C55:K55" si="21">IF(C9=1,1,C9*1.05)</f>
        <v>1</v>
      </c>
      <c r="D55" s="105">
        <f t="shared" si="21"/>
        <v>1</v>
      </c>
      <c r="E55" s="105">
        <f t="shared" si="21"/>
        <v>1</v>
      </c>
      <c r="F55" s="105">
        <f t="shared" si="21"/>
        <v>1</v>
      </c>
      <c r="G55" s="105">
        <f t="shared" si="21"/>
        <v>1</v>
      </c>
      <c r="H55" s="105">
        <f t="shared" si="21"/>
        <v>1</v>
      </c>
      <c r="I55" s="105">
        <f t="shared" si="21"/>
        <v>1</v>
      </c>
      <c r="J55" s="105">
        <f t="shared" si="21"/>
        <v>1</v>
      </c>
      <c r="K55" s="105">
        <f t="shared" si="21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ref="C56:K56" si="22">IF(C10=1,1,C10*1.05)</f>
        <v>1</v>
      </c>
      <c r="D56" s="105">
        <f t="shared" si="22"/>
        <v>1</v>
      </c>
      <c r="E56" s="105">
        <f t="shared" si="22"/>
        <v>1</v>
      </c>
      <c r="F56" s="105">
        <f t="shared" si="22"/>
        <v>1</v>
      </c>
      <c r="G56" s="105">
        <f t="shared" si="22"/>
        <v>1</v>
      </c>
      <c r="H56" s="105">
        <f t="shared" si="22"/>
        <v>1</v>
      </c>
      <c r="I56" s="105">
        <f t="shared" si="22"/>
        <v>1</v>
      </c>
      <c r="J56" s="105">
        <f t="shared" si="22"/>
        <v>1</v>
      </c>
      <c r="K56" s="105">
        <f t="shared" si="22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ref="C57:O57" si="23">IF(C11=1,1,C11*1.05)</f>
        <v>1</v>
      </c>
      <c r="D57" s="105">
        <f t="shared" si="23"/>
        <v>1</v>
      </c>
      <c r="E57" s="105">
        <v>0.77</v>
      </c>
      <c r="F57" s="105">
        <v>0.77</v>
      </c>
      <c r="G57" s="105">
        <f t="shared" si="23"/>
        <v>1</v>
      </c>
      <c r="H57" s="105">
        <f t="shared" si="23"/>
        <v>1</v>
      </c>
      <c r="I57" s="105">
        <f t="shared" si="23"/>
        <v>1</v>
      </c>
      <c r="J57" s="105">
        <f t="shared" si="23"/>
        <v>1</v>
      </c>
      <c r="K57" s="105">
        <f t="shared" si="23"/>
        <v>1</v>
      </c>
      <c r="L57" s="105">
        <f t="shared" si="23"/>
        <v>1</v>
      </c>
      <c r="M57" s="105">
        <f t="shared" si="23"/>
        <v>1</v>
      </c>
      <c r="N57" s="105">
        <f t="shared" si="23"/>
        <v>1</v>
      </c>
      <c r="O57" s="105">
        <f t="shared" si="23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59" si="24">IF(C13=1,1,C13*1.05)</f>
        <v>1</v>
      </c>
      <c r="D59" s="105">
        <f t="shared" si="24"/>
        <v>1</v>
      </c>
      <c r="E59" s="105">
        <v>0.77</v>
      </c>
      <c r="F59" s="105">
        <v>0.77</v>
      </c>
      <c r="G59" s="105">
        <v>0.77</v>
      </c>
      <c r="H59" s="105">
        <f t="shared" si="24"/>
        <v>1</v>
      </c>
      <c r="I59" s="105">
        <f t="shared" si="24"/>
        <v>1</v>
      </c>
      <c r="J59" s="105">
        <f t="shared" si="24"/>
        <v>1</v>
      </c>
      <c r="K59" s="105">
        <f t="shared" si="24"/>
        <v>1</v>
      </c>
      <c r="L59" s="105">
        <f t="shared" si="24"/>
        <v>1</v>
      </c>
      <c r="M59" s="105">
        <f t="shared" si="24"/>
        <v>1</v>
      </c>
      <c r="N59" s="105">
        <f t="shared" si="24"/>
        <v>1</v>
      </c>
      <c r="O59" s="105">
        <f t="shared" si="24"/>
        <v>1</v>
      </c>
    </row>
    <row r="60" spans="1:15" x14ac:dyDescent="0.25">
      <c r="B60" s="46" t="s">
        <v>59</v>
      </c>
      <c r="C60" s="105">
        <f t="shared" ref="C60:K60" si="25">IF(C14=1,1,C14*1.05)</f>
        <v>1</v>
      </c>
      <c r="D60" s="105">
        <f t="shared" si="25"/>
        <v>1</v>
      </c>
      <c r="E60" s="105">
        <f t="shared" si="25"/>
        <v>1</v>
      </c>
      <c r="F60" s="105">
        <f t="shared" si="25"/>
        <v>1</v>
      </c>
      <c r="G60" s="105">
        <f t="shared" si="25"/>
        <v>1</v>
      </c>
      <c r="H60" s="105">
        <f t="shared" si="25"/>
        <v>1</v>
      </c>
      <c r="I60" s="105">
        <f t="shared" si="25"/>
        <v>1</v>
      </c>
      <c r="J60" s="105">
        <f t="shared" si="25"/>
        <v>1</v>
      </c>
      <c r="K60" s="105">
        <f t="shared" si="25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337</v>
      </c>
      <c r="C61" s="105">
        <f t="shared" ref="C61:O61" si="26">IF(C15=1,1,C15*1.05)</f>
        <v>1</v>
      </c>
      <c r="D61" s="105">
        <f t="shared" si="26"/>
        <v>1</v>
      </c>
      <c r="E61" s="105">
        <v>0.44</v>
      </c>
      <c r="F61" s="105">
        <v>0.44</v>
      </c>
      <c r="G61" s="105">
        <f t="shared" si="26"/>
        <v>1</v>
      </c>
      <c r="H61" s="105">
        <f t="shared" si="26"/>
        <v>1</v>
      </c>
      <c r="I61" s="105">
        <f t="shared" si="26"/>
        <v>1</v>
      </c>
      <c r="J61" s="105">
        <f t="shared" si="26"/>
        <v>1</v>
      </c>
      <c r="K61" s="105">
        <f t="shared" si="26"/>
        <v>1</v>
      </c>
      <c r="L61" s="105">
        <f t="shared" si="26"/>
        <v>1</v>
      </c>
      <c r="M61" s="105">
        <f t="shared" si="26"/>
        <v>1</v>
      </c>
      <c r="N61" s="105">
        <f t="shared" si="26"/>
        <v>1</v>
      </c>
      <c r="O61" s="105">
        <f t="shared" si="26"/>
        <v>1</v>
      </c>
    </row>
    <row r="63" spans="1:15" ht="13" x14ac:dyDescent="0.3">
      <c r="A63" s="30" t="s">
        <v>274</v>
      </c>
      <c r="B63" s="46"/>
    </row>
    <row r="64" spans="1:15" x14ac:dyDescent="0.25">
      <c r="B64" s="73" t="s">
        <v>63</v>
      </c>
      <c r="C64" s="105">
        <f t="shared" ref="C64:O64" si="27">IF(C18=1,1,C18*1.05)</f>
        <v>1</v>
      </c>
      <c r="D64" s="105">
        <f t="shared" si="27"/>
        <v>1</v>
      </c>
      <c r="E64" s="105">
        <f t="shared" si="27"/>
        <v>1</v>
      </c>
      <c r="F64" s="105">
        <f t="shared" si="27"/>
        <v>1</v>
      </c>
      <c r="G64" s="105">
        <f t="shared" si="27"/>
        <v>1</v>
      </c>
      <c r="H64" s="105">
        <f t="shared" si="27"/>
        <v>1</v>
      </c>
      <c r="I64" s="105">
        <f t="shared" si="27"/>
        <v>1</v>
      </c>
      <c r="J64" s="105">
        <f t="shared" si="27"/>
        <v>1</v>
      </c>
      <c r="K64" s="105">
        <f t="shared" si="27"/>
        <v>1</v>
      </c>
      <c r="L64" s="105">
        <f t="shared" si="27"/>
        <v>1</v>
      </c>
      <c r="M64" s="105">
        <f t="shared" si="27"/>
        <v>1</v>
      </c>
      <c r="N64" s="105">
        <f t="shared" si="27"/>
        <v>1</v>
      </c>
      <c r="O64" s="105">
        <f t="shared" si="27"/>
        <v>1</v>
      </c>
    </row>
    <row r="65" spans="2:15" x14ac:dyDescent="0.25">
      <c r="B65" s="73" t="s">
        <v>64</v>
      </c>
      <c r="C65" s="105">
        <f t="shared" ref="C65:D67" si="28">IF(C19=1,1,C19*1.05)</f>
        <v>1</v>
      </c>
      <c r="D65" s="105">
        <f t="shared" si="28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62</v>
      </c>
      <c r="C66" s="105">
        <f t="shared" si="28"/>
        <v>1</v>
      </c>
      <c r="D66" s="105">
        <f t="shared" si="28"/>
        <v>1</v>
      </c>
      <c r="E66" s="105">
        <f t="shared" ref="E66:O66" si="29">IF(E20=1,1,E20*1.05)</f>
        <v>1</v>
      </c>
      <c r="F66" s="105">
        <f t="shared" si="29"/>
        <v>1</v>
      </c>
      <c r="G66" s="105">
        <f t="shared" si="29"/>
        <v>1</v>
      </c>
      <c r="H66" s="105">
        <f t="shared" si="29"/>
        <v>1</v>
      </c>
      <c r="I66" s="105">
        <f t="shared" si="29"/>
        <v>1</v>
      </c>
      <c r="J66" s="105">
        <f t="shared" si="29"/>
        <v>1</v>
      </c>
      <c r="K66" s="105">
        <f t="shared" si="29"/>
        <v>1</v>
      </c>
      <c r="L66" s="105">
        <f t="shared" si="29"/>
        <v>1</v>
      </c>
      <c r="M66" s="105">
        <f t="shared" si="29"/>
        <v>1</v>
      </c>
      <c r="N66" s="105">
        <f t="shared" si="29"/>
        <v>1</v>
      </c>
      <c r="O66" s="105">
        <f t="shared" si="29"/>
        <v>1</v>
      </c>
    </row>
    <row r="67" spans="2:15" x14ac:dyDescent="0.25">
      <c r="B67" s="73" t="s">
        <v>47</v>
      </c>
      <c r="C67" s="105">
        <f t="shared" si="28"/>
        <v>1</v>
      </c>
      <c r="D67" s="105">
        <f t="shared" si="28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ht="13" x14ac:dyDescent="0.3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269</v>
      </c>
    </row>
    <row r="8" spans="1:7" ht="13" x14ac:dyDescent="0.3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ht="13" x14ac:dyDescent="0.3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270</v>
      </c>
    </row>
    <row r="15" spans="1:7" ht="13" x14ac:dyDescent="0.3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ht="13" x14ac:dyDescent="0.3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v>0.68</v>
      </c>
      <c r="G18" s="105">
        <v>0.68</v>
      </c>
      <c r="H18" s="105">
        <v>0.68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v>0.6</v>
      </c>
      <c r="G20" s="105">
        <v>0.6</v>
      </c>
      <c r="H20" s="105">
        <v>0.6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269</v>
      </c>
      <c r="B55" s="112"/>
      <c r="C55" s="112"/>
    </row>
    <row r="56" spans="1:8" ht="13" x14ac:dyDescent="0.3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v>0.39</v>
      </c>
      <c r="G73" s="105">
        <v>0.39</v>
      </c>
      <c r="H73" s="105">
        <v>0.39</v>
      </c>
    </row>
    <row r="74" spans="1:8" x14ac:dyDescent="0.25">
      <c r="B74" s="40" t="s">
        <v>65</v>
      </c>
      <c r="C74" s="40" t="s">
        <v>261</v>
      </c>
      <c r="D74" s="105">
        <f t="shared" ref="D74:G74" si="8">IF($C19="Affected fraction",D19,IF(D19=1,1,D19*0.9))</f>
        <v>0</v>
      </c>
      <c r="E74" s="105">
        <f t="shared" si="8"/>
        <v>0</v>
      </c>
      <c r="F74" s="105">
        <f t="shared" si="8"/>
        <v>1</v>
      </c>
      <c r="G74" s="105">
        <f t="shared" si="8"/>
        <v>1</v>
      </c>
      <c r="H74" s="105">
        <f t="shared" ref="H74" si="9">IF($C19="Affected fraction",H19,IF(H19=1,1,H19*0.9))</f>
        <v>1</v>
      </c>
    </row>
    <row r="75" spans="1:8" x14ac:dyDescent="0.25">
      <c r="C75" s="40" t="s">
        <v>263</v>
      </c>
      <c r="D75" s="105">
        <f t="shared" ref="D75:E75" si="10">IF($C20="Affected fraction",D20,IF(D20=1,1,D20*0.9))</f>
        <v>0</v>
      </c>
      <c r="E75" s="105">
        <f t="shared" si="10"/>
        <v>0</v>
      </c>
      <c r="F75" s="105">
        <v>0.32</v>
      </c>
      <c r="G75" s="105">
        <v>0.32</v>
      </c>
      <c r="H75" s="105">
        <v>0.32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1">IF($C21="Affected fraction",D21,IF(D21=1,1,D21*0.9))</f>
        <v>1</v>
      </c>
      <c r="E76" s="105">
        <f t="shared" si="11"/>
        <v>0</v>
      </c>
      <c r="F76" s="105">
        <f t="shared" si="11"/>
        <v>0</v>
      </c>
      <c r="G76" s="105">
        <f t="shared" si="11"/>
        <v>0</v>
      </c>
      <c r="H76" s="105">
        <f t="shared" si="11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2">IF($C22="Affected fraction",E22,IF(E22=1,1,E22*0.9))</f>
        <v>0</v>
      </c>
      <c r="F77" s="105">
        <f t="shared" si="12"/>
        <v>0</v>
      </c>
      <c r="G77" s="105">
        <f t="shared" si="12"/>
        <v>0</v>
      </c>
      <c r="H77" s="105">
        <f t="shared" si="12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3">IF($C23="Affected fraction",D23,IF(D23=1,1,D23*0.9))</f>
        <v>1</v>
      </c>
      <c r="E78" s="105">
        <f t="shared" si="13"/>
        <v>0</v>
      </c>
      <c r="F78" s="105">
        <f t="shared" si="13"/>
        <v>0</v>
      </c>
      <c r="G78" s="105">
        <f t="shared" si="13"/>
        <v>0</v>
      </c>
      <c r="H78" s="105">
        <f t="shared" si="13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4">IF($C24="Affected fraction",E24,IF(E24=1,1,E24*0.9))</f>
        <v>0</v>
      </c>
      <c r="F79" s="105">
        <f t="shared" si="14"/>
        <v>0</v>
      </c>
      <c r="G79" s="105">
        <f t="shared" si="14"/>
        <v>0</v>
      </c>
      <c r="H79" s="105">
        <f t="shared" si="14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5">IF($C25="Affected fraction",D25,IF(D25=1,1,D25*0.9))</f>
        <v>1</v>
      </c>
      <c r="E80" s="105">
        <f t="shared" si="15"/>
        <v>0</v>
      </c>
      <c r="F80" s="105">
        <f t="shared" si="15"/>
        <v>0</v>
      </c>
      <c r="G80" s="105">
        <f t="shared" si="15"/>
        <v>0</v>
      </c>
      <c r="H80" s="105">
        <f t="shared" si="15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6">IF($C26="Affected fraction",E26,IF(E26=1,1,E26*0.9))</f>
        <v>0</v>
      </c>
      <c r="F81" s="105">
        <f t="shared" si="16"/>
        <v>0</v>
      </c>
      <c r="G81" s="105">
        <f t="shared" si="16"/>
        <v>0</v>
      </c>
      <c r="H81" s="105">
        <f t="shared" si="16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7">IF($C42="Affected fraction",D42,IF(D42=1,1,D42*0.9))</f>
        <v>0</v>
      </c>
      <c r="E97" s="105">
        <f t="shared" si="17"/>
        <v>1</v>
      </c>
      <c r="F97" s="105">
        <f t="shared" si="17"/>
        <v>1</v>
      </c>
      <c r="G97" s="105">
        <f t="shared" si="17"/>
        <v>1</v>
      </c>
      <c r="H97" s="105">
        <f t="shared" si="17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270</v>
      </c>
      <c r="B110" s="112"/>
      <c r="C110" s="112"/>
    </row>
    <row r="111" spans="1:8" ht="13" x14ac:dyDescent="0.3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8">IF($C2="Affected fraction",E2,IF(E2=1,1,E2*1.05))</f>
        <v>0</v>
      </c>
      <c r="F112" s="105">
        <f t="shared" ref="F112:H112" si="19">IF($C57="Affected fraction",F57,IF(F57=1,1,F57*0.9))</f>
        <v>1</v>
      </c>
      <c r="G112" s="105">
        <f t="shared" si="19"/>
        <v>1</v>
      </c>
      <c r="H112" s="105">
        <f t="shared" si="19"/>
        <v>1</v>
      </c>
    </row>
    <row r="113" spans="1:8" x14ac:dyDescent="0.25">
      <c r="C113" s="40" t="s">
        <v>262</v>
      </c>
      <c r="D113" s="105">
        <f t="shared" ref="D113:E113" si="20">IF($C3="Affected fraction",D3,IF(D3=1,1,D3*1.05))</f>
        <v>0</v>
      </c>
      <c r="E113" s="105">
        <f t="shared" si="20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1">IF($C4="Affected fraction",D4,IF(D4=1,1,D4*1.05))</f>
        <v>0</v>
      </c>
      <c r="E114" s="105">
        <f t="shared" si="21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2">IF($C14="Affected fraction",D14,IF(D14=1,1,D14*1.05))</f>
        <v>0</v>
      </c>
      <c r="E124" s="105">
        <f t="shared" si="22"/>
        <v>0</v>
      </c>
      <c r="F124" s="105">
        <v>0.45</v>
      </c>
      <c r="G124" s="105">
        <v>0.45</v>
      </c>
      <c r="H124" s="105">
        <f t="shared" si="22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3">IF($C15="Affected fraction",D15,IF(D15=1,1,D15*1.05))</f>
        <v>0</v>
      </c>
      <c r="E125" s="105">
        <f t="shared" si="23"/>
        <v>0</v>
      </c>
      <c r="F125" s="105">
        <f t="shared" si="23"/>
        <v>1</v>
      </c>
      <c r="G125" s="105">
        <f t="shared" si="23"/>
        <v>1</v>
      </c>
      <c r="H125" s="105">
        <f t="shared" si="23"/>
        <v>0</v>
      </c>
    </row>
    <row r="126" spans="1:8" x14ac:dyDescent="0.25">
      <c r="C126" s="40" t="s">
        <v>263</v>
      </c>
      <c r="D126" s="105">
        <f t="shared" ref="D126:H126" si="24">IF($C16="Affected fraction",D16,IF(D16=1,1,D16*1.05))</f>
        <v>0</v>
      </c>
      <c r="E126" s="105">
        <f t="shared" si="24"/>
        <v>0</v>
      </c>
      <c r="F126" s="105">
        <v>0.2</v>
      </c>
      <c r="G126" s="105">
        <v>0.2</v>
      </c>
      <c r="H126" s="105">
        <f t="shared" si="24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5">IF($C17="Affected fraction",D17,IF(D17=1,1,D17*1.05))</f>
        <v>0</v>
      </c>
      <c r="E127" s="105">
        <f t="shared" si="25"/>
        <v>0</v>
      </c>
      <c r="F127" s="105">
        <f t="shared" si="25"/>
        <v>1</v>
      </c>
      <c r="G127" s="105">
        <f t="shared" si="25"/>
        <v>1</v>
      </c>
      <c r="H127" s="105">
        <f t="shared" si="25"/>
        <v>1</v>
      </c>
    </row>
    <row r="128" spans="1:8" x14ac:dyDescent="0.25">
      <c r="C128" s="40" t="s">
        <v>263</v>
      </c>
      <c r="D128" s="105">
        <f t="shared" ref="D128:E128" si="26">IF($C18="Affected fraction",D18,IF(D18=1,1,D18*1.05))</f>
        <v>0</v>
      </c>
      <c r="E128" s="105">
        <f t="shared" si="26"/>
        <v>0</v>
      </c>
      <c r="F128" s="105">
        <v>0.84</v>
      </c>
      <c r="G128" s="105">
        <v>0.84</v>
      </c>
      <c r="H128" s="105">
        <v>0.84</v>
      </c>
    </row>
    <row r="129" spans="1:8" x14ac:dyDescent="0.25">
      <c r="B129" s="40" t="s">
        <v>65</v>
      </c>
      <c r="C129" s="40" t="s">
        <v>261</v>
      </c>
      <c r="D129" s="105">
        <f t="shared" ref="D129:E129" si="27">IF($C19="Affected fraction",D19,IF(D19=1,1,D19*1.05))</f>
        <v>0</v>
      </c>
      <c r="E129" s="105">
        <f t="shared" si="27"/>
        <v>0</v>
      </c>
      <c r="F129" s="105">
        <f t="shared" ref="F129:H129" si="28">IF($C74="Affected fraction",F74,IF(F74=1,1,F74*0.9))</f>
        <v>1</v>
      </c>
      <c r="G129" s="105">
        <f t="shared" si="28"/>
        <v>1</v>
      </c>
      <c r="H129" s="105">
        <f t="shared" si="28"/>
        <v>1</v>
      </c>
    </row>
    <row r="130" spans="1:8" x14ac:dyDescent="0.25">
      <c r="C130" s="40" t="s">
        <v>263</v>
      </c>
      <c r="D130" s="105">
        <f t="shared" ref="D130:E130" si="29">IF($C20="Affected fraction",D20,IF(D20=1,1,D20*1.05))</f>
        <v>0</v>
      </c>
      <c r="E130" s="105">
        <f t="shared" si="29"/>
        <v>0</v>
      </c>
      <c r="F130" s="105">
        <v>0.77</v>
      </c>
      <c r="G130" s="105">
        <v>0.77</v>
      </c>
      <c r="H130" s="105">
        <v>0.77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30">IF($C76="Affected fraction",D76,IF(D76=1,1,D76*0.9))</f>
        <v>1</v>
      </c>
      <c r="E131" s="105">
        <f t="shared" ref="E131:H131" si="31">IF($C21="Affected fraction",E21,IF(E21=1,1,E21*1.05))</f>
        <v>0</v>
      </c>
      <c r="F131" s="105">
        <f t="shared" si="31"/>
        <v>0</v>
      </c>
      <c r="G131" s="105">
        <f t="shared" si="31"/>
        <v>0</v>
      </c>
      <c r="H131" s="105">
        <f t="shared" si="31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2">IF($C22="Affected fraction",E22,IF(E22=1,1,E22*1.05))</f>
        <v>0</v>
      </c>
      <c r="F132" s="105">
        <f t="shared" si="32"/>
        <v>0</v>
      </c>
      <c r="G132" s="105">
        <f t="shared" si="32"/>
        <v>0</v>
      </c>
      <c r="H132" s="105">
        <f t="shared" si="32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3">IF($C78="Affected fraction",D78,IF(D78=1,1,D78*0.9))</f>
        <v>1</v>
      </c>
      <c r="E133" s="105">
        <f t="shared" ref="E133:H133" si="34">IF($C23="Affected fraction",E23,IF(E23=1,1,E23*1.05))</f>
        <v>0</v>
      </c>
      <c r="F133" s="105">
        <f t="shared" si="34"/>
        <v>0</v>
      </c>
      <c r="G133" s="105">
        <f t="shared" si="34"/>
        <v>0</v>
      </c>
      <c r="H133" s="105">
        <f t="shared" si="34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5">IF($C24="Affected fraction",E24,IF(E24=1,1,E24*1.05))</f>
        <v>0</v>
      </c>
      <c r="F134" s="105">
        <f t="shared" si="35"/>
        <v>0</v>
      </c>
      <c r="G134" s="105">
        <f t="shared" si="35"/>
        <v>0</v>
      </c>
      <c r="H134" s="105">
        <f t="shared" si="35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6">IF($C80="Affected fraction",D80,IF(D80=1,1,D80*0.9))</f>
        <v>1</v>
      </c>
      <c r="E135" s="105">
        <f t="shared" ref="E135:H135" si="37">IF($C25="Affected fraction",E25,IF(E25=1,1,E25*1.05))</f>
        <v>0</v>
      </c>
      <c r="F135" s="105">
        <f t="shared" si="37"/>
        <v>0</v>
      </c>
      <c r="G135" s="105">
        <f t="shared" si="37"/>
        <v>0</v>
      </c>
      <c r="H135" s="105">
        <f t="shared" si="37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8">IF($C26="Affected fraction",E26,IF(E26=1,1,E26*1.05))</f>
        <v>0</v>
      </c>
      <c r="F136" s="105">
        <f t="shared" si="38"/>
        <v>0</v>
      </c>
      <c r="G136" s="105">
        <f t="shared" si="38"/>
        <v>0</v>
      </c>
      <c r="H136" s="105">
        <f t="shared" si="38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9">IF($C97="Affected fraction",D97,IF(D97=1,1,D97*0.9))</f>
        <v>0</v>
      </c>
      <c r="E152" s="105">
        <f t="shared" si="39"/>
        <v>1</v>
      </c>
      <c r="F152" s="105">
        <f t="shared" si="39"/>
        <v>1</v>
      </c>
      <c r="G152" s="105">
        <f t="shared" si="39"/>
        <v>1</v>
      </c>
      <c r="H152" s="105">
        <f t="shared" si="39"/>
        <v>1</v>
      </c>
    </row>
    <row r="153" spans="1:8" x14ac:dyDescent="0.25">
      <c r="C153" s="40" t="s">
        <v>262</v>
      </c>
      <c r="D153" s="105">
        <f t="shared" ref="D153:H153" si="40">IF($C98="Affected fraction",D98,IF(D98=1,1,D98*0.9))</f>
        <v>0</v>
      </c>
      <c r="E153" s="105">
        <f t="shared" si="40"/>
        <v>0</v>
      </c>
      <c r="F153" s="105">
        <f t="shared" si="40"/>
        <v>0</v>
      </c>
      <c r="G153" s="105">
        <f t="shared" si="40"/>
        <v>0</v>
      </c>
      <c r="H153" s="105">
        <f t="shared" si="40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G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0.83</v>
      </c>
      <c r="E3" s="105">
        <v>0.83</v>
      </c>
      <c r="F3" s="105">
        <v>0.83</v>
      </c>
      <c r="G3" s="105">
        <v>0.83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269</v>
      </c>
    </row>
    <row r="10" spans="1:8" ht="13" x14ac:dyDescent="0.3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270</v>
      </c>
    </row>
    <row r="19" spans="1:7" ht="13" x14ac:dyDescent="0.3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0.98</v>
      </c>
      <c r="E21" s="105">
        <v>0.98</v>
      </c>
      <c r="F21" s="105">
        <v>0.98</v>
      </c>
      <c r="G21" s="105">
        <v>0.98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Tharindu Wickramaarachchi</cp:lastModifiedBy>
  <dcterms:created xsi:type="dcterms:W3CDTF">2017-08-01T10:42:13Z</dcterms:created>
  <dcterms:modified xsi:type="dcterms:W3CDTF">2024-04-11T00:36:49Z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