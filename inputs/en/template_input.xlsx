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5B91D623-32D4-4C58-AD0D-E65FE868497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7" i="2"/>
  <c r="A36" i="2"/>
  <c r="A35" i="2"/>
  <c r="A34" i="2"/>
  <c r="A31" i="2"/>
  <c r="A26" i="2"/>
  <c r="A25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5" i="2" l="1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<sst xmlns="http://schemas.openxmlformats.org/spreadsheetml/2006/main" count="2169" uniqueCount="373">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</sst>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/>
    </row>
    <row r="8" spans="1:3" ht="15" customHeight="1" x14ac:dyDescent="0.25">
      <c r="B8" s="5" t="s">
        <v>8</v>
      </c>
      <c r="C8" s="44"/>
    </row>
    <row r="9" spans="1:3" ht="15" customHeight="1" x14ac:dyDescent="0.25">
      <c r="B9" s="5" t="s">
        <v>9</v>
      </c>
      <c r="C9" s="45"/>
    </row>
    <row r="10" spans="1:3" ht="15" customHeight="1" x14ac:dyDescent="0.25">
      <c r="B10" s="5" t="s">
        <v>10</v>
      </c>
      <c r="C10" s="45"/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/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/>
    </row>
    <row r="17" spans="1:3" ht="15" customHeight="1" x14ac:dyDescent="0.25">
      <c r="B17" s="5" t="s">
        <v>16</v>
      </c>
      <c r="C17" s="45"/>
    </row>
    <row r="18" spans="1:3" ht="15" customHeight="1" x14ac:dyDescent="0.25">
      <c r="B18" s="5" t="s">
        <v>17</v>
      </c>
      <c r="C18" s="45"/>
    </row>
    <row r="19" spans="1:3" ht="15" customHeight="1" x14ac:dyDescent="0.25">
      <c r="B19" s="5" t="s">
        <v>18</v>
      </c>
      <c r="C19" s="45"/>
    </row>
    <row r="20" spans="1:3" ht="15" customHeight="1" x14ac:dyDescent="0.25">
      <c r="B20" s="5" t="s">
        <v>19</v>
      </c>
      <c r="C20" s="46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/>
    </row>
    <row r="24" spans="1:3" ht="15" customHeight="1" x14ac:dyDescent="0.25">
      <c r="B24" s="15" t="s">
        <v>22</v>
      </c>
      <c r="C24" s="45"/>
    </row>
    <row r="25" spans="1:3" ht="15" customHeight="1" x14ac:dyDescent="0.25">
      <c r="B25" s="15" t="s">
        <v>23</v>
      </c>
      <c r="C25" s="45"/>
    </row>
    <row r="26" spans="1:3" ht="15" customHeight="1" x14ac:dyDescent="0.25">
      <c r="B26" s="15" t="s">
        <v>24</v>
      </c>
      <c r="C26" s="45"/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/>
    </row>
    <row r="30" spans="1:3" ht="14.25" customHeight="1" x14ac:dyDescent="0.25">
      <c r="B30" s="25" t="s">
        <v>27</v>
      </c>
      <c r="C30" s="97"/>
    </row>
    <row r="31" spans="1:3" ht="14.25" customHeight="1" x14ac:dyDescent="0.25">
      <c r="B31" s="25" t="s">
        <v>28</v>
      </c>
      <c r="C31" s="97"/>
    </row>
    <row r="32" spans="1:3" ht="14.25" customHeight="1" x14ac:dyDescent="0.25">
      <c r="B32" s="25" t="s">
        <v>29</v>
      </c>
      <c r="C32" s="97"/>
    </row>
    <row r="33" spans="1:5" ht="13.25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/>
    </row>
    <row r="38" spans="1:5" ht="15" customHeight="1" x14ac:dyDescent="0.25">
      <c r="B38" s="11" t="s">
        <v>34</v>
      </c>
      <c r="C38" s="43"/>
      <c r="D38" s="12"/>
      <c r="E38" s="13"/>
    </row>
    <row r="39" spans="1:5" ht="15" customHeight="1" x14ac:dyDescent="0.25">
      <c r="B39" s="11" t="s">
        <v>35</v>
      </c>
      <c r="C39" s="43"/>
      <c r="D39" s="12"/>
      <c r="E39" s="12"/>
    </row>
    <row r="40" spans="1:5" ht="15" customHeight="1" x14ac:dyDescent="0.25">
      <c r="B40" s="11" t="s">
        <v>36</v>
      </c>
      <c r="C40" s="98"/>
    </row>
    <row r="41" spans="1:5" ht="15" customHeight="1" x14ac:dyDescent="0.25">
      <c r="B41" s="11" t="s">
        <v>37</v>
      </c>
      <c r="C41" s="45"/>
    </row>
    <row r="42" spans="1:5" ht="15" customHeight="1" x14ac:dyDescent="0.25">
      <c r="B42" s="11" t="s">
        <v>38</v>
      </c>
      <c r="C42" s="43"/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/>
      <c r="D45" s="12"/>
    </row>
    <row r="46" spans="1:5" ht="15.75" customHeight="1" x14ac:dyDescent="0.25">
      <c r="B46" s="11" t="s">
        <v>41</v>
      </c>
      <c r="C46" s="45"/>
      <c r="D46" s="12"/>
    </row>
    <row r="47" spans="1:5" ht="15.75" customHeight="1" x14ac:dyDescent="0.25">
      <c r="B47" s="11" t="s">
        <v>42</v>
      </c>
      <c r="C47" s="45"/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/>
      <c r="D51" s="12"/>
    </row>
    <row r="52" spans="1:4" ht="15" customHeight="1" x14ac:dyDescent="0.25">
      <c r="B52" s="11" t="s">
        <v>46</v>
      </c>
      <c r="C52" s="98"/>
    </row>
    <row r="53" spans="1:4" ht="15.75" customHeight="1" x14ac:dyDescent="0.25">
      <c r="B53" s="11" t="s">
        <v>47</v>
      </c>
      <c r="C53" s="98"/>
    </row>
    <row r="54" spans="1:4" ht="15.75" customHeight="1" x14ac:dyDescent="0.25">
      <c r="B54" s="11" t="s">
        <v>48</v>
      </c>
      <c r="C54" s="98"/>
    </row>
    <row r="55" spans="1:4" ht="15.75" customHeight="1" x14ac:dyDescent="0.25">
      <c r="B55" s="11" t="s">
        <v>49</v>
      </c>
      <c r="C55" s="98"/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/>
    </row>
    <row r="59" spans="1:4" ht="15.75" customHeight="1" x14ac:dyDescent="0.25">
      <c r="B59" s="11" t="s">
        <v>52</v>
      </c>
      <c r="C59" s="45"/>
    </row>
    <row r="60" spans="1:4" ht="15.75" customHeight="1" x14ac:dyDescent="0.25">
      <c r="B60" s="11" t="s">
        <v>53</v>
      </c>
      <c r="C60" s="45"/>
    </row>
    <row r="61" spans="1:4" ht="15.75" customHeight="1" x14ac:dyDescent="0.25">
      <c r="B61" s="11" t="s">
        <v>54</v>
      </c>
      <c r="C61" s="45"/>
    </row>
    <row r="62" spans="1:4" ht="15.75" customHeight="1" x14ac:dyDescent="0.25">
      <c r="B62" s="11" t="s">
        <v>55</v>
      </c>
      <c r="C62" s="44"/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/>
      <c r="C2" s="49"/>
      <c r="D2" s="49"/>
      <c r="E2" s="49"/>
      <c r="F2" s="49"/>
      <c r="G2" s="17">
        <f t="shared" ref="G2:G13" si="0">C2+D2+E2+F2</f>
        <v>0</v>
      </c>
      <c r="H2" s="17">
        <f t="shared" ref="H2:H13" si="1">(B2 + stillbirth*B2/(1000-stillbirth))/(1-abortion)</f>
        <v>0</v>
      </c>
      <c r="I2" s="17">
        <f t="shared" ref="I2:I13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49"/>
      <c r="C3" s="50"/>
      <c r="D3" s="50"/>
      <c r="E3" s="50"/>
      <c r="F3" s="50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49"/>
      <c r="C4" s="50"/>
      <c r="D4" s="50"/>
      <c r="E4" s="50"/>
      <c r="F4" s="50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49"/>
      <c r="C5" s="50"/>
      <c r="D5" s="50"/>
      <c r="E5" s="50"/>
      <c r="F5" s="50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49"/>
      <c r="C6" s="50"/>
      <c r="D6" s="50"/>
      <c r="E6" s="50"/>
      <c r="F6" s="50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49"/>
      <c r="C7" s="50"/>
      <c r="D7" s="50"/>
      <c r="E7" s="50"/>
      <c r="F7" s="50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49"/>
      <c r="C8" s="50"/>
      <c r="D8" s="50"/>
      <c r="E8" s="50"/>
      <c r="F8" s="50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49"/>
      <c r="C9" s="50"/>
      <c r="D9" s="50"/>
      <c r="E9" s="50"/>
      <c r="F9" s="50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49"/>
      <c r="C10" s="50"/>
      <c r="D10" s="50"/>
      <c r="E10" s="50"/>
      <c r="F10" s="50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49"/>
      <c r="C11" s="50"/>
      <c r="D11" s="50"/>
      <c r="E11" s="50"/>
      <c r="F11" s="50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49"/>
      <c r="C12" s="50"/>
      <c r="D12" s="50"/>
      <c r="E12" s="50"/>
      <c r="F12" s="50"/>
      <c r="G12" s="17">
        <f t="shared" si="0"/>
        <v>0</v>
      </c>
      <c r="H12" s="17">
        <f t="shared" si="1"/>
        <v>0</v>
      </c>
      <c r="I12" s="17">
        <f t="shared" si="2"/>
        <v>0</v>
      </c>
    </row>
    <row r="13" spans="1:9" ht="15.75" customHeight="1" x14ac:dyDescent="0.25">
      <c r="A13" s="5">
        <f t="shared" si="3"/>
        <v>2035</v>
      </c>
      <c r="B13" s="49"/>
      <c r="C13" s="50"/>
      <c r="D13" s="50"/>
      <c r="E13" s="50"/>
      <c r="F13" s="50"/>
      <c r="G13" s="17">
        <f t="shared" si="0"/>
        <v>0</v>
      </c>
      <c r="H13" s="17">
        <f t="shared" si="1"/>
        <v>0</v>
      </c>
      <c r="I13" s="17">
        <f t="shared" si="2"/>
        <v>0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/>
    </row>
    <row r="4" spans="1:8" ht="15.75" customHeight="1" x14ac:dyDescent="0.25">
      <c r="B4" s="19" t="s">
        <v>69</v>
      </c>
      <c r="C4" s="99"/>
    </row>
    <row r="5" spans="1:8" ht="15.75" customHeight="1" x14ac:dyDescent="0.25">
      <c r="B5" s="19" t="s">
        <v>70</v>
      </c>
      <c r="C5" s="99"/>
    </row>
    <row r="6" spans="1:8" ht="15.75" customHeight="1" x14ac:dyDescent="0.25">
      <c r="B6" s="19" t="s">
        <v>71</v>
      </c>
      <c r="C6" s="99"/>
    </row>
    <row r="7" spans="1:8" ht="15.75" customHeight="1" x14ac:dyDescent="0.25">
      <c r="B7" s="19" t="s">
        <v>72</v>
      </c>
      <c r="C7" s="99"/>
    </row>
    <row r="8" spans="1:8" ht="15.75" customHeight="1" x14ac:dyDescent="0.25">
      <c r="B8" s="19" t="s">
        <v>73</v>
      </c>
      <c r="C8" s="99"/>
    </row>
    <row r="9" spans="1:8" ht="15.75" customHeight="1" x14ac:dyDescent="0.25">
      <c r="B9" s="19" t="s">
        <v>74</v>
      </c>
      <c r="C9" s="99"/>
    </row>
    <row r="10" spans="1:8" ht="15.75" customHeight="1" x14ac:dyDescent="0.25">
      <c r="B10" s="19" t="s">
        <v>75</v>
      </c>
      <c r="C10" s="99"/>
    </row>
    <row r="11" spans="1:8" ht="15.75" customHeight="1" x14ac:dyDescent="0.25">
      <c r="B11" s="27" t="s">
        <v>30</v>
      </c>
      <c r="C11" s="48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/>
      <c r="D14" s="55"/>
      <c r="E14" s="55"/>
      <c r="F14" s="55"/>
    </row>
    <row r="15" spans="1:8" ht="15.75" customHeight="1" x14ac:dyDescent="0.25">
      <c r="B15" s="19" t="s">
        <v>82</v>
      </c>
      <c r="C15" s="99"/>
      <c r="D15" s="99"/>
      <c r="E15" s="99"/>
      <c r="F15" s="99"/>
    </row>
    <row r="16" spans="1:8" ht="15.75" customHeight="1" x14ac:dyDescent="0.25">
      <c r="B16" s="19" t="s">
        <v>83</v>
      </c>
      <c r="C16" s="99"/>
      <c r="D16" s="99"/>
      <c r="E16" s="99"/>
      <c r="F16" s="99"/>
    </row>
    <row r="17" spans="1:8" ht="15.75" customHeight="1" x14ac:dyDescent="0.25">
      <c r="B17" s="19" t="s">
        <v>84</v>
      </c>
      <c r="C17" s="99"/>
      <c r="D17" s="99"/>
      <c r="E17" s="99"/>
      <c r="F17" s="99"/>
    </row>
    <row r="18" spans="1:8" ht="15.75" customHeight="1" x14ac:dyDescent="0.25">
      <c r="B18" s="19" t="s">
        <v>85</v>
      </c>
      <c r="C18" s="99"/>
      <c r="D18" s="99"/>
      <c r="E18" s="99"/>
      <c r="F18" s="99"/>
    </row>
    <row r="19" spans="1:8" ht="15.75" customHeight="1" x14ac:dyDescent="0.25">
      <c r="B19" s="19" t="s">
        <v>86</v>
      </c>
      <c r="C19" s="99"/>
      <c r="D19" s="99"/>
      <c r="E19" s="99"/>
      <c r="F19" s="99"/>
    </row>
    <row r="20" spans="1:8" ht="15.75" customHeight="1" x14ac:dyDescent="0.25">
      <c r="B20" s="19" t="s">
        <v>87</v>
      </c>
      <c r="C20" s="99"/>
      <c r="D20" s="99"/>
      <c r="E20" s="99"/>
      <c r="F20" s="99"/>
    </row>
    <row r="21" spans="1:8" ht="15.75" customHeight="1" x14ac:dyDescent="0.25">
      <c r="B21" s="19" t="s">
        <v>88</v>
      </c>
      <c r="C21" s="99"/>
      <c r="D21" s="99"/>
      <c r="E21" s="99"/>
      <c r="F21" s="99"/>
    </row>
    <row r="22" spans="1:8" ht="15.75" customHeight="1" x14ac:dyDescent="0.25">
      <c r="B22" s="19" t="s">
        <v>89</v>
      </c>
      <c r="C22" s="99"/>
      <c r="D22" s="99"/>
      <c r="E22" s="99"/>
      <c r="F22" s="99"/>
    </row>
    <row r="23" spans="1:8" ht="15.75" customHeight="1" x14ac:dyDescent="0.25">
      <c r="B23" s="27" t="s">
        <v>30</v>
      </c>
      <c r="C23" s="48">
        <f>SUM(C14:C22)</f>
        <v>0</v>
      </c>
      <c r="D23" s="48">
        <f>SUM(D14:D22)</f>
        <v>0</v>
      </c>
      <c r="E23" s="48">
        <f>SUM(E14:E22)</f>
        <v>0</v>
      </c>
      <c r="F23" s="48">
        <f>SUM(F14:F22)</f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/>
    </row>
    <row r="27" spans="1:8" ht="15.75" customHeight="1" x14ac:dyDescent="0.25">
      <c r="B27" s="19" t="s">
        <v>92</v>
      </c>
      <c r="C27" s="99"/>
    </row>
    <row r="28" spans="1:8" ht="15.75" customHeight="1" x14ac:dyDescent="0.25">
      <c r="B28" s="19" t="s">
        <v>93</v>
      </c>
      <c r="C28" s="99"/>
    </row>
    <row r="29" spans="1:8" ht="15.75" customHeight="1" x14ac:dyDescent="0.25">
      <c r="B29" s="19" t="s">
        <v>94</v>
      </c>
      <c r="C29" s="99"/>
    </row>
    <row r="30" spans="1:8" ht="15.75" customHeight="1" x14ac:dyDescent="0.25">
      <c r="B30" s="19" t="s">
        <v>95</v>
      </c>
      <c r="C30" s="99"/>
    </row>
    <row r="31" spans="1:8" ht="15.75" customHeight="1" x14ac:dyDescent="0.25">
      <c r="B31" s="19" t="s">
        <v>96</v>
      </c>
      <c r="C31" s="99"/>
    </row>
    <row r="32" spans="1:8" ht="15.75" customHeight="1" x14ac:dyDescent="0.25">
      <c r="B32" s="19" t="s">
        <v>97</v>
      </c>
      <c r="C32" s="99"/>
    </row>
    <row r="33" spans="2:3" ht="15.75" customHeight="1" x14ac:dyDescent="0.25">
      <c r="B33" s="19" t="s">
        <v>98</v>
      </c>
      <c r="C33" s="99"/>
    </row>
    <row r="34" spans="2:3" ht="15.75" customHeight="1" x14ac:dyDescent="0.25">
      <c r="B34" s="19" t="s">
        <v>99</v>
      </c>
      <c r="C34" s="99"/>
    </row>
    <row r="35" spans="2:3" ht="15.75" customHeight="1" x14ac:dyDescent="0.25">
      <c r="B35" s="27" t="s">
        <v>30</v>
      </c>
      <c r="C35" s="48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 t="str">
        <f>IFERROR(1-_xlfn.NORM.DIST(_xlfn.NORM.INV(SUM(C4:C5), 0, 1) + 1, 0, 1, TRUE), "")</f>
        <v/>
      </c>
      <c r="D2" s="52" t="str">
        <f>IFERROR(1-_xlfn.NORM.DIST(_xlfn.NORM.INV(SUM(D4:D5), 0, 1) + 1, 0, 1, TRUE), "")</f>
        <v/>
      </c>
      <c r="E2" s="52" t="str">
        <f>IFERROR(1-_xlfn.NORM.DIST(_xlfn.NORM.INV(SUM(E4:E5), 0, 1) + 1, 0, 1, TRUE), "")</f>
        <v/>
      </c>
      <c r="F2" s="52" t="str">
        <f>IFERROR(1-_xlfn.NORM.DIST(_xlfn.NORM.INV(SUM(F4:F5), 0, 1) + 1, 0, 1, TRUE), "")</f>
        <v/>
      </c>
      <c r="G2" s="52" t="str">
        <f>IFERROR(1-_xlfn.NORM.DIST(_xlfn.NORM.INV(SUM(G4:G5), 0, 1) + 1, 0, 1, TRUE), "")</f>
        <v/>
      </c>
    </row>
    <row r="3" spans="1:15" ht="15.75" customHeight="1" x14ac:dyDescent="0.25">
      <c r="B3" s="5" t="s">
        <v>103</v>
      </c>
      <c r="C3" s="52" t="str">
        <f>IFERROR(_xlfn.NORM.DIST(_xlfn.NORM.INV(SUM(C4:C5), 0, 1) + 1, 0, 1, TRUE) - SUM(C4:C5), "")</f>
        <v/>
      </c>
      <c r="D3" s="52" t="str">
        <f>IFERROR(_xlfn.NORM.DIST(_xlfn.NORM.INV(SUM(D4:D5), 0, 1) + 1, 0, 1, TRUE) - SUM(D4:D5), "")</f>
        <v/>
      </c>
      <c r="E3" s="52" t="str">
        <f>IFERROR(_xlfn.NORM.DIST(_xlfn.NORM.INV(SUM(E4:E5), 0, 1) + 1, 0, 1, TRUE) - SUM(E4:E5), "")</f>
        <v/>
      </c>
      <c r="F3" s="52" t="str">
        <f>IFERROR(_xlfn.NORM.DIST(_xlfn.NORM.INV(SUM(F4:F5), 0, 1) + 1, 0, 1, TRUE) - SUM(F4:F5), "")</f>
        <v/>
      </c>
      <c r="G3" s="52" t="str">
        <f>IFERROR(_xlfn.NORM.DIST(_xlfn.NORM.INV(SUM(G4:G5), 0, 1) + 1, 0, 1, TRUE) - SUM(G4:G5), "")</f>
        <v/>
      </c>
    </row>
    <row r="4" spans="1:15" ht="15.75" customHeight="1" x14ac:dyDescent="0.25">
      <c r="B4" s="5" t="s">
        <v>104</v>
      </c>
      <c r="C4" s="45"/>
      <c r="D4" s="53"/>
      <c r="E4" s="53"/>
      <c r="F4" s="53"/>
      <c r="G4" s="53"/>
    </row>
    <row r="5" spans="1:15" ht="15.75" customHeight="1" x14ac:dyDescent="0.25">
      <c r="B5" s="5" t="s">
        <v>105</v>
      </c>
      <c r="C5" s="45"/>
      <c r="D5" s="53"/>
      <c r="E5" s="53"/>
      <c r="F5" s="53"/>
      <c r="G5" s="53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 t="str">
        <f>IFERROR(1-_xlfn.NORM.DIST(_xlfn.NORM.INV(SUM(C10:C11), 0, 1) + 1, 0, 1, TRUE), "")</f>
        <v/>
      </c>
      <c r="D8" s="52" t="str">
        <f>IFERROR(1-_xlfn.NORM.DIST(_xlfn.NORM.INV(SUM(D10:D11), 0, 1) + 1, 0, 1, TRUE), "")</f>
        <v/>
      </c>
      <c r="E8" s="52" t="str">
        <f>IFERROR(1-_xlfn.NORM.DIST(_xlfn.NORM.INV(SUM(E10:E11), 0, 1) + 1, 0, 1, TRUE), "")</f>
        <v/>
      </c>
      <c r="F8" s="52" t="str">
        <f>IFERROR(1-_xlfn.NORM.DIST(_xlfn.NORM.INV(SUM(F10:F11), 0, 1) + 1, 0, 1, TRUE), "")</f>
        <v/>
      </c>
      <c r="G8" s="52" t="str">
        <f>IFERROR(1-_xlfn.NORM.DIST(_xlfn.NORM.INV(SUM(G10:G11), 0, 1) + 1, 0, 1, TRUE), "")</f>
        <v/>
      </c>
    </row>
    <row r="9" spans="1:15" ht="15.75" customHeight="1" x14ac:dyDescent="0.25">
      <c r="B9" s="5" t="s">
        <v>108</v>
      </c>
      <c r="C9" s="52" t="str">
        <f>IFERROR(_xlfn.NORM.DIST(_xlfn.NORM.INV(SUM(C10:C11), 0, 1) + 1, 0, 1, TRUE) - SUM(C10:C11), "")</f>
        <v/>
      </c>
      <c r="D9" s="52" t="str">
        <f>IFERROR(_xlfn.NORM.DIST(_xlfn.NORM.INV(SUM(D10:D11), 0, 1) + 1, 0, 1, TRUE) - SUM(D10:D11), "")</f>
        <v/>
      </c>
      <c r="E9" s="52" t="str">
        <f>IFERROR(_xlfn.NORM.DIST(_xlfn.NORM.INV(SUM(E10:E11), 0, 1) + 1, 0, 1, TRUE) - SUM(E10:E11), "")</f>
        <v/>
      </c>
      <c r="F9" s="52" t="str">
        <f>IFERROR(_xlfn.NORM.DIST(_xlfn.NORM.INV(SUM(F10:F11), 0, 1) + 1, 0, 1, TRUE) - SUM(F10:F11), "")</f>
        <v/>
      </c>
      <c r="G9" s="52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109</v>
      </c>
      <c r="C10" s="45"/>
      <c r="D10" s="53"/>
      <c r="E10" s="53"/>
      <c r="F10" s="53"/>
      <c r="G10" s="53"/>
    </row>
    <row r="11" spans="1:15" ht="15.75" customHeight="1" x14ac:dyDescent="0.25">
      <c r="B11" s="5" t="s">
        <v>110</v>
      </c>
      <c r="C11" s="45"/>
      <c r="D11" s="53"/>
      <c r="E11" s="53"/>
      <c r="F11" s="53"/>
      <c r="G11" s="53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/>
      <c r="D14" s="54"/>
      <c r="E14" s="54"/>
      <c r="F14" s="54"/>
      <c r="G14" s="54"/>
      <c r="H14" s="45"/>
      <c r="I14" s="55"/>
      <c r="J14" s="55"/>
      <c r="K14" s="55"/>
      <c r="L14" s="45"/>
      <c r="M14" s="55"/>
      <c r="N14" s="55"/>
      <c r="O14" s="55"/>
    </row>
    <row r="15" spans="1:15" ht="15.75" customHeight="1" x14ac:dyDescent="0.25">
      <c r="B15" s="11" t="s">
        <v>117</v>
      </c>
      <c r="C15" s="52">
        <f t="shared" ref="C15:O15" si="0">iron_deficiency_anaemia*C14</f>
        <v>0</v>
      </c>
      <c r="D15" s="52">
        <f t="shared" si="0"/>
        <v>0</v>
      </c>
      <c r="E15" s="52">
        <f t="shared" si="0"/>
        <v>0</v>
      </c>
      <c r="F15" s="52">
        <f t="shared" si="0"/>
        <v>0</v>
      </c>
      <c r="G15" s="52">
        <f t="shared" si="0"/>
        <v>0</v>
      </c>
      <c r="H15" s="52">
        <f t="shared" si="0"/>
        <v>0</v>
      </c>
      <c r="I15" s="52">
        <f t="shared" si="0"/>
        <v>0</v>
      </c>
      <c r="J15" s="52">
        <f t="shared" si="0"/>
        <v>0</v>
      </c>
      <c r="K15" s="52">
        <f t="shared" si="0"/>
        <v>0</v>
      </c>
      <c r="L15" s="52">
        <f t="shared" si="0"/>
        <v>0</v>
      </c>
      <c r="M15" s="52">
        <f t="shared" si="0"/>
        <v>0</v>
      </c>
      <c r="N15" s="52">
        <f t="shared" si="0"/>
        <v>0</v>
      </c>
      <c r="O15" s="52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/>
      <c r="D2" s="53"/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/>
      <c r="D3" s="53"/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/>
      <c r="D4" s="53"/>
      <c r="E4" s="53"/>
      <c r="F4" s="53"/>
      <c r="G4" s="53">
        <v>0</v>
      </c>
    </row>
    <row r="5" spans="1:7" x14ac:dyDescent="0.25">
      <c r="B5" s="3" t="s">
        <v>122</v>
      </c>
      <c r="C5" s="52">
        <f t="shared" ref="C5:D5" si="0">1-SUM(C2:C4)</f>
        <v>1</v>
      </c>
      <c r="D5" s="52">
        <f t="shared" si="0"/>
        <v>1</v>
      </c>
      <c r="E5" s="52">
        <f>1-SUM(E2:E4)</f>
        <v>1</v>
      </c>
      <c r="F5" s="52">
        <f>1-SUM(F2:F4)</f>
        <v>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/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99.99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99.99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99.99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99.99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99.99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99.99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99.99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99.99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99.99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99.99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99.99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99.99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99.99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3.8198900000000001E-2</v>
      </c>
      <c r="C16" s="96">
        <v>0.95</v>
      </c>
      <c r="D16" s="56">
        <v>99.99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6.5675947999999998E-2</v>
      </c>
      <c r="C17" s="96">
        <v>0.95</v>
      </c>
      <c r="D17" s="56">
        <v>99.99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99.99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99.99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99.99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99.99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99.99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99.99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99.99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99.99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99.99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99.99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99.99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99.99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99.99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197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</v>
      </c>
      <c r="F2" s="60">
        <f>food_insecure</f>
        <v>0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</v>
      </c>
      <c r="I19" s="60">
        <f>frac_malaria_risk</f>
        <v>0</v>
      </c>
      <c r="J19" s="60">
        <f>frac_malaria_risk</f>
        <v>0</v>
      </c>
      <c r="K19" s="60">
        <f>frac_malaria_risk</f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</v>
      </c>
      <c r="M24" s="60">
        <f>famplan_unmet_need</f>
        <v>0</v>
      </c>
      <c r="N24" s="60">
        <f>famplan_unmet_need</f>
        <v>0</v>
      </c>
      <c r="O24" s="60">
        <f>famplan_unmet_need</f>
        <v>0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0.3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</v>
      </c>
      <c r="F30" s="60">
        <f t="shared" si="1"/>
        <v>0</v>
      </c>
      <c r="G30" s="60">
        <f t="shared" si="1"/>
        <v>0</v>
      </c>
      <c r="H30" s="60">
        <f t="shared" si="1"/>
        <v>0</v>
      </c>
      <c r="I30" s="60">
        <f t="shared" si="1"/>
        <v>0</v>
      </c>
      <c r="J30" s="60">
        <f t="shared" si="1"/>
        <v>0</v>
      </c>
      <c r="K30" s="60">
        <f t="shared" si="1"/>
        <v>0</v>
      </c>
      <c r="L30" s="60">
        <f t="shared" si="1"/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</v>
      </c>
      <c r="F31" s="60">
        <f t="shared" si="2"/>
        <v>0</v>
      </c>
      <c r="G31" s="60">
        <f t="shared" si="2"/>
        <v>0</v>
      </c>
      <c r="H31" s="60">
        <f t="shared" si="2"/>
        <v>0</v>
      </c>
      <c r="I31" s="60">
        <f t="shared" si="2"/>
        <v>0</v>
      </c>
      <c r="J31" s="60">
        <f t="shared" si="2"/>
        <v>0</v>
      </c>
      <c r="K31" s="60">
        <f t="shared" si="2"/>
        <v>0</v>
      </c>
      <c r="L31" s="60">
        <f t="shared" si="2"/>
        <v>0</v>
      </c>
      <c r="M31" s="60">
        <f t="shared" si="2"/>
        <v>0</v>
      </c>
      <c r="N31" s="60">
        <f t="shared" si="2"/>
        <v>0</v>
      </c>
      <c r="O31" s="60">
        <f t="shared" si="2"/>
        <v>0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</v>
      </c>
      <c r="F32" s="60">
        <f t="shared" si="3"/>
        <v>0</v>
      </c>
      <c r="G32" s="60">
        <f t="shared" si="3"/>
        <v>0</v>
      </c>
      <c r="H32" s="60">
        <f t="shared" si="3"/>
        <v>0</v>
      </c>
      <c r="I32" s="60">
        <f t="shared" si="3"/>
        <v>0</v>
      </c>
      <c r="J32" s="60">
        <f t="shared" si="3"/>
        <v>0</v>
      </c>
      <c r="K32" s="60">
        <f t="shared" si="3"/>
        <v>0</v>
      </c>
      <c r="L32" s="60">
        <f t="shared" si="3"/>
        <v>0</v>
      </c>
      <c r="M32" s="60">
        <f t="shared" si="3"/>
        <v>0</v>
      </c>
      <c r="N32" s="60">
        <f t="shared" si="3"/>
        <v>0</v>
      </c>
      <c r="O32" s="60">
        <f t="shared" si="3"/>
        <v>0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</v>
      </c>
      <c r="D34" s="60">
        <f t="shared" si="4"/>
        <v>0</v>
      </c>
      <c r="E34" s="60">
        <f t="shared" si="4"/>
        <v>0</v>
      </c>
      <c r="F34" s="60">
        <f t="shared" si="4"/>
        <v>0</v>
      </c>
      <c r="G34" s="60">
        <f t="shared" si="4"/>
        <v>0</v>
      </c>
      <c r="H34" s="60">
        <f t="shared" si="4"/>
        <v>0</v>
      </c>
      <c r="I34" s="60">
        <f t="shared" si="4"/>
        <v>0</v>
      </c>
      <c r="J34" s="60">
        <f t="shared" si="4"/>
        <v>0</v>
      </c>
      <c r="K34" s="60">
        <f t="shared" si="4"/>
        <v>0</v>
      </c>
      <c r="L34" s="60">
        <f t="shared" si="4"/>
        <v>0</v>
      </c>
      <c r="M34" s="60">
        <f t="shared" si="4"/>
        <v>0</v>
      </c>
      <c r="N34" s="60">
        <f t="shared" si="4"/>
        <v>0</v>
      </c>
      <c r="O34" s="60">
        <f t="shared" si="4"/>
        <v>0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