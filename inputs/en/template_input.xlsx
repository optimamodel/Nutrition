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arindu.wickram\Desktop\Modeling\2025 studies\Nutrition\inputs\en\"/>
    </mc:Choice>
  </mc:AlternateContent>
  <xr:revisionPtr revIDLastSave="0" documentId="13_ncr:1_{32020956-F80D-4A69-BE9C-0DC1AAD9215D}" xr6:coauthVersionLast="47" xr6:coauthVersionMax="47" xr10:uidLastSave="{00000000-0000-0000-0000-000000000000}"/>
  <bookViews>
    <workbookView xWindow="-110" yWindow="-110" windowWidth="19420" windowHeight="10420" tabRatio="961" firstSheet="5" activeTab="3" xr2:uid="{00000000-000D-0000-FFFF-FFFF00000000}"/>
  </bookViews>
  <sheets>
    <sheet name="Baseline year population inputs" sheetId="1" r:id="rId1"/>
    <sheet name="Demographic projections" sheetId="2" r:id="rId2"/>
    <sheet name="Causes of death" sheetId="3" r:id="rId3"/>
    <sheet name="Nutritional status distribution" sheetId="4" r:id="rId4"/>
    <sheet name="Breastfeeding distribution" sheetId="5" r:id="rId5"/>
    <sheet name="Time trends" sheetId="6" r:id="rId6"/>
    <sheet name="Economic inputs" sheetId="7" r:id="rId7"/>
    <sheet name="IYCF packages" sheetId="8" r:id="rId8"/>
    <sheet name="Treatment of SAM" sheetId="9" r:id="rId9"/>
    <sheet name="Programs cost and coverage" sheetId="10" r:id="rId10"/>
    <sheet name="Program dependencies" sheetId="11" r:id="rId11"/>
    <sheet name="Reference programs" sheetId="12" state="hidden" r:id="rId12"/>
    <sheet name="Incidence of conditions" sheetId="13" state="hidden" r:id="rId13"/>
    <sheet name="Programs target population" sheetId="14" state="hidden" r:id="rId14"/>
    <sheet name="Cost curve options" sheetId="15" state="hidden" r:id="rId15"/>
    <sheet name="Programs family planning" sheetId="16" state="hidden" r:id="rId16"/>
    <sheet name="Programs impacted population" sheetId="17" state="hidden" r:id="rId17"/>
    <sheet name="Program risk areas" sheetId="18" state="hidden" r:id="rId18"/>
    <sheet name="Population risk areas" sheetId="19" state="hidden" r:id="rId19"/>
    <sheet name="IYCF odds ratios" sheetId="20" state="hidden" r:id="rId20"/>
    <sheet name="Odds ratios" sheetId="23" state="hidden" r:id="rId21"/>
    <sheet name="Programs birth outcomes" sheetId="24" state="hidden" r:id="rId22"/>
    <sheet name="Birth outcome risks" sheetId="21" state="hidden" r:id="rId23"/>
    <sheet name="Relative risks" sheetId="22" state="hidden" r:id="rId24"/>
    <sheet name="Programs anaemia" sheetId="25" state="hidden" r:id="rId25"/>
    <sheet name="Programs wasting" sheetId="26" state="hidden" r:id="rId26"/>
    <sheet name="Programs for children" sheetId="27" state="hidden" r:id="rId27"/>
    <sheet name="Programs for PW" sheetId="28" state="hidden" r:id="rId28"/>
  </sheets>
  <definedNames>
    <definedName name="abortion" localSheetId="7">'Baseline year population inputs'!$C$38</definedName>
    <definedName name="abortion">'Baseline year population inputs'!$C$41</definedName>
    <definedName name="comm_deliv">'Treatment of SAM'!$D$3</definedName>
    <definedName name="diarrhoea_1_5mo">'Baseline year population inputs'!$C$52</definedName>
    <definedName name="diarrhoea_12_23mo">'Baseline year population inputs'!$C$54</definedName>
    <definedName name="diarrhoea_1mo">'Baseline year population inputs'!$C$51</definedName>
    <definedName name="diarrhoea_24_59mo">'Baseline year population inputs'!$C$55</definedName>
    <definedName name="diarrhoea_6_11mo">'Baseline year population inputs'!$C$53</definedName>
    <definedName name="end_year">'Baseline year population inputs'!$C$4</definedName>
    <definedName name="famplan_unmet_need">'Baseline year population inputs'!$C$13</definedName>
    <definedName name="food_insecure">'Baseline year population inputs'!$C$8</definedName>
    <definedName name="frac_children_health_facility">'Baseline year population inputs'!$C$12</definedName>
    <definedName name="frac_diarrhea_severe">'Baseline year population inputs'!$C$58</definedName>
    <definedName name="frac_maize">'Baseline year population inputs'!$C$19</definedName>
    <definedName name="frac_malaria_risk">'Baseline year population inputs'!$C$9</definedName>
    <definedName name="frac_mam_1_5months">'Nutritional status distribution'!$D$10</definedName>
    <definedName name="frac_mam_12_23months">'Nutritional status distribution'!$F$10</definedName>
    <definedName name="frac_mam_1month">'Nutritional status distribution'!$C$10</definedName>
    <definedName name="frac_mam_24_59months">'Nutritional status distribution'!$G$10</definedName>
    <definedName name="frac_mam_6_11months">'Nutritional status distribution'!$E$10</definedName>
    <definedName name="frac_MAMtoSAM">'Baseline year population inputs'!#REF!</definedName>
    <definedName name="frac_other_staples">'Baseline year population inputs'!$C$20</definedName>
    <definedName name="frac_PW_health_facility">'Baseline year population inputs'!$C$11</definedName>
    <definedName name="frac_rice">'Baseline year population inputs'!$C$17</definedName>
    <definedName name="frac_sam_1_5months">'Nutritional status distribution'!$D$11</definedName>
    <definedName name="frac_sam_12_23months">'Nutritional status distribution'!$F$11</definedName>
    <definedName name="frac_sam_1month">'Nutritional status distribution'!$C$11</definedName>
    <definedName name="frac_sam_24_59months">'Nutritional status distribution'!$G$11</definedName>
    <definedName name="frac_sam_6_11months">'Nutritional status distribution'!$E$11</definedName>
    <definedName name="frac_SAMtoMAM">'Baseline year population inputs'!#REF!</definedName>
    <definedName name="frac_subsistence_farming">'Baseline year population inputs'!$C$16</definedName>
    <definedName name="frac_wheat">'Baseline year population inputs'!$C$18</definedName>
    <definedName name="infant_mortality">'Baseline year population inputs'!$C$38</definedName>
    <definedName name="iron_deficiency_anaemia">'Baseline year population inputs'!$C$59</definedName>
    <definedName name="manage_mam">'Treatment of SAM'!$D$2</definedName>
    <definedName name="maternal_mortality">'Baseline year population inputs'!$C$40</definedName>
    <definedName name="neonatal_mortality">'Baseline year population inputs'!$C$37</definedName>
    <definedName name="Percentage_of_pregnant_women_attending_health_facility">'Baseline year population inputs'!$C$11</definedName>
    <definedName name="preterm_AGA">'Baseline year population inputs'!$C$46</definedName>
    <definedName name="preterm_SGA">'Baseline year population inputs'!$C$45</definedName>
    <definedName name="school_attendance">'Baseline year population inputs'!$C$10</definedName>
    <definedName name="start_year">'Baseline year population inputs'!$C$3</definedName>
    <definedName name="stillbirth" localSheetId="7">'Baseline year population inputs'!$C$39</definedName>
    <definedName name="stillbirth">'Baseline year population inputs'!$C$42</definedName>
    <definedName name="term_AGA">'Baseline year population inputs'!$C$48</definedName>
    <definedName name="term_SGA">'Baseline year population inputs'!$C$47</definedName>
    <definedName name="U5_mortality">'Baseline year population inputs'!$C$39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" i="14" l="1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H153" i="27"/>
  <c r="G153" i="27"/>
  <c r="F153" i="27"/>
  <c r="E153" i="27"/>
  <c r="D153" i="27"/>
  <c r="H152" i="27"/>
  <c r="G152" i="27"/>
  <c r="F152" i="27"/>
  <c r="H136" i="27"/>
  <c r="G136" i="27"/>
  <c r="F136" i="27"/>
  <c r="E136" i="27"/>
  <c r="H135" i="27"/>
  <c r="G135" i="27"/>
  <c r="F135" i="27"/>
  <c r="E135" i="27"/>
  <c r="D135" i="27"/>
  <c r="H134" i="27"/>
  <c r="G134" i="27"/>
  <c r="F134" i="27"/>
  <c r="E134" i="27"/>
  <c r="H133" i="27"/>
  <c r="G133" i="27"/>
  <c r="F133" i="27"/>
  <c r="E133" i="27"/>
  <c r="D133" i="27"/>
  <c r="H132" i="27"/>
  <c r="G132" i="27"/>
  <c r="F132" i="27"/>
  <c r="E132" i="27"/>
  <c r="H131" i="27"/>
  <c r="G131" i="27"/>
  <c r="F131" i="27"/>
  <c r="E131" i="27"/>
  <c r="E130" i="27"/>
  <c r="D130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112" i="27"/>
  <c r="G112" i="27"/>
  <c r="E112" i="27"/>
  <c r="D112" i="27"/>
  <c r="H97" i="27"/>
  <c r="G97" i="27"/>
  <c r="F97" i="27"/>
  <c r="E97" i="27"/>
  <c r="E152" i="27" s="1"/>
  <c r="D97" i="27"/>
  <c r="D152" i="27" s="1"/>
  <c r="H81" i="27"/>
  <c r="G81" i="27"/>
  <c r="F81" i="27"/>
  <c r="E81" i="27"/>
  <c r="H80" i="27"/>
  <c r="G80" i="27"/>
  <c r="F80" i="27"/>
  <c r="E80" i="27"/>
  <c r="D80" i="27"/>
  <c r="H79" i="27"/>
  <c r="G79" i="27"/>
  <c r="F79" i="27"/>
  <c r="E79" i="27"/>
  <c r="H78" i="27"/>
  <c r="G78" i="27"/>
  <c r="F78" i="27"/>
  <c r="E78" i="27"/>
  <c r="D78" i="27"/>
  <c r="H77" i="27"/>
  <c r="G77" i="27"/>
  <c r="F77" i="27"/>
  <c r="E77" i="27"/>
  <c r="H76" i="27"/>
  <c r="G76" i="27"/>
  <c r="F76" i="27"/>
  <c r="E76" i="27"/>
  <c r="D76" i="27"/>
  <c r="D131" i="27" s="1"/>
  <c r="E75" i="27"/>
  <c r="D75" i="27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G57" i="27"/>
  <c r="F57" i="27"/>
  <c r="F112" i="27" s="1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B1" i="10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A1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A1" i="4"/>
  <c r="C35" i="3"/>
  <c r="F23" i="3"/>
  <c r="E23" i="3"/>
  <c r="D23" i="3"/>
  <c r="C23" i="3"/>
  <c r="C11" i="3"/>
  <c r="A1" i="3"/>
  <c r="H40" i="2"/>
  <c r="G40" i="2"/>
  <c r="A40" i="2"/>
  <c r="H39" i="2"/>
  <c r="G39" i="2"/>
  <c r="I39" i="2" s="1"/>
  <c r="H38" i="2"/>
  <c r="G38" i="2"/>
  <c r="I38" i="2" s="1"/>
  <c r="A37" i="2"/>
  <c r="A36" i="2"/>
  <c r="A35" i="2"/>
  <c r="A34" i="2"/>
  <c r="A31" i="2"/>
  <c r="A26" i="2"/>
  <c r="A25" i="2"/>
  <c r="A24" i="2"/>
  <c r="A23" i="2"/>
  <c r="A22" i="2"/>
  <c r="A19" i="2"/>
  <c r="H13" i="2"/>
  <c r="G13" i="2"/>
  <c r="I13" i="2" s="1"/>
  <c r="H12" i="2"/>
  <c r="G12" i="2"/>
  <c r="I12" i="2" s="1"/>
  <c r="H11" i="2"/>
  <c r="G11" i="2"/>
  <c r="I11" i="2" s="1"/>
  <c r="H10" i="2"/>
  <c r="G10" i="2"/>
  <c r="H9" i="2"/>
  <c r="G9" i="2"/>
  <c r="I9" i="2" s="1"/>
  <c r="H8" i="2"/>
  <c r="G8" i="2"/>
  <c r="I8" i="2" s="1"/>
  <c r="H7" i="2"/>
  <c r="G7" i="2"/>
  <c r="I7" i="2" s="1"/>
  <c r="H6" i="2"/>
  <c r="G6" i="2"/>
  <c r="I6" i="2" s="1"/>
  <c r="H5" i="2"/>
  <c r="G5" i="2"/>
  <c r="H4" i="2"/>
  <c r="G4" i="2"/>
  <c r="I4" i="2" s="1"/>
  <c r="H3" i="2"/>
  <c r="G3" i="2"/>
  <c r="I3" i="2" s="1"/>
  <c r="H2" i="2"/>
  <c r="G2" i="2"/>
  <c r="I2" i="2" s="1"/>
  <c r="A2" i="2"/>
  <c r="A39" i="2" s="1"/>
  <c r="C33" i="1"/>
  <c r="C20" i="1"/>
  <c r="I5" i="2" l="1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00000000-0006-0000-1A00-00000C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00000000-0006-0000-1A00-00000D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00000000-0006-0000-1A00-00000E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00000000-0006-0000-1A00-00000F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00000000-0006-0000-1A00-000010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00000000-0006-0000-1A00-000011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00000000-0006-0000-1A00-000012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00000000-0006-0000-1A00-000013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1" shapeId="0" xr:uid="{00000000-0006-0000-1A00-000015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0" authorId="1" shapeId="0" xr:uid="{00000000-0006-0000-1A00-000016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2" authorId="0" shapeId="0" xr:uid="{00000000-0006-0000-1A00-000017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8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9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1" shapeId="0" xr:uid="{00000000-0006-0000-1A00-00001A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28" authorId="1" shapeId="0" xr:uid="{00000000-0006-0000-1A00-00001B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28" authorId="1" shapeId="0" xr:uid="{00000000-0006-0000-1A00-00001C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28" authorId="1" shapeId="0" xr:uid="{00000000-0006-0000-1A00-00001D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28" authorId="1" shapeId="0" xr:uid="{00000000-0006-0000-1A00-00001E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3" authorId="0" shapeId="0" xr:uid="{00000000-0006-0000-1A00-00001F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3" authorId="0" shapeId="0" xr:uid="{00000000-0006-0000-1A00-000020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3" authorId="0" shapeId="0" xr:uid="{00000000-0006-0000-1A00-000021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3" authorId="0" shapeId="0" xr:uid="{00000000-0006-0000-1A00-000022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3" authorId="0" shapeId="0" xr:uid="{00000000-0006-0000-1A00-000023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4" authorId="0" shapeId="0" xr:uid="{00000000-0006-0000-1A00-000024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4" authorId="0" shapeId="0" xr:uid="{00000000-0006-0000-1A00-00002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4" authorId="0" shapeId="0" xr:uid="{00000000-0006-0000-1A00-00002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4" authorId="0" shapeId="0" xr:uid="{00000000-0006-0000-1A00-00002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4" authorId="0" shapeId="0" xr:uid="{00000000-0006-0000-1A00-00002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7" authorId="0" shapeId="0" xr:uid="{00000000-0006-0000-1A00-000029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E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3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3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3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3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1" authorId="0" shapeId="0" xr:uid="{00000000-0006-0000-1A00-00003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1" authorId="0" shapeId="0" xr:uid="{00000000-0006-0000-1A00-00003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1" authorId="0" shapeId="0" xr:uid="{00000000-0006-0000-1A00-00003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1" authorId="0" shapeId="0" xr:uid="{00000000-0006-0000-1A00-00003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3" authorId="1" shapeId="0" xr:uid="{00000000-0006-0000-1A00-000038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58" authorId="0" shapeId="0" xr:uid="{00000000-0006-0000-1A00-000039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58" authorId="0" shapeId="0" xr:uid="{00000000-0006-0000-1A00-00003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58" authorId="0" shapeId="0" xr:uid="{00000000-0006-0000-1A00-00003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59" authorId="0" shapeId="0" xr:uid="{00000000-0006-0000-1A00-00003C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59" authorId="0" shapeId="0" xr:uid="{00000000-0006-0000-1A00-00003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59" authorId="0" shapeId="0" xr:uid="{00000000-0006-0000-1A00-00003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1" authorId="1" shapeId="0" xr:uid="{00000000-0006-0000-1A00-00003F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1" authorId="1" shapeId="0" xr:uid="{00000000-0006-0000-1A00-00004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3" authorId="1" shapeId="0" xr:uid="{00000000-0006-0000-1A00-00004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00000000-0006-0000-1A00-00004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00000000-0006-0000-1A00-000043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5" authorId="1" shapeId="0" xr:uid="{00000000-0006-0000-1A00-00004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7" authorId="1" shapeId="0" xr:uid="{00000000-0006-0000-1A00-00004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00000000-0006-0000-1A00-00004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0" shapeId="0" xr:uid="{00000000-0006-0000-1A00-000047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69" authorId="0" shapeId="0" xr:uid="{00000000-0006-0000-1A00-00004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1" authorId="0" shapeId="0" xr:uid="{00000000-0006-0000-1A00-000049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1" authorId="0" shapeId="0" xr:uid="{00000000-0006-0000-1A00-00004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3" authorId="1" shapeId="0" xr:uid="{00000000-0006-0000-1A00-00004B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5" authorId="1" shapeId="0" xr:uid="{00000000-0006-0000-1A00-00004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77" authorId="0" shapeId="0" xr:uid="{00000000-0006-0000-1A00-00004D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4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1" shapeId="0" xr:uid="{00000000-0006-0000-1A00-000050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3" authorId="1" shapeId="0" xr:uid="{00000000-0006-0000-1A00-00005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3" authorId="1" shapeId="0" xr:uid="{00000000-0006-0000-1A00-00005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3" authorId="1" shapeId="0" xr:uid="{00000000-0006-0000-1A00-00005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3" authorId="1" shapeId="0" xr:uid="{00000000-0006-0000-1A00-00005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99" authorId="0" shapeId="0" xr:uid="{00000000-0006-0000-1A00-00005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99" authorId="0" shapeId="0" xr:uid="{00000000-0006-0000-1A00-00005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99" authorId="0" shapeId="0" xr:uid="{00000000-0006-0000-1A00-00005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99" authorId="0" shapeId="0" xr:uid="{00000000-0006-0000-1A00-00005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99" authorId="0" shapeId="0" xr:uid="{00000000-0006-0000-1A00-00005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2" authorId="0" shapeId="0" xr:uid="{00000000-0006-0000-1A00-00005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6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6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6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6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06" authorId="0" shapeId="0" xr:uid="{00000000-0006-0000-1A00-00006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06" authorId="0" shapeId="0" xr:uid="{00000000-0006-0000-1A00-00006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06" authorId="0" shapeId="0" xr:uid="{00000000-0006-0000-1A00-00006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06" authorId="0" shapeId="0" xr:uid="{00000000-0006-0000-1A00-00006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08" authorId="1" shapeId="0" xr:uid="{00000000-0006-0000-1A00-000069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3" authorId="0" shapeId="0" xr:uid="{00000000-0006-0000-1A00-00006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3" authorId="0" shapeId="0" xr:uid="{00000000-0006-0000-1A00-00006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3" authorId="0" shapeId="0" xr:uid="{00000000-0006-0000-1A00-00006C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4" authorId="0" shapeId="0" xr:uid="{00000000-0006-0000-1A00-00006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4" authorId="0" shapeId="0" xr:uid="{00000000-0006-0000-1A00-00006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4" authorId="0" shapeId="0" xr:uid="{00000000-0006-0000-1A00-00006F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16" authorId="1" shapeId="0" xr:uid="{00000000-0006-0000-1A00-00007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6" authorId="1" shapeId="0" xr:uid="{00000000-0006-0000-1A00-00007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18" authorId="1" shapeId="0" xr:uid="{00000000-0006-0000-1A00-00007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8" authorId="1" shapeId="0" xr:uid="{00000000-0006-0000-1A00-000073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0" authorId="1" shapeId="0" xr:uid="{00000000-0006-0000-1A00-00007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0" authorId="1" shapeId="0" xr:uid="{00000000-0006-0000-1A00-00007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2" authorId="1" shapeId="0" xr:uid="{00000000-0006-0000-1A00-00007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2" authorId="1" shapeId="0" xr:uid="{00000000-0006-0000-1A00-000077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4" authorId="0" shapeId="0" xr:uid="{00000000-0006-0000-1A00-00007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4" authorId="0" shapeId="0" xr:uid="{00000000-0006-0000-1A00-000079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26" authorId="0" shapeId="0" xr:uid="{00000000-0006-0000-1A00-00007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26" authorId="0" shapeId="0" xr:uid="{00000000-0006-0000-1A00-00007B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28" authorId="1" shapeId="0" xr:uid="{00000000-0006-0000-1A00-00007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0" authorId="1" shapeId="0" xr:uid="{00000000-0006-0000-1A00-00007D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8" authorId="1" shapeId="0" xr:uid="{00000000-0006-0000-1A00-00008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38" authorId="1" shapeId="0" xr:uid="{00000000-0006-0000-1A00-00008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38" authorId="1" shapeId="0" xr:uid="{00000000-0006-0000-1A00-00008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38" authorId="1" shapeId="0" xr:uid="{00000000-0006-0000-1A00-00008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38" authorId="1" shapeId="0" xr:uid="{00000000-0006-0000-1A00-000085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54" authorId="0" shapeId="0" xr:uid="{00000000-0006-0000-1A00-00008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54" authorId="0" shapeId="0" xr:uid="{00000000-0006-0000-1A00-00008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54" authorId="0" shapeId="0" xr:uid="{00000000-0006-0000-1A00-00008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54" authorId="0" shapeId="0" xr:uid="{00000000-0006-0000-1A00-00008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54" authorId="0" shapeId="0" xr:uid="{00000000-0006-0000-1A00-00008A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57" authorId="0" shapeId="0" xr:uid="{00000000-0006-0000-1A00-00008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F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9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9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9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9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94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1" authorId="0" shapeId="0" xr:uid="{00000000-0006-0000-1A00-00009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1" authorId="0" shapeId="0" xr:uid="{00000000-0006-0000-1A00-00009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1" authorId="0" shapeId="0" xr:uid="{00000000-0006-0000-1A00-00009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1" authorId="0" shapeId="0" xr:uid="{00000000-0006-0000-1A00-000099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3" authorId="1" shapeId="0" xr:uid="{00000000-0006-0000-1A00-00009A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<sst xmlns="http://schemas.openxmlformats.org/spreadsheetml/2006/main" count="2159" uniqueCount="372">
  <si>
    <t>Baseline year data</t>
  </si>
  <si>
    <t>Field</t>
  </si>
  <si>
    <t>Data</t>
  </si>
  <si>
    <t>Projection years</t>
  </si>
  <si>
    <t>Baseline year (projection start year)</t>
  </si>
  <si>
    <t>End year</t>
  </si>
  <si>
    <t>Population data</t>
  </si>
  <si>
    <t>Children under 5 population</t>
  </si>
  <si>
    <t>Percentage of population food insecure (default poor)</t>
  </si>
  <si>
    <t>Percentage of population at risk of malaria</t>
  </si>
  <si>
    <t>School attendance (percentage of 15-19 year women)</t>
  </si>
  <si>
    <t>Percentage of pregnant women attending health facility</t>
  </si>
  <si>
    <t>Percentage of children attending health facility</t>
  </si>
  <si>
    <t>Unmet need for family planning</t>
  </si>
  <si>
    <t>Food</t>
  </si>
  <si>
    <t>Fraction of subsistence farming</t>
  </si>
  <si>
    <t>Fraction eating rice as main staple food</t>
  </si>
  <si>
    <t>Fraction eating wheat as main staple food</t>
  </si>
  <si>
    <t>Fraction eating maize as main staple food</t>
  </si>
  <si>
    <t>Fraction on other staples as main staple food</t>
  </si>
  <si>
    <t>Age distribution of pregnant women</t>
  </si>
  <si>
    <t>Percentage of pregnant women 15-19 years</t>
  </si>
  <si>
    <t>Percentage of pregnant women 20-29 years</t>
  </si>
  <si>
    <t>Percentage of pregnant women 30-39 years</t>
  </si>
  <si>
    <t>Percentage of pregnant women 40-49 years</t>
  </si>
  <si>
    <t>Birth spacing</t>
  </si>
  <si>
    <t>First birth</t>
  </si>
  <si>
    <t>less than 18 months</t>
  </si>
  <si>
    <t>18-23 months</t>
  </si>
  <si>
    <t>24 months or greater</t>
  </si>
  <si>
    <t>Total (must be 100%)</t>
  </si>
  <si>
    <t>Baseline year mortality and risk factors</t>
  </si>
  <si>
    <t>Mortality</t>
  </si>
  <si>
    <t>Neonatal mortality (per 1,000 live births)</t>
  </si>
  <si>
    <t>Infant mortality (per 1,000 live births)</t>
  </si>
  <si>
    <t>Under 5 mortality (per 1,000 live births)</t>
  </si>
  <si>
    <t>Maternal mortality (per 1,000 live births)</t>
  </si>
  <si>
    <t>Fraction of pregnancies ending in spontaneous abortion</t>
  </si>
  <si>
    <t>Stillbirths (per 1,000 total births)</t>
  </si>
  <si>
    <t>Birth outcome distribution</t>
  </si>
  <si>
    <t>Pre-term SGA</t>
  </si>
  <si>
    <t>Pre-term AGA</t>
  </si>
  <si>
    <t>Term SGA</t>
  </si>
  <si>
    <t>Term AGA</t>
  </si>
  <si>
    <t>Diarrhoea incidence</t>
  </si>
  <si>
    <t>Average episodes per year: &lt;1 month</t>
  </si>
  <si>
    <t>Average episodes per year: 1-5 months</t>
  </si>
  <si>
    <t>Average episodes per year: 6-11 months</t>
  </si>
  <si>
    <t>Average episodes per year: 12-23 months</t>
  </si>
  <si>
    <t>Average episodes per year: 24-59 months</t>
  </si>
  <si>
    <t>Other risks</t>
  </si>
  <si>
    <t>Percentage of diarrhea that is severe</t>
  </si>
  <si>
    <t>Percentage of anaemia that is iron deficient</t>
  </si>
  <si>
    <t>Prevalence of pre-eclampsia</t>
  </si>
  <si>
    <t>Prevalence of eclampsia</t>
  </si>
  <si>
    <t>Low birth weight</t>
  </si>
  <si>
    <t>year</t>
  </si>
  <si>
    <t>Number of births</t>
  </si>
  <si>
    <t>WRA: 15-19 years</t>
  </si>
  <si>
    <t>WRA: 20-29 years</t>
  </si>
  <si>
    <t>WRA: 30-39 years</t>
  </si>
  <si>
    <t>WRA: 40-49 years</t>
  </si>
  <si>
    <t>Total WRA</t>
  </si>
  <si>
    <t>Estimated pregnant women</t>
  </si>
  <si>
    <t>non-pregnant WRA</t>
  </si>
  <si>
    <t>Neonatal</t>
  </si>
  <si>
    <t>Causes</t>
  </si>
  <si>
    <t>&lt;1 month</t>
  </si>
  <si>
    <t>Neonatal diarrhoea</t>
  </si>
  <si>
    <t>Neonatal sepsis</t>
  </si>
  <si>
    <t>Neonatal pneumonia</t>
  </si>
  <si>
    <t>Neonatal asphyxia</t>
  </si>
  <si>
    <t>Neonatal prematurity</t>
  </si>
  <si>
    <t>Neonatal tetanus</t>
  </si>
  <si>
    <t>Neonatal congenital anomalies</t>
  </si>
  <si>
    <t>Neonatal other</t>
  </si>
  <si>
    <t>Children</t>
  </si>
  <si>
    <t>1-5 months</t>
  </si>
  <si>
    <t>6-11 months</t>
  </si>
  <si>
    <t>12-23 months</t>
  </si>
  <si>
    <t>24-59 months</t>
  </si>
  <si>
    <t>Diarrhoea</t>
  </si>
  <si>
    <t>Pneumonia</t>
  </si>
  <si>
    <t>Meningitis</t>
  </si>
  <si>
    <t>Measles</t>
  </si>
  <si>
    <t>Malaria</t>
  </si>
  <si>
    <t>Pertussis</t>
  </si>
  <si>
    <t>AIDS</t>
  </si>
  <si>
    <t>Injury</t>
  </si>
  <si>
    <t>Other</t>
  </si>
  <si>
    <t>Pregnant women</t>
  </si>
  <si>
    <t>Antepartum haemorrhage</t>
  </si>
  <si>
    <t>Intrapartum haemorrhage</t>
  </si>
  <si>
    <t>Postpartum haemorrhage</t>
  </si>
  <si>
    <t>Hypertensive disorders</t>
  </si>
  <si>
    <t>Sepsis</t>
  </si>
  <si>
    <t>Abortion</t>
  </si>
  <si>
    <t>Embolism</t>
  </si>
  <si>
    <t>Other direct causes</t>
  </si>
  <si>
    <t>Indirect causes</t>
  </si>
  <si>
    <t>Status</t>
  </si>
  <si>
    <t>Stunting (height-for-age)</t>
  </si>
  <si>
    <t>Normal (HAZ-score &gt; -1)</t>
  </si>
  <si>
    <t>Mild (HAZ-score between -2 and -1)</t>
  </si>
  <si>
    <t>Moderate (HAZ-score between -3 and -2)</t>
  </si>
  <si>
    <t>High (HAZ-score &lt; -3)</t>
  </si>
  <si>
    <t>Wasting (weight-for-height)</t>
  </si>
  <si>
    <t>Normal (WHZ-score &gt; -1)</t>
  </si>
  <si>
    <t>Mild (WHZ-score between -2 and -1)</t>
  </si>
  <si>
    <t>MAM (WHZ-score between -3 and -2)</t>
  </si>
  <si>
    <t>SAM (WHZ-score &lt; -3)</t>
  </si>
  <si>
    <t>Anaemia</t>
  </si>
  <si>
    <t>PW: 15-19 years</t>
  </si>
  <si>
    <t>PW: 20-29 years</t>
  </si>
  <si>
    <t>PW: 30-39 years</t>
  </si>
  <si>
    <t>PW: 40-49 years</t>
  </si>
  <si>
    <t>Prevalence of anaemia</t>
  </si>
  <si>
    <t>Prevalence of iron deficiency anaemia</t>
  </si>
  <si>
    <t>Breastfeeding</t>
  </si>
  <si>
    <t>Exclusive</t>
  </si>
  <si>
    <t>Predominant</t>
  </si>
  <si>
    <t>Partial</t>
  </si>
  <si>
    <t>None</t>
  </si>
  <si>
    <t>Risk</t>
  </si>
  <si>
    <t>Population</t>
  </si>
  <si>
    <t>Stunting prevalence (%)</t>
  </si>
  <si>
    <t>Children 0-59 months</t>
  </si>
  <si>
    <t>Wasting prevalence (%)</t>
  </si>
  <si>
    <t>Anaemia prevalence (%)</t>
  </si>
  <si>
    <t>Women of reproductive age</t>
  </si>
  <si>
    <t>Prevalence of age-appropriate breastfeeding</t>
  </si>
  <si>
    <t>Children 0-5 months</t>
  </si>
  <si>
    <t>Children 6-23 months</t>
  </si>
  <si>
    <t>Under five (deaths per 1,000 births)</t>
  </si>
  <si>
    <t>Maternal (deaths per 1,000 births)</t>
  </si>
  <si>
    <t>Cost</t>
  </si>
  <si>
    <t>IYCF package</t>
  </si>
  <si>
    <t>Target population</t>
  </si>
  <si>
    <t>Health facility</t>
  </si>
  <si>
    <t>Community</t>
  </si>
  <si>
    <t>Mass media</t>
  </si>
  <si>
    <t>IYCF 1</t>
  </si>
  <si>
    <t>x</t>
  </si>
  <si>
    <t>All</t>
  </si>
  <si>
    <t>IYCF 2</t>
  </si>
  <si>
    <t>IYCF 3</t>
  </si>
  <si>
    <t>Default</t>
  </si>
  <si>
    <t>Extension</t>
  </si>
  <si>
    <t>Add extension</t>
  </si>
  <si>
    <t>Program</t>
  </si>
  <si>
    <t>Treatment of SAM</t>
  </si>
  <si>
    <t>Management of MAM</t>
  </si>
  <si>
    <t>Delivery mode</t>
  </si>
  <si>
    <t>Community-based</t>
  </si>
  <si>
    <t>Saturation coverage of target population</t>
  </si>
  <si>
    <t>Unit cost (US$)</t>
  </si>
  <si>
    <t>Cost-coverage relationship</t>
  </si>
  <si>
    <t>Max-increase per annum</t>
  </si>
  <si>
    <t>Max-decrease per annum</t>
  </si>
  <si>
    <t>Balanced energy-protein supplementation</t>
  </si>
  <si>
    <t>Linear (constant marginal cost) [default]</t>
  </si>
  <si>
    <t>Calcium supplementation</t>
  </si>
  <si>
    <t>Cash transfers</t>
  </si>
  <si>
    <t>Delayed cord clamping</t>
  </si>
  <si>
    <t>Family planning</t>
  </si>
  <si>
    <t>IFA fortification of maize</t>
  </si>
  <si>
    <t>IFA fortification of rice</t>
  </si>
  <si>
    <t>IFA fortification of wheat flour</t>
  </si>
  <si>
    <t>IFAS (community)</t>
  </si>
  <si>
    <t>IFAS (health facility)</t>
  </si>
  <si>
    <t>IFAS (retailer)</t>
  </si>
  <si>
    <t>IFAS (school)</t>
  </si>
  <si>
    <t>IFAS for pregnant women (community)</t>
  </si>
  <si>
    <t>IFAS for pregnant women (health facility)</t>
  </si>
  <si>
    <t>IPTp</t>
  </si>
  <si>
    <t>Iron and iodine fortification of salt</t>
  </si>
  <si>
    <t>Kangaroo mother care</t>
  </si>
  <si>
    <t>Lipid-based nutrition supplements</t>
  </si>
  <si>
    <t>Long-lasting insecticide-treated bednets</t>
  </si>
  <si>
    <t>Mg for eclampsia</t>
  </si>
  <si>
    <t>Mg for pre-eclampsia</t>
  </si>
  <si>
    <t>Micronutrient powders</t>
  </si>
  <si>
    <t>Multiple micronutrient supplementation</t>
  </si>
  <si>
    <t>Oral rehydration salts</t>
  </si>
  <si>
    <t>Public provision of complementary foods</t>
  </si>
  <si>
    <t>Small quantity lipid-based nutrition supplements</t>
  </si>
  <si>
    <t>Vitamin A supplementation</t>
  </si>
  <si>
    <t>WASH: Handwashing</t>
  </si>
  <si>
    <t>WASH: Hygenic disposal</t>
  </si>
  <si>
    <t>WASH: Improved sanitation</t>
  </si>
  <si>
    <t>WASH: Improved water source</t>
  </si>
  <si>
    <t>WASH: Piped water</t>
  </si>
  <si>
    <t>Zinc for treatment + ORS</t>
  </si>
  <si>
    <t>Zinc supplementation</t>
  </si>
  <si>
    <t>Exclusion dependency</t>
  </si>
  <si>
    <t>Threshold dependency</t>
  </si>
  <si>
    <t>Condition</t>
  </si>
  <si>
    <t>MAM</t>
  </si>
  <si>
    <t>SAM</t>
  </si>
  <si>
    <t>Broad population group</t>
  </si>
  <si>
    <t>Non-pregnant WRA</t>
  </si>
  <si>
    <t>General population</t>
  </si>
  <si>
    <t>Curved with increasing marginal cost</t>
  </si>
  <si>
    <t>Curved with decreasing marginal cost</t>
  </si>
  <si>
    <t>S-shaped (decreasing then increasing marginal cost)</t>
  </si>
  <si>
    <t>Method</t>
  </si>
  <si>
    <t>Effectiveness</t>
  </si>
  <si>
    <t>Distribution</t>
  </si>
  <si>
    <t>Proportional Cost</t>
  </si>
  <si>
    <t>Condom</t>
  </si>
  <si>
    <t>Male sterilization</t>
  </si>
  <si>
    <t>Female sterilization</t>
  </si>
  <si>
    <t>Injectable</t>
  </si>
  <si>
    <t>Implant</t>
  </si>
  <si>
    <t>Pill</t>
  </si>
  <si>
    <t>Withdrawal</t>
  </si>
  <si>
    <t>Fertility awareness</t>
  </si>
  <si>
    <t>IUD</t>
  </si>
  <si>
    <t>Stunting</t>
  </si>
  <si>
    <t>Wasting prevention</t>
  </si>
  <si>
    <t>Wasting treatment</t>
  </si>
  <si>
    <t>Birth outcomes</t>
  </si>
  <si>
    <t>Birth number</t>
  </si>
  <si>
    <t>Age group</t>
  </si>
  <si>
    <t>Behaviour</t>
  </si>
  <si>
    <t>Odds ratio for correct breastfeeding</t>
  </si>
  <si>
    <t>Odds ratio for stunting</t>
  </si>
  <si>
    <t>Odds ratio for correct complementary feeding</t>
  </si>
  <si>
    <t>Lower bounds</t>
  </si>
  <si>
    <t>Odds ratio for correct breastfeeding - lower</t>
  </si>
  <si>
    <t>Odds ratio for stunting - lower</t>
  </si>
  <si>
    <t>Odds ratio for correct complementary feeding - lower</t>
  </si>
  <si>
    <t>Upper bounds</t>
  </si>
  <si>
    <t>Odds ratio for correct breastfeeding - upper</t>
  </si>
  <si>
    <t>Odds ratio for stunting - upper</t>
  </si>
  <si>
    <t>Odds ratio for correct complementary feeding - upper</t>
  </si>
  <si>
    <t>Maternal risk factors leading to birth outcomes</t>
  </si>
  <si>
    <t>Relative risk by birth spacing</t>
  </si>
  <si>
    <t>Odds ratios for women with maternal anaemia</t>
  </si>
  <si>
    <t>Risks for children who experience birth outcomes</t>
  </si>
  <si>
    <t>Odds ratios for conditions</t>
  </si>
  <si>
    <t>Stunting (HAZ-score &lt; -2)</t>
  </si>
  <si>
    <t>Relative risks of neonatal causes of death</t>
  </si>
  <si>
    <t>Relative risk by birth spacing - lower</t>
  </si>
  <si>
    <t>Odds ratios for women with maternal anaemia - lower</t>
  </si>
  <si>
    <t>Odds ratios for conditions - lower</t>
  </si>
  <si>
    <t>Stunting (HAZ-score &lt; -2)-l</t>
  </si>
  <si>
    <t>MAM (WHZ-score between -3 and -2)-l</t>
  </si>
  <si>
    <t>SAM (WHZ-score &lt; -3)-l</t>
  </si>
  <si>
    <t>Relative risks of neonatal causes of death - lower</t>
  </si>
  <si>
    <t>Relative risk by birth spacing - upper</t>
  </si>
  <si>
    <t>Odds ratios for women with maternal anaemia - upper</t>
  </si>
  <si>
    <t>Odds ratios for conditions - upper</t>
  </si>
  <si>
    <t>Stunting (HAZ-score &lt; -2)-u</t>
  </si>
  <si>
    <t>MAM (WHZ-score between -3 and -2)-u</t>
  </si>
  <si>
    <t>SAM (WHZ-score &lt; -3)-u</t>
  </si>
  <si>
    <t>Relative risks of neonatal causes of death - upper</t>
  </si>
  <si>
    <t>Relative risk of causes of death by height-for-age (stunting) distribution</t>
  </si>
  <si>
    <t>Cause of death</t>
  </si>
  <si>
    <t>HAZ status</t>
  </si>
  <si>
    <t>Normal</t>
  </si>
  <si>
    <t>Mild</t>
  </si>
  <si>
    <t>Moderate</t>
  </si>
  <si>
    <t>High</t>
  </si>
  <si>
    <t>Relative risk of causes of death by weight-for-height (wasting) distribution</t>
  </si>
  <si>
    <t>Wasting</t>
  </si>
  <si>
    <t>WHZ status</t>
  </si>
  <si>
    <t>Relative risk of causes of death by anaemia status</t>
  </si>
  <si>
    <t>Anaemia status</t>
  </si>
  <si>
    <t>Not anaemic</t>
  </si>
  <si>
    <t>Anaemic</t>
  </si>
  <si>
    <t>Relative risk of causes of death by breastfeeding status</t>
  </si>
  <si>
    <t>Breastfeeding status</t>
  </si>
  <si>
    <t>Relative risks of experiencing diarrhoea by breastfeeding status</t>
  </si>
  <si>
    <t>Odds ratios for stunting</t>
  </si>
  <si>
    <t>Given previous stunting (HAZ &lt; -2 in previous age band)</t>
  </si>
  <si>
    <t>N/A</t>
  </si>
  <si>
    <t>Diarrhoea (per additional episode)</t>
  </si>
  <si>
    <t>By program</t>
  </si>
  <si>
    <t>Odds ratios for correct breastfeeding by program</t>
  </si>
  <si>
    <t>Other odds ratios</t>
  </si>
  <si>
    <t>For SAM per additional episode of diarrhoea</t>
  </si>
  <si>
    <t>For MAM per additional episode of diarrhoea</t>
  </si>
  <si>
    <t>For anaemia per additional episode of severe diarrhoea</t>
  </si>
  <si>
    <t>Odds ratios for optimal birth spacing by program</t>
  </si>
  <si>
    <t>Given previous stunting (HAZ &lt; -2 in previous age band) - lower</t>
  </si>
  <si>
    <t>Diarrhoea (per additional episode) - lower</t>
  </si>
  <si>
    <t>By program - lower</t>
  </si>
  <si>
    <t>Public provision of complementary foods - lower</t>
  </si>
  <si>
    <t>Lipid-based nutrition supplements - lower</t>
  </si>
  <si>
    <t>Small quantity lipid-based nutrition supplements - lower</t>
  </si>
  <si>
    <t>Zinc supplementation - lower</t>
  </si>
  <si>
    <t>Odds ratios for correct breastfeeding by program - lower</t>
  </si>
  <si>
    <t>Kangaroo mother care - lower</t>
  </si>
  <si>
    <t>For SAM per additional episode of diarrhoea - lower</t>
  </si>
  <si>
    <t>For MAM per additional episode of diarrhoea - lower</t>
  </si>
  <si>
    <t>For anaemia per additional episode of severe diarrhoea - lower</t>
  </si>
  <si>
    <t>Odds ratios for optimal birth spacing by program - lower</t>
  </si>
  <si>
    <t>Family planning - lower</t>
  </si>
  <si>
    <t>Given previous stunting (HAZ &lt; -2 in previous age band) - upper</t>
  </si>
  <si>
    <t>Diarrhoea (per additional episode) - upper</t>
  </si>
  <si>
    <t>By program - upper</t>
  </si>
  <si>
    <t>Public provision of complementary foods - upper</t>
  </si>
  <si>
    <t>Lipid-based nutrition supplements - upper</t>
  </si>
  <si>
    <t>Small quantity lipid-based nutrition supplements - upper</t>
  </si>
  <si>
    <t>Zinc supplementation - upper</t>
  </si>
  <si>
    <t>Odds ratios for correct breastfeeding by program - upper</t>
  </si>
  <si>
    <t>Kangaroo mother care - upper</t>
  </si>
  <si>
    <t>For SAM per additional episode of diarrhoea - upper</t>
  </si>
  <si>
    <t>For MAM per additional episode of diarrhoea - upper</t>
  </si>
  <si>
    <t>For anaemia per additional episode of severe diarrhoea - upper</t>
  </si>
  <si>
    <t>Odds ratios for optimal birth spacing by program - upper</t>
  </si>
  <si>
    <t>Family planning - upper</t>
  </si>
  <si>
    <t>effectiveness</t>
  </si>
  <si>
    <t>affected fraction</t>
  </si>
  <si>
    <t>Relative risks of anaemia when receiving intervention</t>
  </si>
  <si>
    <t>Odds ratios of being anaemic when covered by intervention</t>
  </si>
  <si>
    <t>Relative risks of anaemia when receiving intervention - lower</t>
  </si>
  <si>
    <t>Odds ratios of being anaemic when covered by intervention - lower</t>
  </si>
  <si>
    <t>Relative risks of anaemia when receiving intervention - upper</t>
  </si>
  <si>
    <t>Odds ratios of being anaemic when covered by intervention - upper</t>
  </si>
  <si>
    <t>Odds ratio of SAM when covered by program</t>
  </si>
  <si>
    <t>Odds ratio of MAM when covered by program</t>
  </si>
  <si>
    <t>Lower bound</t>
  </si>
  <si>
    <t>Odds ratio of SAM when covered by program - lower</t>
  </si>
  <si>
    <t>Odds ratio of MAM when covered by program - lower</t>
  </si>
  <si>
    <t>Upper bound</t>
  </si>
  <si>
    <t>Odds ratio of SAM when covered by program - upper</t>
  </si>
  <si>
    <t>Odds ratio of MAM when covered by program - upper</t>
  </si>
  <si>
    <t>Targetted condition</t>
  </si>
  <si>
    <t>Outcome</t>
  </si>
  <si>
    <t>Affected fraction</t>
  </si>
  <si>
    <t>Effectiveness mortality</t>
  </si>
  <si>
    <t>Effectiveness incidence</t>
  </si>
  <si>
    <t>Parameter</t>
  </si>
  <si>
    <t>Value</t>
  </si>
  <si>
    <t>GDP per capita</t>
  </si>
  <si>
    <t>GDP growth rate per annum</t>
  </si>
  <si>
    <t>Labor share of GDP</t>
  </si>
  <si>
    <t>Discounting (costs)</t>
  </si>
  <si>
    <t>Discounting (benefits)</t>
  </si>
  <si>
    <t>Starting age for workforce productivity</t>
  </si>
  <si>
    <t>Ending age for workforce productivity</t>
  </si>
  <si>
    <t>Female labor force participation</t>
  </si>
  <si>
    <t>Percentage of lifetime earning actually realized</t>
  </si>
  <si>
    <t>Percentage reduction in lifetime earnings for a stunted individual</t>
  </si>
  <si>
    <t>Percentage loss in productivity due to childhood anemia</t>
  </si>
  <si>
    <t>Percentage loss in productivity due to low birth weight</t>
  </si>
  <si>
    <t>Percentage loss in productivity due to maternal anemia</t>
  </si>
  <si>
    <t>Percentage of pregnancy to apply maternal anemia productivity loss to</t>
  </si>
  <si>
    <t>Increase in IQ points due to early breastfeeding</t>
  </si>
  <si>
    <t>Increase in earnings due per one point increase in IQ</t>
  </si>
  <si>
    <t>Percentage of stillbirths to include in productivity loss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</si>
  <si>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</si>
  <si>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</si>
  <si>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</si>
  <si>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</si>
  <si>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</si>
  <si>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</si>
  <si>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</si>
  <si>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</si>
  <si>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</si>
  <si>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</si>
  <si>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</si>
  <si>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</si>
  <si>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</si>
  <si>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</si>
  <si>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</si>
  <si>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Number of people left alive (starting with 100,000 births)</t>
  </si>
  <si>
    <t>Stillbirths</t>
  </si>
  <si>
    <t>Cash transfers - lower</t>
  </si>
  <si>
    <t>Cash transfers - upper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</si>
</sst>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  <numFmt numFmtId="169" formatCode="0.0000"/>
  </numFmts>
  <fonts count="22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7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6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69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opLeftCell="A22" zoomScaleNormal="100" workbookViewId="0">
      <selection activeCell="E28" sqref="E28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0</v>
      </c>
      <c r="B1" s="29" t="s">
        <v>1</v>
      </c>
      <c r="C1" s="29" t="s">
        <v>2</v>
      </c>
    </row>
    <row r="2" spans="1:3" ht="15.9" customHeight="1" x14ac:dyDescent="0.3">
      <c r="A2" s="8" t="s">
        <v>3</v>
      </c>
      <c r="B2" s="29"/>
      <c r="C2" s="29"/>
    </row>
    <row r="3" spans="1:3" ht="15.9" customHeight="1" x14ac:dyDescent="0.3">
      <c r="A3" s="1"/>
      <c r="B3" s="5" t="s">
        <v>4</v>
      </c>
      <c r="C3" s="41">
        <v>2024</v>
      </c>
    </row>
    <row r="4" spans="1:3" ht="15.9" customHeight="1" x14ac:dyDescent="0.3">
      <c r="A4" s="1"/>
      <c r="B4" s="5" t="s">
        <v>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</v>
      </c>
    </row>
    <row r="7" spans="1:3" ht="15" customHeight="1" x14ac:dyDescent="0.25">
      <c r="B7" s="11" t="s">
        <v>7</v>
      </c>
      <c r="C7" s="43"/>
    </row>
    <row r="8" spans="1:3" ht="15" customHeight="1" x14ac:dyDescent="0.25">
      <c r="B8" s="5" t="s">
        <v>8</v>
      </c>
      <c r="C8" s="44"/>
    </row>
    <row r="9" spans="1:3" ht="15" customHeight="1" x14ac:dyDescent="0.25">
      <c r="B9" s="5" t="s">
        <v>9</v>
      </c>
      <c r="C9" s="45"/>
    </row>
    <row r="10" spans="1:3" ht="15" customHeight="1" x14ac:dyDescent="0.25">
      <c r="B10" s="5" t="s">
        <v>10</v>
      </c>
      <c r="C10" s="45"/>
    </row>
    <row r="11" spans="1:3" ht="15" customHeight="1" x14ac:dyDescent="0.25">
      <c r="B11" s="5" t="s">
        <v>11</v>
      </c>
      <c r="C11" s="45">
        <v>1</v>
      </c>
    </row>
    <row r="12" spans="1:3" ht="15" customHeight="1" x14ac:dyDescent="0.25">
      <c r="B12" s="5" t="s">
        <v>12</v>
      </c>
      <c r="C12" s="45">
        <v>1</v>
      </c>
    </row>
    <row r="13" spans="1:3" ht="15" customHeight="1" x14ac:dyDescent="0.25">
      <c r="B13" s="5" t="s">
        <v>13</v>
      </c>
      <c r="C13" s="45"/>
    </row>
    <row r="14" spans="1:3" ht="15" customHeight="1" x14ac:dyDescent="0.25">
      <c r="B14" s="8"/>
    </row>
    <row r="15" spans="1:3" ht="15" customHeight="1" x14ac:dyDescent="0.3">
      <c r="A15" s="8" t="s">
        <v>14</v>
      </c>
      <c r="B15" s="14"/>
      <c r="C15" s="3"/>
    </row>
    <row r="16" spans="1:3" ht="15" customHeight="1" x14ac:dyDescent="0.25">
      <c r="B16" s="5" t="s">
        <v>15</v>
      </c>
      <c r="C16" s="45"/>
    </row>
    <row r="17" spans="1:3" ht="15" customHeight="1" x14ac:dyDescent="0.25">
      <c r="B17" s="5" t="s">
        <v>16</v>
      </c>
      <c r="C17" s="45"/>
    </row>
    <row r="18" spans="1:3" ht="15" customHeight="1" x14ac:dyDescent="0.25">
      <c r="B18" s="5" t="s">
        <v>17</v>
      </c>
      <c r="C18" s="45"/>
    </row>
    <row r="19" spans="1:3" ht="15" customHeight="1" x14ac:dyDescent="0.25">
      <c r="B19" s="5" t="s">
        <v>18</v>
      </c>
      <c r="C19" s="45"/>
    </row>
    <row r="20" spans="1:3" ht="15" customHeight="1" x14ac:dyDescent="0.25">
      <c r="B20" s="5" t="s">
        <v>19</v>
      </c>
      <c r="C20" s="46">
        <f>1-frac_rice-frac_wheat-frac_maize</f>
        <v>1</v>
      </c>
    </row>
    <row r="21" spans="1:3" ht="15" customHeight="1" x14ac:dyDescent="0.25">
      <c r="B21" s="8"/>
    </row>
    <row r="22" spans="1:3" ht="15" customHeight="1" x14ac:dyDescent="0.25">
      <c r="A22" s="8" t="s">
        <v>20</v>
      </c>
    </row>
    <row r="23" spans="1:3" ht="15" customHeight="1" x14ac:dyDescent="0.25">
      <c r="B23" s="15" t="s">
        <v>21</v>
      </c>
      <c r="C23" s="45"/>
    </row>
    <row r="24" spans="1:3" ht="15" customHeight="1" x14ac:dyDescent="0.25">
      <c r="B24" s="15" t="s">
        <v>22</v>
      </c>
      <c r="C24" s="45"/>
    </row>
    <row r="25" spans="1:3" ht="15" customHeight="1" x14ac:dyDescent="0.25">
      <c r="B25" s="15" t="s">
        <v>23</v>
      </c>
      <c r="C25" s="45"/>
    </row>
    <row r="26" spans="1:3" ht="15" customHeight="1" x14ac:dyDescent="0.25">
      <c r="B26" s="15" t="s">
        <v>24</v>
      </c>
      <c r="C26" s="45"/>
    </row>
    <row r="27" spans="1:3" ht="15" customHeight="1" x14ac:dyDescent="0.25">
      <c r="B27" s="15"/>
      <c r="C27" s="15"/>
    </row>
    <row r="28" spans="1:3" ht="15" customHeight="1" x14ac:dyDescent="0.25">
      <c r="A28" s="8" t="s">
        <v>25</v>
      </c>
      <c r="B28" s="15"/>
      <c r="C28" s="15"/>
    </row>
    <row r="29" spans="1:3" ht="14.25" customHeight="1" x14ac:dyDescent="0.25">
      <c r="B29" s="25" t="s">
        <v>26</v>
      </c>
      <c r="C29" s="45"/>
    </row>
    <row r="30" spans="1:3" ht="14.25" customHeight="1" x14ac:dyDescent="0.25">
      <c r="B30" s="25" t="s">
        <v>27</v>
      </c>
      <c r="C30" s="99"/>
    </row>
    <row r="31" spans="1:3" ht="14.25" customHeight="1" x14ac:dyDescent="0.25">
      <c r="B31" s="25" t="s">
        <v>28</v>
      </c>
      <c r="C31" s="99"/>
    </row>
    <row r="32" spans="1:3" ht="14.25" customHeight="1" x14ac:dyDescent="0.25">
      <c r="B32" s="25" t="s">
        <v>29</v>
      </c>
      <c r="C32" s="99"/>
    </row>
    <row r="33" spans="1:5" ht="13.25" customHeight="1" x14ac:dyDescent="0.25">
      <c r="B33" s="27" t="s">
        <v>30</v>
      </c>
      <c r="C33" s="48">
        <f>SUM(C29:C32)</f>
        <v>0</v>
      </c>
    </row>
    <row r="34" spans="1:5" ht="15" customHeight="1" x14ac:dyDescent="0.25"/>
    <row r="35" spans="1:5" ht="15" customHeight="1" x14ac:dyDescent="0.3">
      <c r="A35" s="4" t="s">
        <v>31</v>
      </c>
    </row>
    <row r="36" spans="1:5" ht="15" customHeight="1" x14ac:dyDescent="0.25">
      <c r="A36" s="8" t="s">
        <v>32</v>
      </c>
      <c r="B36" s="5"/>
    </row>
    <row r="37" spans="1:5" ht="15" customHeight="1" x14ac:dyDescent="0.25">
      <c r="B37" s="11" t="s">
        <v>33</v>
      </c>
      <c r="C37" s="43"/>
    </row>
    <row r="38" spans="1:5" ht="15" customHeight="1" x14ac:dyDescent="0.25">
      <c r="B38" s="11" t="s">
        <v>34</v>
      </c>
      <c r="C38" s="43"/>
      <c r="D38" s="12"/>
      <c r="E38" s="13"/>
    </row>
    <row r="39" spans="1:5" ht="15" customHeight="1" x14ac:dyDescent="0.25">
      <c r="B39" s="11" t="s">
        <v>35</v>
      </c>
      <c r="C39" s="43"/>
      <c r="D39" s="12"/>
      <c r="E39" s="12"/>
    </row>
    <row r="40" spans="1:5" ht="15" customHeight="1" x14ac:dyDescent="0.25">
      <c r="B40" s="11" t="s">
        <v>36</v>
      </c>
      <c r="C40" s="100"/>
    </row>
    <row r="41" spans="1:5" ht="15" customHeight="1" x14ac:dyDescent="0.25">
      <c r="B41" s="11" t="s">
        <v>37</v>
      </c>
      <c r="C41" s="45"/>
    </row>
    <row r="42" spans="1:5" ht="15" customHeight="1" x14ac:dyDescent="0.25">
      <c r="B42" s="11" t="s">
        <v>38</v>
      </c>
      <c r="C42" s="43"/>
    </row>
    <row r="43" spans="1:5" ht="15.75" customHeight="1" x14ac:dyDescent="0.25">
      <c r="D43" s="12"/>
    </row>
    <row r="44" spans="1:5" ht="15.75" customHeight="1" x14ac:dyDescent="0.25">
      <c r="A44" s="8" t="s">
        <v>39</v>
      </c>
      <c r="D44" s="12"/>
    </row>
    <row r="45" spans="1:5" ht="15.75" customHeight="1" x14ac:dyDescent="0.25">
      <c r="B45" s="11" t="s">
        <v>40</v>
      </c>
      <c r="C45" s="45"/>
      <c r="D45" s="12"/>
    </row>
    <row r="46" spans="1:5" ht="15.75" customHeight="1" x14ac:dyDescent="0.25">
      <c r="B46" s="11" t="s">
        <v>41</v>
      </c>
      <c r="C46" s="45"/>
      <c r="D46" s="12"/>
    </row>
    <row r="47" spans="1:5" ht="15.75" customHeight="1" x14ac:dyDescent="0.25">
      <c r="B47" s="11" t="s">
        <v>42</v>
      </c>
      <c r="C47" s="45"/>
      <c r="D47" s="12"/>
      <c r="E47" s="13"/>
    </row>
    <row r="48" spans="1:5" ht="15" customHeight="1" x14ac:dyDescent="0.25">
      <c r="B48" s="11" t="s">
        <v>43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45</v>
      </c>
      <c r="C51" s="100"/>
      <c r="D51" s="12"/>
    </row>
    <row r="52" spans="1:4" ht="15" customHeight="1" x14ac:dyDescent="0.25">
      <c r="B52" s="11" t="s">
        <v>46</v>
      </c>
      <c r="C52" s="100"/>
    </row>
    <row r="53" spans="1:4" ht="15.75" customHeight="1" x14ac:dyDescent="0.25">
      <c r="B53" s="11" t="s">
        <v>47</v>
      </c>
      <c r="C53" s="100"/>
    </row>
    <row r="54" spans="1:4" ht="15.75" customHeight="1" x14ac:dyDescent="0.25">
      <c r="B54" s="11" t="s">
        <v>48</v>
      </c>
      <c r="C54" s="100"/>
    </row>
    <row r="55" spans="1:4" ht="15.75" customHeight="1" x14ac:dyDescent="0.25">
      <c r="B55" s="11" t="s">
        <v>49</v>
      </c>
      <c r="C55" s="100"/>
    </row>
    <row r="57" spans="1:4" ht="15.75" customHeight="1" x14ac:dyDescent="0.25">
      <c r="A57" s="8" t="s">
        <v>50</v>
      </c>
    </row>
    <row r="58" spans="1:4" ht="15.75" customHeight="1" x14ac:dyDescent="0.25">
      <c r="B58" s="5" t="s">
        <v>51</v>
      </c>
      <c r="C58" s="45"/>
    </row>
    <row r="59" spans="1:4" ht="15.75" customHeight="1" x14ac:dyDescent="0.25">
      <c r="B59" s="11" t="s">
        <v>52</v>
      </c>
      <c r="C59" s="45"/>
    </row>
    <row r="60" spans="1:4" ht="15.75" customHeight="1" x14ac:dyDescent="0.25">
      <c r="B60" s="11" t="s">
        <v>53</v>
      </c>
      <c r="C60" s="45"/>
    </row>
    <row r="61" spans="1:4" ht="15.75" customHeight="1" x14ac:dyDescent="0.25">
      <c r="B61" s="11" t="s">
        <v>54</v>
      </c>
      <c r="C61" s="45"/>
    </row>
    <row r="62" spans="1:4" ht="15.75" customHeight="1" x14ac:dyDescent="0.25">
      <c r="B62" s="11" t="s">
        <v>55</v>
      </c>
      <c r="C62" s="44"/>
    </row>
    <row r="63" spans="1:4" ht="15.75" customHeight="1" x14ac:dyDescent="0.3">
      <c r="A63" s="4"/>
    </row>
  </sheetData>
  <sheetProtection algorithmName="SHA-512" hashValue="yhO3A/7ogScQKKv7lXUGC9CoVyICjceFFRjTsMohTK8bhTOO/yn0Gnugo/XyoVDeI5ka0GSLXjJ6Q2MNf7pyqg==" saltValue="fYAoZXD7m2jFSdfe+sbAm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56</v>
      </c>
      <c r="B1" s="20" t="s">
        <v>57</v>
      </c>
      <c r="C1" s="18" t="s">
        <v>58</v>
      </c>
      <c r="D1" s="18" t="s">
        <v>59</v>
      </c>
      <c r="E1" s="18" t="s">
        <v>60</v>
      </c>
      <c r="F1" s="18" t="s">
        <v>61</v>
      </c>
      <c r="G1" s="18" t="s">
        <v>62</v>
      </c>
      <c r="H1" s="18" t="s">
        <v>63</v>
      </c>
      <c r="I1" s="18" t="s">
        <v>64</v>
      </c>
    </row>
    <row r="2" spans="1:9" ht="15.75" customHeight="1" x14ac:dyDescent="0.25">
      <c r="A2" s="5">
        <f>start_year</f>
        <v>2024</v>
      </c>
      <c r="B2" s="49"/>
      <c r="C2" s="49"/>
      <c r="D2" s="49"/>
      <c r="E2" s="49"/>
      <c r="F2" s="49"/>
      <c r="G2" s="17">
        <f t="shared" ref="G2:G13" si="0">C2+D2+E2+F2</f>
        <v>0</v>
      </c>
      <c r="H2" s="17">
        <f t="shared" ref="H2:H13" si="1">(B2 + stillbirth*B2/(1000-stillbirth))/(1-abortion)</f>
        <v>0</v>
      </c>
      <c r="I2" s="17">
        <f t="shared" ref="I2:I13" si="2">G2-H2</f>
        <v>0</v>
      </c>
    </row>
    <row r="3" spans="1:9" ht="15.75" customHeight="1" x14ac:dyDescent="0.25">
      <c r="A3" s="5">
        <f t="shared" ref="A3:A40" si="3">IF($A$2+ROW(A3)-2&lt;=end_year,A2+1,"")</f>
        <v>2025</v>
      </c>
      <c r="B3" s="49"/>
      <c r="C3" s="50"/>
      <c r="D3" s="50"/>
      <c r="E3" s="50"/>
      <c r="F3" s="50"/>
      <c r="G3" s="17">
        <f t="shared" si="0"/>
        <v>0</v>
      </c>
      <c r="H3" s="17">
        <f t="shared" si="1"/>
        <v>0</v>
      </c>
      <c r="I3" s="17">
        <f t="shared" si="2"/>
        <v>0</v>
      </c>
    </row>
    <row r="4" spans="1:9" ht="15.75" customHeight="1" x14ac:dyDescent="0.25">
      <c r="A4" s="5">
        <f t="shared" si="3"/>
        <v>2026</v>
      </c>
      <c r="B4" s="49"/>
      <c r="C4" s="50"/>
      <c r="D4" s="50"/>
      <c r="E4" s="50"/>
      <c r="F4" s="50"/>
      <c r="G4" s="17">
        <f t="shared" si="0"/>
        <v>0</v>
      </c>
      <c r="H4" s="17">
        <f t="shared" si="1"/>
        <v>0</v>
      </c>
      <c r="I4" s="17">
        <f t="shared" si="2"/>
        <v>0</v>
      </c>
    </row>
    <row r="5" spans="1:9" ht="15.75" customHeight="1" x14ac:dyDescent="0.25">
      <c r="A5" s="5">
        <f t="shared" si="3"/>
        <v>2027</v>
      </c>
      <c r="B5" s="49"/>
      <c r="C5" s="50"/>
      <c r="D5" s="50"/>
      <c r="E5" s="50"/>
      <c r="F5" s="50"/>
      <c r="G5" s="17">
        <f t="shared" si="0"/>
        <v>0</v>
      </c>
      <c r="H5" s="17">
        <f t="shared" si="1"/>
        <v>0</v>
      </c>
      <c r="I5" s="17">
        <f t="shared" si="2"/>
        <v>0</v>
      </c>
    </row>
    <row r="6" spans="1:9" ht="15.75" customHeight="1" x14ac:dyDescent="0.25">
      <c r="A6" s="5">
        <f t="shared" si="3"/>
        <v>2028</v>
      </c>
      <c r="B6" s="49"/>
      <c r="C6" s="50"/>
      <c r="D6" s="50"/>
      <c r="E6" s="50"/>
      <c r="F6" s="50"/>
      <c r="G6" s="17">
        <f t="shared" si="0"/>
        <v>0</v>
      </c>
      <c r="H6" s="17">
        <f t="shared" si="1"/>
        <v>0</v>
      </c>
      <c r="I6" s="17">
        <f t="shared" si="2"/>
        <v>0</v>
      </c>
    </row>
    <row r="7" spans="1:9" ht="15.75" customHeight="1" x14ac:dyDescent="0.25">
      <c r="A7" s="5">
        <f t="shared" si="3"/>
        <v>2029</v>
      </c>
      <c r="B7" s="49"/>
      <c r="C7" s="50"/>
      <c r="D7" s="50"/>
      <c r="E7" s="50"/>
      <c r="F7" s="50"/>
      <c r="G7" s="17">
        <f t="shared" si="0"/>
        <v>0</v>
      </c>
      <c r="H7" s="17">
        <f t="shared" si="1"/>
        <v>0</v>
      </c>
      <c r="I7" s="17">
        <f t="shared" si="2"/>
        <v>0</v>
      </c>
    </row>
    <row r="8" spans="1:9" ht="15.75" customHeight="1" x14ac:dyDescent="0.25">
      <c r="A8" s="5">
        <f t="shared" si="3"/>
        <v>2030</v>
      </c>
      <c r="B8" s="49"/>
      <c r="C8" s="50"/>
      <c r="D8" s="50"/>
      <c r="E8" s="50"/>
      <c r="F8" s="50"/>
      <c r="G8" s="17">
        <f t="shared" si="0"/>
        <v>0</v>
      </c>
      <c r="H8" s="17">
        <f t="shared" si="1"/>
        <v>0</v>
      </c>
      <c r="I8" s="17">
        <f t="shared" si="2"/>
        <v>0</v>
      </c>
    </row>
    <row r="9" spans="1:9" ht="15.75" customHeight="1" x14ac:dyDescent="0.25">
      <c r="A9" s="5">
        <f t="shared" si="3"/>
        <v>2031</v>
      </c>
      <c r="B9" s="49"/>
      <c r="C9" s="50"/>
      <c r="D9" s="50"/>
      <c r="E9" s="50"/>
      <c r="F9" s="50"/>
      <c r="G9" s="17">
        <f t="shared" si="0"/>
        <v>0</v>
      </c>
      <c r="H9" s="17">
        <f t="shared" si="1"/>
        <v>0</v>
      </c>
      <c r="I9" s="17">
        <f t="shared" si="2"/>
        <v>0</v>
      </c>
    </row>
    <row r="10" spans="1:9" ht="15.75" customHeight="1" x14ac:dyDescent="0.25">
      <c r="A10" s="5">
        <f t="shared" si="3"/>
        <v>2032</v>
      </c>
      <c r="B10" s="49"/>
      <c r="C10" s="50"/>
      <c r="D10" s="50"/>
      <c r="E10" s="50"/>
      <c r="F10" s="50"/>
      <c r="G10" s="17">
        <f t="shared" si="0"/>
        <v>0</v>
      </c>
      <c r="H10" s="17">
        <f t="shared" si="1"/>
        <v>0</v>
      </c>
      <c r="I10" s="17">
        <f t="shared" si="2"/>
        <v>0</v>
      </c>
    </row>
    <row r="11" spans="1:9" ht="15.75" customHeight="1" x14ac:dyDescent="0.25">
      <c r="A11" s="5">
        <f t="shared" si="3"/>
        <v>2033</v>
      </c>
      <c r="B11" s="49"/>
      <c r="C11" s="50"/>
      <c r="D11" s="50"/>
      <c r="E11" s="50"/>
      <c r="F11" s="50"/>
      <c r="G11" s="17">
        <f t="shared" si="0"/>
        <v>0</v>
      </c>
      <c r="H11" s="17">
        <f t="shared" si="1"/>
        <v>0</v>
      </c>
      <c r="I11" s="17">
        <f t="shared" si="2"/>
        <v>0</v>
      </c>
    </row>
    <row r="12" spans="1:9" ht="15.75" customHeight="1" x14ac:dyDescent="0.25">
      <c r="A12" s="5">
        <f t="shared" si="3"/>
        <v>2034</v>
      </c>
      <c r="B12" s="49"/>
      <c r="C12" s="50"/>
      <c r="D12" s="50"/>
      <c r="E12" s="50"/>
      <c r="F12" s="50"/>
      <c r="G12" s="17">
        <f t="shared" si="0"/>
        <v>0</v>
      </c>
      <c r="H12" s="17">
        <f t="shared" si="1"/>
        <v>0</v>
      </c>
      <c r="I12" s="17">
        <f t="shared" si="2"/>
        <v>0</v>
      </c>
    </row>
    <row r="13" spans="1:9" ht="15.75" customHeight="1" x14ac:dyDescent="0.25">
      <c r="A13" s="5">
        <f t="shared" si="3"/>
        <v>2035</v>
      </c>
      <c r="B13" s="49"/>
      <c r="C13" s="50"/>
      <c r="D13" s="50"/>
      <c r="E13" s="50"/>
      <c r="F13" s="50"/>
      <c r="G13" s="17">
        <f t="shared" si="0"/>
        <v>0</v>
      </c>
      <c r="H13" s="17">
        <f t="shared" si="1"/>
        <v>0</v>
      </c>
      <c r="I13" s="17">
        <f t="shared" si="2"/>
        <v>0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wKxEoWv7nnHIidhOP9O7yQQ4/tikEcXr6gTA2GrtyLYFAb1ix6Ln3irIlHONZ8I1dXNIh1a5t0Hcu3pPb5ZHrw==" saltValue="PZemEz5qyqkMYDJdSEC/KA==" spinCount="100000" sheet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4" zoomScale="115" zoomScaleNormal="115" workbookViewId="0">
      <selection activeCell="E28" sqref="E28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"Percentage of deaths in baseline year ("&amp;start_year&amp;") attributable to cause"</f>
        <v>Percentage of deaths in baseline year (2024) attributable to cause</v>
      </c>
      <c r="B1" s="29"/>
      <c r="C1" s="29"/>
      <c r="D1" s="29"/>
      <c r="E1" s="29"/>
      <c r="F1" s="29"/>
    </row>
    <row r="2" spans="1:8" ht="27.75" customHeight="1" x14ac:dyDescent="0.3">
      <c r="A2" t="s">
        <v>65</v>
      </c>
      <c r="B2" s="29" t="s">
        <v>66</v>
      </c>
      <c r="C2" s="29" t="s">
        <v>67</v>
      </c>
      <c r="D2" s="29"/>
      <c r="E2" s="29"/>
      <c r="F2" s="29"/>
      <c r="G2" s="29"/>
    </row>
    <row r="3" spans="1:8" ht="15.75" customHeight="1" x14ac:dyDescent="0.25">
      <c r="B3" s="19" t="s">
        <v>68</v>
      </c>
      <c r="C3" s="55"/>
    </row>
    <row r="4" spans="1:8" ht="15.75" customHeight="1" x14ac:dyDescent="0.25">
      <c r="B4" s="19" t="s">
        <v>69</v>
      </c>
      <c r="C4" s="101"/>
    </row>
    <row r="5" spans="1:8" ht="15.75" customHeight="1" x14ac:dyDescent="0.25">
      <c r="B5" s="19" t="s">
        <v>70</v>
      </c>
      <c r="C5" s="101"/>
    </row>
    <row r="6" spans="1:8" ht="15.75" customHeight="1" x14ac:dyDescent="0.25">
      <c r="B6" s="19" t="s">
        <v>71</v>
      </c>
      <c r="C6" s="101"/>
    </row>
    <row r="7" spans="1:8" ht="15.75" customHeight="1" x14ac:dyDescent="0.25">
      <c r="B7" s="19" t="s">
        <v>72</v>
      </c>
      <c r="C7" s="101"/>
    </row>
    <row r="8" spans="1:8" ht="15.75" customHeight="1" x14ac:dyDescent="0.25">
      <c r="B8" s="19" t="s">
        <v>73</v>
      </c>
      <c r="C8" s="101"/>
    </row>
    <row r="9" spans="1:8" ht="15.75" customHeight="1" x14ac:dyDescent="0.25">
      <c r="B9" s="19" t="s">
        <v>74</v>
      </c>
      <c r="C9" s="101"/>
    </row>
    <row r="10" spans="1:8" ht="15.75" customHeight="1" x14ac:dyDescent="0.25">
      <c r="B10" s="19" t="s">
        <v>75</v>
      </c>
      <c r="C10" s="101"/>
    </row>
    <row r="11" spans="1:8" ht="15.75" customHeight="1" x14ac:dyDescent="0.25">
      <c r="B11" s="27" t="s">
        <v>30</v>
      </c>
      <c r="C11" s="48">
        <f>SUM(C3:C10)</f>
        <v>0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76</v>
      </c>
      <c r="B13" s="29" t="s">
        <v>66</v>
      </c>
      <c r="C13" s="102" t="s">
        <v>77</v>
      </c>
      <c r="D13" s="102" t="s">
        <v>78</v>
      </c>
      <c r="E13" s="102" t="s">
        <v>79</v>
      </c>
      <c r="F13" s="102" t="s">
        <v>80</v>
      </c>
      <c r="G13" s="19"/>
    </row>
    <row r="14" spans="1:8" ht="15.75" customHeight="1" x14ac:dyDescent="0.25">
      <c r="B14" s="19" t="s">
        <v>81</v>
      </c>
      <c r="C14" s="55"/>
      <c r="D14" s="55"/>
      <c r="E14" s="55"/>
      <c r="F14" s="55"/>
    </row>
    <row r="15" spans="1:8" ht="15.75" customHeight="1" x14ac:dyDescent="0.25">
      <c r="B15" s="19" t="s">
        <v>82</v>
      </c>
      <c r="C15" s="101"/>
      <c r="D15" s="101"/>
      <c r="E15" s="101"/>
      <c r="F15" s="101"/>
    </row>
    <row r="16" spans="1:8" ht="15.75" customHeight="1" x14ac:dyDescent="0.25">
      <c r="B16" s="19" t="s">
        <v>83</v>
      </c>
      <c r="C16" s="101"/>
      <c r="D16" s="101"/>
      <c r="E16" s="101"/>
      <c r="F16" s="101"/>
    </row>
    <row r="17" spans="1:8" ht="15.75" customHeight="1" x14ac:dyDescent="0.25">
      <c r="B17" s="19" t="s">
        <v>84</v>
      </c>
      <c r="C17" s="101"/>
      <c r="D17" s="101"/>
      <c r="E17" s="101"/>
      <c r="F17" s="101"/>
    </row>
    <row r="18" spans="1:8" ht="15.75" customHeight="1" x14ac:dyDescent="0.25">
      <c r="B18" s="19" t="s">
        <v>85</v>
      </c>
      <c r="C18" s="101"/>
      <c r="D18" s="101"/>
      <c r="E18" s="101"/>
      <c r="F18" s="101"/>
    </row>
    <row r="19" spans="1:8" ht="15.75" customHeight="1" x14ac:dyDescent="0.25">
      <c r="B19" s="19" t="s">
        <v>86</v>
      </c>
      <c r="C19" s="101"/>
      <c r="D19" s="101"/>
      <c r="E19" s="101"/>
      <c r="F19" s="101"/>
    </row>
    <row r="20" spans="1:8" ht="15.75" customHeight="1" x14ac:dyDescent="0.25">
      <c r="B20" s="19" t="s">
        <v>87</v>
      </c>
      <c r="C20" s="101"/>
      <c r="D20" s="101"/>
      <c r="E20" s="101"/>
      <c r="F20" s="101"/>
    </row>
    <row r="21" spans="1:8" ht="15.75" customHeight="1" x14ac:dyDescent="0.25">
      <c r="B21" s="19" t="s">
        <v>88</v>
      </c>
      <c r="C21" s="101"/>
      <c r="D21" s="101"/>
      <c r="E21" s="101"/>
      <c r="F21" s="101"/>
    </row>
    <row r="22" spans="1:8" ht="15.75" customHeight="1" x14ac:dyDescent="0.25">
      <c r="B22" s="19" t="s">
        <v>89</v>
      </c>
      <c r="C22" s="101"/>
      <c r="D22" s="101"/>
      <c r="E22" s="101"/>
      <c r="F22" s="101"/>
    </row>
    <row r="23" spans="1:8" ht="15.75" customHeight="1" x14ac:dyDescent="0.25">
      <c r="B23" s="27" t="s">
        <v>30</v>
      </c>
      <c r="C23" s="48">
        <f>SUM(C14:C22)</f>
        <v>0</v>
      </c>
      <c r="D23" s="48">
        <f>SUM(D14:D22)</f>
        <v>0</v>
      </c>
      <c r="E23" s="48">
        <f>SUM(E14:E22)</f>
        <v>0</v>
      </c>
      <c r="F23" s="48">
        <f>SUM(F14:F22)</f>
        <v>0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90</v>
      </c>
      <c r="B25" s="29" t="s">
        <v>66</v>
      </c>
      <c r="C25" s="29" t="s">
        <v>90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91</v>
      </c>
      <c r="C26" s="55"/>
    </row>
    <row r="27" spans="1:8" ht="15.75" customHeight="1" x14ac:dyDescent="0.25">
      <c r="B27" s="19" t="s">
        <v>92</v>
      </c>
      <c r="C27" s="101"/>
    </row>
    <row r="28" spans="1:8" ht="15.75" customHeight="1" x14ac:dyDescent="0.25">
      <c r="B28" s="19" t="s">
        <v>93</v>
      </c>
      <c r="C28" s="101"/>
    </row>
    <row r="29" spans="1:8" ht="15.75" customHeight="1" x14ac:dyDescent="0.25">
      <c r="B29" s="19" t="s">
        <v>94</v>
      </c>
      <c r="C29" s="101"/>
    </row>
    <row r="30" spans="1:8" ht="15.75" customHeight="1" x14ac:dyDescent="0.25">
      <c r="B30" s="19" t="s">
        <v>95</v>
      </c>
      <c r="C30" s="101"/>
    </row>
    <row r="31" spans="1:8" ht="15.75" customHeight="1" x14ac:dyDescent="0.25">
      <c r="B31" s="19" t="s">
        <v>96</v>
      </c>
      <c r="C31" s="101"/>
    </row>
    <row r="32" spans="1:8" ht="15.75" customHeight="1" x14ac:dyDescent="0.25">
      <c r="B32" s="19" t="s">
        <v>97</v>
      </c>
      <c r="C32" s="101"/>
    </row>
    <row r="33" spans="2:3" ht="15.75" customHeight="1" x14ac:dyDescent="0.25">
      <c r="B33" s="19" t="s">
        <v>98</v>
      </c>
      <c r="C33" s="101"/>
    </row>
    <row r="34" spans="2:3" ht="15.75" customHeight="1" x14ac:dyDescent="0.25">
      <c r="B34" s="19" t="s">
        <v>99</v>
      </c>
      <c r="C34" s="101"/>
    </row>
    <row r="35" spans="2:3" ht="15.75" customHeight="1" x14ac:dyDescent="0.25">
      <c r="B35" s="27" t="s">
        <v>30</v>
      </c>
      <c r="C35" s="48">
        <f>SUM(C26:C34)</f>
        <v>0</v>
      </c>
    </row>
  </sheetData>
  <sheetProtection algorithmName="SHA-512" hashValue="sadLWueMPDmmVn6pA3hrJfCDmcHMjth0IA+NA9TpB2oknhku+/645RXJMb8ll6atkV5VLDi27zVULFpTC00pqw==" saltValue="rtY/nqRgyaBwNxtbxiN70A==" spinCount="100000" sheet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tabSelected="1" zoomScaleNormal="100" workbookViewId="0">
      <selection activeCell="E28" sqref="E28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"Percentage of population in each category in baseline year ("&amp;start_year&amp;")"</f>
        <v>Percentage of population in each category in baseline year (2024)</v>
      </c>
      <c r="B1" s="1" t="s">
        <v>100</v>
      </c>
      <c r="C1" s="11" t="s">
        <v>67</v>
      </c>
      <c r="D1" s="11" t="s">
        <v>77</v>
      </c>
      <c r="E1" s="11" t="s">
        <v>78</v>
      </c>
      <c r="F1" s="11" t="s">
        <v>79</v>
      </c>
      <c r="G1" s="11" t="s">
        <v>80</v>
      </c>
    </row>
    <row r="2" spans="1:15" ht="15.75" customHeight="1" x14ac:dyDescent="0.25">
      <c r="A2" s="3" t="s">
        <v>101</v>
      </c>
      <c r="B2" s="5" t="s">
        <v>102</v>
      </c>
      <c r="C2" s="52" t="str">
        <f>IFERROR(1-_xlfn.NORM.DIST(_xlfn.NORM.INV(SUM(C4:C5), 0, 1) + 1, 0, 1, TRUE), "")</f>
        <v/>
      </c>
      <c r="D2" s="52" t="str">
        <f>IFERROR(1-_xlfn.NORM.DIST(_xlfn.NORM.INV(SUM(D4:D5), 0, 1) + 1, 0, 1, TRUE), "")</f>
        <v/>
      </c>
      <c r="E2" s="52" t="str">
        <f>IFERROR(1-_xlfn.NORM.DIST(_xlfn.NORM.INV(SUM(E4:E5), 0, 1) + 1, 0, 1, TRUE), "")</f>
        <v/>
      </c>
      <c r="F2" s="52" t="str">
        <f>IFERROR(1-_xlfn.NORM.DIST(_xlfn.NORM.INV(SUM(F4:F5), 0, 1) + 1, 0, 1, TRUE), "")</f>
        <v/>
      </c>
      <c r="G2" s="52" t="str">
        <f>IFERROR(1-_xlfn.NORM.DIST(_xlfn.NORM.INV(SUM(G4:G5), 0, 1) + 1, 0, 1, TRUE), "")</f>
        <v/>
      </c>
    </row>
    <row r="3" spans="1:15" ht="15.75" customHeight="1" x14ac:dyDescent="0.25">
      <c r="B3" s="5" t="s">
        <v>103</v>
      </c>
      <c r="C3" s="52" t="str">
        <f>IFERROR(_xlfn.NORM.DIST(_xlfn.NORM.INV(SUM(C4:C5), 0, 1) + 1, 0, 1, TRUE) - SUM(C4:C5), "")</f>
        <v/>
      </c>
      <c r="D3" s="52" t="str">
        <f>IFERROR(_xlfn.NORM.DIST(_xlfn.NORM.INV(SUM(D4:D5), 0, 1) + 1, 0, 1, TRUE) - SUM(D4:D5), "")</f>
        <v/>
      </c>
      <c r="E3" s="52" t="str">
        <f>IFERROR(_xlfn.NORM.DIST(_xlfn.NORM.INV(SUM(E4:E5), 0, 1) + 1, 0, 1, TRUE) - SUM(E4:E5), "")</f>
        <v/>
      </c>
      <c r="F3" s="52" t="str">
        <f>IFERROR(_xlfn.NORM.DIST(_xlfn.NORM.INV(SUM(F4:F5), 0, 1) + 1, 0, 1, TRUE) - SUM(F4:F5), "")</f>
        <v/>
      </c>
      <c r="G3" s="52" t="str">
        <f>IFERROR(_xlfn.NORM.DIST(_xlfn.NORM.INV(SUM(G4:G5), 0, 1) + 1, 0, 1, TRUE) - SUM(G4:G5), "")</f>
        <v/>
      </c>
    </row>
    <row r="4" spans="1:15" ht="15.75" customHeight="1" x14ac:dyDescent="0.25">
      <c r="B4" s="5" t="s">
        <v>104</v>
      </c>
      <c r="C4" s="45"/>
      <c r="D4" s="53"/>
      <c r="E4" s="53"/>
      <c r="F4" s="53"/>
      <c r="G4" s="53"/>
    </row>
    <row r="5" spans="1:15" ht="15.75" customHeight="1" x14ac:dyDescent="0.25">
      <c r="B5" s="5" t="s">
        <v>105</v>
      </c>
      <c r="C5" s="45"/>
      <c r="D5" s="53"/>
      <c r="E5" s="53"/>
      <c r="F5" s="53"/>
      <c r="G5" s="53"/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106</v>
      </c>
      <c r="B8" s="5" t="s">
        <v>107</v>
      </c>
      <c r="C8" s="52" t="str">
        <f>IFERROR(1-_xlfn.NORM.DIST(_xlfn.NORM.INV(SUM(C10:C11), 0, 1) + 1, 0, 1, TRUE), "")</f>
        <v/>
      </c>
      <c r="D8" s="52" t="str">
        <f>IFERROR(1-_xlfn.NORM.DIST(_xlfn.NORM.INV(SUM(D10:D11), 0, 1) + 1, 0, 1, TRUE), "")</f>
        <v/>
      </c>
      <c r="E8" s="52" t="str">
        <f>IFERROR(1-_xlfn.NORM.DIST(_xlfn.NORM.INV(SUM(E10:E11), 0, 1) + 1, 0, 1, TRUE), "")</f>
        <v/>
      </c>
      <c r="F8" s="52" t="str">
        <f>IFERROR(1-_xlfn.NORM.DIST(_xlfn.NORM.INV(SUM(F10:F11), 0, 1) + 1, 0, 1, TRUE), "")</f>
        <v/>
      </c>
      <c r="G8" s="52" t="str">
        <f>IFERROR(1-_xlfn.NORM.DIST(_xlfn.NORM.INV(SUM(G10:G11), 0, 1) + 1, 0, 1, TRUE), "")</f>
        <v/>
      </c>
    </row>
    <row r="9" spans="1:15" ht="15.75" customHeight="1" x14ac:dyDescent="0.25">
      <c r="B9" s="5" t="s">
        <v>108</v>
      </c>
      <c r="C9" s="52" t="str">
        <f>IFERROR(_xlfn.NORM.DIST(_xlfn.NORM.INV(SUM(C10:C11), 0, 1) + 1, 0, 1, TRUE) - SUM(C10:C11), "")</f>
        <v/>
      </c>
      <c r="D9" s="52" t="str">
        <f>IFERROR(_xlfn.NORM.DIST(_xlfn.NORM.INV(SUM(D10:D11), 0, 1) + 1, 0, 1, TRUE) - SUM(D10:D11), "")</f>
        <v/>
      </c>
      <c r="E9" s="52" t="str">
        <f>IFERROR(_xlfn.NORM.DIST(_xlfn.NORM.INV(SUM(E10:E11), 0, 1) + 1, 0, 1, TRUE) - SUM(E10:E11), "")</f>
        <v/>
      </c>
      <c r="F9" s="52" t="str">
        <f>IFERROR(_xlfn.NORM.DIST(_xlfn.NORM.INV(SUM(F10:F11), 0, 1) + 1, 0, 1, TRUE) - SUM(F10:F11), "")</f>
        <v/>
      </c>
      <c r="G9" s="52" t="str">
        <f>IFERROR(_xlfn.NORM.DIST(_xlfn.NORM.INV(SUM(G10:G11), 0, 1) + 1, 0, 1, TRUE) - SUM(G10:G11), "")</f>
        <v/>
      </c>
    </row>
    <row r="10" spans="1:15" ht="15.75" customHeight="1" x14ac:dyDescent="0.25">
      <c r="B10" s="5" t="s">
        <v>109</v>
      </c>
      <c r="C10" s="45"/>
      <c r="D10" s="53"/>
      <c r="E10" s="53"/>
      <c r="F10" s="53"/>
      <c r="G10" s="53"/>
    </row>
    <row r="11" spans="1:15" ht="15.75" customHeight="1" x14ac:dyDescent="0.25">
      <c r="B11" s="5" t="s">
        <v>110</v>
      </c>
      <c r="C11" s="45"/>
      <c r="D11" s="53"/>
      <c r="E11" s="53"/>
      <c r="F11" s="53"/>
      <c r="G11" s="53"/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111</v>
      </c>
      <c r="C13" s="11" t="s">
        <v>67</v>
      </c>
      <c r="D13" s="11" t="s">
        <v>77</v>
      </c>
      <c r="E13" s="11" t="s">
        <v>78</v>
      </c>
      <c r="F13" s="11" t="s">
        <v>79</v>
      </c>
      <c r="G13" s="11" t="s">
        <v>80</v>
      </c>
      <c r="H13" s="18" t="s">
        <v>112</v>
      </c>
      <c r="I13" s="18" t="s">
        <v>113</v>
      </c>
      <c r="J13" s="18" t="s">
        <v>114</v>
      </c>
      <c r="K13" s="18" t="s">
        <v>115</v>
      </c>
      <c r="L13" s="18" t="s">
        <v>58</v>
      </c>
      <c r="M13" s="18" t="s">
        <v>59</v>
      </c>
      <c r="N13" s="18" t="s">
        <v>60</v>
      </c>
      <c r="O13" s="18" t="s">
        <v>61</v>
      </c>
    </row>
    <row r="14" spans="1:15" ht="15.75" customHeight="1" x14ac:dyDescent="0.25">
      <c r="B14" s="11" t="s">
        <v>116</v>
      </c>
      <c r="C14" s="51"/>
      <c r="D14" s="54"/>
      <c r="E14" s="54"/>
      <c r="F14" s="54"/>
      <c r="G14" s="54"/>
      <c r="H14" s="45"/>
      <c r="I14" s="55"/>
      <c r="J14" s="55"/>
      <c r="K14" s="55"/>
      <c r="L14" s="45"/>
      <c r="M14" s="55"/>
      <c r="N14" s="55"/>
      <c r="O14" s="55"/>
    </row>
    <row r="15" spans="1:15" ht="15.75" customHeight="1" x14ac:dyDescent="0.25">
      <c r="B15" s="11" t="s">
        <v>117</v>
      </c>
      <c r="C15" s="52">
        <f t="shared" ref="C15:O15" si="0">iron_deficiency_anaemia*C14</f>
        <v>0</v>
      </c>
      <c r="D15" s="52">
        <f t="shared" si="0"/>
        <v>0</v>
      </c>
      <c r="E15" s="52">
        <f t="shared" si="0"/>
        <v>0</v>
      </c>
      <c r="F15" s="52">
        <f t="shared" si="0"/>
        <v>0</v>
      </c>
      <c r="G15" s="52">
        <f t="shared" si="0"/>
        <v>0</v>
      </c>
      <c r="H15" s="52">
        <f t="shared" si="0"/>
        <v>0</v>
      </c>
      <c r="I15" s="52">
        <f t="shared" si="0"/>
        <v>0</v>
      </c>
      <c r="J15" s="52">
        <f t="shared" si="0"/>
        <v>0</v>
      </c>
      <c r="K15" s="52">
        <f t="shared" si="0"/>
        <v>0</v>
      </c>
      <c r="L15" s="52">
        <f t="shared" si="0"/>
        <v>0</v>
      </c>
      <c r="M15" s="52">
        <f t="shared" si="0"/>
        <v>0</v>
      </c>
      <c r="N15" s="52">
        <f t="shared" si="0"/>
        <v>0</v>
      </c>
      <c r="O15" s="52">
        <f t="shared" si="0"/>
        <v>0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3xqyzchqVxS9zXO7znTyrqmG4eussISLX/4mg7LlMD/t3IsNh7m6SG4MjR9+VAYcXzElaKb7tc77YYjF5+e59A==" saltValue="FUkBI++HWGg/TA0T1/fuQ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E28" sqref="E28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"Percentage of children in each category in baseline year ("&amp;start_year&amp;")"</f>
        <v>Percentage of children in each category in baseline year (2024)</v>
      </c>
      <c r="B1" s="1" t="s">
        <v>100</v>
      </c>
      <c r="C1" s="8" t="s">
        <v>67</v>
      </c>
      <c r="D1" s="8" t="s">
        <v>77</v>
      </c>
      <c r="E1" s="8" t="s">
        <v>78</v>
      </c>
      <c r="F1" s="8" t="s">
        <v>79</v>
      </c>
      <c r="G1" s="8" t="s">
        <v>80</v>
      </c>
    </row>
    <row r="2" spans="1:7" x14ac:dyDescent="0.25">
      <c r="A2" s="3" t="s">
        <v>118</v>
      </c>
      <c r="B2" s="3" t="s">
        <v>119</v>
      </c>
      <c r="C2" s="45"/>
      <c r="D2" s="53"/>
      <c r="E2" s="53">
        <v>0</v>
      </c>
      <c r="F2" s="53">
        <v>0</v>
      </c>
      <c r="G2" s="53">
        <v>0</v>
      </c>
    </row>
    <row r="3" spans="1:7" x14ac:dyDescent="0.25">
      <c r="B3" s="3" t="s">
        <v>120</v>
      </c>
      <c r="C3" s="53"/>
      <c r="D3" s="53"/>
      <c r="E3" s="53">
        <v>0</v>
      </c>
      <c r="F3" s="53">
        <v>0</v>
      </c>
      <c r="G3" s="53">
        <v>0</v>
      </c>
    </row>
    <row r="4" spans="1:7" x14ac:dyDescent="0.25">
      <c r="B4" s="3" t="s">
        <v>121</v>
      </c>
      <c r="C4" s="53"/>
      <c r="D4" s="53"/>
      <c r="E4" s="53"/>
      <c r="F4" s="53"/>
      <c r="G4" s="53">
        <v>0</v>
      </c>
    </row>
    <row r="5" spans="1:7" x14ac:dyDescent="0.25">
      <c r="B5" s="3" t="s">
        <v>122</v>
      </c>
      <c r="C5" s="52">
        <f t="shared" ref="C5:D5" si="0">1-SUM(C2:C4)</f>
        <v>1</v>
      </c>
      <c r="D5" s="52">
        <f t="shared" si="0"/>
        <v>1</v>
      </c>
      <c r="E5" s="52">
        <f>1-SUM(E2:E4)</f>
        <v>1</v>
      </c>
      <c r="F5" s="52">
        <f>1-SUM(F2:F4)</f>
        <v>1</v>
      </c>
      <c r="G5" s="52">
        <f>1-SUM(G2:G4)</f>
        <v>1</v>
      </c>
    </row>
  </sheetData>
  <sheetProtection algorithmName="SHA-512" hashValue="IB7MiHBWLHOD3n7SGNliWu2mGupPPVbe8KE+glKDhHOozsWhuk+He47LNdLk+tDUQGoZE97I8w1Jq70fVdZv9A==" saltValue="YOkiaLUiL7Hr3xSbyfJV+g==" spinCount="100000" sheet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123</v>
      </c>
      <c r="B1" s="4" t="s">
        <v>124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125</v>
      </c>
      <c r="B2" s="9" t="s">
        <v>126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127</v>
      </c>
      <c r="B4" s="9" t="s">
        <v>126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128</v>
      </c>
      <c r="B6" s="9" t="s">
        <v>126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90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129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130</v>
      </c>
      <c r="B10" s="11" t="s">
        <v>131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132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32</v>
      </c>
      <c r="B13" s="11" t="s">
        <v>133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134</v>
      </c>
      <c r="C14" s="23"/>
      <c r="D14" s="23"/>
      <c r="E14" s="23"/>
      <c r="F14" s="23"/>
      <c r="G14" s="23"/>
      <c r="H14" s="23"/>
      <c r="I14" s="23"/>
      <c r="J14" s="23"/>
      <c r="K14" s="23"/>
    </row>
  </sheetData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Q18" sqref="Q18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5" t="s">
        <v>334</v>
      </c>
      <c r="B1" s="105" t="s">
        <v>335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</row>
    <row r="2" spans="1:15" x14ac:dyDescent="0.25">
      <c r="A2" t="s">
        <v>336</v>
      </c>
      <c r="B2" s="109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</row>
    <row r="3" spans="1:15" x14ac:dyDescent="0.25">
      <c r="A3" t="s">
        <v>337</v>
      </c>
      <c r="B3" s="110"/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</row>
    <row r="4" spans="1:15" x14ac:dyDescent="0.25">
      <c r="A4" t="s">
        <v>338</v>
      </c>
      <c r="B4" s="110"/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</row>
    <row r="5" spans="1:15" x14ac:dyDescent="0.25">
      <c r="A5" t="s">
        <v>339</v>
      </c>
      <c r="B5" s="110"/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</row>
    <row r="6" spans="1:15" x14ac:dyDescent="0.25">
      <c r="A6" t="s">
        <v>340</v>
      </c>
      <c r="B6" s="110"/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</row>
    <row r="7" spans="1:15" x14ac:dyDescent="0.25">
      <c r="A7" t="s">
        <v>341</v>
      </c>
      <c r="B7" s="111"/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</row>
    <row r="8" spans="1:15" x14ac:dyDescent="0.25">
      <c r="A8" t="s">
        <v>342</v>
      </c>
      <c r="B8" s="111"/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</row>
    <row r="9" spans="1:15" x14ac:dyDescent="0.25">
      <c r="A9" t="s">
        <v>343</v>
      </c>
      <c r="B9" s="110"/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</row>
    <row r="10" spans="1:15" x14ac:dyDescent="0.25">
      <c r="A10" t="s">
        <v>344</v>
      </c>
      <c r="B10" s="110"/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</row>
    <row r="11" spans="1:15" x14ac:dyDescent="0.25">
      <c r="A11" t="s">
        <v>345</v>
      </c>
      <c r="B11" s="110"/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</row>
    <row r="12" spans="1:15" x14ac:dyDescent="0.25">
      <c r="A12" t="s">
        <v>346</v>
      </c>
      <c r="B12" s="110"/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</row>
    <row r="13" spans="1:15" x14ac:dyDescent="0.25">
      <c r="A13" t="s">
        <v>347</v>
      </c>
      <c r="B13" s="110"/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</row>
    <row r="14" spans="1:15" x14ac:dyDescent="0.25">
      <c r="A14" t="s">
        <v>348</v>
      </c>
      <c r="B14" s="112"/>
      <c r="C14" s="106"/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</row>
    <row r="15" spans="1:15" x14ac:dyDescent="0.25">
      <c r="A15" t="s">
        <v>349</v>
      </c>
      <c r="B15" s="111"/>
      <c r="C15" s="106"/>
      <c r="D15" s="106"/>
      <c r="E15" s="106"/>
      <c r="F15" s="106"/>
      <c r="G15" s="106"/>
      <c r="H15" s="106"/>
      <c r="I15" s="106"/>
      <c r="J15" s="106"/>
      <c r="K15" s="106"/>
      <c r="L15" s="106"/>
      <c r="M15" s="106"/>
      <c r="N15" s="106"/>
      <c r="O15" s="106"/>
    </row>
    <row r="16" spans="1:15" x14ac:dyDescent="0.25">
      <c r="A16" t="s">
        <v>350</v>
      </c>
      <c r="B16" s="111"/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</row>
    <row r="17" spans="1:15" x14ac:dyDescent="0.25">
      <c r="A17" t="s">
        <v>351</v>
      </c>
      <c r="B17" s="113"/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</row>
    <row r="18" spans="1:15" x14ac:dyDescent="0.25">
      <c r="A18" t="s">
        <v>352</v>
      </c>
      <c r="B18" s="110"/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</row>
    <row r="19" spans="1:15" x14ac:dyDescent="0.25">
      <c r="A19" s="106"/>
      <c r="B19" s="106"/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</row>
    <row r="20" spans="1:1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</row>
    <row r="21" spans="1:15" ht="13" x14ac:dyDescent="0.3">
      <c r="A21" s="107" t="s">
        <v>353</v>
      </c>
      <c r="B21" s="108" t="s">
        <v>354</v>
      </c>
      <c r="C21" s="108" t="s">
        <v>355</v>
      </c>
      <c r="D21" s="108" t="s">
        <v>356</v>
      </c>
      <c r="E21" s="108" t="s">
        <v>357</v>
      </c>
      <c r="F21" s="108" t="s">
        <v>358</v>
      </c>
      <c r="G21" s="108" t="s">
        <v>359</v>
      </c>
      <c r="H21" s="108" t="s">
        <v>360</v>
      </c>
      <c r="I21" s="108" t="s">
        <v>361</v>
      </c>
      <c r="J21" s="108" t="s">
        <v>362</v>
      </c>
      <c r="K21" s="108" t="s">
        <v>363</v>
      </c>
      <c r="L21" s="108" t="s">
        <v>364</v>
      </c>
      <c r="M21" s="108" t="s">
        <v>365</v>
      </c>
      <c r="N21" s="108" t="s">
        <v>366</v>
      </c>
      <c r="O21" s="108" t="s">
        <v>367</v>
      </c>
    </row>
    <row r="22" spans="1:15" x14ac:dyDescent="0.25">
      <c r="A22" s="108" t="s">
        <v>368</v>
      </c>
      <c r="B22" s="109"/>
      <c r="C22" s="109"/>
      <c r="D22" s="109"/>
      <c r="E22" s="109"/>
      <c r="F22" s="109"/>
      <c r="G22" s="109"/>
      <c r="H22" s="109"/>
      <c r="I22" s="109"/>
      <c r="J22" s="109"/>
      <c r="K22" s="109"/>
      <c r="L22" s="109"/>
      <c r="M22" s="109"/>
      <c r="N22" s="109"/>
      <c r="O22" s="109"/>
    </row>
  </sheetData>
  <sheetProtection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E28" sqref="E28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136</v>
      </c>
      <c r="B1" s="36" t="s">
        <v>137</v>
      </c>
      <c r="C1" s="36" t="s">
        <v>138</v>
      </c>
      <c r="D1" s="36" t="s">
        <v>139</v>
      </c>
      <c r="E1" s="36" t="s">
        <v>140</v>
      </c>
    </row>
    <row r="2" spans="1:5" ht="13" x14ac:dyDescent="0.3">
      <c r="A2" s="34" t="s">
        <v>141</v>
      </c>
      <c r="B2" s="32" t="s">
        <v>90</v>
      </c>
      <c r="C2" s="47"/>
      <c r="D2" s="47"/>
      <c r="E2" s="38" t="str">
        <f>IF(E$7="","",E$7)</f>
        <v/>
      </c>
    </row>
    <row r="3" spans="1:5" x14ac:dyDescent="0.25">
      <c r="B3" s="32" t="s">
        <v>67</v>
      </c>
      <c r="C3" s="47"/>
      <c r="D3" s="47" t="s">
        <v>142</v>
      </c>
      <c r="E3" s="38" t="str">
        <f>IF(E$7="","",E$7)</f>
        <v/>
      </c>
    </row>
    <row r="4" spans="1:5" x14ac:dyDescent="0.25">
      <c r="B4" s="32" t="s">
        <v>77</v>
      </c>
      <c r="C4" s="47"/>
      <c r="D4" s="47" t="s">
        <v>142</v>
      </c>
      <c r="E4" s="38" t="str">
        <f>IF(E$7="","",E$7)</f>
        <v/>
      </c>
    </row>
    <row r="5" spans="1:5" x14ac:dyDescent="0.25">
      <c r="B5" s="32" t="s">
        <v>78</v>
      </c>
      <c r="C5" s="47"/>
      <c r="D5" s="47" t="s">
        <v>142</v>
      </c>
      <c r="E5" s="38" t="str">
        <f>IF(E$7="","",E$7)</f>
        <v/>
      </c>
    </row>
    <row r="6" spans="1:5" x14ac:dyDescent="0.25">
      <c r="B6" s="32" t="s">
        <v>79</v>
      </c>
      <c r="C6" s="47"/>
      <c r="D6" s="47" t="s">
        <v>142</v>
      </c>
      <c r="E6" s="38" t="str">
        <f>IF(E$7="","",E$7)</f>
        <v/>
      </c>
    </row>
    <row r="7" spans="1:5" x14ac:dyDescent="0.25">
      <c r="B7" s="32" t="s">
        <v>143</v>
      </c>
      <c r="C7" s="31"/>
      <c r="D7" s="30"/>
      <c r="E7" s="47"/>
    </row>
    <row r="9" spans="1:5" ht="13" x14ac:dyDescent="0.3">
      <c r="A9" s="34" t="s">
        <v>144</v>
      </c>
      <c r="B9" s="32" t="s">
        <v>90</v>
      </c>
      <c r="C9" s="47"/>
      <c r="D9" s="47"/>
      <c r="E9" s="38" t="str">
        <f>IF(E$7="","",E$7)</f>
        <v/>
      </c>
    </row>
    <row r="10" spans="1:5" x14ac:dyDescent="0.25">
      <c r="B10" s="32" t="s">
        <v>67</v>
      </c>
      <c r="C10" s="47"/>
      <c r="D10" s="47"/>
      <c r="E10" s="38" t="str">
        <f>IF(E$7="","",E$7)</f>
        <v/>
      </c>
    </row>
    <row r="11" spans="1:5" x14ac:dyDescent="0.25">
      <c r="B11" s="32" t="s">
        <v>77</v>
      </c>
      <c r="C11" s="47"/>
      <c r="D11" s="47"/>
      <c r="E11" s="38" t="str">
        <f>IF(E$7="","",E$7)</f>
        <v/>
      </c>
    </row>
    <row r="12" spans="1:5" x14ac:dyDescent="0.25">
      <c r="B12" s="32" t="s">
        <v>78</v>
      </c>
      <c r="C12" s="47"/>
      <c r="D12" s="47" t="s">
        <v>142</v>
      </c>
      <c r="E12" s="38" t="str">
        <f>IF(E$7="","",E$7)</f>
        <v/>
      </c>
    </row>
    <row r="13" spans="1:5" x14ac:dyDescent="0.25">
      <c r="B13" s="32" t="s">
        <v>79</v>
      </c>
      <c r="C13" s="47"/>
      <c r="D13" s="47" t="s">
        <v>142</v>
      </c>
      <c r="E13" s="38" t="str">
        <f>IF(E$7="","",E$7)</f>
        <v/>
      </c>
    </row>
    <row r="14" spans="1:5" x14ac:dyDescent="0.25">
      <c r="B14" s="32" t="s">
        <v>143</v>
      </c>
      <c r="C14" s="31"/>
      <c r="D14" s="30"/>
      <c r="E14" s="47"/>
    </row>
    <row r="16" spans="1:5" ht="13" x14ac:dyDescent="0.3">
      <c r="A16" s="34" t="s">
        <v>145</v>
      </c>
      <c r="B16" s="32" t="s">
        <v>90</v>
      </c>
      <c r="C16" s="47"/>
      <c r="D16" s="47" t="s">
        <v>142</v>
      </c>
      <c r="E16" s="38" t="str">
        <f>IF(E$7="","",E$7)</f>
        <v/>
      </c>
    </row>
    <row r="17" spans="2:5" x14ac:dyDescent="0.25">
      <c r="B17" s="32" t="s">
        <v>67</v>
      </c>
      <c r="C17" s="47"/>
      <c r="D17" s="47" t="s">
        <v>142</v>
      </c>
      <c r="E17" s="38" t="str">
        <f>IF(E$7="","",E$7)</f>
        <v/>
      </c>
    </row>
    <row r="18" spans="2:5" x14ac:dyDescent="0.25">
      <c r="B18" s="32" t="s">
        <v>77</v>
      </c>
      <c r="C18" s="47"/>
      <c r="D18" s="47" t="s">
        <v>142</v>
      </c>
      <c r="E18" s="38" t="str">
        <f>IF(E$7="","",E$7)</f>
        <v/>
      </c>
    </row>
    <row r="19" spans="2:5" x14ac:dyDescent="0.25">
      <c r="B19" s="32" t="s">
        <v>78</v>
      </c>
      <c r="C19" s="47"/>
      <c r="D19" s="47" t="s">
        <v>142</v>
      </c>
      <c r="E19" s="38" t="str">
        <f>IF(E$7="","",E$7)</f>
        <v/>
      </c>
    </row>
    <row r="20" spans="2:5" x14ac:dyDescent="0.25">
      <c r="B20" s="32" t="s">
        <v>79</v>
      </c>
      <c r="C20" s="47"/>
      <c r="D20" s="47" t="s">
        <v>142</v>
      </c>
      <c r="E20" s="38" t="str">
        <f>IF(E$7="","",E$7)</f>
        <v/>
      </c>
    </row>
    <row r="21" spans="2:5" x14ac:dyDescent="0.25">
      <c r="B21" s="32" t="s">
        <v>143</v>
      </c>
      <c r="C21" s="31"/>
      <c r="D21" s="30"/>
      <c r="E21" s="47"/>
    </row>
  </sheetData>
  <sheetProtection algorithmName="SHA-512" hashValue="9wsRtmiVNJB0UeV33D4Iu3yiIwegEB7YesrZkCblhc6wUV+2PK18HRXoB0nl0+0IenWTDgkV+kV0Xi5B6erGpg==" saltValue="FiZTxqAqHli9KHTCkjPnDg==" spinCount="100000" sheet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E28" sqref="E28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1</v>
      </c>
      <c r="B1" s="36" t="s">
        <v>146</v>
      </c>
      <c r="C1" s="40" t="s">
        <v>147</v>
      </c>
      <c r="D1" s="40" t="s">
        <v>148</v>
      </c>
    </row>
    <row r="2" spans="1:4" ht="13" x14ac:dyDescent="0.3">
      <c r="A2" s="40" t="s">
        <v>149</v>
      </c>
      <c r="B2" s="32" t="s">
        <v>150</v>
      </c>
      <c r="C2" s="32" t="s">
        <v>151</v>
      </c>
      <c r="D2" s="47"/>
    </row>
    <row r="3" spans="1:4" ht="13" x14ac:dyDescent="0.3">
      <c r="A3" s="40" t="s">
        <v>152</v>
      </c>
      <c r="B3" s="32" t="s">
        <v>138</v>
      </c>
      <c r="C3" s="32" t="s">
        <v>153</v>
      </c>
      <c r="D3" s="47"/>
    </row>
  </sheetData>
  <sheetProtection algorithmName="SHA-512" hashValue="tS5A5il384gB8zsJjwidwZIpdVsJo/ah59cRAmnHpig36ZssdSIeiIXxiNqdW+7yhHG743nXUgYflxFLjdX6Kg==" saltValue="H9BMcvjdiLgSEjFGZvTrQw==" spinCount="100000" sheet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149</v>
      </c>
      <c r="B1" s="22" t="str">
        <f>"Baseline ("&amp;start_year&amp;") coverage"</f>
        <v>Baseline (2024) coverage</v>
      </c>
      <c r="C1" s="22" t="s">
        <v>154</v>
      </c>
      <c r="D1" s="22" t="s">
        <v>155</v>
      </c>
      <c r="E1" s="22" t="s">
        <v>156</v>
      </c>
      <c r="F1" s="22" t="s">
        <v>157</v>
      </c>
      <c r="G1" s="22" t="s">
        <v>158</v>
      </c>
    </row>
    <row r="2" spans="1:7" ht="15.75" customHeight="1" x14ac:dyDescent="0.25">
      <c r="A2" s="5" t="s">
        <v>159</v>
      </c>
      <c r="B2" s="45">
        <v>0</v>
      </c>
      <c r="C2" s="98">
        <v>0.95</v>
      </c>
      <c r="D2" s="56">
        <v>99.99</v>
      </c>
      <c r="E2" s="56" t="s">
        <v>160</v>
      </c>
      <c r="F2" s="98">
        <v>1</v>
      </c>
      <c r="G2" s="98">
        <v>1</v>
      </c>
    </row>
    <row r="3" spans="1:7" ht="15.75" customHeight="1" x14ac:dyDescent="0.25">
      <c r="A3" s="5" t="s">
        <v>161</v>
      </c>
      <c r="B3" s="45">
        <v>0</v>
      </c>
      <c r="C3" s="98">
        <v>0.95</v>
      </c>
      <c r="D3" s="56">
        <v>99.99</v>
      </c>
      <c r="E3" s="56" t="s">
        <v>160</v>
      </c>
      <c r="F3" s="98">
        <v>1</v>
      </c>
      <c r="G3" s="98">
        <v>1</v>
      </c>
    </row>
    <row r="4" spans="1:7" ht="15.75" customHeight="1" x14ac:dyDescent="0.25">
      <c r="A4" s="5" t="s">
        <v>162</v>
      </c>
      <c r="B4" s="98">
        <v>0</v>
      </c>
      <c r="C4" s="98">
        <v>0.95</v>
      </c>
      <c r="D4" s="56">
        <v>99.99</v>
      </c>
      <c r="E4" s="56" t="s">
        <v>160</v>
      </c>
      <c r="F4" s="98">
        <v>1</v>
      </c>
      <c r="G4" s="98">
        <v>1</v>
      </c>
    </row>
    <row r="5" spans="1:7" ht="15.75" customHeight="1" x14ac:dyDescent="0.25">
      <c r="A5" s="5" t="s">
        <v>163</v>
      </c>
      <c r="B5" s="98">
        <v>0</v>
      </c>
      <c r="C5" s="98">
        <v>0.95</v>
      </c>
      <c r="D5" s="56">
        <v>99.99</v>
      </c>
      <c r="E5" s="56" t="s">
        <v>160</v>
      </c>
      <c r="F5" s="98">
        <v>1</v>
      </c>
      <c r="G5" s="98">
        <v>1</v>
      </c>
    </row>
    <row r="6" spans="1:7" ht="15.75" customHeight="1" x14ac:dyDescent="0.25">
      <c r="A6" s="5" t="s">
        <v>164</v>
      </c>
      <c r="B6" s="98">
        <v>0</v>
      </c>
      <c r="C6" s="98">
        <v>0.95</v>
      </c>
      <c r="D6" s="56">
        <v>99.99</v>
      </c>
      <c r="E6" s="56" t="s">
        <v>160</v>
      </c>
      <c r="F6" s="98">
        <v>1</v>
      </c>
      <c r="G6" s="98">
        <v>1</v>
      </c>
    </row>
    <row r="7" spans="1:7" ht="15.75" customHeight="1" x14ac:dyDescent="0.25">
      <c r="A7" s="5" t="s">
        <v>165</v>
      </c>
      <c r="B7" s="98">
        <v>0</v>
      </c>
      <c r="C7" s="98">
        <v>0.95</v>
      </c>
      <c r="D7" s="56">
        <v>99.99</v>
      </c>
      <c r="E7" s="56" t="s">
        <v>160</v>
      </c>
      <c r="F7" s="98">
        <v>1</v>
      </c>
      <c r="G7" s="98">
        <v>1</v>
      </c>
    </row>
    <row r="8" spans="1:7" ht="15.75" customHeight="1" x14ac:dyDescent="0.25">
      <c r="A8" s="5" t="s">
        <v>166</v>
      </c>
      <c r="B8" s="98">
        <v>0</v>
      </c>
      <c r="C8" s="98">
        <v>0.95</v>
      </c>
      <c r="D8" s="56">
        <v>99.99</v>
      </c>
      <c r="E8" s="56" t="s">
        <v>160</v>
      </c>
      <c r="F8" s="98">
        <v>1</v>
      </c>
      <c r="G8" s="98">
        <v>1</v>
      </c>
    </row>
    <row r="9" spans="1:7" ht="15.75" customHeight="1" x14ac:dyDescent="0.25">
      <c r="A9" s="5" t="s">
        <v>167</v>
      </c>
      <c r="B9" s="98">
        <v>0</v>
      </c>
      <c r="C9" s="98">
        <v>0.95</v>
      </c>
      <c r="D9" s="56">
        <v>99.99</v>
      </c>
      <c r="E9" s="56" t="s">
        <v>160</v>
      </c>
      <c r="F9" s="98">
        <v>1</v>
      </c>
      <c r="G9" s="98">
        <v>1</v>
      </c>
    </row>
    <row r="10" spans="1:7" ht="15.75" customHeight="1" x14ac:dyDescent="0.25">
      <c r="A10" s="11" t="s">
        <v>168</v>
      </c>
      <c r="B10" s="45">
        <v>0</v>
      </c>
      <c r="C10" s="98">
        <v>0.95</v>
      </c>
      <c r="D10" s="56">
        <v>99.99</v>
      </c>
      <c r="E10" s="56" t="s">
        <v>160</v>
      </c>
      <c r="F10" s="98">
        <v>1</v>
      </c>
      <c r="G10" s="98">
        <v>1</v>
      </c>
    </row>
    <row r="11" spans="1:7" ht="15.75" customHeight="1" x14ac:dyDescent="0.25">
      <c r="A11" s="11" t="s">
        <v>169</v>
      </c>
      <c r="B11" s="98">
        <v>0</v>
      </c>
      <c r="C11" s="98">
        <v>0.95</v>
      </c>
      <c r="D11" s="56">
        <v>99.99</v>
      </c>
      <c r="E11" s="56" t="s">
        <v>160</v>
      </c>
      <c r="F11" s="98">
        <v>1</v>
      </c>
      <c r="G11" s="98">
        <v>1</v>
      </c>
    </row>
    <row r="12" spans="1:7" ht="15.75" customHeight="1" x14ac:dyDescent="0.25">
      <c r="A12" s="11" t="s">
        <v>170</v>
      </c>
      <c r="B12" s="98">
        <v>0</v>
      </c>
      <c r="C12" s="98">
        <v>0.95</v>
      </c>
      <c r="D12" s="56">
        <v>99.99</v>
      </c>
      <c r="E12" s="56" t="s">
        <v>160</v>
      </c>
      <c r="F12" s="98">
        <v>1</v>
      </c>
      <c r="G12" s="98">
        <v>1</v>
      </c>
    </row>
    <row r="13" spans="1:7" ht="15.75" customHeight="1" x14ac:dyDescent="0.25">
      <c r="A13" s="11" t="s">
        <v>171</v>
      </c>
      <c r="B13" s="98">
        <v>0</v>
      </c>
      <c r="C13" s="98">
        <v>0.95</v>
      </c>
      <c r="D13" s="56">
        <v>99.99</v>
      </c>
      <c r="E13" s="56" t="s">
        <v>160</v>
      </c>
      <c r="F13" s="98">
        <v>1</v>
      </c>
      <c r="G13" s="98">
        <v>1</v>
      </c>
    </row>
    <row r="14" spans="1:7" ht="15.75" customHeight="1" x14ac:dyDescent="0.25">
      <c r="A14" s="5" t="s">
        <v>172</v>
      </c>
      <c r="B14" s="45">
        <v>0</v>
      </c>
      <c r="C14" s="98">
        <v>0.95</v>
      </c>
      <c r="D14" s="56">
        <v>99.99</v>
      </c>
      <c r="E14" s="56" t="s">
        <v>160</v>
      </c>
      <c r="F14" s="98">
        <v>1</v>
      </c>
      <c r="G14" s="98">
        <v>1</v>
      </c>
    </row>
    <row r="15" spans="1:7" ht="15.75" customHeight="1" x14ac:dyDescent="0.25">
      <c r="A15" s="5" t="s">
        <v>173</v>
      </c>
      <c r="B15" s="98">
        <v>0</v>
      </c>
      <c r="C15" s="98">
        <v>0.95</v>
      </c>
      <c r="D15" s="56">
        <v>99.99</v>
      </c>
      <c r="E15" s="56" t="s">
        <v>160</v>
      </c>
      <c r="F15" s="98">
        <v>1</v>
      </c>
      <c r="G15" s="98">
        <v>1</v>
      </c>
    </row>
    <row r="16" spans="1:7" ht="15.75" customHeight="1" x14ac:dyDescent="0.25">
      <c r="A16" s="5" t="s">
        <v>174</v>
      </c>
      <c r="B16" s="45">
        <v>3.8198900000000001E-2</v>
      </c>
      <c r="C16" s="98">
        <v>0.95</v>
      </c>
      <c r="D16" s="56">
        <v>99.99</v>
      </c>
      <c r="E16" s="56" t="s">
        <v>160</v>
      </c>
      <c r="F16" s="98">
        <v>1</v>
      </c>
      <c r="G16" s="98">
        <v>1</v>
      </c>
    </row>
    <row r="17" spans="1:7" ht="15.75" customHeight="1" x14ac:dyDescent="0.25">
      <c r="A17" s="5" t="s">
        <v>175</v>
      </c>
      <c r="B17" s="98">
        <v>6.5675947999999998E-2</v>
      </c>
      <c r="C17" s="98">
        <v>0.95</v>
      </c>
      <c r="D17" s="56">
        <v>99.99</v>
      </c>
      <c r="E17" s="56" t="s">
        <v>160</v>
      </c>
      <c r="F17" s="98">
        <v>1</v>
      </c>
      <c r="G17" s="98">
        <v>1</v>
      </c>
    </row>
    <row r="18" spans="1:7" ht="15.9" customHeight="1" x14ac:dyDescent="0.25">
      <c r="A18" s="5" t="s">
        <v>141</v>
      </c>
      <c r="B18" s="98">
        <v>0</v>
      </c>
      <c r="C18" s="98">
        <v>0.95</v>
      </c>
      <c r="D18" s="56">
        <v>99.99</v>
      </c>
      <c r="E18" s="56" t="s">
        <v>160</v>
      </c>
      <c r="F18" s="98">
        <v>1</v>
      </c>
      <c r="G18" s="98">
        <v>1</v>
      </c>
    </row>
    <row r="19" spans="1:7" ht="15.75" customHeight="1" x14ac:dyDescent="0.25">
      <c r="A19" s="5" t="s">
        <v>144</v>
      </c>
      <c r="B19" s="98">
        <v>0</v>
      </c>
      <c r="C19" s="98">
        <v>0.95</v>
      </c>
      <c r="D19" s="56">
        <v>99.99</v>
      </c>
      <c r="E19" s="56" t="s">
        <v>160</v>
      </c>
      <c r="F19" s="98">
        <v>1</v>
      </c>
      <c r="G19" s="98">
        <v>1</v>
      </c>
    </row>
    <row r="20" spans="1:7" ht="15.75" customHeight="1" x14ac:dyDescent="0.25">
      <c r="A20" s="5" t="s">
        <v>145</v>
      </c>
      <c r="B20" s="98">
        <v>0</v>
      </c>
      <c r="C20" s="98">
        <v>0.95</v>
      </c>
      <c r="D20" s="56">
        <v>99.99</v>
      </c>
      <c r="E20" s="56" t="s">
        <v>160</v>
      </c>
      <c r="F20" s="98">
        <v>1</v>
      </c>
      <c r="G20" s="98">
        <v>1</v>
      </c>
    </row>
    <row r="21" spans="1:7" ht="15.75" customHeight="1" x14ac:dyDescent="0.25">
      <c r="A21" s="5" t="s">
        <v>176</v>
      </c>
      <c r="B21" s="45">
        <v>0</v>
      </c>
      <c r="C21" s="98">
        <v>0.95</v>
      </c>
      <c r="D21" s="56">
        <v>99.99</v>
      </c>
      <c r="E21" s="56" t="s">
        <v>160</v>
      </c>
      <c r="F21" s="98">
        <v>1</v>
      </c>
      <c r="G21" s="98">
        <v>1</v>
      </c>
    </row>
    <row r="22" spans="1:7" ht="15.75" customHeight="1" x14ac:dyDescent="0.25">
      <c r="A22" s="5" t="s">
        <v>177</v>
      </c>
      <c r="B22" s="98">
        <v>0</v>
      </c>
      <c r="C22" s="98">
        <v>0.95</v>
      </c>
      <c r="D22" s="56">
        <v>99.99</v>
      </c>
      <c r="E22" s="56" t="s">
        <v>160</v>
      </c>
      <c r="F22" s="98">
        <v>1</v>
      </c>
      <c r="G22" s="98">
        <v>1</v>
      </c>
    </row>
    <row r="23" spans="1:7" ht="15.75" customHeight="1" x14ac:dyDescent="0.25">
      <c r="A23" s="5" t="s">
        <v>178</v>
      </c>
      <c r="B23" s="98">
        <v>0</v>
      </c>
      <c r="C23" s="98">
        <v>0.95</v>
      </c>
      <c r="D23" s="56">
        <v>99.99</v>
      </c>
      <c r="E23" s="56" t="s">
        <v>160</v>
      </c>
      <c r="F23" s="98">
        <v>1</v>
      </c>
      <c r="G23" s="98">
        <v>1</v>
      </c>
    </row>
    <row r="24" spans="1:7" ht="15.75" customHeight="1" x14ac:dyDescent="0.25">
      <c r="A24" s="5" t="s">
        <v>179</v>
      </c>
      <c r="B24" s="45">
        <v>0</v>
      </c>
      <c r="C24" s="98">
        <v>0.95</v>
      </c>
      <c r="D24" s="56">
        <v>99.99</v>
      </c>
      <c r="E24" s="56" t="s">
        <v>160</v>
      </c>
      <c r="F24" s="98">
        <v>1</v>
      </c>
      <c r="G24" s="98">
        <v>1</v>
      </c>
    </row>
    <row r="25" spans="1:7" ht="15.75" customHeight="1" x14ac:dyDescent="0.25">
      <c r="A25" s="5" t="s">
        <v>180</v>
      </c>
      <c r="B25" s="98">
        <v>0</v>
      </c>
      <c r="C25" s="98">
        <v>0.95</v>
      </c>
      <c r="D25" s="56">
        <v>99.99</v>
      </c>
      <c r="E25" s="56" t="s">
        <v>160</v>
      </c>
      <c r="F25" s="98">
        <v>1</v>
      </c>
      <c r="G25" s="98">
        <v>1</v>
      </c>
    </row>
    <row r="26" spans="1:7" ht="15.75" customHeight="1" x14ac:dyDescent="0.25">
      <c r="A26" s="5" t="s">
        <v>181</v>
      </c>
      <c r="B26" s="45">
        <v>0</v>
      </c>
      <c r="C26" s="98">
        <v>0.95</v>
      </c>
      <c r="D26" s="56">
        <v>99.99</v>
      </c>
      <c r="E26" s="56" t="s">
        <v>160</v>
      </c>
      <c r="F26" s="98">
        <v>1</v>
      </c>
      <c r="G26" s="98">
        <v>1</v>
      </c>
    </row>
    <row r="27" spans="1:7" ht="15.75" customHeight="1" x14ac:dyDescent="0.25">
      <c r="A27" s="5" t="s">
        <v>182</v>
      </c>
      <c r="B27" s="45">
        <v>0</v>
      </c>
      <c r="C27" s="98">
        <v>0.95</v>
      </c>
      <c r="D27" s="56">
        <v>99.99</v>
      </c>
      <c r="E27" s="56" t="s">
        <v>160</v>
      </c>
      <c r="F27" s="98">
        <v>1</v>
      </c>
      <c r="G27" s="98">
        <v>1</v>
      </c>
    </row>
    <row r="28" spans="1:7" ht="15.75" customHeight="1" x14ac:dyDescent="0.25">
      <c r="A28" s="5" t="s">
        <v>183</v>
      </c>
      <c r="B28" s="45">
        <v>0</v>
      </c>
      <c r="C28" s="98">
        <v>0.95</v>
      </c>
      <c r="D28" s="56">
        <v>99.99</v>
      </c>
      <c r="E28" s="56" t="s">
        <v>160</v>
      </c>
      <c r="F28" s="98">
        <v>1</v>
      </c>
      <c r="G28" s="98">
        <v>1</v>
      </c>
    </row>
    <row r="29" spans="1:7" ht="15.75" customHeight="1" x14ac:dyDescent="0.25">
      <c r="A29" s="5" t="s">
        <v>184</v>
      </c>
      <c r="B29" s="45">
        <v>0</v>
      </c>
      <c r="C29" s="98">
        <v>0.95</v>
      </c>
      <c r="D29" s="56">
        <v>99.99</v>
      </c>
      <c r="E29" s="56" t="s">
        <v>160</v>
      </c>
      <c r="F29" s="98">
        <v>1</v>
      </c>
      <c r="G29" s="98">
        <v>1</v>
      </c>
    </row>
    <row r="30" spans="1:7" ht="15.75" customHeight="1" x14ac:dyDescent="0.25">
      <c r="A30" s="5" t="s">
        <v>185</v>
      </c>
      <c r="B30" s="98">
        <v>0</v>
      </c>
      <c r="C30" s="98">
        <v>0.95</v>
      </c>
      <c r="D30" s="56">
        <v>99.99</v>
      </c>
      <c r="E30" s="56" t="s">
        <v>160</v>
      </c>
      <c r="F30" s="98">
        <v>1</v>
      </c>
      <c r="G30" s="98">
        <v>1</v>
      </c>
    </row>
    <row r="31" spans="1:7" ht="15.75" customHeight="1" x14ac:dyDescent="0.25">
      <c r="A31" s="5" t="s">
        <v>150</v>
      </c>
      <c r="B31" s="45">
        <v>0</v>
      </c>
      <c r="C31" s="98">
        <v>0.95</v>
      </c>
      <c r="D31" s="56">
        <v>99.99</v>
      </c>
      <c r="E31" s="56" t="s">
        <v>160</v>
      </c>
      <c r="F31" s="98">
        <v>1</v>
      </c>
      <c r="G31" s="98">
        <v>1</v>
      </c>
    </row>
    <row r="32" spans="1:7" ht="15.75" customHeight="1" x14ac:dyDescent="0.25">
      <c r="A32" s="5" t="s">
        <v>186</v>
      </c>
      <c r="B32" s="45">
        <v>0</v>
      </c>
      <c r="C32" s="98">
        <v>0.95</v>
      </c>
      <c r="D32" s="56">
        <v>99.99</v>
      </c>
      <c r="E32" s="56" t="s">
        <v>160</v>
      </c>
      <c r="F32" s="98">
        <v>1</v>
      </c>
      <c r="G32" s="98">
        <v>1</v>
      </c>
    </row>
    <row r="33" spans="1:7" ht="15.75" customHeight="1" x14ac:dyDescent="0.25">
      <c r="A33" s="5" t="s">
        <v>187</v>
      </c>
      <c r="B33" s="45">
        <v>0</v>
      </c>
      <c r="C33" s="98">
        <v>0.95</v>
      </c>
      <c r="D33" s="56">
        <v>99.99</v>
      </c>
      <c r="E33" s="56" t="s">
        <v>160</v>
      </c>
      <c r="F33" s="98">
        <v>1</v>
      </c>
      <c r="G33" s="98">
        <v>1</v>
      </c>
    </row>
    <row r="34" spans="1:7" ht="15.75" customHeight="1" x14ac:dyDescent="0.25">
      <c r="A34" s="5" t="s">
        <v>188</v>
      </c>
      <c r="B34" s="45">
        <v>0</v>
      </c>
      <c r="C34" s="98">
        <v>0.95</v>
      </c>
      <c r="D34" s="56">
        <v>99.99</v>
      </c>
      <c r="E34" s="56" t="s">
        <v>160</v>
      </c>
      <c r="F34" s="98">
        <v>1</v>
      </c>
      <c r="G34" s="98">
        <v>1</v>
      </c>
    </row>
    <row r="35" spans="1:7" ht="15.75" customHeight="1" x14ac:dyDescent="0.25">
      <c r="A35" s="5" t="s">
        <v>189</v>
      </c>
      <c r="B35" s="98">
        <v>0</v>
      </c>
      <c r="C35" s="98">
        <v>0.95</v>
      </c>
      <c r="D35" s="56">
        <v>99.99</v>
      </c>
      <c r="E35" s="56" t="s">
        <v>160</v>
      </c>
      <c r="F35" s="98">
        <v>1</v>
      </c>
      <c r="G35" s="98">
        <v>1</v>
      </c>
    </row>
    <row r="36" spans="1:7" ht="15.75" customHeight="1" x14ac:dyDescent="0.25">
      <c r="A36" s="5" t="s">
        <v>190</v>
      </c>
      <c r="B36" s="45">
        <v>0</v>
      </c>
      <c r="C36" s="98">
        <v>0.95</v>
      </c>
      <c r="D36" s="56">
        <v>99.99</v>
      </c>
      <c r="E36" s="56" t="s">
        <v>160</v>
      </c>
      <c r="F36" s="98">
        <v>1</v>
      </c>
      <c r="G36" s="98">
        <v>1</v>
      </c>
    </row>
    <row r="37" spans="1:7" ht="15.75" customHeight="1" x14ac:dyDescent="0.25">
      <c r="A37" s="5" t="s">
        <v>191</v>
      </c>
      <c r="B37" s="45">
        <v>0</v>
      </c>
      <c r="C37" s="98">
        <v>0.95</v>
      </c>
      <c r="D37" s="56">
        <v>99.99</v>
      </c>
      <c r="E37" s="56" t="s">
        <v>160</v>
      </c>
      <c r="F37" s="98">
        <v>1</v>
      </c>
      <c r="G37" s="98">
        <v>1</v>
      </c>
    </row>
    <row r="38" spans="1:7" ht="15.75" customHeight="1" x14ac:dyDescent="0.25">
      <c r="A38" s="5" t="s">
        <v>192</v>
      </c>
      <c r="B38" s="45">
        <v>0</v>
      </c>
      <c r="C38" s="98">
        <v>0.95</v>
      </c>
      <c r="D38" s="56">
        <v>99.99</v>
      </c>
      <c r="E38" s="56" t="s">
        <v>160</v>
      </c>
      <c r="F38" s="98">
        <v>1</v>
      </c>
      <c r="G38" s="98">
        <v>1</v>
      </c>
    </row>
    <row r="39" spans="1:7" ht="15.75" customHeight="1" x14ac:dyDescent="0.25">
      <c r="A39" s="5" t="s">
        <v>193</v>
      </c>
      <c r="B39" s="45">
        <v>0</v>
      </c>
      <c r="C39" s="98">
        <v>0.95</v>
      </c>
      <c r="D39" s="56">
        <v>99.99</v>
      </c>
      <c r="E39" s="56" t="s">
        <v>160</v>
      </c>
      <c r="F39" s="98">
        <v>1</v>
      </c>
      <c r="G39" s="98">
        <v>1</v>
      </c>
    </row>
  </sheetData>
  <sheetProtection algorithmName="SHA-512" hashValue="7vflRb+A4U2pEdxn7m/v0lFZNI78qfZXbnYBjV1V9XLM+tHWxQCvL8xYVSz8kIygwB6Bp0chVfPhUDXzL0eOkw==" saltValue="BwzbjGZ5GxwK0BvfdhnvS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workbookViewId="0">
      <selection activeCell="B9" sqref="B9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149</v>
      </c>
      <c r="B1" s="4" t="s">
        <v>194</v>
      </c>
      <c r="C1" s="4" t="s">
        <v>195</v>
      </c>
    </row>
    <row r="2" spans="1:3" x14ac:dyDescent="0.25">
      <c r="A2" s="57" t="s">
        <v>172</v>
      </c>
      <c r="B2" s="47" t="s">
        <v>182</v>
      </c>
      <c r="C2" s="47"/>
    </row>
    <row r="3" spans="1:3" x14ac:dyDescent="0.25">
      <c r="A3" s="57" t="s">
        <v>173</v>
      </c>
      <c r="B3" s="47" t="s">
        <v>182</v>
      </c>
      <c r="C3" s="47"/>
    </row>
    <row r="4" spans="1:3" x14ac:dyDescent="0.25">
      <c r="A4" s="57" t="s">
        <v>184</v>
      </c>
      <c r="B4" s="47" t="s">
        <v>177</v>
      </c>
      <c r="C4" s="47"/>
    </row>
    <row r="5" spans="1:3" x14ac:dyDescent="0.25">
      <c r="A5" s="57" t="s">
        <v>184</v>
      </c>
      <c r="B5" s="47" t="s">
        <v>185</v>
      </c>
      <c r="C5" s="47"/>
    </row>
    <row r="6" spans="1:3" x14ac:dyDescent="0.25">
      <c r="A6" s="57" t="s">
        <v>181</v>
      </c>
      <c r="B6" s="58" t="s">
        <v>185</v>
      </c>
      <c r="C6" s="58"/>
    </row>
    <row r="7" spans="1:3" x14ac:dyDescent="0.25">
      <c r="A7" s="57" t="s">
        <v>193</v>
      </c>
      <c r="B7" s="58" t="s">
        <v>185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mJIhFbJiXwMDYdaTQpBnnIuyYOuT68NH0zRKA9hB05n6uZvdwWxrgEXuFwGJ+96DUDA/ASxdRlcLT7WZRHSmMg==" saltValue="bb4cIfhca5ee56tuIEArcQ==" spinCount="100000" sheet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149</v>
      </c>
    </row>
    <row r="2" spans="1:1" x14ac:dyDescent="0.25">
      <c r="A2" s="33" t="s">
        <v>164</v>
      </c>
    </row>
    <row r="3" spans="1:1" x14ac:dyDescent="0.25">
      <c r="A3" s="33" t="s">
        <v>174</v>
      </c>
    </row>
    <row r="4" spans="1:1" x14ac:dyDescent="0.25">
      <c r="A4" s="33" t="s">
        <v>178</v>
      </c>
    </row>
    <row r="5" spans="1:1" x14ac:dyDescent="0.25">
      <c r="A5" s="33" t="s">
        <v>187</v>
      </c>
    </row>
    <row r="6" spans="1:1" x14ac:dyDescent="0.25">
      <c r="A6" s="33" t="s">
        <v>188</v>
      </c>
    </row>
    <row r="7" spans="1:1" x14ac:dyDescent="0.25">
      <c r="A7" s="33" t="s">
        <v>189</v>
      </c>
    </row>
    <row r="8" spans="1:1" x14ac:dyDescent="0.25">
      <c r="A8" s="33" t="s">
        <v>190</v>
      </c>
    </row>
    <row r="9" spans="1:1" x14ac:dyDescent="0.25">
      <c r="A9" s="33" t="s">
        <v>191</v>
      </c>
    </row>
    <row r="10" spans="1:1" x14ac:dyDescent="0.25">
      <c r="A10" s="33" t="s">
        <v>150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196</v>
      </c>
      <c r="B1" t="s">
        <v>67</v>
      </c>
      <c r="C1" t="s">
        <v>77</v>
      </c>
      <c r="D1" t="s">
        <v>78</v>
      </c>
      <c r="E1" t="s">
        <v>79</v>
      </c>
      <c r="F1" t="s">
        <v>80</v>
      </c>
    </row>
    <row r="2" spans="1:6" ht="15.75" customHeight="1" x14ac:dyDescent="0.25">
      <c r="A2" s="3" t="s">
        <v>81</v>
      </c>
      <c r="B2" s="21">
        <f>'Baseline year population inputs'!C51</f>
        <v>0</v>
      </c>
      <c r="C2" s="21">
        <f>'Baseline year population inputs'!C52</f>
        <v>0</v>
      </c>
      <c r="D2" s="21">
        <f>'Baseline year population inputs'!C53</f>
        <v>0</v>
      </c>
      <c r="E2" s="21">
        <f>'Baseline year population inputs'!C54</f>
        <v>0</v>
      </c>
      <c r="F2" s="21">
        <f>'Baseline year population inputs'!C55</f>
        <v>0</v>
      </c>
    </row>
    <row r="3" spans="1:6" ht="15.75" customHeight="1" x14ac:dyDescent="0.25">
      <c r="A3" s="3" t="s">
        <v>197</v>
      </c>
      <c r="B3" s="21">
        <f>frac_mam_1month * 2.6</f>
        <v>0</v>
      </c>
      <c r="C3" s="21">
        <f>frac_mam_1_5months * 2.6</f>
        <v>0</v>
      </c>
      <c r="D3" s="21">
        <f>frac_mam_6_11months * 2.6</f>
        <v>0</v>
      </c>
      <c r="E3" s="21">
        <f>frac_mam_12_23months * 2.6</f>
        <v>0</v>
      </c>
      <c r="F3" s="21">
        <f>frac_mam_24_59months * 2.6</f>
        <v>0</v>
      </c>
    </row>
    <row r="4" spans="1:6" ht="15.75" customHeight="1" x14ac:dyDescent="0.25">
      <c r="A4" s="3" t="s">
        <v>198</v>
      </c>
      <c r="B4" s="21">
        <f>frac_sam_1month * 2.6</f>
        <v>0</v>
      </c>
      <c r="C4" s="21">
        <f>frac_sam_1_5months * 2.6</f>
        <v>0</v>
      </c>
      <c r="D4" s="21">
        <f>frac_sam_6_11months * 2.6</f>
        <v>0</v>
      </c>
      <c r="E4" s="21">
        <f>frac_sam_12_23months * 2.6</f>
        <v>0</v>
      </c>
      <c r="F4" s="21">
        <f>frac_sam_24_59months * 2.6</f>
        <v>0</v>
      </c>
    </row>
  </sheetData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K15" sqref="K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199</v>
      </c>
      <c r="B1" s="1" t="s">
        <v>149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">
      <c r="A2" s="4" t="s">
        <v>76</v>
      </c>
      <c r="B2" s="5" t="s">
        <v>162</v>
      </c>
      <c r="C2" s="60">
        <v>0</v>
      </c>
      <c r="D2" s="60">
        <v>0</v>
      </c>
      <c r="E2" s="60">
        <f>food_insecure</f>
        <v>0</v>
      </c>
      <c r="F2" s="60">
        <f>food_insecure</f>
        <v>0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163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176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177</v>
      </c>
      <c r="C5" s="60">
        <v>0</v>
      </c>
      <c r="D5" s="60">
        <v>0</v>
      </c>
      <c r="E5" s="60">
        <f>food_insecure</f>
        <v>0</v>
      </c>
      <c r="F5" s="60">
        <f>food_insecure</f>
        <v>0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181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183</v>
      </c>
      <c r="C7" s="60">
        <f>diarrhoea_1mo*frac_diarrhea_severe</f>
        <v>0</v>
      </c>
      <c r="D7" s="60">
        <f>diarrhoea_1_5mo*frac_diarrhea_severe</f>
        <v>0</v>
      </c>
      <c r="E7" s="60">
        <f>diarrhoea_6_11mo*frac_diarrhea_severe</f>
        <v>0</v>
      </c>
      <c r="F7" s="60">
        <f>diarrhoea_12_23mo*frac_diarrhea_severe</f>
        <v>0</v>
      </c>
      <c r="G7" s="60">
        <f>diarrhoea_24_59mo*frac_diarrhea_severe</f>
        <v>0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184</v>
      </c>
      <c r="C8" s="60">
        <v>0</v>
      </c>
      <c r="D8" s="60">
        <v>0</v>
      </c>
      <c r="E8" s="60">
        <f>food_insecure</f>
        <v>0</v>
      </c>
      <c r="F8" s="60">
        <f>food_insecure</f>
        <v>0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185</v>
      </c>
      <c r="C9" s="60">
        <v>0</v>
      </c>
      <c r="D9" s="60">
        <v>0</v>
      </c>
      <c r="E9" s="60">
        <f>food_insecure</f>
        <v>0</v>
      </c>
      <c r="F9" s="60">
        <f>food_insecure</f>
        <v>0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150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186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192</v>
      </c>
      <c r="C12" s="60">
        <f>diarrhoea_1mo*frac_diarrhea_severe</f>
        <v>0</v>
      </c>
      <c r="D12" s="60">
        <f>diarrhoea_1_5mo*frac_diarrhea_severe</f>
        <v>0</v>
      </c>
      <c r="E12" s="60">
        <f>diarrhoea_6_11mo*frac_diarrhea_severe</f>
        <v>0</v>
      </c>
      <c r="F12" s="60">
        <f>diarrhoea_12_23mo*frac_diarrhea_severe</f>
        <v>0</v>
      </c>
      <c r="G12" s="60">
        <f>diarrhoea_24_59mo*frac_diarrhea_severe</f>
        <v>0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193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90</v>
      </c>
      <c r="B15" s="9" t="s">
        <v>159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0</v>
      </c>
      <c r="I15" s="60">
        <f t="shared" si="0"/>
        <v>0</v>
      </c>
      <c r="J15" s="60">
        <f t="shared" si="0"/>
        <v>0</v>
      </c>
      <c r="K15" s="60">
        <f t="shared" si="0"/>
        <v>0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161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0</v>
      </c>
      <c r="I16" s="60">
        <f t="shared" si="0"/>
        <v>0</v>
      </c>
      <c r="J16" s="60">
        <f t="shared" si="0"/>
        <v>0</v>
      </c>
      <c r="K16" s="60">
        <f t="shared" si="0"/>
        <v>0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172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173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174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</v>
      </c>
      <c r="I19" s="60">
        <f>frac_malaria_risk</f>
        <v>0</v>
      </c>
      <c r="J19" s="60">
        <f>frac_malaria_risk</f>
        <v>0</v>
      </c>
      <c r="K19" s="60">
        <f>frac_malaria_risk</f>
        <v>0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179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180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182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200</v>
      </c>
      <c r="B24" s="11" t="s">
        <v>164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</v>
      </c>
      <c r="M24" s="60">
        <f>famplan_unmet_need</f>
        <v>0</v>
      </c>
      <c r="N24" s="60">
        <f>famplan_unmet_need</f>
        <v>0</v>
      </c>
      <c r="O24" s="60">
        <f>famplan_unmet_need</f>
        <v>0</v>
      </c>
    </row>
    <row r="25" spans="1:15" ht="15.75" customHeight="1" x14ac:dyDescent="0.25">
      <c r="B25" s="11" t="s">
        <v>168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0.49</v>
      </c>
      <c r="M25" s="60">
        <f>(1-food_insecure)*(0.49)+food_insecure*(0.7)</f>
        <v>0.49</v>
      </c>
      <c r="N25" s="60">
        <f>(1-food_insecure)*(0.49)+food_insecure*(0.7)</f>
        <v>0.49</v>
      </c>
      <c r="O25" s="60">
        <f>(1-food_insecure)*(0.49)+food_insecure*(0.7)</f>
        <v>0.49</v>
      </c>
    </row>
    <row r="26" spans="1:15" ht="15.75" customHeight="1" x14ac:dyDescent="0.25">
      <c r="B26" s="11" t="s">
        <v>169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0.21</v>
      </c>
      <c r="M26" s="60">
        <f>(1-food_insecure)*(0.21)+food_insecure*(0.3)</f>
        <v>0.21</v>
      </c>
      <c r="N26" s="60">
        <f>(1-food_insecure)*(0.21)+food_insecure*(0.3)</f>
        <v>0.21</v>
      </c>
      <c r="O26" s="60">
        <f>(1-food_insecure)*(0.21)+food_insecure*(0.3)</f>
        <v>0.21</v>
      </c>
    </row>
    <row r="27" spans="1:15" ht="15.75" customHeight="1" x14ac:dyDescent="0.25">
      <c r="B27" s="11" t="s">
        <v>170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0.3</v>
      </c>
      <c r="M27" s="60">
        <f>(1-food_insecure)*(0.3)</f>
        <v>0.3</v>
      </c>
      <c r="N27" s="60">
        <f>(1-food_insecure)*(0.3)</f>
        <v>0.3</v>
      </c>
      <c r="O27" s="60">
        <f>(1-food_insecure)*(0.3)</f>
        <v>0.3</v>
      </c>
    </row>
    <row r="28" spans="1:15" ht="15.75" customHeight="1" x14ac:dyDescent="0.25">
      <c r="B28" s="11" t="s">
        <v>171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201</v>
      </c>
      <c r="B30" s="5" t="s">
        <v>165</v>
      </c>
      <c r="C30" s="60">
        <v>0</v>
      </c>
      <c r="D30" s="60">
        <v>0</v>
      </c>
      <c r="E30" s="60">
        <f t="shared" ref="E30:O30" si="1">frac_maize</f>
        <v>0</v>
      </c>
      <c r="F30" s="60">
        <f t="shared" si="1"/>
        <v>0</v>
      </c>
      <c r="G30" s="60">
        <f t="shared" si="1"/>
        <v>0</v>
      </c>
      <c r="H30" s="60">
        <f t="shared" si="1"/>
        <v>0</v>
      </c>
      <c r="I30" s="60">
        <f t="shared" si="1"/>
        <v>0</v>
      </c>
      <c r="J30" s="60">
        <f t="shared" si="1"/>
        <v>0</v>
      </c>
      <c r="K30" s="60">
        <f t="shared" si="1"/>
        <v>0</v>
      </c>
      <c r="L30" s="60">
        <f t="shared" si="1"/>
        <v>0</v>
      </c>
      <c r="M30" s="60">
        <f t="shared" si="1"/>
        <v>0</v>
      </c>
      <c r="N30" s="60">
        <f t="shared" si="1"/>
        <v>0</v>
      </c>
      <c r="O30" s="60">
        <f t="shared" si="1"/>
        <v>0</v>
      </c>
    </row>
    <row r="31" spans="1:15" ht="15.75" customHeight="1" x14ac:dyDescent="0.25">
      <c r="B31" s="5" t="s">
        <v>166</v>
      </c>
      <c r="C31" s="60">
        <v>0</v>
      </c>
      <c r="D31" s="60">
        <v>0</v>
      </c>
      <c r="E31" s="60">
        <f t="shared" ref="E31:O31" si="2">frac_rice</f>
        <v>0</v>
      </c>
      <c r="F31" s="60">
        <f t="shared" si="2"/>
        <v>0</v>
      </c>
      <c r="G31" s="60">
        <f t="shared" si="2"/>
        <v>0</v>
      </c>
      <c r="H31" s="60">
        <f t="shared" si="2"/>
        <v>0</v>
      </c>
      <c r="I31" s="60">
        <f t="shared" si="2"/>
        <v>0</v>
      </c>
      <c r="J31" s="60">
        <f t="shared" si="2"/>
        <v>0</v>
      </c>
      <c r="K31" s="60">
        <f t="shared" si="2"/>
        <v>0</v>
      </c>
      <c r="L31" s="60">
        <f t="shared" si="2"/>
        <v>0</v>
      </c>
      <c r="M31" s="60">
        <f t="shared" si="2"/>
        <v>0</v>
      </c>
      <c r="N31" s="60">
        <f t="shared" si="2"/>
        <v>0</v>
      </c>
      <c r="O31" s="60">
        <f t="shared" si="2"/>
        <v>0</v>
      </c>
    </row>
    <row r="32" spans="1:15" ht="15.75" customHeight="1" x14ac:dyDescent="0.25">
      <c r="B32" s="5" t="s">
        <v>167</v>
      </c>
      <c r="C32" s="60">
        <v>0</v>
      </c>
      <c r="D32" s="60">
        <v>0</v>
      </c>
      <c r="E32" s="60">
        <f t="shared" ref="E32:O32" si="3">frac_wheat</f>
        <v>0</v>
      </c>
      <c r="F32" s="60">
        <f t="shared" si="3"/>
        <v>0</v>
      </c>
      <c r="G32" s="60">
        <f t="shared" si="3"/>
        <v>0</v>
      </c>
      <c r="H32" s="60">
        <f t="shared" si="3"/>
        <v>0</v>
      </c>
      <c r="I32" s="60">
        <f t="shared" si="3"/>
        <v>0</v>
      </c>
      <c r="J32" s="60">
        <f t="shared" si="3"/>
        <v>0</v>
      </c>
      <c r="K32" s="60">
        <f t="shared" si="3"/>
        <v>0</v>
      </c>
      <c r="L32" s="60">
        <f t="shared" si="3"/>
        <v>0</v>
      </c>
      <c r="M32" s="60">
        <f t="shared" si="3"/>
        <v>0</v>
      </c>
      <c r="N32" s="60">
        <f t="shared" si="3"/>
        <v>0</v>
      </c>
      <c r="O32" s="60">
        <f t="shared" si="3"/>
        <v>0</v>
      </c>
    </row>
    <row r="33" spans="2:15" ht="15.75" customHeight="1" x14ac:dyDescent="0.25">
      <c r="B33" s="5" t="s">
        <v>175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178</v>
      </c>
      <c r="C34" s="60">
        <f t="shared" ref="C34:O34" si="4">frac_malaria_risk</f>
        <v>0</v>
      </c>
      <c r="D34" s="60">
        <f t="shared" si="4"/>
        <v>0</v>
      </c>
      <c r="E34" s="60">
        <f t="shared" si="4"/>
        <v>0</v>
      </c>
      <c r="F34" s="60">
        <f t="shared" si="4"/>
        <v>0</v>
      </c>
      <c r="G34" s="60">
        <f t="shared" si="4"/>
        <v>0</v>
      </c>
      <c r="H34" s="60">
        <f t="shared" si="4"/>
        <v>0</v>
      </c>
      <c r="I34" s="60">
        <f t="shared" si="4"/>
        <v>0</v>
      </c>
      <c r="J34" s="60">
        <f t="shared" si="4"/>
        <v>0</v>
      </c>
      <c r="K34" s="60">
        <f t="shared" si="4"/>
        <v>0</v>
      </c>
      <c r="L34" s="60">
        <f t="shared" si="4"/>
        <v>0</v>
      </c>
      <c r="M34" s="60">
        <f t="shared" si="4"/>
        <v>0</v>
      </c>
      <c r="N34" s="60">
        <f t="shared" si="4"/>
        <v>0</v>
      </c>
      <c r="O34" s="60">
        <f t="shared" si="4"/>
        <v>0</v>
      </c>
    </row>
    <row r="35" spans="2:15" ht="15.75" customHeight="1" x14ac:dyDescent="0.25">
      <c r="B35" s="9" t="s">
        <v>187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188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189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190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191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wgo7XNr2JxP7Ql6m5BNK+l9KamJ34r23Y5jz1XN8+N7E+d6W6TRCIB4CvUfkpfDjYoTdBm3j/AY5J0WTPLstYw==" saltValue="tqaBG9v2e2aE4iDDli/elQ==" spinCount="100000" sheet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160</v>
      </c>
    </row>
    <row r="2" spans="1:1" x14ac:dyDescent="0.25">
      <c r="A2" s="8" t="s">
        <v>202</v>
      </c>
    </row>
    <row r="3" spans="1:1" x14ac:dyDescent="0.25">
      <c r="A3" s="8" t="s">
        <v>203</v>
      </c>
    </row>
    <row r="4" spans="1:1" x14ac:dyDescent="0.25">
      <c r="A4" s="8" t="s">
        <v>204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205</v>
      </c>
      <c r="B1" s="4" t="s">
        <v>206</v>
      </c>
      <c r="C1" s="4" t="s">
        <v>207</v>
      </c>
      <c r="D1" s="4" t="s">
        <v>135</v>
      </c>
      <c r="E1" s="4" t="s">
        <v>208</v>
      </c>
    </row>
    <row r="2" spans="1:5" ht="14" customHeight="1" x14ac:dyDescent="0.3">
      <c r="A2" s="28" t="s">
        <v>209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210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211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212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213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214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215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216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217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2" sqref="H12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199</v>
      </c>
      <c r="B1" s="1" t="s">
        <v>149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5">
      <c r="A2" s="4" t="s">
        <v>76</v>
      </c>
      <c r="B2" s="5" t="s">
        <v>162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163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141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144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145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176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177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181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183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184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185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150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186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192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193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90</v>
      </c>
      <c r="B18" s="5" t="s">
        <v>159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161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172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173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174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179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180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182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200</v>
      </c>
      <c r="B27" s="5" t="s">
        <v>164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168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169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170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171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201</v>
      </c>
      <c r="B33" s="5" t="s">
        <v>165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166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167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175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178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187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188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189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190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191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/iNx8XhXnh7Xx3uVehiCurwu84DzhXX8Awjv5OnRpydvMo//nxQizpEy+BvB5S3dYPWZ66+QPd4XSBmiXvnjlw==" saltValue="ZzUL++HyQF3FaTSDA9XqUQ==" spinCount="100000" sheet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topLeftCell="B20" workbookViewId="0">
      <selection activeCell="B2" sqref="B2:L39"/>
    </sheetView>
  </sheetViews>
  <sheetFormatPr defaultColWidth="12.7265625" defaultRowHeight="12.5" x14ac:dyDescent="0.25"/>
  <cols>
    <col min="1" max="1" width="58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149</v>
      </c>
      <c r="B1" s="108" t="s">
        <v>218</v>
      </c>
      <c r="C1" s="108" t="s">
        <v>111</v>
      </c>
      <c r="D1" s="108" t="s">
        <v>219</v>
      </c>
      <c r="E1" s="108" t="s">
        <v>220</v>
      </c>
      <c r="F1" s="108" t="s">
        <v>118</v>
      </c>
      <c r="G1" s="108" t="s">
        <v>81</v>
      </c>
      <c r="H1" s="108" t="s">
        <v>32</v>
      </c>
      <c r="I1" s="108" t="s">
        <v>221</v>
      </c>
      <c r="J1" s="108" t="s">
        <v>25</v>
      </c>
      <c r="K1" s="108" t="s">
        <v>222</v>
      </c>
      <c r="L1" s="108" t="s">
        <v>369</v>
      </c>
    </row>
    <row r="2" spans="1:12" x14ac:dyDescent="0.25">
      <c r="A2" s="115" t="s">
        <v>159</v>
      </c>
      <c r="B2" s="116"/>
      <c r="C2" s="116"/>
      <c r="D2" s="116"/>
      <c r="E2" s="116"/>
      <c r="F2" s="116"/>
      <c r="G2" s="116"/>
      <c r="H2" s="116"/>
      <c r="I2" s="116" t="s">
        <v>142</v>
      </c>
      <c r="J2" s="116"/>
      <c r="K2" s="116"/>
      <c r="L2" s="116"/>
    </row>
    <row r="3" spans="1:12" x14ac:dyDescent="0.25">
      <c r="A3" s="115" t="s">
        <v>161</v>
      </c>
      <c r="B3" s="116"/>
      <c r="C3" s="116"/>
      <c r="D3" s="116"/>
      <c r="E3" s="116"/>
      <c r="F3" s="116"/>
      <c r="G3" s="116"/>
      <c r="H3" s="116" t="s">
        <v>142</v>
      </c>
      <c r="I3" s="116" t="s">
        <v>142</v>
      </c>
      <c r="J3" s="116"/>
      <c r="K3" s="116"/>
      <c r="L3" s="116"/>
    </row>
    <row r="4" spans="1:12" x14ac:dyDescent="0.25">
      <c r="A4" s="115" t="s">
        <v>162</v>
      </c>
      <c r="B4" s="116" t="s">
        <v>142</v>
      </c>
      <c r="C4" s="116"/>
      <c r="D4" s="116" t="s">
        <v>142</v>
      </c>
      <c r="E4" s="116"/>
      <c r="F4" s="116"/>
      <c r="G4" s="116"/>
      <c r="H4" s="116"/>
      <c r="I4" s="116"/>
      <c r="J4" s="116"/>
      <c r="K4" s="116"/>
      <c r="L4" s="116"/>
    </row>
    <row r="5" spans="1:12" x14ac:dyDescent="0.25">
      <c r="A5" s="115" t="s">
        <v>163</v>
      </c>
      <c r="B5" s="116"/>
      <c r="C5" s="116" t="s">
        <v>142</v>
      </c>
      <c r="D5" s="116"/>
      <c r="E5" s="116"/>
      <c r="F5" s="116"/>
      <c r="G5" s="116"/>
      <c r="H5" s="116"/>
      <c r="I5" s="116"/>
      <c r="J5" s="116"/>
      <c r="K5" s="116"/>
      <c r="L5" s="116"/>
    </row>
    <row r="6" spans="1:12" x14ac:dyDescent="0.25">
      <c r="A6" s="115" t="s">
        <v>164</v>
      </c>
      <c r="B6" s="116"/>
      <c r="C6" s="116"/>
      <c r="D6" s="116"/>
      <c r="E6" s="116"/>
      <c r="F6" s="116"/>
      <c r="G6" s="116"/>
      <c r="H6" s="116"/>
      <c r="I6" s="116"/>
      <c r="J6" s="116" t="s">
        <v>142</v>
      </c>
      <c r="K6" s="116" t="s">
        <v>142</v>
      </c>
      <c r="L6" s="116"/>
    </row>
    <row r="7" spans="1:12" x14ac:dyDescent="0.25">
      <c r="A7" s="115" t="s">
        <v>165</v>
      </c>
      <c r="B7" s="116"/>
      <c r="C7" s="116" t="s">
        <v>142</v>
      </c>
      <c r="D7" s="116"/>
      <c r="E7" s="116"/>
      <c r="F7" s="116"/>
      <c r="G7" s="116"/>
      <c r="H7" s="116" t="s">
        <v>142</v>
      </c>
      <c r="I7" s="116"/>
      <c r="J7" s="116"/>
      <c r="K7" s="116"/>
      <c r="L7" s="116"/>
    </row>
    <row r="8" spans="1:12" x14ac:dyDescent="0.25">
      <c r="A8" s="115" t="s">
        <v>166</v>
      </c>
      <c r="B8" s="116"/>
      <c r="C8" s="116" t="s">
        <v>142</v>
      </c>
      <c r="D8" s="116"/>
      <c r="E8" s="116"/>
      <c r="F8" s="116"/>
      <c r="G8" s="116"/>
      <c r="H8" s="116" t="s">
        <v>142</v>
      </c>
      <c r="I8" s="116"/>
      <c r="J8" s="116"/>
      <c r="K8" s="116"/>
      <c r="L8" s="116"/>
    </row>
    <row r="9" spans="1:12" x14ac:dyDescent="0.25">
      <c r="A9" s="115" t="s">
        <v>167</v>
      </c>
      <c r="B9" s="116"/>
      <c r="C9" s="116" t="s">
        <v>142</v>
      </c>
      <c r="D9" s="116"/>
      <c r="E9" s="116"/>
      <c r="F9" s="116"/>
      <c r="G9" s="116"/>
      <c r="H9" s="116" t="s">
        <v>142</v>
      </c>
      <c r="I9" s="116"/>
      <c r="J9" s="116"/>
      <c r="K9" s="116"/>
      <c r="L9" s="116"/>
    </row>
    <row r="10" spans="1:12" x14ac:dyDescent="0.25">
      <c r="A10" s="115" t="s">
        <v>168</v>
      </c>
      <c r="B10" s="116"/>
      <c r="C10" s="116" t="s">
        <v>142</v>
      </c>
      <c r="D10" s="116"/>
      <c r="E10" s="116"/>
      <c r="F10" s="116"/>
      <c r="G10" s="116"/>
      <c r="H10" s="116"/>
      <c r="I10" s="116"/>
      <c r="J10" s="116"/>
      <c r="K10" s="116"/>
      <c r="L10" s="116"/>
    </row>
    <row r="11" spans="1:12" x14ac:dyDescent="0.25">
      <c r="A11" s="115" t="s">
        <v>169</v>
      </c>
      <c r="B11" s="116"/>
      <c r="C11" s="116" t="s">
        <v>142</v>
      </c>
      <c r="D11" s="116"/>
      <c r="E11" s="116"/>
      <c r="F11" s="116"/>
      <c r="G11" s="116"/>
      <c r="H11" s="116"/>
      <c r="I11" s="116"/>
      <c r="J11" s="116"/>
      <c r="K11" s="116"/>
      <c r="L11" s="116"/>
    </row>
    <row r="12" spans="1:12" x14ac:dyDescent="0.25">
      <c r="A12" s="115" t="s">
        <v>170</v>
      </c>
      <c r="B12" s="116"/>
      <c r="C12" s="116" t="s">
        <v>142</v>
      </c>
      <c r="D12" s="116"/>
      <c r="E12" s="116"/>
      <c r="F12" s="116"/>
      <c r="G12" s="116"/>
      <c r="H12" s="116"/>
      <c r="I12" s="116"/>
      <c r="J12" s="116"/>
      <c r="K12" s="116"/>
      <c r="L12" s="116"/>
    </row>
    <row r="13" spans="1:12" x14ac:dyDescent="0.25">
      <c r="A13" s="115" t="s">
        <v>171</v>
      </c>
      <c r="B13" s="116"/>
      <c r="C13" s="116" t="s">
        <v>142</v>
      </c>
      <c r="D13" s="116"/>
      <c r="E13" s="116"/>
      <c r="F13" s="116"/>
      <c r="G13" s="116"/>
      <c r="H13" s="116"/>
      <c r="I13" s="116"/>
      <c r="J13" s="116"/>
      <c r="K13" s="116"/>
      <c r="L13" s="116"/>
    </row>
    <row r="14" spans="1:12" x14ac:dyDescent="0.25">
      <c r="A14" s="117" t="s">
        <v>172</v>
      </c>
      <c r="B14" s="116"/>
      <c r="C14" s="116" t="s">
        <v>142</v>
      </c>
      <c r="D14" s="116"/>
      <c r="E14" s="116"/>
      <c r="F14" s="116"/>
      <c r="G14" s="116"/>
      <c r="H14" s="116"/>
      <c r="I14" s="116" t="s">
        <v>142</v>
      </c>
      <c r="J14" s="116"/>
      <c r="K14" s="116"/>
      <c r="L14" s="116"/>
    </row>
    <row r="15" spans="1:12" x14ac:dyDescent="0.25">
      <c r="A15" s="117" t="s">
        <v>173</v>
      </c>
      <c r="B15" s="116"/>
      <c r="C15" s="116" t="s">
        <v>142</v>
      </c>
      <c r="D15" s="116"/>
      <c r="E15" s="116"/>
      <c r="F15" s="116"/>
      <c r="G15" s="116"/>
      <c r="H15" s="116"/>
      <c r="I15" s="116" t="s">
        <v>142</v>
      </c>
      <c r="J15" s="116"/>
      <c r="K15" s="116"/>
      <c r="L15" s="116"/>
    </row>
    <row r="16" spans="1:12" x14ac:dyDescent="0.25">
      <c r="A16" s="115" t="s">
        <v>174</v>
      </c>
      <c r="B16" s="116"/>
      <c r="C16" s="116" t="s">
        <v>142</v>
      </c>
      <c r="D16" s="116"/>
      <c r="E16" s="116"/>
      <c r="F16" s="116"/>
      <c r="G16" s="116"/>
      <c r="H16" s="116" t="s">
        <v>142</v>
      </c>
      <c r="I16" s="116" t="s">
        <v>142</v>
      </c>
      <c r="J16" s="116"/>
      <c r="K16" s="116"/>
      <c r="L16" s="116"/>
    </row>
    <row r="17" spans="1:12" x14ac:dyDescent="0.25">
      <c r="A17" s="115" t="s">
        <v>175</v>
      </c>
      <c r="B17" s="116"/>
      <c r="C17" s="116" t="s">
        <v>142</v>
      </c>
      <c r="D17" s="116"/>
      <c r="E17" s="116"/>
      <c r="F17" s="116"/>
      <c r="G17" s="116"/>
      <c r="H17" s="116"/>
      <c r="I17" s="116"/>
      <c r="J17" s="116"/>
      <c r="K17" s="116"/>
      <c r="L17" s="116"/>
    </row>
    <row r="18" spans="1:12" x14ac:dyDescent="0.25">
      <c r="A18" s="115" t="s">
        <v>141</v>
      </c>
      <c r="B18" s="116" t="s">
        <v>142</v>
      </c>
      <c r="C18" s="116"/>
      <c r="D18" s="116"/>
      <c r="E18" s="116"/>
      <c r="F18" s="116" t="s">
        <v>142</v>
      </c>
      <c r="G18" s="116"/>
      <c r="H18" s="116"/>
      <c r="I18" s="116"/>
      <c r="J18" s="116"/>
      <c r="K18" s="116"/>
      <c r="L18" s="116"/>
    </row>
    <row r="19" spans="1:12" x14ac:dyDescent="0.25">
      <c r="A19" s="115" t="s">
        <v>144</v>
      </c>
      <c r="B19" s="116" t="s">
        <v>142</v>
      </c>
      <c r="C19" s="116"/>
      <c r="D19" s="116"/>
      <c r="E19" s="116"/>
      <c r="F19" s="116" t="s">
        <v>142</v>
      </c>
      <c r="G19" s="116"/>
      <c r="H19" s="116"/>
      <c r="I19" s="116"/>
      <c r="J19" s="116"/>
      <c r="K19" s="116"/>
      <c r="L19" s="116"/>
    </row>
    <row r="20" spans="1:12" x14ac:dyDescent="0.25">
      <c r="A20" s="115" t="s">
        <v>145</v>
      </c>
      <c r="B20" s="116" t="s">
        <v>142</v>
      </c>
      <c r="C20" s="116"/>
      <c r="D20" s="116"/>
      <c r="E20" s="116"/>
      <c r="F20" s="116" t="s">
        <v>142</v>
      </c>
      <c r="G20" s="116"/>
      <c r="H20" s="116"/>
      <c r="I20" s="116"/>
      <c r="J20" s="116"/>
      <c r="K20" s="116"/>
      <c r="L20" s="116"/>
    </row>
    <row r="21" spans="1:12" x14ac:dyDescent="0.25">
      <c r="A21" s="115" t="s">
        <v>176</v>
      </c>
      <c r="B21" s="116"/>
      <c r="C21" s="116"/>
      <c r="D21" s="116"/>
      <c r="E21" s="116"/>
      <c r="F21" s="116"/>
      <c r="G21" s="116"/>
      <c r="H21" s="116" t="s">
        <v>142</v>
      </c>
      <c r="I21" s="116" t="s">
        <v>142</v>
      </c>
      <c r="J21" s="116"/>
      <c r="K21" s="116"/>
      <c r="L21" s="116"/>
    </row>
    <row r="22" spans="1:12" x14ac:dyDescent="0.25">
      <c r="A22" s="115" t="s">
        <v>177</v>
      </c>
      <c r="B22" s="116" t="s">
        <v>142</v>
      </c>
      <c r="C22" s="116" t="s">
        <v>142</v>
      </c>
      <c r="D22" s="116" t="s">
        <v>142</v>
      </c>
      <c r="E22" s="116"/>
      <c r="F22" s="116"/>
      <c r="G22" s="116"/>
      <c r="H22" s="116"/>
      <c r="I22" s="116"/>
      <c r="J22" s="116"/>
      <c r="K22" s="116"/>
      <c r="L22" s="116"/>
    </row>
    <row r="23" spans="1:12" x14ac:dyDescent="0.25">
      <c r="A23" s="115" t="s">
        <v>178</v>
      </c>
      <c r="B23" s="116"/>
      <c r="C23" s="116" t="s">
        <v>142</v>
      </c>
      <c r="D23" s="116"/>
      <c r="E23" s="116"/>
      <c r="F23" s="116"/>
      <c r="G23" s="116"/>
      <c r="H23" s="116"/>
      <c r="I23" s="116" t="s">
        <v>142</v>
      </c>
      <c r="J23" s="116"/>
      <c r="K23" s="116"/>
      <c r="L23" s="116"/>
    </row>
    <row r="24" spans="1:12" x14ac:dyDescent="0.25">
      <c r="A24" s="115" t="s">
        <v>179</v>
      </c>
      <c r="B24" s="116"/>
      <c r="C24" s="116"/>
      <c r="D24" s="116"/>
      <c r="E24" s="116"/>
      <c r="F24" s="116"/>
      <c r="G24" s="116"/>
      <c r="H24" s="116" t="s">
        <v>142</v>
      </c>
      <c r="I24" s="116"/>
      <c r="J24" s="116"/>
      <c r="K24" s="116"/>
      <c r="L24" s="116"/>
    </row>
    <row r="25" spans="1:12" x14ac:dyDescent="0.25">
      <c r="A25" s="115" t="s">
        <v>180</v>
      </c>
      <c r="B25" s="116"/>
      <c r="C25" s="116"/>
      <c r="D25" s="116"/>
      <c r="E25" s="116"/>
      <c r="F25" s="116"/>
      <c r="G25" s="116"/>
      <c r="H25" s="116" t="s">
        <v>142</v>
      </c>
      <c r="I25" s="116"/>
      <c r="J25" s="116"/>
      <c r="K25" s="116"/>
      <c r="L25" s="116"/>
    </row>
    <row r="26" spans="1:12" x14ac:dyDescent="0.25">
      <c r="A26" s="115" t="s">
        <v>181</v>
      </c>
      <c r="B26" s="116"/>
      <c r="C26" s="116" t="s">
        <v>142</v>
      </c>
      <c r="D26" s="116"/>
      <c r="E26" s="116"/>
      <c r="F26" s="116"/>
      <c r="G26" s="116"/>
      <c r="H26" s="116"/>
      <c r="I26" s="116"/>
      <c r="J26" s="116"/>
      <c r="K26" s="116"/>
      <c r="L26" s="116"/>
    </row>
    <row r="27" spans="1:12" x14ac:dyDescent="0.25">
      <c r="A27" s="115" t="s">
        <v>182</v>
      </c>
      <c r="B27" s="116"/>
      <c r="C27" s="116" t="s">
        <v>142</v>
      </c>
      <c r="D27" s="116"/>
      <c r="E27" s="116"/>
      <c r="F27" s="116"/>
      <c r="G27" s="116"/>
      <c r="H27" s="116"/>
      <c r="I27" s="116" t="s">
        <v>142</v>
      </c>
      <c r="J27" s="116"/>
      <c r="K27" s="116"/>
      <c r="L27" s="116" t="s">
        <v>142</v>
      </c>
    </row>
    <row r="28" spans="1:12" x14ac:dyDescent="0.25">
      <c r="A28" s="115" t="s">
        <v>183</v>
      </c>
      <c r="B28" s="116"/>
      <c r="C28" s="116"/>
      <c r="D28" s="116"/>
      <c r="E28" s="116"/>
      <c r="F28" s="116"/>
      <c r="G28" s="116"/>
      <c r="H28" s="116" t="s">
        <v>142</v>
      </c>
      <c r="I28" s="116"/>
      <c r="J28" s="116"/>
      <c r="K28" s="116"/>
      <c r="L28" s="116"/>
    </row>
    <row r="29" spans="1:12" x14ac:dyDescent="0.25">
      <c r="A29" s="115" t="s">
        <v>184</v>
      </c>
      <c r="B29" s="116" t="s">
        <v>142</v>
      </c>
      <c r="C29" s="116"/>
      <c r="D29" s="116" t="s">
        <v>142</v>
      </c>
      <c r="E29" s="116"/>
      <c r="F29" s="116"/>
      <c r="G29" s="116"/>
      <c r="H29" s="116"/>
      <c r="I29" s="116"/>
      <c r="J29" s="116"/>
      <c r="K29" s="116"/>
      <c r="L29" s="116"/>
    </row>
    <row r="30" spans="1:12" x14ac:dyDescent="0.25">
      <c r="A30" s="115" t="s">
        <v>185</v>
      </c>
      <c r="B30" s="116" t="s">
        <v>142</v>
      </c>
      <c r="C30" s="116" t="s">
        <v>142</v>
      </c>
      <c r="D30" s="116" t="s">
        <v>142</v>
      </c>
      <c r="E30" s="116"/>
      <c r="F30" s="116"/>
      <c r="G30" s="116"/>
      <c r="H30" s="116"/>
      <c r="I30" s="116"/>
      <c r="J30" s="116"/>
      <c r="K30" s="116"/>
      <c r="L30" s="116"/>
    </row>
    <row r="31" spans="1:12" x14ac:dyDescent="0.25">
      <c r="A31" s="115" t="s">
        <v>150</v>
      </c>
      <c r="B31" s="116"/>
      <c r="C31" s="116"/>
      <c r="D31" s="116"/>
      <c r="E31" s="116" t="s">
        <v>142</v>
      </c>
      <c r="F31" s="116"/>
      <c r="G31" s="116"/>
      <c r="H31" s="116"/>
      <c r="I31" s="116"/>
      <c r="J31" s="116"/>
      <c r="K31" s="116"/>
      <c r="L31" s="116"/>
    </row>
    <row r="32" spans="1:12" x14ac:dyDescent="0.25">
      <c r="A32" s="115" t="s">
        <v>186</v>
      </c>
      <c r="B32" s="116"/>
      <c r="C32" s="116"/>
      <c r="D32" s="116"/>
      <c r="E32" s="116"/>
      <c r="F32" s="116"/>
      <c r="G32" s="116" t="s">
        <v>142</v>
      </c>
      <c r="H32" s="116" t="s">
        <v>142</v>
      </c>
      <c r="I32" s="116"/>
      <c r="J32" s="116"/>
      <c r="K32" s="116"/>
      <c r="L32" s="116"/>
    </row>
    <row r="33" spans="1:12" x14ac:dyDescent="0.25">
      <c r="A33" s="115" t="s">
        <v>187</v>
      </c>
      <c r="B33" s="116"/>
      <c r="C33" s="116"/>
      <c r="D33" s="116"/>
      <c r="E33" s="116"/>
      <c r="F33" s="116"/>
      <c r="G33" s="116" t="s">
        <v>142</v>
      </c>
      <c r="H33" s="116" t="s">
        <v>142</v>
      </c>
      <c r="I33" s="116"/>
      <c r="J33" s="116"/>
      <c r="K33" s="116"/>
      <c r="L33" s="116"/>
    </row>
    <row r="34" spans="1:12" x14ac:dyDescent="0.25">
      <c r="A34" s="115" t="s">
        <v>188</v>
      </c>
      <c r="B34" s="116"/>
      <c r="C34" s="116"/>
      <c r="D34" s="116"/>
      <c r="E34" s="116"/>
      <c r="F34" s="116"/>
      <c r="G34" s="116" t="s">
        <v>142</v>
      </c>
      <c r="H34" s="116" t="s">
        <v>142</v>
      </c>
      <c r="I34" s="116"/>
      <c r="J34" s="116"/>
      <c r="K34" s="116"/>
      <c r="L34" s="116"/>
    </row>
    <row r="35" spans="1:12" x14ac:dyDescent="0.25">
      <c r="A35" s="115" t="s">
        <v>189</v>
      </c>
      <c r="B35" s="116"/>
      <c r="C35" s="116"/>
      <c r="D35" s="116"/>
      <c r="E35" s="116"/>
      <c r="F35" s="116"/>
      <c r="G35" s="116" t="s">
        <v>142</v>
      </c>
      <c r="H35" s="116" t="s">
        <v>142</v>
      </c>
      <c r="I35" s="116"/>
      <c r="J35" s="116"/>
      <c r="K35" s="116"/>
      <c r="L35" s="116"/>
    </row>
    <row r="36" spans="1:12" x14ac:dyDescent="0.25">
      <c r="A36" s="115" t="s">
        <v>190</v>
      </c>
      <c r="B36" s="116"/>
      <c r="C36" s="116"/>
      <c r="D36" s="116"/>
      <c r="E36" s="116"/>
      <c r="F36" s="116"/>
      <c r="G36" s="116" t="s">
        <v>142</v>
      </c>
      <c r="H36" s="116" t="s">
        <v>142</v>
      </c>
      <c r="I36" s="116"/>
      <c r="J36" s="116"/>
      <c r="K36" s="116"/>
      <c r="L36" s="116"/>
    </row>
    <row r="37" spans="1:12" x14ac:dyDescent="0.25">
      <c r="A37" s="115" t="s">
        <v>191</v>
      </c>
      <c r="B37" s="116"/>
      <c r="C37" s="116"/>
      <c r="D37" s="116"/>
      <c r="E37" s="116"/>
      <c r="F37" s="116"/>
      <c r="G37" s="116" t="s">
        <v>142</v>
      </c>
      <c r="H37" s="116" t="s">
        <v>142</v>
      </c>
      <c r="I37" s="116"/>
      <c r="J37" s="116"/>
      <c r="K37" s="116"/>
      <c r="L37" s="116"/>
    </row>
    <row r="38" spans="1:12" x14ac:dyDescent="0.25">
      <c r="A38" s="115" t="s">
        <v>192</v>
      </c>
      <c r="B38" s="116"/>
      <c r="C38" s="116"/>
      <c r="D38" s="116"/>
      <c r="E38" s="116"/>
      <c r="F38" s="116"/>
      <c r="G38" s="116"/>
      <c r="H38" s="116" t="s">
        <v>142</v>
      </c>
      <c r="I38" s="116"/>
      <c r="J38" s="116"/>
      <c r="K38" s="116"/>
      <c r="L38" s="116"/>
    </row>
    <row r="39" spans="1:12" x14ac:dyDescent="0.25">
      <c r="A39" s="115" t="s">
        <v>193</v>
      </c>
      <c r="B39" s="116" t="s">
        <v>142</v>
      </c>
      <c r="C39" s="116"/>
      <c r="D39" s="116"/>
      <c r="E39" s="116"/>
      <c r="F39" s="116"/>
      <c r="G39" s="116" t="s">
        <v>142</v>
      </c>
      <c r="H39" s="116" t="s">
        <v>142</v>
      </c>
      <c r="I39" s="116"/>
      <c r="J39" s="116"/>
      <c r="K39" s="116"/>
      <c r="L39" s="116"/>
    </row>
  </sheetData>
  <sheetProtection algorithmName="SHA-512" hashValue="PpWpoVdW19iDLvJ4e413CflgKwgDbvZhfHAZSGUGkQQ6+V9HnAOWg+p+gaHwieH6gthkRXdIc9tFKvP2sDftrA==" saltValue="6DJdExNkvnNmcHBrJ/VGBQ==" spinCount="100000" sheet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H15" sqref="H15"/>
    </sheetView>
  </sheetViews>
  <sheetFormatPr defaultColWidth="12.7265625" defaultRowHeight="12.5" x14ac:dyDescent="0.25"/>
  <cols>
    <col min="1" max="1" width="16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223</v>
      </c>
      <c r="B1" s="108" t="s">
        <v>218</v>
      </c>
      <c r="C1" s="108" t="s">
        <v>111</v>
      </c>
      <c r="D1" s="108" t="s">
        <v>219</v>
      </c>
      <c r="E1" s="108" t="s">
        <v>220</v>
      </c>
      <c r="F1" s="108" t="s">
        <v>118</v>
      </c>
      <c r="G1" s="108" t="s">
        <v>81</v>
      </c>
      <c r="H1" s="108" t="s">
        <v>32</v>
      </c>
      <c r="I1" s="108" t="s">
        <v>221</v>
      </c>
      <c r="J1" s="108" t="s">
        <v>25</v>
      </c>
      <c r="K1" s="108" t="s">
        <v>222</v>
      </c>
      <c r="L1" s="108" t="s">
        <v>369</v>
      </c>
    </row>
    <row r="2" spans="1:12" x14ac:dyDescent="0.25">
      <c r="A2" s="108" t="s">
        <v>67</v>
      </c>
      <c r="B2" s="116" t="s">
        <v>142</v>
      </c>
      <c r="C2" s="116" t="s">
        <v>142</v>
      </c>
      <c r="D2" s="116" t="s">
        <v>142</v>
      </c>
      <c r="E2" s="116" t="s">
        <v>142</v>
      </c>
      <c r="F2" s="116" t="s">
        <v>142</v>
      </c>
      <c r="G2" s="116" t="s">
        <v>142</v>
      </c>
      <c r="H2" s="116" t="s">
        <v>142</v>
      </c>
      <c r="I2" s="116"/>
      <c r="J2" s="116"/>
      <c r="K2" s="116"/>
      <c r="L2" s="116"/>
    </row>
    <row r="3" spans="1:12" x14ac:dyDescent="0.25">
      <c r="A3" s="108" t="s">
        <v>77</v>
      </c>
      <c r="B3" s="116" t="s">
        <v>142</v>
      </c>
      <c r="C3" s="116" t="s">
        <v>142</v>
      </c>
      <c r="D3" s="116" t="s">
        <v>142</v>
      </c>
      <c r="E3" s="116" t="s">
        <v>142</v>
      </c>
      <c r="F3" s="116" t="s">
        <v>142</v>
      </c>
      <c r="G3" s="116" t="s">
        <v>142</v>
      </c>
      <c r="H3" s="116" t="s">
        <v>142</v>
      </c>
      <c r="I3" s="116"/>
      <c r="J3" s="116"/>
      <c r="K3" s="116"/>
      <c r="L3" s="116"/>
    </row>
    <row r="4" spans="1:12" x14ac:dyDescent="0.25">
      <c r="A4" s="108" t="s">
        <v>78</v>
      </c>
      <c r="B4" s="116" t="s">
        <v>142</v>
      </c>
      <c r="C4" s="116" t="s">
        <v>142</v>
      </c>
      <c r="D4" s="116" t="s">
        <v>142</v>
      </c>
      <c r="E4" s="116" t="s">
        <v>142</v>
      </c>
      <c r="F4" s="116" t="s">
        <v>142</v>
      </c>
      <c r="G4" s="116" t="s">
        <v>142</v>
      </c>
      <c r="H4" s="116" t="s">
        <v>142</v>
      </c>
      <c r="I4" s="116"/>
      <c r="J4" s="116"/>
      <c r="K4" s="116"/>
      <c r="L4" s="116"/>
    </row>
    <row r="5" spans="1:12" x14ac:dyDescent="0.25">
      <c r="A5" s="108" t="s">
        <v>79</v>
      </c>
      <c r="B5" s="116" t="s">
        <v>142</v>
      </c>
      <c r="C5" s="116" t="s">
        <v>142</v>
      </c>
      <c r="D5" s="116" t="s">
        <v>142</v>
      </c>
      <c r="E5" s="116" t="s">
        <v>142</v>
      </c>
      <c r="F5" s="116" t="s">
        <v>142</v>
      </c>
      <c r="G5" s="116" t="s">
        <v>142</v>
      </c>
      <c r="H5" s="116" t="s">
        <v>142</v>
      </c>
      <c r="I5" s="116"/>
      <c r="J5" s="116"/>
      <c r="K5" s="116"/>
      <c r="L5" s="116"/>
    </row>
    <row r="6" spans="1:12" x14ac:dyDescent="0.25">
      <c r="A6" s="108" t="s">
        <v>80</v>
      </c>
      <c r="B6" s="116" t="s">
        <v>142</v>
      </c>
      <c r="C6" s="116" t="s">
        <v>142</v>
      </c>
      <c r="D6" s="116" t="s">
        <v>142</v>
      </c>
      <c r="E6" s="116" t="s">
        <v>142</v>
      </c>
      <c r="F6" s="116" t="s">
        <v>142</v>
      </c>
      <c r="G6" s="116" t="s">
        <v>142</v>
      </c>
      <c r="H6" s="116" t="s">
        <v>142</v>
      </c>
      <c r="I6" s="116"/>
      <c r="J6" s="116"/>
      <c r="K6" s="116"/>
      <c r="L6" s="116"/>
    </row>
    <row r="7" spans="1:12" x14ac:dyDescent="0.25">
      <c r="A7" s="108" t="s">
        <v>112</v>
      </c>
      <c r="B7" s="116"/>
      <c r="C7" s="116" t="s">
        <v>142</v>
      </c>
      <c r="D7" s="116"/>
      <c r="E7" s="116"/>
      <c r="F7" s="116"/>
      <c r="G7" s="116"/>
      <c r="H7" s="116" t="s">
        <v>142</v>
      </c>
      <c r="I7" s="116" t="s">
        <v>142</v>
      </c>
      <c r="J7" s="116"/>
      <c r="K7" s="116"/>
      <c r="L7" s="116" t="s">
        <v>142</v>
      </c>
    </row>
    <row r="8" spans="1:12" x14ac:dyDescent="0.25">
      <c r="A8" s="108" t="s">
        <v>113</v>
      </c>
      <c r="B8" s="116"/>
      <c r="C8" s="116" t="s">
        <v>142</v>
      </c>
      <c r="D8" s="116"/>
      <c r="E8" s="116"/>
      <c r="F8" s="116"/>
      <c r="G8" s="116"/>
      <c r="H8" s="116" t="s">
        <v>142</v>
      </c>
      <c r="I8" s="116" t="s">
        <v>142</v>
      </c>
      <c r="J8" s="116"/>
      <c r="K8" s="116"/>
      <c r="L8" s="116" t="s">
        <v>142</v>
      </c>
    </row>
    <row r="9" spans="1:12" x14ac:dyDescent="0.25">
      <c r="A9" s="108" t="s">
        <v>114</v>
      </c>
      <c r="B9" s="116"/>
      <c r="C9" s="116" t="s">
        <v>142</v>
      </c>
      <c r="D9" s="116"/>
      <c r="E9" s="116"/>
      <c r="F9" s="116"/>
      <c r="G9" s="116"/>
      <c r="H9" s="116" t="s">
        <v>142</v>
      </c>
      <c r="I9" s="116" t="s">
        <v>142</v>
      </c>
      <c r="J9" s="116"/>
      <c r="K9" s="116"/>
      <c r="L9" s="116" t="s">
        <v>142</v>
      </c>
    </row>
    <row r="10" spans="1:12" x14ac:dyDescent="0.25">
      <c r="A10" s="108" t="s">
        <v>115</v>
      </c>
      <c r="B10" s="116"/>
      <c r="C10" s="116" t="s">
        <v>142</v>
      </c>
      <c r="D10" s="116"/>
      <c r="E10" s="116"/>
      <c r="F10" s="116"/>
      <c r="G10" s="116"/>
      <c r="H10" s="116" t="s">
        <v>142</v>
      </c>
      <c r="I10" s="116" t="s">
        <v>142</v>
      </c>
      <c r="J10" s="116"/>
      <c r="K10" s="116"/>
      <c r="L10" s="116" t="s">
        <v>142</v>
      </c>
    </row>
    <row r="11" spans="1:12" x14ac:dyDescent="0.25">
      <c r="A11" s="108" t="s">
        <v>58</v>
      </c>
      <c r="B11" s="116"/>
      <c r="C11" s="116" t="s">
        <v>142</v>
      </c>
      <c r="D11" s="116"/>
      <c r="E11" s="116"/>
      <c r="F11" s="116"/>
      <c r="G11" s="116"/>
      <c r="H11" s="116"/>
      <c r="I11" s="116"/>
      <c r="J11" s="116" t="s">
        <v>142</v>
      </c>
      <c r="K11" s="116" t="s">
        <v>142</v>
      </c>
      <c r="L11" s="116"/>
    </row>
    <row r="12" spans="1:12" x14ac:dyDescent="0.25">
      <c r="A12" s="108" t="s">
        <v>59</v>
      </c>
      <c r="B12" s="116"/>
      <c r="C12" s="116" t="s">
        <v>142</v>
      </c>
      <c r="D12" s="116"/>
      <c r="E12" s="116"/>
      <c r="F12" s="116"/>
      <c r="G12" s="116"/>
      <c r="H12" s="116"/>
      <c r="I12" s="116"/>
      <c r="J12" s="116"/>
      <c r="K12" s="116" t="s">
        <v>142</v>
      </c>
      <c r="L12" s="116"/>
    </row>
    <row r="13" spans="1:12" x14ac:dyDescent="0.25">
      <c r="A13" s="108" t="s">
        <v>60</v>
      </c>
      <c r="B13" s="116"/>
      <c r="C13" s="116" t="s">
        <v>142</v>
      </c>
      <c r="D13" s="116"/>
      <c r="E13" s="116"/>
      <c r="F13" s="116"/>
      <c r="G13" s="116"/>
      <c r="H13" s="116"/>
      <c r="I13" s="116"/>
      <c r="J13" s="116"/>
      <c r="K13" s="116" t="s">
        <v>142</v>
      </c>
      <c r="L13" s="116"/>
    </row>
    <row r="14" spans="1:12" x14ac:dyDescent="0.25">
      <c r="A14" s="108" t="s">
        <v>61</v>
      </c>
      <c r="B14" s="116"/>
      <c r="C14" s="116" t="s">
        <v>142</v>
      </c>
      <c r="D14" s="116"/>
      <c r="E14" s="116"/>
      <c r="F14" s="116"/>
      <c r="G14" s="116"/>
      <c r="H14" s="116"/>
      <c r="I14" s="116"/>
      <c r="J14" s="116"/>
      <c r="K14" s="116" t="s">
        <v>142</v>
      </c>
      <c r="L14" s="116"/>
    </row>
  </sheetData>
  <sheetProtection algorithmName="SHA-512" hashValue="f7+GSWgBQp+zgIaGbRM8MuvAIXAsNljN3lrWAwu/eaytrp/6A4IYhPB4cLjzfMvTXu/5ocIYRO7yO0TVFGYCnw==" saltValue="wnJyf+RW4qQkik6uRZECIg==" spinCount="100000" sheet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224</v>
      </c>
      <c r="B1" s="4" t="s">
        <v>137</v>
      </c>
      <c r="C1" s="4" t="s">
        <v>152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10" ht="13" x14ac:dyDescent="0.3">
      <c r="A2" s="4" t="s">
        <v>225</v>
      </c>
      <c r="B2" s="125" t="s">
        <v>90</v>
      </c>
      <c r="C2" s="8" t="s">
        <v>138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6"/>
      <c r="C3" s="8" t="s">
        <v>139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6"/>
      <c r="C4" s="8" t="s">
        <v>140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5" t="s">
        <v>67</v>
      </c>
      <c r="C5" s="8" t="s">
        <v>138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6"/>
      <c r="C6" s="8" t="s">
        <v>139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6"/>
      <c r="C7" s="8" t="s">
        <v>140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5" t="s">
        <v>77</v>
      </c>
      <c r="C8" s="8" t="s">
        <v>138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6"/>
      <c r="C9" s="8" t="s">
        <v>139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6"/>
      <c r="C10" s="8" t="s">
        <v>140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5" t="s">
        <v>78</v>
      </c>
      <c r="C11" s="8" t="s">
        <v>138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6"/>
      <c r="C12" s="8" t="s">
        <v>139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6"/>
      <c r="C13" s="8" t="s">
        <v>140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5" t="s">
        <v>79</v>
      </c>
      <c r="C14" s="8" t="s">
        <v>138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6"/>
      <c r="C15" s="8" t="s">
        <v>139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6"/>
      <c r="C16" s="8" t="s">
        <v>140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143</v>
      </c>
      <c r="C17" s="8" t="s">
        <v>140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226</v>
      </c>
      <c r="B19" s="125" t="s">
        <v>90</v>
      </c>
      <c r="C19" s="8" t="s">
        <v>138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6"/>
      <c r="C20" s="8" t="s">
        <v>139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6"/>
      <c r="C21" s="8" t="s">
        <v>140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5" t="s">
        <v>67</v>
      </c>
      <c r="C22" s="8" t="s">
        <v>138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6"/>
      <c r="C23" s="8" t="s">
        <v>139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6"/>
      <c r="C24" s="8" t="s">
        <v>140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5" t="s">
        <v>77</v>
      </c>
      <c r="C25" s="8" t="s">
        <v>138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6"/>
      <c r="C26" s="8" t="s">
        <v>139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6"/>
      <c r="C27" s="8" t="s">
        <v>140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5" t="s">
        <v>78</v>
      </c>
      <c r="C28" s="8" t="s">
        <v>138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6"/>
      <c r="C29" s="8" t="s">
        <v>139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6"/>
      <c r="C30" s="8" t="s">
        <v>140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5" t="s">
        <v>79</v>
      </c>
      <c r="C31" s="8" t="s">
        <v>138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6"/>
      <c r="C32" s="8" t="s">
        <v>139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6"/>
      <c r="C33" s="8" t="s">
        <v>140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143</v>
      </c>
      <c r="C34" s="8" t="s">
        <v>140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227</v>
      </c>
      <c r="B36" s="125" t="s">
        <v>90</v>
      </c>
      <c r="C36" s="8" t="s">
        <v>138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6"/>
      <c r="C37" s="8" t="s">
        <v>139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6"/>
      <c r="C38" s="8" t="s">
        <v>140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5" t="s">
        <v>67</v>
      </c>
      <c r="C39" s="8" t="s">
        <v>138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6"/>
      <c r="C40" s="8" t="s">
        <v>139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6"/>
      <c r="C41" s="8" t="s">
        <v>140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5" t="s">
        <v>77</v>
      </c>
      <c r="C42" s="8" t="s">
        <v>138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6"/>
      <c r="C43" s="8" t="s">
        <v>139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6"/>
      <c r="C44" s="8" t="s">
        <v>140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5" t="s">
        <v>78</v>
      </c>
      <c r="C45" s="8" t="s">
        <v>138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6"/>
      <c r="C46" s="8" t="s">
        <v>139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6"/>
      <c r="C47" s="8" t="s">
        <v>140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5" t="s">
        <v>79</v>
      </c>
      <c r="C48" s="8" t="s">
        <v>138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6"/>
      <c r="C49" s="8" t="s">
        <v>139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6"/>
      <c r="C50" s="8" t="s">
        <v>140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143</v>
      </c>
      <c r="C51" s="8" t="s">
        <v>140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228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224</v>
      </c>
      <c r="B54" s="4" t="s">
        <v>137</v>
      </c>
      <c r="C54" s="4" t="s">
        <v>152</v>
      </c>
      <c r="D54" s="4" t="s">
        <v>67</v>
      </c>
      <c r="E54" s="4" t="s">
        <v>77</v>
      </c>
      <c r="F54" s="4" t="s">
        <v>78</v>
      </c>
      <c r="G54" s="4" t="s">
        <v>79</v>
      </c>
      <c r="H54" s="4" t="s">
        <v>80</v>
      </c>
    </row>
    <row r="55" spans="1:8" ht="13" x14ac:dyDescent="0.3">
      <c r="A55" s="4" t="s">
        <v>229</v>
      </c>
      <c r="B55" s="125" t="s">
        <v>90</v>
      </c>
      <c r="C55" s="8" t="s">
        <v>138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6"/>
      <c r="C56" s="8" t="s">
        <v>139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6"/>
      <c r="C57" s="8" t="s">
        <v>140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5" t="s">
        <v>67</v>
      </c>
      <c r="C58" s="8" t="s">
        <v>138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6"/>
      <c r="C59" s="8" t="s">
        <v>139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6"/>
      <c r="C60" s="8" t="s">
        <v>140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5" t="s">
        <v>77</v>
      </c>
      <c r="C61" s="8" t="s">
        <v>138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6"/>
      <c r="C62" s="8" t="s">
        <v>139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6"/>
      <c r="C63" s="8" t="s">
        <v>140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5" t="s">
        <v>78</v>
      </c>
      <c r="C64" s="8" t="s">
        <v>138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6"/>
      <c r="C65" s="8" t="s">
        <v>139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6"/>
      <c r="C66" s="8" t="s">
        <v>140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5" t="s">
        <v>79</v>
      </c>
      <c r="C67" s="8" t="s">
        <v>138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6"/>
      <c r="C68" s="8" t="s">
        <v>139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6"/>
      <c r="C69" s="8" t="s">
        <v>140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143</v>
      </c>
      <c r="C70" s="8" t="s">
        <v>140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230</v>
      </c>
      <c r="B72" s="125" t="s">
        <v>90</v>
      </c>
      <c r="C72" s="8" t="s">
        <v>138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6"/>
      <c r="C73" s="8" t="s">
        <v>139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6"/>
      <c r="C74" s="8" t="s">
        <v>140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5" t="s">
        <v>67</v>
      </c>
      <c r="C75" s="8" t="s">
        <v>138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6"/>
      <c r="C76" s="8" t="s">
        <v>139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6"/>
      <c r="C77" s="8" t="s">
        <v>140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5" t="s">
        <v>77</v>
      </c>
      <c r="C78" s="8" t="s">
        <v>138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6"/>
      <c r="C79" s="8" t="s">
        <v>139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6"/>
      <c r="C80" s="8" t="s">
        <v>140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5" t="s">
        <v>78</v>
      </c>
      <c r="C81" s="8" t="s">
        <v>138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6"/>
      <c r="C82" s="8" t="s">
        <v>139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6"/>
      <c r="C83" s="8" t="s">
        <v>140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5" t="s">
        <v>79</v>
      </c>
      <c r="C84" s="8" t="s">
        <v>138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6"/>
      <c r="C85" s="8" t="s">
        <v>139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6"/>
      <c r="C86" s="8" t="s">
        <v>140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143</v>
      </c>
      <c r="C87" s="8" t="s">
        <v>140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231</v>
      </c>
      <c r="B89" s="125" t="s">
        <v>90</v>
      </c>
      <c r="C89" s="8" t="s">
        <v>138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6"/>
      <c r="C90" s="8" t="s">
        <v>139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6"/>
      <c r="C91" s="8" t="s">
        <v>140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5" t="s">
        <v>67</v>
      </c>
      <c r="C92" s="8" t="s">
        <v>138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6"/>
      <c r="C93" s="8" t="s">
        <v>139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6"/>
      <c r="C94" s="8" t="s">
        <v>140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5" t="s">
        <v>77</v>
      </c>
      <c r="C95" s="8" t="s">
        <v>138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6"/>
      <c r="C96" s="8" t="s">
        <v>139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6"/>
      <c r="C97" s="8" t="s">
        <v>140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5" t="s">
        <v>78</v>
      </c>
      <c r="C98" s="8" t="s">
        <v>138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6"/>
      <c r="C99" s="8" t="s">
        <v>139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6"/>
      <c r="C100" s="8" t="s">
        <v>140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5" t="s">
        <v>79</v>
      </c>
      <c r="C101" s="8" t="s">
        <v>138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6"/>
      <c r="C102" s="8" t="s">
        <v>139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6"/>
      <c r="C103" s="8" t="s">
        <v>140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143</v>
      </c>
      <c r="C104" s="8" t="s">
        <v>140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232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224</v>
      </c>
      <c r="B107" s="4" t="s">
        <v>137</v>
      </c>
      <c r="C107" s="4" t="s">
        <v>152</v>
      </c>
      <c r="D107" s="4" t="s">
        <v>67</v>
      </c>
      <c r="E107" s="4" t="s">
        <v>77</v>
      </c>
      <c r="F107" s="4" t="s">
        <v>78</v>
      </c>
      <c r="G107" s="4" t="s">
        <v>79</v>
      </c>
      <c r="H107" s="4" t="s">
        <v>80</v>
      </c>
    </row>
    <row r="108" spans="1:8" ht="13" x14ac:dyDescent="0.3">
      <c r="A108" s="4" t="s">
        <v>233</v>
      </c>
      <c r="B108" s="125" t="s">
        <v>90</v>
      </c>
      <c r="C108" s="8" t="s">
        <v>138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6"/>
      <c r="C109" s="8" t="s">
        <v>139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6"/>
      <c r="C110" s="8" t="s">
        <v>140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5" t="s">
        <v>67</v>
      </c>
      <c r="C111" s="8" t="s">
        <v>138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6"/>
      <c r="C112" s="8" t="s">
        <v>139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6"/>
      <c r="C113" s="8" t="s">
        <v>140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5" t="s">
        <v>77</v>
      </c>
      <c r="C114" s="8" t="s">
        <v>138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6"/>
      <c r="C115" s="8" t="s">
        <v>139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6"/>
      <c r="C116" s="8" t="s">
        <v>140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5" t="s">
        <v>78</v>
      </c>
      <c r="C117" s="8" t="s">
        <v>138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6"/>
      <c r="C118" s="8" t="s">
        <v>139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6"/>
      <c r="C119" s="8" t="s">
        <v>140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5" t="s">
        <v>79</v>
      </c>
      <c r="C120" s="8" t="s">
        <v>138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6"/>
      <c r="C121" s="8" t="s">
        <v>139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6"/>
      <c r="C122" s="8" t="s">
        <v>140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143</v>
      </c>
      <c r="C123" s="8" t="s">
        <v>140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234</v>
      </c>
      <c r="B125" s="125" t="s">
        <v>90</v>
      </c>
      <c r="C125" s="8" t="s">
        <v>138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6"/>
      <c r="C126" s="8" t="s">
        <v>139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6"/>
      <c r="C127" s="8" t="s">
        <v>140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5" t="s">
        <v>67</v>
      </c>
      <c r="C128" s="8" t="s">
        <v>138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6"/>
      <c r="C129" s="8" t="s">
        <v>139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6"/>
      <c r="C130" s="8" t="s">
        <v>140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5" t="s">
        <v>77</v>
      </c>
      <c r="C131" s="8" t="s">
        <v>138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6"/>
      <c r="C132" s="8" t="s">
        <v>139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6"/>
      <c r="C133" s="8" t="s">
        <v>140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5" t="s">
        <v>78</v>
      </c>
      <c r="C134" s="8" t="s">
        <v>138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6"/>
      <c r="C135" s="8" t="s">
        <v>139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6"/>
      <c r="C136" s="8" t="s">
        <v>140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5" t="s">
        <v>79</v>
      </c>
      <c r="C137" s="8" t="s">
        <v>138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6"/>
      <c r="C138" s="8" t="s">
        <v>139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6"/>
      <c r="C139" s="8" t="s">
        <v>140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143</v>
      </c>
      <c r="C140" s="8" t="s">
        <v>140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235</v>
      </c>
      <c r="B142" s="125" t="s">
        <v>90</v>
      </c>
      <c r="C142" s="8" t="s">
        <v>138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6"/>
      <c r="C143" s="8" t="s">
        <v>139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6"/>
      <c r="C144" s="8" t="s">
        <v>140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5" t="s">
        <v>67</v>
      </c>
      <c r="C145" s="8" t="s">
        <v>138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6"/>
      <c r="C146" s="8" t="s">
        <v>139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6"/>
      <c r="C147" s="8" t="s">
        <v>140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5" t="s">
        <v>77</v>
      </c>
      <c r="C148" s="8" t="s">
        <v>138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6"/>
      <c r="C149" s="8" t="s">
        <v>139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6"/>
      <c r="C150" s="8" t="s">
        <v>140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5" t="s">
        <v>78</v>
      </c>
      <c r="C151" s="8" t="s">
        <v>138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6"/>
      <c r="C152" s="8" t="s">
        <v>139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6"/>
      <c r="C153" s="8" t="s">
        <v>140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5" t="s">
        <v>79</v>
      </c>
      <c r="C154" s="8" t="s">
        <v>138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6"/>
      <c r="C155" s="8" t="s">
        <v>139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6"/>
      <c r="C156" s="8" t="s">
        <v>140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143</v>
      </c>
      <c r="C157" s="8" t="s">
        <v>140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kNott2FY10++7LpzvuSEUUgvKblMKWlWyTJLQ7V3mUE+D/qQXgkJjdadeNqQ4e0dbATNIZiaZUbYZr3uwCKttQ==" saltValue="MboHEiRAGE0wfo213ZYZVw==" spinCount="100000" sheet="1" selectLockedCells="1"/>
  <mergeCells count="45"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H15" sqref="H15"/>
    </sheetView>
  </sheetViews>
  <sheetFormatPr defaultColWidth="12.7265625" defaultRowHeight="12.5" x14ac:dyDescent="0.25"/>
  <cols>
    <col min="1" max="1" width="44.81640625" style="106" customWidth="1"/>
    <col min="2" max="2" width="44.453125" style="106" customWidth="1"/>
    <col min="3" max="3" width="17.7265625" style="106" customWidth="1"/>
    <col min="4" max="4" width="17.54296875" style="106" customWidth="1"/>
    <col min="5" max="5" width="17.26953125" style="106" customWidth="1"/>
    <col min="6" max="6" width="15" style="106" customWidth="1"/>
    <col min="7" max="7" width="13.7265625" style="106" customWidth="1"/>
    <col min="8" max="16384" width="12.7265625" style="106"/>
  </cols>
  <sheetData>
    <row r="1" spans="1:7" s="121" customFormat="1" ht="14.25" customHeight="1" x14ac:dyDescent="0.3">
      <c r="A1" s="120" t="s">
        <v>274</v>
      </c>
    </row>
    <row r="2" spans="1:7" ht="14.25" customHeight="1" x14ac:dyDescent="0.3">
      <c r="A2" s="122" t="s">
        <v>196</v>
      </c>
      <c r="B2" s="107"/>
      <c r="C2" s="105" t="s">
        <v>67</v>
      </c>
      <c r="D2" s="105" t="s">
        <v>77</v>
      </c>
      <c r="E2" s="105" t="s">
        <v>78</v>
      </c>
      <c r="F2" s="105" t="s">
        <v>79</v>
      </c>
      <c r="G2" s="105" t="s">
        <v>80</v>
      </c>
    </row>
    <row r="3" spans="1:7" ht="14.25" customHeight="1" x14ac:dyDescent="0.25">
      <c r="B3" s="117" t="s">
        <v>275</v>
      </c>
      <c r="C3" s="118" t="s">
        <v>276</v>
      </c>
      <c r="D3" s="118">
        <v>45</v>
      </c>
      <c r="E3" s="118">
        <v>361.6</v>
      </c>
      <c r="F3" s="118">
        <v>174.7</v>
      </c>
      <c r="G3" s="118">
        <v>174.7</v>
      </c>
    </row>
    <row r="4" spans="1:7" ht="14.25" customHeight="1" x14ac:dyDescent="0.3">
      <c r="A4" s="105"/>
      <c r="B4" s="117" t="s">
        <v>277</v>
      </c>
      <c r="C4" s="118">
        <v>1.0249999999999999</v>
      </c>
      <c r="D4" s="118">
        <v>1.0249999999999999</v>
      </c>
      <c r="E4" s="118">
        <v>1.0249999999999999</v>
      </c>
      <c r="F4" s="118">
        <v>1.0249999999999999</v>
      </c>
      <c r="G4" s="118">
        <v>1.0249999999999999</v>
      </c>
    </row>
    <row r="5" spans="1:7" ht="14.25" customHeight="1" x14ac:dyDescent="0.3">
      <c r="A5" s="123" t="s">
        <v>278</v>
      </c>
    </row>
    <row r="6" spans="1:7" ht="14.25" customHeight="1" x14ac:dyDescent="0.25">
      <c r="B6" s="117" t="s">
        <v>184</v>
      </c>
      <c r="C6" s="118">
        <v>1</v>
      </c>
      <c r="D6" s="118">
        <v>1</v>
      </c>
      <c r="E6" s="118">
        <v>0.89</v>
      </c>
      <c r="F6" s="118">
        <v>0.89</v>
      </c>
      <c r="G6" s="118">
        <v>1</v>
      </c>
    </row>
    <row r="7" spans="1:7" ht="14.25" customHeight="1" x14ac:dyDescent="0.25">
      <c r="B7" s="117" t="s">
        <v>177</v>
      </c>
      <c r="C7" s="118">
        <v>1</v>
      </c>
      <c r="D7" s="118">
        <v>1</v>
      </c>
      <c r="E7" s="118">
        <v>0.88</v>
      </c>
      <c r="F7" s="118">
        <v>0.88</v>
      </c>
      <c r="G7" s="118">
        <v>1</v>
      </c>
    </row>
    <row r="8" spans="1:7" ht="14.25" customHeight="1" x14ac:dyDescent="0.25">
      <c r="B8" s="117" t="s">
        <v>162</v>
      </c>
      <c r="C8" s="118">
        <v>1</v>
      </c>
      <c r="D8" s="118">
        <v>1</v>
      </c>
      <c r="E8" s="118">
        <v>1</v>
      </c>
      <c r="F8" s="118">
        <v>0.80800000000000005</v>
      </c>
      <c r="G8" s="118">
        <v>0.80800000000000005</v>
      </c>
    </row>
    <row r="9" spans="1:7" ht="14.25" customHeight="1" x14ac:dyDescent="0.25">
      <c r="B9" s="117" t="s">
        <v>185</v>
      </c>
      <c r="C9" s="118">
        <v>1</v>
      </c>
      <c r="D9" s="118">
        <v>1</v>
      </c>
      <c r="E9" s="118">
        <v>0.88</v>
      </c>
      <c r="F9" s="118">
        <v>0.88</v>
      </c>
      <c r="G9" s="118">
        <v>1</v>
      </c>
    </row>
    <row r="10" spans="1:7" ht="14.25" customHeight="1" x14ac:dyDescent="0.25">
      <c r="B10" s="117" t="s">
        <v>193</v>
      </c>
      <c r="C10" s="118">
        <v>1</v>
      </c>
      <c r="D10" s="118">
        <v>1</v>
      </c>
      <c r="E10" s="118">
        <v>1</v>
      </c>
      <c r="F10" s="118">
        <v>1</v>
      </c>
      <c r="G10" s="118">
        <v>1</v>
      </c>
    </row>
    <row r="11" spans="1:7" ht="14.25" customHeight="1" x14ac:dyDescent="0.25">
      <c r="B11" s="117"/>
      <c r="C11" s="117"/>
      <c r="D11" s="117"/>
      <c r="E11" s="117"/>
      <c r="F11" s="117"/>
      <c r="G11" s="117"/>
    </row>
    <row r="12" spans="1:7" s="121" customFormat="1" ht="14.25" customHeight="1" x14ac:dyDescent="0.3">
      <c r="A12" s="120" t="s">
        <v>279</v>
      </c>
    </row>
    <row r="13" spans="1:7" ht="14.25" customHeight="1" x14ac:dyDescent="0.3">
      <c r="A13" s="123"/>
      <c r="B13" s="117" t="s">
        <v>176</v>
      </c>
      <c r="C13" s="118">
        <v>1</v>
      </c>
      <c r="D13" s="118">
        <v>1.39</v>
      </c>
      <c r="E13" s="118">
        <v>1</v>
      </c>
      <c r="F13" s="118">
        <v>1</v>
      </c>
      <c r="G13" s="118">
        <v>1</v>
      </c>
    </row>
    <row r="14" spans="1:7" ht="14.25" customHeight="1" x14ac:dyDescent="0.3">
      <c r="A14" s="123"/>
      <c r="B14" s="114"/>
    </row>
    <row r="15" spans="1:7" s="121" customFormat="1" ht="14.25" customHeight="1" x14ac:dyDescent="0.3">
      <c r="A15" s="120" t="s">
        <v>280</v>
      </c>
    </row>
    <row r="16" spans="1:7" ht="14.25" customHeight="1" x14ac:dyDescent="0.3">
      <c r="A16" s="122" t="s">
        <v>265</v>
      </c>
      <c r="B16" s="117" t="s">
        <v>281</v>
      </c>
      <c r="C16" s="118">
        <v>1.024</v>
      </c>
      <c r="D16" s="118">
        <v>1.024</v>
      </c>
      <c r="E16" s="118">
        <v>1.024</v>
      </c>
      <c r="F16" s="118">
        <v>1.024</v>
      </c>
      <c r="G16" s="118">
        <v>1.024</v>
      </c>
    </row>
    <row r="17" spans="1:7" ht="14.25" customHeight="1" x14ac:dyDescent="0.3">
      <c r="A17" s="105"/>
      <c r="B17" s="117" t="s">
        <v>282</v>
      </c>
      <c r="C17" s="118">
        <v>1.024</v>
      </c>
      <c r="D17" s="118">
        <v>1.024</v>
      </c>
      <c r="E17" s="118">
        <v>1.024</v>
      </c>
      <c r="F17" s="118">
        <v>1.024</v>
      </c>
      <c r="G17" s="118">
        <v>1.024</v>
      </c>
    </row>
    <row r="18" spans="1:7" ht="14.25" customHeight="1" x14ac:dyDescent="0.3">
      <c r="A18" s="122" t="s">
        <v>111</v>
      </c>
      <c r="B18" s="117" t="s">
        <v>283</v>
      </c>
      <c r="C18" s="118">
        <v>1</v>
      </c>
      <c r="D18" s="118">
        <v>1</v>
      </c>
      <c r="E18" s="118">
        <v>1</v>
      </c>
      <c r="F18" s="118">
        <v>1</v>
      </c>
      <c r="G18" s="118">
        <v>1</v>
      </c>
    </row>
    <row r="19" spans="1:7" ht="14.25" customHeight="1" x14ac:dyDescent="0.25"/>
    <row r="20" spans="1:7" s="121" customFormat="1" ht="14.25" customHeight="1" x14ac:dyDescent="0.3">
      <c r="A20" s="120" t="s">
        <v>284</v>
      </c>
    </row>
    <row r="21" spans="1:7" s="123" customFormat="1" ht="14.25" customHeight="1" x14ac:dyDescent="0.3">
      <c r="C21" s="124" t="s">
        <v>58</v>
      </c>
      <c r="D21" s="124" t="s">
        <v>59</v>
      </c>
      <c r="E21" s="124" t="s">
        <v>60</v>
      </c>
      <c r="F21" s="124" t="s">
        <v>61</v>
      </c>
    </row>
    <row r="22" spans="1:7" x14ac:dyDescent="0.25">
      <c r="B22" s="117" t="s">
        <v>164</v>
      </c>
      <c r="C22" s="118">
        <v>1.52</v>
      </c>
      <c r="D22" s="118">
        <v>1</v>
      </c>
      <c r="E22" s="118">
        <v>1</v>
      </c>
      <c r="F22" s="118">
        <v>1</v>
      </c>
    </row>
    <row r="24" spans="1:7" s="119" customFormat="1" ht="13" x14ac:dyDescent="0.3">
      <c r="A24" s="119" t="s">
        <v>228</v>
      </c>
    </row>
    <row r="25" spans="1:7" ht="13" x14ac:dyDescent="0.3">
      <c r="A25" s="120" t="s">
        <v>274</v>
      </c>
      <c r="B25" s="121"/>
      <c r="C25" s="121"/>
      <c r="D25" s="121"/>
      <c r="E25" s="121"/>
      <c r="F25" s="121"/>
      <c r="G25" s="121"/>
    </row>
    <row r="26" spans="1:7" ht="13" x14ac:dyDescent="0.3">
      <c r="A26" s="122" t="s">
        <v>196</v>
      </c>
      <c r="B26" s="107"/>
      <c r="C26" s="105" t="s">
        <v>67</v>
      </c>
      <c r="D26" s="105" t="s">
        <v>77</v>
      </c>
      <c r="E26" s="105" t="s">
        <v>78</v>
      </c>
      <c r="F26" s="105" t="s">
        <v>79</v>
      </c>
      <c r="G26" s="105" t="s">
        <v>80</v>
      </c>
    </row>
    <row r="27" spans="1:7" x14ac:dyDescent="0.25">
      <c r="B27" s="117" t="s">
        <v>285</v>
      </c>
      <c r="C27" s="118" t="s">
        <v>276</v>
      </c>
      <c r="D27" s="118">
        <f t="shared" ref="D27:G27" si="0">D3*0.9</f>
        <v>40.5</v>
      </c>
      <c r="E27" s="118">
        <f t="shared" si="0"/>
        <v>325.44000000000005</v>
      </c>
      <c r="F27" s="118">
        <f t="shared" si="0"/>
        <v>157.22999999999999</v>
      </c>
      <c r="G27" s="118">
        <f t="shared" si="0"/>
        <v>157.22999999999999</v>
      </c>
    </row>
    <row r="28" spans="1:7" ht="13" x14ac:dyDescent="0.3">
      <c r="A28" s="105"/>
      <c r="B28" s="117" t="s">
        <v>286</v>
      </c>
      <c r="C28" s="118">
        <v>1.014</v>
      </c>
      <c r="D28" s="118">
        <v>1.014</v>
      </c>
      <c r="E28" s="118">
        <v>1.014</v>
      </c>
      <c r="F28" s="118">
        <v>1.014</v>
      </c>
      <c r="G28" s="118">
        <v>1.014</v>
      </c>
    </row>
    <row r="29" spans="1:7" ht="13" x14ac:dyDescent="0.3">
      <c r="A29" s="123" t="s">
        <v>287</v>
      </c>
    </row>
    <row r="30" spans="1:7" x14ac:dyDescent="0.25">
      <c r="B30" s="117" t="s">
        <v>288</v>
      </c>
      <c r="C30" s="118">
        <f>IF(C6=1,1,C6*0.9)</f>
        <v>1</v>
      </c>
      <c r="D30" s="118">
        <f t="shared" ref="D30:G30" si="1">IF(D6=1,1,D6*0.9)</f>
        <v>1</v>
      </c>
      <c r="E30" s="118">
        <f>E6*0.9</f>
        <v>0.80100000000000005</v>
      </c>
      <c r="F30" s="118">
        <f>F6*0.9</f>
        <v>0.80100000000000005</v>
      </c>
      <c r="G30" s="118">
        <f t="shared" si="1"/>
        <v>1</v>
      </c>
    </row>
    <row r="31" spans="1:7" x14ac:dyDescent="0.25">
      <c r="B31" s="117" t="s">
        <v>289</v>
      </c>
      <c r="C31" s="118">
        <f>IF(C7=1,1,C7*0.9)</f>
        <v>1</v>
      </c>
      <c r="D31" s="118">
        <f>IF(D7=1,1,D7*0.9)</f>
        <v>1</v>
      </c>
      <c r="E31" s="118">
        <v>0.85</v>
      </c>
      <c r="F31" s="118">
        <v>0.85</v>
      </c>
      <c r="G31" s="118">
        <f>IF(G7=1,1,G7*0.9)</f>
        <v>1</v>
      </c>
    </row>
    <row r="32" spans="1:7" x14ac:dyDescent="0.25">
      <c r="B32" s="117" t="s">
        <v>370</v>
      </c>
      <c r="C32" s="118">
        <f>IF(C8=1,1,C8*0.9)</f>
        <v>1</v>
      </c>
      <c r="D32" s="118">
        <f>IF(D8=1,1,D8*0.9)</f>
        <v>1</v>
      </c>
      <c r="E32" s="118">
        <v>1</v>
      </c>
      <c r="F32" s="90">
        <v>0.39500000000000002</v>
      </c>
      <c r="G32" s="90">
        <v>0.39500000000000002</v>
      </c>
    </row>
    <row r="33" spans="1:7" x14ac:dyDescent="0.25">
      <c r="B33" s="117" t="s">
        <v>290</v>
      </c>
      <c r="C33" s="118">
        <f t="shared" ref="C33:G33" si="2">IF(C9=1,1,C9*0.9)</f>
        <v>1</v>
      </c>
      <c r="D33" s="118">
        <f t="shared" si="2"/>
        <v>1</v>
      </c>
      <c r="E33" s="118">
        <v>0.85</v>
      </c>
      <c r="F33" s="118">
        <v>0.85</v>
      </c>
      <c r="G33" s="118">
        <f t="shared" si="2"/>
        <v>1</v>
      </c>
    </row>
    <row r="34" spans="1:7" x14ac:dyDescent="0.25">
      <c r="B34" s="117" t="s">
        <v>291</v>
      </c>
      <c r="C34" s="118">
        <f>IF(C10=1,1,C10*0.9)</f>
        <v>1</v>
      </c>
      <c r="D34" s="118">
        <f>IF(D10=1,1,D10*0.9)</f>
        <v>1</v>
      </c>
      <c r="E34" s="118">
        <f>IF(E10=1,1,E10*0.9)</f>
        <v>1</v>
      </c>
      <c r="F34" s="118">
        <f>IF(F10=1,1,F10*0.9)</f>
        <v>1</v>
      </c>
      <c r="G34" s="118">
        <f>IF(G10=1,1,G10*0.9)</f>
        <v>1</v>
      </c>
    </row>
    <row r="35" spans="1:7" x14ac:dyDescent="0.25">
      <c r="B35" s="117"/>
      <c r="C35" s="117"/>
      <c r="D35" s="117"/>
      <c r="E35" s="117"/>
      <c r="F35" s="117"/>
      <c r="G35" s="117"/>
    </row>
    <row r="36" spans="1:7" ht="13" x14ac:dyDescent="0.3">
      <c r="A36" s="120" t="s">
        <v>292</v>
      </c>
      <c r="B36" s="121"/>
      <c r="C36" s="121"/>
      <c r="D36" s="121"/>
      <c r="E36" s="121"/>
      <c r="F36" s="121"/>
      <c r="G36" s="121"/>
    </row>
    <row r="37" spans="1:7" ht="13" x14ac:dyDescent="0.3">
      <c r="A37" s="123"/>
      <c r="B37" s="117" t="s">
        <v>293</v>
      </c>
      <c r="C37" s="118">
        <v>1</v>
      </c>
      <c r="D37" s="118">
        <v>1.1100000000000001</v>
      </c>
      <c r="E37" s="118">
        <v>1</v>
      </c>
      <c r="F37" s="118">
        <v>1</v>
      </c>
      <c r="G37" s="118">
        <v>1</v>
      </c>
    </row>
    <row r="38" spans="1:7" ht="13" x14ac:dyDescent="0.3">
      <c r="A38" s="123"/>
      <c r="B38" s="114"/>
    </row>
    <row r="39" spans="1:7" ht="13" x14ac:dyDescent="0.3">
      <c r="A39" s="120" t="s">
        <v>280</v>
      </c>
      <c r="B39" s="121"/>
      <c r="C39" s="121"/>
      <c r="D39" s="121"/>
      <c r="E39" s="121"/>
      <c r="F39" s="121"/>
      <c r="G39" s="121"/>
    </row>
    <row r="40" spans="1:7" ht="13" x14ac:dyDescent="0.3">
      <c r="A40" s="122" t="s">
        <v>265</v>
      </c>
      <c r="B40" s="117" t="s">
        <v>294</v>
      </c>
      <c r="C40" s="118">
        <v>1.016</v>
      </c>
      <c r="D40" s="118">
        <v>1.016</v>
      </c>
      <c r="E40" s="118">
        <v>1.016</v>
      </c>
      <c r="F40" s="118">
        <v>1.016</v>
      </c>
      <c r="G40" s="118">
        <v>1.016</v>
      </c>
    </row>
    <row r="41" spans="1:7" ht="13" x14ac:dyDescent="0.3">
      <c r="A41" s="105"/>
      <c r="B41" s="117" t="s">
        <v>295</v>
      </c>
      <c r="C41" s="118">
        <v>1.016</v>
      </c>
      <c r="D41" s="118">
        <v>1.016</v>
      </c>
      <c r="E41" s="118">
        <v>1.016</v>
      </c>
      <c r="F41" s="118">
        <v>1.016</v>
      </c>
      <c r="G41" s="118">
        <v>1.016</v>
      </c>
    </row>
    <row r="42" spans="1:7" ht="13" x14ac:dyDescent="0.3">
      <c r="A42" s="122" t="s">
        <v>111</v>
      </c>
      <c r="B42" s="117" t="s">
        <v>296</v>
      </c>
      <c r="C42" s="118">
        <f t="shared" ref="C42:G42" si="3">IF(C18=1,1,C18*0.9)</f>
        <v>1</v>
      </c>
      <c r="D42" s="118">
        <f t="shared" si="3"/>
        <v>1</v>
      </c>
      <c r="E42" s="118">
        <f t="shared" si="3"/>
        <v>1</v>
      </c>
      <c r="F42" s="118">
        <f t="shared" si="3"/>
        <v>1</v>
      </c>
      <c r="G42" s="118">
        <f t="shared" si="3"/>
        <v>1</v>
      </c>
    </row>
    <row r="44" spans="1:7" ht="13" x14ac:dyDescent="0.3">
      <c r="A44" s="120" t="s">
        <v>297</v>
      </c>
      <c r="B44" s="121"/>
      <c r="C44" s="121"/>
      <c r="D44" s="121"/>
      <c r="E44" s="121"/>
      <c r="F44" s="121"/>
      <c r="G44" s="121"/>
    </row>
    <row r="45" spans="1:7" ht="13" x14ac:dyDescent="0.3">
      <c r="A45" s="123"/>
      <c r="B45" s="123"/>
      <c r="C45" s="124" t="s">
        <v>58</v>
      </c>
      <c r="D45" s="124" t="s">
        <v>59</v>
      </c>
      <c r="E45" s="124" t="s">
        <v>60</v>
      </c>
      <c r="F45" s="124" t="s">
        <v>61</v>
      </c>
      <c r="G45" s="123"/>
    </row>
    <row r="46" spans="1:7" x14ac:dyDescent="0.25">
      <c r="B46" s="117" t="s">
        <v>298</v>
      </c>
      <c r="C46" s="118">
        <f>C22*0.9</f>
        <v>1.3680000000000001</v>
      </c>
      <c r="D46" s="118">
        <v>1</v>
      </c>
      <c r="E46" s="118">
        <v>1</v>
      </c>
      <c r="F46" s="118">
        <v>1</v>
      </c>
    </row>
    <row r="48" spans="1:7" s="119" customFormat="1" ht="13" x14ac:dyDescent="0.3">
      <c r="A48" s="119" t="s">
        <v>232</v>
      </c>
    </row>
    <row r="49" spans="1:7" ht="13" x14ac:dyDescent="0.3">
      <c r="A49" s="120" t="s">
        <v>274</v>
      </c>
      <c r="B49" s="121"/>
      <c r="C49" s="121"/>
      <c r="D49" s="121"/>
      <c r="E49" s="121"/>
      <c r="F49" s="121"/>
      <c r="G49" s="121"/>
    </row>
    <row r="50" spans="1:7" ht="13" x14ac:dyDescent="0.3">
      <c r="A50" s="122" t="s">
        <v>196</v>
      </c>
      <c r="B50" s="107"/>
      <c r="C50" s="105" t="s">
        <v>67</v>
      </c>
      <c r="D50" s="105" t="s">
        <v>77</v>
      </c>
      <c r="E50" s="105" t="s">
        <v>78</v>
      </c>
      <c r="F50" s="105" t="s">
        <v>79</v>
      </c>
      <c r="G50" s="105" t="s">
        <v>80</v>
      </c>
    </row>
    <row r="51" spans="1:7" x14ac:dyDescent="0.25">
      <c r="B51" s="117" t="s">
        <v>299</v>
      </c>
      <c r="C51" s="118" t="s">
        <v>276</v>
      </c>
      <c r="D51" s="118">
        <f t="shared" ref="D51:G51" si="4">D3*1.05</f>
        <v>47.25</v>
      </c>
      <c r="E51" s="118">
        <f t="shared" si="4"/>
        <v>379.68000000000006</v>
      </c>
      <c r="F51" s="118">
        <f t="shared" si="4"/>
        <v>183.435</v>
      </c>
      <c r="G51" s="118">
        <f t="shared" si="4"/>
        <v>183.435</v>
      </c>
    </row>
    <row r="52" spans="1:7" ht="13" x14ac:dyDescent="0.3">
      <c r="A52" s="105"/>
      <c r="B52" s="117" t="s">
        <v>300</v>
      </c>
      <c r="C52" s="118">
        <v>1.0349999999999999</v>
      </c>
      <c r="D52" s="118">
        <v>1.0349999999999999</v>
      </c>
      <c r="E52" s="118">
        <v>1.0349999999999999</v>
      </c>
      <c r="F52" s="118">
        <v>1.0349999999999999</v>
      </c>
      <c r="G52" s="118">
        <v>1.0349999999999999</v>
      </c>
    </row>
    <row r="53" spans="1:7" ht="13" x14ac:dyDescent="0.3">
      <c r="A53" s="123" t="s">
        <v>301</v>
      </c>
    </row>
    <row r="54" spans="1:7" x14ac:dyDescent="0.25">
      <c r="B54" s="117" t="s">
        <v>302</v>
      </c>
      <c r="C54" s="118">
        <f>IF(C6=1,1,C6*1.1)</f>
        <v>1</v>
      </c>
      <c r="D54" s="118">
        <f t="shared" ref="D54:G54" si="5">IF(D6=1,1,D6*1.1)</f>
        <v>1</v>
      </c>
      <c r="E54" s="118">
        <f>E6*1.05</f>
        <v>0.93450000000000011</v>
      </c>
      <c r="F54" s="118">
        <f>F6*1.05</f>
        <v>0.93450000000000011</v>
      </c>
      <c r="G54" s="118">
        <f t="shared" si="5"/>
        <v>1</v>
      </c>
    </row>
    <row r="55" spans="1:7" x14ac:dyDescent="0.25">
      <c r="B55" s="117" t="s">
        <v>303</v>
      </c>
      <c r="C55" s="118">
        <f>IF(C7=1,1,C7*1.1)</f>
        <v>1</v>
      </c>
      <c r="D55" s="118">
        <f>IF(D7=1,1,D7*1.1)</f>
        <v>1</v>
      </c>
      <c r="E55" s="118">
        <v>0.91</v>
      </c>
      <c r="F55" s="118">
        <v>0.91</v>
      </c>
      <c r="G55" s="118">
        <f>IF(G7=1,1,G7*1.1)</f>
        <v>1</v>
      </c>
    </row>
    <row r="56" spans="1:7" x14ac:dyDescent="0.25">
      <c r="B56" s="117" t="s">
        <v>371</v>
      </c>
      <c r="C56" s="118">
        <f>IF(C8=1,1,C8*1.1)</f>
        <v>1</v>
      </c>
      <c r="D56" s="118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7" t="s">
        <v>304</v>
      </c>
      <c r="C57" s="118">
        <f t="shared" ref="C57:G58" si="6">IF(C9=1,1,C9*1.1)</f>
        <v>1</v>
      </c>
      <c r="D57" s="118">
        <f t="shared" si="6"/>
        <v>1</v>
      </c>
      <c r="E57" s="118">
        <v>0.91</v>
      </c>
      <c r="F57" s="118">
        <v>0.91</v>
      </c>
      <c r="G57" s="118">
        <f t="shared" si="6"/>
        <v>1</v>
      </c>
    </row>
    <row r="58" spans="1:7" x14ac:dyDescent="0.25">
      <c r="B58" s="117" t="s">
        <v>305</v>
      </c>
      <c r="C58" s="118">
        <f t="shared" si="6"/>
        <v>1</v>
      </c>
      <c r="D58" s="118">
        <f t="shared" si="6"/>
        <v>1</v>
      </c>
      <c r="E58" s="118">
        <f t="shared" si="6"/>
        <v>1</v>
      </c>
      <c r="F58" s="118">
        <f t="shared" si="6"/>
        <v>1</v>
      </c>
      <c r="G58" s="118">
        <f t="shared" si="6"/>
        <v>1</v>
      </c>
    </row>
    <row r="59" spans="1:7" x14ac:dyDescent="0.25">
      <c r="B59" s="117"/>
      <c r="C59" s="117"/>
      <c r="D59" s="117"/>
      <c r="E59" s="117"/>
      <c r="F59" s="117"/>
      <c r="G59" s="117"/>
    </row>
    <row r="60" spans="1:7" ht="13" x14ac:dyDescent="0.3">
      <c r="A60" s="120" t="s">
        <v>306</v>
      </c>
      <c r="B60" s="121"/>
      <c r="C60" s="121"/>
      <c r="D60" s="121"/>
      <c r="E60" s="121"/>
      <c r="F60" s="121"/>
      <c r="G60" s="121"/>
    </row>
    <row r="61" spans="1:7" ht="13" x14ac:dyDescent="0.3">
      <c r="A61" s="123"/>
      <c r="B61" s="117" t="s">
        <v>307</v>
      </c>
      <c r="C61" s="118">
        <v>1</v>
      </c>
      <c r="D61" s="118">
        <v>1.74</v>
      </c>
      <c r="E61" s="118">
        <v>1</v>
      </c>
      <c r="F61" s="118">
        <v>1</v>
      </c>
      <c r="G61" s="118">
        <v>1</v>
      </c>
    </row>
    <row r="62" spans="1:7" ht="13" x14ac:dyDescent="0.3">
      <c r="A62" s="123"/>
      <c r="B62" s="114"/>
    </row>
    <row r="63" spans="1:7" ht="13" x14ac:dyDescent="0.3">
      <c r="A63" s="120" t="s">
        <v>280</v>
      </c>
      <c r="B63" s="121"/>
      <c r="C63" s="121"/>
      <c r="D63" s="121"/>
      <c r="E63" s="121"/>
      <c r="F63" s="121"/>
      <c r="G63" s="121"/>
    </row>
    <row r="64" spans="1:7" ht="13" x14ac:dyDescent="0.3">
      <c r="A64" s="122" t="s">
        <v>265</v>
      </c>
      <c r="B64" s="117" t="s">
        <v>308</v>
      </c>
      <c r="C64" s="118">
        <v>1.0309999999999999</v>
      </c>
      <c r="D64" s="118">
        <v>1.0309999999999999</v>
      </c>
      <c r="E64" s="118">
        <v>1.0309999999999999</v>
      </c>
      <c r="F64" s="118">
        <v>1.0309999999999999</v>
      </c>
      <c r="G64" s="118">
        <v>1.0309999999999999</v>
      </c>
    </row>
    <row r="65" spans="1:7" ht="13" x14ac:dyDescent="0.3">
      <c r="A65" s="105"/>
      <c r="B65" s="117" t="s">
        <v>309</v>
      </c>
      <c r="C65" s="118">
        <v>1.0309999999999999</v>
      </c>
      <c r="D65" s="118">
        <v>1.0309999999999999</v>
      </c>
      <c r="E65" s="118">
        <v>1.0309999999999999</v>
      </c>
      <c r="F65" s="118">
        <v>1.0309999999999999</v>
      </c>
      <c r="G65" s="118">
        <v>1.0309999999999999</v>
      </c>
    </row>
    <row r="66" spans="1:7" ht="13" x14ac:dyDescent="0.3">
      <c r="A66" s="122" t="s">
        <v>111</v>
      </c>
      <c r="B66" s="117" t="s">
        <v>310</v>
      </c>
      <c r="C66" s="118">
        <f t="shared" ref="C66:G66" si="7">IF(C18=1,1,C18*1.1)</f>
        <v>1</v>
      </c>
      <c r="D66" s="118">
        <f t="shared" si="7"/>
        <v>1</v>
      </c>
      <c r="E66" s="118">
        <f t="shared" si="7"/>
        <v>1</v>
      </c>
      <c r="F66" s="118">
        <f t="shared" si="7"/>
        <v>1</v>
      </c>
      <c r="G66" s="118">
        <f t="shared" si="7"/>
        <v>1</v>
      </c>
    </row>
    <row r="68" spans="1:7" ht="13" x14ac:dyDescent="0.3">
      <c r="A68" s="120" t="s">
        <v>311</v>
      </c>
      <c r="B68" s="121"/>
      <c r="C68" s="121"/>
      <c r="D68" s="121"/>
      <c r="E68" s="121"/>
      <c r="F68" s="121"/>
      <c r="G68" s="121"/>
    </row>
    <row r="69" spans="1:7" ht="13" x14ac:dyDescent="0.3">
      <c r="A69" s="123"/>
      <c r="B69" s="123"/>
      <c r="C69" s="124" t="s">
        <v>58</v>
      </c>
      <c r="D69" s="124" t="s">
        <v>59</v>
      </c>
      <c r="E69" s="124" t="s">
        <v>60</v>
      </c>
      <c r="F69" s="124" t="s">
        <v>61</v>
      </c>
      <c r="G69" s="123"/>
    </row>
    <row r="70" spans="1:7" x14ac:dyDescent="0.25">
      <c r="B70" s="117" t="s">
        <v>312</v>
      </c>
      <c r="C70" s="118">
        <f>C22*1.1</f>
        <v>1.6720000000000002</v>
      </c>
      <c r="D70" s="118">
        <v>1</v>
      </c>
      <c r="E70" s="118">
        <v>1</v>
      </c>
      <c r="F70" s="118">
        <v>1</v>
      </c>
    </row>
  </sheetData>
  <sheetProtection algorithmName="SHA-512" hashValue="PCqzq1OOUtsic8ocnrXQ8xxuYbKmi8ZJ7Pld9xkgyR+OBHAu/SnU75NY5MNEYJfNv6pIOzYJCmiR0EiwYtlWMw==" saltValue="c4ep8LRP3mzZ6HTD2L1Kjg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zoomScale="70" zoomScaleNormal="70" workbookViewId="0">
      <selection activeCell="C48" sqref="C48"/>
    </sheetView>
  </sheetViews>
  <sheetFormatPr defaultColWidth="16.1796875" defaultRowHeight="15.75" customHeight="1" x14ac:dyDescent="0.25"/>
  <cols>
    <col min="1" max="1" width="52.26953125" style="106" customWidth="1"/>
    <col min="2" max="6" width="16.1796875" style="106"/>
    <col min="7" max="7" width="17.26953125" style="106" customWidth="1"/>
    <col min="8" max="8" width="16.1796875" style="106" customWidth="1"/>
    <col min="9" max="16384" width="16.1796875" style="106"/>
  </cols>
  <sheetData>
    <row r="1" spans="1:6" ht="15.75" customHeight="1" x14ac:dyDescent="0.3">
      <c r="A1" s="107" t="s">
        <v>149</v>
      </c>
      <c r="B1" s="105"/>
      <c r="C1" s="105" t="s">
        <v>40</v>
      </c>
      <c r="D1" s="105" t="s">
        <v>42</v>
      </c>
      <c r="E1" s="105" t="s">
        <v>41</v>
      </c>
      <c r="F1" s="107" t="s">
        <v>43</v>
      </c>
    </row>
    <row r="2" spans="1:6" ht="15.75" customHeight="1" x14ac:dyDescent="0.25">
      <c r="A2" s="117" t="s">
        <v>159</v>
      </c>
      <c r="B2" s="117" t="s">
        <v>313</v>
      </c>
      <c r="C2" s="118">
        <v>0.28999999999999998</v>
      </c>
      <c r="D2" s="118">
        <v>0.28999999999999998</v>
      </c>
      <c r="E2" s="118">
        <v>0</v>
      </c>
      <c r="F2" s="118">
        <v>0</v>
      </c>
    </row>
    <row r="3" spans="1:6" ht="15.75" customHeight="1" x14ac:dyDescent="0.25">
      <c r="A3" s="117"/>
      <c r="B3" s="117" t="s">
        <v>314</v>
      </c>
      <c r="C3" s="118">
        <v>1</v>
      </c>
      <c r="D3" s="118">
        <v>1</v>
      </c>
      <c r="E3" s="118">
        <v>1</v>
      </c>
      <c r="F3" s="118">
        <v>1</v>
      </c>
    </row>
    <row r="4" spans="1:6" ht="15.75" customHeight="1" x14ac:dyDescent="0.25">
      <c r="A4" s="117" t="s">
        <v>161</v>
      </c>
      <c r="B4" s="117" t="s">
        <v>313</v>
      </c>
      <c r="C4" s="118">
        <f>1-0.76</f>
        <v>0.24</v>
      </c>
      <c r="D4" s="118">
        <v>0</v>
      </c>
      <c r="E4" s="118">
        <f>1-0.76</f>
        <v>0.24</v>
      </c>
      <c r="F4" s="118">
        <v>0</v>
      </c>
    </row>
    <row r="5" spans="1:6" ht="15.75" customHeight="1" x14ac:dyDescent="0.25">
      <c r="A5" s="117"/>
      <c r="B5" s="117" t="s">
        <v>314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7" t="s">
        <v>172</v>
      </c>
      <c r="B6" s="117" t="s">
        <v>313</v>
      </c>
      <c r="C6" s="118">
        <v>0.61</v>
      </c>
      <c r="D6" s="118">
        <v>0.61</v>
      </c>
      <c r="E6" s="118">
        <v>0</v>
      </c>
      <c r="F6" s="118">
        <v>0</v>
      </c>
    </row>
    <row r="7" spans="1:6" ht="15.75" customHeight="1" x14ac:dyDescent="0.25">
      <c r="A7" s="117"/>
      <c r="B7" s="117" t="s">
        <v>314</v>
      </c>
      <c r="C7" s="118">
        <v>1</v>
      </c>
      <c r="D7" s="118">
        <v>1</v>
      </c>
      <c r="E7" s="118">
        <v>1</v>
      </c>
      <c r="F7" s="118">
        <v>1</v>
      </c>
    </row>
    <row r="8" spans="1:6" ht="15.75" customHeight="1" x14ac:dyDescent="0.25">
      <c r="A8" s="117" t="s">
        <v>173</v>
      </c>
      <c r="B8" s="117" t="s">
        <v>313</v>
      </c>
      <c r="C8" s="118">
        <v>0.61</v>
      </c>
      <c r="D8" s="118">
        <v>0.61</v>
      </c>
      <c r="E8" s="118">
        <v>0</v>
      </c>
      <c r="F8" s="118">
        <v>0</v>
      </c>
    </row>
    <row r="9" spans="1:6" ht="15.75" customHeight="1" x14ac:dyDescent="0.25">
      <c r="A9" s="117"/>
      <c r="B9" s="117" t="s">
        <v>314</v>
      </c>
      <c r="C9" s="118">
        <v>1</v>
      </c>
      <c r="D9" s="118">
        <v>1</v>
      </c>
      <c r="E9" s="118">
        <v>1</v>
      </c>
      <c r="F9" s="118">
        <v>1</v>
      </c>
    </row>
    <row r="10" spans="1:6" ht="15.75" customHeight="1" x14ac:dyDescent="0.25">
      <c r="A10" s="117" t="s">
        <v>174</v>
      </c>
      <c r="B10" s="117" t="s">
        <v>313</v>
      </c>
      <c r="C10" s="118">
        <v>0.35</v>
      </c>
      <c r="D10" s="118">
        <v>0.35</v>
      </c>
      <c r="E10" s="118">
        <v>0</v>
      </c>
      <c r="F10" s="118">
        <v>0</v>
      </c>
    </row>
    <row r="11" spans="1:6" ht="15.75" customHeight="1" x14ac:dyDescent="0.25">
      <c r="A11" s="117"/>
      <c r="B11" s="117" t="s">
        <v>314</v>
      </c>
      <c r="C11" s="118">
        <v>1</v>
      </c>
      <c r="D11" s="118">
        <v>1</v>
      </c>
      <c r="E11" s="118">
        <v>0</v>
      </c>
      <c r="F11" s="118">
        <v>0</v>
      </c>
    </row>
    <row r="12" spans="1:6" ht="15.75" customHeight="1" x14ac:dyDescent="0.25">
      <c r="A12" s="117" t="s">
        <v>178</v>
      </c>
      <c r="B12" s="117" t="s">
        <v>313</v>
      </c>
      <c r="C12" s="118">
        <v>0.35</v>
      </c>
      <c r="D12" s="118">
        <v>0.35</v>
      </c>
      <c r="E12" s="118">
        <v>0</v>
      </c>
      <c r="F12" s="118">
        <v>0</v>
      </c>
    </row>
    <row r="13" spans="1:6" ht="15.75" customHeight="1" x14ac:dyDescent="0.25">
      <c r="A13" s="117"/>
      <c r="B13" s="117" t="s">
        <v>314</v>
      </c>
      <c r="C13" s="118">
        <v>1</v>
      </c>
      <c r="D13" s="118">
        <v>1</v>
      </c>
      <c r="E13" s="118">
        <v>0</v>
      </c>
      <c r="F13" s="118">
        <v>0</v>
      </c>
    </row>
    <row r="14" spans="1:6" ht="15.75" customHeight="1" x14ac:dyDescent="0.25">
      <c r="A14" s="117" t="s">
        <v>182</v>
      </c>
      <c r="B14" s="117" t="s">
        <v>313</v>
      </c>
      <c r="C14" s="118">
        <f>1-0.9*0.39</f>
        <v>0.64900000000000002</v>
      </c>
      <c r="D14" s="118">
        <f>1-0.9*0.39</f>
        <v>0.64900000000000002</v>
      </c>
      <c r="E14" s="118">
        <v>0</v>
      </c>
      <c r="F14" s="118">
        <v>0</v>
      </c>
    </row>
    <row r="15" spans="1:6" ht="15.75" customHeight="1" x14ac:dyDescent="0.25">
      <c r="A15" s="117"/>
      <c r="B15" s="117" t="s">
        <v>314</v>
      </c>
      <c r="C15" s="118">
        <v>1</v>
      </c>
      <c r="D15" s="118">
        <v>1</v>
      </c>
      <c r="E15" s="118">
        <v>1</v>
      </c>
      <c r="F15" s="118">
        <v>1</v>
      </c>
    </row>
    <row r="17" spans="1:6" s="119" customFormat="1" ht="15.75" customHeight="1" x14ac:dyDescent="0.3">
      <c r="A17" s="119" t="s">
        <v>228</v>
      </c>
    </row>
    <row r="18" spans="1:6" ht="15.75" customHeight="1" x14ac:dyDescent="0.3">
      <c r="A18" s="107" t="s">
        <v>149</v>
      </c>
      <c r="B18" s="105"/>
      <c r="C18" s="105" t="s">
        <v>40</v>
      </c>
      <c r="D18" s="105" t="s">
        <v>42</v>
      </c>
      <c r="E18" s="105" t="s">
        <v>41</v>
      </c>
      <c r="F18" s="107" t="s">
        <v>43</v>
      </c>
    </row>
    <row r="19" spans="1:6" ht="15.75" customHeight="1" x14ac:dyDescent="0.25">
      <c r="A19" s="117" t="s">
        <v>159</v>
      </c>
      <c r="B19" s="117" t="s">
        <v>313</v>
      </c>
      <c r="C19" s="118">
        <f>1-0.94</f>
        <v>6.0000000000000053E-2</v>
      </c>
      <c r="D19" s="118">
        <f>1-0.94</f>
        <v>6.0000000000000053E-2</v>
      </c>
      <c r="E19" s="118">
        <f t="shared" ref="E19:F19" si="0">E2*0.9</f>
        <v>0</v>
      </c>
      <c r="F19" s="118">
        <f t="shared" si="0"/>
        <v>0</v>
      </c>
    </row>
    <row r="20" spans="1:6" ht="15.75" customHeight="1" x14ac:dyDescent="0.25">
      <c r="A20" s="117"/>
      <c r="B20" s="117" t="s">
        <v>314</v>
      </c>
      <c r="C20" s="118">
        <v>1</v>
      </c>
      <c r="D20" s="118">
        <v>1</v>
      </c>
      <c r="E20" s="118">
        <v>1</v>
      </c>
      <c r="F20" s="118">
        <v>1</v>
      </c>
    </row>
    <row r="21" spans="1:6" ht="15.75" customHeight="1" x14ac:dyDescent="0.25">
      <c r="A21" s="117" t="s">
        <v>161</v>
      </c>
      <c r="B21" s="117" t="s">
        <v>313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7"/>
      <c r="B22" s="117" t="s">
        <v>314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7" t="s">
        <v>172</v>
      </c>
      <c r="B23" s="117" t="s">
        <v>313</v>
      </c>
      <c r="C23" s="118">
        <f>1-0.86</f>
        <v>0.14000000000000001</v>
      </c>
      <c r="D23" s="118">
        <f>1-0.86</f>
        <v>0.14000000000000001</v>
      </c>
      <c r="E23" s="118">
        <f t="shared" ref="E23:F23" si="1">E6*0.9</f>
        <v>0</v>
      </c>
      <c r="F23" s="118">
        <f t="shared" si="1"/>
        <v>0</v>
      </c>
    </row>
    <row r="24" spans="1:6" ht="15.75" customHeight="1" x14ac:dyDescent="0.25">
      <c r="A24" s="117"/>
      <c r="B24" s="117" t="s">
        <v>314</v>
      </c>
      <c r="C24" s="118">
        <v>1</v>
      </c>
      <c r="D24" s="118">
        <v>1</v>
      </c>
      <c r="E24" s="118">
        <v>1</v>
      </c>
      <c r="F24" s="118">
        <v>1</v>
      </c>
    </row>
    <row r="25" spans="1:6" ht="15.75" customHeight="1" x14ac:dyDescent="0.25">
      <c r="A25" s="117" t="s">
        <v>173</v>
      </c>
      <c r="B25" s="117" t="s">
        <v>313</v>
      </c>
      <c r="C25" s="118">
        <f>1-0.86</f>
        <v>0.14000000000000001</v>
      </c>
      <c r="D25" s="118">
        <f>1-0.86</f>
        <v>0.14000000000000001</v>
      </c>
      <c r="E25" s="118">
        <f t="shared" ref="E25:F25" si="2">E8*0.9</f>
        <v>0</v>
      </c>
      <c r="F25" s="118">
        <f t="shared" si="2"/>
        <v>0</v>
      </c>
    </row>
    <row r="26" spans="1:6" ht="15.75" customHeight="1" x14ac:dyDescent="0.25">
      <c r="A26" s="117"/>
      <c r="B26" s="117" t="s">
        <v>314</v>
      </c>
      <c r="C26" s="118">
        <v>1</v>
      </c>
      <c r="D26" s="118">
        <v>1</v>
      </c>
      <c r="E26" s="118">
        <v>1</v>
      </c>
      <c r="F26" s="118">
        <v>1</v>
      </c>
    </row>
    <row r="27" spans="1:6" ht="15.75" customHeight="1" x14ac:dyDescent="0.25">
      <c r="A27" s="117" t="s">
        <v>174</v>
      </c>
      <c r="B27" s="117" t="s">
        <v>313</v>
      </c>
      <c r="C27" s="118">
        <f>1-0.77</f>
        <v>0.22999999999999998</v>
      </c>
      <c r="D27" s="118">
        <f>1-0.77</f>
        <v>0.22999999999999998</v>
      </c>
      <c r="E27" s="118">
        <f t="shared" ref="E27:F27" si="3">E12*0.9</f>
        <v>0</v>
      </c>
      <c r="F27" s="118">
        <f t="shared" si="3"/>
        <v>0</v>
      </c>
    </row>
    <row r="28" spans="1:6" ht="15.75" customHeight="1" x14ac:dyDescent="0.25">
      <c r="A28" s="117"/>
      <c r="B28" s="117" t="s">
        <v>314</v>
      </c>
      <c r="C28" s="118">
        <v>1</v>
      </c>
      <c r="D28" s="118">
        <v>1</v>
      </c>
      <c r="E28" s="118">
        <v>1</v>
      </c>
      <c r="F28" s="118">
        <v>1</v>
      </c>
    </row>
    <row r="29" spans="1:6" ht="15.75" customHeight="1" x14ac:dyDescent="0.25">
      <c r="A29" s="117" t="s">
        <v>178</v>
      </c>
      <c r="B29" s="117" t="s">
        <v>313</v>
      </c>
      <c r="C29" s="118">
        <f>1-0.77</f>
        <v>0.22999999999999998</v>
      </c>
      <c r="D29" s="118">
        <f>1-0.77</f>
        <v>0.22999999999999998</v>
      </c>
      <c r="E29" s="118">
        <f t="shared" ref="E29:F29" si="4">E12*0.9</f>
        <v>0</v>
      </c>
      <c r="F29" s="118">
        <f t="shared" si="4"/>
        <v>0</v>
      </c>
    </row>
    <row r="30" spans="1:6" ht="15.75" customHeight="1" x14ac:dyDescent="0.25">
      <c r="A30" s="117"/>
      <c r="B30" s="117" t="s">
        <v>314</v>
      </c>
      <c r="C30" s="118">
        <v>1</v>
      </c>
      <c r="D30" s="118">
        <v>1</v>
      </c>
      <c r="E30" s="118">
        <v>1</v>
      </c>
      <c r="F30" s="118">
        <v>1</v>
      </c>
    </row>
    <row r="31" spans="1:6" ht="15.75" customHeight="1" x14ac:dyDescent="0.25">
      <c r="A31" s="117" t="s">
        <v>182</v>
      </c>
      <c r="B31" s="117" t="s">
        <v>313</v>
      </c>
      <c r="C31" s="118">
        <f>1-0.96*0.86</f>
        <v>0.1744</v>
      </c>
      <c r="D31" s="118">
        <f>1-0.96*0.86</f>
        <v>0.1744</v>
      </c>
      <c r="E31" s="118">
        <f t="shared" ref="E31:F31" si="5">E14*0.9</f>
        <v>0</v>
      </c>
      <c r="F31" s="118">
        <f t="shared" si="5"/>
        <v>0</v>
      </c>
    </row>
    <row r="32" spans="1:6" ht="15.75" customHeight="1" x14ac:dyDescent="0.25">
      <c r="A32" s="117"/>
      <c r="B32" s="117" t="s">
        <v>314</v>
      </c>
      <c r="C32" s="118">
        <v>1</v>
      </c>
      <c r="D32" s="118">
        <v>1</v>
      </c>
      <c r="E32" s="118">
        <v>1</v>
      </c>
      <c r="F32" s="118">
        <v>1</v>
      </c>
    </row>
    <row r="34" spans="1:6" s="119" customFormat="1" ht="15.75" customHeight="1" x14ac:dyDescent="0.3">
      <c r="A34" s="119" t="s">
        <v>232</v>
      </c>
    </row>
    <row r="35" spans="1:6" ht="15.75" customHeight="1" x14ac:dyDescent="0.3">
      <c r="A35" s="107" t="s">
        <v>149</v>
      </c>
      <c r="B35" s="105"/>
      <c r="C35" s="105" t="s">
        <v>40</v>
      </c>
      <c r="D35" s="105" t="s">
        <v>42</v>
      </c>
      <c r="E35" s="105" t="s">
        <v>41</v>
      </c>
      <c r="F35" s="107" t="s">
        <v>43</v>
      </c>
    </row>
    <row r="36" spans="1:6" ht="15.75" customHeight="1" x14ac:dyDescent="0.25">
      <c r="A36" s="117" t="s">
        <v>159</v>
      </c>
      <c r="B36" s="117" t="s">
        <v>313</v>
      </c>
      <c r="C36" s="118">
        <f>1-0.54</f>
        <v>0.45999999999999996</v>
      </c>
      <c r="D36" s="118">
        <f>1-0.54</f>
        <v>0.45999999999999996</v>
      </c>
      <c r="E36" s="118">
        <f t="shared" ref="E36:F36" si="6">E2*1.1</f>
        <v>0</v>
      </c>
      <c r="F36" s="118">
        <f t="shared" si="6"/>
        <v>0</v>
      </c>
    </row>
    <row r="37" spans="1:6" ht="15.75" customHeight="1" x14ac:dyDescent="0.25">
      <c r="A37" s="117"/>
      <c r="B37" s="117" t="s">
        <v>314</v>
      </c>
      <c r="C37" s="118">
        <v>1</v>
      </c>
      <c r="D37" s="118">
        <v>1</v>
      </c>
      <c r="E37" s="118">
        <v>1</v>
      </c>
      <c r="F37" s="118">
        <v>1</v>
      </c>
    </row>
    <row r="38" spans="1:6" ht="15.75" customHeight="1" x14ac:dyDescent="0.25">
      <c r="A38" s="117" t="s">
        <v>161</v>
      </c>
      <c r="B38" s="117" t="s">
        <v>313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7"/>
      <c r="B39" s="117" t="s">
        <v>314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7" t="s">
        <v>172</v>
      </c>
      <c r="B40" s="117" t="s">
        <v>313</v>
      </c>
      <c r="C40" s="118">
        <f>1-0.17</f>
        <v>0.83</v>
      </c>
      <c r="D40" s="118">
        <f>1-0.17</f>
        <v>0.83</v>
      </c>
      <c r="E40" s="118">
        <f t="shared" ref="E40:F40" si="7">E6*1.1</f>
        <v>0</v>
      </c>
      <c r="F40" s="118">
        <f t="shared" si="7"/>
        <v>0</v>
      </c>
    </row>
    <row r="41" spans="1:6" ht="15.75" customHeight="1" x14ac:dyDescent="0.25">
      <c r="A41" s="117"/>
      <c r="B41" s="117" t="s">
        <v>314</v>
      </c>
      <c r="C41" s="118">
        <v>1</v>
      </c>
      <c r="D41" s="118">
        <v>1</v>
      </c>
      <c r="E41" s="118">
        <v>1</v>
      </c>
      <c r="F41" s="118">
        <v>1</v>
      </c>
    </row>
    <row r="42" spans="1:6" ht="15.75" customHeight="1" x14ac:dyDescent="0.25">
      <c r="A42" s="117" t="s">
        <v>173</v>
      </c>
      <c r="B42" s="117" t="s">
        <v>313</v>
      </c>
      <c r="C42" s="118">
        <f>1-0.17</f>
        <v>0.83</v>
      </c>
      <c r="D42" s="118">
        <f>1-0.17</f>
        <v>0.83</v>
      </c>
      <c r="E42" s="118">
        <f t="shared" ref="E42:F42" si="8">E8*1.1</f>
        <v>0</v>
      </c>
      <c r="F42" s="118">
        <f t="shared" si="8"/>
        <v>0</v>
      </c>
    </row>
    <row r="43" spans="1:6" ht="15.75" customHeight="1" x14ac:dyDescent="0.25">
      <c r="A43" s="117"/>
      <c r="B43" s="117" t="s">
        <v>314</v>
      </c>
      <c r="C43" s="118">
        <v>1</v>
      </c>
      <c r="D43" s="118">
        <v>1</v>
      </c>
      <c r="E43" s="118">
        <v>1</v>
      </c>
      <c r="F43" s="118">
        <v>1</v>
      </c>
    </row>
    <row r="44" spans="1:6" ht="15.75" customHeight="1" x14ac:dyDescent="0.25">
      <c r="A44" s="117" t="s">
        <v>174</v>
      </c>
      <c r="B44" s="117" t="s">
        <v>313</v>
      </c>
      <c r="C44" s="118">
        <f>1-0.55</f>
        <v>0.44999999999999996</v>
      </c>
      <c r="D44" s="118">
        <f>1-0.55</f>
        <v>0.44999999999999996</v>
      </c>
      <c r="E44" s="118">
        <f t="shared" ref="E44:F44" si="9">E10*1.1</f>
        <v>0</v>
      </c>
      <c r="F44" s="118">
        <f t="shared" si="9"/>
        <v>0</v>
      </c>
    </row>
    <row r="45" spans="1:6" ht="15.75" customHeight="1" x14ac:dyDescent="0.25">
      <c r="A45" s="117"/>
      <c r="B45" s="117" t="s">
        <v>314</v>
      </c>
      <c r="C45" s="118">
        <v>1</v>
      </c>
      <c r="D45" s="118">
        <v>1</v>
      </c>
      <c r="E45" s="118">
        <v>1</v>
      </c>
      <c r="F45" s="118">
        <v>1</v>
      </c>
    </row>
    <row r="46" spans="1:6" ht="15.75" customHeight="1" x14ac:dyDescent="0.25">
      <c r="A46" s="117" t="s">
        <v>178</v>
      </c>
      <c r="B46" s="117" t="s">
        <v>313</v>
      </c>
      <c r="C46" s="118">
        <f>1-0.55</f>
        <v>0.44999999999999996</v>
      </c>
      <c r="D46" s="118">
        <f>1-0.55</f>
        <v>0.44999999999999996</v>
      </c>
      <c r="E46" s="118">
        <f t="shared" ref="E46:F46" si="10">E12*1.1</f>
        <v>0</v>
      </c>
      <c r="F46" s="118">
        <f t="shared" si="10"/>
        <v>0</v>
      </c>
    </row>
    <row r="47" spans="1:6" ht="15.75" customHeight="1" x14ac:dyDescent="0.25">
      <c r="A47" s="117"/>
      <c r="B47" s="117" t="s">
        <v>314</v>
      </c>
      <c r="C47" s="118">
        <v>1</v>
      </c>
      <c r="D47" s="118">
        <v>1</v>
      </c>
      <c r="E47" s="118">
        <v>1</v>
      </c>
      <c r="F47" s="118">
        <v>1</v>
      </c>
    </row>
    <row r="48" spans="1:6" ht="15.75" customHeight="1" x14ac:dyDescent="0.25">
      <c r="A48" s="117" t="s">
        <v>182</v>
      </c>
      <c r="B48" s="117" t="s">
        <v>313</v>
      </c>
      <c r="C48" s="118">
        <f>1-0.84*0.17</f>
        <v>0.85719999999999996</v>
      </c>
      <c r="D48" s="118">
        <f>1-0.84*0.17</f>
        <v>0.85719999999999996</v>
      </c>
      <c r="E48" s="118">
        <f t="shared" ref="E48:F48" si="11">E14*1.1</f>
        <v>0</v>
      </c>
      <c r="F48" s="118">
        <f t="shared" si="11"/>
        <v>0</v>
      </c>
    </row>
    <row r="49" spans="1:6" ht="15.75" customHeight="1" x14ac:dyDescent="0.25">
      <c r="A49" s="117"/>
      <c r="B49" s="117" t="s">
        <v>314</v>
      </c>
      <c r="C49" s="118">
        <v>1</v>
      </c>
      <c r="D49" s="118">
        <v>1</v>
      </c>
      <c r="E49" s="118">
        <v>1</v>
      </c>
      <c r="F49" s="118">
        <v>1</v>
      </c>
    </row>
  </sheetData>
  <sheetProtection algorithmName="SHA-512" hashValue="mTJBfDtVD8RS7vF+FLRTdNLzOeUfx+W/IGn0ywVnTUFVxHRPK0jMpUV85xStGAKvVCIherf2LOYrZO35DcOfXA==" saltValue="Ns9bFbdx8mjiboYdwI5AJ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C4" sqref="C4:F79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236</v>
      </c>
    </row>
    <row r="2" spans="1:6" ht="15.75" customHeight="1" x14ac:dyDescent="0.3">
      <c r="B2" s="69"/>
      <c r="C2" s="26" t="s">
        <v>43</v>
      </c>
      <c r="D2" s="70" t="s">
        <v>42</v>
      </c>
      <c r="E2" s="70" t="s">
        <v>41</v>
      </c>
      <c r="F2" s="70" t="s">
        <v>40</v>
      </c>
    </row>
    <row r="3" spans="1:6" ht="15.75" customHeight="1" x14ac:dyDescent="0.3">
      <c r="A3" s="4" t="s">
        <v>237</v>
      </c>
      <c r="B3" s="14"/>
      <c r="C3" s="71"/>
      <c r="D3" s="72"/>
      <c r="E3" s="72"/>
      <c r="F3" s="72"/>
    </row>
    <row r="4" spans="1:6" ht="15.75" customHeight="1" x14ac:dyDescent="0.25">
      <c r="B4" s="5" t="s">
        <v>26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27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28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29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238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239</v>
      </c>
      <c r="C11" s="74"/>
      <c r="D11" s="75"/>
      <c r="E11" s="75"/>
      <c r="F11" s="75"/>
    </row>
    <row r="12" spans="1:6" ht="15.75" customHeight="1" x14ac:dyDescent="0.3">
      <c r="A12" s="4" t="s">
        <v>240</v>
      </c>
      <c r="C12" s="73"/>
      <c r="D12" s="64"/>
      <c r="E12" s="64"/>
      <c r="F12" s="64"/>
    </row>
    <row r="13" spans="1:6" ht="15.75" customHeight="1" x14ac:dyDescent="0.25">
      <c r="B13" s="11" t="s">
        <v>241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109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110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242</v>
      </c>
      <c r="B17" s="14"/>
      <c r="C17" s="77"/>
      <c r="D17" s="78"/>
      <c r="E17" s="78"/>
      <c r="F17" s="78"/>
    </row>
    <row r="18" spans="1:6" ht="15.75" customHeight="1" x14ac:dyDescent="0.25">
      <c r="B18" s="5" t="s">
        <v>68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69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70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71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72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73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74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75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228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236</v>
      </c>
    </row>
    <row r="29" spans="1:6" ht="15.75" customHeight="1" x14ac:dyDescent="0.3">
      <c r="B29" s="69"/>
      <c r="C29" s="26" t="s">
        <v>43</v>
      </c>
      <c r="D29" s="70" t="s">
        <v>42</v>
      </c>
      <c r="E29" s="70" t="s">
        <v>41</v>
      </c>
      <c r="F29" s="70" t="s">
        <v>40</v>
      </c>
    </row>
    <row r="30" spans="1:6" ht="15.75" customHeight="1" x14ac:dyDescent="0.3">
      <c r="A30" s="4" t="s">
        <v>243</v>
      </c>
      <c r="B30" s="14"/>
      <c r="C30" s="71"/>
      <c r="D30" s="72"/>
      <c r="E30" s="72"/>
      <c r="F30" s="72"/>
    </row>
    <row r="31" spans="1:6" ht="15.75" customHeight="1" x14ac:dyDescent="0.25">
      <c r="B31" s="5" t="s">
        <v>26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27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28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29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244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239</v>
      </c>
      <c r="B38" s="68"/>
      <c r="C38" s="74"/>
      <c r="D38" s="75"/>
      <c r="E38" s="75"/>
      <c r="F38" s="75"/>
    </row>
    <row r="39" spans="1:6" ht="15.75" customHeight="1" x14ac:dyDescent="0.3">
      <c r="A39" s="4" t="s">
        <v>245</v>
      </c>
      <c r="C39" s="73"/>
      <c r="D39" s="64"/>
      <c r="E39" s="64"/>
      <c r="F39" s="64"/>
    </row>
    <row r="40" spans="1:6" ht="15.75" customHeight="1" x14ac:dyDescent="0.25">
      <c r="B40" s="11" t="s">
        <v>246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247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248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249</v>
      </c>
      <c r="B44" s="14"/>
      <c r="C44" s="77"/>
      <c r="D44" s="78"/>
      <c r="E44" s="78"/>
      <c r="F44" s="78"/>
    </row>
    <row r="45" spans="1:6" ht="15.75" customHeight="1" x14ac:dyDescent="0.25">
      <c r="B45" s="5" t="s">
        <v>68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69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70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71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72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73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74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75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232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236</v>
      </c>
    </row>
    <row r="56" spans="1:6" ht="15.75" customHeight="1" x14ac:dyDescent="0.3">
      <c r="B56" s="69"/>
      <c r="C56" s="26" t="s">
        <v>43</v>
      </c>
      <c r="D56" s="70" t="s">
        <v>42</v>
      </c>
      <c r="E56" s="70" t="s">
        <v>41</v>
      </c>
      <c r="F56" s="70" t="s">
        <v>40</v>
      </c>
    </row>
    <row r="57" spans="1:6" ht="15.75" customHeight="1" x14ac:dyDescent="0.3">
      <c r="A57" s="4" t="s">
        <v>250</v>
      </c>
      <c r="B57" s="14"/>
      <c r="C57" s="71"/>
      <c r="D57" s="72"/>
      <c r="E57" s="72"/>
      <c r="F57" s="72"/>
    </row>
    <row r="58" spans="1:6" ht="15.75" customHeight="1" x14ac:dyDescent="0.25">
      <c r="B58" s="5" t="s">
        <v>26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27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28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29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251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239</v>
      </c>
      <c r="B65" s="68"/>
      <c r="C65" s="74"/>
      <c r="D65" s="75"/>
      <c r="E65" s="75"/>
      <c r="F65" s="75"/>
    </row>
    <row r="66" spans="1:6" ht="15.75" customHeight="1" x14ac:dyDescent="0.3">
      <c r="A66" s="4" t="s">
        <v>252</v>
      </c>
      <c r="C66" s="73"/>
      <c r="D66" s="64"/>
      <c r="E66" s="64"/>
      <c r="F66" s="64"/>
    </row>
    <row r="67" spans="1:6" ht="15.75" customHeight="1" x14ac:dyDescent="0.25">
      <c r="B67" s="11" t="s">
        <v>253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254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255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256</v>
      </c>
      <c r="B71" s="14"/>
      <c r="C71" s="77"/>
      <c r="D71" s="78"/>
      <c r="E71" s="78"/>
      <c r="F71" s="78"/>
    </row>
    <row r="72" spans="1:6" ht="15.75" customHeight="1" x14ac:dyDescent="0.25">
      <c r="B72" s="5" t="s">
        <v>68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69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70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71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72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73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74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75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a0aX2VfGYRJWLRZcCd5z7lhlUmGJO/EzN4cg0Snhkl/IJQUK1zIL/9W0H+8Dtzn8tPzB4mSWxW65xqA1yiTgOA==" saltValue="o1GVWZzk0+60bY16Wxar5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E28" sqref="E28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257</v>
      </c>
    </row>
    <row r="2" spans="1:16" ht="13" x14ac:dyDescent="0.3">
      <c r="A2" s="39" t="s">
        <v>218</v>
      </c>
      <c r="B2" s="1" t="s">
        <v>258</v>
      </c>
      <c r="C2" s="1" t="s">
        <v>259</v>
      </c>
      <c r="D2" s="70" t="s">
        <v>67</v>
      </c>
      <c r="E2" s="70" t="s">
        <v>77</v>
      </c>
      <c r="F2" s="70" t="s">
        <v>78</v>
      </c>
      <c r="G2" s="70" t="s">
        <v>79</v>
      </c>
      <c r="H2" s="70" t="s">
        <v>80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81</v>
      </c>
      <c r="C3" s="3" t="s">
        <v>260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261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262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263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82</v>
      </c>
      <c r="C7" s="3" t="s">
        <v>260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261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262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263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84</v>
      </c>
      <c r="C11" s="3" t="s">
        <v>260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261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262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263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85</v>
      </c>
      <c r="C15" s="3" t="s">
        <v>260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261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262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263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83</v>
      </c>
      <c r="C19" s="3" t="s">
        <v>260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261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262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263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89</v>
      </c>
      <c r="C23" s="3" t="s">
        <v>260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261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262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263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264</v>
      </c>
    </row>
    <row r="29" spans="1:16" ht="13" x14ac:dyDescent="0.3">
      <c r="A29" s="39" t="s">
        <v>265</v>
      </c>
      <c r="B29" s="4" t="s">
        <v>258</v>
      </c>
      <c r="C29" s="4" t="s">
        <v>266</v>
      </c>
      <c r="D29" s="70" t="s">
        <v>67</v>
      </c>
      <c r="E29" s="70" t="s">
        <v>77</v>
      </c>
      <c r="F29" s="70" t="s">
        <v>78</v>
      </c>
      <c r="G29" s="70" t="s">
        <v>79</v>
      </c>
      <c r="H29" s="70" t="s">
        <v>80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81</v>
      </c>
      <c r="C30" s="3" t="s">
        <v>260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261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197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198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82</v>
      </c>
      <c r="C34" s="3" t="s">
        <v>260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261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197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198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84</v>
      </c>
      <c r="C38" s="3" t="s">
        <v>260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261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197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198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85</v>
      </c>
      <c r="C42" s="3" t="s">
        <v>260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261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197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198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83</v>
      </c>
      <c r="C46" s="3" t="s">
        <v>260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261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197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198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89</v>
      </c>
      <c r="C50" s="3" t="s">
        <v>260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261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197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198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267</v>
      </c>
    </row>
    <row r="56" spans="1:16" ht="26.4" customHeight="1" x14ac:dyDescent="0.3">
      <c r="A56" s="39" t="s">
        <v>111</v>
      </c>
      <c r="B56" s="4" t="s">
        <v>258</v>
      </c>
      <c r="C56" s="69" t="s">
        <v>268</v>
      </c>
      <c r="D56" s="70" t="s">
        <v>112</v>
      </c>
      <c r="E56" s="70" t="s">
        <v>113</v>
      </c>
      <c r="F56" s="70" t="s">
        <v>114</v>
      </c>
      <c r="G56" s="70" t="s">
        <v>115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91</v>
      </c>
      <c r="C57" s="3" t="s">
        <v>269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270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92</v>
      </c>
      <c r="C59" s="3" t="s">
        <v>269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270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93</v>
      </c>
      <c r="C61" s="3" t="s">
        <v>269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270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271</v>
      </c>
    </row>
    <row r="65" spans="1:16" ht="26.4" customHeight="1" x14ac:dyDescent="0.3">
      <c r="A65" s="39" t="s">
        <v>118</v>
      </c>
      <c r="B65" s="4" t="s">
        <v>258</v>
      </c>
      <c r="C65" s="69" t="s">
        <v>272</v>
      </c>
      <c r="D65" s="70" t="s">
        <v>67</v>
      </c>
      <c r="E65" s="70" t="s">
        <v>77</v>
      </c>
      <c r="F65" s="70" t="s">
        <v>78</v>
      </c>
      <c r="G65" s="70" t="s">
        <v>79</v>
      </c>
      <c r="H65" s="81" t="s">
        <v>80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68</v>
      </c>
      <c r="C66" s="3" t="s">
        <v>119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120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121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122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69</v>
      </c>
      <c r="C70" s="3" t="s">
        <v>119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120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121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122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70</v>
      </c>
      <c r="C74" s="3" t="s">
        <v>119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120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121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122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72</v>
      </c>
      <c r="C78" s="3" t="s">
        <v>119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120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121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122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81</v>
      </c>
      <c r="C82" s="3" t="s">
        <v>119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120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121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122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82</v>
      </c>
      <c r="C86" s="3" t="s">
        <v>119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120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121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122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84</v>
      </c>
      <c r="C90" s="3" t="s">
        <v>119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120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121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122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83</v>
      </c>
      <c r="C94" s="3" t="s">
        <v>119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120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121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122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86</v>
      </c>
      <c r="C98" s="3" t="s">
        <v>119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120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121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122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273</v>
      </c>
    </row>
    <row r="104" spans="1:16" ht="26.4" customHeight="1" x14ac:dyDescent="0.3">
      <c r="A104" s="39" t="s">
        <v>81</v>
      </c>
      <c r="B104" s="82" t="s">
        <v>122</v>
      </c>
      <c r="C104" s="69" t="s">
        <v>272</v>
      </c>
      <c r="D104" s="70" t="s">
        <v>67</v>
      </c>
      <c r="E104" s="70" t="s">
        <v>77</v>
      </c>
      <c r="F104" s="70" t="s">
        <v>78</v>
      </c>
      <c r="G104" s="70" t="s">
        <v>79</v>
      </c>
      <c r="H104" s="81" t="s">
        <v>80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119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120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121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122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228</v>
      </c>
      <c r="H110" s="92"/>
    </row>
    <row r="111" spans="1:16" ht="13" x14ac:dyDescent="0.3">
      <c r="A111" s="67" t="s">
        <v>257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218</v>
      </c>
      <c r="B112" s="1" t="s">
        <v>258</v>
      </c>
      <c r="C112" s="1" t="s">
        <v>259</v>
      </c>
      <c r="D112" s="70" t="s">
        <v>67</v>
      </c>
      <c r="E112" s="70" t="s">
        <v>77</v>
      </c>
      <c r="F112" s="70" t="s">
        <v>78</v>
      </c>
      <c r="G112" s="70" t="s">
        <v>79</v>
      </c>
      <c r="H112" s="70" t="s">
        <v>80</v>
      </c>
    </row>
    <row r="113" spans="1:8" ht="13" x14ac:dyDescent="0.3">
      <c r="A113" s="4"/>
      <c r="B113" s="8" t="s">
        <v>81</v>
      </c>
      <c r="C113" s="3" t="s">
        <v>260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261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262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263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82</v>
      </c>
      <c r="C117" s="3" t="s">
        <v>260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261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262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263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84</v>
      </c>
      <c r="C121" s="3" t="s">
        <v>260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261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262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263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85</v>
      </c>
      <c r="C125" s="3" t="s">
        <v>260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261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262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263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83</v>
      </c>
      <c r="C129" s="3" t="s">
        <v>260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261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262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263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89</v>
      </c>
      <c r="C133" s="3" t="s">
        <v>260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261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262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263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264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265</v>
      </c>
      <c r="B139" s="4" t="s">
        <v>258</v>
      </c>
      <c r="C139" s="4" t="s">
        <v>266</v>
      </c>
      <c r="D139" s="70" t="s">
        <v>67</v>
      </c>
      <c r="E139" s="70" t="s">
        <v>77</v>
      </c>
      <c r="F139" s="70" t="s">
        <v>78</v>
      </c>
      <c r="G139" s="70" t="s">
        <v>79</v>
      </c>
      <c r="H139" s="70" t="s">
        <v>80</v>
      </c>
    </row>
    <row r="140" spans="1:8" ht="13" x14ac:dyDescent="0.3">
      <c r="A140" s="4"/>
      <c r="B140" s="8" t="s">
        <v>81</v>
      </c>
      <c r="C140" s="3" t="s">
        <v>260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261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197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198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82</v>
      </c>
      <c r="C144" s="3" t="s">
        <v>260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261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197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198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84</v>
      </c>
      <c r="C148" s="3" t="s">
        <v>260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261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197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198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85</v>
      </c>
      <c r="C152" s="3" t="s">
        <v>260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261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197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198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83</v>
      </c>
      <c r="C156" s="3" t="s">
        <v>260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261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197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198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89</v>
      </c>
      <c r="C160" s="3" t="s">
        <v>260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261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197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198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267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111</v>
      </c>
      <c r="B166" s="4" t="s">
        <v>258</v>
      </c>
      <c r="C166" s="69" t="s">
        <v>268</v>
      </c>
      <c r="D166" s="70" t="s">
        <v>112</v>
      </c>
      <c r="E166" s="70" t="s">
        <v>113</v>
      </c>
      <c r="F166" s="70" t="s">
        <v>114</v>
      </c>
      <c r="G166" s="70" t="s">
        <v>115</v>
      </c>
      <c r="H166" s="79"/>
    </row>
    <row r="167" spans="1:8" ht="13" x14ac:dyDescent="0.3">
      <c r="A167" s="4"/>
      <c r="B167" s="8" t="s">
        <v>91</v>
      </c>
      <c r="C167" s="3" t="s">
        <v>269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270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92</v>
      </c>
      <c r="C169" s="3" t="s">
        <v>269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270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93</v>
      </c>
      <c r="C171" s="3" t="s">
        <v>269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270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271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118</v>
      </c>
      <c r="B175" s="4" t="s">
        <v>258</v>
      </c>
      <c r="C175" s="69" t="s">
        <v>272</v>
      </c>
      <c r="D175" s="70" t="s">
        <v>67</v>
      </c>
      <c r="E175" s="70" t="s">
        <v>77</v>
      </c>
      <c r="F175" s="70" t="s">
        <v>78</v>
      </c>
      <c r="G175" s="70" t="s">
        <v>79</v>
      </c>
      <c r="H175" s="81" t="s">
        <v>80</v>
      </c>
    </row>
    <row r="176" spans="1:8" ht="13" x14ac:dyDescent="0.3">
      <c r="A176" s="82"/>
      <c r="B176" s="8" t="s">
        <v>68</v>
      </c>
      <c r="C176" s="3" t="s">
        <v>119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120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121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122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69</v>
      </c>
      <c r="C180" s="3" t="s">
        <v>119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120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121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122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70</v>
      </c>
      <c r="C184" s="3" t="s">
        <v>119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120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121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122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72</v>
      </c>
      <c r="C188" s="3" t="s">
        <v>119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120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121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122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81</v>
      </c>
      <c r="C192" s="3" t="s">
        <v>119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120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121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122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82</v>
      </c>
      <c r="C196" s="3" t="s">
        <v>119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120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121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122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84</v>
      </c>
      <c r="C200" s="3" t="s">
        <v>119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120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121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122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83</v>
      </c>
      <c r="C204" s="3" t="s">
        <v>119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120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121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122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86</v>
      </c>
      <c r="C208" s="3" t="s">
        <v>119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120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121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122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273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81</v>
      </c>
      <c r="B214" s="82" t="s">
        <v>122</v>
      </c>
      <c r="C214" s="69" t="s">
        <v>272</v>
      </c>
      <c r="D214" s="70" t="s">
        <v>67</v>
      </c>
      <c r="E214" s="70" t="s">
        <v>77</v>
      </c>
      <c r="F214" s="70" t="s">
        <v>78</v>
      </c>
      <c r="G214" s="70" t="s">
        <v>79</v>
      </c>
      <c r="H214" s="81" t="s">
        <v>80</v>
      </c>
    </row>
    <row r="215" spans="1:9" ht="13" x14ac:dyDescent="0.3">
      <c r="A215" s="4"/>
      <c r="C215" s="3" t="s">
        <v>119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120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121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122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232</v>
      </c>
      <c r="H220" s="92"/>
    </row>
    <row r="221" spans="1:9" ht="13" x14ac:dyDescent="0.3">
      <c r="A221" s="67" t="s">
        <v>257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218</v>
      </c>
      <c r="B222" s="1" t="s">
        <v>258</v>
      </c>
      <c r="C222" s="1" t="s">
        <v>259</v>
      </c>
      <c r="D222" s="70" t="s">
        <v>67</v>
      </c>
      <c r="E222" s="70" t="s">
        <v>77</v>
      </c>
      <c r="F222" s="70" t="s">
        <v>78</v>
      </c>
      <c r="G222" s="70" t="s">
        <v>79</v>
      </c>
      <c r="H222" s="70" t="s">
        <v>80</v>
      </c>
      <c r="I222" s="79"/>
    </row>
    <row r="223" spans="1:9" ht="13" x14ac:dyDescent="0.3">
      <c r="A223" s="4"/>
      <c r="B223" s="8" t="s">
        <v>81</v>
      </c>
      <c r="C223" s="3" t="s">
        <v>260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261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262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263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82</v>
      </c>
      <c r="C227" s="3" t="s">
        <v>260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261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262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263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84</v>
      </c>
      <c r="C231" s="3" t="s">
        <v>260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261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262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263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85</v>
      </c>
      <c r="C235" s="3" t="s">
        <v>260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261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262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263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83</v>
      </c>
      <c r="C239" s="3" t="s">
        <v>260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261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262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263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89</v>
      </c>
      <c r="C243" s="3" t="s">
        <v>260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261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262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263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264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265</v>
      </c>
      <c r="B249" s="4" t="s">
        <v>258</v>
      </c>
      <c r="C249" s="4" t="s">
        <v>266</v>
      </c>
      <c r="D249" s="70" t="s">
        <v>67</v>
      </c>
      <c r="E249" s="70" t="s">
        <v>77</v>
      </c>
      <c r="F249" s="70" t="s">
        <v>78</v>
      </c>
      <c r="G249" s="70" t="s">
        <v>79</v>
      </c>
      <c r="H249" s="70" t="s">
        <v>80</v>
      </c>
      <c r="I249" s="79"/>
    </row>
    <row r="250" spans="1:9" ht="13" x14ac:dyDescent="0.3">
      <c r="A250" s="4"/>
      <c r="B250" s="8" t="s">
        <v>81</v>
      </c>
      <c r="C250" s="3" t="s">
        <v>260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261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197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198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82</v>
      </c>
      <c r="C254" s="3" t="s">
        <v>260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261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197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198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84</v>
      </c>
      <c r="C258" s="3" t="s">
        <v>260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261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197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198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85</v>
      </c>
      <c r="C262" s="3" t="s">
        <v>260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261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197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198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83</v>
      </c>
      <c r="C266" s="3" t="s">
        <v>260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261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197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198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89</v>
      </c>
      <c r="C270" s="3" t="s">
        <v>260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261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197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198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267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111</v>
      </c>
      <c r="B276" s="4" t="s">
        <v>258</v>
      </c>
      <c r="C276" s="69" t="s">
        <v>268</v>
      </c>
      <c r="D276" s="70" t="s">
        <v>112</v>
      </c>
      <c r="E276" s="70" t="s">
        <v>113</v>
      </c>
      <c r="F276" s="70" t="s">
        <v>114</v>
      </c>
      <c r="G276" s="70" t="s">
        <v>115</v>
      </c>
      <c r="H276" s="79"/>
    </row>
    <row r="277" spans="1:9" ht="13" x14ac:dyDescent="0.3">
      <c r="A277" s="4"/>
      <c r="B277" s="8" t="s">
        <v>91</v>
      </c>
      <c r="C277" s="3" t="s">
        <v>269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270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92</v>
      </c>
      <c r="C279" s="3" t="s">
        <v>269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270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93</v>
      </c>
      <c r="C281" s="3" t="s">
        <v>269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270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271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118</v>
      </c>
      <c r="B285" s="4" t="s">
        <v>258</v>
      </c>
      <c r="C285" s="69" t="s">
        <v>272</v>
      </c>
      <c r="D285" s="70" t="s">
        <v>67</v>
      </c>
      <c r="E285" s="70" t="s">
        <v>77</v>
      </c>
      <c r="F285" s="70" t="s">
        <v>78</v>
      </c>
      <c r="G285" s="70" t="s">
        <v>79</v>
      </c>
      <c r="H285" s="81" t="s">
        <v>80</v>
      </c>
      <c r="I285" s="79"/>
    </row>
    <row r="286" spans="1:9" ht="13" x14ac:dyDescent="0.3">
      <c r="A286" s="82"/>
      <c r="B286" s="8" t="s">
        <v>68</v>
      </c>
      <c r="C286" s="3" t="s">
        <v>119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120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121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122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69</v>
      </c>
      <c r="C290" s="3" t="s">
        <v>119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120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121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122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70</v>
      </c>
      <c r="C294" s="3" t="s">
        <v>119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120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121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122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72</v>
      </c>
      <c r="C298" s="3" t="s">
        <v>119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120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121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122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81</v>
      </c>
      <c r="C302" s="3" t="s">
        <v>119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120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121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122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82</v>
      </c>
      <c r="C306" s="3" t="s">
        <v>119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120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121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122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84</v>
      </c>
      <c r="C310" s="3" t="s">
        <v>119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120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121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122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83</v>
      </c>
      <c r="C314" s="3" t="s">
        <v>119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120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121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122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86</v>
      </c>
      <c r="C318" s="3" t="s">
        <v>119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120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121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122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273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81</v>
      </c>
      <c r="B324" s="82" t="s">
        <v>122</v>
      </c>
      <c r="C324" s="69" t="s">
        <v>272</v>
      </c>
      <c r="D324" s="70" t="s">
        <v>67</v>
      </c>
      <c r="E324" s="70" t="s">
        <v>77</v>
      </c>
      <c r="F324" s="70" t="s">
        <v>78</v>
      </c>
      <c r="G324" s="70" t="s">
        <v>79</v>
      </c>
      <c r="H324" s="81" t="s">
        <v>80</v>
      </c>
      <c r="I324" s="79"/>
    </row>
    <row r="325" spans="1:9" ht="13" x14ac:dyDescent="0.3">
      <c r="A325" s="4"/>
      <c r="C325" s="3" t="s">
        <v>119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120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121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122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QPUFmCFtFBVVyEMWX+ufO46C8X+nKRCwHNyDvv7CKg/oO7DPZp1nYnOMxNvnqXsQKuBxQKlHWKOifwOzFAazNA==" saltValue="HCEWU6EJTzcX+etfLOPz7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topLeftCell="A3" zoomScale="70" zoomScaleNormal="70" workbookViewId="0">
      <selection activeCell="C3" sqref="C3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67</v>
      </c>
      <c r="D1" s="70" t="s">
        <v>77</v>
      </c>
      <c r="E1" s="70" t="s">
        <v>78</v>
      </c>
      <c r="F1" s="70" t="s">
        <v>79</v>
      </c>
      <c r="G1" s="70" t="s">
        <v>80</v>
      </c>
      <c r="H1" s="70" t="s">
        <v>58</v>
      </c>
      <c r="I1" s="70" t="s">
        <v>59</v>
      </c>
      <c r="J1" s="70" t="s">
        <v>60</v>
      </c>
      <c r="K1" s="70" t="s">
        <v>61</v>
      </c>
      <c r="L1" s="70" t="s">
        <v>112</v>
      </c>
      <c r="M1" s="70" t="s">
        <v>113</v>
      </c>
      <c r="N1" s="70" t="s">
        <v>114</v>
      </c>
      <c r="O1" s="70" t="s">
        <v>115</v>
      </c>
    </row>
    <row r="2" spans="1:15" ht="13" x14ac:dyDescent="0.3">
      <c r="A2" s="4" t="s">
        <v>315</v>
      </c>
    </row>
    <row r="3" spans="1:15" x14ac:dyDescent="0.25">
      <c r="B3" s="11" t="s">
        <v>163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168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169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170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171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172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173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174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3" t="s">
        <v>177</v>
      </c>
      <c r="C11" s="104">
        <v>1</v>
      </c>
      <c r="D11" s="104">
        <v>1</v>
      </c>
      <c r="E11" s="104">
        <v>1</v>
      </c>
      <c r="F11" s="104">
        <v>1</v>
      </c>
      <c r="G11" s="104">
        <v>1</v>
      </c>
      <c r="H11" s="104">
        <v>1</v>
      </c>
      <c r="I11" s="104">
        <v>1</v>
      </c>
      <c r="J11" s="104">
        <v>1</v>
      </c>
      <c r="K11" s="104">
        <v>1</v>
      </c>
      <c r="L11" s="104">
        <v>1</v>
      </c>
      <c r="M11" s="104">
        <v>1</v>
      </c>
      <c r="N11" s="104">
        <v>1</v>
      </c>
      <c r="O11" s="104">
        <v>1</v>
      </c>
    </row>
    <row r="12" spans="1:15" x14ac:dyDescent="0.25">
      <c r="B12" s="11" t="s">
        <v>178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181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182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185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316</v>
      </c>
      <c r="B17" s="11"/>
    </row>
    <row r="18" spans="1:15" x14ac:dyDescent="0.25">
      <c r="B18" s="5" t="s">
        <v>165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166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167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175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228</v>
      </c>
    </row>
    <row r="24" spans="1:15" ht="26.4" customHeight="1" x14ac:dyDescent="0.3">
      <c r="A24" s="4"/>
      <c r="B24" s="4"/>
      <c r="C24" s="70" t="s">
        <v>67</v>
      </c>
      <c r="D24" s="70" t="s">
        <v>77</v>
      </c>
      <c r="E24" s="70" t="s">
        <v>78</v>
      </c>
      <c r="F24" s="70" t="s">
        <v>79</v>
      </c>
      <c r="G24" s="70" t="s">
        <v>80</v>
      </c>
      <c r="H24" s="70" t="s">
        <v>58</v>
      </c>
      <c r="I24" s="70" t="s">
        <v>59</v>
      </c>
      <c r="J24" s="70" t="s">
        <v>60</v>
      </c>
      <c r="K24" s="70" t="s">
        <v>61</v>
      </c>
      <c r="L24" s="70" t="s">
        <v>112</v>
      </c>
      <c r="M24" s="70" t="s">
        <v>113</v>
      </c>
      <c r="N24" s="70" t="s">
        <v>114</v>
      </c>
      <c r="O24" s="70" t="s">
        <v>115</v>
      </c>
    </row>
    <row r="25" spans="1:15" ht="13" x14ac:dyDescent="0.3">
      <c r="A25" s="4" t="s">
        <v>317</v>
      </c>
    </row>
    <row r="26" spans="1:15" x14ac:dyDescent="0.25">
      <c r="B26" s="11" t="s">
        <v>163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168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169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170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171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172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173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174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177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178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181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182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185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318</v>
      </c>
      <c r="B40" s="11"/>
    </row>
    <row r="41" spans="1:15" x14ac:dyDescent="0.25">
      <c r="B41" s="5" t="s">
        <v>165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166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167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175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232</v>
      </c>
    </row>
    <row r="47" spans="1:15" ht="26.4" customHeight="1" x14ac:dyDescent="0.3">
      <c r="A47" s="4"/>
      <c r="B47" s="4"/>
      <c r="C47" s="70" t="s">
        <v>67</v>
      </c>
      <c r="D47" s="70" t="s">
        <v>77</v>
      </c>
      <c r="E47" s="70" t="s">
        <v>78</v>
      </c>
      <c r="F47" s="70" t="s">
        <v>79</v>
      </c>
      <c r="G47" s="70" t="s">
        <v>80</v>
      </c>
      <c r="H47" s="70" t="s">
        <v>58</v>
      </c>
      <c r="I47" s="70" t="s">
        <v>59</v>
      </c>
      <c r="J47" s="70" t="s">
        <v>60</v>
      </c>
      <c r="K47" s="70" t="s">
        <v>61</v>
      </c>
      <c r="L47" s="70" t="s">
        <v>112</v>
      </c>
      <c r="M47" s="70" t="s">
        <v>113</v>
      </c>
      <c r="N47" s="70" t="s">
        <v>114</v>
      </c>
      <c r="O47" s="70" t="s">
        <v>115</v>
      </c>
    </row>
    <row r="48" spans="1:15" ht="13" x14ac:dyDescent="0.3">
      <c r="A48" s="4" t="s">
        <v>319</v>
      </c>
    </row>
    <row r="49" spans="1:15" x14ac:dyDescent="0.25">
      <c r="B49" s="11" t="s">
        <v>163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168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169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170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171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172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173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174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177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178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181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182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185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x14ac:dyDescent="0.3">
      <c r="A63" s="4" t="s">
        <v>320</v>
      </c>
      <c r="B63" s="11"/>
    </row>
    <row r="64" spans="1:15" x14ac:dyDescent="0.25">
      <c r="B64" s="5" t="s">
        <v>165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166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167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175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O9b9DvQJo3G6KJNUNq8X2QehGOtFR5U6yKm/syA6NM1J0lvXdCmzZlnKyhbrPClx1ZNPC01gUAZ+jhIfjrbLLQ==" saltValue="1U2JdgVE5zlYBKfyTDTw3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C3" sqref="C3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</row>
    <row r="2" spans="1:7" ht="13" x14ac:dyDescent="0.3">
      <c r="A2" s="4" t="s">
        <v>321</v>
      </c>
    </row>
    <row r="3" spans="1:7" x14ac:dyDescent="0.25">
      <c r="B3" s="11" t="s">
        <v>150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322</v>
      </c>
      <c r="B4" s="11"/>
      <c r="C4" s="83"/>
      <c r="D4" s="83"/>
      <c r="E4" s="83"/>
      <c r="F4" s="83"/>
      <c r="G4" s="83"/>
    </row>
    <row r="5" spans="1:7" x14ac:dyDescent="0.25">
      <c r="B5" s="5" t="s">
        <v>151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323</v>
      </c>
    </row>
    <row r="8" spans="1:7" ht="13" x14ac:dyDescent="0.3">
      <c r="A8" s="4"/>
      <c r="B8" s="1"/>
      <c r="C8" s="4" t="s">
        <v>67</v>
      </c>
      <c r="D8" s="4" t="s">
        <v>77</v>
      </c>
      <c r="E8" s="4" t="s">
        <v>78</v>
      </c>
      <c r="F8" s="4" t="s">
        <v>79</v>
      </c>
      <c r="G8" s="4" t="s">
        <v>80</v>
      </c>
    </row>
    <row r="9" spans="1:7" ht="13" x14ac:dyDescent="0.3">
      <c r="A9" s="4" t="s">
        <v>324</v>
      </c>
    </row>
    <row r="10" spans="1:7" x14ac:dyDescent="0.25">
      <c r="B10" s="11" t="s">
        <v>150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325</v>
      </c>
      <c r="B11" s="11"/>
      <c r="C11" s="83"/>
      <c r="D11" s="83"/>
      <c r="E11" s="83"/>
      <c r="F11" s="83"/>
      <c r="G11" s="83"/>
    </row>
    <row r="12" spans="1:7" x14ac:dyDescent="0.25">
      <c r="B12" s="5" t="s">
        <v>151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326</v>
      </c>
    </row>
    <row r="15" spans="1:7" ht="13" x14ac:dyDescent="0.3">
      <c r="A15" s="4"/>
      <c r="B15" s="1"/>
      <c r="C15" s="4" t="s">
        <v>67</v>
      </c>
      <c r="D15" s="4" t="s">
        <v>77</v>
      </c>
      <c r="E15" s="4" t="s">
        <v>78</v>
      </c>
      <c r="F15" s="4" t="s">
        <v>79</v>
      </c>
      <c r="G15" s="4" t="s">
        <v>80</v>
      </c>
    </row>
    <row r="16" spans="1:7" ht="13" x14ac:dyDescent="0.3">
      <c r="A16" s="4" t="s">
        <v>327</v>
      </c>
    </row>
    <row r="17" spans="1:7" x14ac:dyDescent="0.25">
      <c r="B17" s="11" t="s">
        <v>150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328</v>
      </c>
      <c r="B18" s="11"/>
      <c r="C18" s="83"/>
      <c r="D18" s="83"/>
      <c r="E18" s="83"/>
      <c r="F18" s="83"/>
      <c r="G18" s="83"/>
    </row>
    <row r="19" spans="1:7" x14ac:dyDescent="0.25">
      <c r="B19" s="5" t="s">
        <v>151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LnHqzSn11/I1WCwvgSV/aFkE4DJCKbxU6E+/fckfwuo9TSYYFU2r03FX6SuodzE0Icw7QU7yQRDXQkg8mnkbQw==" saltValue="YhMnDcTLXSaovyjlmfHDMw==" spinCount="100000" sheet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3"/>
  <sheetViews>
    <sheetView zoomScale="70" zoomScaleNormal="70" workbookViewId="0">
      <selection activeCell="D2" sqref="D2"/>
    </sheetView>
  </sheetViews>
  <sheetFormatPr defaultColWidth="12.6328125" defaultRowHeight="12.5" x14ac:dyDescent="0.25"/>
  <cols>
    <col min="1" max="1" width="53" style="5" customWidth="1"/>
    <col min="2" max="2" width="30.54296875" style="5" customWidth="1"/>
    <col min="3" max="3" width="24.6328125" style="5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0" width="12.6328125" style="8" customWidth="1"/>
    <col min="11" max="16384" width="12.6328125" style="8"/>
  </cols>
  <sheetData>
    <row r="1" spans="1:8" ht="13" x14ac:dyDescent="0.3">
      <c r="A1" s="4" t="s">
        <v>149</v>
      </c>
      <c r="B1" s="4" t="s">
        <v>329</v>
      </c>
      <c r="C1" s="82" t="s">
        <v>330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8" x14ac:dyDescent="0.25">
      <c r="A2" s="5" t="s">
        <v>186</v>
      </c>
      <c r="B2" s="5" t="s">
        <v>81</v>
      </c>
      <c r="C2" s="5" t="s">
        <v>331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332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333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184</v>
      </c>
      <c r="B5" s="5" t="s">
        <v>198</v>
      </c>
      <c r="C5" s="5" t="s">
        <v>331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333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197</v>
      </c>
      <c r="C7" s="5" t="s">
        <v>331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333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177</v>
      </c>
      <c r="B9" s="5" t="s">
        <v>198</v>
      </c>
      <c r="C9" s="5" t="s">
        <v>331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333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197</v>
      </c>
      <c r="C11" s="5" t="s">
        <v>331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333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185</v>
      </c>
      <c r="B13" s="5" t="s">
        <v>198</v>
      </c>
      <c r="C13" s="5" t="s">
        <v>331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333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197</v>
      </c>
      <c r="C15" s="5" t="s">
        <v>331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333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162</v>
      </c>
      <c r="B17" s="5" t="s">
        <v>198</v>
      </c>
      <c r="C17" s="5" t="s">
        <v>331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333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B19" s="5" t="s">
        <v>197</v>
      </c>
      <c r="C19" s="5" t="s">
        <v>331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333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A21" s="5" t="s">
        <v>167</v>
      </c>
      <c r="B21" s="5" t="s">
        <v>74</v>
      </c>
      <c r="C21" s="5" t="s">
        <v>331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332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165</v>
      </c>
      <c r="B23" s="5" t="s">
        <v>74</v>
      </c>
      <c r="C23" s="5" t="s">
        <v>331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332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166</v>
      </c>
      <c r="B25" s="5" t="s">
        <v>74</v>
      </c>
      <c r="C25" s="5" t="s">
        <v>331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332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190</v>
      </c>
      <c r="B27" s="5" t="s">
        <v>81</v>
      </c>
      <c r="C27" s="5" t="s">
        <v>331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332</v>
      </c>
      <c r="D28" s="90">
        <v>0.3</v>
      </c>
      <c r="E28" s="90">
        <v>0.3</v>
      </c>
      <c r="F28" s="90">
        <v>0.3</v>
      </c>
      <c r="G28" s="90">
        <v>0.3</v>
      </c>
      <c r="H28" s="90">
        <v>0.3</v>
      </c>
    </row>
    <row r="29" spans="1:8" x14ac:dyDescent="0.25">
      <c r="C29" s="5" t="s">
        <v>333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191</v>
      </c>
      <c r="B30" s="5" t="s">
        <v>81</v>
      </c>
      <c r="C30" s="5" t="s">
        <v>331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332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333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189</v>
      </c>
      <c r="B33" s="5" t="s">
        <v>81</v>
      </c>
      <c r="C33" s="5" t="s">
        <v>331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332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333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188</v>
      </c>
      <c r="B36" s="5" t="s">
        <v>81</v>
      </c>
      <c r="C36" s="5" t="s">
        <v>331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332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333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187</v>
      </c>
      <c r="B39" s="5" t="s">
        <v>81</v>
      </c>
      <c r="C39" s="5" t="s">
        <v>331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332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333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193</v>
      </c>
      <c r="B42" s="5" t="s">
        <v>81</v>
      </c>
      <c r="C42" s="5" t="s">
        <v>331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332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333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82</v>
      </c>
      <c r="C45" s="5" t="s">
        <v>331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332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333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183</v>
      </c>
      <c r="B48" s="5" t="s">
        <v>81</v>
      </c>
      <c r="C48" s="5" t="s">
        <v>331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332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192</v>
      </c>
      <c r="B50" s="5" t="s">
        <v>81</v>
      </c>
      <c r="C50" s="5" t="s">
        <v>331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332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176</v>
      </c>
      <c r="B52" s="5" t="s">
        <v>72</v>
      </c>
      <c r="C52" s="5" t="s">
        <v>331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332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x14ac:dyDescent="0.3">
      <c r="A55" s="96" t="s">
        <v>323</v>
      </c>
      <c r="B55" s="97"/>
      <c r="C55" s="97"/>
    </row>
    <row r="56" spans="1:8" ht="13" x14ac:dyDescent="0.3">
      <c r="A56" s="4" t="s">
        <v>149</v>
      </c>
      <c r="B56" s="4" t="s">
        <v>329</v>
      </c>
      <c r="C56" s="82" t="s">
        <v>330</v>
      </c>
      <c r="D56" s="4" t="s">
        <v>67</v>
      </c>
      <c r="E56" s="4" t="s">
        <v>77</v>
      </c>
      <c r="F56" s="4" t="s">
        <v>78</v>
      </c>
      <c r="G56" s="4" t="s">
        <v>79</v>
      </c>
      <c r="H56" s="4" t="s">
        <v>80</v>
      </c>
    </row>
    <row r="57" spans="1:8" x14ac:dyDescent="0.25">
      <c r="A57" s="5" t="s">
        <v>186</v>
      </c>
      <c r="B57" s="5" t="s">
        <v>81</v>
      </c>
      <c r="C57" s="5" t="s">
        <v>331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332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333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184</v>
      </c>
      <c r="B60" s="5" t="s">
        <v>198</v>
      </c>
      <c r="C60" s="5" t="s">
        <v>331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333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197</v>
      </c>
      <c r="C62" s="5" t="s">
        <v>331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333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177</v>
      </c>
      <c r="B64" s="5" t="s">
        <v>198</v>
      </c>
      <c r="C64" s="5" t="s">
        <v>331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333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197</v>
      </c>
      <c r="C66" s="5" t="s">
        <v>331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333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185</v>
      </c>
      <c r="B68" s="5" t="s">
        <v>198</v>
      </c>
      <c r="C68" s="5" t="s">
        <v>331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333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197</v>
      </c>
      <c r="C70" s="5" t="s">
        <v>331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333</v>
      </c>
      <c r="D71" s="90">
        <f t="shared" si="0"/>
        <v>0</v>
      </c>
      <c r="E71" s="90">
        <f t="shared" si="0"/>
        <v>0</v>
      </c>
      <c r="F71" s="90">
        <v>0</v>
      </c>
      <c r="G71" s="90">
        <v>0</v>
      </c>
      <c r="H71" s="90">
        <f>IF($C16="Affected fraction",H16,IF(H16=1,1,H16*0.9))</f>
        <v>0</v>
      </c>
    </row>
    <row r="72" spans="1:8" x14ac:dyDescent="0.25">
      <c r="A72" s="5" t="s">
        <v>162</v>
      </c>
      <c r="B72" s="5" t="s">
        <v>198</v>
      </c>
      <c r="C72" s="5" t="s">
        <v>331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333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v>0</v>
      </c>
    </row>
    <row r="74" spans="1:8" x14ac:dyDescent="0.25">
      <c r="B74" s="5" t="s">
        <v>197</v>
      </c>
      <c r="C74" s="5" t="s">
        <v>331</v>
      </c>
      <c r="D74" s="90">
        <f t="shared" si="0"/>
        <v>0</v>
      </c>
      <c r="E74" s="90">
        <f t="shared" si="0"/>
        <v>0</v>
      </c>
      <c r="F74" s="90">
        <v>1</v>
      </c>
      <c r="G74" s="90">
        <v>1</v>
      </c>
      <c r="H74" s="90">
        <v>1</v>
      </c>
    </row>
    <row r="75" spans="1:8" x14ac:dyDescent="0.25">
      <c r="C75" s="5" t="s">
        <v>333</v>
      </c>
      <c r="D75" s="90">
        <f t="shared" si="0"/>
        <v>0</v>
      </c>
      <c r="E75" s="90">
        <f t="shared" si="0"/>
        <v>0</v>
      </c>
      <c r="F75" s="90">
        <v>0</v>
      </c>
      <c r="G75" s="90">
        <v>0</v>
      </c>
      <c r="H75" s="90">
        <v>0</v>
      </c>
    </row>
    <row r="76" spans="1:8" x14ac:dyDescent="0.25">
      <c r="A76" s="5" t="s">
        <v>167</v>
      </c>
      <c r="B76" s="5" t="s">
        <v>74</v>
      </c>
      <c r="C76" s="5" t="s">
        <v>331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332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165</v>
      </c>
      <c r="B78" s="5" t="s">
        <v>74</v>
      </c>
      <c r="C78" s="5" t="s">
        <v>331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332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166</v>
      </c>
      <c r="B80" s="5" t="s">
        <v>74</v>
      </c>
      <c r="C80" s="5" t="s">
        <v>331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332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190</v>
      </c>
      <c r="B82" s="5" t="s">
        <v>81</v>
      </c>
      <c r="C82" s="5" t="s">
        <v>331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332</v>
      </c>
      <c r="D83" s="90">
        <v>7.0000000000000007E-2</v>
      </c>
      <c r="E83" s="90">
        <v>7.0000000000000007E-2</v>
      </c>
      <c r="F83" s="90">
        <v>7.0000000000000007E-2</v>
      </c>
      <c r="G83" s="90">
        <v>7.0000000000000007E-2</v>
      </c>
      <c r="H83" s="90">
        <v>7.0000000000000007E-2</v>
      </c>
    </row>
    <row r="84" spans="1:8" x14ac:dyDescent="0.25">
      <c r="C84" s="5" t="s">
        <v>333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191</v>
      </c>
      <c r="B85" s="5" t="s">
        <v>81</v>
      </c>
      <c r="C85" s="5" t="s">
        <v>331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332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333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189</v>
      </c>
      <c r="B88" s="5" t="s">
        <v>81</v>
      </c>
      <c r="C88" s="5" t="s">
        <v>331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332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333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188</v>
      </c>
      <c r="B91" s="5" t="s">
        <v>81</v>
      </c>
      <c r="C91" s="5" t="s">
        <v>331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332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333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187</v>
      </c>
      <c r="B94" s="5" t="s">
        <v>81</v>
      </c>
      <c r="C94" s="5" t="s">
        <v>331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332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333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193</v>
      </c>
      <c r="B97" s="5" t="s">
        <v>81</v>
      </c>
      <c r="C97" s="5" t="s">
        <v>331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332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333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82</v>
      </c>
      <c r="C100" s="5" t="s">
        <v>331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332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333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183</v>
      </c>
      <c r="B103" s="5" t="s">
        <v>81</v>
      </c>
      <c r="C103" s="5" t="s">
        <v>331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332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192</v>
      </c>
      <c r="B105" s="5" t="s">
        <v>81</v>
      </c>
      <c r="C105" s="5" t="s">
        <v>331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332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176</v>
      </c>
      <c r="B107" s="5" t="s">
        <v>72</v>
      </c>
      <c r="C107" s="5" t="s">
        <v>331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332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x14ac:dyDescent="0.3">
      <c r="A110" s="96" t="s">
        <v>326</v>
      </c>
      <c r="B110" s="97"/>
      <c r="C110" s="97"/>
    </row>
    <row r="111" spans="1:8" ht="13" x14ac:dyDescent="0.3">
      <c r="A111" s="4" t="s">
        <v>149</v>
      </c>
      <c r="B111" s="4" t="s">
        <v>329</v>
      </c>
      <c r="C111" s="82" t="s">
        <v>330</v>
      </c>
      <c r="D111" s="4" t="s">
        <v>67</v>
      </c>
      <c r="E111" s="4" t="s">
        <v>77</v>
      </c>
      <c r="F111" s="4" t="s">
        <v>78</v>
      </c>
      <c r="G111" s="4" t="s">
        <v>79</v>
      </c>
      <c r="H111" s="4" t="s">
        <v>80</v>
      </c>
    </row>
    <row r="112" spans="1:8" x14ac:dyDescent="0.25">
      <c r="A112" s="5" t="s">
        <v>186</v>
      </c>
      <c r="B112" s="5" t="s">
        <v>81</v>
      </c>
      <c r="C112" s="5" t="s">
        <v>331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332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333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184</v>
      </c>
      <c r="B115" s="5" t="s">
        <v>198</v>
      </c>
      <c r="C115" s="5" t="s">
        <v>331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333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197</v>
      </c>
      <c r="C117" s="5" t="s">
        <v>331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333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177</v>
      </c>
      <c r="B119" s="5" t="s">
        <v>198</v>
      </c>
      <c r="C119" s="5" t="s">
        <v>331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333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197</v>
      </c>
      <c r="C121" s="5" t="s">
        <v>331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333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185</v>
      </c>
      <c r="B123" s="5" t="s">
        <v>198</v>
      </c>
      <c r="C123" s="5" t="s">
        <v>331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333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197</v>
      </c>
      <c r="C125" s="5" t="s">
        <v>331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333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162</v>
      </c>
      <c r="B127" s="5" t="s">
        <v>198</v>
      </c>
      <c r="C127" s="5" t="s">
        <v>331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333</v>
      </c>
      <c r="D128" s="90">
        <f t="shared" si="3"/>
        <v>0</v>
      </c>
      <c r="E128" s="90">
        <f t="shared" si="3"/>
        <v>0</v>
      </c>
      <c r="F128" s="90">
        <v>0</v>
      </c>
      <c r="G128" s="90">
        <v>0</v>
      </c>
      <c r="H128" s="90">
        <v>0</v>
      </c>
    </row>
    <row r="129" spans="1:8" x14ac:dyDescent="0.25">
      <c r="B129" s="5" t="s">
        <v>197</v>
      </c>
      <c r="C129" s="5" t="s">
        <v>331</v>
      </c>
      <c r="D129" s="90">
        <f t="shared" si="3"/>
        <v>0</v>
      </c>
      <c r="E129" s="90">
        <f t="shared" si="3"/>
        <v>0</v>
      </c>
      <c r="F129" s="90">
        <v>1</v>
      </c>
      <c r="G129" s="90">
        <v>1</v>
      </c>
      <c r="H129" s="90">
        <v>1</v>
      </c>
    </row>
    <row r="130" spans="1:8" x14ac:dyDescent="0.25">
      <c r="C130" s="5" t="s">
        <v>333</v>
      </c>
      <c r="D130" s="90">
        <f t="shared" si="3"/>
        <v>0</v>
      </c>
      <c r="E130" s="90">
        <f t="shared" si="3"/>
        <v>0</v>
      </c>
      <c r="F130" s="90">
        <v>0</v>
      </c>
      <c r="G130" s="90">
        <v>0</v>
      </c>
      <c r="H130" s="90">
        <v>0</v>
      </c>
    </row>
    <row r="131" spans="1:8" x14ac:dyDescent="0.25">
      <c r="A131" s="5" t="s">
        <v>167</v>
      </c>
      <c r="B131" s="5" t="s">
        <v>74</v>
      </c>
      <c r="C131" s="5" t="s">
        <v>331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332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165</v>
      </c>
      <c r="B133" s="5" t="s">
        <v>74</v>
      </c>
      <c r="C133" s="5" t="s">
        <v>331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332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166</v>
      </c>
      <c r="B135" s="5" t="s">
        <v>74</v>
      </c>
      <c r="C135" s="5" t="s">
        <v>331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332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190</v>
      </c>
      <c r="B137" s="5" t="s">
        <v>81</v>
      </c>
      <c r="C137" s="5" t="s">
        <v>331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332</v>
      </c>
      <c r="D138" s="90">
        <v>0.51</v>
      </c>
      <c r="E138" s="90">
        <v>0.51</v>
      </c>
      <c r="F138" s="90">
        <v>0.51</v>
      </c>
      <c r="G138" s="90">
        <v>0.51</v>
      </c>
      <c r="H138" s="90">
        <v>0.51</v>
      </c>
    </row>
    <row r="139" spans="1:8" x14ac:dyDescent="0.25">
      <c r="C139" s="5" t="s">
        <v>333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191</v>
      </c>
      <c r="B140" s="5" t="s">
        <v>81</v>
      </c>
      <c r="C140" s="5" t="s">
        <v>331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332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333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189</v>
      </c>
      <c r="B143" s="5" t="s">
        <v>81</v>
      </c>
      <c r="C143" s="5" t="s">
        <v>331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332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333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188</v>
      </c>
      <c r="B146" s="5" t="s">
        <v>81</v>
      </c>
      <c r="C146" s="5" t="s">
        <v>331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332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333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187</v>
      </c>
      <c r="B149" s="5" t="s">
        <v>81</v>
      </c>
      <c r="C149" s="5" t="s">
        <v>331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332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333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193</v>
      </c>
      <c r="B152" s="5" t="s">
        <v>81</v>
      </c>
      <c r="C152" s="5" t="s">
        <v>331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332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333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82</v>
      </c>
      <c r="C155" s="5" t="s">
        <v>331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332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333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183</v>
      </c>
      <c r="B158" s="5" t="s">
        <v>81</v>
      </c>
      <c r="C158" s="5" t="s">
        <v>331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332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192</v>
      </c>
      <c r="B160" s="5" t="s">
        <v>81</v>
      </c>
      <c r="C160" s="5" t="s">
        <v>331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332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176</v>
      </c>
      <c r="B162" s="5" t="s">
        <v>72</v>
      </c>
      <c r="C162" s="5" t="s">
        <v>331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332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z5GuXxQBiS9uAm0TjGxcb/62jAocCsCSTee1d516hxIScSch4bHD8hh/RXY/D8sqqIZaG+10dCEyZATJlS6Fhw==" saltValue="eRwRMIJfNz634cZOGOmfy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D2" sqref="D2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149</v>
      </c>
      <c r="B1" s="1" t="s">
        <v>329</v>
      </c>
      <c r="C1" s="1"/>
      <c r="D1" s="4" t="s">
        <v>112</v>
      </c>
      <c r="E1" s="4" t="s">
        <v>113</v>
      </c>
      <c r="F1" s="4" t="s">
        <v>114</v>
      </c>
      <c r="G1" s="4" t="s">
        <v>115</v>
      </c>
      <c r="H1" s="4"/>
    </row>
    <row r="2" spans="1:8" x14ac:dyDescent="0.25">
      <c r="A2" s="3" t="s">
        <v>161</v>
      </c>
      <c r="B2" s="8" t="s">
        <v>94</v>
      </c>
      <c r="C2" s="3" t="s">
        <v>331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332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180</v>
      </c>
      <c r="B4" s="8" t="s">
        <v>94</v>
      </c>
      <c r="C4" s="3" t="s">
        <v>331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332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179</v>
      </c>
      <c r="B6" s="8" t="s">
        <v>94</v>
      </c>
      <c r="C6" s="3" t="s">
        <v>331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332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182</v>
      </c>
      <c r="B8" s="3" t="s">
        <v>369</v>
      </c>
      <c r="C8" s="3" t="s">
        <v>331</v>
      </c>
      <c r="D8" s="118">
        <v>1</v>
      </c>
      <c r="E8" s="118">
        <v>1</v>
      </c>
      <c r="F8" s="118">
        <v>1</v>
      </c>
      <c r="G8" s="118">
        <v>1</v>
      </c>
      <c r="H8" s="3"/>
    </row>
    <row r="9" spans="1:8" x14ac:dyDescent="0.25">
      <c r="A9" s="3"/>
      <c r="B9" s="3"/>
      <c r="C9" s="3" t="s">
        <v>206</v>
      </c>
      <c r="D9" s="118">
        <v>0.09</v>
      </c>
      <c r="E9" s="118">
        <v>0.09</v>
      </c>
      <c r="F9" s="118">
        <v>0.09</v>
      </c>
      <c r="G9" s="118">
        <v>0.09</v>
      </c>
      <c r="H9" s="3"/>
    </row>
    <row r="11" spans="1:8" s="92" customFormat="1" ht="13" x14ac:dyDescent="0.3">
      <c r="A11" s="92" t="s">
        <v>323</v>
      </c>
    </row>
    <row r="12" spans="1:8" ht="13" x14ac:dyDescent="0.3">
      <c r="A12" s="1" t="s">
        <v>149</v>
      </c>
      <c r="B12" s="1" t="s">
        <v>329</v>
      </c>
      <c r="C12" s="1"/>
      <c r="D12" s="4" t="s">
        <v>112</v>
      </c>
      <c r="E12" s="4" t="s">
        <v>113</v>
      </c>
      <c r="F12" s="4" t="s">
        <v>114</v>
      </c>
      <c r="G12" s="4" t="s">
        <v>115</v>
      </c>
    </row>
    <row r="13" spans="1:8" x14ac:dyDescent="0.25">
      <c r="A13" s="3" t="s">
        <v>161</v>
      </c>
      <c r="B13" s="8" t="s">
        <v>94</v>
      </c>
      <c r="C13" s="3" t="s">
        <v>331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332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180</v>
      </c>
      <c r="B15" s="8" t="s">
        <v>94</v>
      </c>
      <c r="C15" s="3" t="s">
        <v>331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332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179</v>
      </c>
      <c r="B17" s="8" t="s">
        <v>94</v>
      </c>
      <c r="C17" s="3" t="s">
        <v>331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332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182</v>
      </c>
      <c r="B19" s="3" t="s">
        <v>369</v>
      </c>
      <c r="C19" s="3" t="s">
        <v>331</v>
      </c>
      <c r="D19" s="118">
        <f t="shared" si="0"/>
        <v>1</v>
      </c>
      <c r="E19" s="118">
        <f t="shared" si="0"/>
        <v>1</v>
      </c>
      <c r="F19" s="118">
        <f t="shared" si="0"/>
        <v>1</v>
      </c>
      <c r="G19" s="118">
        <f t="shared" si="0"/>
        <v>1</v>
      </c>
    </row>
    <row r="20" spans="1:7" x14ac:dyDescent="0.25">
      <c r="A20" s="3"/>
      <c r="B20" s="3"/>
      <c r="C20" s="3" t="s">
        <v>206</v>
      </c>
      <c r="D20" s="118">
        <v>0.02</v>
      </c>
      <c r="E20" s="118">
        <v>0.02</v>
      </c>
      <c r="F20" s="118">
        <v>0.02</v>
      </c>
      <c r="G20" s="118">
        <v>0.02</v>
      </c>
    </row>
    <row r="22" spans="1:7" s="92" customFormat="1" ht="13" x14ac:dyDescent="0.3">
      <c r="A22" s="92" t="s">
        <v>326</v>
      </c>
    </row>
    <row r="23" spans="1:7" ht="13" x14ac:dyDescent="0.3">
      <c r="A23" s="1" t="s">
        <v>149</v>
      </c>
      <c r="B23" s="1" t="s">
        <v>329</v>
      </c>
      <c r="C23" s="1"/>
      <c r="D23" s="4" t="s">
        <v>112</v>
      </c>
      <c r="E23" s="4" t="s">
        <v>113</v>
      </c>
      <c r="F23" s="4" t="s">
        <v>114</v>
      </c>
      <c r="G23" s="4" t="s">
        <v>115</v>
      </c>
    </row>
    <row r="24" spans="1:7" x14ac:dyDescent="0.25">
      <c r="A24" s="3" t="s">
        <v>161</v>
      </c>
      <c r="B24" s="8" t="s">
        <v>94</v>
      </c>
      <c r="C24" s="3" t="s">
        <v>331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332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180</v>
      </c>
      <c r="B26" s="8" t="s">
        <v>94</v>
      </c>
      <c r="C26" s="3" t="s">
        <v>331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332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179</v>
      </c>
      <c r="B28" s="8" t="s">
        <v>94</v>
      </c>
      <c r="C28" s="3" t="s">
        <v>331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332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182</v>
      </c>
      <c r="B30" s="3" t="s">
        <v>369</v>
      </c>
      <c r="C30" s="3" t="s">
        <v>331</v>
      </c>
      <c r="D30" s="118">
        <f t="shared" ref="D30:G30" si="1">IF($C8="Affected fraction",D8,IF(D8=1,1,D8*1.05))</f>
        <v>1</v>
      </c>
      <c r="E30" s="118">
        <f t="shared" si="1"/>
        <v>1</v>
      </c>
      <c r="F30" s="118">
        <f t="shared" si="1"/>
        <v>1</v>
      </c>
      <c r="G30" s="118">
        <f t="shared" si="1"/>
        <v>1</v>
      </c>
    </row>
    <row r="31" spans="1:7" x14ac:dyDescent="0.25">
      <c r="A31" s="3"/>
      <c r="B31" s="3"/>
      <c r="C31" s="3" t="s">
        <v>206</v>
      </c>
      <c r="D31" s="118">
        <v>0.14000000000000001</v>
      </c>
      <c r="E31" s="118">
        <v>0.14000000000000001</v>
      </c>
      <c r="F31" s="118">
        <v>0.14000000000000001</v>
      </c>
      <c r="G31" s="118">
        <v>0.14000000000000001</v>
      </c>
    </row>
  </sheetData>
  <sheetProtection algorithmName="SHA-512" hashValue="+Rt7ZWqFE4X26qXz/KjecTkQKgctzAjXiAuwem7Q53yDZR2yMdoSjy31bFNSh3+37+vm43wZuMN9UQUzoZI9/g==" saltValue="DN4zRpZshXPaqZQnWOz1eg==" spinCount="100000" sheet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f77cb9dc30d15950233dec29875e7d3d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c7972fb108f377c3e0c6a81e726e76be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9AE9A51-FA73-431C-A4D5-36C1DFA1FE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customXml/itemProps3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Baseline year population inputs</vt:lpstr>
      <vt:lpstr>Demographic projections</vt:lpstr>
      <vt:lpstr>Causes of death</vt:lpstr>
      <vt:lpstr>Nutritional status distribution</vt:lpstr>
      <vt:lpstr>Breastfeeding distribution</vt:lpstr>
      <vt:lpstr>Time trends</vt:lpstr>
      <vt:lpstr>Economic inputs</vt:lpstr>
      <vt:lpstr>IYCF packages</vt:lpstr>
      <vt:lpstr>Treatment of SAM</vt:lpstr>
      <vt:lpstr>Programs cost and coverage</vt:lpstr>
      <vt:lpstr>Program dependencies</vt:lpstr>
      <vt:lpstr>Reference programs</vt:lpstr>
      <vt:lpstr>Incidence of conditions</vt:lpstr>
      <vt:lpstr>Programs target population</vt:lpstr>
      <vt:lpstr>Cost curve options</vt:lpstr>
      <vt:lpstr>Programs family planning</vt:lpstr>
      <vt:lpstr>Programs impacted population</vt:lpstr>
      <vt:lpstr>Program risk areas</vt:lpstr>
      <vt:lpstr>Population risk areas</vt:lpstr>
      <vt:lpstr>IYCF odds ratios</vt:lpstr>
      <vt:lpstr>Odds ratios</vt:lpstr>
      <vt:lpstr>Programs birth outcomes</vt:lpstr>
      <vt:lpstr>Birth outcome risks</vt:lpstr>
      <vt:lpstr>Relative risks</vt:lpstr>
      <vt:lpstr>Programs anaemia</vt:lpstr>
      <vt:lpstr>Programs wasting</vt:lpstr>
      <vt:lpstr>Programs for children</vt:lpstr>
      <vt:lpstr>Programs for PW</vt:lpstr>
      <vt:lpstr>'IYCF packages'!abortion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'IYCF packages'!stillbirth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Nick Scott</dc:creator>
  <cp:keywords/>
  <dc:description/>
  <cp:lastModifiedBy>Tharindu Wickramaarachchi</cp:lastModifiedBy>
  <cp:revision/>
  <dcterms:created xsi:type="dcterms:W3CDTF">2017-08-01T10:42:13Z</dcterms:created>
  <dcterms:modified xsi:type="dcterms:W3CDTF">2025-06-26T00:23:36Z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