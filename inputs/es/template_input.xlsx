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"/>
    </mc:Choice>
  </mc:AlternateContent>
  <xr:revisionPtr revIDLastSave="0" documentId="8_{23730082-8BB5-49C4-9719-8AE758D95A92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6" i="2"/>
  <c r="A35" i="2"/>
  <c r="A31" i="2"/>
  <c r="A26" i="2"/>
  <c r="A25" i="2"/>
  <c r="A24" i="2"/>
  <c r="A22" i="2"/>
  <c r="A19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I6" i="2" s="1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A34" i="2" l="1"/>
  <c r="A40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<sst xmlns="http://schemas.openxmlformats.org/spreadsheetml/2006/main" count="2169" uniqueCount="373">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</sst>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/>
    </row>
    <row r="8" spans="1:3" ht="15" customHeight="1" x14ac:dyDescent="0.25">
      <c r="B8" s="5" t="s">
        <v>63</v>
      </c>
      <c r="C8" s="44"/>
    </row>
    <row r="9" spans="1:3" ht="15" customHeight="1" x14ac:dyDescent="0.25">
      <c r="B9" s="5" t="s">
        <v>62</v>
      </c>
      <c r="C9" s="45"/>
    </row>
    <row r="10" spans="1:3" ht="15" customHeight="1" x14ac:dyDescent="0.25">
      <c r="B10" s="5" t="s">
        <v>75</v>
      </c>
      <c r="C10" s="45"/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/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/>
    </row>
    <row r="17" spans="1:3" ht="15" customHeight="1" x14ac:dyDescent="0.25">
      <c r="B17" s="5" t="s">
        <v>49</v>
      </c>
      <c r="C17" s="45"/>
    </row>
    <row r="18" spans="1:3" ht="15" customHeight="1" x14ac:dyDescent="0.25">
      <c r="B18" s="5" t="s">
        <v>50</v>
      </c>
      <c r="C18" s="45"/>
    </row>
    <row r="19" spans="1:3" ht="15" customHeight="1" x14ac:dyDescent="0.25">
      <c r="B19" s="5" t="s">
        <v>48</v>
      </c>
      <c r="C19" s="45"/>
    </row>
    <row r="20" spans="1:3" ht="15" customHeight="1" x14ac:dyDescent="0.25">
      <c r="B20" s="5" t="s">
        <v>53</v>
      </c>
      <c r="C20" s="46">
        <f>1-frac_rice-frac_wheat-frac_maize</f>
        <v>1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/>
    </row>
    <row r="24" spans="1:3" ht="15" customHeight="1" x14ac:dyDescent="0.25">
      <c r="B24" s="15" t="s">
        <v>65</v>
      </c>
      <c r="C24" s="45"/>
    </row>
    <row r="25" spans="1:3" ht="15" customHeight="1" x14ac:dyDescent="0.25">
      <c r="B25" s="15" t="s">
        <v>66</v>
      </c>
      <c r="C25" s="45"/>
    </row>
    <row r="26" spans="1:3" ht="15" customHeight="1" x14ac:dyDescent="0.25">
      <c r="B26" s="15" t="s">
        <v>67</v>
      </c>
      <c r="C26" s="45"/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/>
    </row>
    <row r="30" spans="1:3" ht="14.25" customHeight="1" x14ac:dyDescent="0.25">
      <c r="B30" s="25" t="s">
        <v>82</v>
      </c>
      <c r="C30" s="97"/>
    </row>
    <row r="31" spans="1:3" ht="14.25" customHeight="1" x14ac:dyDescent="0.25">
      <c r="B31" s="25" t="s">
        <v>29</v>
      </c>
      <c r="C31" s="97"/>
    </row>
    <row r="32" spans="1:3" ht="14.25" customHeight="1" x14ac:dyDescent="0.25">
      <c r="B32" s="25" t="s">
        <v>30</v>
      </c>
      <c r="C32" s="97"/>
    </row>
    <row r="33" spans="1:5" ht="13.25" customHeight="1" x14ac:dyDescent="0.25">
      <c r="B33" s="27" t="s">
        <v>79</v>
      </c>
      <c r="C33" s="48">
        <f>SUM(C29:C32)</f>
        <v>0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/>
    </row>
    <row r="38" spans="1:5" ht="15" customHeight="1" x14ac:dyDescent="0.25">
      <c r="B38" s="11" t="s">
        <v>54</v>
      </c>
      <c r="C38" s="43"/>
      <c r="D38" s="12"/>
      <c r="E38" s="13"/>
    </row>
    <row r="39" spans="1:5" ht="15" customHeight="1" x14ac:dyDescent="0.25">
      <c r="B39" s="11" t="s">
        <v>80</v>
      </c>
      <c r="C39" s="43"/>
      <c r="D39" s="12"/>
      <c r="E39" s="12"/>
    </row>
    <row r="40" spans="1:5" ht="15" customHeight="1" x14ac:dyDescent="0.25">
      <c r="B40" s="11" t="s">
        <v>55</v>
      </c>
      <c r="C40" s="98"/>
    </row>
    <row r="41" spans="1:5" ht="15" customHeight="1" x14ac:dyDescent="0.25">
      <c r="B41" s="11" t="s">
        <v>51</v>
      </c>
      <c r="C41" s="45"/>
    </row>
    <row r="42" spans="1:5" ht="15" customHeight="1" x14ac:dyDescent="0.25">
      <c r="B42" s="11" t="s">
        <v>76</v>
      </c>
      <c r="C42" s="43"/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/>
      <c r="D45" s="12"/>
    </row>
    <row r="46" spans="1:5" ht="15.75" customHeight="1" x14ac:dyDescent="0.25">
      <c r="B46" s="11" t="s">
        <v>70</v>
      </c>
      <c r="C46" s="45"/>
      <c r="D46" s="12"/>
    </row>
    <row r="47" spans="1:5" ht="15.75" customHeight="1" x14ac:dyDescent="0.25">
      <c r="B47" s="11" t="s">
        <v>78</v>
      </c>
      <c r="C47" s="45"/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/>
      <c r="D51" s="12"/>
    </row>
    <row r="52" spans="1:4" ht="15" customHeight="1" x14ac:dyDescent="0.25">
      <c r="B52" s="11" t="s">
        <v>32</v>
      </c>
      <c r="C52" s="98"/>
    </row>
    <row r="53" spans="1:4" ht="15.75" customHeight="1" x14ac:dyDescent="0.25">
      <c r="B53" s="11" t="s">
        <v>35</v>
      </c>
      <c r="C53" s="98"/>
    </row>
    <row r="54" spans="1:4" ht="15.75" customHeight="1" x14ac:dyDescent="0.25">
      <c r="B54" s="11" t="s">
        <v>33</v>
      </c>
      <c r="C54" s="98"/>
    </row>
    <row r="55" spans="1:4" ht="15.75" customHeight="1" x14ac:dyDescent="0.25">
      <c r="B55" s="11" t="s">
        <v>34</v>
      </c>
      <c r="C55" s="98"/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/>
    </row>
    <row r="59" spans="1:4" ht="15.75" customHeight="1" x14ac:dyDescent="0.25">
      <c r="B59" s="11" t="s">
        <v>59</v>
      </c>
      <c r="C59" s="45"/>
    </row>
    <row r="60" spans="1:4" ht="15.75" customHeight="1" x14ac:dyDescent="0.25">
      <c r="B60" s="11" t="s">
        <v>73</v>
      </c>
      <c r="C60" s="45"/>
    </row>
    <row r="61" spans="1:4" ht="15.75" customHeight="1" x14ac:dyDescent="0.25">
      <c r="B61" s="11" t="s">
        <v>72</v>
      </c>
      <c r="C61" s="45"/>
    </row>
    <row r="62" spans="1:4" ht="15.75" customHeight="1" x14ac:dyDescent="0.25">
      <c r="B62" s="11" t="s">
        <v>83</v>
      </c>
      <c r="C62" s="44"/>
    </row>
    <row r="63" spans="1:4" ht="15.75" customHeight="1" x14ac:dyDescent="0.3">
      <c r="A63" s="4"/>
    </row>
  </sheetData>
  <sheetProtection algorithmName="SHA-512" hashValue="Uskp53gz04eem8xWglaqKP4Vlvl/mwWr26pMkG81eYJf7CRjbzSBgf8F/03RaLY1VWj4EwDv8H7IookuU7d8IQ==" saltValue="XzhafPvZ7ajQMMJx2fCN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/>
      <c r="C2" s="49"/>
      <c r="D2" s="49"/>
      <c r="E2" s="49"/>
      <c r="F2" s="49"/>
      <c r="G2" s="17">
        <f t="shared" ref="G2:G13" si="0">C2+D2+E2+F2</f>
        <v>0</v>
      </c>
      <c r="H2" s="17">
        <f t="shared" ref="H2:H13" si="1">(B2 + stillbirth*B2/(1000-stillbirth))/(1-abortion)</f>
        <v>0</v>
      </c>
      <c r="I2" s="17">
        <f t="shared" ref="I2:I13" si="2">G2-H2</f>
        <v>0</v>
      </c>
    </row>
    <row r="3" spans="1:9" ht="15.75" customHeight="1" x14ac:dyDescent="0.25">
      <c r="A3" s="5">
        <f t="shared" ref="A3:A40" si="3">IF($A$2+ROW(A3)-2&lt;=end_year,A2+1,"")</f>
        <v>2025</v>
      </c>
      <c r="B3" s="49"/>
      <c r="C3" s="50"/>
      <c r="D3" s="50"/>
      <c r="E3" s="50"/>
      <c r="F3" s="50"/>
      <c r="G3" s="17">
        <f t="shared" si="0"/>
        <v>0</v>
      </c>
      <c r="H3" s="17">
        <f t="shared" si="1"/>
        <v>0</v>
      </c>
      <c r="I3" s="17">
        <f t="shared" si="2"/>
        <v>0</v>
      </c>
    </row>
    <row r="4" spans="1:9" ht="15.75" customHeight="1" x14ac:dyDescent="0.25">
      <c r="A4" s="5">
        <f t="shared" si="3"/>
        <v>2026</v>
      </c>
      <c r="B4" s="49"/>
      <c r="C4" s="50"/>
      <c r="D4" s="50"/>
      <c r="E4" s="50"/>
      <c r="F4" s="50"/>
      <c r="G4" s="17">
        <f t="shared" si="0"/>
        <v>0</v>
      </c>
      <c r="H4" s="17">
        <f t="shared" si="1"/>
        <v>0</v>
      </c>
      <c r="I4" s="17">
        <f t="shared" si="2"/>
        <v>0</v>
      </c>
    </row>
    <row r="5" spans="1:9" ht="15.75" customHeight="1" x14ac:dyDescent="0.25">
      <c r="A5" s="5">
        <f t="shared" si="3"/>
        <v>2027</v>
      </c>
      <c r="B5" s="49"/>
      <c r="C5" s="50"/>
      <c r="D5" s="50"/>
      <c r="E5" s="50"/>
      <c r="F5" s="50"/>
      <c r="G5" s="17">
        <f t="shared" si="0"/>
        <v>0</v>
      </c>
      <c r="H5" s="17">
        <f t="shared" si="1"/>
        <v>0</v>
      </c>
      <c r="I5" s="17">
        <f t="shared" si="2"/>
        <v>0</v>
      </c>
    </row>
    <row r="6" spans="1:9" ht="15.75" customHeight="1" x14ac:dyDescent="0.25">
      <c r="A6" s="5">
        <f t="shared" si="3"/>
        <v>2028</v>
      </c>
      <c r="B6" s="49"/>
      <c r="C6" s="50"/>
      <c r="D6" s="50"/>
      <c r="E6" s="50"/>
      <c r="F6" s="50"/>
      <c r="G6" s="17">
        <f t="shared" si="0"/>
        <v>0</v>
      </c>
      <c r="H6" s="17">
        <f t="shared" si="1"/>
        <v>0</v>
      </c>
      <c r="I6" s="17">
        <f t="shared" si="2"/>
        <v>0</v>
      </c>
    </row>
    <row r="7" spans="1:9" ht="15.75" customHeight="1" x14ac:dyDescent="0.25">
      <c r="A7" s="5">
        <f t="shared" si="3"/>
        <v>2029</v>
      </c>
      <c r="B7" s="49"/>
      <c r="C7" s="50"/>
      <c r="D7" s="50"/>
      <c r="E7" s="50"/>
      <c r="F7" s="50"/>
      <c r="G7" s="17">
        <f t="shared" si="0"/>
        <v>0</v>
      </c>
      <c r="H7" s="17">
        <f t="shared" si="1"/>
        <v>0</v>
      </c>
      <c r="I7" s="17">
        <f t="shared" si="2"/>
        <v>0</v>
      </c>
    </row>
    <row r="8" spans="1:9" ht="15.75" customHeight="1" x14ac:dyDescent="0.25">
      <c r="A8" s="5">
        <f t="shared" si="3"/>
        <v>2030</v>
      </c>
      <c r="B8" s="49"/>
      <c r="C8" s="50"/>
      <c r="D8" s="50"/>
      <c r="E8" s="50"/>
      <c r="F8" s="50"/>
      <c r="G8" s="17">
        <f t="shared" si="0"/>
        <v>0</v>
      </c>
      <c r="H8" s="17">
        <f t="shared" si="1"/>
        <v>0</v>
      </c>
      <c r="I8" s="17">
        <f t="shared" si="2"/>
        <v>0</v>
      </c>
    </row>
    <row r="9" spans="1:9" ht="15.75" customHeight="1" x14ac:dyDescent="0.25">
      <c r="A9" s="5">
        <f t="shared" si="3"/>
        <v>2031</v>
      </c>
      <c r="B9" s="49"/>
      <c r="C9" s="50"/>
      <c r="D9" s="50"/>
      <c r="E9" s="50"/>
      <c r="F9" s="50"/>
      <c r="G9" s="17">
        <f t="shared" si="0"/>
        <v>0</v>
      </c>
      <c r="H9" s="17">
        <f t="shared" si="1"/>
        <v>0</v>
      </c>
      <c r="I9" s="17">
        <f t="shared" si="2"/>
        <v>0</v>
      </c>
    </row>
    <row r="10" spans="1:9" ht="15.75" customHeight="1" x14ac:dyDescent="0.25">
      <c r="A10" s="5">
        <f t="shared" si="3"/>
        <v>2032</v>
      </c>
      <c r="B10" s="49"/>
      <c r="C10" s="50"/>
      <c r="D10" s="50"/>
      <c r="E10" s="50"/>
      <c r="F10" s="50"/>
      <c r="G10" s="17">
        <f t="shared" si="0"/>
        <v>0</v>
      </c>
      <c r="H10" s="17">
        <f t="shared" si="1"/>
        <v>0</v>
      </c>
      <c r="I10" s="17">
        <f t="shared" si="2"/>
        <v>0</v>
      </c>
    </row>
    <row r="11" spans="1:9" ht="15.75" customHeight="1" x14ac:dyDescent="0.25">
      <c r="A11" s="5">
        <f t="shared" si="3"/>
        <v>2033</v>
      </c>
      <c r="B11" s="49"/>
      <c r="C11" s="50"/>
      <c r="D11" s="50"/>
      <c r="E11" s="50"/>
      <c r="F11" s="50"/>
      <c r="G11" s="17">
        <f t="shared" si="0"/>
        <v>0</v>
      </c>
      <c r="H11" s="17">
        <f t="shared" si="1"/>
        <v>0</v>
      </c>
      <c r="I11" s="17">
        <f t="shared" si="2"/>
        <v>0</v>
      </c>
    </row>
    <row r="12" spans="1:9" ht="15.75" customHeight="1" x14ac:dyDescent="0.25">
      <c r="A12" s="5">
        <f t="shared" si="3"/>
        <v>2034</v>
      </c>
      <c r="B12" s="49"/>
      <c r="C12" s="50"/>
      <c r="D12" s="50"/>
      <c r="E12" s="50"/>
      <c r="F12" s="50"/>
      <c r="G12" s="17">
        <f t="shared" si="0"/>
        <v>0</v>
      </c>
      <c r="H12" s="17">
        <f t="shared" si="1"/>
        <v>0</v>
      </c>
      <c r="I12" s="17">
        <f t="shared" si="2"/>
        <v>0</v>
      </c>
    </row>
    <row r="13" spans="1:9" ht="15.75" customHeight="1" x14ac:dyDescent="0.25">
      <c r="A13" s="5">
        <f t="shared" si="3"/>
        <v>2035</v>
      </c>
      <c r="B13" s="49"/>
      <c r="C13" s="50"/>
      <c r="D13" s="50"/>
      <c r="E13" s="50"/>
      <c r="F13" s="50"/>
      <c r="G13" s="17">
        <f t="shared" si="0"/>
        <v>0</v>
      </c>
      <c r="H13" s="17">
        <f t="shared" si="1"/>
        <v>0</v>
      </c>
      <c r="I13" s="17">
        <f t="shared" si="2"/>
        <v>0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rfYnGVqTfCfDI1tOatqoEqBdChm6m1q09YzlisHBLyZfgnRBjSxgXp2W03MdGPj8YkFYxN9eKjINkM8zHZaHhA==" saltValue="E6jY3Z39G4lEZxcvVoPQ6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/>
    </row>
    <row r="4" spans="1:8" ht="15.75" customHeight="1" x14ac:dyDescent="0.25">
      <c r="B4" s="19" t="s">
        <v>116</v>
      </c>
      <c r="C4" s="99"/>
    </row>
    <row r="5" spans="1:8" ht="15.75" customHeight="1" x14ac:dyDescent="0.25">
      <c r="B5" s="19" t="s">
        <v>114</v>
      </c>
      <c r="C5" s="99"/>
    </row>
    <row r="6" spans="1:8" ht="15.75" customHeight="1" x14ac:dyDescent="0.25">
      <c r="B6" s="19" t="s">
        <v>110</v>
      </c>
      <c r="C6" s="99"/>
    </row>
    <row r="7" spans="1:8" ht="15.75" customHeight="1" x14ac:dyDescent="0.25">
      <c r="B7" s="19" t="s">
        <v>115</v>
      </c>
      <c r="C7" s="99"/>
    </row>
    <row r="8" spans="1:8" ht="15.75" customHeight="1" x14ac:dyDescent="0.25">
      <c r="B8" s="19" t="s">
        <v>117</v>
      </c>
      <c r="C8" s="99"/>
    </row>
    <row r="9" spans="1:8" ht="15.75" customHeight="1" x14ac:dyDescent="0.25">
      <c r="B9" s="19" t="s">
        <v>111</v>
      </c>
      <c r="C9" s="99"/>
    </row>
    <row r="10" spans="1:8" ht="15.75" customHeight="1" x14ac:dyDescent="0.25">
      <c r="B10" s="19" t="s">
        <v>113</v>
      </c>
      <c r="C10" s="99"/>
    </row>
    <row r="11" spans="1:8" ht="15.75" customHeight="1" x14ac:dyDescent="0.25">
      <c r="B11" s="27" t="s">
        <v>79</v>
      </c>
      <c r="C11" s="48">
        <f>SUM(C3:C10)</f>
        <v>0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/>
      <c r="D14" s="55"/>
      <c r="E14" s="55"/>
      <c r="F14" s="55"/>
    </row>
    <row r="15" spans="1:8" ht="15.75" customHeight="1" x14ac:dyDescent="0.25">
      <c r="B15" s="19" t="s">
        <v>121</v>
      </c>
      <c r="C15" s="99"/>
      <c r="D15" s="99"/>
      <c r="E15" s="99"/>
      <c r="F15" s="99"/>
    </row>
    <row r="16" spans="1:8" ht="15.75" customHeight="1" x14ac:dyDescent="0.25">
      <c r="B16" s="19" t="s">
        <v>2</v>
      </c>
      <c r="C16" s="99"/>
      <c r="D16" s="99"/>
      <c r="E16" s="99"/>
      <c r="F16" s="99"/>
    </row>
    <row r="17" spans="1:8" ht="15.75" customHeight="1" x14ac:dyDescent="0.25">
      <c r="B17" s="19" t="s">
        <v>109</v>
      </c>
      <c r="C17" s="99"/>
      <c r="D17" s="99"/>
      <c r="E17" s="99"/>
      <c r="F17" s="99"/>
    </row>
    <row r="18" spans="1:8" ht="15.75" customHeight="1" x14ac:dyDescent="0.25">
      <c r="B18" s="19" t="s">
        <v>3</v>
      </c>
      <c r="C18" s="99"/>
      <c r="D18" s="99"/>
      <c r="E18" s="99"/>
      <c r="F18" s="99"/>
    </row>
    <row r="19" spans="1:8" ht="15.75" customHeight="1" x14ac:dyDescent="0.25">
      <c r="B19" s="19" t="s">
        <v>120</v>
      </c>
      <c r="C19" s="99"/>
      <c r="D19" s="99"/>
      <c r="E19" s="99"/>
      <c r="F19" s="99"/>
    </row>
    <row r="20" spans="1:8" ht="15.75" customHeight="1" x14ac:dyDescent="0.25">
      <c r="B20" s="19" t="s">
        <v>98</v>
      </c>
      <c r="C20" s="99"/>
      <c r="D20" s="99"/>
      <c r="E20" s="99"/>
      <c r="F20" s="99"/>
    </row>
    <row r="21" spans="1:8" ht="15.75" customHeight="1" x14ac:dyDescent="0.25">
      <c r="B21" s="19" t="s">
        <v>107</v>
      </c>
      <c r="C21" s="99"/>
      <c r="D21" s="99"/>
      <c r="E21" s="99"/>
      <c r="F21" s="99"/>
    </row>
    <row r="22" spans="1:8" ht="15.75" customHeight="1" x14ac:dyDescent="0.25">
      <c r="B22" s="19" t="s">
        <v>118</v>
      </c>
      <c r="C22" s="99"/>
      <c r="D22" s="99"/>
      <c r="E22" s="99"/>
      <c r="F22" s="99"/>
    </row>
    <row r="23" spans="1:8" ht="15.75" customHeight="1" x14ac:dyDescent="0.25">
      <c r="B23" s="27" t="s">
        <v>79</v>
      </c>
      <c r="C23" s="48">
        <f>SUM(C14:C22)</f>
        <v>0</v>
      </c>
      <c r="D23" s="48">
        <f>SUM(D14:D22)</f>
        <v>0</v>
      </c>
      <c r="E23" s="48">
        <f>SUM(E14:E22)</f>
        <v>0</v>
      </c>
      <c r="F23" s="48">
        <f>SUM(F14:F22)</f>
        <v>0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/>
    </row>
    <row r="27" spans="1:8" ht="15.75" customHeight="1" x14ac:dyDescent="0.25">
      <c r="B27" s="19" t="s">
        <v>108</v>
      </c>
      <c r="C27" s="99"/>
    </row>
    <row r="28" spans="1:8" ht="15.75" customHeight="1" x14ac:dyDescent="0.25">
      <c r="B28" s="19" t="s">
        <v>122</v>
      </c>
      <c r="C28" s="99"/>
    </row>
    <row r="29" spans="1:8" ht="15.75" customHeight="1" x14ac:dyDescent="0.25">
      <c r="B29" s="19" t="s">
        <v>105</v>
      </c>
      <c r="C29" s="99"/>
    </row>
    <row r="30" spans="1:8" ht="15.75" customHeight="1" x14ac:dyDescent="0.25">
      <c r="B30" s="19" t="s">
        <v>4</v>
      </c>
      <c r="C30" s="99"/>
    </row>
    <row r="31" spans="1:8" ht="15.75" customHeight="1" x14ac:dyDescent="0.25">
      <c r="B31" s="19" t="s">
        <v>99</v>
      </c>
      <c r="C31" s="99"/>
    </row>
    <row r="32" spans="1:8" ht="15.75" customHeight="1" x14ac:dyDescent="0.25">
      <c r="B32" s="19" t="s">
        <v>104</v>
      </c>
      <c r="C32" s="99"/>
    </row>
    <row r="33" spans="2:3" ht="15.75" customHeight="1" x14ac:dyDescent="0.25">
      <c r="B33" s="19" t="s">
        <v>119</v>
      </c>
      <c r="C33" s="99"/>
    </row>
    <row r="34" spans="2:3" ht="15.75" customHeight="1" x14ac:dyDescent="0.25">
      <c r="B34" s="19" t="s">
        <v>106</v>
      </c>
      <c r="C34" s="99"/>
    </row>
    <row r="35" spans="2:3" ht="15.75" customHeight="1" x14ac:dyDescent="0.25">
      <c r="B35" s="27" t="s">
        <v>79</v>
      </c>
      <c r="C35" s="48">
        <f>SUM(C26:C34)</f>
        <v>0</v>
      </c>
    </row>
  </sheetData>
  <sheetProtection algorithmName="SHA-512" hashValue="UQtoMuK4zA3nT00O+ivPq5KrWfEDq0xTy0gWJsObd/pP7iyrk9G6Q6ye/n/GpsCirIRiCNXpqkrZVn6IdvurGA==" saltValue="6SxoRxmvXcHoZToN6wqgP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 t="str">
        <f>IFERROR(1-_xlfn.NORM.DIST(_xlfn.NORM.INV(SUM(C4:C5), 0, 1) + 1, 0, 1, TRUE), "")</f>
        <v/>
      </c>
      <c r="D2" s="52" t="str">
        <f>IFERROR(1-_xlfn.NORM.DIST(_xlfn.NORM.INV(SUM(D4:D5), 0, 1) + 1, 0, 1, TRUE), "")</f>
        <v/>
      </c>
      <c r="E2" s="52" t="str">
        <f>IFERROR(1-_xlfn.NORM.DIST(_xlfn.NORM.INV(SUM(E4:E5), 0, 1) + 1, 0, 1, TRUE), "")</f>
        <v/>
      </c>
      <c r="F2" s="52" t="str">
        <f>IFERROR(1-_xlfn.NORM.DIST(_xlfn.NORM.INV(SUM(F4:F5), 0, 1) + 1, 0, 1, TRUE), "")</f>
        <v/>
      </c>
      <c r="G2" s="52" t="str">
        <f>IFERROR(1-_xlfn.NORM.DIST(_xlfn.NORM.INV(SUM(G4:G5), 0, 1) + 1, 0, 1, TRUE), "")</f>
        <v/>
      </c>
    </row>
    <row r="3" spans="1:15" ht="15.75" customHeight="1" x14ac:dyDescent="0.25">
      <c r="B3" s="5" t="s">
        <v>127</v>
      </c>
      <c r="C3" s="52" t="str">
        <f>IFERROR(_xlfn.NORM.DIST(_xlfn.NORM.INV(SUM(C4:C5), 0, 1) + 1, 0, 1, TRUE) - SUM(C4:C5), "")</f>
        <v/>
      </c>
      <c r="D3" s="52" t="str">
        <f>IFERROR(_xlfn.NORM.DIST(_xlfn.NORM.INV(SUM(D4:D5), 0, 1) + 1, 0, 1, TRUE) - SUM(D4:D5), "")</f>
        <v/>
      </c>
      <c r="E3" s="52" t="str">
        <f>IFERROR(_xlfn.NORM.DIST(_xlfn.NORM.INV(SUM(E4:E5), 0, 1) + 1, 0, 1, TRUE) - SUM(E4:E5), "")</f>
        <v/>
      </c>
      <c r="F3" s="52" t="str">
        <f>IFERROR(_xlfn.NORM.DIST(_xlfn.NORM.INV(SUM(F4:F5), 0, 1) + 1, 0, 1, TRUE) - SUM(F4:F5), "")</f>
        <v/>
      </c>
      <c r="G3" s="52" t="str">
        <f>IFERROR(_xlfn.NORM.DIST(_xlfn.NORM.INV(SUM(G4:G5), 0, 1) + 1, 0, 1, TRUE) - SUM(G4:G5), "")</f>
        <v/>
      </c>
    </row>
    <row r="4" spans="1:15" ht="15.75" customHeight="1" x14ac:dyDescent="0.25">
      <c r="B4" s="5" t="s">
        <v>129</v>
      </c>
      <c r="C4" s="45"/>
      <c r="D4" s="53"/>
      <c r="E4" s="53"/>
      <c r="F4" s="53"/>
      <c r="G4" s="53"/>
    </row>
    <row r="5" spans="1:15" ht="15.75" customHeight="1" x14ac:dyDescent="0.25">
      <c r="B5" s="5" t="s">
        <v>125</v>
      </c>
      <c r="C5" s="45"/>
      <c r="D5" s="53"/>
      <c r="E5" s="53"/>
      <c r="F5" s="53"/>
      <c r="G5" s="53"/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 t="str">
        <f>IFERROR(1-_xlfn.NORM.DIST(_xlfn.NORM.INV(SUM(C10:C11), 0, 1) + 1, 0, 1, TRUE), "")</f>
        <v/>
      </c>
      <c r="D8" s="52" t="str">
        <f>IFERROR(1-_xlfn.NORM.DIST(_xlfn.NORM.INV(SUM(D10:D11), 0, 1) + 1, 0, 1, TRUE), "")</f>
        <v/>
      </c>
      <c r="E8" s="52" t="str">
        <f>IFERROR(1-_xlfn.NORM.DIST(_xlfn.NORM.INV(SUM(E10:E11), 0, 1) + 1, 0, 1, TRUE), "")</f>
        <v/>
      </c>
      <c r="F8" s="52" t="str">
        <f>IFERROR(1-_xlfn.NORM.DIST(_xlfn.NORM.INV(SUM(F10:F11), 0, 1) + 1, 0, 1, TRUE), "")</f>
        <v/>
      </c>
      <c r="G8" s="52" t="str">
        <f>IFERROR(1-_xlfn.NORM.DIST(_xlfn.NORM.INV(SUM(G10:G11), 0, 1) + 1, 0, 1, TRUE), "")</f>
        <v/>
      </c>
    </row>
    <row r="9" spans="1:15" ht="15.75" customHeight="1" x14ac:dyDescent="0.25">
      <c r="B9" s="5" t="s">
        <v>128</v>
      </c>
      <c r="C9" s="52" t="str">
        <f>IFERROR(_xlfn.NORM.DIST(_xlfn.NORM.INV(SUM(C10:C11), 0, 1) + 1, 0, 1, TRUE) - SUM(C10:C11), "")</f>
        <v/>
      </c>
      <c r="D9" s="52" t="str">
        <f>IFERROR(_xlfn.NORM.DIST(_xlfn.NORM.INV(SUM(D10:D11), 0, 1) + 1, 0, 1, TRUE) - SUM(D10:D11), "")</f>
        <v/>
      </c>
      <c r="E9" s="52" t="str">
        <f>IFERROR(_xlfn.NORM.DIST(_xlfn.NORM.INV(SUM(E10:E11), 0, 1) + 1, 0, 1, TRUE) - SUM(E10:E11), "")</f>
        <v/>
      </c>
      <c r="F9" s="52" t="str">
        <f>IFERROR(_xlfn.NORM.DIST(_xlfn.NORM.INV(SUM(F10:F11), 0, 1) + 1, 0, 1, TRUE) - SUM(F10:F11), "")</f>
        <v/>
      </c>
      <c r="G9" s="52" t="str">
        <f>IFERROR(_xlfn.NORM.DIST(_xlfn.NORM.INV(SUM(G10:G11), 0, 1) + 1, 0, 1, TRUE) - SUM(G10:G11), "")</f>
        <v/>
      </c>
    </row>
    <row r="10" spans="1:15" ht="15.75" customHeight="1" x14ac:dyDescent="0.25">
      <c r="B10" s="5" t="s">
        <v>126</v>
      </c>
      <c r="C10" s="45"/>
      <c r="D10" s="53"/>
      <c r="E10" s="53"/>
      <c r="F10" s="53"/>
      <c r="G10" s="53"/>
    </row>
    <row r="11" spans="1:15" ht="15.75" customHeight="1" x14ac:dyDescent="0.25">
      <c r="B11" s="5" t="s">
        <v>138</v>
      </c>
      <c r="C11" s="45"/>
      <c r="D11" s="53"/>
      <c r="E11" s="53"/>
      <c r="F11" s="53"/>
      <c r="G11" s="53"/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/>
      <c r="D14" s="54"/>
      <c r="E14" s="54"/>
      <c r="F14" s="54"/>
      <c r="G14" s="54"/>
      <c r="H14" s="45"/>
      <c r="I14" s="55"/>
      <c r="J14" s="55"/>
      <c r="K14" s="55"/>
      <c r="L14" s="45"/>
      <c r="M14" s="55"/>
      <c r="N14" s="55"/>
      <c r="O14" s="55"/>
    </row>
    <row r="15" spans="1:15" ht="15.75" customHeight="1" x14ac:dyDescent="0.25">
      <c r="B15" s="11" t="s">
        <v>137</v>
      </c>
      <c r="C15" s="52">
        <f t="shared" ref="C15:O15" si="0">iron_deficiency_anaemia*C14</f>
        <v>0</v>
      </c>
      <c r="D15" s="52">
        <f t="shared" si="0"/>
        <v>0</v>
      </c>
      <c r="E15" s="52">
        <f t="shared" si="0"/>
        <v>0</v>
      </c>
      <c r="F15" s="52">
        <f t="shared" si="0"/>
        <v>0</v>
      </c>
      <c r="G15" s="52">
        <f t="shared" si="0"/>
        <v>0</v>
      </c>
      <c r="H15" s="52">
        <f t="shared" si="0"/>
        <v>0</v>
      </c>
      <c r="I15" s="52">
        <f t="shared" si="0"/>
        <v>0</v>
      </c>
      <c r="J15" s="52">
        <f t="shared" si="0"/>
        <v>0</v>
      </c>
      <c r="K15" s="52">
        <f t="shared" si="0"/>
        <v>0</v>
      </c>
      <c r="L15" s="52">
        <f t="shared" si="0"/>
        <v>0</v>
      </c>
      <c r="M15" s="52">
        <f t="shared" si="0"/>
        <v>0</v>
      </c>
      <c r="N15" s="52">
        <f t="shared" si="0"/>
        <v>0</v>
      </c>
      <c r="O15" s="52">
        <f t="shared" si="0"/>
        <v>0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f+5+ukU60RozObGQcCxy6/OjUlWhGjj/7sTgS5eiWWVfyFjEJFkLFUU7t3flfUCndhRNYXuIY7tVPNLqHNBHg==" saltValue="D643YpLh6gfo+BJzD8ge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/>
      <c r="D2" s="53"/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/>
      <c r="D3" s="53"/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/>
      <c r="D4" s="53"/>
      <c r="E4" s="53"/>
      <c r="F4" s="53"/>
      <c r="G4" s="53">
        <v>0</v>
      </c>
    </row>
    <row r="5" spans="1:7" x14ac:dyDescent="0.25">
      <c r="B5" s="3" t="s">
        <v>144</v>
      </c>
      <c r="C5" s="52">
        <f t="shared" ref="C5:D5" si="0">1-SUM(C2:C4)</f>
        <v>1</v>
      </c>
      <c r="D5" s="52">
        <f t="shared" si="0"/>
        <v>1</v>
      </c>
      <c r="E5" s="52">
        <f>1-SUM(E2:E4)</f>
        <v>1</v>
      </c>
      <c r="F5" s="52">
        <f>1-SUM(F2:F4)</f>
        <v>1</v>
      </c>
      <c r="G5" s="52">
        <f>1-SUM(G2:G4)</f>
        <v>1</v>
      </c>
    </row>
  </sheetData>
  <sheetProtection algorithmName="SHA-512" hashValue="9ijSE/8BUkAXVkYi65EZ1XPappPDy481N5Wqs6l7s9jtn5e4kG7Ye/HhFem8K/3f/oD6u0fBZ3SUcgAhKme2Dg==" saltValue="3AxUIhvBa1aD17M9MMnGA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UETelxuuUOU2OC1FXO4qSULaQEabOv3RLLn+1LKkQWEY/YyRTegoLKYRD9e9B7/0iV/fe2Fypjzzroia/IYE+A==" saltValue="fxbMB5DizBMvSnafUYlfO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/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/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/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/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/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/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/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/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/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/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/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/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/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/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/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/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/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/>
      <c r="C22" s="107"/>
      <c r="D22" s="107"/>
      <c r="E22" s="107"/>
      <c r="F22" s="107"/>
      <c r="G22" s="107"/>
      <c r="H22" s="107"/>
      <c r="I22" s="107"/>
      <c r="J22" s="107"/>
      <c r="K22" s="107"/>
      <c r="L22" s="107"/>
      <c r="M22" s="107"/>
      <c r="N22" s="107"/>
      <c r="O22" s="107"/>
    </row>
  </sheetData>
  <sheetProtection algorithmName="SHA-512" hashValue="z6/b1/imxgPDzoi38JdYGPRBqdygZPS6AZDeDCgZ2iMheGuhkd8vJEB7HJS3Q72hDjBVoX70YXcKOyMFlN9Ikw==" saltValue="zQTPQ1NHbBiuKjFwYxG41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W5XzgL4kpq+OJzQqZb+zhCDzi74wZOXb0UdJwnkFuQf6kBegXKHGV1sEZvmd2kCnBgO+d7SaZjsGi0Sk+4vZRg==" saltValue="4ZDPkjjBfddnzQ3wmhMWD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xk6S0VAAMLtTo7bPuml0sR6KtVIGEuDxVJvEihFF9KlMpz9/bCDwNdn+TjG4AXjY+TFq5yUYt3vD/5pgDMXLEA==" saltValue="twCLg8ASStPVp0T9z9qAT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99.99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99.99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99.99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99.99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99.99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99.99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99.99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99.99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99.99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99.99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99.99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99.99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99.99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3.8198900000000001E-2</v>
      </c>
      <c r="C16" s="96">
        <v>0.95</v>
      </c>
      <c r="D16" s="56">
        <v>99.99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6.5675947999999998E-2</v>
      </c>
      <c r="C17" s="96">
        <v>0.95</v>
      </c>
      <c r="D17" s="56">
        <v>99.99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</v>
      </c>
      <c r="C18" s="96">
        <v>0.95</v>
      </c>
      <c r="D18" s="56">
        <v>99.99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</v>
      </c>
      <c r="C19" s="96">
        <v>0.95</v>
      </c>
      <c r="D19" s="56">
        <v>99.99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99.99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99.99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99.99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99.99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99.99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</v>
      </c>
      <c r="C29" s="96">
        <v>0.95</v>
      </c>
      <c r="D29" s="56">
        <v>99.99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99.99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99.99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99.99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99.99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99.99</v>
      </c>
      <c r="E39" s="56" t="s">
        <v>212</v>
      </c>
      <c r="F39" s="96">
        <v>1</v>
      </c>
      <c r="G39" s="96">
        <v>1</v>
      </c>
    </row>
  </sheetData>
  <sheetProtection algorithmName="SHA-512" hashValue="NbHQb8NTIlfEU+TYA7E0b4S9KctAbdiMZK7BiI8o1YvsjHjKfeQMp7L/t5EgO096irI5JiA6XzZUsFrCIP9W3w==" saltValue="LIHmX0Ob1y9j63JBecud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+yECtSJUrJcQjWrdDnJzPyL0JTg1bLsmNca24UG2cI4aqxUvdE+fVAcM2FA4Tn725WLqsL1q7Q3Jm19bEuZeyQ==" saltValue="19rpcGzK0LXWefoaCkzxN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QMFuwcslIIqmgCv/HxXQij1lU0JsxLhz10nAQ/Xh+0g4+QSl0tCxKD8yotzG1gTud78cl/ROXFCe+hDdeVJ88Q==" saltValue="vB3xumGDGRqisvj+1R6RE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0</v>
      </c>
      <c r="C2" s="21">
        <f>'Entradas de población-año base'!C52</f>
        <v>0</v>
      </c>
      <c r="D2" s="21">
        <f>'Entradas de población-año base'!C53</f>
        <v>0</v>
      </c>
      <c r="E2" s="21">
        <f>'Entradas de población-año base'!C54</f>
        <v>0</v>
      </c>
      <c r="F2" s="21">
        <f>'Entradas de población-año base'!C55</f>
        <v>0</v>
      </c>
    </row>
    <row r="3" spans="1:6" ht="15.75" customHeight="1" x14ac:dyDescent="0.25">
      <c r="A3" s="3" t="s">
        <v>6</v>
      </c>
      <c r="B3" s="21">
        <f>frac_mam_1month * 2.6</f>
        <v>0</v>
      </c>
      <c r="C3" s="21">
        <f>frac_mam_1_5months * 2.6</f>
        <v>0</v>
      </c>
      <c r="D3" s="21">
        <f>frac_mam_6_11months * 2.6</f>
        <v>0</v>
      </c>
      <c r="E3" s="21">
        <f>frac_mam_12_23months * 2.6</f>
        <v>0</v>
      </c>
      <c r="F3" s="21">
        <f>frac_mam_24_59months * 2.6</f>
        <v>0</v>
      </c>
    </row>
    <row r="4" spans="1:6" ht="15.75" customHeight="1" x14ac:dyDescent="0.25">
      <c r="A4" s="3" t="s">
        <v>236</v>
      </c>
      <c r="B4" s="21">
        <f>frac_sam_1month * 2.6</f>
        <v>0</v>
      </c>
      <c r="C4" s="21">
        <f>frac_sam_1_5months * 2.6</f>
        <v>0</v>
      </c>
      <c r="D4" s="21">
        <f>frac_sam_6_11months * 2.6</f>
        <v>0</v>
      </c>
      <c r="E4" s="21">
        <f>frac_sam_12_23months * 2.6</f>
        <v>0</v>
      </c>
      <c r="F4" s="21">
        <f>frac_sam_24_59months * 2.6</f>
        <v>0</v>
      </c>
    </row>
  </sheetData>
  <sheetProtection algorithmName="SHA-512" hashValue="rurr3SLIOKFT23o/fQoAfp0elb0VeExPXNvDS9GQBMCG7ztf0D3oWqAcIFezdORr5vbRqSnW7dlfP2RkFztzjA==" saltValue="GqtVOx8C/re0cbGaQuuzH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</v>
      </c>
      <c r="F2" s="60">
        <f>food_insecure</f>
        <v>0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0</v>
      </c>
      <c r="D7" s="60">
        <f>diarrhoea_1_5mo*frac_diarrhea_severe</f>
        <v>0</v>
      </c>
      <c r="E7" s="60">
        <f>diarrhoea_6_11mo*frac_diarrhea_severe</f>
        <v>0</v>
      </c>
      <c r="F7" s="60">
        <f>diarrhoea_12_23mo*frac_diarrhea_severe</f>
        <v>0</v>
      </c>
      <c r="G7" s="60">
        <f>diarrhoea_24_59mo*frac_diarrhea_severe</f>
        <v>0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0</v>
      </c>
      <c r="D12" s="60">
        <f>diarrhoea_1_5mo*frac_diarrhea_severe</f>
        <v>0</v>
      </c>
      <c r="E12" s="60">
        <f>diarrhoea_6_11mo*frac_diarrhea_severe</f>
        <v>0</v>
      </c>
      <c r="F12" s="60">
        <f>diarrhoea_12_23mo*frac_diarrhea_severe</f>
        <v>0</v>
      </c>
      <c r="G12" s="60">
        <f>diarrhoea_24_59mo*frac_diarrhea_severe</f>
        <v>0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</v>
      </c>
      <c r="I15" s="60">
        <f t="shared" si="0"/>
        <v>0</v>
      </c>
      <c r="J15" s="60">
        <f t="shared" si="0"/>
        <v>0</v>
      </c>
      <c r="K15" s="60">
        <f t="shared" si="0"/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</v>
      </c>
      <c r="I16" s="60">
        <f t="shared" si="0"/>
        <v>0</v>
      </c>
      <c r="J16" s="60">
        <f t="shared" si="0"/>
        <v>0</v>
      </c>
      <c r="K16" s="60">
        <f t="shared" si="0"/>
        <v>0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</v>
      </c>
      <c r="I19" s="60">
        <f>frac_malaria_risk</f>
        <v>0</v>
      </c>
      <c r="J19" s="60">
        <f>frac_malaria_risk</f>
        <v>0</v>
      </c>
      <c r="K19" s="60">
        <f>frac_malaria_risk</f>
        <v>0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</v>
      </c>
      <c r="M24" s="60">
        <f>famplan_unmet_need</f>
        <v>0</v>
      </c>
      <c r="N24" s="60">
        <f>famplan_unmet_need</f>
        <v>0</v>
      </c>
      <c r="O24" s="60">
        <f>famplan_unmet_need</f>
        <v>0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0.49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0.21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0.3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</v>
      </c>
      <c r="F30" s="60">
        <f t="shared" si="1"/>
        <v>0</v>
      </c>
      <c r="G30" s="60">
        <f t="shared" si="1"/>
        <v>0</v>
      </c>
      <c r="H30" s="60">
        <f t="shared" si="1"/>
        <v>0</v>
      </c>
      <c r="I30" s="60">
        <f t="shared" si="1"/>
        <v>0</v>
      </c>
      <c r="J30" s="60">
        <f t="shared" si="1"/>
        <v>0</v>
      </c>
      <c r="K30" s="60">
        <f t="shared" si="1"/>
        <v>0</v>
      </c>
      <c r="L30" s="60">
        <f t="shared" si="1"/>
        <v>0</v>
      </c>
      <c r="M30" s="60">
        <f t="shared" si="1"/>
        <v>0</v>
      </c>
      <c r="N30" s="60">
        <f t="shared" si="1"/>
        <v>0</v>
      </c>
      <c r="O30" s="60">
        <f t="shared" si="1"/>
        <v>0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</v>
      </c>
      <c r="F31" s="60">
        <f t="shared" si="2"/>
        <v>0</v>
      </c>
      <c r="G31" s="60">
        <f t="shared" si="2"/>
        <v>0</v>
      </c>
      <c r="H31" s="60">
        <f t="shared" si="2"/>
        <v>0</v>
      </c>
      <c r="I31" s="60">
        <f t="shared" si="2"/>
        <v>0</v>
      </c>
      <c r="J31" s="60">
        <f t="shared" si="2"/>
        <v>0</v>
      </c>
      <c r="K31" s="60">
        <f t="shared" si="2"/>
        <v>0</v>
      </c>
      <c r="L31" s="60">
        <f t="shared" si="2"/>
        <v>0</v>
      </c>
      <c r="M31" s="60">
        <f t="shared" si="2"/>
        <v>0</v>
      </c>
      <c r="N31" s="60">
        <f t="shared" si="2"/>
        <v>0</v>
      </c>
      <c r="O31" s="60">
        <f t="shared" si="2"/>
        <v>0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</v>
      </c>
      <c r="F32" s="60">
        <f t="shared" si="3"/>
        <v>0</v>
      </c>
      <c r="G32" s="60">
        <f t="shared" si="3"/>
        <v>0</v>
      </c>
      <c r="H32" s="60">
        <f t="shared" si="3"/>
        <v>0</v>
      </c>
      <c r="I32" s="60">
        <f t="shared" si="3"/>
        <v>0</v>
      </c>
      <c r="J32" s="60">
        <f t="shared" si="3"/>
        <v>0</v>
      </c>
      <c r="K32" s="60">
        <f t="shared" si="3"/>
        <v>0</v>
      </c>
      <c r="L32" s="60">
        <f t="shared" si="3"/>
        <v>0</v>
      </c>
      <c r="M32" s="60">
        <f t="shared" si="3"/>
        <v>0</v>
      </c>
      <c r="N32" s="60">
        <f t="shared" si="3"/>
        <v>0</v>
      </c>
      <c r="O32" s="60">
        <f t="shared" si="3"/>
        <v>0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</v>
      </c>
      <c r="D34" s="60">
        <f t="shared" si="4"/>
        <v>0</v>
      </c>
      <c r="E34" s="60">
        <f t="shared" si="4"/>
        <v>0</v>
      </c>
      <c r="F34" s="60">
        <f t="shared" si="4"/>
        <v>0</v>
      </c>
      <c r="G34" s="60">
        <f t="shared" si="4"/>
        <v>0</v>
      </c>
      <c r="H34" s="60">
        <f t="shared" si="4"/>
        <v>0</v>
      </c>
      <c r="I34" s="60">
        <f t="shared" si="4"/>
        <v>0</v>
      </c>
      <c r="J34" s="60">
        <f t="shared" si="4"/>
        <v>0</v>
      </c>
      <c r="K34" s="60">
        <f t="shared" si="4"/>
        <v>0</v>
      </c>
      <c r="L34" s="60">
        <f t="shared" si="4"/>
        <v>0</v>
      </c>
      <c r="M34" s="60">
        <f t="shared" si="4"/>
        <v>0</v>
      </c>
      <c r="N34" s="60">
        <f t="shared" si="4"/>
        <v>0</v>
      </c>
      <c r="O34" s="60">
        <f t="shared" si="4"/>
        <v>0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syOJSu/5F/IUfQ95PFe0mCHnMauOkcx/HadQIXUco7G4FhqP5SKzEQjoEMm3GL1aeFua8eJYU/4l1BW/CuBrXQ==" saltValue="OU3vP9K16uTETM8zlm6ba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cCK2CZyNQvX7WFyY8Ucq32rEtjgWL1CX1GstcBArTNzru1iJabgFCzPhBq5SAIzNtUnhUtpQgZpUVUggRIwq8A==" saltValue="dB5NYX7mLQzhExf6sDTgq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x6VAeq0aTnFbX1pri2uypakYzZRXGSnbXgR5ynsFbbI0DMZbpOlxsVRDy8vEEai5PVYTkSDeH6KXG/dFjsCp2w==" saltValue="EpcYnxWUE+R+sJWb3JHsd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3JXQMEDR0UJhsobjrkma4TFtgDRTAqYgs4BophwdWfpnLn2rfH6+OrWm1wKHP7JPjntjho4Z1vIYVYC6BSMp7w==" saltValue="i4l5zs4Ur9v1TFd10TDsH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c0DcvitfGpldhC2lv3vGSlm8jAjtm1HCJm6f1vsgGDZ9aYGOk7AI3cLlo26MsSNM90mHy/SmWRS+ZCt40YHf/g==" saltValue="EeYTGfRV2C/cgFLv4+/YM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Zn0IzmyrBqr5eUBYONv6TfATJevpLNjs/MssVzuzYd+pP3/HqnvPeBnzLoZKMguL2qr36uvrmesxeGlRXGB5xA==" saltValue="hcLwH18ad8YiOuO4cdSk0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NA3l0U7UfvNpNYDfWHJzmm4ahbvxesvsqvMQ741y6aS7pfzoC7qbQ2Ybh07/6JGfm+gytLO7fCZXruuYwyen3w==" saltValue="/KVryiXdZ2aBgdSPtU2uP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QIwXUxURNbbq2EP1aHNBYaFVEiiLzzrz419AsMiqGERimg4lyKxG5VOVvo7t9epSjsAEKkYDhIeZNqHILZLtEA==" saltValue="arwVdGOTGX1qNtouIJPx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a+8CsmRY9zas80phjpe9gtx1ZQ7KCMmaDT/KwNqZAuRoBoweoprkrFkDof5QxZKzn4LOBYthdlXn959/e27GtQ==" saltValue="F5tkf0ohTEqElz7w1juR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/wjKhxqokvB/3/5amhEy8JLTl7Q6E9iWbBNMdbUrPXt2wTIZ8IqqI72N9IkSYhJJwsnVE/78i3FVqUunLLeOvw==" saltValue="TP+zDkQrcwjgb5FpD+IK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ZDwWOJtL3eJ69jc4dBuBiZ61Scmae+E2qBO3dIDiDe0XiyST4QN8FEG4+exU90VolrYhESbOuUfaRsfq4nPaJg==" saltValue="pqbk7DV/BE2CIrkY93o3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A3" zoomScale="70" zoomScaleNormal="70" workbookViewId="0">
      <selection activeCell="C3" sqref="C3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MrYP3LQdiKF/XyLbAQWTuFsWBH3bhP0/zx1m7+LVfuACEvIL0RK6gOkDJpHd6tkTOqN9yn+YI88GWmIsup/4gw==" saltValue="gVmMLg7F6m9ChCe/CqRD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vYQfw5rrAfMjmyBUiC2ummgqrzhVosjtRfKMzAIr7zre5o2xjnBJmLSogPtItcGgKptk03pF8ZwVTa/EIxeonw==" saltValue="H/zmkkEVe6Np5mMooWlMP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jLBkb2f269RMa96A09d7O0VrH2oNGX9V81uHLCI1bfs23h1YgvlAXHvLg1ZJRI+UbNEeMN/0in5LJNrhxSV2Tw==" saltValue="GhkKAMdcgtr9OSHrMRBV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A7RO7k7NKOiv+gUKC2FXi0I6H81XwBYSu2lvaqZE37jBMCS5j3DNCJk/mAQJ0A88DTN8G/KPFNfOXJVDBB4CQg==" saltValue="LBLHV5Tvd6295zxFNg3Ui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2025-07-29T23:19:19Z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