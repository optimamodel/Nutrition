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EA9A53F8-60F4-4F97-B486-BC955193830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51" r:id="rId6"/>
    <sheet name="Pérdida económica" sheetId="74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r:id="rId20"/>
    <sheet name="Riesgos desenlace de nacimiento" sheetId="66" state="hidden" r:id="rId21"/>
    <sheet name="Riesgos relativos" sheetId="67" r:id="rId22"/>
    <sheet name="Razón de momios" sheetId="68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r:id="rId28"/>
  </sheet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F121" i="65"/>
  <c r="E121" i="65"/>
  <c r="D121" i="65"/>
  <c r="F120" i="65"/>
  <c r="E120" i="65"/>
  <c r="D120" i="65"/>
  <c r="G119" i="65"/>
  <c r="F119" i="65"/>
  <c r="E119" i="65"/>
  <c r="D119" i="65"/>
  <c r="G118" i="65"/>
  <c r="E118" i="65"/>
  <c r="D118" i="65"/>
  <c r="G117" i="65"/>
  <c r="E117" i="65"/>
  <c r="D117" i="65"/>
  <c r="G116" i="65"/>
  <c r="F116" i="65"/>
  <c r="E116" i="65"/>
  <c r="D116" i="65"/>
  <c r="G115" i="65"/>
  <c r="F115" i="65"/>
  <c r="D115" i="65"/>
  <c r="G114" i="65"/>
  <c r="F114" i="65"/>
  <c r="D114" i="65"/>
  <c r="G113" i="65"/>
  <c r="F113" i="65"/>
  <c r="E113" i="65"/>
  <c r="D113" i="65"/>
  <c r="G112" i="65"/>
  <c r="F112" i="65"/>
  <c r="E112" i="65"/>
  <c r="G111" i="65"/>
  <c r="F111" i="65"/>
  <c r="E111" i="65"/>
  <c r="F68" i="65"/>
  <c r="E68" i="65"/>
  <c r="D68" i="65"/>
  <c r="F67" i="65"/>
  <c r="E67" i="65"/>
  <c r="D67" i="65"/>
  <c r="G66" i="65"/>
  <c r="F66" i="65"/>
  <c r="E66" i="65"/>
  <c r="D66" i="65"/>
  <c r="G65" i="65"/>
  <c r="E65" i="65"/>
  <c r="D65" i="65"/>
  <c r="G64" i="65"/>
  <c r="E64" i="65"/>
  <c r="D64" i="65"/>
  <c r="G63" i="65"/>
  <c r="F63" i="65"/>
  <c r="E63" i="65"/>
  <c r="D63" i="65"/>
  <c r="G62" i="65"/>
  <c r="F62" i="65"/>
  <c r="D62" i="65"/>
  <c r="G61" i="65"/>
  <c r="F61" i="65"/>
  <c r="D61" i="65"/>
  <c r="G60" i="65"/>
  <c r="F60" i="65"/>
  <c r="E60" i="65"/>
  <c r="D60" i="65"/>
  <c r="G59" i="65"/>
  <c r="F59" i="65"/>
  <c r="E59" i="65"/>
  <c r="G58" i="65"/>
  <c r="F58" i="65"/>
  <c r="E58" i="65"/>
  <c r="F18" i="72"/>
  <c r="G18" i="72"/>
  <c r="H18" i="72"/>
  <c r="F20" i="72"/>
  <c r="G20" i="72"/>
  <c r="H20" i="72"/>
  <c r="F130" i="72"/>
  <c r="G130" i="72"/>
  <c r="H130" i="72"/>
  <c r="H128" i="72"/>
  <c r="G128" i="72"/>
  <c r="F128" i="72"/>
  <c r="F75" i="72"/>
  <c r="G75" i="72"/>
  <c r="H75" i="72"/>
  <c r="H73" i="72"/>
  <c r="G73" i="72"/>
  <c r="F73" i="72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52" i="68" l="1"/>
  <c r="E52" i="68"/>
  <c r="F29" i="68"/>
  <c r="E29" i="68"/>
  <c r="C44" i="68"/>
  <c r="G12" i="2"/>
  <c r="H12" i="2"/>
  <c r="G13" i="2"/>
  <c r="H13" i="2"/>
  <c r="I13" i="2" s="1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I12" i="2" l="1"/>
  <c r="D42" i="69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D65" i="70"/>
  <c r="D66" i="70"/>
  <c r="D67" i="70"/>
  <c r="C65" i="70"/>
  <c r="C66" i="70"/>
  <c r="C67" i="70"/>
  <c r="C64" i="70"/>
  <c r="D41" i="70"/>
  <c r="D42" i="70"/>
  <c r="D43" i="70"/>
  <c r="D44" i="70"/>
  <c r="C42" i="70"/>
  <c r="C43" i="70"/>
  <c r="C44" i="70"/>
  <c r="C41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D75" i="72"/>
  <c r="E75" i="72"/>
  <c r="D76" i="72"/>
  <c r="D131" i="72" s="1"/>
  <c r="E76" i="72"/>
  <c r="F76" i="72"/>
  <c r="G76" i="72"/>
  <c r="H76" i="72"/>
  <c r="E77" i="72"/>
  <c r="F77" i="72"/>
  <c r="G77" i="72"/>
  <c r="H77" i="72"/>
  <c r="D78" i="72"/>
  <c r="D133" i="72" s="1"/>
  <c r="E78" i="72"/>
  <c r="F78" i="72"/>
  <c r="G78" i="72"/>
  <c r="H78" i="72"/>
  <c r="E79" i="72"/>
  <c r="F79" i="72"/>
  <c r="G79" i="72"/>
  <c r="H79" i="72"/>
  <c r="D80" i="72"/>
  <c r="D135" i="72" s="1"/>
  <c r="E80" i="72"/>
  <c r="F80" i="72"/>
  <c r="G80" i="72"/>
  <c r="H80" i="72"/>
  <c r="E81" i="72"/>
  <c r="F81" i="72"/>
  <c r="G81" i="72"/>
  <c r="H81" i="72"/>
  <c r="D97" i="72"/>
  <c r="D152" i="72" s="1"/>
  <c r="E97" i="72"/>
  <c r="E152" i="72" s="1"/>
  <c r="F97" i="72"/>
  <c r="F152" i="72" s="1"/>
  <c r="G97" i="72"/>
  <c r="G152" i="72" s="1"/>
  <c r="H97" i="72"/>
  <c r="H152" i="72" s="1"/>
  <c r="E57" i="72"/>
  <c r="F57" i="72"/>
  <c r="F112" i="72" s="1"/>
  <c r="G57" i="72"/>
  <c r="G112" i="72" s="1"/>
  <c r="H57" i="72"/>
  <c r="H112" i="72" s="1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40" i="68"/>
  <c r="D40" i="68"/>
  <c r="E40" i="68"/>
  <c r="F40" i="68"/>
  <c r="G40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H67" i="65"/>
  <c r="H66" i="65"/>
  <c r="H65" i="65"/>
  <c r="H64" i="65"/>
  <c r="H63" i="65"/>
  <c r="H62" i="65"/>
  <c r="H61" i="65"/>
  <c r="H60" i="65"/>
  <c r="H59" i="65"/>
  <c r="H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3" i="68" l="1"/>
  <c r="D63" i="68"/>
  <c r="E63" i="68"/>
  <c r="F63" i="68"/>
  <c r="G63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H111" i="65"/>
  <c r="H112" i="65"/>
  <c r="H113" i="65"/>
  <c r="H114" i="65"/>
  <c r="H115" i="65"/>
  <c r="H116" i="65"/>
  <c r="H117" i="65"/>
  <c r="H118" i="65"/>
  <c r="H119" i="65"/>
  <c r="H120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E49" i="68"/>
  <c r="F49" i="68"/>
  <c r="G49" i="68"/>
  <c r="D49" i="68"/>
  <c r="D26" i="68"/>
  <c r="E26" i="68"/>
  <c r="F26" i="68"/>
  <c r="G26" i="68"/>
  <c r="E32" i="21" l="1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CEC2BEAB-8106-4F99-B7F9-AEBA888C1D3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6" authorId="0" shapeId="0" xr:uid="{B4E34681-6C8E-46E8-A7CE-75F882328DA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8" authorId="0" shapeId="0" xr:uid="{3FF52173-B5FC-43E4-A67D-20701A8BC96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9" authorId="0" shapeId="0" xr:uid="{F0176B0F-5C2B-4F2F-9499-45DCF760073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" authorId="0" shapeId="0" xr:uid="{5F6FC69E-E315-495C-B61C-54987031E97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2" authorId="0" shapeId="0" xr:uid="{D1B45D24-EA42-4396-A64B-F606BC50060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4" authorId="0" shapeId="0" xr:uid="{DA396848-65DD-4B57-85EB-992E288BCAD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5" authorId="0" shapeId="0" xr:uid="{189B850A-ACBA-4BE1-873E-283E961004C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28" authorId="1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1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1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1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D01AC6EE-E4BD-455A-B47D-D367ABF5D3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59" authorId="0" shapeId="0" xr:uid="{8D4ECCD0-1449-4907-9EE4-3F4F33A9162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61" authorId="0" shapeId="0" xr:uid="{87550490-2E92-430D-8CCB-5242A1A9D5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62" authorId="0" shapeId="0" xr:uid="{929C211E-AFB8-4942-92A3-F08DCCA3843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64" authorId="0" shapeId="0" xr:uid="{DAE73675-BF94-4B92-965F-CED0E4F2E75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65" authorId="0" shapeId="0" xr:uid="{9AC383ED-752D-479A-8A46-29B84B76CDB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7" authorId="0" shapeId="0" xr:uid="{2A536D68-8AED-4664-A323-C8125E57E6E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68" authorId="0" shapeId="0" xr:uid="{9AE796FE-126D-49A7-BBC6-220FCF06A27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13400FB3-01A1-4882-AD45-5A8B25ED1C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D112" authorId="0" shapeId="0" xr:uid="{ACB9181C-4E58-4785-A928-2B341BA5DE8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or community settings, OR 2.17 (1.84-2.56)</t>
        </r>
      </text>
    </comment>
    <comment ref="E114" authorId="0" shapeId="0" xr:uid="{8A187BD4-0E28-4A12-A931-1E243292F40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E115" authorId="0" shapeId="0" xr:uid="{FF62E2B3-990A-42FC-8814-F571D1D5D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home and community settings, OR 2.48 (1.99-3.09) </t>
        </r>
      </text>
    </comment>
    <comment ref="F117" authorId="0" shapeId="0" xr:uid="{AD76BC8D-C149-4D23-9603-FD42F8F8BEA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F118" authorId="0" shapeId="0" xr:uid="{5B838039-11A3-4B31-8003-020BE09FD80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0" authorId="0" shapeId="0" xr:uid="{F715BF6B-4779-4228-819D-568A7EE0BBB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G121" authorId="0" shapeId="0" xr:uid="{0AD14782-5C07-4167-BF2E-A0C3A8D841A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Sinah et al 2017 combined delivery: home and community settings and health systems and and services, OR 1.82 (1.36-2.45)</t>
        </r>
      </text>
    </comment>
    <comment ref="A125" authorId="1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34B96FEA-B964-4EC2-B53C-D2953DF6BC5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43367D38-92C3-4E0E-A4DC-CDB1A72DEE2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6A8DF9E7-4D66-4EC7-9706-E5186D82B96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889A3473-AB31-40E6-B9D0-633D6B72F3F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53AC47BB-8A66-4B39-B002-09D03EB8B9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814EC85F-D2EC-46FD-8BA2-C49BA3C3424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EAE9BBD8-A606-4467-AE3F-B7B4E6C55FB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4D8D5033-A8BA-4DD6-ADC9-02ECAFAE5C2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C5201C06-1C5C-4C76-A3A5-D2BD69256AF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585AA742-BC60-4C28-A6B2-DB640388547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0A01ACB-0F5A-457B-8EDE-D7BDA4A6F01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E56D0B66-2989-49AD-904D-C505C2A6640F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  <comment ref="A220" authorId="1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14B14DA1-34EA-47AB-8E43-07604E896F8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E6FDF84E-3D11-4E70-83C8-F3597619C24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D12" authorId="1" shapeId="0" xr:uid="{8D635818-F406-4CAE-A115-80A4E00652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C15" authorId="0" shapeId="0" xr:uid="{2ED71DA4-16C9-4E3C-BA26-DD6273DAAE4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A7010501-4261-4C9B-90BB-6443ACFD364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A3E68AAD-3178-41B6-9912-DE240CC035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5" authorId="0" shapeId="0" xr:uid="{0081E56F-AA05-44A7-AD3E-16DCCF8419B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38" authorId="0" shapeId="0" xr:uid="{D2D71672-0937-4CE2-B37E-4A5F8ACA207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988C97C2-2596-4071-90C3-3B6EC84C56B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C50" authorId="0" shapeId="0" xr:uid="{D09CF5A5-8767-485E-B990-089CC054A8D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Checkley et al. Int J Epidemiol 2008.
The adjusted odds of stunting increased by 1.13 for every five episodes (95% CI 1.07-1.19)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C58" authorId="0" shapeId="0" xr:uid="{4BEF5729-E89C-4BC0-851B-74D57A9BA550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Impact on &lt;1 month not considered to avoid double counting with the mortality benefits for this age group</t>
        </r>
      </text>
    </comment>
    <comment ref="C61" authorId="0" shapeId="0" xr:uid="{E3284572-14C7-4B88-AD6A-C589CAA24F4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5262E1D2-D729-4DC6-AF18-93BB11321A9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45A337A4-FF7C-4570-99C9-ADFCC16A29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3" authorId="0" shapeId="0" xr:uid="{CF7396EE-A585-4103-A40A-B7211A54AD9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3" authorId="0" shapeId="0" xr:uid="{EAB8438F-16BB-45F4-ACED-7B0E4241452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4" authorId="0" shapeId="0" xr:uid="{19D2142B-A8DC-45EF-A75E-42D0B53AA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2338D7F3-E9E5-4E5D-8043-C677065DC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41F6EA7C-88F2-417F-B020-50B4F5B3B2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0459F4A6-55D6-4F9D-973F-13451DE8F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282A36CA-CBF0-4BFC-B054-E835C2383C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0153DB92-F989-40D6-B393-0529B54E74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FEC4637E-57DA-467E-B19C-E1BB5860B0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D33E7E37-FEC4-4A7F-8D6B-742EF39007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6E170B96-50CF-43CE-89A1-0A99D95CA8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9F65C420-B856-46C7-9C18-6E08DD715B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E51DEFC4-68A2-421B-A28A-9E152F9E95F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93884D12-F580-4E1D-BB10-84E5D68760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965E08A1-26DC-4F21-92A8-4046BF82F0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1D2694FE-075A-46BA-878B-631B3C98B8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3BD2F475-860D-4076-A33C-C3BBF462D8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6C6350E6-B429-4ACB-BB83-EFD489CB8F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1B542159-0FF4-41A6-B2FD-8AADA895E6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3C50A6A9-0D90-4379-A195-680EA20E9B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4930BCCD-4A8B-4494-95EC-46501BD2F5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50A6554B-81C6-4ECA-A58A-3893B58848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11E2FF-D780-4F72-B05B-DD82D10270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AC3F1E65-252C-4D84-89B5-99BFA0EC8D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03B9CF86-2812-4917-BCCB-02E3B86B5F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5CC84E68-F3A4-4939-85E0-159EE927C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7C950990-554A-4703-93E9-7168EB8940B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95E7529-ADBB-419F-9D5C-6C3D717C3A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4D009898-38F9-4FB5-8886-82DB3F331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BCADDE0F-D7D1-41E4-999B-9329A1133C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88835307-D05D-42FB-9B0A-0BBC6A19B44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777F9507-4FE8-447F-A11B-2ED30AE868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C305BC5B-9D0D-4A4B-8A5F-E25346BC42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F5AD49F9-4E89-4303-B1DD-7C6C1EE34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F676AA82-4CC2-47BE-BB83-AC3CACB210D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21376480-CB3C-4F03-B39F-E5C06467F3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4C6321D4-BCE4-4AFE-98BE-ABC964A546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F4E5DE3-6143-4F3E-A9C5-79C2F897E7F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F66DBC46-D127-4B29-9DD4-AEF5E8FB150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31FE7754-E232-4A6D-8C5B-07B95C1BC2F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FCC33859-1961-4C6C-8BCD-2204DB58E6E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5E1923EB-511F-4256-A1A7-E9CBDA5CCF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44B6BEF2-7264-44EC-B06E-F361DAB562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18" authorId="0" shapeId="0" xr:uid="{37735778-291F-4C48-8839-E59D32F7BE7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18" authorId="0" shapeId="0" xr:uid="{F2662C3C-8D6A-4222-A7A4-47AD6B7FA97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18" authorId="0" shapeId="0" xr:uid="{D150A46D-92DD-4DFC-9DE9-CD874D4AD5D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18" authorId="0" shapeId="0" xr:uid="{0DB3E05F-1BE4-4008-83A6-4D31928F8E6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18" authorId="0" shapeId="0" xr:uid="{3E65390B-60D3-4D3A-AA37-9B3D6EC91E2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18" authorId="0" shapeId="0" xr:uid="{E8897B0B-2707-4B2B-8FDA-52A3F582068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18" authorId="0" shapeId="0" xr:uid="{4FE59595-C62B-46D3-89A9-59146ACE50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18" authorId="0" shapeId="0" xr:uid="{E2BDDEB1-B8BE-41E5-AAB8-9B8F7493F0E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18" authorId="0" shapeId="0" xr:uid="{3A28F73A-73D9-407B-A2DD-CBB904F50AF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18" authorId="0" shapeId="0" xr:uid="{258334C9-E76A-4FA7-A10F-7CCC0B0563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3BC9A9D5-CC60-4731-8923-E10030869F4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F20" authorId="0" shapeId="0" xr:uid="{7760C48C-4F93-48B5-9FFC-DE563A23335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G20" authorId="0" shapeId="0" xr:uid="{5B3766FE-CA92-4F62-9E72-19F21FF5D56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H20" authorId="0" shapeId="0" xr:uid="{CE76ABCD-147B-4784-849A-9998ABE98BB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I20" authorId="0" shapeId="0" xr:uid="{EBA450B2-1CF2-4288-BDA2-78745CAD743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J20" authorId="0" shapeId="0" xr:uid="{24448E14-B7A1-43CB-984E-19C2A7416D1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K20" authorId="0" shapeId="0" xr:uid="{595E7BB3-39E3-42DE-A065-546E90831A5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L20" authorId="0" shapeId="0" xr:uid="{CD3045CB-86C7-4BF8-9279-07B5A622D32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M20" authorId="0" shapeId="0" xr:uid="{000ADE9C-7F23-4944-92BE-0C516E4123C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N20" authorId="0" shapeId="0" xr:uid="{89E488E8-E6DA-4D0F-A685-36FB1F3044F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O20" authorId="0" shapeId="0" xr:uid="{C086FE8B-A83A-4BD2-8BA8-B7EAD067269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41224EBC-F1AA-418B-B532-EF5C73BD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26" authorId="0" shapeId="0" xr:uid="{E62F37D1-31A0-47B4-BEB4-7E2FA599A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26" authorId="0" shapeId="0" xr:uid="{838740CD-3310-41C9-B5DC-3D7BE5A744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27" authorId="0" shapeId="0" xr:uid="{2EECE645-A9A1-495A-BCF7-2DD081BA9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CF8896A-3906-4A61-B963-91AF6895990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8CF218BE-16AD-4E44-AFAA-F8503A37EE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31EE5334-3B32-4627-8AA8-43C5DCABFE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ED226BFF-22AC-4047-93D1-962A9FEF3CD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FFF2E41D-D700-4A82-8987-9FDAD4E67C9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50D34FA5-3380-4C57-A332-46CE9E8219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CF22250A-9F96-414C-BF3B-09B794CAA5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C704A05C-ABF8-46CF-8830-60096BC91E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1B730C56-AD19-4F33-8439-BA27E227C1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E071AC68-E7A6-42B5-98FE-A5D4898327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56119EC3-31D8-4D15-A004-FDB2E57F18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37263B80-E038-4697-91D1-B0CF6BA1E9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C0DD9308-7FDF-45F2-91F0-9630B2C8515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684C6939-D57C-476F-AAA3-1C24A9999F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DB802992-0C36-4251-96F3-BB879D0521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2D277618-7513-4F17-938E-65CFBA3262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508277B8-700A-4F25-B6D2-785887B205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3140FF00-E5C4-4EB7-92CA-DD2E79AA7C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65FA314B-75F8-476B-AD0B-CAC2A2A050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A5E315C2-B1F7-4C0B-AFDE-031EC4812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E0794B47-8F2E-4F96-A88B-9F5F2150C5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5637E9AC-577E-4CD4-B7F6-F896D0CA7E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C4A1DE1D-6EE0-4163-9C0B-44AB9F5FE2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7A11B1E1-C245-46B6-BD73-3812B00EC5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657794F4-F779-47EB-89F9-95A42B332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205C026D-F608-453C-8497-15BA1FA6910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85994BEB-F7F3-407F-A201-28B4187CF8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293CF64E-D534-4060-842C-0BE286513F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AC375BB9-56D8-456E-A5AD-7A369B8D035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AC1B6E2C-8AB1-4B6A-9CEC-75C0325D95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E5847517-BA54-4497-898C-2EBAA48B51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91DFF6E-E132-40E3-B99C-BE644BAFFE8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2C2EC19-9EA1-4B89-BAEC-820493A0211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1" authorId="0" shapeId="0" xr:uid="{47D26035-BD89-470E-B909-0F120207FEB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3" authorId="0" shapeId="0" xr:uid="{703E1076-E4D4-414E-AE8E-3B551ABFDA7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A96EF5BA-761A-4524-840D-9A3F70C10F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D49" authorId="0" shapeId="0" xr:uid="{E19FDBFD-3130-4EFE-95D7-8D93A2429D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(0.87-0.99 );
Assuming at least the same effect on younger group</t>
        </r>
      </text>
    </comment>
    <comment ref="E49" authorId="0" shapeId="0" xr:uid="{F3913CCC-CECF-40A2-9FEF-3CD1FE869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6-12 months, RR 0.92 (0.87-0.99 )</t>
        </r>
      </text>
    </comment>
    <comment ref="H50" authorId="0" shapeId="0" xr:uid="{A18414E9-EAB5-4272-A620-3B11A62429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6F68044-2A01-4C00-B659-D3B347F98E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A91B0525-7A2B-4703-B98A-94D3F10A149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42F796A1-11D9-4B30-B0B7-6BC3C8093F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3D616178-B84C-4532-89BF-C77E6D793F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FAAC60D6-044B-478A-9B0B-0C0FFB302D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F1BE21FE-CB2D-4A0A-9245-4A63415406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4A265A01-3E89-4702-80D3-57603965C4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985C719D-E2C6-4933-BF71-E38D897FE1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8479D2CB-03CE-473D-983E-28F11CD5AA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1EE4B4B5-07D8-43E9-90E4-6167AB4A580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2C5F5C95-FE40-44BE-AB6B-24B84CC79E8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DBF1062-4EB0-4501-B88E-624A35471B8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C1F17F73-EC9A-4810-8A7A-F37F3FD46C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1E1631A-04B9-41CB-87A5-10C1D7D691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8C61CF6A-A609-470A-A7A3-BBACAA6AD3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CE3C9D8C-4F68-4541-89EE-ECB5F1C01A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0222CD48-1A54-45B6-8DDD-BD2B4D9FB19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14540435-C53E-48A5-96E5-10D11AF295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BBE77DE0-7A1E-42DF-ABE9-D82F8C2612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A3259BE7-694C-4766-8BD3-A0A97D1DE1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F7755F1F-A813-4835-A282-698D00A098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D0D590D2-669B-4C41-99E3-E63B989497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314B446B-9F7D-41D5-A1B8-D97E681FF1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CC8922FE-CC83-4A52-942B-00AA8EDEE5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55DC4339-F215-4D17-9848-20452CF5C3F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50736DF7-ED00-4D51-928B-D3E4EDEFB0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EECBB7E7-C411-49E0-8D2A-DD2380F7EA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9F6EC162-AE63-43AC-8675-C73F6D71FB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28D7DC3-28A1-42C0-B5A7-0B1AE522D2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0E52F3DA-85C8-4EDF-BBA5-23EB8DA6A2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2DD481FB-8AE3-46B2-9930-22ED657EB3F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0512303C-3E5A-4EEF-9EE8-EA9D414BC1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7053D45-3784-4849-9B25-BD4C7AD510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CA0262BD-63E6-4FD0-B7EE-313318E1F1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05027182-F7FF-4732-B11F-D74DE48E49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88D5A977-B039-40FE-B322-05334DB484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FD8A8321-3E19-46B3-90B7-E4985D3B368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5B839781-622F-4556-A941-11CABC94AA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F72A35BD-7808-4E2A-97DB-1547D7DE38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C442AB46-7D51-44EE-B1D2-8495078CE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49AC4147-F9B9-494C-9058-DA92433E410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78574AE1-34B9-42A4-8BEE-E7D4FD56F6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F3FBE881-CBB5-4B12-A5C2-47275C41E6F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48E421B-66BD-4CA7-B88B-9F2FB353DE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5AF20AF2-9237-43D2-A95B-C798F84C0A9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4" authorId="0" shapeId="0" xr:uid="{99763706-AB36-423D-B603-89A180EBF31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6" authorId="0" shapeId="0" xr:uid="{25A25BB3-9D28-4E6F-BCBE-6E99FF6C121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1" shapeId="0" xr:uid="{CD5241BA-7E8D-4462-ABA4-B2922B52C11D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5CAB40CA-B365-420C-86B5-CA0D2244D88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8" authorId="1" shapeId="0" xr:uid="{982AA0D3-742C-40A6-A7FD-BC3CA735B00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688C221F-E3FD-4352-92B8-297CA8ACCC2C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A15C74FD-0745-49C1-81D1-DE63A59E6E5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816DA7E9-3A71-4307-A495-59268FE7B2E5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2146E23C-EA28-4CC0-A596-B42C3CE66A1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1" shapeId="0" xr:uid="{12D3E130-78C1-4018-877C-57E4727FDB78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4BA56D8C-26E2-475E-A5E1-3FAFF6E9026B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3" authorId="1" shapeId="0" xr:uid="{3FFA5C55-6349-4E86-B693-665E93994E5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20E4CCC9-88BF-465B-938D-6E3B27CCB20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AE734E7C-85D3-4322-8524-0CBCF321FA7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F4C339EF-36AA-4A18-B221-BC2F118695C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A645D69-764D-42E9-AC2D-CD3B6FB5E85A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1" shapeId="0" xr:uid="{0505E57F-55CF-4368-8509-A3CBC586A66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775EE633-76A8-41FB-B903-2E128613C2F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8" authorId="1" shapeId="0" xr:uid="{6F6E1181-10DD-42FF-9C70-FE274116F73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C04BAF7D-7FCE-4681-B207-62908C416F7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7F13252F-3409-4E6C-8F01-C002D14A8C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62DB8744-7841-4BF3-AA0D-1947E0ABFF7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8FEAA011-6675-4E79-85B9-905C2A099816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4AF61CA1-88F8-4A2D-AF4D-FE702C266CD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Note: Ca supplementation impacts preterm birth, not curretly captured in the model Hofmeyr et al 2023, RR 0.76 (0.60-0.97), all women</t>
        </r>
      </text>
    </comment>
    <comment ref="D3" authorId="1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E3" authorId="1" shapeId="0" xr:uid="{06D1C44F-322F-4250-B3A0-5CA1DD1397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F3" authorId="1" shapeId="0" xr:uid="{2316F266-D52E-4626-AADC-A82258451B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G3" authorId="1" shapeId="0" xr:uid="{C9FD3895-C876-4843-9135-73283F7BAC0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Not statistically significant from Hofmeyr et al 2018, RR 0.17 (0.02-1.39)
RRR=1-1*0.17=0.83</t>
        </r>
      </text>
    </comment>
    <comment ref="D5" authorId="1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1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1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1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1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1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1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1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1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1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1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1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1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1" shapeId="0" xr:uid="{43FD30AE-661F-4270-8872-B297C7CFCB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1" shapeId="0" xr:uid="{0B66076E-4643-42C8-9D0B-3074C6005D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1" shapeId="0" xr:uid="{2B2C0A0D-B7EC-451A-B28B-718901FC632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<sst xmlns="http://schemas.openxmlformats.org/spreadsheetml/2006/main" count="2101" uniqueCount="341">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</sst>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19</v>
      </c>
      <c r="B1" s="31" t="s">
        <v>4</v>
      </c>
      <c r="C1" s="31" t="s">
        <v>24</v>
      </c>
    </row>
    <row r="2" spans="1:3" ht="15.9" customHeight="1" x14ac:dyDescent="0.3">
      <c r="A2" s="8" t="s">
        <v>55</v>
      </c>
      <c r="B2" s="31"/>
      <c r="C2" s="31"/>
    </row>
    <row r="3" spans="1:3" ht="15.9" customHeight="1" x14ac:dyDescent="0.3">
      <c r="A3" s="1"/>
      <c r="B3" s="5" t="s">
        <v>18</v>
      </c>
      <c r="C3" s="49">
        <v>2024</v>
      </c>
    </row>
    <row r="4" spans="1:3" ht="15.9" customHeight="1" x14ac:dyDescent="0.3">
      <c r="A4" s="1"/>
      <c r="B4" s="5" t="s">
        <v>26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1"/>
    </row>
    <row r="8" spans="1:3" ht="15" customHeight="1" x14ac:dyDescent="0.25">
      <c r="B8" s="5" t="s">
        <v>44</v>
      </c>
      <c r="C8" s="52"/>
    </row>
    <row r="9" spans="1:3" ht="15" customHeight="1" x14ac:dyDescent="0.25">
      <c r="B9" s="5" t="s">
        <v>43</v>
      </c>
      <c r="C9" s="53"/>
    </row>
    <row r="10" spans="1:3" ht="15" customHeight="1" x14ac:dyDescent="0.25">
      <c r="B10" s="5" t="s">
        <v>56</v>
      </c>
      <c r="C10" s="53"/>
    </row>
    <row r="11" spans="1:3" ht="15" customHeight="1" x14ac:dyDescent="0.25">
      <c r="B11" s="5" t="s">
        <v>49</v>
      </c>
      <c r="C11" s="53">
        <v>1</v>
      </c>
    </row>
    <row r="12" spans="1:3" ht="15" customHeight="1" x14ac:dyDescent="0.25">
      <c r="B12" s="5" t="s">
        <v>41</v>
      </c>
      <c r="C12" s="53">
        <v>1</v>
      </c>
    </row>
    <row r="13" spans="1:3" ht="15" customHeight="1" x14ac:dyDescent="0.25">
      <c r="B13" s="5" t="s">
        <v>62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3"/>
    </row>
    <row r="17" spans="1:3" ht="15" customHeight="1" x14ac:dyDescent="0.25">
      <c r="B17" s="5" t="s">
        <v>30</v>
      </c>
      <c r="C17" s="53"/>
    </row>
    <row r="18" spans="1:3" ht="15" customHeight="1" x14ac:dyDescent="0.25">
      <c r="B18" s="5" t="s">
        <v>31</v>
      </c>
      <c r="C18" s="53"/>
    </row>
    <row r="19" spans="1:3" ht="15" customHeight="1" x14ac:dyDescent="0.25">
      <c r="B19" s="5" t="s">
        <v>29</v>
      </c>
      <c r="C19" s="53"/>
    </row>
    <row r="20" spans="1:3" ht="15" customHeight="1" x14ac:dyDescent="0.25">
      <c r="B20" s="5" t="s">
        <v>34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3"/>
    </row>
    <row r="24" spans="1:3" ht="15" customHeight="1" x14ac:dyDescent="0.25">
      <c r="B24" s="15" t="s">
        <v>46</v>
      </c>
      <c r="C24" s="53"/>
    </row>
    <row r="25" spans="1:3" ht="15" customHeight="1" x14ac:dyDescent="0.25">
      <c r="B25" s="15" t="s">
        <v>47</v>
      </c>
      <c r="C25" s="53"/>
    </row>
    <row r="26" spans="1:3" ht="15" customHeight="1" x14ac:dyDescent="0.25">
      <c r="B26" s="15" t="s">
        <v>48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53"/>
    </row>
    <row r="30" spans="1:3" ht="14.25" customHeight="1" x14ac:dyDescent="0.25">
      <c r="B30" s="25" t="s">
        <v>63</v>
      </c>
      <c r="C30" s="116"/>
    </row>
    <row r="31" spans="1:3" ht="14.25" customHeight="1" x14ac:dyDescent="0.25">
      <c r="B31" s="25" t="s">
        <v>10</v>
      </c>
      <c r="C31" s="116"/>
    </row>
    <row r="32" spans="1:3" ht="14.25" customHeight="1" x14ac:dyDescent="0.25">
      <c r="B32" s="25" t="s">
        <v>11</v>
      </c>
      <c r="C32" s="116"/>
    </row>
    <row r="33" spans="1:5" ht="13" x14ac:dyDescent="0.25">
      <c r="B33" s="27" t="s">
        <v>60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1"/>
    </row>
    <row r="38" spans="1:5" ht="15" customHeight="1" x14ac:dyDescent="0.25">
      <c r="B38" s="11" t="s">
        <v>35</v>
      </c>
      <c r="C38" s="51"/>
      <c r="D38" s="12"/>
      <c r="E38" s="13"/>
    </row>
    <row r="39" spans="1:5" ht="15" customHeight="1" x14ac:dyDescent="0.25">
      <c r="B39" s="11" t="s">
        <v>61</v>
      </c>
      <c r="C39" s="51"/>
      <c r="D39" s="12"/>
      <c r="E39" s="12"/>
    </row>
    <row r="40" spans="1:5" ht="15" customHeight="1" x14ac:dyDescent="0.25">
      <c r="B40" s="11" t="s">
        <v>36</v>
      </c>
      <c r="C40" s="117"/>
    </row>
    <row r="41" spans="1:5" ht="15" customHeight="1" x14ac:dyDescent="0.25">
      <c r="B41" s="11" t="s">
        <v>32</v>
      </c>
      <c r="C41" s="53"/>
    </row>
    <row r="42" spans="1:5" ht="15" customHeight="1" x14ac:dyDescent="0.25">
      <c r="B42" s="11" t="s">
        <v>57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3"/>
      <c r="D45" s="12"/>
    </row>
    <row r="46" spans="1:5" ht="15.75" customHeight="1" x14ac:dyDescent="0.25">
      <c r="B46" s="11" t="s">
        <v>51</v>
      </c>
      <c r="C46" s="53"/>
      <c r="D46" s="12"/>
    </row>
    <row r="47" spans="1:5" ht="15.75" customHeight="1" x14ac:dyDescent="0.25">
      <c r="B47" s="11" t="s">
        <v>59</v>
      </c>
      <c r="C47" s="53"/>
      <c r="D47" s="12"/>
      <c r="E47" s="13"/>
    </row>
    <row r="48" spans="1:5" ht="15" customHeight="1" x14ac:dyDescent="0.25">
      <c r="B48" s="11" t="s">
        <v>58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17"/>
      <c r="D51" s="12"/>
    </row>
    <row r="52" spans="1:4" ht="15" customHeight="1" x14ac:dyDescent="0.25">
      <c r="B52" s="11" t="s">
        <v>13</v>
      </c>
      <c r="C52" s="117"/>
    </row>
    <row r="53" spans="1:4" ht="15.75" customHeight="1" x14ac:dyDescent="0.25">
      <c r="B53" s="11" t="s">
        <v>16</v>
      </c>
      <c r="C53" s="117"/>
    </row>
    <row r="54" spans="1:4" ht="15.75" customHeight="1" x14ac:dyDescent="0.25">
      <c r="B54" s="11" t="s">
        <v>14</v>
      </c>
      <c r="C54" s="117"/>
    </row>
    <row r="55" spans="1:4" ht="15.75" customHeight="1" x14ac:dyDescent="0.25">
      <c r="B55" s="11" t="s">
        <v>15</v>
      </c>
      <c r="C55" s="117"/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3"/>
    </row>
    <row r="59" spans="1:4" ht="15.75" customHeight="1" x14ac:dyDescent="0.25">
      <c r="B59" s="11" t="s">
        <v>40</v>
      </c>
      <c r="C59" s="53"/>
    </row>
    <row r="60" spans="1:4" ht="15.75" customHeight="1" x14ac:dyDescent="0.25">
      <c r="B60" s="11" t="s">
        <v>54</v>
      </c>
      <c r="C60" s="53"/>
    </row>
    <row r="61" spans="1:4" ht="15.75" customHeight="1" x14ac:dyDescent="0.25">
      <c r="B61" s="11" t="s">
        <v>53</v>
      </c>
      <c r="C61" s="53"/>
    </row>
    <row r="62" spans="1:4" ht="15.75" customHeight="1" x14ac:dyDescent="0.25">
      <c r="B62" s="11" t="s">
        <v>64</v>
      </c>
      <c r="C62" s="52"/>
    </row>
    <row r="63" spans="1:4" ht="15.75" customHeight="1" x14ac:dyDescent="0.3">
      <c r="A63" s="4"/>
    </row>
  </sheetData>
  <sheetProtection algorithmName="SHA-512" hashValue="d3dEKmEVwZodOeW2nBd912UYXt/oC0f0Avakr0uf01lSsmjDdd2+uSHiXE4Ws9ziGn3apAaKpuvoTDItx13+fA==" saltValue="EXBLUwd1Smrq4SKo8bfuh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sXaSd6iV1aMiDdzWAjoIcekEh1KWtOUJh8IgHZ6xcnS4fOB1PqyMyaxx1G5HVbXQcejruZqJS/KaVjmZZNroUQ==" saltValue="ZRUdEx1DyTt92f44MkEd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31"/>
      <c r="C1" s="31"/>
      <c r="D1" s="31"/>
      <c r="E1" s="31"/>
      <c r="F1" s="31"/>
    </row>
    <row r="2" spans="1:8" ht="27.75" customHeight="1" x14ac:dyDescent="0.3">
      <c r="A2" t="s">
        <v>6</v>
      </c>
      <c r="B2" s="31" t="s">
        <v>82</v>
      </c>
      <c r="C2" s="31" t="s">
        <v>78</v>
      </c>
      <c r="D2" s="31"/>
      <c r="E2" s="31"/>
      <c r="F2" s="31"/>
      <c r="G2" s="31"/>
    </row>
    <row r="3" spans="1:8" ht="15.75" customHeight="1" x14ac:dyDescent="0.25">
      <c r="B3" s="19" t="s">
        <v>93</v>
      </c>
      <c r="C3" s="119"/>
    </row>
    <row r="4" spans="1:8" ht="15.75" customHeight="1" x14ac:dyDescent="0.25">
      <c r="B4" s="19" t="s">
        <v>97</v>
      </c>
      <c r="C4" s="120"/>
    </row>
    <row r="5" spans="1:8" ht="15.75" customHeight="1" x14ac:dyDescent="0.25">
      <c r="B5" s="19" t="s">
        <v>95</v>
      </c>
      <c r="C5" s="120"/>
    </row>
    <row r="6" spans="1:8" ht="15.75" customHeight="1" x14ac:dyDescent="0.25">
      <c r="B6" s="19" t="s">
        <v>91</v>
      </c>
      <c r="C6" s="120"/>
    </row>
    <row r="7" spans="1:8" ht="15.75" customHeight="1" x14ac:dyDescent="0.25">
      <c r="B7" s="19" t="s">
        <v>96</v>
      </c>
      <c r="C7" s="120"/>
    </row>
    <row r="8" spans="1:8" ht="15.75" customHeight="1" x14ac:dyDescent="0.25">
      <c r="B8" s="19" t="s">
        <v>98</v>
      </c>
      <c r="C8" s="120"/>
    </row>
    <row r="9" spans="1:8" ht="15.75" customHeight="1" x14ac:dyDescent="0.25">
      <c r="B9" s="19" t="s">
        <v>92</v>
      </c>
      <c r="C9" s="120"/>
    </row>
    <row r="10" spans="1:8" ht="15.75" customHeight="1" x14ac:dyDescent="0.25">
      <c r="B10" s="19" t="s">
        <v>94</v>
      </c>
      <c r="C10" s="120"/>
    </row>
    <row r="11" spans="1:8" ht="15.75" customHeight="1" x14ac:dyDescent="0.25">
      <c r="B11" s="27" t="s">
        <v>60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1" t="s">
        <v>82</v>
      </c>
      <c r="C13" s="121" t="s">
        <v>74</v>
      </c>
      <c r="D13" s="121" t="s">
        <v>77</v>
      </c>
      <c r="E13" s="121" t="s">
        <v>75</v>
      </c>
      <c r="F13" s="121" t="s">
        <v>76</v>
      </c>
      <c r="G13" s="19"/>
    </row>
    <row r="14" spans="1:8" ht="15.75" customHeight="1" x14ac:dyDescent="0.25">
      <c r="B14" s="19" t="s">
        <v>84</v>
      </c>
      <c r="C14" s="119"/>
      <c r="D14" s="119"/>
      <c r="E14" s="119"/>
      <c r="F14" s="119"/>
    </row>
    <row r="15" spans="1:8" ht="15.75" customHeight="1" x14ac:dyDescent="0.25">
      <c r="B15" s="19" t="s">
        <v>102</v>
      </c>
      <c r="C15" s="120"/>
      <c r="D15" s="120"/>
      <c r="E15" s="120"/>
      <c r="F15" s="120"/>
    </row>
    <row r="16" spans="1:8" ht="15.75" customHeight="1" x14ac:dyDescent="0.25">
      <c r="B16" s="19" t="s">
        <v>0</v>
      </c>
      <c r="C16" s="120"/>
      <c r="D16" s="120"/>
      <c r="E16" s="120"/>
      <c r="F16" s="120"/>
    </row>
    <row r="17" spans="1:8" ht="15.75" customHeight="1" x14ac:dyDescent="0.25">
      <c r="B17" s="19" t="s">
        <v>90</v>
      </c>
      <c r="C17" s="120"/>
      <c r="D17" s="120"/>
      <c r="E17" s="120"/>
      <c r="F17" s="120"/>
    </row>
    <row r="18" spans="1:8" ht="15.75" customHeight="1" x14ac:dyDescent="0.25">
      <c r="B18" s="19" t="s">
        <v>1</v>
      </c>
      <c r="C18" s="120"/>
      <c r="D18" s="120"/>
      <c r="E18" s="120"/>
      <c r="F18" s="120"/>
    </row>
    <row r="19" spans="1:8" ht="15.75" customHeight="1" x14ac:dyDescent="0.25">
      <c r="B19" s="19" t="s">
        <v>101</v>
      </c>
      <c r="C19" s="120"/>
      <c r="D19" s="120"/>
      <c r="E19" s="120"/>
      <c r="F19" s="120"/>
    </row>
    <row r="20" spans="1:8" ht="15.75" customHeight="1" x14ac:dyDescent="0.25">
      <c r="B20" s="19" t="s">
        <v>79</v>
      </c>
      <c r="C20" s="120"/>
      <c r="D20" s="120"/>
      <c r="E20" s="120"/>
      <c r="F20" s="120"/>
    </row>
    <row r="21" spans="1:8" ht="15.75" customHeight="1" x14ac:dyDescent="0.25">
      <c r="B21" s="19" t="s">
        <v>88</v>
      </c>
      <c r="C21" s="120"/>
      <c r="D21" s="120"/>
      <c r="E21" s="120"/>
      <c r="F21" s="120"/>
    </row>
    <row r="22" spans="1:8" ht="15.75" customHeight="1" x14ac:dyDescent="0.25">
      <c r="B22" s="19" t="s">
        <v>99</v>
      </c>
      <c r="C22" s="120"/>
      <c r="D22" s="120"/>
      <c r="E22" s="120"/>
      <c r="F22" s="120"/>
    </row>
    <row r="23" spans="1:8" ht="15.75" customHeight="1" x14ac:dyDescent="0.25">
      <c r="B23" s="27" t="s">
        <v>60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1" t="s">
        <v>82</v>
      </c>
      <c r="C25" s="31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119"/>
    </row>
    <row r="27" spans="1:8" ht="15.75" customHeight="1" x14ac:dyDescent="0.25">
      <c r="B27" s="19" t="s">
        <v>89</v>
      </c>
      <c r="C27" s="120"/>
    </row>
    <row r="28" spans="1:8" ht="15.75" customHeight="1" x14ac:dyDescent="0.25">
      <c r="B28" s="19" t="s">
        <v>103</v>
      </c>
      <c r="C28" s="120"/>
    </row>
    <row r="29" spans="1:8" ht="15.75" customHeight="1" x14ac:dyDescent="0.25">
      <c r="B29" s="19" t="s">
        <v>86</v>
      </c>
      <c r="C29" s="120"/>
    </row>
    <row r="30" spans="1:8" ht="15.75" customHeight="1" x14ac:dyDescent="0.25">
      <c r="B30" s="19" t="s">
        <v>2</v>
      </c>
      <c r="C30" s="120"/>
    </row>
    <row r="31" spans="1:8" ht="15.75" customHeight="1" x14ac:dyDescent="0.25">
      <c r="B31" s="19" t="s">
        <v>80</v>
      </c>
      <c r="C31" s="120"/>
    </row>
    <row r="32" spans="1:8" ht="15.75" customHeight="1" x14ac:dyDescent="0.25">
      <c r="B32" s="19" t="s">
        <v>85</v>
      </c>
      <c r="C32" s="120"/>
    </row>
    <row r="33" spans="2:3" ht="15.75" customHeight="1" x14ac:dyDescent="0.25">
      <c r="B33" s="19" t="s">
        <v>100</v>
      </c>
      <c r="C33" s="120"/>
    </row>
    <row r="34" spans="2:3" ht="15.75" customHeight="1" x14ac:dyDescent="0.25">
      <c r="B34" s="19" t="s">
        <v>87</v>
      </c>
      <c r="C34" s="120"/>
    </row>
    <row r="35" spans="2:3" ht="15.75" customHeight="1" x14ac:dyDescent="0.25">
      <c r="B35" s="27" t="s">
        <v>60</v>
      </c>
      <c r="C35" s="56">
        <f>SUM(C26:C34)</f>
        <v>0</v>
      </c>
    </row>
  </sheetData>
  <sheetProtection algorithmName="SHA-512" hashValue="finitLakHPWuhCRwsBmzg3s0jNCX5nUPpZtRbwm70F25PnAw1rZIDCXLC6xpnkkSt2aNFhlc1icvcW2SF9QXsA==" saltValue="g990RvXEvvAYFYh1ovSTxQ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108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110</v>
      </c>
      <c r="C4" s="53"/>
      <c r="D4" s="61"/>
      <c r="E4" s="61"/>
      <c r="F4" s="61"/>
      <c r="G4" s="61"/>
    </row>
    <row r="5" spans="1:15" ht="15.75" customHeight="1" x14ac:dyDescent="0.25">
      <c r="B5" s="5" t="s">
        <v>106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109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107</v>
      </c>
      <c r="C10" s="53"/>
      <c r="D10" s="61"/>
      <c r="E10" s="61"/>
      <c r="F10" s="61"/>
      <c r="G10" s="61"/>
    </row>
    <row r="11" spans="1:15" ht="15.75" customHeight="1" x14ac:dyDescent="0.25">
      <c r="B11" s="5" t="s">
        <v>119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118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BT1DBu0QIy6whggieWPeFm9gMP6PIh240ZLIYXJupD8ikO3m/rrBJ+pmV7Vz3zfWs2kRVP2tJQcXKX7hr/FwQ==" saltValue="OTiF/+rhNu5CS8G7juMOZ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2" t="s">
        <v>124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127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126</v>
      </c>
      <c r="C4" s="61"/>
      <c r="D4" s="61"/>
      <c r="E4" s="61"/>
      <c r="F4" s="61"/>
      <c r="G4" s="61">
        <v>0</v>
      </c>
    </row>
    <row r="5" spans="1:7" x14ac:dyDescent="0.25">
      <c r="B5" s="32" t="s">
        <v>125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qr3rCDkRHBPs+Y39qK8yJebSfAY7UFXtQxyN9NGr1Tq5hdwpPZrN0l4b6DBZSMTRnPlbiIR6zApMUNKAsaHYFA==" saltValue="QaUDI6t8t2GKmWfCimF4v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Uy02IhMLbjcmrvy6jYAhUvcU0oQgTS691h1GlKQqaixg4QCETuBjUmXFHAzFEfdLkhJ4iGgxAC0vPe1gTu9Zw==" saltValue="r8ZtYguXQ/gdi098QHepwA==" spinCount="100000" sheet="1" objects="1" scenario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115">
        <v>10</v>
      </c>
    </row>
    <row r="3" spans="1:2" x14ac:dyDescent="0.25">
      <c r="A3" s="8" t="s">
        <v>143</v>
      </c>
      <c r="B3" s="115">
        <v>10</v>
      </c>
    </row>
    <row r="4" spans="1:2" x14ac:dyDescent="0.25">
      <c r="A4" s="8" t="s">
        <v>142</v>
      </c>
      <c r="B4" s="115">
        <v>10</v>
      </c>
    </row>
    <row r="5" spans="1:2" x14ac:dyDescent="0.25">
      <c r="A5" s="8" t="s">
        <v>146</v>
      </c>
      <c r="B5" s="115">
        <v>10</v>
      </c>
    </row>
    <row r="6" spans="1:2" x14ac:dyDescent="0.25">
      <c r="A6" s="8" t="s">
        <v>140</v>
      </c>
      <c r="B6" s="115">
        <v>10</v>
      </c>
    </row>
    <row r="7" spans="1:2" x14ac:dyDescent="0.25">
      <c r="A7" s="8" t="s">
        <v>141</v>
      </c>
      <c r="B7" s="115">
        <v>10</v>
      </c>
    </row>
  </sheetData>
  <sheetProtection algorithmName="SHA-512" hashValue="1rG7z9a6abIJ1i8wwnGh+nXFnXQ/YZPSDj+h3WUl5P7AZpyb/SH93qTu11F/l9EhddgUeOudzJZJhH1VETZGoQ==" saltValue="FR5nfMH2aSpZoCadkIm58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154</v>
      </c>
      <c r="B1" s="39" t="s">
        <v>156</v>
      </c>
      <c r="C1" s="39" t="s">
        <v>150</v>
      </c>
      <c r="D1" s="39" t="s">
        <v>149</v>
      </c>
      <c r="E1" s="39" t="s">
        <v>155</v>
      </c>
    </row>
    <row r="2" spans="1:5" ht="13" x14ac:dyDescent="0.3">
      <c r="A2" s="37" t="s">
        <v>151</v>
      </c>
      <c r="B2" s="35" t="s">
        <v>104</v>
      </c>
      <c r="C2" s="64"/>
      <c r="D2" s="64"/>
      <c r="E2" s="45" t="str">
        <f>IF(E$7="","",E$7)</f>
        <v/>
      </c>
    </row>
    <row r="3" spans="1:5" x14ac:dyDescent="0.25">
      <c r="B3" s="35" t="s">
        <v>78</v>
      </c>
      <c r="C3" s="64"/>
      <c r="D3" s="55" t="s">
        <v>5</v>
      </c>
      <c r="E3" s="45" t="str">
        <f>IF(E$7="","",E$7)</f>
        <v/>
      </c>
    </row>
    <row r="4" spans="1:5" x14ac:dyDescent="0.25">
      <c r="B4" s="35" t="s">
        <v>74</v>
      </c>
      <c r="C4" s="64"/>
      <c r="D4" s="55" t="s">
        <v>5</v>
      </c>
      <c r="E4" s="45" t="str">
        <f>IF(E$7="","",E$7)</f>
        <v/>
      </c>
    </row>
    <row r="5" spans="1:5" x14ac:dyDescent="0.25">
      <c r="B5" s="35" t="s">
        <v>77</v>
      </c>
      <c r="C5" s="64"/>
      <c r="D5" s="64" t="s">
        <v>5</v>
      </c>
      <c r="E5" s="45" t="str">
        <f>IF(E$7="","",E$7)</f>
        <v/>
      </c>
    </row>
    <row r="6" spans="1:5" x14ac:dyDescent="0.25">
      <c r="B6" s="35" t="s">
        <v>75</v>
      </c>
      <c r="C6" s="64"/>
      <c r="D6" s="64" t="s">
        <v>5</v>
      </c>
      <c r="E6" s="45" t="str">
        <f>IF(E$7="","",E$7)</f>
        <v/>
      </c>
    </row>
    <row r="7" spans="1:5" x14ac:dyDescent="0.25">
      <c r="B7" s="35" t="s">
        <v>148</v>
      </c>
      <c r="C7" s="34"/>
      <c r="D7" s="33"/>
      <c r="E7" s="64"/>
    </row>
    <row r="9" spans="1:5" ht="13" x14ac:dyDescent="0.3">
      <c r="A9" s="37" t="s">
        <v>152</v>
      </c>
      <c r="B9" s="35" t="s">
        <v>104</v>
      </c>
      <c r="C9" s="64"/>
      <c r="D9" s="64"/>
      <c r="E9" s="45" t="str">
        <f>IF(E$7="","",E$7)</f>
        <v/>
      </c>
    </row>
    <row r="10" spans="1:5" x14ac:dyDescent="0.25">
      <c r="B10" s="35" t="s">
        <v>78</v>
      </c>
      <c r="C10" s="64"/>
      <c r="D10" s="64"/>
      <c r="E10" s="45" t="str">
        <f>IF(E$7="","",E$7)</f>
        <v/>
      </c>
    </row>
    <row r="11" spans="1:5" x14ac:dyDescent="0.25">
      <c r="B11" s="35" t="s">
        <v>74</v>
      </c>
      <c r="C11" s="64"/>
      <c r="D11" s="64"/>
      <c r="E11" s="45" t="str">
        <f>IF(E$7="","",E$7)</f>
        <v/>
      </c>
    </row>
    <row r="12" spans="1:5" x14ac:dyDescent="0.25">
      <c r="B12" s="35" t="s">
        <v>77</v>
      </c>
      <c r="C12" s="64"/>
      <c r="D12" s="55" t="s">
        <v>5</v>
      </c>
      <c r="E12" s="45" t="str">
        <f>IF(E$7="","",E$7)</f>
        <v/>
      </c>
    </row>
    <row r="13" spans="1:5" x14ac:dyDescent="0.25">
      <c r="B13" s="35" t="s">
        <v>75</v>
      </c>
      <c r="C13" s="64"/>
      <c r="D13" s="55" t="s">
        <v>5</v>
      </c>
      <c r="E13" s="45" t="str">
        <f>IF(E$7="","",E$7)</f>
        <v/>
      </c>
    </row>
    <row r="14" spans="1:5" x14ac:dyDescent="0.25">
      <c r="B14" s="35" t="s">
        <v>148</v>
      </c>
      <c r="C14" s="34"/>
      <c r="D14" s="33"/>
      <c r="E14" s="64"/>
    </row>
    <row r="16" spans="1:5" ht="13" x14ac:dyDescent="0.3">
      <c r="A16" s="37" t="s">
        <v>153</v>
      </c>
      <c r="B16" s="35" t="s">
        <v>104</v>
      </c>
      <c r="C16" s="64"/>
      <c r="D16" s="64" t="s">
        <v>5</v>
      </c>
      <c r="E16" s="45" t="str">
        <f>IF(E$7="","",E$7)</f>
        <v/>
      </c>
    </row>
    <row r="17" spans="2:5" x14ac:dyDescent="0.25">
      <c r="B17" s="35" t="s">
        <v>78</v>
      </c>
      <c r="C17" s="64"/>
      <c r="D17" s="64" t="s">
        <v>5</v>
      </c>
      <c r="E17" s="45" t="str">
        <f>IF(E$7="","",E$7)</f>
        <v/>
      </c>
    </row>
    <row r="18" spans="2:5" x14ac:dyDescent="0.25">
      <c r="B18" s="35" t="s">
        <v>74</v>
      </c>
      <c r="C18" s="64"/>
      <c r="D18" s="64" t="s">
        <v>5</v>
      </c>
      <c r="E18" s="45" t="str">
        <f>IF(E$7="","",E$7)</f>
        <v/>
      </c>
    </row>
    <row r="19" spans="2:5" x14ac:dyDescent="0.25">
      <c r="B19" s="35" t="s">
        <v>77</v>
      </c>
      <c r="C19" s="64"/>
      <c r="D19" s="64" t="s">
        <v>5</v>
      </c>
      <c r="E19" s="45" t="str">
        <f>IF(E$7="","",E$7)</f>
        <v/>
      </c>
    </row>
    <row r="20" spans="2:5" x14ac:dyDescent="0.25">
      <c r="B20" s="35" t="s">
        <v>75</v>
      </c>
      <c r="C20" s="64"/>
      <c r="D20" s="64" t="s">
        <v>5</v>
      </c>
      <c r="E20" s="45" t="str">
        <f>IF(E$7="","",E$7)</f>
        <v/>
      </c>
    </row>
    <row r="21" spans="2:5" x14ac:dyDescent="0.25">
      <c r="B21" s="35" t="s">
        <v>148</v>
      </c>
      <c r="C21" s="34"/>
      <c r="D21" s="33"/>
      <c r="E21" s="64"/>
    </row>
  </sheetData>
  <sheetProtection algorithmName="SHA-512" hashValue="LaGRS8/p3UOmEOXk1ff/pTVoArxTdXWsYDQZgcixq4tbS1WFG2lvTKQvE8rFxRg5AzNbg288L7oK3DgwB4N90Q==" saltValue="NQcWapd9f1HD5liuX2Cv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4</v>
      </c>
      <c r="B1" s="39" t="s">
        <v>159</v>
      </c>
      <c r="C1" s="48" t="s">
        <v>161</v>
      </c>
      <c r="D1" s="48" t="s">
        <v>157</v>
      </c>
    </row>
    <row r="2" spans="1:4" ht="13" x14ac:dyDescent="0.3">
      <c r="A2" s="48" t="s">
        <v>163</v>
      </c>
      <c r="B2" s="35" t="s">
        <v>164</v>
      </c>
      <c r="C2" s="35" t="s">
        <v>162</v>
      </c>
      <c r="D2" s="64"/>
    </row>
    <row r="3" spans="1:4" ht="13" x14ac:dyDescent="0.3">
      <c r="A3" s="48" t="s">
        <v>160</v>
      </c>
      <c r="B3" s="35" t="s">
        <v>150</v>
      </c>
      <c r="C3" s="35" t="s">
        <v>158</v>
      </c>
      <c r="D3" s="64"/>
    </row>
  </sheetData>
  <sheetProtection algorithmName="SHA-512" hashValue="qzoBmue4RIwMgR/+ncOSeQ3R9/VexhPwfl1cwvgJNFrEP7fu5rnF2XVKciSKppEyw7BSr29DWWNwsi02PSdUhQ==" saltValue="XdLgvmyrZrP1ca1es5bpD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163</v>
      </c>
      <c r="B1" s="41" t="str">
        <f>"Cobertura de referencia ("&amp;start_year&amp;")"</f>
        <v>Cobertura de referencia (2024)</v>
      </c>
      <c r="C1" s="41" t="s">
        <v>194</v>
      </c>
      <c r="D1" s="41" t="s">
        <v>195</v>
      </c>
      <c r="E1" s="41" t="s">
        <v>168</v>
      </c>
      <c r="F1" s="41" t="s">
        <v>187</v>
      </c>
      <c r="G1" s="41" t="s">
        <v>186</v>
      </c>
    </row>
    <row r="2" spans="1:7" ht="15.75" customHeight="1" x14ac:dyDescent="0.25">
      <c r="A2" s="40" t="s">
        <v>165</v>
      </c>
      <c r="B2" s="53"/>
      <c r="C2" s="113">
        <v>0.95</v>
      </c>
      <c r="D2" s="114"/>
      <c r="E2" s="65" t="s">
        <v>183</v>
      </c>
      <c r="F2" s="113">
        <v>1</v>
      </c>
      <c r="G2" s="113">
        <v>1</v>
      </c>
    </row>
    <row r="3" spans="1:7" ht="15.75" customHeight="1" x14ac:dyDescent="0.25">
      <c r="A3" s="40" t="s">
        <v>166</v>
      </c>
      <c r="B3" s="53"/>
      <c r="C3" s="113">
        <v>0.95</v>
      </c>
      <c r="D3" s="114"/>
      <c r="E3" s="65" t="s">
        <v>183</v>
      </c>
      <c r="F3" s="113">
        <v>1</v>
      </c>
      <c r="G3" s="113">
        <v>1</v>
      </c>
    </row>
    <row r="4" spans="1:7" ht="15.75" customHeight="1" x14ac:dyDescent="0.25">
      <c r="A4" s="40" t="s">
        <v>167</v>
      </c>
      <c r="B4" s="118"/>
      <c r="C4" s="113">
        <v>0.95</v>
      </c>
      <c r="D4" s="114"/>
      <c r="E4" s="65" t="s">
        <v>183</v>
      </c>
      <c r="F4" s="113">
        <v>1</v>
      </c>
      <c r="G4" s="113">
        <v>1</v>
      </c>
    </row>
    <row r="5" spans="1:7" ht="15.75" customHeight="1" x14ac:dyDescent="0.25">
      <c r="A5" s="40" t="s">
        <v>169</v>
      </c>
      <c r="B5" s="118"/>
      <c r="C5" s="113">
        <v>0.95</v>
      </c>
      <c r="D5" s="114"/>
      <c r="E5" s="65" t="s">
        <v>183</v>
      </c>
      <c r="F5" s="113">
        <v>1</v>
      </c>
      <c r="G5" s="113">
        <v>1</v>
      </c>
    </row>
    <row r="6" spans="1:7" ht="15.75" customHeight="1" x14ac:dyDescent="0.25">
      <c r="A6" s="40" t="s">
        <v>170</v>
      </c>
      <c r="B6" s="118"/>
      <c r="C6" s="113">
        <v>0.95</v>
      </c>
      <c r="D6" s="114"/>
      <c r="E6" s="65" t="s">
        <v>183</v>
      </c>
      <c r="F6" s="113">
        <v>1</v>
      </c>
      <c r="G6" s="113">
        <v>1</v>
      </c>
    </row>
    <row r="7" spans="1:7" ht="15.75" customHeight="1" x14ac:dyDescent="0.25">
      <c r="A7" s="40" t="s">
        <v>171</v>
      </c>
      <c r="B7" s="118"/>
      <c r="C7" s="113">
        <v>0.95</v>
      </c>
      <c r="D7" s="114"/>
      <c r="E7" s="65" t="s">
        <v>183</v>
      </c>
      <c r="F7" s="113">
        <v>1</v>
      </c>
      <c r="G7" s="113">
        <v>1</v>
      </c>
    </row>
    <row r="8" spans="1:7" ht="15.75" customHeight="1" x14ac:dyDescent="0.25">
      <c r="A8" s="40" t="s">
        <v>172</v>
      </c>
      <c r="B8" s="118"/>
      <c r="C8" s="113">
        <v>0.95</v>
      </c>
      <c r="D8" s="114"/>
      <c r="E8" s="65" t="s">
        <v>183</v>
      </c>
      <c r="F8" s="113">
        <v>1</v>
      </c>
      <c r="G8" s="113">
        <v>1</v>
      </c>
    </row>
    <row r="9" spans="1:7" ht="15.75" customHeight="1" x14ac:dyDescent="0.25">
      <c r="A9" s="40" t="s">
        <v>173</v>
      </c>
      <c r="B9" s="118"/>
      <c r="C9" s="113">
        <v>0.95</v>
      </c>
      <c r="D9" s="114"/>
      <c r="E9" s="65" t="s">
        <v>183</v>
      </c>
      <c r="F9" s="113">
        <v>1</v>
      </c>
      <c r="G9" s="113">
        <v>1</v>
      </c>
    </row>
    <row r="10" spans="1:7" ht="15.75" customHeight="1" x14ac:dyDescent="0.25">
      <c r="A10" s="46" t="s">
        <v>174</v>
      </c>
      <c r="B10" s="53"/>
      <c r="C10" s="113">
        <v>0.95</v>
      </c>
      <c r="D10" s="114"/>
      <c r="E10" s="65" t="s">
        <v>183</v>
      </c>
      <c r="F10" s="113">
        <v>1</v>
      </c>
      <c r="G10" s="113">
        <v>1</v>
      </c>
    </row>
    <row r="11" spans="1:7" ht="15.75" customHeight="1" x14ac:dyDescent="0.25">
      <c r="A11" s="46" t="s">
        <v>175</v>
      </c>
      <c r="B11" s="118">
        <v>0</v>
      </c>
      <c r="C11" s="113">
        <v>0.95</v>
      </c>
      <c r="D11" s="114"/>
      <c r="E11" s="65" t="s">
        <v>183</v>
      </c>
      <c r="F11" s="113">
        <v>1</v>
      </c>
      <c r="G11" s="113">
        <v>1</v>
      </c>
    </row>
    <row r="12" spans="1:7" ht="15.75" customHeight="1" x14ac:dyDescent="0.25">
      <c r="A12" s="46" t="s">
        <v>176</v>
      </c>
      <c r="B12" s="118">
        <v>0</v>
      </c>
      <c r="C12" s="113">
        <v>0.95</v>
      </c>
      <c r="D12" s="114"/>
      <c r="E12" s="65" t="s">
        <v>183</v>
      </c>
      <c r="F12" s="113">
        <v>1</v>
      </c>
      <c r="G12" s="113">
        <v>1</v>
      </c>
    </row>
    <row r="13" spans="1:7" ht="15.75" customHeight="1" x14ac:dyDescent="0.25">
      <c r="A13" s="46" t="s">
        <v>177</v>
      </c>
      <c r="B13" s="118">
        <v>0</v>
      </c>
      <c r="C13" s="113">
        <v>0.95</v>
      </c>
      <c r="D13" s="114"/>
      <c r="E13" s="65" t="s">
        <v>183</v>
      </c>
      <c r="F13" s="113">
        <v>1</v>
      </c>
      <c r="G13" s="113">
        <v>1</v>
      </c>
    </row>
    <row r="14" spans="1:7" ht="15.75" customHeight="1" x14ac:dyDescent="0.25">
      <c r="A14" s="5" t="s">
        <v>178</v>
      </c>
      <c r="B14" s="53"/>
      <c r="C14" s="113">
        <v>0.95</v>
      </c>
      <c r="D14" s="114"/>
      <c r="E14" s="65" t="s">
        <v>183</v>
      </c>
      <c r="F14" s="113">
        <v>1</v>
      </c>
      <c r="G14" s="113">
        <v>1</v>
      </c>
    </row>
    <row r="15" spans="1:7" ht="15.75" customHeight="1" x14ac:dyDescent="0.25">
      <c r="A15" s="5" t="s">
        <v>179</v>
      </c>
      <c r="B15" s="118">
        <v>0</v>
      </c>
      <c r="C15" s="113">
        <v>0.95</v>
      </c>
      <c r="D15" s="114"/>
      <c r="E15" s="65" t="s">
        <v>183</v>
      </c>
      <c r="F15" s="113">
        <v>1</v>
      </c>
      <c r="G15" s="113">
        <v>1</v>
      </c>
    </row>
    <row r="16" spans="1:7" ht="15.75" customHeight="1" x14ac:dyDescent="0.25">
      <c r="A16" s="40" t="s">
        <v>180</v>
      </c>
      <c r="B16" s="53"/>
      <c r="C16" s="113">
        <v>0.95</v>
      </c>
      <c r="D16" s="114"/>
      <c r="E16" s="65" t="s">
        <v>183</v>
      </c>
      <c r="F16" s="113">
        <v>1</v>
      </c>
      <c r="G16" s="113">
        <v>1</v>
      </c>
    </row>
    <row r="17" spans="1:7" ht="15.75" customHeight="1" x14ac:dyDescent="0.25">
      <c r="A17" s="40" t="s">
        <v>181</v>
      </c>
      <c r="B17" s="118"/>
      <c r="C17" s="113">
        <v>0.95</v>
      </c>
      <c r="D17" s="114"/>
      <c r="E17" s="65" t="s">
        <v>183</v>
      </c>
      <c r="F17" s="113">
        <v>1</v>
      </c>
      <c r="G17" s="113">
        <v>1</v>
      </c>
    </row>
    <row r="18" spans="1:7" ht="15.9" customHeight="1" x14ac:dyDescent="0.25">
      <c r="A18" s="40" t="s">
        <v>151</v>
      </c>
      <c r="B18" s="118"/>
      <c r="C18" s="113">
        <v>0.95</v>
      </c>
      <c r="D18" s="114"/>
      <c r="E18" s="65" t="s">
        <v>183</v>
      </c>
      <c r="F18" s="113">
        <v>1</v>
      </c>
      <c r="G18" s="113">
        <v>1</v>
      </c>
    </row>
    <row r="19" spans="1:7" ht="15.75" customHeight="1" x14ac:dyDescent="0.25">
      <c r="A19" s="40" t="s">
        <v>152</v>
      </c>
      <c r="B19" s="118"/>
      <c r="C19" s="113">
        <v>0.95</v>
      </c>
      <c r="D19" s="114"/>
      <c r="E19" s="65" t="s">
        <v>183</v>
      </c>
      <c r="F19" s="113">
        <v>1</v>
      </c>
      <c r="G19" s="113">
        <v>1</v>
      </c>
    </row>
    <row r="20" spans="1:7" ht="15.75" customHeight="1" x14ac:dyDescent="0.25">
      <c r="A20" s="40" t="s">
        <v>153</v>
      </c>
      <c r="B20" s="118">
        <v>0</v>
      </c>
      <c r="C20" s="113">
        <v>0.95</v>
      </c>
      <c r="D20" s="114"/>
      <c r="E20" s="65" t="s">
        <v>183</v>
      </c>
      <c r="F20" s="113">
        <v>1</v>
      </c>
      <c r="G20" s="113">
        <v>1</v>
      </c>
    </row>
    <row r="21" spans="1:7" ht="15.75" customHeight="1" x14ac:dyDescent="0.25">
      <c r="A21" s="40" t="s">
        <v>182</v>
      </c>
      <c r="B21" s="53"/>
      <c r="C21" s="113">
        <v>0.95</v>
      </c>
      <c r="D21" s="114"/>
      <c r="E21" s="65" t="s">
        <v>183</v>
      </c>
      <c r="F21" s="113">
        <v>1</v>
      </c>
      <c r="G21" s="113">
        <v>1</v>
      </c>
    </row>
    <row r="22" spans="1:7" ht="15.75" customHeight="1" x14ac:dyDescent="0.25">
      <c r="A22" s="40" t="s">
        <v>184</v>
      </c>
      <c r="B22" s="118">
        <v>0</v>
      </c>
      <c r="C22" s="113">
        <v>0.95</v>
      </c>
      <c r="D22" s="114"/>
      <c r="E22" s="65" t="s">
        <v>183</v>
      </c>
      <c r="F22" s="113">
        <v>1</v>
      </c>
      <c r="G22" s="113">
        <v>1</v>
      </c>
    </row>
    <row r="23" spans="1:7" ht="15.75" customHeight="1" x14ac:dyDescent="0.25">
      <c r="A23" s="40" t="s">
        <v>185</v>
      </c>
      <c r="B23" s="118"/>
      <c r="C23" s="113">
        <v>0.95</v>
      </c>
      <c r="D23" s="114"/>
      <c r="E23" s="65" t="s">
        <v>183</v>
      </c>
      <c r="F23" s="113">
        <v>1</v>
      </c>
      <c r="G23" s="113">
        <v>1</v>
      </c>
    </row>
    <row r="24" spans="1:7" ht="15.75" customHeight="1" x14ac:dyDescent="0.25">
      <c r="A24" s="40" t="s">
        <v>188</v>
      </c>
      <c r="B24" s="53"/>
      <c r="C24" s="113">
        <v>0.95</v>
      </c>
      <c r="D24" s="114"/>
      <c r="E24" s="65" t="s">
        <v>183</v>
      </c>
      <c r="F24" s="113">
        <v>1</v>
      </c>
      <c r="G24" s="113">
        <v>1</v>
      </c>
    </row>
    <row r="25" spans="1:7" ht="15.75" customHeight="1" x14ac:dyDescent="0.25">
      <c r="A25" s="40" t="s">
        <v>189</v>
      </c>
      <c r="B25" s="118"/>
      <c r="C25" s="113">
        <v>0.95</v>
      </c>
      <c r="D25" s="114"/>
      <c r="E25" s="65" t="s">
        <v>183</v>
      </c>
      <c r="F25" s="113">
        <v>1</v>
      </c>
      <c r="G25" s="113">
        <v>1</v>
      </c>
    </row>
    <row r="26" spans="1:7" ht="15.75" customHeight="1" x14ac:dyDescent="0.25">
      <c r="A26" s="40" t="s">
        <v>190</v>
      </c>
      <c r="B26" s="53"/>
      <c r="C26" s="113">
        <v>0.95</v>
      </c>
      <c r="D26" s="114"/>
      <c r="E26" s="65" t="s">
        <v>183</v>
      </c>
      <c r="F26" s="113">
        <v>1</v>
      </c>
      <c r="G26" s="113">
        <v>1</v>
      </c>
    </row>
    <row r="27" spans="1:7" ht="15.75" customHeight="1" x14ac:dyDescent="0.25">
      <c r="A27" s="40" t="s">
        <v>191</v>
      </c>
      <c r="B27" s="53"/>
      <c r="C27" s="113">
        <v>0.95</v>
      </c>
      <c r="D27" s="114"/>
      <c r="E27" s="65" t="s">
        <v>183</v>
      </c>
      <c r="F27" s="113">
        <v>1</v>
      </c>
      <c r="G27" s="113">
        <v>1</v>
      </c>
    </row>
    <row r="28" spans="1:7" ht="15.75" customHeight="1" x14ac:dyDescent="0.25">
      <c r="A28" s="40" t="s">
        <v>192</v>
      </c>
      <c r="B28" s="53"/>
      <c r="C28" s="113">
        <v>0.95</v>
      </c>
      <c r="D28" s="114"/>
      <c r="E28" s="65" t="s">
        <v>183</v>
      </c>
      <c r="F28" s="113">
        <v>1</v>
      </c>
      <c r="G28" s="113">
        <v>1</v>
      </c>
    </row>
    <row r="29" spans="1:7" ht="15.75" customHeight="1" x14ac:dyDescent="0.25">
      <c r="A29" s="40" t="s">
        <v>193</v>
      </c>
      <c r="B29" s="53"/>
      <c r="C29" s="113">
        <v>0.95</v>
      </c>
      <c r="D29" s="114"/>
      <c r="E29" s="65" t="s">
        <v>183</v>
      </c>
      <c r="F29" s="113">
        <v>1</v>
      </c>
      <c r="G29" s="113">
        <v>1</v>
      </c>
    </row>
    <row r="30" spans="1:7" ht="15.75" customHeight="1" x14ac:dyDescent="0.25">
      <c r="A30" s="40" t="s">
        <v>204</v>
      </c>
      <c r="B30" s="118">
        <v>0</v>
      </c>
      <c r="C30" s="113">
        <v>0.95</v>
      </c>
      <c r="D30" s="114">
        <v>99</v>
      </c>
      <c r="E30" s="65" t="s">
        <v>183</v>
      </c>
      <c r="F30" s="113">
        <v>1</v>
      </c>
      <c r="G30" s="113">
        <v>1</v>
      </c>
    </row>
    <row r="31" spans="1:7" ht="15.75" customHeight="1" x14ac:dyDescent="0.25">
      <c r="A31" s="40" t="s">
        <v>164</v>
      </c>
      <c r="B31" s="53"/>
      <c r="C31" s="113">
        <v>0.95</v>
      </c>
      <c r="D31" s="114"/>
      <c r="E31" s="65" t="s">
        <v>183</v>
      </c>
      <c r="F31" s="113">
        <v>1</v>
      </c>
      <c r="G31" s="113">
        <v>1</v>
      </c>
    </row>
    <row r="32" spans="1:7" ht="15.75" customHeight="1" x14ac:dyDescent="0.25">
      <c r="A32" s="40" t="s">
        <v>196</v>
      </c>
      <c r="B32" s="53"/>
      <c r="C32" s="113">
        <v>0.95</v>
      </c>
      <c r="D32" s="114"/>
      <c r="E32" s="65" t="s">
        <v>183</v>
      </c>
      <c r="F32" s="113">
        <v>1</v>
      </c>
      <c r="G32" s="113">
        <v>1</v>
      </c>
    </row>
    <row r="33" spans="1:7" ht="15.75" customHeight="1" x14ac:dyDescent="0.25">
      <c r="A33" s="40" t="s">
        <v>197</v>
      </c>
      <c r="B33" s="53"/>
      <c r="C33" s="113">
        <v>0.95</v>
      </c>
      <c r="D33" s="114">
        <v>99</v>
      </c>
      <c r="E33" s="65" t="s">
        <v>183</v>
      </c>
      <c r="F33" s="113">
        <v>1</v>
      </c>
      <c r="G33" s="113">
        <v>1</v>
      </c>
    </row>
    <row r="34" spans="1:7" ht="15.75" customHeight="1" x14ac:dyDescent="0.25">
      <c r="A34" s="40" t="s">
        <v>198</v>
      </c>
      <c r="B34" s="53"/>
      <c r="C34" s="113">
        <v>0.95</v>
      </c>
      <c r="D34" s="114">
        <v>99</v>
      </c>
      <c r="E34" s="65" t="s">
        <v>183</v>
      </c>
      <c r="F34" s="113">
        <v>1</v>
      </c>
      <c r="G34" s="113">
        <v>1</v>
      </c>
    </row>
    <row r="35" spans="1:7" ht="15.75" customHeight="1" x14ac:dyDescent="0.25">
      <c r="A35" s="40" t="s">
        <v>199</v>
      </c>
      <c r="B35" s="118"/>
      <c r="C35" s="113">
        <v>0.95</v>
      </c>
      <c r="D35" s="114">
        <v>99</v>
      </c>
      <c r="E35" s="65" t="s">
        <v>183</v>
      </c>
      <c r="F35" s="113">
        <v>1</v>
      </c>
      <c r="G35" s="113">
        <v>1</v>
      </c>
    </row>
    <row r="36" spans="1:7" ht="15.75" customHeight="1" x14ac:dyDescent="0.25">
      <c r="A36" s="40" t="s">
        <v>200</v>
      </c>
      <c r="B36" s="53"/>
      <c r="C36" s="113">
        <v>0.95</v>
      </c>
      <c r="D36" s="114">
        <v>99</v>
      </c>
      <c r="E36" s="65" t="s">
        <v>183</v>
      </c>
      <c r="F36" s="113">
        <v>1</v>
      </c>
      <c r="G36" s="113">
        <v>1</v>
      </c>
    </row>
    <row r="37" spans="1:7" ht="15.75" customHeight="1" x14ac:dyDescent="0.25">
      <c r="A37" s="40" t="s">
        <v>201</v>
      </c>
      <c r="B37" s="53"/>
      <c r="C37" s="113">
        <v>0.95</v>
      </c>
      <c r="D37" s="114">
        <v>99</v>
      </c>
      <c r="E37" s="65" t="s">
        <v>183</v>
      </c>
      <c r="F37" s="113">
        <v>1</v>
      </c>
      <c r="G37" s="113">
        <v>1</v>
      </c>
    </row>
    <row r="38" spans="1:7" ht="15.75" customHeight="1" x14ac:dyDescent="0.25">
      <c r="A38" s="40" t="s">
        <v>202</v>
      </c>
      <c r="B38" s="53"/>
      <c r="C38" s="113">
        <v>0.95</v>
      </c>
      <c r="D38" s="114"/>
      <c r="E38" s="65" t="s">
        <v>183</v>
      </c>
      <c r="F38" s="113">
        <v>1</v>
      </c>
      <c r="G38" s="113">
        <v>1</v>
      </c>
    </row>
    <row r="39" spans="1:7" ht="15.75" customHeight="1" x14ac:dyDescent="0.25">
      <c r="A39" s="40" t="s">
        <v>203</v>
      </c>
      <c r="B39" s="53"/>
      <c r="C39" s="113">
        <v>0.95</v>
      </c>
      <c r="D39" s="114"/>
      <c r="E39" s="65" t="s">
        <v>183</v>
      </c>
      <c r="F39" s="113">
        <v>1</v>
      </c>
      <c r="G39" s="113">
        <v>1</v>
      </c>
    </row>
  </sheetData>
  <sheetProtection algorithmName="SHA-512" hashValue="Ajhm1smqK8VYry436+8ND+yyBzLfmQP0hMBTXtjydrN2MyGGiQdljLU2mMMuIOftTrOKUM33svO14jyAL/OGvQ==" saltValue="fQvlZlYuGUzSNd2uk3Cy3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163</v>
      </c>
      <c r="B1" s="30" t="s">
        <v>205</v>
      </c>
      <c r="C1" s="30" t="s">
        <v>206</v>
      </c>
    </row>
    <row r="2" spans="1:3" x14ac:dyDescent="0.25">
      <c r="A2" s="66" t="s">
        <v>178</v>
      </c>
      <c r="B2" s="64" t="s">
        <v>191</v>
      </c>
      <c r="C2" s="64"/>
    </row>
    <row r="3" spans="1:3" x14ac:dyDescent="0.25">
      <c r="A3" s="66" t="s">
        <v>179</v>
      </c>
      <c r="B3" s="64" t="s">
        <v>191</v>
      </c>
      <c r="C3" s="64"/>
    </row>
    <row r="4" spans="1:3" x14ac:dyDescent="0.25">
      <c r="A4" s="67" t="s">
        <v>193</v>
      </c>
      <c r="B4" s="64" t="s">
        <v>184</v>
      </c>
      <c r="C4" s="64"/>
    </row>
    <row r="5" spans="1:3" x14ac:dyDescent="0.25">
      <c r="A5" s="67" t="s">
        <v>190</v>
      </c>
      <c r="B5" s="64" t="s">
        <v>184</v>
      </c>
      <c r="C5" s="64"/>
    </row>
    <row r="6" spans="1:3" x14ac:dyDescent="0.25">
      <c r="A6" s="67" t="s">
        <v>193</v>
      </c>
      <c r="B6" s="68" t="s">
        <v>204</v>
      </c>
      <c r="C6" s="68"/>
    </row>
    <row r="7" spans="1:3" x14ac:dyDescent="0.25">
      <c r="A7" s="67" t="s">
        <v>190</v>
      </c>
      <c r="B7" s="68" t="s">
        <v>204</v>
      </c>
      <c r="C7" s="68"/>
    </row>
    <row r="8" spans="1:3" x14ac:dyDescent="0.25">
      <c r="A8" s="67" t="s">
        <v>203</v>
      </c>
      <c r="B8" s="68" t="s">
        <v>204</v>
      </c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JwEQJh499FT+QhzpgAWHYGI/0iY7ma3Ko2g6Sxf/FNrPGIwAAjkx0FwhxdnpYLEEaLHjv/1jNmC690ikcPI9cQ==" saltValue="Gm1ibafiY3/7qAFgfB//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163</v>
      </c>
    </row>
    <row r="2" spans="1:1" x14ac:dyDescent="0.25">
      <c r="A2" s="36" t="s">
        <v>170</v>
      </c>
    </row>
    <row r="3" spans="1:1" x14ac:dyDescent="0.25">
      <c r="A3" s="36" t="s">
        <v>180</v>
      </c>
    </row>
    <row r="4" spans="1:1" x14ac:dyDescent="0.25">
      <c r="A4" s="36" t="s">
        <v>185</v>
      </c>
    </row>
    <row r="5" spans="1:1" x14ac:dyDescent="0.25">
      <c r="A5" s="36" t="s">
        <v>197</v>
      </c>
    </row>
    <row r="6" spans="1:1" x14ac:dyDescent="0.25">
      <c r="A6" s="36" t="s">
        <v>198</v>
      </c>
    </row>
    <row r="7" spans="1:1" x14ac:dyDescent="0.25">
      <c r="A7" s="36" t="s">
        <v>199</v>
      </c>
    </row>
    <row r="8" spans="1:1" x14ac:dyDescent="0.25">
      <c r="A8" s="36" t="s">
        <v>200</v>
      </c>
    </row>
    <row r="9" spans="1:1" x14ac:dyDescent="0.25">
      <c r="A9" s="36" t="s">
        <v>201</v>
      </c>
    </row>
    <row r="10" spans="1:1" x14ac:dyDescent="0.25">
      <c r="A10" s="36" t="s">
        <v>164</v>
      </c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sheetProtection algorithmName="SHA-512" hashValue="hPvyEGI5m5b/6iqNDZ3690P8gjcHfgTeGGebhMFD7CxVTRP3/1o2M3cfhuSXsLX+JrxcFkvRiTOVV6ZQ+rawJA==" saltValue="XZZkPJ0sOknMq3QUXhMT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0</v>
      </c>
      <c r="C2" s="21">
        <f>'Entradas de población-año base'!C52</f>
        <v>0</v>
      </c>
      <c r="D2" s="21">
        <f>'Entradas de población-año base'!C53</f>
        <v>0</v>
      </c>
      <c r="E2" s="21">
        <f>'Entradas de población-año base'!C54</f>
        <v>0</v>
      </c>
      <c r="F2" s="21">
        <f>'Entradas de población-año base'!C55</f>
        <v>0</v>
      </c>
    </row>
    <row r="3" spans="1:6" ht="15.75" customHeight="1" x14ac:dyDescent="0.25">
      <c r="A3" s="3" t="s">
        <v>3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207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M98RCICBolVGbYpfptqC6mSKA3XNkT6WriAybQ8cExzCa3v1/Byu823gUq6hXbITk+ZAskaJoDg12W8ef3z/AA==" saltValue="znYoyaW+UK2olzNW5cHK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169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182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184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190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192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193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204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164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196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202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203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166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178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179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180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188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189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191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6" t="s">
        <v>170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174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175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176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177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172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173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181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185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197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198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199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200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201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j0WltPCi3zS3S/Bsp0tV9zVGg/T5b2HhSc+9CN79xG8nImm2P3t10RL1YyTB0PRmEIOpnpCOeAyQRLNDe65hTA==" saltValue="JnS4vAs0d0LIPAgyTqBel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4SSUxhalBiY8r5WqrjbGqsLIuU08x1yLj6a8+U3lL2CozSAnp9ydCTWbblEvWMY6qAhVg3WPdCQLBH5+RHfy1Q==" saltValue="oLtlpZb+HqqimWTVn8R8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223</v>
      </c>
      <c r="B1" s="30" t="s">
        <v>216</v>
      </c>
      <c r="C1" s="30" t="s">
        <v>227</v>
      </c>
      <c r="D1" s="30" t="s">
        <v>145</v>
      </c>
      <c r="E1" s="30" t="s">
        <v>225</v>
      </c>
    </row>
    <row r="2" spans="1:5" ht="14" x14ac:dyDescent="0.3">
      <c r="A2" s="29" t="s">
        <v>215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222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217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221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220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224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226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218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219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sheetProtection algorithmName="SHA-512" hashValue="KIeH0fxS/WWCSWx+QHFTjQOggqpMJ8UJck7RPJFh5GOZ3CalBcuBbrI4kTpQwD9nDK0oRNf/jlauStLjbmxZNQ==" saltValue="ZOPIk6d+/8cdEAkSx1OUa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209</v>
      </c>
      <c r="B1" s="72" t="s">
        <v>163</v>
      </c>
      <c r="C1" s="44" t="s">
        <v>78</v>
      </c>
      <c r="D1" s="44" t="s">
        <v>74</v>
      </c>
      <c r="E1" s="44" t="s">
        <v>77</v>
      </c>
      <c r="F1" s="44" t="s">
        <v>75</v>
      </c>
      <c r="G1" s="44" t="s">
        <v>76</v>
      </c>
      <c r="H1" s="44" t="s">
        <v>113</v>
      </c>
      <c r="I1" s="44" t="s">
        <v>114</v>
      </c>
      <c r="J1" s="44" t="s">
        <v>115</v>
      </c>
      <c r="K1" s="44" t="s">
        <v>116</v>
      </c>
      <c r="L1" s="44" t="s">
        <v>68</v>
      </c>
      <c r="M1" s="44" t="s">
        <v>69</v>
      </c>
      <c r="N1" s="44" t="s">
        <v>70</v>
      </c>
      <c r="O1" s="44" t="s">
        <v>71</v>
      </c>
    </row>
    <row r="2" spans="1:15" ht="15.75" customHeight="1" x14ac:dyDescent="0.35">
      <c r="A2" s="44" t="s">
        <v>83</v>
      </c>
      <c r="B2" s="40" t="s">
        <v>167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169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151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152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153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182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184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190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192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193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204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164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196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202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203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104</v>
      </c>
      <c r="B18" s="40" t="s">
        <v>165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166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178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179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180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188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189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191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211</v>
      </c>
      <c r="B27" s="40" t="s">
        <v>170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174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175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176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177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210</v>
      </c>
      <c r="B33" s="40" t="s">
        <v>171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172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173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181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185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197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198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199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200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201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FezSARhV/BQTzQlPmarw5ASFZjABYWQC21LVjPYhZwHEPn/AGznXR8Do62LXJWcXx6alurXv6om4ENzMyS4zmA==" saltValue="cJn4G07AvGKUZGNwoX1i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163</v>
      </c>
      <c r="B1" s="28" t="s">
        <v>230</v>
      </c>
      <c r="C1" s="28" t="s">
        <v>105</v>
      </c>
      <c r="D1" s="28" t="s">
        <v>231</v>
      </c>
      <c r="E1" s="28" t="s">
        <v>232</v>
      </c>
      <c r="F1" s="28" t="s">
        <v>123</v>
      </c>
      <c r="G1" s="28" t="s">
        <v>84</v>
      </c>
      <c r="H1" s="28" t="s">
        <v>37</v>
      </c>
      <c r="I1" s="28" t="s">
        <v>229</v>
      </c>
      <c r="J1" s="28" t="s">
        <v>22</v>
      </c>
      <c r="K1" s="28" t="s">
        <v>228</v>
      </c>
    </row>
    <row r="2" spans="1:11" x14ac:dyDescent="0.25">
      <c r="A2" s="40" t="s">
        <v>165</v>
      </c>
      <c r="B2" s="102"/>
      <c r="C2" s="102"/>
      <c r="D2" s="102"/>
      <c r="E2" s="102"/>
      <c r="F2" s="102"/>
      <c r="G2" s="102"/>
      <c r="H2" s="102"/>
      <c r="I2" s="102" t="s">
        <v>5</v>
      </c>
      <c r="J2" s="102"/>
      <c r="K2" s="102"/>
    </row>
    <row r="3" spans="1:11" x14ac:dyDescent="0.25">
      <c r="A3" s="40" t="s">
        <v>166</v>
      </c>
      <c r="B3" s="102"/>
      <c r="C3" s="102"/>
      <c r="D3" s="102"/>
      <c r="E3" s="102"/>
      <c r="F3" s="102"/>
      <c r="G3" s="102"/>
      <c r="H3" s="102" t="s">
        <v>5</v>
      </c>
      <c r="I3" s="102"/>
      <c r="J3" s="102"/>
      <c r="K3" s="102"/>
    </row>
    <row r="4" spans="1:11" x14ac:dyDescent="0.25">
      <c r="A4" s="40" t="s">
        <v>167</v>
      </c>
      <c r="B4" s="102"/>
      <c r="C4" s="102"/>
      <c r="D4" s="102" t="s">
        <v>5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169</v>
      </c>
      <c r="B5" s="102"/>
      <c r="C5" s="102" t="s">
        <v>5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170</v>
      </c>
      <c r="B6" s="102"/>
      <c r="C6" s="102"/>
      <c r="D6" s="102"/>
      <c r="E6" s="102"/>
      <c r="F6" s="102"/>
      <c r="G6" s="102"/>
      <c r="H6" s="102"/>
      <c r="I6" s="102"/>
      <c r="J6" s="102" t="s">
        <v>5</v>
      </c>
      <c r="K6" s="102" t="s">
        <v>5</v>
      </c>
    </row>
    <row r="7" spans="1:11" x14ac:dyDescent="0.25">
      <c r="A7" s="40" t="s">
        <v>171</v>
      </c>
      <c r="B7" s="102"/>
      <c r="C7" s="102" t="s">
        <v>5</v>
      </c>
      <c r="D7" s="102"/>
      <c r="E7" s="102"/>
      <c r="F7" s="102"/>
      <c r="G7" s="102"/>
      <c r="H7" s="102" t="s">
        <v>5</v>
      </c>
      <c r="I7" s="102"/>
      <c r="J7" s="102"/>
      <c r="K7" s="102"/>
    </row>
    <row r="8" spans="1:11" x14ac:dyDescent="0.25">
      <c r="A8" s="40" t="s">
        <v>172</v>
      </c>
      <c r="B8" s="102"/>
      <c r="C8" s="102" t="s">
        <v>5</v>
      </c>
      <c r="D8" s="102"/>
      <c r="E8" s="102"/>
      <c r="F8" s="102"/>
      <c r="G8" s="102"/>
      <c r="H8" s="102" t="s">
        <v>5</v>
      </c>
      <c r="I8" s="102"/>
      <c r="J8" s="102"/>
      <c r="K8" s="102"/>
    </row>
    <row r="9" spans="1:11" x14ac:dyDescent="0.25">
      <c r="A9" s="40" t="s">
        <v>173</v>
      </c>
      <c r="B9" s="102"/>
      <c r="C9" s="102" t="s">
        <v>5</v>
      </c>
      <c r="D9" s="102"/>
      <c r="E9" s="102"/>
      <c r="F9" s="102"/>
      <c r="G9" s="102"/>
      <c r="H9" s="102" t="s">
        <v>5</v>
      </c>
      <c r="I9" s="102"/>
      <c r="J9" s="102"/>
      <c r="K9" s="102"/>
    </row>
    <row r="10" spans="1:11" x14ac:dyDescent="0.25">
      <c r="A10" s="46" t="s">
        <v>174</v>
      </c>
      <c r="B10" s="102"/>
      <c r="C10" s="102" t="s">
        <v>5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175</v>
      </c>
      <c r="B11" s="102"/>
      <c r="C11" s="102" t="s">
        <v>5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176</v>
      </c>
      <c r="B12" s="102"/>
      <c r="C12" s="102" t="s">
        <v>5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177</v>
      </c>
      <c r="B13" s="102"/>
      <c r="C13" s="102" t="s">
        <v>5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178</v>
      </c>
      <c r="B14" s="102"/>
      <c r="C14" s="102" t="s">
        <v>5</v>
      </c>
      <c r="D14" s="102"/>
      <c r="E14" s="102"/>
      <c r="F14" s="102"/>
      <c r="G14" s="102"/>
      <c r="H14" s="102"/>
      <c r="I14" s="102" t="s">
        <v>5</v>
      </c>
      <c r="J14" s="102"/>
      <c r="K14" s="102"/>
    </row>
    <row r="15" spans="1:11" x14ac:dyDescent="0.25">
      <c r="A15" s="73" t="s">
        <v>179</v>
      </c>
      <c r="B15" s="102"/>
      <c r="C15" s="102" t="s">
        <v>5</v>
      </c>
      <c r="D15" s="102"/>
      <c r="E15" s="102"/>
      <c r="F15" s="102"/>
      <c r="G15" s="102"/>
      <c r="H15" s="102"/>
      <c r="I15" s="102" t="s">
        <v>5</v>
      </c>
      <c r="J15" s="102"/>
      <c r="K15" s="102"/>
    </row>
    <row r="16" spans="1:11" x14ac:dyDescent="0.25">
      <c r="A16" s="40" t="s">
        <v>180</v>
      </c>
      <c r="B16" s="102"/>
      <c r="C16" s="102" t="s">
        <v>5</v>
      </c>
      <c r="D16" s="102"/>
      <c r="E16" s="102"/>
      <c r="F16" s="102"/>
      <c r="G16" s="102"/>
      <c r="H16" s="102" t="s">
        <v>5</v>
      </c>
      <c r="I16" s="102" t="s">
        <v>5</v>
      </c>
      <c r="J16" s="102"/>
      <c r="K16" s="102"/>
    </row>
    <row r="17" spans="1:11" x14ac:dyDescent="0.25">
      <c r="A17" s="40" t="s">
        <v>181</v>
      </c>
      <c r="B17" s="102"/>
      <c r="C17" s="102" t="s">
        <v>5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151</v>
      </c>
      <c r="B18" s="102" t="s">
        <v>5</v>
      </c>
      <c r="C18" s="102"/>
      <c r="D18" s="102"/>
      <c r="E18" s="102"/>
      <c r="F18" s="102" t="s">
        <v>5</v>
      </c>
      <c r="G18" s="102"/>
      <c r="H18" s="102"/>
      <c r="I18" s="102"/>
      <c r="J18" s="102"/>
      <c r="K18" s="102"/>
    </row>
    <row r="19" spans="1:11" x14ac:dyDescent="0.25">
      <c r="A19" s="40" t="s">
        <v>152</v>
      </c>
      <c r="B19" s="102" t="s">
        <v>5</v>
      </c>
      <c r="C19" s="102"/>
      <c r="D19" s="102"/>
      <c r="E19" s="102"/>
      <c r="F19" s="102" t="s">
        <v>5</v>
      </c>
      <c r="G19" s="102"/>
      <c r="H19" s="102"/>
      <c r="I19" s="102"/>
      <c r="J19" s="102"/>
      <c r="K19" s="102"/>
    </row>
    <row r="20" spans="1:11" x14ac:dyDescent="0.25">
      <c r="A20" s="40" t="s">
        <v>153</v>
      </c>
      <c r="B20" s="102" t="s">
        <v>5</v>
      </c>
      <c r="C20" s="102"/>
      <c r="D20" s="102"/>
      <c r="E20" s="102"/>
      <c r="F20" s="102" t="s">
        <v>5</v>
      </c>
      <c r="G20" s="102"/>
      <c r="H20" s="102"/>
      <c r="I20" s="102"/>
      <c r="J20" s="102"/>
      <c r="K20" s="102"/>
    </row>
    <row r="21" spans="1:11" x14ac:dyDescent="0.25">
      <c r="A21" s="40" t="s">
        <v>182</v>
      </c>
      <c r="B21" s="102"/>
      <c r="C21" s="102"/>
      <c r="D21" s="102"/>
      <c r="E21" s="102"/>
      <c r="F21" s="102"/>
      <c r="G21" s="102"/>
      <c r="H21" s="102" t="s">
        <v>5</v>
      </c>
      <c r="I21" s="102" t="s">
        <v>5</v>
      </c>
      <c r="J21" s="102"/>
      <c r="K21" s="102"/>
    </row>
    <row r="22" spans="1:11" x14ac:dyDescent="0.25">
      <c r="A22" s="40" t="s">
        <v>184</v>
      </c>
      <c r="B22" s="102" t="s">
        <v>5</v>
      </c>
      <c r="C22" s="102" t="s">
        <v>5</v>
      </c>
      <c r="D22" s="102" t="s">
        <v>5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185</v>
      </c>
      <c r="B23" s="102"/>
      <c r="C23" s="102" t="s">
        <v>5</v>
      </c>
      <c r="D23" s="102"/>
      <c r="E23" s="102"/>
      <c r="F23" s="102"/>
      <c r="G23" s="102"/>
      <c r="H23" s="102"/>
      <c r="I23" s="102" t="s">
        <v>5</v>
      </c>
      <c r="J23" s="102"/>
      <c r="K23" s="102"/>
    </row>
    <row r="24" spans="1:11" x14ac:dyDescent="0.25">
      <c r="A24" s="40" t="s">
        <v>188</v>
      </c>
      <c r="B24" s="102"/>
      <c r="C24" s="102"/>
      <c r="D24" s="102"/>
      <c r="E24" s="102"/>
      <c r="F24" s="102"/>
      <c r="G24" s="102"/>
      <c r="H24" s="102" t="s">
        <v>5</v>
      </c>
      <c r="I24" s="102"/>
      <c r="J24" s="102"/>
      <c r="K24" s="102"/>
    </row>
    <row r="25" spans="1:11" x14ac:dyDescent="0.25">
      <c r="A25" s="40" t="s">
        <v>189</v>
      </c>
      <c r="B25" s="102"/>
      <c r="C25" s="102"/>
      <c r="D25" s="102"/>
      <c r="E25" s="102"/>
      <c r="F25" s="102"/>
      <c r="G25" s="102"/>
      <c r="H25" s="102" t="s">
        <v>5</v>
      </c>
      <c r="I25" s="102"/>
      <c r="J25" s="102"/>
      <c r="K25" s="102"/>
    </row>
    <row r="26" spans="1:11" x14ac:dyDescent="0.25">
      <c r="A26" s="40" t="s">
        <v>190</v>
      </c>
      <c r="B26" s="102"/>
      <c r="C26" s="102" t="s">
        <v>5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191</v>
      </c>
      <c r="B27" s="102"/>
      <c r="C27" s="102" t="s">
        <v>5</v>
      </c>
      <c r="D27" s="102"/>
      <c r="E27" s="102"/>
      <c r="F27" s="102"/>
      <c r="G27" s="102"/>
      <c r="H27" s="102"/>
      <c r="I27" s="102" t="s">
        <v>5</v>
      </c>
      <c r="J27" s="102"/>
      <c r="K27" s="102"/>
    </row>
    <row r="28" spans="1:11" x14ac:dyDescent="0.25">
      <c r="A28" s="40" t="s">
        <v>192</v>
      </c>
      <c r="B28" s="102"/>
      <c r="C28" s="102"/>
      <c r="D28" s="102"/>
      <c r="E28" s="102"/>
      <c r="F28" s="102"/>
      <c r="G28" s="102"/>
      <c r="H28" s="102" t="s">
        <v>5</v>
      </c>
      <c r="I28" s="102"/>
      <c r="J28" s="102"/>
      <c r="K28" s="102"/>
    </row>
    <row r="29" spans="1:11" x14ac:dyDescent="0.25">
      <c r="A29" s="40" t="s">
        <v>193</v>
      </c>
      <c r="B29" s="102" t="s">
        <v>5</v>
      </c>
      <c r="C29" s="102"/>
      <c r="D29" s="102" t="s">
        <v>5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204</v>
      </c>
      <c r="B30" s="102" t="s">
        <v>5</v>
      </c>
      <c r="C30" s="102" t="s">
        <v>5</v>
      </c>
      <c r="D30" s="102" t="s">
        <v>5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164</v>
      </c>
      <c r="B31" s="102"/>
      <c r="C31" s="102"/>
      <c r="D31" s="102"/>
      <c r="E31" s="102" t="s">
        <v>5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196</v>
      </c>
      <c r="B32" s="102"/>
      <c r="C32" s="102"/>
      <c r="D32" s="102"/>
      <c r="E32" s="102"/>
      <c r="F32" s="102"/>
      <c r="G32" s="102" t="s">
        <v>5</v>
      </c>
      <c r="H32" s="102" t="s">
        <v>5</v>
      </c>
      <c r="I32" s="102"/>
      <c r="J32" s="102"/>
      <c r="K32" s="102"/>
    </row>
    <row r="33" spans="1:11" x14ac:dyDescent="0.25">
      <c r="A33" s="40" t="s">
        <v>197</v>
      </c>
      <c r="B33" s="102"/>
      <c r="C33" s="102"/>
      <c r="D33" s="102"/>
      <c r="E33" s="102"/>
      <c r="F33" s="102"/>
      <c r="G33" s="102" t="s">
        <v>5</v>
      </c>
      <c r="H33" s="102" t="s">
        <v>5</v>
      </c>
      <c r="I33" s="102"/>
      <c r="J33" s="102"/>
      <c r="K33" s="102"/>
    </row>
    <row r="34" spans="1:11" x14ac:dyDescent="0.25">
      <c r="A34" s="40" t="s">
        <v>198</v>
      </c>
      <c r="B34" s="102"/>
      <c r="C34" s="102"/>
      <c r="D34" s="102"/>
      <c r="E34" s="102"/>
      <c r="F34" s="102"/>
      <c r="G34" s="102" t="s">
        <v>5</v>
      </c>
      <c r="H34" s="102" t="s">
        <v>5</v>
      </c>
      <c r="I34" s="102"/>
      <c r="J34" s="102"/>
      <c r="K34" s="102"/>
    </row>
    <row r="35" spans="1:11" x14ac:dyDescent="0.25">
      <c r="A35" s="40" t="s">
        <v>199</v>
      </c>
      <c r="B35" s="102"/>
      <c r="C35" s="102"/>
      <c r="D35" s="102"/>
      <c r="E35" s="102"/>
      <c r="F35" s="102"/>
      <c r="G35" s="102" t="s">
        <v>5</v>
      </c>
      <c r="H35" s="102" t="s">
        <v>5</v>
      </c>
      <c r="I35" s="102"/>
      <c r="J35" s="102"/>
      <c r="K35" s="102"/>
    </row>
    <row r="36" spans="1:11" x14ac:dyDescent="0.25">
      <c r="A36" s="40" t="s">
        <v>200</v>
      </c>
      <c r="B36" s="102"/>
      <c r="C36" s="102"/>
      <c r="D36" s="102"/>
      <c r="E36" s="102"/>
      <c r="F36" s="102"/>
      <c r="G36" s="102" t="s">
        <v>5</v>
      </c>
      <c r="H36" s="102" t="s">
        <v>5</v>
      </c>
      <c r="I36" s="102"/>
      <c r="J36" s="102"/>
      <c r="K36" s="102"/>
    </row>
    <row r="37" spans="1:11" x14ac:dyDescent="0.25">
      <c r="A37" s="40" t="s">
        <v>201</v>
      </c>
      <c r="B37" s="102"/>
      <c r="C37" s="102"/>
      <c r="D37" s="102"/>
      <c r="E37" s="102"/>
      <c r="F37" s="102"/>
      <c r="G37" s="102" t="s">
        <v>5</v>
      </c>
      <c r="H37" s="102" t="s">
        <v>5</v>
      </c>
      <c r="I37" s="102"/>
      <c r="J37" s="102"/>
      <c r="K37" s="102"/>
    </row>
    <row r="38" spans="1:11" x14ac:dyDescent="0.25">
      <c r="A38" s="40" t="s">
        <v>202</v>
      </c>
      <c r="B38" s="102"/>
      <c r="C38" s="102"/>
      <c r="D38" s="102"/>
      <c r="E38" s="102"/>
      <c r="F38" s="102"/>
      <c r="G38" s="102"/>
      <c r="H38" s="102" t="s">
        <v>5</v>
      </c>
      <c r="I38" s="102"/>
      <c r="J38" s="102"/>
      <c r="K38" s="102"/>
    </row>
    <row r="39" spans="1:11" x14ac:dyDescent="0.25">
      <c r="A39" s="40" t="s">
        <v>203</v>
      </c>
      <c r="B39" s="102" t="s">
        <v>5</v>
      </c>
      <c r="C39" s="102"/>
      <c r="D39" s="102"/>
      <c r="E39" s="102"/>
      <c r="F39" s="102"/>
      <c r="G39" s="102" t="s">
        <v>5</v>
      </c>
      <c r="H39" s="102" t="s">
        <v>5</v>
      </c>
      <c r="I39" s="102"/>
      <c r="J39" s="102"/>
      <c r="K39" s="102"/>
    </row>
  </sheetData>
  <sheetProtection algorithmName="SHA-512" hashValue="JiiGVOk2v65gyIOr+wn4DzFw5BDW71IrhUf8QMVf55FMHon/JmmguxMBn0vZDB0+sPdadfoew1a4pxgDHb56iw==" saltValue="NdOZkJrR8EILX1kYY2KZ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233</v>
      </c>
      <c r="B1" s="28" t="s">
        <v>230</v>
      </c>
      <c r="C1" s="28" t="s">
        <v>105</v>
      </c>
      <c r="D1" s="28" t="s">
        <v>231</v>
      </c>
      <c r="E1" s="28" t="s">
        <v>232</v>
      </c>
      <c r="F1" s="28" t="s">
        <v>123</v>
      </c>
      <c r="G1" s="28" t="s">
        <v>84</v>
      </c>
      <c r="H1" s="28" t="s">
        <v>37</v>
      </c>
      <c r="I1" s="28" t="s">
        <v>229</v>
      </c>
      <c r="J1" s="28" t="s">
        <v>22</v>
      </c>
      <c r="K1" s="28" t="s">
        <v>228</v>
      </c>
    </row>
    <row r="2" spans="1:11" x14ac:dyDescent="0.25">
      <c r="A2" s="28" t="s">
        <v>78</v>
      </c>
      <c r="B2" s="102" t="s">
        <v>5</v>
      </c>
      <c r="C2" s="102" t="s">
        <v>5</v>
      </c>
      <c r="D2" s="102" t="s">
        <v>5</v>
      </c>
      <c r="E2" s="102" t="s">
        <v>5</v>
      </c>
      <c r="F2" s="102" t="s">
        <v>5</v>
      </c>
      <c r="G2" s="102" t="s">
        <v>5</v>
      </c>
      <c r="H2" s="102" t="s">
        <v>5</v>
      </c>
      <c r="I2" s="102"/>
      <c r="J2" s="102"/>
      <c r="K2" s="102"/>
    </row>
    <row r="3" spans="1:11" x14ac:dyDescent="0.25">
      <c r="A3" s="28" t="s">
        <v>74</v>
      </c>
      <c r="B3" s="102" t="s">
        <v>5</v>
      </c>
      <c r="C3" s="102" t="s">
        <v>5</v>
      </c>
      <c r="D3" s="102" t="s">
        <v>5</v>
      </c>
      <c r="E3" s="102" t="s">
        <v>5</v>
      </c>
      <c r="F3" s="102" t="s">
        <v>5</v>
      </c>
      <c r="G3" s="102" t="s">
        <v>5</v>
      </c>
      <c r="H3" s="102" t="s">
        <v>5</v>
      </c>
      <c r="I3" s="102"/>
      <c r="J3" s="102"/>
      <c r="K3" s="102"/>
    </row>
    <row r="4" spans="1:11" x14ac:dyDescent="0.25">
      <c r="A4" s="28" t="s">
        <v>77</v>
      </c>
      <c r="B4" s="102" t="s">
        <v>5</v>
      </c>
      <c r="C4" s="102" t="s">
        <v>5</v>
      </c>
      <c r="D4" s="102" t="s">
        <v>5</v>
      </c>
      <c r="E4" s="102" t="s">
        <v>5</v>
      </c>
      <c r="F4" s="102" t="s">
        <v>5</v>
      </c>
      <c r="G4" s="102" t="s">
        <v>5</v>
      </c>
      <c r="H4" s="102" t="s">
        <v>5</v>
      </c>
      <c r="I4" s="102"/>
      <c r="J4" s="102"/>
      <c r="K4" s="102"/>
    </row>
    <row r="5" spans="1:11" x14ac:dyDescent="0.25">
      <c r="A5" s="28" t="s">
        <v>75</v>
      </c>
      <c r="B5" s="102" t="s">
        <v>5</v>
      </c>
      <c r="C5" s="102" t="s">
        <v>5</v>
      </c>
      <c r="D5" s="102" t="s">
        <v>5</v>
      </c>
      <c r="E5" s="102" t="s">
        <v>5</v>
      </c>
      <c r="F5" s="102" t="s">
        <v>5</v>
      </c>
      <c r="G5" s="102" t="s">
        <v>5</v>
      </c>
      <c r="H5" s="102" t="s">
        <v>5</v>
      </c>
      <c r="I5" s="102"/>
      <c r="J5" s="102"/>
      <c r="K5" s="102"/>
    </row>
    <row r="6" spans="1:11" x14ac:dyDescent="0.25">
      <c r="A6" s="28" t="s">
        <v>76</v>
      </c>
      <c r="B6" s="102" t="s">
        <v>5</v>
      </c>
      <c r="C6" s="102" t="s">
        <v>5</v>
      </c>
      <c r="D6" s="102" t="s">
        <v>5</v>
      </c>
      <c r="E6" s="102" t="s">
        <v>5</v>
      </c>
      <c r="F6" s="102" t="s">
        <v>5</v>
      </c>
      <c r="G6" s="102" t="s">
        <v>5</v>
      </c>
      <c r="H6" s="102" t="s">
        <v>5</v>
      </c>
      <c r="I6" s="102"/>
      <c r="J6" s="102"/>
      <c r="K6" s="102"/>
    </row>
    <row r="7" spans="1:11" x14ac:dyDescent="0.25">
      <c r="A7" s="28" t="s">
        <v>113</v>
      </c>
      <c r="B7" s="102"/>
      <c r="C7" s="102" t="s">
        <v>5</v>
      </c>
      <c r="D7" s="102"/>
      <c r="E7" s="102"/>
      <c r="F7" s="102"/>
      <c r="G7" s="102"/>
      <c r="H7" s="102" t="s">
        <v>5</v>
      </c>
      <c r="I7" s="102" t="s">
        <v>5</v>
      </c>
      <c r="J7" s="102"/>
      <c r="K7" s="102"/>
    </row>
    <row r="8" spans="1:11" x14ac:dyDescent="0.25">
      <c r="A8" s="28" t="s">
        <v>114</v>
      </c>
      <c r="B8" s="102"/>
      <c r="C8" s="102" t="s">
        <v>5</v>
      </c>
      <c r="D8" s="102"/>
      <c r="E8" s="102"/>
      <c r="F8" s="102"/>
      <c r="G8" s="102"/>
      <c r="H8" s="102" t="s">
        <v>5</v>
      </c>
      <c r="I8" s="102" t="s">
        <v>5</v>
      </c>
      <c r="J8" s="102"/>
      <c r="K8" s="102"/>
    </row>
    <row r="9" spans="1:11" x14ac:dyDescent="0.25">
      <c r="A9" s="28" t="s">
        <v>115</v>
      </c>
      <c r="B9" s="102"/>
      <c r="C9" s="102" t="s">
        <v>5</v>
      </c>
      <c r="D9" s="102"/>
      <c r="E9" s="102"/>
      <c r="F9" s="102"/>
      <c r="G9" s="102"/>
      <c r="H9" s="102" t="s">
        <v>5</v>
      </c>
      <c r="I9" s="102" t="s">
        <v>5</v>
      </c>
      <c r="J9" s="102"/>
      <c r="K9" s="102"/>
    </row>
    <row r="10" spans="1:11" x14ac:dyDescent="0.25">
      <c r="A10" s="28" t="s">
        <v>116</v>
      </c>
      <c r="B10" s="102"/>
      <c r="C10" s="102" t="s">
        <v>5</v>
      </c>
      <c r="D10" s="102"/>
      <c r="E10" s="102"/>
      <c r="F10" s="102"/>
      <c r="G10" s="102"/>
      <c r="H10" s="102" t="s">
        <v>5</v>
      </c>
      <c r="I10" s="102" t="s">
        <v>5</v>
      </c>
      <c r="J10" s="102"/>
      <c r="K10" s="102"/>
    </row>
    <row r="11" spans="1:11" x14ac:dyDescent="0.25">
      <c r="A11" s="28" t="s">
        <v>68</v>
      </c>
      <c r="B11" s="102"/>
      <c r="C11" s="102" t="s">
        <v>5</v>
      </c>
      <c r="D11" s="102"/>
      <c r="E11" s="102"/>
      <c r="F11" s="102"/>
      <c r="G11" s="102"/>
      <c r="H11" s="102"/>
      <c r="I11" s="102"/>
      <c r="J11" s="102" t="s">
        <v>5</v>
      </c>
      <c r="K11" s="102" t="s">
        <v>5</v>
      </c>
    </row>
    <row r="12" spans="1:11" x14ac:dyDescent="0.25">
      <c r="A12" s="28" t="s">
        <v>69</v>
      </c>
      <c r="B12" s="102"/>
      <c r="C12" s="102" t="s">
        <v>5</v>
      </c>
      <c r="D12" s="102"/>
      <c r="E12" s="102"/>
      <c r="F12" s="102"/>
      <c r="G12" s="102"/>
      <c r="H12" s="102"/>
      <c r="I12" s="102"/>
      <c r="J12" s="102"/>
      <c r="K12" s="102" t="s">
        <v>5</v>
      </c>
    </row>
    <row r="13" spans="1:11" x14ac:dyDescent="0.25">
      <c r="A13" s="28" t="s">
        <v>70</v>
      </c>
      <c r="B13" s="102"/>
      <c r="C13" s="102" t="s">
        <v>5</v>
      </c>
      <c r="D13" s="102"/>
      <c r="E13" s="102"/>
      <c r="F13" s="102"/>
      <c r="G13" s="102"/>
      <c r="H13" s="102"/>
      <c r="I13" s="102"/>
      <c r="J13" s="102"/>
      <c r="K13" s="102" t="s">
        <v>5</v>
      </c>
    </row>
    <row r="14" spans="1:11" x14ac:dyDescent="0.25">
      <c r="A14" s="28" t="s">
        <v>71</v>
      </c>
      <c r="B14" s="102"/>
      <c r="C14" s="102" t="s">
        <v>5</v>
      </c>
      <c r="D14" s="102"/>
      <c r="E14" s="102"/>
      <c r="F14" s="102"/>
      <c r="G14" s="102"/>
      <c r="H14" s="102"/>
      <c r="I14" s="102"/>
      <c r="J14" s="102"/>
      <c r="K14" s="102" t="s">
        <v>5</v>
      </c>
    </row>
  </sheetData>
  <sheetProtection algorithmName="SHA-512" hashValue="bvWq8VrFz4BtC0BuIiUfwMeVQUzV5WnFHvH/PoAuDHDwdr5PBmEmiEvSC67y9NjFialQBvyGB0swX4Gi6+P/Yw==" saltValue="3UGa5ooWjD3TxNrVS2Py/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D15" sqref="D1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234</v>
      </c>
      <c r="B1" s="30" t="s">
        <v>156</v>
      </c>
      <c r="C1" s="30" t="s">
        <v>160</v>
      </c>
      <c r="D1" s="30" t="s">
        <v>78</v>
      </c>
      <c r="E1" s="30" t="s">
        <v>74</v>
      </c>
      <c r="F1" s="30" t="s">
        <v>77</v>
      </c>
      <c r="G1" s="30" t="s">
        <v>75</v>
      </c>
      <c r="H1" s="30" t="s">
        <v>76</v>
      </c>
    </row>
    <row r="2" spans="1:10" ht="13" x14ac:dyDescent="0.3">
      <c r="A2" s="30" t="s">
        <v>236</v>
      </c>
      <c r="B2" s="122" t="s">
        <v>104</v>
      </c>
      <c r="C2" s="28" t="s">
        <v>150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149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155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78</v>
      </c>
      <c r="C5" s="28" t="s">
        <v>150</v>
      </c>
      <c r="D5" s="103">
        <v>2.17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149</v>
      </c>
      <c r="D6" s="103">
        <v>2.17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155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74</v>
      </c>
      <c r="C8" s="28" t="s">
        <v>150</v>
      </c>
      <c r="D8" s="103">
        <v>1</v>
      </c>
      <c r="E8" s="103">
        <v>2.48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149</v>
      </c>
      <c r="D9" s="103">
        <v>1</v>
      </c>
      <c r="E9" s="103">
        <v>2.48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155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77</v>
      </c>
      <c r="C11" s="28" t="s">
        <v>150</v>
      </c>
      <c r="D11" s="103">
        <v>1</v>
      </c>
      <c r="E11" s="103">
        <v>1</v>
      </c>
      <c r="F11" s="103">
        <v>1.82</v>
      </c>
      <c r="G11" s="103">
        <v>1</v>
      </c>
      <c r="H11" s="103">
        <v>1</v>
      </c>
    </row>
    <row r="12" spans="1:10" x14ac:dyDescent="0.25">
      <c r="B12" s="122"/>
      <c r="C12" s="28" t="s">
        <v>149</v>
      </c>
      <c r="D12" s="103">
        <v>1</v>
      </c>
      <c r="E12" s="103">
        <v>1</v>
      </c>
      <c r="F12" s="103">
        <v>1.82</v>
      </c>
      <c r="G12" s="103">
        <v>1</v>
      </c>
      <c r="H12" s="103">
        <v>1</v>
      </c>
    </row>
    <row r="13" spans="1:10" x14ac:dyDescent="0.25">
      <c r="B13" s="122"/>
      <c r="C13" s="28" t="s">
        <v>155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75</v>
      </c>
      <c r="C14" s="28" t="s">
        <v>150</v>
      </c>
      <c r="D14" s="103">
        <v>1</v>
      </c>
      <c r="E14" s="103">
        <v>1</v>
      </c>
      <c r="F14" s="103">
        <v>1</v>
      </c>
      <c r="G14" s="103">
        <v>1.82</v>
      </c>
      <c r="H14" s="103">
        <v>1</v>
      </c>
    </row>
    <row r="15" spans="1:10" x14ac:dyDescent="0.25">
      <c r="B15" s="122"/>
      <c r="C15" s="28" t="s">
        <v>149</v>
      </c>
      <c r="D15" s="103">
        <v>1</v>
      </c>
      <c r="E15" s="103">
        <v>1</v>
      </c>
      <c r="F15" s="103">
        <v>1</v>
      </c>
      <c r="G15" s="103">
        <v>1.82</v>
      </c>
      <c r="H15" s="103">
        <v>1</v>
      </c>
    </row>
    <row r="16" spans="1:10" x14ac:dyDescent="0.25">
      <c r="B16" s="122"/>
      <c r="C16" s="28" t="s">
        <v>155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148</v>
      </c>
      <c r="C17" s="28" t="s">
        <v>155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242</v>
      </c>
      <c r="B19" s="122" t="s">
        <v>104</v>
      </c>
      <c r="C19" s="28" t="s">
        <v>150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149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155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78</v>
      </c>
      <c r="C22" s="28" t="s">
        <v>150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149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155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74</v>
      </c>
      <c r="C25" s="28" t="s">
        <v>150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149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155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77</v>
      </c>
      <c r="C28" s="28" t="s">
        <v>150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149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155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75</v>
      </c>
      <c r="C31" s="28" t="s">
        <v>150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149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155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148</v>
      </c>
      <c r="C34" s="28" t="s">
        <v>155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239</v>
      </c>
      <c r="B36" s="122" t="s">
        <v>104</v>
      </c>
      <c r="C36" s="28" t="s">
        <v>150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149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155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78</v>
      </c>
      <c r="C39" s="28" t="s">
        <v>150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149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155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74</v>
      </c>
      <c r="C42" s="28" t="s">
        <v>150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149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155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77</v>
      </c>
      <c r="C45" s="28" t="s">
        <v>150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149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155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75</v>
      </c>
      <c r="C48" s="28" t="s">
        <v>150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149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155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148</v>
      </c>
      <c r="C51" s="28" t="s">
        <v>155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235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234</v>
      </c>
      <c r="B54" s="30" t="s">
        <v>156</v>
      </c>
      <c r="C54" s="30" t="s">
        <v>160</v>
      </c>
      <c r="D54" s="30" t="s">
        <v>78</v>
      </c>
      <c r="E54" s="30" t="s">
        <v>74</v>
      </c>
      <c r="F54" s="30" t="s">
        <v>77</v>
      </c>
      <c r="G54" s="30" t="s">
        <v>75</v>
      </c>
      <c r="H54" s="30" t="s">
        <v>76</v>
      </c>
    </row>
    <row r="55" spans="1:8" ht="13" x14ac:dyDescent="0.3">
      <c r="A55" s="30" t="s">
        <v>237</v>
      </c>
      <c r="B55" s="122" t="s">
        <v>104</v>
      </c>
      <c r="C55" s="28" t="s">
        <v>150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149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155</v>
      </c>
      <c r="D57" s="103">
        <f t="shared" ref="D57:H59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78</v>
      </c>
      <c r="C58" s="28" t="s">
        <v>150</v>
      </c>
      <c r="D58" s="103">
        <v>1.84</v>
      </c>
      <c r="E58" s="103">
        <f t="shared" si="2"/>
        <v>1</v>
      </c>
      <c r="F58" s="103">
        <f t="shared" si="2"/>
        <v>1</v>
      </c>
      <c r="G58" s="103">
        <f t="shared" si="2"/>
        <v>1</v>
      </c>
      <c r="H58" s="103">
        <f t="shared" ref="H58" si="3">IF(H5=1,1,H5*0.9)</f>
        <v>1</v>
      </c>
    </row>
    <row r="59" spans="1:8" x14ac:dyDescent="0.25">
      <c r="B59" s="122"/>
      <c r="C59" s="28" t="s">
        <v>149</v>
      </c>
      <c r="D59" s="103">
        <v>1.84</v>
      </c>
      <c r="E59" s="103">
        <f t="shared" si="2"/>
        <v>1</v>
      </c>
      <c r="F59" s="103">
        <f t="shared" si="2"/>
        <v>1</v>
      </c>
      <c r="G59" s="103">
        <f t="shared" si="2"/>
        <v>1</v>
      </c>
      <c r="H59" s="103">
        <f t="shared" ref="H59" si="4">IF(H6=1,1,H6*0.9)</f>
        <v>1</v>
      </c>
    </row>
    <row r="60" spans="1:8" x14ac:dyDescent="0.25">
      <c r="B60" s="122"/>
      <c r="C60" s="28" t="s">
        <v>155</v>
      </c>
      <c r="D60" s="103">
        <f t="shared" ref="D60:G68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ref="H60" si="6">IF(H7=1,1,H7*0.9)</f>
        <v>1</v>
      </c>
    </row>
    <row r="61" spans="1:8" x14ac:dyDescent="0.25">
      <c r="B61" s="122" t="s">
        <v>74</v>
      </c>
      <c r="C61" s="28" t="s">
        <v>150</v>
      </c>
      <c r="D61" s="103">
        <f t="shared" si="5"/>
        <v>1</v>
      </c>
      <c r="E61" s="103">
        <v>1.99</v>
      </c>
      <c r="F61" s="103">
        <f t="shared" si="5"/>
        <v>1</v>
      </c>
      <c r="G61" s="103">
        <f t="shared" si="5"/>
        <v>1</v>
      </c>
      <c r="H61" s="103">
        <f t="shared" ref="H61" si="7">IF(H8=1,1,H8*0.9)</f>
        <v>1</v>
      </c>
    </row>
    <row r="62" spans="1:8" x14ac:dyDescent="0.25">
      <c r="B62" s="122"/>
      <c r="C62" s="28" t="s">
        <v>149</v>
      </c>
      <c r="D62" s="103">
        <f t="shared" si="5"/>
        <v>1</v>
      </c>
      <c r="E62" s="103">
        <v>1.99</v>
      </c>
      <c r="F62" s="103">
        <f t="shared" si="5"/>
        <v>1</v>
      </c>
      <c r="G62" s="103">
        <f t="shared" si="5"/>
        <v>1</v>
      </c>
      <c r="H62" s="103">
        <f t="shared" ref="H62" si="8">IF(H9=1,1,H9*0.9)</f>
        <v>1</v>
      </c>
    </row>
    <row r="63" spans="1:8" x14ac:dyDescent="0.25">
      <c r="B63" s="122"/>
      <c r="C63" s="28" t="s">
        <v>155</v>
      </c>
      <c r="D63" s="103">
        <f t="shared" si="5"/>
        <v>1</v>
      </c>
      <c r="E63" s="103">
        <f t="shared" si="5"/>
        <v>1</v>
      </c>
      <c r="F63" s="103">
        <f t="shared" si="5"/>
        <v>1</v>
      </c>
      <c r="G63" s="103">
        <f t="shared" si="5"/>
        <v>1</v>
      </c>
      <c r="H63" s="103">
        <f t="shared" ref="H63" si="9">IF(H10=1,1,H10*0.9)</f>
        <v>1</v>
      </c>
    </row>
    <row r="64" spans="1:8" x14ac:dyDescent="0.25">
      <c r="B64" s="122" t="s">
        <v>77</v>
      </c>
      <c r="C64" s="28" t="s">
        <v>150</v>
      </c>
      <c r="D64" s="103">
        <f t="shared" si="5"/>
        <v>1</v>
      </c>
      <c r="E64" s="103">
        <f t="shared" si="5"/>
        <v>1</v>
      </c>
      <c r="F64" s="103">
        <v>1.36</v>
      </c>
      <c r="G64" s="103">
        <f t="shared" si="5"/>
        <v>1</v>
      </c>
      <c r="H64" s="103">
        <f t="shared" ref="H64" si="10">IF(H11=1,1,H11*0.9)</f>
        <v>1</v>
      </c>
    </row>
    <row r="65" spans="1:8" x14ac:dyDescent="0.25">
      <c r="B65" s="122"/>
      <c r="C65" s="28" t="s">
        <v>149</v>
      </c>
      <c r="D65" s="103">
        <f t="shared" si="5"/>
        <v>1</v>
      </c>
      <c r="E65" s="103">
        <f t="shared" si="5"/>
        <v>1</v>
      </c>
      <c r="F65" s="103">
        <v>1.36</v>
      </c>
      <c r="G65" s="103">
        <f t="shared" si="5"/>
        <v>1</v>
      </c>
      <c r="H65" s="103">
        <f t="shared" ref="H65" si="11">IF(H12=1,1,H12*0.9)</f>
        <v>1</v>
      </c>
    </row>
    <row r="66" spans="1:8" x14ac:dyDescent="0.25">
      <c r="B66" s="122"/>
      <c r="C66" s="28" t="s">
        <v>155</v>
      </c>
      <c r="D66" s="103">
        <f t="shared" si="5"/>
        <v>1</v>
      </c>
      <c r="E66" s="103">
        <f t="shared" si="5"/>
        <v>1</v>
      </c>
      <c r="F66" s="103">
        <f t="shared" si="5"/>
        <v>1</v>
      </c>
      <c r="G66" s="103">
        <f t="shared" si="5"/>
        <v>1</v>
      </c>
      <c r="H66" s="103">
        <f t="shared" ref="H66" si="12">IF(H13=1,1,H13*0.9)</f>
        <v>1</v>
      </c>
    </row>
    <row r="67" spans="1:8" x14ac:dyDescent="0.25">
      <c r="B67" s="122" t="s">
        <v>75</v>
      </c>
      <c r="C67" s="28" t="s">
        <v>150</v>
      </c>
      <c r="D67" s="103">
        <f t="shared" si="5"/>
        <v>1</v>
      </c>
      <c r="E67" s="103">
        <f t="shared" si="5"/>
        <v>1</v>
      </c>
      <c r="F67" s="103">
        <f t="shared" si="5"/>
        <v>1</v>
      </c>
      <c r="G67" s="103">
        <v>1.36</v>
      </c>
      <c r="H67" s="103">
        <f t="shared" ref="H67" si="13">IF(H14=1,1,H14*0.9)</f>
        <v>1</v>
      </c>
    </row>
    <row r="68" spans="1:8" x14ac:dyDescent="0.25">
      <c r="B68" s="122"/>
      <c r="C68" s="28" t="s">
        <v>149</v>
      </c>
      <c r="D68" s="103">
        <f t="shared" si="5"/>
        <v>1</v>
      </c>
      <c r="E68" s="103">
        <f t="shared" si="5"/>
        <v>1</v>
      </c>
      <c r="F68" s="103">
        <f t="shared" si="5"/>
        <v>1</v>
      </c>
      <c r="G68" s="103">
        <v>1.36</v>
      </c>
      <c r="H68" s="103">
        <f t="shared" ref="H68" si="14">IF(H15=1,1,H15*0.9)</f>
        <v>1</v>
      </c>
    </row>
    <row r="69" spans="1:8" x14ac:dyDescent="0.25">
      <c r="B69" s="122"/>
      <c r="C69" s="28" t="s">
        <v>155</v>
      </c>
      <c r="D69" s="103">
        <f t="shared" ref="D69:H69" si="15">IF(D16=1,1,D16*0.9)</f>
        <v>1</v>
      </c>
      <c r="E69" s="103">
        <f t="shared" si="15"/>
        <v>1</v>
      </c>
      <c r="F69" s="103">
        <f t="shared" si="15"/>
        <v>1</v>
      </c>
      <c r="G69" s="103">
        <f t="shared" si="15"/>
        <v>1</v>
      </c>
      <c r="H69" s="103">
        <f t="shared" si="15"/>
        <v>1</v>
      </c>
    </row>
    <row r="70" spans="1:8" ht="13" x14ac:dyDescent="0.25">
      <c r="B70" s="77" t="s">
        <v>148</v>
      </c>
      <c r="C70" s="28" t="s">
        <v>155</v>
      </c>
      <c r="D70" s="103">
        <f t="shared" ref="D70:H70" si="16">IF(D17=1,1,D17*0.9)</f>
        <v>0.94500000000000006</v>
      </c>
      <c r="E70" s="103">
        <f t="shared" si="16"/>
        <v>0.94500000000000006</v>
      </c>
      <c r="F70" s="103">
        <f t="shared" si="16"/>
        <v>0.94500000000000006</v>
      </c>
      <c r="G70" s="103">
        <f t="shared" si="16"/>
        <v>0.94500000000000006</v>
      </c>
      <c r="H70" s="103">
        <f t="shared" si="16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243</v>
      </c>
      <c r="B72" s="122" t="s">
        <v>104</v>
      </c>
      <c r="C72" s="28" t="s">
        <v>150</v>
      </c>
      <c r="D72" s="103">
        <f>IF(D19=1,1,D19*0.9)</f>
        <v>1</v>
      </c>
      <c r="E72" s="103">
        <f t="shared" ref="E72:H72" si="17">IF(E19=1,1,E19*0.9)</f>
        <v>1</v>
      </c>
      <c r="F72" s="103">
        <f t="shared" si="17"/>
        <v>1</v>
      </c>
      <c r="G72" s="103">
        <f t="shared" si="17"/>
        <v>1</v>
      </c>
      <c r="H72" s="103">
        <f t="shared" si="17"/>
        <v>1</v>
      </c>
    </row>
    <row r="73" spans="1:8" x14ac:dyDescent="0.25">
      <c r="B73" s="122"/>
      <c r="C73" s="28" t="s">
        <v>149</v>
      </c>
      <c r="D73" s="103">
        <f t="shared" ref="D73:H73" si="18">IF(D20=1,1,D20*0.9)</f>
        <v>1</v>
      </c>
      <c r="E73" s="103">
        <f t="shared" si="18"/>
        <v>1</v>
      </c>
      <c r="F73" s="103">
        <f t="shared" si="18"/>
        <v>1</v>
      </c>
      <c r="G73" s="103">
        <f t="shared" si="18"/>
        <v>1</v>
      </c>
      <c r="H73" s="103">
        <f t="shared" si="18"/>
        <v>1</v>
      </c>
    </row>
    <row r="74" spans="1:8" x14ac:dyDescent="0.25">
      <c r="B74" s="122"/>
      <c r="C74" s="28" t="s">
        <v>155</v>
      </c>
      <c r="D74" s="103">
        <f t="shared" ref="D74:H74" si="19">IF(D21=1,1,D21*0.9)</f>
        <v>1</v>
      </c>
      <c r="E74" s="103">
        <f t="shared" si="19"/>
        <v>1</v>
      </c>
      <c r="F74" s="103">
        <f t="shared" si="19"/>
        <v>1</v>
      </c>
      <c r="G74" s="103">
        <f t="shared" si="19"/>
        <v>1</v>
      </c>
      <c r="H74" s="103">
        <f t="shared" si="19"/>
        <v>1</v>
      </c>
    </row>
    <row r="75" spans="1:8" x14ac:dyDescent="0.25">
      <c r="B75" s="122" t="s">
        <v>78</v>
      </c>
      <c r="C75" s="28" t="s">
        <v>150</v>
      </c>
      <c r="D75" s="103">
        <f t="shared" ref="D75:H75" si="20">IF(D22=1,1,D22*0.9)</f>
        <v>1</v>
      </c>
      <c r="E75" s="103">
        <f t="shared" si="20"/>
        <v>1</v>
      </c>
      <c r="F75" s="103">
        <f t="shared" si="20"/>
        <v>1</v>
      </c>
      <c r="G75" s="103">
        <f t="shared" si="20"/>
        <v>1</v>
      </c>
      <c r="H75" s="103">
        <f t="shared" si="20"/>
        <v>1</v>
      </c>
    </row>
    <row r="76" spans="1:8" x14ac:dyDescent="0.25">
      <c r="B76" s="122"/>
      <c r="C76" s="28" t="s">
        <v>149</v>
      </c>
      <c r="D76" s="103">
        <f t="shared" ref="D76:H76" si="21">IF(D23=1,1,D23*0.9)</f>
        <v>1</v>
      </c>
      <c r="E76" s="103">
        <f t="shared" si="21"/>
        <v>1</v>
      </c>
      <c r="F76" s="103">
        <f t="shared" si="21"/>
        <v>1</v>
      </c>
      <c r="G76" s="103">
        <f t="shared" si="21"/>
        <v>1</v>
      </c>
      <c r="H76" s="103">
        <f t="shared" si="21"/>
        <v>1</v>
      </c>
    </row>
    <row r="77" spans="1:8" x14ac:dyDescent="0.25">
      <c r="B77" s="122"/>
      <c r="C77" s="28" t="s">
        <v>155</v>
      </c>
      <c r="D77" s="103">
        <f t="shared" ref="D77:H77" si="22">IF(D24=1,1,D24*0.9)</f>
        <v>1</v>
      </c>
      <c r="E77" s="103">
        <f t="shared" si="22"/>
        <v>1</v>
      </c>
      <c r="F77" s="103">
        <f t="shared" si="22"/>
        <v>1</v>
      </c>
      <c r="G77" s="103">
        <f t="shared" si="22"/>
        <v>1</v>
      </c>
      <c r="H77" s="103">
        <f t="shared" si="22"/>
        <v>1</v>
      </c>
    </row>
    <row r="78" spans="1:8" x14ac:dyDescent="0.25">
      <c r="B78" s="122" t="s">
        <v>74</v>
      </c>
      <c r="C78" s="28" t="s">
        <v>150</v>
      </c>
      <c r="D78" s="103">
        <f t="shared" ref="D78:H78" si="23">IF(D25=1,1,D25*0.9)</f>
        <v>1</v>
      </c>
      <c r="E78" s="103">
        <f t="shared" si="23"/>
        <v>1</v>
      </c>
      <c r="F78" s="103">
        <f t="shared" si="23"/>
        <v>1</v>
      </c>
      <c r="G78" s="103">
        <f t="shared" si="23"/>
        <v>1</v>
      </c>
      <c r="H78" s="103">
        <f t="shared" si="23"/>
        <v>1</v>
      </c>
    </row>
    <row r="79" spans="1:8" x14ac:dyDescent="0.25">
      <c r="B79" s="122"/>
      <c r="C79" s="28" t="s">
        <v>149</v>
      </c>
      <c r="D79" s="103">
        <f t="shared" ref="D79:H79" si="24">IF(D26=1,1,D26*0.9)</f>
        <v>1</v>
      </c>
      <c r="E79" s="103">
        <f t="shared" si="24"/>
        <v>1</v>
      </c>
      <c r="F79" s="103">
        <f t="shared" si="24"/>
        <v>1</v>
      </c>
      <c r="G79" s="103">
        <f t="shared" si="24"/>
        <v>1</v>
      </c>
      <c r="H79" s="103">
        <f t="shared" si="24"/>
        <v>1</v>
      </c>
    </row>
    <row r="80" spans="1:8" x14ac:dyDescent="0.25">
      <c r="B80" s="122"/>
      <c r="C80" s="28" t="s">
        <v>155</v>
      </c>
      <c r="D80" s="103">
        <f t="shared" ref="D80:H80" si="25">IF(D27=1,1,D27*0.9)</f>
        <v>1</v>
      </c>
      <c r="E80" s="103">
        <f t="shared" si="25"/>
        <v>1</v>
      </c>
      <c r="F80" s="103">
        <f t="shared" si="25"/>
        <v>1</v>
      </c>
      <c r="G80" s="103">
        <f t="shared" si="25"/>
        <v>1</v>
      </c>
      <c r="H80" s="103">
        <f t="shared" si="25"/>
        <v>1</v>
      </c>
    </row>
    <row r="81" spans="1:8" x14ac:dyDescent="0.25">
      <c r="B81" s="122" t="s">
        <v>77</v>
      </c>
      <c r="C81" s="28" t="s">
        <v>150</v>
      </c>
      <c r="D81" s="103">
        <f t="shared" ref="D81:H81" si="26">IF(D28=1,1,D28*0.9)</f>
        <v>1</v>
      </c>
      <c r="E81" s="103">
        <f t="shared" si="26"/>
        <v>1</v>
      </c>
      <c r="F81" s="103">
        <f t="shared" si="26"/>
        <v>1</v>
      </c>
      <c r="G81" s="103">
        <f t="shared" si="26"/>
        <v>1</v>
      </c>
      <c r="H81" s="103">
        <f t="shared" si="26"/>
        <v>1</v>
      </c>
    </row>
    <row r="82" spans="1:8" x14ac:dyDescent="0.25">
      <c r="B82" s="122"/>
      <c r="C82" s="28" t="s">
        <v>149</v>
      </c>
      <c r="D82" s="103">
        <f t="shared" ref="D82:H82" si="27">IF(D29=1,1,D29*0.9)</f>
        <v>1</v>
      </c>
      <c r="E82" s="103">
        <f t="shared" si="27"/>
        <v>1</v>
      </c>
      <c r="F82" s="103">
        <f t="shared" si="27"/>
        <v>1</v>
      </c>
      <c r="G82" s="103">
        <f t="shared" si="27"/>
        <v>1</v>
      </c>
      <c r="H82" s="103">
        <f t="shared" si="27"/>
        <v>1</v>
      </c>
    </row>
    <row r="83" spans="1:8" x14ac:dyDescent="0.25">
      <c r="B83" s="122"/>
      <c r="C83" s="28" t="s">
        <v>155</v>
      </c>
      <c r="D83" s="103">
        <f t="shared" ref="D83:H83" si="28">IF(D30=1,1,D30*0.9)</f>
        <v>1</v>
      </c>
      <c r="E83" s="103">
        <f t="shared" si="28"/>
        <v>1</v>
      </c>
      <c r="F83" s="103">
        <f t="shared" si="28"/>
        <v>1</v>
      </c>
      <c r="G83" s="103">
        <f t="shared" si="28"/>
        <v>1</v>
      </c>
      <c r="H83" s="103">
        <f t="shared" si="28"/>
        <v>1</v>
      </c>
    </row>
    <row r="84" spans="1:8" x14ac:dyDescent="0.25">
      <c r="B84" s="122" t="s">
        <v>75</v>
      </c>
      <c r="C84" s="28" t="s">
        <v>150</v>
      </c>
      <c r="D84" s="103">
        <f t="shared" ref="D84:H84" si="29">IF(D31=1,1,D31*0.9)</f>
        <v>1</v>
      </c>
      <c r="E84" s="103">
        <f t="shared" si="29"/>
        <v>1</v>
      </c>
      <c r="F84" s="103">
        <f t="shared" si="29"/>
        <v>1</v>
      </c>
      <c r="G84" s="103">
        <f t="shared" si="29"/>
        <v>1</v>
      </c>
      <c r="H84" s="103">
        <f t="shared" si="29"/>
        <v>1</v>
      </c>
    </row>
    <row r="85" spans="1:8" x14ac:dyDescent="0.25">
      <c r="B85" s="122"/>
      <c r="C85" s="28" t="s">
        <v>149</v>
      </c>
      <c r="D85" s="103">
        <f t="shared" ref="D85:H85" si="30">IF(D32=1,1,D32*0.9)</f>
        <v>1</v>
      </c>
      <c r="E85" s="103">
        <f t="shared" si="30"/>
        <v>1</v>
      </c>
      <c r="F85" s="103">
        <f t="shared" si="30"/>
        <v>1</v>
      </c>
      <c r="G85" s="103">
        <f t="shared" si="30"/>
        <v>1</v>
      </c>
      <c r="H85" s="103">
        <f t="shared" si="30"/>
        <v>1</v>
      </c>
    </row>
    <row r="86" spans="1:8" x14ac:dyDescent="0.25">
      <c r="B86" s="122"/>
      <c r="C86" s="28" t="s">
        <v>155</v>
      </c>
      <c r="D86" s="103">
        <f t="shared" ref="D86:H86" si="31">IF(D33=1,1,D33*0.9)</f>
        <v>1</v>
      </c>
      <c r="E86" s="103">
        <f t="shared" si="31"/>
        <v>1</v>
      </c>
      <c r="F86" s="103">
        <f t="shared" si="31"/>
        <v>1</v>
      </c>
      <c r="G86" s="103">
        <f t="shared" si="31"/>
        <v>1</v>
      </c>
      <c r="H86" s="103">
        <f t="shared" si="31"/>
        <v>1</v>
      </c>
    </row>
    <row r="87" spans="1:8" ht="13" x14ac:dyDescent="0.25">
      <c r="B87" s="77" t="s">
        <v>148</v>
      </c>
      <c r="C87" s="28" t="s">
        <v>155</v>
      </c>
      <c r="D87" s="103">
        <f t="shared" ref="D87:H87" si="32">IF(D34=1,1,D34*0.9)</f>
        <v>1</v>
      </c>
      <c r="E87" s="103">
        <f t="shared" si="32"/>
        <v>1</v>
      </c>
      <c r="F87" s="103">
        <f t="shared" si="32"/>
        <v>1</v>
      </c>
      <c r="G87" s="103">
        <f t="shared" si="32"/>
        <v>1</v>
      </c>
      <c r="H87" s="103">
        <f t="shared" si="32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240</v>
      </c>
      <c r="B89" s="122" t="s">
        <v>104</v>
      </c>
      <c r="C89" s="28" t="s">
        <v>150</v>
      </c>
      <c r="D89" s="103">
        <f>IF(D36=1,1,D36*0.9)</f>
        <v>1</v>
      </c>
      <c r="E89" s="103">
        <f t="shared" ref="E89:H89" si="33">IF(E36=1,1,E36*0.9)</f>
        <v>1</v>
      </c>
      <c r="F89" s="103">
        <f t="shared" si="33"/>
        <v>1</v>
      </c>
      <c r="G89" s="103">
        <f t="shared" si="33"/>
        <v>1</v>
      </c>
      <c r="H89" s="103">
        <f t="shared" si="33"/>
        <v>1</v>
      </c>
    </row>
    <row r="90" spans="1:8" x14ac:dyDescent="0.25">
      <c r="B90" s="122"/>
      <c r="C90" s="28" t="s">
        <v>149</v>
      </c>
      <c r="D90" s="103">
        <f t="shared" ref="D90:H90" si="34">IF(D37=1,1,D37*0.9)</f>
        <v>1</v>
      </c>
      <c r="E90" s="103">
        <f t="shared" si="34"/>
        <v>1</v>
      </c>
      <c r="F90" s="103">
        <f t="shared" si="34"/>
        <v>1</v>
      </c>
      <c r="G90" s="103">
        <f t="shared" si="34"/>
        <v>1</v>
      </c>
      <c r="H90" s="103">
        <f t="shared" si="34"/>
        <v>1</v>
      </c>
    </row>
    <row r="91" spans="1:8" x14ac:dyDescent="0.25">
      <c r="B91" s="122"/>
      <c r="C91" s="28" t="s">
        <v>155</v>
      </c>
      <c r="D91" s="103">
        <f t="shared" ref="D91:H91" si="35">IF(D38=1,1,D38*0.9)</f>
        <v>1</v>
      </c>
      <c r="E91" s="103">
        <f t="shared" si="35"/>
        <v>1</v>
      </c>
      <c r="F91" s="103">
        <f t="shared" si="35"/>
        <v>1</v>
      </c>
      <c r="G91" s="103">
        <f t="shared" si="35"/>
        <v>1</v>
      </c>
      <c r="H91" s="103">
        <f t="shared" si="35"/>
        <v>1</v>
      </c>
    </row>
    <row r="92" spans="1:8" x14ac:dyDescent="0.25">
      <c r="B92" s="122" t="s">
        <v>78</v>
      </c>
      <c r="C92" s="28" t="s">
        <v>150</v>
      </c>
      <c r="D92" s="103">
        <f t="shared" ref="D92:H92" si="36">IF(D39=1,1,D39*0.9)</f>
        <v>1</v>
      </c>
      <c r="E92" s="103">
        <f t="shared" si="36"/>
        <v>1</v>
      </c>
      <c r="F92" s="103">
        <f t="shared" si="36"/>
        <v>1</v>
      </c>
      <c r="G92" s="103">
        <f t="shared" si="36"/>
        <v>1</v>
      </c>
      <c r="H92" s="103">
        <f t="shared" si="36"/>
        <v>1</v>
      </c>
    </row>
    <row r="93" spans="1:8" x14ac:dyDescent="0.25">
      <c r="B93" s="122"/>
      <c r="C93" s="28" t="s">
        <v>149</v>
      </c>
      <c r="D93" s="103">
        <f t="shared" ref="D93:H93" si="37">IF(D40=1,1,D40*0.9)</f>
        <v>1</v>
      </c>
      <c r="E93" s="103">
        <f t="shared" si="37"/>
        <v>1</v>
      </c>
      <c r="F93" s="103">
        <f t="shared" si="37"/>
        <v>1</v>
      </c>
      <c r="G93" s="103">
        <f t="shared" si="37"/>
        <v>1</v>
      </c>
      <c r="H93" s="103">
        <f t="shared" si="37"/>
        <v>1</v>
      </c>
    </row>
    <row r="94" spans="1:8" x14ac:dyDescent="0.25">
      <c r="B94" s="122"/>
      <c r="C94" s="28" t="s">
        <v>155</v>
      </c>
      <c r="D94" s="103">
        <f t="shared" ref="D94:H94" si="38">IF(D41=1,1,D41*0.9)</f>
        <v>1</v>
      </c>
      <c r="E94" s="103">
        <f t="shared" si="38"/>
        <v>1</v>
      </c>
      <c r="F94" s="103">
        <f t="shared" si="38"/>
        <v>1</v>
      </c>
      <c r="G94" s="103">
        <f t="shared" si="38"/>
        <v>1</v>
      </c>
      <c r="H94" s="103">
        <f t="shared" si="38"/>
        <v>1</v>
      </c>
    </row>
    <row r="95" spans="1:8" x14ac:dyDescent="0.25">
      <c r="B95" s="122" t="s">
        <v>74</v>
      </c>
      <c r="C95" s="28" t="s">
        <v>150</v>
      </c>
      <c r="D95" s="103">
        <f t="shared" ref="D95:H95" si="39">IF(D42=1,1,D42*0.9)</f>
        <v>1</v>
      </c>
      <c r="E95" s="103">
        <f t="shared" si="39"/>
        <v>1</v>
      </c>
      <c r="F95" s="103">
        <f t="shared" si="39"/>
        <v>1</v>
      </c>
      <c r="G95" s="103">
        <f t="shared" si="39"/>
        <v>1</v>
      </c>
      <c r="H95" s="103">
        <f t="shared" si="39"/>
        <v>1</v>
      </c>
    </row>
    <row r="96" spans="1:8" x14ac:dyDescent="0.25">
      <c r="B96" s="122"/>
      <c r="C96" s="28" t="s">
        <v>149</v>
      </c>
      <c r="D96" s="103">
        <f t="shared" ref="D96:H96" si="40">IF(D43=1,1,D43*0.9)</f>
        <v>1</v>
      </c>
      <c r="E96" s="103">
        <f t="shared" si="40"/>
        <v>1</v>
      </c>
      <c r="F96" s="103">
        <f t="shared" si="40"/>
        <v>1</v>
      </c>
      <c r="G96" s="103">
        <f t="shared" si="40"/>
        <v>1</v>
      </c>
      <c r="H96" s="103">
        <f t="shared" si="40"/>
        <v>1</v>
      </c>
    </row>
    <row r="97" spans="1:8" x14ac:dyDescent="0.25">
      <c r="B97" s="122"/>
      <c r="C97" s="28" t="s">
        <v>155</v>
      </c>
      <c r="D97" s="103">
        <f t="shared" ref="D97:H97" si="41">IF(D44=1,1,D44*0.9)</f>
        <v>1</v>
      </c>
      <c r="E97" s="103">
        <f t="shared" si="41"/>
        <v>1</v>
      </c>
      <c r="F97" s="103">
        <f t="shared" si="41"/>
        <v>1</v>
      </c>
      <c r="G97" s="103">
        <f t="shared" si="41"/>
        <v>1</v>
      </c>
      <c r="H97" s="103">
        <f t="shared" si="41"/>
        <v>1</v>
      </c>
    </row>
    <row r="98" spans="1:8" x14ac:dyDescent="0.25">
      <c r="B98" s="122" t="s">
        <v>77</v>
      </c>
      <c r="C98" s="28" t="s">
        <v>150</v>
      </c>
      <c r="D98" s="103">
        <f t="shared" ref="D98:H98" si="42">IF(D45=1,1,D45*0.9)</f>
        <v>1</v>
      </c>
      <c r="E98" s="103">
        <f t="shared" si="42"/>
        <v>1</v>
      </c>
      <c r="F98" s="103">
        <f>IF(F45=1,1,F45*0.9)</f>
        <v>1</v>
      </c>
      <c r="G98" s="103">
        <f t="shared" si="42"/>
        <v>1</v>
      </c>
      <c r="H98" s="103">
        <f t="shared" si="42"/>
        <v>1</v>
      </c>
    </row>
    <row r="99" spans="1:8" x14ac:dyDescent="0.25">
      <c r="B99" s="122"/>
      <c r="C99" s="28" t="s">
        <v>149</v>
      </c>
      <c r="D99" s="103">
        <f t="shared" ref="D99:H99" si="43">IF(D46=1,1,D46*0.9)</f>
        <v>1</v>
      </c>
      <c r="E99" s="103">
        <f t="shared" si="43"/>
        <v>1</v>
      </c>
      <c r="F99" s="103">
        <f>IF(F46=1,1,F46*0.9)</f>
        <v>1</v>
      </c>
      <c r="G99" s="103">
        <f t="shared" si="43"/>
        <v>1</v>
      </c>
      <c r="H99" s="103">
        <f t="shared" si="43"/>
        <v>1</v>
      </c>
    </row>
    <row r="100" spans="1:8" x14ac:dyDescent="0.25">
      <c r="B100" s="122"/>
      <c r="C100" s="28" t="s">
        <v>155</v>
      </c>
      <c r="D100" s="103">
        <f t="shared" ref="D100:H100" si="44">IF(D47=1,1,D47*0.9)</f>
        <v>1</v>
      </c>
      <c r="E100" s="103">
        <f t="shared" si="44"/>
        <v>1</v>
      </c>
      <c r="F100" s="103">
        <f t="shared" si="44"/>
        <v>1</v>
      </c>
      <c r="G100" s="103">
        <f t="shared" si="44"/>
        <v>1</v>
      </c>
      <c r="H100" s="103">
        <f t="shared" si="44"/>
        <v>1</v>
      </c>
    </row>
    <row r="101" spans="1:8" x14ac:dyDescent="0.25">
      <c r="B101" s="122" t="s">
        <v>75</v>
      </c>
      <c r="C101" s="28" t="s">
        <v>150</v>
      </c>
      <c r="D101" s="103">
        <f t="shared" ref="D101:H101" si="45">IF(D48=1,1,D48*0.9)</f>
        <v>1</v>
      </c>
      <c r="E101" s="103">
        <f t="shared" si="45"/>
        <v>1</v>
      </c>
      <c r="F101" s="103">
        <f t="shared" si="45"/>
        <v>1</v>
      </c>
      <c r="G101" s="103">
        <f>IF(G48=1,1,G48*0.9)</f>
        <v>1</v>
      </c>
      <c r="H101" s="103">
        <f t="shared" si="45"/>
        <v>1</v>
      </c>
    </row>
    <row r="102" spans="1:8" x14ac:dyDescent="0.25">
      <c r="B102" s="122"/>
      <c r="C102" s="28" t="s">
        <v>149</v>
      </c>
      <c r="D102" s="103">
        <f t="shared" ref="D102:H102" si="46">IF(D49=1,1,D49*0.9)</f>
        <v>1</v>
      </c>
      <c r="E102" s="103">
        <f t="shared" si="46"/>
        <v>1</v>
      </c>
      <c r="F102" s="103">
        <f t="shared" si="46"/>
        <v>1</v>
      </c>
      <c r="G102" s="103">
        <f>IF(G49=1,1,G49*0.9)</f>
        <v>1</v>
      </c>
      <c r="H102" s="103">
        <f t="shared" si="46"/>
        <v>1</v>
      </c>
    </row>
    <row r="103" spans="1:8" x14ac:dyDescent="0.25">
      <c r="B103" s="122"/>
      <c r="C103" s="28" t="s">
        <v>155</v>
      </c>
      <c r="D103" s="103">
        <f t="shared" ref="D103:H103" si="47">IF(D50=1,1,D50*0.9)</f>
        <v>1</v>
      </c>
      <c r="E103" s="103">
        <f t="shared" si="47"/>
        <v>1</v>
      </c>
      <c r="F103" s="103">
        <f t="shared" si="47"/>
        <v>1</v>
      </c>
      <c r="G103" s="103">
        <f t="shared" si="47"/>
        <v>1</v>
      </c>
      <c r="H103" s="103">
        <f t="shared" si="47"/>
        <v>1</v>
      </c>
    </row>
    <row r="104" spans="1:8" ht="13" x14ac:dyDescent="0.25">
      <c r="B104" s="77" t="s">
        <v>148</v>
      </c>
      <c r="C104" s="28" t="s">
        <v>155</v>
      </c>
      <c r="D104" s="103">
        <f t="shared" ref="D104:H104" si="48">IF(D51=1,1,D51*0.9)</f>
        <v>1</v>
      </c>
      <c r="E104" s="103">
        <f t="shared" si="48"/>
        <v>1</v>
      </c>
      <c r="F104" s="103">
        <f t="shared" si="48"/>
        <v>1</v>
      </c>
      <c r="G104" s="103">
        <f t="shared" si="48"/>
        <v>1</v>
      </c>
      <c r="H104" s="103">
        <f t="shared" si="48"/>
        <v>1</v>
      </c>
    </row>
    <row r="106" spans="1:8" ht="13" x14ac:dyDescent="0.3">
      <c r="A106" s="107" t="s">
        <v>245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234</v>
      </c>
      <c r="B107" s="30" t="s">
        <v>156</v>
      </c>
      <c r="C107" s="30" t="s">
        <v>160</v>
      </c>
      <c r="D107" s="30" t="s">
        <v>78</v>
      </c>
      <c r="E107" s="30" t="s">
        <v>74</v>
      </c>
      <c r="F107" s="30" t="s">
        <v>77</v>
      </c>
      <c r="G107" s="30" t="s">
        <v>75</v>
      </c>
      <c r="H107" s="30" t="s">
        <v>76</v>
      </c>
    </row>
    <row r="108" spans="1:8" ht="13" x14ac:dyDescent="0.3">
      <c r="A108" s="30" t="s">
        <v>238</v>
      </c>
      <c r="B108" s="122" t="s">
        <v>104</v>
      </c>
      <c r="C108" s="28" t="s">
        <v>150</v>
      </c>
      <c r="D108" s="103">
        <f>IF(D2=1,1,D2*1.05)</f>
        <v>1</v>
      </c>
      <c r="E108" s="103">
        <f t="shared" ref="E108:H108" si="49">IF(E2=1,1,E2*1.05)</f>
        <v>1</v>
      </c>
      <c r="F108" s="103">
        <f t="shared" si="49"/>
        <v>1</v>
      </c>
      <c r="G108" s="103">
        <f t="shared" si="49"/>
        <v>1</v>
      </c>
      <c r="H108" s="103">
        <f t="shared" si="49"/>
        <v>1</v>
      </c>
    </row>
    <row r="109" spans="1:8" x14ac:dyDescent="0.25">
      <c r="B109" s="122"/>
      <c r="C109" s="28" t="s">
        <v>149</v>
      </c>
      <c r="D109" s="103">
        <f t="shared" ref="D109:H109" si="50">IF(D3=1,1,D3*1.05)</f>
        <v>1</v>
      </c>
      <c r="E109" s="103">
        <f t="shared" si="50"/>
        <v>1</v>
      </c>
      <c r="F109" s="103">
        <f t="shared" si="50"/>
        <v>1</v>
      </c>
      <c r="G109" s="103">
        <f t="shared" si="50"/>
        <v>1</v>
      </c>
      <c r="H109" s="103">
        <f t="shared" si="50"/>
        <v>1</v>
      </c>
    </row>
    <row r="110" spans="1:8" x14ac:dyDescent="0.25">
      <c r="B110" s="122"/>
      <c r="C110" s="28" t="s">
        <v>155</v>
      </c>
      <c r="D110" s="103">
        <f t="shared" ref="D110:H110" si="51">IF(D4=1,1,D4*1.05)</f>
        <v>1</v>
      </c>
      <c r="E110" s="103">
        <f t="shared" si="51"/>
        <v>1</v>
      </c>
      <c r="F110" s="103">
        <f t="shared" si="51"/>
        <v>1</v>
      </c>
      <c r="G110" s="103">
        <f t="shared" si="51"/>
        <v>1</v>
      </c>
      <c r="H110" s="103">
        <f t="shared" si="51"/>
        <v>1</v>
      </c>
    </row>
    <row r="111" spans="1:8" x14ac:dyDescent="0.25">
      <c r="B111" s="122" t="s">
        <v>78</v>
      </c>
      <c r="C111" s="28" t="s">
        <v>150</v>
      </c>
      <c r="D111" s="103">
        <v>2.56</v>
      </c>
      <c r="E111" s="103">
        <f t="shared" ref="E111:G112" si="52">IF(E58=1,1,E58*0.9)</f>
        <v>1</v>
      </c>
      <c r="F111" s="103">
        <f t="shared" si="52"/>
        <v>1</v>
      </c>
      <c r="G111" s="103">
        <f t="shared" si="52"/>
        <v>1</v>
      </c>
      <c r="H111" s="103">
        <f t="shared" ref="H111" si="53">IF(H5=1,1,H5*1.05)</f>
        <v>1</v>
      </c>
    </row>
    <row r="112" spans="1:8" x14ac:dyDescent="0.25">
      <c r="B112" s="122"/>
      <c r="C112" s="28" t="s">
        <v>149</v>
      </c>
      <c r="D112" s="103">
        <v>2.56</v>
      </c>
      <c r="E112" s="103">
        <f t="shared" si="52"/>
        <v>1</v>
      </c>
      <c r="F112" s="103">
        <f t="shared" si="52"/>
        <v>1</v>
      </c>
      <c r="G112" s="103">
        <f t="shared" si="52"/>
        <v>1</v>
      </c>
      <c r="H112" s="103">
        <f t="shared" ref="H112" si="54">IF(H6=1,1,H6*1.05)</f>
        <v>1</v>
      </c>
    </row>
    <row r="113" spans="1:8" x14ac:dyDescent="0.25">
      <c r="B113" s="122"/>
      <c r="C113" s="28" t="s">
        <v>155</v>
      </c>
      <c r="D113" s="103">
        <f t="shared" ref="D113:G121" si="55">IF(D60=1,1,D60*0.9)</f>
        <v>1</v>
      </c>
      <c r="E113" s="103">
        <f t="shared" si="55"/>
        <v>1</v>
      </c>
      <c r="F113" s="103">
        <f t="shared" si="55"/>
        <v>1</v>
      </c>
      <c r="G113" s="103">
        <f t="shared" si="55"/>
        <v>1</v>
      </c>
      <c r="H113" s="103">
        <f t="shared" ref="H113" si="56">IF(H7=1,1,H7*1.05)</f>
        <v>1</v>
      </c>
    </row>
    <row r="114" spans="1:8" x14ac:dyDescent="0.25">
      <c r="B114" s="122" t="s">
        <v>74</v>
      </c>
      <c r="C114" s="28" t="s">
        <v>150</v>
      </c>
      <c r="D114" s="103">
        <f t="shared" si="55"/>
        <v>1</v>
      </c>
      <c r="E114" s="103">
        <v>3.09</v>
      </c>
      <c r="F114" s="103">
        <f t="shared" si="55"/>
        <v>1</v>
      </c>
      <c r="G114" s="103">
        <f t="shared" si="55"/>
        <v>1</v>
      </c>
      <c r="H114" s="103">
        <f t="shared" ref="H114" si="57">IF(H8=1,1,H8*1.05)</f>
        <v>1</v>
      </c>
    </row>
    <row r="115" spans="1:8" x14ac:dyDescent="0.25">
      <c r="B115" s="122"/>
      <c r="C115" s="28" t="s">
        <v>149</v>
      </c>
      <c r="D115" s="103">
        <f t="shared" si="55"/>
        <v>1</v>
      </c>
      <c r="E115" s="103">
        <v>3.09</v>
      </c>
      <c r="F115" s="103">
        <f t="shared" si="55"/>
        <v>1</v>
      </c>
      <c r="G115" s="103">
        <f t="shared" si="55"/>
        <v>1</v>
      </c>
      <c r="H115" s="103">
        <f t="shared" ref="H115" si="58">IF(H9=1,1,H9*1.05)</f>
        <v>1</v>
      </c>
    </row>
    <row r="116" spans="1:8" x14ac:dyDescent="0.25">
      <c r="B116" s="122"/>
      <c r="C116" s="28" t="s">
        <v>155</v>
      </c>
      <c r="D116" s="103">
        <f t="shared" si="55"/>
        <v>1</v>
      </c>
      <c r="E116" s="103">
        <f t="shared" si="55"/>
        <v>1</v>
      </c>
      <c r="F116" s="103">
        <f t="shared" si="55"/>
        <v>1</v>
      </c>
      <c r="G116" s="103">
        <f t="shared" si="55"/>
        <v>1</v>
      </c>
      <c r="H116" s="103">
        <f t="shared" ref="H116" si="59">IF(H10=1,1,H10*1.05)</f>
        <v>1</v>
      </c>
    </row>
    <row r="117" spans="1:8" x14ac:dyDescent="0.25">
      <c r="B117" s="122" t="s">
        <v>77</v>
      </c>
      <c r="C117" s="28" t="s">
        <v>150</v>
      </c>
      <c r="D117" s="103">
        <f t="shared" si="55"/>
        <v>1</v>
      </c>
      <c r="E117" s="103">
        <f t="shared" si="55"/>
        <v>1</v>
      </c>
      <c r="F117" s="103">
        <v>2.4500000000000002</v>
      </c>
      <c r="G117" s="103">
        <f t="shared" si="55"/>
        <v>1</v>
      </c>
      <c r="H117" s="103">
        <f t="shared" ref="H117" si="60">IF(H11=1,1,H11*1.05)</f>
        <v>1</v>
      </c>
    </row>
    <row r="118" spans="1:8" x14ac:dyDescent="0.25">
      <c r="B118" s="122"/>
      <c r="C118" s="28" t="s">
        <v>149</v>
      </c>
      <c r="D118" s="103">
        <f t="shared" si="55"/>
        <v>1</v>
      </c>
      <c r="E118" s="103">
        <f t="shared" si="55"/>
        <v>1</v>
      </c>
      <c r="F118" s="103">
        <v>2.4500000000000002</v>
      </c>
      <c r="G118" s="103">
        <f t="shared" si="55"/>
        <v>1</v>
      </c>
      <c r="H118" s="103">
        <f t="shared" ref="H118" si="61">IF(H12=1,1,H12*1.05)</f>
        <v>1</v>
      </c>
    </row>
    <row r="119" spans="1:8" x14ac:dyDescent="0.25">
      <c r="B119" s="122"/>
      <c r="C119" s="28" t="s">
        <v>155</v>
      </c>
      <c r="D119" s="103">
        <f t="shared" si="55"/>
        <v>1</v>
      </c>
      <c r="E119" s="103">
        <f t="shared" si="55"/>
        <v>1</v>
      </c>
      <c r="F119" s="103">
        <f t="shared" si="55"/>
        <v>1</v>
      </c>
      <c r="G119" s="103">
        <f t="shared" si="55"/>
        <v>1</v>
      </c>
      <c r="H119" s="103">
        <f t="shared" ref="H119" si="62">IF(H13=1,1,H13*1.05)</f>
        <v>1</v>
      </c>
    </row>
    <row r="120" spans="1:8" x14ac:dyDescent="0.25">
      <c r="B120" s="122" t="s">
        <v>75</v>
      </c>
      <c r="C120" s="28" t="s">
        <v>150</v>
      </c>
      <c r="D120" s="103">
        <f t="shared" si="55"/>
        <v>1</v>
      </c>
      <c r="E120" s="103">
        <f t="shared" si="55"/>
        <v>1</v>
      </c>
      <c r="F120" s="103">
        <f t="shared" si="55"/>
        <v>1</v>
      </c>
      <c r="G120" s="103">
        <v>2.4500000000000002</v>
      </c>
      <c r="H120" s="103">
        <f t="shared" ref="H120" si="63">IF(H14=1,1,H14*1.05)</f>
        <v>1</v>
      </c>
    </row>
    <row r="121" spans="1:8" x14ac:dyDescent="0.25">
      <c r="B121" s="122"/>
      <c r="C121" s="28" t="s">
        <v>149</v>
      </c>
      <c r="D121" s="103">
        <f t="shared" si="55"/>
        <v>1</v>
      </c>
      <c r="E121" s="103">
        <f t="shared" si="55"/>
        <v>1</v>
      </c>
      <c r="F121" s="103">
        <f t="shared" si="55"/>
        <v>1</v>
      </c>
      <c r="G121" s="103">
        <v>2.4500000000000002</v>
      </c>
      <c r="H121" s="103">
        <f t="shared" ref="H121" si="64">IF(H15=1,1,H15*1.05)</f>
        <v>1</v>
      </c>
    </row>
    <row r="122" spans="1:8" x14ac:dyDescent="0.25">
      <c r="B122" s="122"/>
      <c r="C122" s="28" t="s">
        <v>155</v>
      </c>
      <c r="D122" s="103">
        <f t="shared" ref="D122:H122" si="65">IF(D16=1,1,D16*1.05)</f>
        <v>1</v>
      </c>
      <c r="E122" s="103">
        <f t="shared" si="65"/>
        <v>1</v>
      </c>
      <c r="F122" s="103">
        <f t="shared" si="65"/>
        <v>1</v>
      </c>
      <c r="G122" s="103">
        <f t="shared" si="65"/>
        <v>1</v>
      </c>
      <c r="H122" s="103">
        <f t="shared" si="65"/>
        <v>1</v>
      </c>
    </row>
    <row r="123" spans="1:8" ht="13" x14ac:dyDescent="0.25">
      <c r="B123" s="77" t="s">
        <v>148</v>
      </c>
      <c r="C123" s="28" t="s">
        <v>155</v>
      </c>
      <c r="D123" s="103">
        <f t="shared" ref="D123:H123" si="66">IF(D17=1,1,D17*1.05)</f>
        <v>1.1025</v>
      </c>
      <c r="E123" s="103">
        <f t="shared" si="66"/>
        <v>1.1025</v>
      </c>
      <c r="F123" s="103">
        <f t="shared" si="66"/>
        <v>1.1025</v>
      </c>
      <c r="G123" s="103">
        <f t="shared" si="66"/>
        <v>1.1025</v>
      </c>
      <c r="H123" s="103">
        <f t="shared" si="66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244</v>
      </c>
      <c r="B125" s="122" t="s">
        <v>104</v>
      </c>
      <c r="C125" s="28" t="s">
        <v>150</v>
      </c>
      <c r="D125" s="103">
        <f>IF(D19=1,1,D19*1.05)</f>
        <v>1</v>
      </c>
      <c r="E125" s="103">
        <f t="shared" ref="E125:H125" si="67">IF(E19=1,1,E19*1.05)</f>
        <v>1</v>
      </c>
      <c r="F125" s="103">
        <f t="shared" si="67"/>
        <v>1</v>
      </c>
      <c r="G125" s="103">
        <f t="shared" si="67"/>
        <v>1</v>
      </c>
      <c r="H125" s="103">
        <f t="shared" si="67"/>
        <v>1</v>
      </c>
    </row>
    <row r="126" spans="1:8" x14ac:dyDescent="0.25">
      <c r="B126" s="122"/>
      <c r="C126" s="28" t="s">
        <v>149</v>
      </c>
      <c r="D126" s="103">
        <f t="shared" ref="D126:H126" si="68">IF(D20=1,1,D20*1.05)</f>
        <v>1</v>
      </c>
      <c r="E126" s="103">
        <f t="shared" si="68"/>
        <v>1</v>
      </c>
      <c r="F126" s="103">
        <f t="shared" si="68"/>
        <v>1</v>
      </c>
      <c r="G126" s="103">
        <f t="shared" si="68"/>
        <v>1</v>
      </c>
      <c r="H126" s="103">
        <f t="shared" si="68"/>
        <v>1</v>
      </c>
    </row>
    <row r="127" spans="1:8" x14ac:dyDescent="0.25">
      <c r="B127" s="122"/>
      <c r="C127" s="28" t="s">
        <v>155</v>
      </c>
      <c r="D127" s="103">
        <f t="shared" ref="D127:H127" si="69">IF(D21=1,1,D21*1.05)</f>
        <v>1</v>
      </c>
      <c r="E127" s="103">
        <f t="shared" si="69"/>
        <v>1</v>
      </c>
      <c r="F127" s="103">
        <f t="shared" si="69"/>
        <v>1</v>
      </c>
      <c r="G127" s="103">
        <f t="shared" si="69"/>
        <v>1</v>
      </c>
      <c r="H127" s="103">
        <f t="shared" si="69"/>
        <v>1</v>
      </c>
    </row>
    <row r="128" spans="1:8" x14ac:dyDescent="0.25">
      <c r="B128" s="122" t="s">
        <v>78</v>
      </c>
      <c r="C128" s="28" t="s">
        <v>150</v>
      </c>
      <c r="D128" s="103">
        <f t="shared" ref="D128:H128" si="70">IF(D22=1,1,D22*1.05)</f>
        <v>1</v>
      </c>
      <c r="E128" s="103">
        <f t="shared" si="70"/>
        <v>1</v>
      </c>
      <c r="F128" s="103">
        <f t="shared" si="70"/>
        <v>1</v>
      </c>
      <c r="G128" s="103">
        <f t="shared" si="70"/>
        <v>1</v>
      </c>
      <c r="H128" s="103">
        <f t="shared" si="70"/>
        <v>1</v>
      </c>
    </row>
    <row r="129" spans="1:8" x14ac:dyDescent="0.25">
      <c r="B129" s="122"/>
      <c r="C129" s="28" t="s">
        <v>149</v>
      </c>
      <c r="D129" s="103">
        <f t="shared" ref="D129:H129" si="71">IF(D23=1,1,D23*1.05)</f>
        <v>1</v>
      </c>
      <c r="E129" s="103">
        <f t="shared" si="71"/>
        <v>1</v>
      </c>
      <c r="F129" s="103">
        <f t="shared" si="71"/>
        <v>1</v>
      </c>
      <c r="G129" s="103">
        <f t="shared" si="71"/>
        <v>1</v>
      </c>
      <c r="H129" s="103">
        <f t="shared" si="71"/>
        <v>1</v>
      </c>
    </row>
    <row r="130" spans="1:8" x14ac:dyDescent="0.25">
      <c r="B130" s="122"/>
      <c r="C130" s="28" t="s">
        <v>155</v>
      </c>
      <c r="D130" s="103">
        <f t="shared" ref="D130:H130" si="72">IF(D24=1,1,D24*1.05)</f>
        <v>1</v>
      </c>
      <c r="E130" s="103">
        <f t="shared" si="72"/>
        <v>1</v>
      </c>
      <c r="F130" s="103">
        <f t="shared" si="72"/>
        <v>1</v>
      </c>
      <c r="G130" s="103">
        <f t="shared" si="72"/>
        <v>1</v>
      </c>
      <c r="H130" s="103">
        <f t="shared" si="72"/>
        <v>1</v>
      </c>
    </row>
    <row r="131" spans="1:8" x14ac:dyDescent="0.25">
      <c r="B131" s="122" t="s">
        <v>74</v>
      </c>
      <c r="C131" s="28" t="s">
        <v>150</v>
      </c>
      <c r="D131" s="103">
        <f t="shared" ref="D131:H131" si="73">IF(D25=1,1,D25*1.05)</f>
        <v>1</v>
      </c>
      <c r="E131" s="103">
        <f t="shared" si="73"/>
        <v>1</v>
      </c>
      <c r="F131" s="103">
        <f t="shared" si="73"/>
        <v>1</v>
      </c>
      <c r="G131" s="103">
        <f t="shared" si="73"/>
        <v>1</v>
      </c>
      <c r="H131" s="103">
        <f t="shared" si="73"/>
        <v>1</v>
      </c>
    </row>
    <row r="132" spans="1:8" x14ac:dyDescent="0.25">
      <c r="B132" s="122"/>
      <c r="C132" s="28" t="s">
        <v>149</v>
      </c>
      <c r="D132" s="103">
        <f t="shared" ref="D132:H132" si="74">IF(D26=1,1,D26*1.05)</f>
        <v>1</v>
      </c>
      <c r="E132" s="103">
        <f t="shared" si="74"/>
        <v>1</v>
      </c>
      <c r="F132" s="103">
        <f t="shared" si="74"/>
        <v>1</v>
      </c>
      <c r="G132" s="103">
        <f t="shared" si="74"/>
        <v>1</v>
      </c>
      <c r="H132" s="103">
        <f t="shared" si="74"/>
        <v>1</v>
      </c>
    </row>
    <row r="133" spans="1:8" x14ac:dyDescent="0.25">
      <c r="B133" s="122"/>
      <c r="C133" s="28" t="s">
        <v>155</v>
      </c>
      <c r="D133" s="103">
        <f t="shared" ref="D133:H133" si="75">IF(D27=1,1,D27*1.05)</f>
        <v>1</v>
      </c>
      <c r="E133" s="103">
        <f t="shared" si="75"/>
        <v>1</v>
      </c>
      <c r="F133" s="103">
        <f t="shared" si="75"/>
        <v>1</v>
      </c>
      <c r="G133" s="103">
        <f t="shared" si="75"/>
        <v>1</v>
      </c>
      <c r="H133" s="103">
        <f t="shared" si="75"/>
        <v>1</v>
      </c>
    </row>
    <row r="134" spans="1:8" x14ac:dyDescent="0.25">
      <c r="B134" s="122" t="s">
        <v>77</v>
      </c>
      <c r="C134" s="28" t="s">
        <v>150</v>
      </c>
      <c r="D134" s="103">
        <f t="shared" ref="D134:H134" si="76">IF(D28=1,1,D28*1.05)</f>
        <v>1</v>
      </c>
      <c r="E134" s="103">
        <f t="shared" si="76"/>
        <v>1</v>
      </c>
      <c r="F134" s="103">
        <f t="shared" si="76"/>
        <v>1</v>
      </c>
      <c r="G134" s="103">
        <f t="shared" si="76"/>
        <v>1</v>
      </c>
      <c r="H134" s="103">
        <f t="shared" si="76"/>
        <v>1</v>
      </c>
    </row>
    <row r="135" spans="1:8" x14ac:dyDescent="0.25">
      <c r="B135" s="122"/>
      <c r="C135" s="28" t="s">
        <v>149</v>
      </c>
      <c r="D135" s="103">
        <f t="shared" ref="D135:H135" si="77">IF(D29=1,1,D29*1.05)</f>
        <v>1</v>
      </c>
      <c r="E135" s="103">
        <f t="shared" si="77"/>
        <v>1</v>
      </c>
      <c r="F135" s="103">
        <f t="shared" si="77"/>
        <v>1</v>
      </c>
      <c r="G135" s="103">
        <f t="shared" si="77"/>
        <v>1</v>
      </c>
      <c r="H135" s="103">
        <f t="shared" si="77"/>
        <v>1</v>
      </c>
    </row>
    <row r="136" spans="1:8" x14ac:dyDescent="0.25">
      <c r="B136" s="122"/>
      <c r="C136" s="28" t="s">
        <v>155</v>
      </c>
      <c r="D136" s="103">
        <f t="shared" ref="D136:H136" si="78">IF(D30=1,1,D30*1.05)</f>
        <v>1</v>
      </c>
      <c r="E136" s="103">
        <f t="shared" si="78"/>
        <v>1</v>
      </c>
      <c r="F136" s="103">
        <f t="shared" si="78"/>
        <v>1</v>
      </c>
      <c r="G136" s="103">
        <f t="shared" si="78"/>
        <v>1</v>
      </c>
      <c r="H136" s="103">
        <f t="shared" si="78"/>
        <v>1</v>
      </c>
    </row>
    <row r="137" spans="1:8" x14ac:dyDescent="0.25">
      <c r="B137" s="122" t="s">
        <v>75</v>
      </c>
      <c r="C137" s="28" t="s">
        <v>150</v>
      </c>
      <c r="D137" s="103">
        <f t="shared" ref="D137:H137" si="79">IF(D31=1,1,D31*1.05)</f>
        <v>1</v>
      </c>
      <c r="E137" s="103">
        <f t="shared" si="79"/>
        <v>1</v>
      </c>
      <c r="F137" s="103">
        <f t="shared" si="79"/>
        <v>1</v>
      </c>
      <c r="G137" s="103">
        <f t="shared" si="79"/>
        <v>1</v>
      </c>
      <c r="H137" s="103">
        <f t="shared" si="79"/>
        <v>1</v>
      </c>
    </row>
    <row r="138" spans="1:8" x14ac:dyDescent="0.25">
      <c r="B138" s="122"/>
      <c r="C138" s="28" t="s">
        <v>149</v>
      </c>
      <c r="D138" s="103">
        <f t="shared" ref="D138:H138" si="80">IF(D32=1,1,D32*1.05)</f>
        <v>1</v>
      </c>
      <c r="E138" s="103">
        <f t="shared" si="80"/>
        <v>1</v>
      </c>
      <c r="F138" s="103">
        <f t="shared" si="80"/>
        <v>1</v>
      </c>
      <c r="G138" s="103">
        <f t="shared" si="80"/>
        <v>1</v>
      </c>
      <c r="H138" s="103">
        <f t="shared" si="80"/>
        <v>1</v>
      </c>
    </row>
    <row r="139" spans="1:8" x14ac:dyDescent="0.25">
      <c r="B139" s="122"/>
      <c r="C139" s="28" t="s">
        <v>155</v>
      </c>
      <c r="D139" s="103">
        <f t="shared" ref="D139:H139" si="81">IF(D33=1,1,D33*1.05)</f>
        <v>1</v>
      </c>
      <c r="E139" s="103">
        <f t="shared" si="81"/>
        <v>1</v>
      </c>
      <c r="F139" s="103">
        <f t="shared" si="81"/>
        <v>1</v>
      </c>
      <c r="G139" s="103">
        <f t="shared" si="81"/>
        <v>1</v>
      </c>
      <c r="H139" s="103">
        <f t="shared" si="81"/>
        <v>1</v>
      </c>
    </row>
    <row r="140" spans="1:8" ht="13" x14ac:dyDescent="0.25">
      <c r="B140" s="77" t="s">
        <v>148</v>
      </c>
      <c r="C140" s="28" t="s">
        <v>155</v>
      </c>
      <c r="D140" s="103">
        <f t="shared" ref="D140:H140" si="82">IF(D34=1,1,D34*1.05)</f>
        <v>1</v>
      </c>
      <c r="E140" s="103">
        <f t="shared" si="82"/>
        <v>1</v>
      </c>
      <c r="F140" s="103">
        <f t="shared" si="82"/>
        <v>1</v>
      </c>
      <c r="G140" s="103">
        <f t="shared" si="82"/>
        <v>1</v>
      </c>
      <c r="H140" s="103">
        <f t="shared" si="82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241</v>
      </c>
      <c r="B142" s="122" t="s">
        <v>104</v>
      </c>
      <c r="C142" s="28" t="s">
        <v>150</v>
      </c>
      <c r="D142" s="103">
        <f>IF(D36=1,1,D36*1.05)</f>
        <v>1</v>
      </c>
      <c r="E142" s="103">
        <f t="shared" ref="E142:H142" si="83">IF(E36=1,1,E36*1.05)</f>
        <v>1</v>
      </c>
      <c r="F142" s="103">
        <f t="shared" si="83"/>
        <v>1</v>
      </c>
      <c r="G142" s="103">
        <f t="shared" si="83"/>
        <v>1</v>
      </c>
      <c r="H142" s="103">
        <f t="shared" si="83"/>
        <v>1</v>
      </c>
    </row>
    <row r="143" spans="1:8" x14ac:dyDescent="0.25">
      <c r="B143" s="122"/>
      <c r="C143" s="28" t="s">
        <v>149</v>
      </c>
      <c r="D143" s="103">
        <f t="shared" ref="D143:H143" si="84">IF(D37=1,1,D37*1.05)</f>
        <v>1</v>
      </c>
      <c r="E143" s="103">
        <f t="shared" si="84"/>
        <v>1</v>
      </c>
      <c r="F143" s="103">
        <f t="shared" si="84"/>
        <v>1</v>
      </c>
      <c r="G143" s="103">
        <f t="shared" si="84"/>
        <v>1</v>
      </c>
      <c r="H143" s="103">
        <f t="shared" si="84"/>
        <v>1</v>
      </c>
    </row>
    <row r="144" spans="1:8" x14ac:dyDescent="0.25">
      <c r="B144" s="122"/>
      <c r="C144" s="28" t="s">
        <v>155</v>
      </c>
      <c r="D144" s="103">
        <f t="shared" ref="D144:H144" si="85">IF(D38=1,1,D38*1.05)</f>
        <v>1</v>
      </c>
      <c r="E144" s="103">
        <f t="shared" si="85"/>
        <v>1</v>
      </c>
      <c r="F144" s="103">
        <f t="shared" si="85"/>
        <v>1</v>
      </c>
      <c r="G144" s="103">
        <f t="shared" si="85"/>
        <v>1</v>
      </c>
      <c r="H144" s="103">
        <f t="shared" si="85"/>
        <v>1</v>
      </c>
    </row>
    <row r="145" spans="2:8" x14ac:dyDescent="0.25">
      <c r="B145" s="122" t="s">
        <v>78</v>
      </c>
      <c r="C145" s="28" t="s">
        <v>150</v>
      </c>
      <c r="D145" s="103">
        <f t="shared" ref="D145:H145" si="86">IF(D39=1,1,D39*1.05)</f>
        <v>1</v>
      </c>
      <c r="E145" s="103">
        <f t="shared" si="86"/>
        <v>1</v>
      </c>
      <c r="F145" s="103">
        <f t="shared" si="86"/>
        <v>1</v>
      </c>
      <c r="G145" s="103">
        <f t="shared" si="86"/>
        <v>1</v>
      </c>
      <c r="H145" s="103">
        <f t="shared" si="86"/>
        <v>1</v>
      </c>
    </row>
    <row r="146" spans="2:8" x14ac:dyDescent="0.25">
      <c r="B146" s="122"/>
      <c r="C146" s="28" t="s">
        <v>149</v>
      </c>
      <c r="D146" s="103">
        <f t="shared" ref="D146:H146" si="87">IF(D40=1,1,D40*1.05)</f>
        <v>1</v>
      </c>
      <c r="E146" s="103">
        <f t="shared" si="87"/>
        <v>1</v>
      </c>
      <c r="F146" s="103">
        <f t="shared" si="87"/>
        <v>1</v>
      </c>
      <c r="G146" s="103">
        <f t="shared" si="87"/>
        <v>1</v>
      </c>
      <c r="H146" s="103">
        <f t="shared" si="87"/>
        <v>1</v>
      </c>
    </row>
    <row r="147" spans="2:8" x14ac:dyDescent="0.25">
      <c r="B147" s="122"/>
      <c r="C147" s="28" t="s">
        <v>155</v>
      </c>
      <c r="D147" s="103">
        <f t="shared" ref="D147:H147" si="88">IF(D41=1,1,D41*1.05)</f>
        <v>1</v>
      </c>
      <c r="E147" s="103">
        <f t="shared" si="88"/>
        <v>1</v>
      </c>
      <c r="F147" s="103">
        <f t="shared" si="88"/>
        <v>1</v>
      </c>
      <c r="G147" s="103">
        <f t="shared" si="88"/>
        <v>1</v>
      </c>
      <c r="H147" s="103">
        <f t="shared" si="88"/>
        <v>1</v>
      </c>
    </row>
    <row r="148" spans="2:8" x14ac:dyDescent="0.25">
      <c r="B148" s="122" t="s">
        <v>74</v>
      </c>
      <c r="C148" s="28" t="s">
        <v>150</v>
      </c>
      <c r="D148" s="103">
        <f t="shared" ref="D148:H148" si="89">IF(D42=1,1,D42*1.05)</f>
        <v>1</v>
      </c>
      <c r="E148" s="103">
        <f t="shared" si="89"/>
        <v>1</v>
      </c>
      <c r="F148" s="103">
        <f t="shared" si="89"/>
        <v>1</v>
      </c>
      <c r="G148" s="103">
        <f t="shared" si="89"/>
        <v>1</v>
      </c>
      <c r="H148" s="103">
        <f t="shared" si="89"/>
        <v>1</v>
      </c>
    </row>
    <row r="149" spans="2:8" x14ac:dyDescent="0.25">
      <c r="B149" s="122"/>
      <c r="C149" s="28" t="s">
        <v>149</v>
      </c>
      <c r="D149" s="103">
        <f t="shared" ref="D149:H149" si="90">IF(D43=1,1,D43*1.05)</f>
        <v>1</v>
      </c>
      <c r="E149" s="103">
        <f t="shared" si="90"/>
        <v>1</v>
      </c>
      <c r="F149" s="103">
        <f t="shared" si="90"/>
        <v>1</v>
      </c>
      <c r="G149" s="103">
        <f t="shared" si="90"/>
        <v>1</v>
      </c>
      <c r="H149" s="103">
        <f t="shared" si="90"/>
        <v>1</v>
      </c>
    </row>
    <row r="150" spans="2:8" x14ac:dyDescent="0.25">
      <c r="B150" s="122"/>
      <c r="C150" s="28" t="s">
        <v>155</v>
      </c>
      <c r="D150" s="103">
        <f t="shared" ref="D150:H150" si="91">IF(D44=1,1,D44*1.05)</f>
        <v>1</v>
      </c>
      <c r="E150" s="103">
        <f t="shared" si="91"/>
        <v>1</v>
      </c>
      <c r="F150" s="103">
        <f t="shared" si="91"/>
        <v>1</v>
      </c>
      <c r="G150" s="103">
        <f t="shared" si="91"/>
        <v>1</v>
      </c>
      <c r="H150" s="103">
        <f t="shared" si="91"/>
        <v>1</v>
      </c>
    </row>
    <row r="151" spans="2:8" x14ac:dyDescent="0.25">
      <c r="B151" s="122" t="s">
        <v>77</v>
      </c>
      <c r="C151" s="28" t="s">
        <v>150</v>
      </c>
      <c r="D151" s="103">
        <f t="shared" ref="D151:H151" si="92">IF(D45=1,1,D45*1.05)</f>
        <v>1</v>
      </c>
      <c r="E151" s="103">
        <f t="shared" si="92"/>
        <v>1</v>
      </c>
      <c r="F151" s="103">
        <f t="shared" si="92"/>
        <v>1</v>
      </c>
      <c r="G151" s="103">
        <f t="shared" si="92"/>
        <v>1</v>
      </c>
      <c r="H151" s="103">
        <f t="shared" si="92"/>
        <v>1</v>
      </c>
    </row>
    <row r="152" spans="2:8" x14ac:dyDescent="0.25">
      <c r="B152" s="122"/>
      <c r="C152" s="28" t="s">
        <v>149</v>
      </c>
      <c r="D152" s="103">
        <f t="shared" ref="D152:H152" si="93">IF(D46=1,1,D46*1.05)</f>
        <v>1</v>
      </c>
      <c r="E152" s="103">
        <f t="shared" si="93"/>
        <v>1</v>
      </c>
      <c r="F152" s="103">
        <f t="shared" si="93"/>
        <v>1</v>
      </c>
      <c r="G152" s="103">
        <f t="shared" si="93"/>
        <v>1</v>
      </c>
      <c r="H152" s="103">
        <f t="shared" si="93"/>
        <v>1</v>
      </c>
    </row>
    <row r="153" spans="2:8" x14ac:dyDescent="0.25">
      <c r="B153" s="122"/>
      <c r="C153" s="28" t="s">
        <v>155</v>
      </c>
      <c r="D153" s="103">
        <f t="shared" ref="D153:H153" si="94">IF(D47=1,1,D47*1.05)</f>
        <v>1</v>
      </c>
      <c r="E153" s="103">
        <f t="shared" si="94"/>
        <v>1</v>
      </c>
      <c r="F153" s="103">
        <f t="shared" si="94"/>
        <v>1</v>
      </c>
      <c r="G153" s="103">
        <f t="shared" si="94"/>
        <v>1</v>
      </c>
      <c r="H153" s="103">
        <f t="shared" si="94"/>
        <v>1</v>
      </c>
    </row>
    <row r="154" spans="2:8" x14ac:dyDescent="0.25">
      <c r="B154" s="122" t="s">
        <v>75</v>
      </c>
      <c r="C154" s="28" t="s">
        <v>150</v>
      </c>
      <c r="D154" s="103">
        <f t="shared" ref="D154:H154" si="95">IF(D48=1,1,D48*1.05)</f>
        <v>1</v>
      </c>
      <c r="E154" s="103">
        <f t="shared" si="95"/>
        <v>1</v>
      </c>
      <c r="F154" s="103">
        <f t="shared" si="95"/>
        <v>1</v>
      </c>
      <c r="G154" s="103">
        <f t="shared" si="95"/>
        <v>1</v>
      </c>
      <c r="H154" s="103">
        <f t="shared" si="95"/>
        <v>1</v>
      </c>
    </row>
    <row r="155" spans="2:8" x14ac:dyDescent="0.25">
      <c r="B155" s="122"/>
      <c r="C155" s="28" t="s">
        <v>149</v>
      </c>
      <c r="D155" s="103">
        <f t="shared" ref="D155:H155" si="96">IF(D49=1,1,D49*1.05)</f>
        <v>1</v>
      </c>
      <c r="E155" s="103">
        <f t="shared" si="96"/>
        <v>1</v>
      </c>
      <c r="F155" s="103">
        <f t="shared" si="96"/>
        <v>1</v>
      </c>
      <c r="G155" s="103">
        <f t="shared" si="96"/>
        <v>1</v>
      </c>
      <c r="H155" s="103">
        <f t="shared" si="96"/>
        <v>1</v>
      </c>
    </row>
    <row r="156" spans="2:8" x14ac:dyDescent="0.25">
      <c r="B156" s="122"/>
      <c r="C156" s="28" t="s">
        <v>155</v>
      </c>
      <c r="D156" s="103">
        <f t="shared" ref="D156:H156" si="97">IF(D50=1,1,D50*1.05)</f>
        <v>1</v>
      </c>
      <c r="E156" s="103">
        <f t="shared" si="97"/>
        <v>1</v>
      </c>
      <c r="F156" s="103">
        <f t="shared" si="97"/>
        <v>1</v>
      </c>
      <c r="G156" s="103">
        <f t="shared" si="97"/>
        <v>1</v>
      </c>
      <c r="H156" s="103">
        <f t="shared" si="97"/>
        <v>1</v>
      </c>
    </row>
    <row r="157" spans="2:8" ht="13" x14ac:dyDescent="0.25">
      <c r="B157" s="77" t="s">
        <v>148</v>
      </c>
      <c r="C157" s="28" t="s">
        <v>155</v>
      </c>
      <c r="D157" s="103">
        <f t="shared" ref="D157:H157" si="98">IF(D51=1,1,D51*1.05)</f>
        <v>1</v>
      </c>
      <c r="E157" s="103">
        <f t="shared" si="98"/>
        <v>1</v>
      </c>
      <c r="F157" s="103">
        <f t="shared" si="98"/>
        <v>1</v>
      </c>
      <c r="G157" s="103">
        <f t="shared" si="98"/>
        <v>1</v>
      </c>
      <c r="H157" s="103">
        <f t="shared" si="98"/>
        <v>1</v>
      </c>
    </row>
  </sheetData>
  <sheetProtection algorithmName="SHA-512" hashValue="hFz6UDoDnAOfnj1pw9IRfUGHlr1nsfwGFgtDLtuBERkCRlIVBNWIZ2VW6onFP93jKNPefl1Ca8eYC14M+cIJ8w==" saltValue="mIu/r6xK3S6Gh8Ysh2wZn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ignoredErrors>
    <ignoredError sqref="D158:H158 D108:H110 D142:H157 D55:H57 D72:H87 D125:H140 D89:H97 H66 H64 H65 D69:H70 H67 H68 D100:H100 D98:E98 G98:H98 D99:E99 G99:H99 D103:H104 D101:F101 H101 D102:F102 H102 H119 H117 H118 D122:H123 H120 H121 H60 H58 H59 H63 H61 H62 H113 H111 H112 H116 H114 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9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248</v>
      </c>
    </row>
    <row r="2" spans="1:6" ht="15.75" customHeight="1" x14ac:dyDescent="0.3">
      <c r="B2" s="81"/>
      <c r="C2" s="82" t="s">
        <v>58</v>
      </c>
      <c r="D2" s="83" t="s">
        <v>59</v>
      </c>
      <c r="E2" s="83" t="s">
        <v>51</v>
      </c>
      <c r="F2" s="83" t="s">
        <v>52</v>
      </c>
    </row>
    <row r="3" spans="1:6" ht="15.75" customHeight="1" x14ac:dyDescent="0.3">
      <c r="A3" s="30" t="s">
        <v>255</v>
      </c>
      <c r="B3" s="84"/>
      <c r="C3" s="85"/>
      <c r="D3" s="86"/>
      <c r="E3" s="86"/>
      <c r="F3" s="86"/>
    </row>
    <row r="4" spans="1:6" ht="15.75" customHeight="1" x14ac:dyDescent="0.25">
      <c r="B4" s="73" t="s">
        <v>27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63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10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11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252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261</v>
      </c>
      <c r="C11" s="88"/>
      <c r="D11" s="89"/>
      <c r="E11" s="89"/>
      <c r="F11" s="89"/>
    </row>
    <row r="12" spans="1:6" ht="15.75" customHeight="1" x14ac:dyDescent="0.3">
      <c r="A12" s="30" t="s">
        <v>249</v>
      </c>
      <c r="C12" s="87"/>
      <c r="D12" s="76"/>
      <c r="E12" s="76"/>
      <c r="F12" s="76"/>
    </row>
    <row r="13" spans="1:6" ht="15.75" customHeight="1" x14ac:dyDescent="0.25">
      <c r="B13" s="46" t="s">
        <v>264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107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119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258</v>
      </c>
      <c r="B17" s="84"/>
      <c r="C17" s="91"/>
      <c r="D17" s="92"/>
      <c r="E17" s="92"/>
      <c r="F17" s="92"/>
    </row>
    <row r="18" spans="1:6" ht="15.75" customHeight="1" x14ac:dyDescent="0.25">
      <c r="B18" s="73" t="s">
        <v>93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97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95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91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96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98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92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94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235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248</v>
      </c>
    </row>
    <row r="29" spans="1:6" ht="15.75" customHeight="1" x14ac:dyDescent="0.3">
      <c r="B29" s="81"/>
      <c r="C29" s="82" t="s">
        <v>58</v>
      </c>
      <c r="D29" s="83" t="s">
        <v>59</v>
      </c>
      <c r="E29" s="83" t="s">
        <v>51</v>
      </c>
      <c r="F29" s="83" t="s">
        <v>52</v>
      </c>
    </row>
    <row r="30" spans="1:6" ht="15.75" customHeight="1" x14ac:dyDescent="0.3">
      <c r="A30" s="30" t="s">
        <v>256</v>
      </c>
      <c r="B30" s="84"/>
      <c r="C30" s="85"/>
      <c r="D30" s="86"/>
      <c r="E30" s="86"/>
      <c r="F30" s="86"/>
    </row>
    <row r="31" spans="1:6" ht="15.75" customHeight="1" x14ac:dyDescent="0.25">
      <c r="B31" s="73" t="s">
        <v>27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63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10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11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253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261</v>
      </c>
      <c r="B38" s="80"/>
      <c r="C38" s="88"/>
      <c r="D38" s="89"/>
      <c r="E38" s="89"/>
      <c r="F38" s="89"/>
    </row>
    <row r="39" spans="1:6" ht="15.75" customHeight="1" x14ac:dyDescent="0.3">
      <c r="A39" s="30" t="s">
        <v>250</v>
      </c>
      <c r="C39" s="87"/>
      <c r="D39" s="76"/>
      <c r="E39" s="76"/>
      <c r="F39" s="76"/>
    </row>
    <row r="40" spans="1:6" ht="15.75" customHeight="1" x14ac:dyDescent="0.25">
      <c r="B40" s="46" t="s">
        <v>265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246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262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259</v>
      </c>
      <c r="B44" s="84"/>
      <c r="C44" s="91"/>
      <c r="D44" s="92"/>
      <c r="E44" s="92"/>
      <c r="F44" s="92"/>
    </row>
    <row r="45" spans="1:6" ht="15.75" customHeight="1" x14ac:dyDescent="0.25">
      <c r="B45" s="73" t="s">
        <v>93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97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95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91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96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98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92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94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245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248</v>
      </c>
    </row>
    <row r="56" spans="1:6" ht="15.75" customHeight="1" x14ac:dyDescent="0.3">
      <c r="B56" s="81"/>
      <c r="C56" s="82" t="s">
        <v>58</v>
      </c>
      <c r="D56" s="83" t="s">
        <v>59</v>
      </c>
      <c r="E56" s="83" t="s">
        <v>51</v>
      </c>
      <c r="F56" s="83" t="s">
        <v>52</v>
      </c>
    </row>
    <row r="57" spans="1:6" ht="15.75" customHeight="1" x14ac:dyDescent="0.3">
      <c r="A57" s="30" t="s">
        <v>257</v>
      </c>
      <c r="B57" s="84"/>
      <c r="C57" s="85"/>
      <c r="D57" s="86"/>
      <c r="E57" s="86"/>
      <c r="F57" s="86"/>
    </row>
    <row r="58" spans="1:6" ht="15.75" customHeight="1" x14ac:dyDescent="0.25">
      <c r="B58" s="73" t="s">
        <v>27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63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10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11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254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261</v>
      </c>
      <c r="B65" s="80"/>
      <c r="C65" s="88"/>
      <c r="D65" s="89"/>
      <c r="E65" s="89"/>
      <c r="F65" s="89"/>
    </row>
    <row r="66" spans="1:6" ht="15.75" customHeight="1" x14ac:dyDescent="0.3">
      <c r="A66" s="30" t="s">
        <v>251</v>
      </c>
      <c r="C66" s="87"/>
      <c r="D66" s="76"/>
      <c r="E66" s="76"/>
      <c r="F66" s="76"/>
    </row>
    <row r="67" spans="1:6" ht="15.75" customHeight="1" x14ac:dyDescent="0.25">
      <c r="B67" s="46" t="s">
        <v>266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247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263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260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93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97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95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91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96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98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92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94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7WLGTa3I72QlNnWY/o+JciFFfixPdO+MkHe85cp7HQo4U1gyyol59Pte3Se2jnlZN2CDbftnPZGrlbDs9WBY8A==" saltValue="qqTPEmCw+IjWHIIdSJj6q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D3" sqref="D3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278</v>
      </c>
    </row>
    <row r="2" spans="1:16" ht="13" x14ac:dyDescent="0.3">
      <c r="A2" s="93" t="s">
        <v>230</v>
      </c>
      <c r="B2" s="42" t="s">
        <v>270</v>
      </c>
      <c r="C2" s="42" t="s">
        <v>271</v>
      </c>
      <c r="D2" s="83" t="s">
        <v>78</v>
      </c>
      <c r="E2" s="83" t="s">
        <v>74</v>
      </c>
      <c r="F2" s="83" t="s">
        <v>77</v>
      </c>
      <c r="G2" s="83" t="s">
        <v>75</v>
      </c>
      <c r="H2" s="83" t="s">
        <v>76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84</v>
      </c>
      <c r="C3" s="32" t="s">
        <v>7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273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274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272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102</v>
      </c>
      <c r="C7" s="32" t="s">
        <v>7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273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274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272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90</v>
      </c>
      <c r="C11" s="32" t="s">
        <v>7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273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274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272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</v>
      </c>
      <c r="C15" s="32" t="s">
        <v>7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273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274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272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0</v>
      </c>
      <c r="C19" s="32" t="s">
        <v>7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273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274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272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99</v>
      </c>
      <c r="C23" s="32" t="s">
        <v>7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273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274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272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279</v>
      </c>
    </row>
    <row r="29" spans="1:16" ht="13" x14ac:dyDescent="0.3">
      <c r="A29" s="93" t="s">
        <v>282</v>
      </c>
      <c r="B29" s="30" t="s">
        <v>270</v>
      </c>
      <c r="C29" s="30" t="s">
        <v>281</v>
      </c>
      <c r="D29" s="83" t="s">
        <v>78</v>
      </c>
      <c r="E29" s="83" t="s">
        <v>74</v>
      </c>
      <c r="F29" s="83" t="s">
        <v>77</v>
      </c>
      <c r="G29" s="83" t="s">
        <v>75</v>
      </c>
      <c r="H29" s="83" t="s">
        <v>76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84</v>
      </c>
      <c r="C30" s="32" t="s">
        <v>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273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3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207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102</v>
      </c>
      <c r="C34" s="32" t="s">
        <v>7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273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3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207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90</v>
      </c>
      <c r="C38" s="32" t="s">
        <v>7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273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3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207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</v>
      </c>
      <c r="C42" s="32" t="s">
        <v>7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273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3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207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0</v>
      </c>
      <c r="C46" s="32" t="s">
        <v>7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273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3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207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99</v>
      </c>
      <c r="C50" s="32" t="s">
        <v>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273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3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207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276</v>
      </c>
    </row>
    <row r="56" spans="1:16" ht="26" x14ac:dyDescent="0.3">
      <c r="A56" s="93" t="s">
        <v>105</v>
      </c>
      <c r="B56" s="30" t="s">
        <v>270</v>
      </c>
      <c r="C56" s="81" t="s">
        <v>267</v>
      </c>
      <c r="D56" s="83" t="s">
        <v>113</v>
      </c>
      <c r="E56" s="83" t="s">
        <v>114</v>
      </c>
      <c r="F56" s="83" t="s">
        <v>115</v>
      </c>
      <c r="G56" s="83" t="s">
        <v>116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81</v>
      </c>
      <c r="C57" s="32" t="s">
        <v>275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268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89</v>
      </c>
      <c r="C59" s="32" t="s">
        <v>275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268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103</v>
      </c>
      <c r="C61" s="32" t="s">
        <v>275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268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277</v>
      </c>
    </row>
    <row r="65" spans="1:16" ht="26" x14ac:dyDescent="0.3">
      <c r="A65" s="93" t="s">
        <v>123</v>
      </c>
      <c r="B65" s="30" t="s">
        <v>270</v>
      </c>
      <c r="C65" s="81" t="s">
        <v>269</v>
      </c>
      <c r="D65" s="83" t="s">
        <v>78</v>
      </c>
      <c r="E65" s="83" t="s">
        <v>74</v>
      </c>
      <c r="F65" s="83" t="s">
        <v>77</v>
      </c>
      <c r="G65" s="83" t="s">
        <v>75</v>
      </c>
      <c r="H65" s="96" t="s">
        <v>76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93</v>
      </c>
      <c r="C66" s="32" t="s">
        <v>124</v>
      </c>
      <c r="D66" s="105">
        <v>1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127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126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125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97</v>
      </c>
      <c r="C70" s="32" t="s">
        <v>124</v>
      </c>
      <c r="D70" s="105">
        <v>1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127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126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125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95</v>
      </c>
      <c r="C74" s="32" t="s">
        <v>124</v>
      </c>
      <c r="D74" s="105">
        <v>1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127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126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125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96</v>
      </c>
      <c r="C78" s="32" t="s">
        <v>124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127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126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125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84</v>
      </c>
      <c r="C82" s="32" t="s">
        <v>124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127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126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125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102</v>
      </c>
      <c r="C86" s="32" t="s">
        <v>124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127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126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125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90</v>
      </c>
      <c r="C90" s="32" t="s">
        <v>124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127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126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125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0</v>
      </c>
      <c r="C94" s="32" t="s">
        <v>124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127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126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125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101</v>
      </c>
      <c r="C98" s="32" t="s">
        <v>124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127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126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125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280</v>
      </c>
    </row>
    <row r="104" spans="1:16" ht="26" x14ac:dyDescent="0.3">
      <c r="A104" s="93" t="s">
        <v>84</v>
      </c>
      <c r="B104" s="97" t="s">
        <v>125</v>
      </c>
      <c r="C104" s="81" t="s">
        <v>269</v>
      </c>
      <c r="D104" s="83" t="s">
        <v>78</v>
      </c>
      <c r="E104" s="83" t="s">
        <v>74</v>
      </c>
      <c r="F104" s="83" t="s">
        <v>77</v>
      </c>
      <c r="G104" s="83" t="s">
        <v>75</v>
      </c>
      <c r="H104" s="96" t="s">
        <v>76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124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127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126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125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235</v>
      </c>
      <c r="H110" s="107"/>
    </row>
    <row r="111" spans="1:16" ht="13" x14ac:dyDescent="0.3">
      <c r="A111" s="79" t="s">
        <v>278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230</v>
      </c>
      <c r="B112" s="42" t="s">
        <v>270</v>
      </c>
      <c r="C112" s="42" t="s">
        <v>271</v>
      </c>
      <c r="D112" s="83" t="s">
        <v>78</v>
      </c>
      <c r="E112" s="83" t="s">
        <v>74</v>
      </c>
      <c r="F112" s="83" t="s">
        <v>77</v>
      </c>
      <c r="G112" s="83" t="s">
        <v>75</v>
      </c>
      <c r="H112" s="83" t="s">
        <v>76</v>
      </c>
    </row>
    <row r="113" spans="1:8" ht="13" x14ac:dyDescent="0.3">
      <c r="A113" s="30"/>
      <c r="B113" s="28" t="s">
        <v>84</v>
      </c>
      <c r="C113" s="32" t="s">
        <v>7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273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274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272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102</v>
      </c>
      <c r="C117" s="32" t="s">
        <v>7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273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274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272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90</v>
      </c>
      <c r="C121" s="32" t="s">
        <v>7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273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274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272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</v>
      </c>
      <c r="C125" s="32" t="s">
        <v>7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273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274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272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0</v>
      </c>
      <c r="C129" s="32" t="s">
        <v>7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273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274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272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99</v>
      </c>
      <c r="C133" s="32" t="s">
        <v>7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273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274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272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279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282</v>
      </c>
      <c r="B139" s="30" t="s">
        <v>270</v>
      </c>
      <c r="C139" s="30" t="s">
        <v>281</v>
      </c>
      <c r="D139" s="83" t="s">
        <v>78</v>
      </c>
      <c r="E139" s="83" t="s">
        <v>74</v>
      </c>
      <c r="F139" s="83" t="s">
        <v>77</v>
      </c>
      <c r="G139" s="83" t="s">
        <v>75</v>
      </c>
      <c r="H139" s="83" t="s">
        <v>76</v>
      </c>
    </row>
    <row r="140" spans="1:8" ht="13" x14ac:dyDescent="0.3">
      <c r="A140" s="30"/>
      <c r="B140" s="28" t="s">
        <v>84</v>
      </c>
      <c r="C140" s="32" t="s">
        <v>7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273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3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207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102</v>
      </c>
      <c r="C144" s="32" t="s">
        <v>7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273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3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207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90</v>
      </c>
      <c r="C148" s="32" t="s">
        <v>7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273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3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207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</v>
      </c>
      <c r="C152" s="32" t="s">
        <v>7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273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3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207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0</v>
      </c>
      <c r="C156" s="32" t="s">
        <v>7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273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3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207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99</v>
      </c>
      <c r="C160" s="32" t="s">
        <v>7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273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3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207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276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105</v>
      </c>
      <c r="B166" s="30" t="s">
        <v>270</v>
      </c>
      <c r="C166" s="81" t="s">
        <v>267</v>
      </c>
      <c r="D166" s="83" t="s">
        <v>113</v>
      </c>
      <c r="E166" s="83" t="s">
        <v>114</v>
      </c>
      <c r="F166" s="83" t="s">
        <v>115</v>
      </c>
      <c r="G166" s="83" t="s">
        <v>116</v>
      </c>
      <c r="H166" s="94"/>
    </row>
    <row r="167" spans="1:8" ht="13" x14ac:dyDescent="0.3">
      <c r="A167" s="30"/>
      <c r="B167" s="28" t="s">
        <v>81</v>
      </c>
      <c r="C167" s="32" t="s">
        <v>275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268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89</v>
      </c>
      <c r="C169" s="32" t="s">
        <v>275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268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103</v>
      </c>
      <c r="C171" s="32" t="s">
        <v>275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268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277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123</v>
      </c>
      <c r="B175" s="30" t="s">
        <v>270</v>
      </c>
      <c r="C175" s="81" t="s">
        <v>269</v>
      </c>
      <c r="D175" s="83" t="s">
        <v>78</v>
      </c>
      <c r="E175" s="83" t="s">
        <v>74</v>
      </c>
      <c r="F175" s="83" t="s">
        <v>77</v>
      </c>
      <c r="G175" s="83" t="s">
        <v>75</v>
      </c>
      <c r="H175" s="96" t="s">
        <v>76</v>
      </c>
    </row>
    <row r="176" spans="1:8" ht="13" x14ac:dyDescent="0.3">
      <c r="A176" s="97"/>
      <c r="B176" s="28" t="s">
        <v>93</v>
      </c>
      <c r="C176" s="32" t="s">
        <v>124</v>
      </c>
      <c r="D176" s="106">
        <f>IF(D66=1,1,D66*0.9)</f>
        <v>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127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126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125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97</v>
      </c>
      <c r="C180" s="32" t="s">
        <v>124</v>
      </c>
      <c r="D180" s="106">
        <f t="shared" ref="D180:G180" si="58">IF(D70=1,1,D70*0.9)</f>
        <v>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127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126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125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95</v>
      </c>
      <c r="C184" s="32" t="s">
        <v>124</v>
      </c>
      <c r="D184" s="106">
        <f t="shared" ref="D184:G184" si="62">IF(D74=1,1,D74*0.9)</f>
        <v>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127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126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125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96</v>
      </c>
      <c r="C188" s="32" t="s">
        <v>124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127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126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125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84</v>
      </c>
      <c r="C192" s="32" t="s">
        <v>124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127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126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125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102</v>
      </c>
      <c r="C196" s="32" t="s">
        <v>124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127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126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125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90</v>
      </c>
      <c r="C200" s="32" t="s">
        <v>124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127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126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125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0</v>
      </c>
      <c r="C204" s="32" t="s">
        <v>124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127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126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125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101</v>
      </c>
      <c r="C208" s="32" t="s">
        <v>124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127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126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125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280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84</v>
      </c>
      <c r="B214" s="97" t="s">
        <v>125</v>
      </c>
      <c r="C214" s="81" t="s">
        <v>269</v>
      </c>
      <c r="D214" s="83" t="s">
        <v>78</v>
      </c>
      <c r="E214" s="83" t="s">
        <v>74</v>
      </c>
      <c r="F214" s="83" t="s">
        <v>77</v>
      </c>
      <c r="G214" s="83" t="s">
        <v>75</v>
      </c>
      <c r="H214" s="96" t="s">
        <v>76</v>
      </c>
    </row>
    <row r="215" spans="1:9" ht="13" x14ac:dyDescent="0.3">
      <c r="A215" s="30"/>
      <c r="C215" s="32" t="s">
        <v>124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127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126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125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245</v>
      </c>
      <c r="H220" s="107"/>
    </row>
    <row r="221" spans="1:9" ht="13" x14ac:dyDescent="0.3">
      <c r="A221" s="79" t="s">
        <v>278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230</v>
      </c>
      <c r="B222" s="42" t="s">
        <v>270</v>
      </c>
      <c r="C222" s="42" t="s">
        <v>271</v>
      </c>
      <c r="D222" s="83" t="s">
        <v>78</v>
      </c>
      <c r="E222" s="83" t="s">
        <v>74</v>
      </c>
      <c r="F222" s="83" t="s">
        <v>77</v>
      </c>
      <c r="G222" s="83" t="s">
        <v>75</v>
      </c>
      <c r="H222" s="83" t="s">
        <v>76</v>
      </c>
      <c r="I222" s="94"/>
    </row>
    <row r="223" spans="1:9" ht="13" x14ac:dyDescent="0.3">
      <c r="A223" s="30"/>
      <c r="B223" s="28" t="s">
        <v>84</v>
      </c>
      <c r="C223" s="32" t="s">
        <v>7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273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274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272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102</v>
      </c>
      <c r="C227" s="32" t="s">
        <v>7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273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274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272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90</v>
      </c>
      <c r="C231" s="32" t="s">
        <v>7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273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274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272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</v>
      </c>
      <c r="C235" s="32" t="s">
        <v>7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273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274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272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0</v>
      </c>
      <c r="C239" s="32" t="s">
        <v>7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273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274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272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99</v>
      </c>
      <c r="C243" s="32" t="s">
        <v>7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273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274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272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279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282</v>
      </c>
      <c r="B249" s="30" t="s">
        <v>270</v>
      </c>
      <c r="C249" s="30" t="s">
        <v>281</v>
      </c>
      <c r="D249" s="83" t="s">
        <v>78</v>
      </c>
      <c r="E249" s="83" t="s">
        <v>74</v>
      </c>
      <c r="F249" s="83" t="s">
        <v>77</v>
      </c>
      <c r="G249" s="83" t="s">
        <v>75</v>
      </c>
      <c r="H249" s="83" t="s">
        <v>76</v>
      </c>
      <c r="I249" s="94"/>
    </row>
    <row r="250" spans="1:9" ht="13" x14ac:dyDescent="0.3">
      <c r="A250" s="30"/>
      <c r="B250" s="28" t="s">
        <v>84</v>
      </c>
      <c r="C250" s="32" t="s">
        <v>7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273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3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207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102</v>
      </c>
      <c r="C254" s="32" t="s">
        <v>7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273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3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207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90</v>
      </c>
      <c r="C258" s="32" t="s">
        <v>7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273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3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207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</v>
      </c>
      <c r="C262" s="32" t="s">
        <v>7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273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3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207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0</v>
      </c>
      <c r="C266" s="32" t="s">
        <v>7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273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3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207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99</v>
      </c>
      <c r="C270" s="32" t="s">
        <v>7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273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3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207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276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105</v>
      </c>
      <c r="B276" s="30" t="s">
        <v>270</v>
      </c>
      <c r="C276" s="81" t="s">
        <v>267</v>
      </c>
      <c r="D276" s="83" t="s">
        <v>113</v>
      </c>
      <c r="E276" s="83" t="s">
        <v>114</v>
      </c>
      <c r="F276" s="83" t="s">
        <v>115</v>
      </c>
      <c r="G276" s="83" t="s">
        <v>116</v>
      </c>
      <c r="H276" s="94"/>
    </row>
    <row r="277" spans="1:9" ht="13" x14ac:dyDescent="0.3">
      <c r="A277" s="30"/>
      <c r="B277" s="28" t="s">
        <v>81</v>
      </c>
      <c r="C277" s="32" t="s">
        <v>275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268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89</v>
      </c>
      <c r="C279" s="32" t="s">
        <v>275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268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103</v>
      </c>
      <c r="C281" s="32" t="s">
        <v>275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268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277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123</v>
      </c>
      <c r="B285" s="30" t="s">
        <v>270</v>
      </c>
      <c r="C285" s="81" t="s">
        <v>269</v>
      </c>
      <c r="D285" s="83" t="s">
        <v>78</v>
      </c>
      <c r="E285" s="83" t="s">
        <v>74</v>
      </c>
      <c r="F285" s="83" t="s">
        <v>77</v>
      </c>
      <c r="G285" s="83" t="s">
        <v>75</v>
      </c>
      <c r="H285" s="96" t="s">
        <v>76</v>
      </c>
      <c r="I285" s="94"/>
    </row>
    <row r="286" spans="1:9" ht="13" x14ac:dyDescent="0.3">
      <c r="A286" s="97"/>
      <c r="B286" s="28" t="s">
        <v>93</v>
      </c>
      <c r="C286" s="32" t="s">
        <v>124</v>
      </c>
      <c r="D286" s="106">
        <f>IF(D66=1,1,D66*1.1)</f>
        <v>1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127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126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125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97</v>
      </c>
      <c r="C290" s="32" t="s">
        <v>124</v>
      </c>
      <c r="D290" s="106">
        <f t="shared" ref="D290:G290" si="152">IF(D70=1,1,D70*1.1)</f>
        <v>1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127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126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125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95</v>
      </c>
      <c r="C294" s="32" t="s">
        <v>124</v>
      </c>
      <c r="D294" s="106">
        <f t="shared" ref="D294:G294" si="156">IF(D74=1,1,D74*1.1)</f>
        <v>1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127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126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125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96</v>
      </c>
      <c r="C298" s="32" t="s">
        <v>124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127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126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125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84</v>
      </c>
      <c r="C302" s="32" t="s">
        <v>124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127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126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125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102</v>
      </c>
      <c r="C306" s="32" t="s">
        <v>124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127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126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125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90</v>
      </c>
      <c r="C310" s="32" t="s">
        <v>124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127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126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125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0</v>
      </c>
      <c r="C314" s="32" t="s">
        <v>124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127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126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125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101</v>
      </c>
      <c r="C318" s="32" t="s">
        <v>124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127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126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125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280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84</v>
      </c>
      <c r="B324" s="97" t="s">
        <v>125</v>
      </c>
      <c r="C324" s="81" t="s">
        <v>269</v>
      </c>
      <c r="D324" s="83" t="s">
        <v>78</v>
      </c>
      <c r="E324" s="83" t="s">
        <v>74</v>
      </c>
      <c r="F324" s="83" t="s">
        <v>77</v>
      </c>
      <c r="G324" s="83" t="s">
        <v>75</v>
      </c>
      <c r="H324" s="96" t="s">
        <v>76</v>
      </c>
      <c r="I324" s="94"/>
    </row>
    <row r="325" spans="1:9" ht="13" x14ac:dyDescent="0.3">
      <c r="A325" s="30"/>
      <c r="C325" s="32" t="s">
        <v>124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127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126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125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3nH3tom1KzSrHwebqmFF8JIElOs01iU3XzsigFI1m7fzNfY/ij0p180Uxrci5015C3YOzcbyLmOq3y/CQMzGLg==" saltValue="xG98yxZKWbi4H+jroxV+Bg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313</v>
      </c>
    </row>
    <row r="2" spans="1:7" ht="14.25" customHeight="1" x14ac:dyDescent="0.3">
      <c r="A2" s="97" t="s">
        <v>208</v>
      </c>
      <c r="B2" s="42"/>
      <c r="C2" s="30" t="s">
        <v>78</v>
      </c>
      <c r="D2" s="30" t="s">
        <v>74</v>
      </c>
      <c r="E2" s="30" t="s">
        <v>77</v>
      </c>
      <c r="F2" s="30" t="s">
        <v>75</v>
      </c>
      <c r="G2" s="30" t="s">
        <v>76</v>
      </c>
    </row>
    <row r="3" spans="1:7" ht="14.25" customHeight="1" x14ac:dyDescent="0.25">
      <c r="B3" s="46" t="s">
        <v>300</v>
      </c>
      <c r="C3" s="105" t="s">
        <v>8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286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283</v>
      </c>
    </row>
    <row r="6" spans="1:7" ht="14.25" customHeight="1" x14ac:dyDescent="0.25">
      <c r="B6" s="73" t="s">
        <v>193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184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204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203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307</v>
      </c>
    </row>
    <row r="12" spans="1:7" ht="14.25" customHeight="1" x14ac:dyDescent="0.3">
      <c r="A12" s="84"/>
      <c r="B12" s="46" t="s">
        <v>182</v>
      </c>
      <c r="C12" s="105">
        <v>1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314</v>
      </c>
    </row>
    <row r="15" spans="1:7" ht="14.25" customHeight="1" x14ac:dyDescent="0.3">
      <c r="A15" s="97" t="s">
        <v>282</v>
      </c>
      <c r="B15" s="73" t="s">
        <v>294</v>
      </c>
      <c r="C15" s="105">
        <v>1.024</v>
      </c>
      <c r="D15" s="105">
        <v>1.024</v>
      </c>
      <c r="E15" s="105">
        <v>1.024</v>
      </c>
      <c r="F15" s="105">
        <v>1.024</v>
      </c>
      <c r="G15" s="105">
        <v>1.024</v>
      </c>
    </row>
    <row r="16" spans="1:7" ht="14.25" customHeight="1" x14ac:dyDescent="0.3">
      <c r="A16" s="30"/>
      <c r="B16" s="73" t="s">
        <v>291</v>
      </c>
      <c r="C16" s="105">
        <v>1.024</v>
      </c>
      <c r="D16" s="105">
        <v>1.024</v>
      </c>
      <c r="E16" s="105">
        <v>1.024</v>
      </c>
      <c r="F16" s="105">
        <v>1.024</v>
      </c>
      <c r="G16" s="105">
        <v>1.024</v>
      </c>
    </row>
    <row r="17" spans="1:7" ht="14.25" customHeight="1" x14ac:dyDescent="0.3">
      <c r="A17" s="97" t="s">
        <v>105</v>
      </c>
      <c r="B17" s="46" t="s">
        <v>297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310</v>
      </c>
    </row>
    <row r="20" spans="1:7" s="84" customFormat="1" ht="14.25" customHeight="1" x14ac:dyDescent="0.3">
      <c r="C20" s="44" t="s">
        <v>68</v>
      </c>
      <c r="D20" s="44" t="s">
        <v>69</v>
      </c>
      <c r="E20" s="44" t="s">
        <v>70</v>
      </c>
      <c r="F20" s="44" t="s">
        <v>71</v>
      </c>
    </row>
    <row r="21" spans="1:7" x14ac:dyDescent="0.25">
      <c r="B21" s="46" t="s">
        <v>170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235</v>
      </c>
    </row>
    <row r="24" spans="1:7" ht="13" x14ac:dyDescent="0.3">
      <c r="A24" s="79" t="s">
        <v>313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208</v>
      </c>
      <c r="B25" s="42"/>
      <c r="C25" s="30" t="s">
        <v>78</v>
      </c>
      <c r="D25" s="30" t="s">
        <v>74</v>
      </c>
      <c r="E25" s="30" t="s">
        <v>77</v>
      </c>
      <c r="F25" s="30" t="s">
        <v>75</v>
      </c>
      <c r="G25" s="30" t="s">
        <v>76</v>
      </c>
    </row>
    <row r="26" spans="1:7" x14ac:dyDescent="0.25">
      <c r="B26" s="46" t="s">
        <v>301</v>
      </c>
      <c r="C26" s="105" t="s">
        <v>8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287</v>
      </c>
      <c r="C27" s="105">
        <v>1.014</v>
      </c>
      <c r="D27" s="105">
        <v>1.014</v>
      </c>
      <c r="E27" s="105">
        <v>1.014</v>
      </c>
      <c r="F27" s="105">
        <v>1.014</v>
      </c>
      <c r="G27" s="105">
        <v>1.014</v>
      </c>
    </row>
    <row r="28" spans="1:7" ht="13" x14ac:dyDescent="0.3">
      <c r="A28" s="84" t="s">
        <v>284</v>
      </c>
    </row>
    <row r="29" spans="1:7" x14ac:dyDescent="0.25">
      <c r="B29" s="73" t="s">
        <v>315</v>
      </c>
      <c r="C29" s="105">
        <f>IF(C6=1,1,C6*0.9)</f>
        <v>1</v>
      </c>
      <c r="D29" s="105">
        <f t="shared" ref="D29:G29" si="1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1"/>
        <v>1</v>
      </c>
    </row>
    <row r="30" spans="1:7" x14ac:dyDescent="0.25">
      <c r="B30" s="73" t="s">
        <v>305</v>
      </c>
      <c r="C30" s="105">
        <f t="shared" ref="C30:G30" si="2">IF(C7=1,1,C7*0.9)</f>
        <v>1</v>
      </c>
      <c r="D30" s="105">
        <f t="shared" si="2"/>
        <v>1</v>
      </c>
      <c r="E30" s="105">
        <v>0.85</v>
      </c>
      <c r="F30" s="105">
        <v>0.85</v>
      </c>
      <c r="G30" s="105">
        <f t="shared" si="2"/>
        <v>1</v>
      </c>
    </row>
    <row r="31" spans="1:7" x14ac:dyDescent="0.25">
      <c r="B31" s="73" t="s">
        <v>319</v>
      </c>
      <c r="C31" s="105">
        <f t="shared" ref="C31:G31" si="3">IF(C8=1,1,C8*0.9)</f>
        <v>1</v>
      </c>
      <c r="D31" s="105">
        <f t="shared" si="3"/>
        <v>1</v>
      </c>
      <c r="E31" s="105">
        <v>0.85</v>
      </c>
      <c r="F31" s="105">
        <v>0.85</v>
      </c>
      <c r="G31" s="105">
        <f t="shared" si="3"/>
        <v>1</v>
      </c>
    </row>
    <row r="32" spans="1:7" x14ac:dyDescent="0.25">
      <c r="B32" s="73" t="s">
        <v>317</v>
      </c>
      <c r="C32" s="105">
        <f t="shared" ref="C32:G32" si="4">IF(C9=1,1,C9*0.9)</f>
        <v>1</v>
      </c>
      <c r="D32" s="105">
        <f t="shared" si="4"/>
        <v>1</v>
      </c>
      <c r="E32" s="105">
        <f t="shared" si="4"/>
        <v>1</v>
      </c>
      <c r="F32" s="105">
        <f t="shared" si="4"/>
        <v>1</v>
      </c>
      <c r="G32" s="105">
        <f t="shared" si="4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308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303</v>
      </c>
      <c r="C35" s="105">
        <v>1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314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282</v>
      </c>
      <c r="B38" s="73" t="s">
        <v>295</v>
      </c>
      <c r="C38" s="105">
        <v>1.016</v>
      </c>
      <c r="D38" s="105">
        <v>1.016</v>
      </c>
      <c r="E38" s="105">
        <v>1.016</v>
      </c>
      <c r="F38" s="105">
        <v>1.016</v>
      </c>
      <c r="G38" s="105">
        <v>1.016</v>
      </c>
    </row>
    <row r="39" spans="1:7" ht="13" x14ac:dyDescent="0.3">
      <c r="A39" s="30"/>
      <c r="B39" s="73" t="s">
        <v>292</v>
      </c>
      <c r="C39" s="105">
        <v>1.016</v>
      </c>
      <c r="D39" s="105">
        <v>1.016</v>
      </c>
      <c r="E39" s="105">
        <v>1.016</v>
      </c>
      <c r="F39" s="105">
        <v>1.016</v>
      </c>
      <c r="G39" s="105">
        <v>1.016</v>
      </c>
    </row>
    <row r="40" spans="1:7" ht="13" x14ac:dyDescent="0.3">
      <c r="A40" s="97" t="s">
        <v>105</v>
      </c>
      <c r="B40" s="46" t="s">
        <v>298</v>
      </c>
      <c r="C40" s="105">
        <f t="shared" ref="C40:G40" si="5">IF(C17=1,1,C17*0.9)</f>
        <v>1</v>
      </c>
      <c r="D40" s="105">
        <f t="shared" si="5"/>
        <v>1</v>
      </c>
      <c r="E40" s="105">
        <f t="shared" si="5"/>
        <v>1</v>
      </c>
      <c r="F40" s="105">
        <f t="shared" si="5"/>
        <v>1</v>
      </c>
      <c r="G40" s="105">
        <f t="shared" si="5"/>
        <v>1</v>
      </c>
    </row>
    <row r="42" spans="1:7" ht="13" x14ac:dyDescent="0.3">
      <c r="A42" s="79" t="s">
        <v>311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68</v>
      </c>
      <c r="D43" s="44" t="s">
        <v>69</v>
      </c>
      <c r="E43" s="44" t="s">
        <v>70</v>
      </c>
      <c r="F43" s="44" t="s">
        <v>71</v>
      </c>
      <c r="G43" s="84"/>
    </row>
    <row r="44" spans="1:7" x14ac:dyDescent="0.25">
      <c r="B44" s="46" t="s">
        <v>289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245</v>
      </c>
    </row>
    <row r="47" spans="1:7" ht="13" x14ac:dyDescent="0.3">
      <c r="A47" s="79" t="s">
        <v>313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208</v>
      </c>
      <c r="B48" s="42"/>
      <c r="C48" s="30" t="s">
        <v>78</v>
      </c>
      <c r="D48" s="30" t="s">
        <v>74</v>
      </c>
      <c r="E48" s="30" t="s">
        <v>77</v>
      </c>
      <c r="F48" s="30" t="s">
        <v>75</v>
      </c>
      <c r="G48" s="30" t="s">
        <v>76</v>
      </c>
    </row>
    <row r="49" spans="1:7" x14ac:dyDescent="0.25">
      <c r="B49" s="46" t="s">
        <v>302</v>
      </c>
      <c r="C49" s="105" t="s">
        <v>8</v>
      </c>
      <c r="D49" s="105">
        <f t="shared" ref="D49:G49" si="6">D3*1.05</f>
        <v>47.25</v>
      </c>
      <c r="E49" s="105">
        <f t="shared" si="6"/>
        <v>379.68000000000006</v>
      </c>
      <c r="F49" s="105">
        <f t="shared" si="6"/>
        <v>183.435</v>
      </c>
      <c r="G49" s="105">
        <f t="shared" si="6"/>
        <v>183.435</v>
      </c>
    </row>
    <row r="50" spans="1:7" ht="13" x14ac:dyDescent="0.3">
      <c r="A50" s="30"/>
      <c r="B50" s="73" t="s">
        <v>288</v>
      </c>
      <c r="C50" s="105">
        <v>1.0349999999999999</v>
      </c>
      <c r="D50" s="105">
        <v>1.0349999999999999</v>
      </c>
      <c r="E50" s="105">
        <v>1.0349999999999999</v>
      </c>
      <c r="F50" s="105">
        <v>1.0349999999999999</v>
      </c>
      <c r="G50" s="105">
        <v>1.0349999999999999</v>
      </c>
    </row>
    <row r="51" spans="1:7" ht="13" x14ac:dyDescent="0.3">
      <c r="A51" s="84" t="s">
        <v>285</v>
      </c>
    </row>
    <row r="52" spans="1:7" x14ac:dyDescent="0.25">
      <c r="B52" s="73" t="s">
        <v>316</v>
      </c>
      <c r="C52" s="105">
        <f>IF(C6=1,1,C6*1.1)</f>
        <v>1</v>
      </c>
      <c r="D52" s="105">
        <f t="shared" ref="D52:G52" si="7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7"/>
        <v>1</v>
      </c>
    </row>
    <row r="53" spans="1:7" x14ac:dyDescent="0.25">
      <c r="B53" s="73" t="s">
        <v>306</v>
      </c>
      <c r="C53" s="105">
        <f t="shared" ref="C53:G53" si="8">IF(C7=1,1,C7*1.1)</f>
        <v>1</v>
      </c>
      <c r="D53" s="105">
        <f t="shared" si="8"/>
        <v>1</v>
      </c>
      <c r="E53" s="105">
        <v>0.91</v>
      </c>
      <c r="F53" s="105">
        <v>0.91</v>
      </c>
      <c r="G53" s="105">
        <f t="shared" si="8"/>
        <v>1</v>
      </c>
    </row>
    <row r="54" spans="1:7" x14ac:dyDescent="0.25">
      <c r="B54" s="73" t="s">
        <v>320</v>
      </c>
      <c r="C54" s="105">
        <f t="shared" ref="C54:G54" si="9">IF(C8=1,1,C8*1.1)</f>
        <v>1</v>
      </c>
      <c r="D54" s="105">
        <f t="shared" si="9"/>
        <v>1</v>
      </c>
      <c r="E54" s="105">
        <v>0.91</v>
      </c>
      <c r="F54" s="105">
        <v>0.91</v>
      </c>
      <c r="G54" s="105">
        <f t="shared" si="9"/>
        <v>1</v>
      </c>
    </row>
    <row r="55" spans="1:7" x14ac:dyDescent="0.25">
      <c r="B55" s="73" t="s">
        <v>318</v>
      </c>
      <c r="C55" s="105">
        <f t="shared" ref="C55:G55" si="10">IF(C9=1,1,C9*1.1)</f>
        <v>1</v>
      </c>
      <c r="D55" s="105">
        <f t="shared" si="10"/>
        <v>1</v>
      </c>
      <c r="E55" s="105">
        <f t="shared" si="10"/>
        <v>1</v>
      </c>
      <c r="F55" s="105">
        <f t="shared" si="10"/>
        <v>1</v>
      </c>
      <c r="G55" s="105">
        <f t="shared" si="10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309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304</v>
      </c>
      <c r="C58" s="105">
        <v>1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314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282</v>
      </c>
      <c r="B61" s="73" t="s">
        <v>296</v>
      </c>
      <c r="C61" s="105">
        <v>1.0309999999999999</v>
      </c>
      <c r="D61" s="105">
        <v>1.0309999999999999</v>
      </c>
      <c r="E61" s="105">
        <v>1.0309999999999999</v>
      </c>
      <c r="F61" s="105">
        <v>1.0309999999999999</v>
      </c>
      <c r="G61" s="105">
        <v>1.0309999999999999</v>
      </c>
    </row>
    <row r="62" spans="1:7" ht="13" x14ac:dyDescent="0.3">
      <c r="A62" s="30"/>
      <c r="B62" s="73" t="s">
        <v>293</v>
      </c>
      <c r="C62" s="105">
        <v>1.0309999999999999</v>
      </c>
      <c r="D62" s="105">
        <v>1.0309999999999999</v>
      </c>
      <c r="E62" s="105">
        <v>1.0309999999999999</v>
      </c>
      <c r="F62" s="105">
        <v>1.0309999999999999</v>
      </c>
      <c r="G62" s="105">
        <v>1.0309999999999999</v>
      </c>
    </row>
    <row r="63" spans="1:7" ht="13" x14ac:dyDescent="0.3">
      <c r="A63" s="97" t="s">
        <v>105</v>
      </c>
      <c r="B63" s="46" t="s">
        <v>299</v>
      </c>
      <c r="C63" s="105">
        <f t="shared" ref="C63:G63" si="11">IF(C17=1,1,C17*1.1)</f>
        <v>1</v>
      </c>
      <c r="D63" s="105">
        <f t="shared" si="11"/>
        <v>1</v>
      </c>
      <c r="E63" s="105">
        <f t="shared" si="11"/>
        <v>1</v>
      </c>
      <c r="F63" s="105">
        <f t="shared" si="11"/>
        <v>1</v>
      </c>
      <c r="G63" s="105">
        <f t="shared" si="11"/>
        <v>1</v>
      </c>
    </row>
    <row r="65" spans="1:7" ht="13" x14ac:dyDescent="0.3">
      <c r="A65" s="79" t="s">
        <v>312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68</v>
      </c>
      <c r="D66" s="44" t="s">
        <v>69</v>
      </c>
      <c r="E66" s="44" t="s">
        <v>70</v>
      </c>
      <c r="F66" s="44" t="s">
        <v>71</v>
      </c>
      <c r="G66" s="84"/>
    </row>
    <row r="67" spans="1:7" x14ac:dyDescent="0.25">
      <c r="B67" s="46" t="s">
        <v>290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yDp8f90vBaWnszz9aRFFCF6xWTX163WULJpeVTd8vkJTuiQUNPmRkDQCKWd04coBgvzQQha+CaPzhwaBqCRiLQ==" saltValue="0uHfjk09faGVPXNTMaUYO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26:G26 C44 D49:G49 C63:G63 C28:G28 C40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C2" sqref="C2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163</v>
      </c>
      <c r="B1" s="30"/>
      <c r="C1" s="30" t="s">
        <v>52</v>
      </c>
      <c r="D1" s="30" t="s">
        <v>59</v>
      </c>
      <c r="E1" s="30" t="s">
        <v>51</v>
      </c>
      <c r="F1" s="42" t="s">
        <v>58</v>
      </c>
    </row>
    <row r="2" spans="1:6" ht="15.75" customHeight="1" x14ac:dyDescent="0.25">
      <c r="A2" s="73" t="s">
        <v>165</v>
      </c>
      <c r="B2" s="73" t="s">
        <v>322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321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178</v>
      </c>
      <c r="B4" s="73" t="s">
        <v>322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321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179</v>
      </c>
      <c r="B6" s="73" t="s">
        <v>322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321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180</v>
      </c>
      <c r="B8" s="73" t="s">
        <v>322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321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185</v>
      </c>
      <c r="B10" s="73" t="s">
        <v>322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321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191</v>
      </c>
      <c r="B12" s="73" t="s">
        <v>322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321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235</v>
      </c>
    </row>
    <row r="16" spans="1:6" ht="15.75" customHeight="1" x14ac:dyDescent="0.3">
      <c r="A16" s="42" t="s">
        <v>163</v>
      </c>
      <c r="B16" s="30"/>
      <c r="C16" s="30" t="s">
        <v>52</v>
      </c>
      <c r="D16" s="30" t="s">
        <v>59</v>
      </c>
      <c r="E16" s="30" t="s">
        <v>51</v>
      </c>
      <c r="F16" s="42" t="s">
        <v>58</v>
      </c>
    </row>
    <row r="17" spans="1:6" ht="15.75" customHeight="1" x14ac:dyDescent="0.25">
      <c r="A17" s="73" t="s">
        <v>165</v>
      </c>
      <c r="B17" s="73" t="s">
        <v>322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321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178</v>
      </c>
      <c r="B19" s="73" t="s">
        <v>322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321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179</v>
      </c>
      <c r="B21" s="73" t="s">
        <v>322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321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180</v>
      </c>
      <c r="B23" s="73" t="s">
        <v>322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321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185</v>
      </c>
      <c r="B25" s="73" t="s">
        <v>322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321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191</v>
      </c>
      <c r="B27" s="73" t="s">
        <v>322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321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245</v>
      </c>
    </row>
    <row r="31" spans="1:6" ht="15.75" customHeight="1" x14ac:dyDescent="0.3">
      <c r="A31" s="42" t="s">
        <v>163</v>
      </c>
      <c r="B31" s="30"/>
      <c r="C31" s="30" t="s">
        <v>52</v>
      </c>
      <c r="D31" s="30" t="s">
        <v>59</v>
      </c>
      <c r="E31" s="30" t="s">
        <v>51</v>
      </c>
      <c r="F31" s="42" t="s">
        <v>58</v>
      </c>
    </row>
    <row r="32" spans="1:6" ht="15.75" customHeight="1" x14ac:dyDescent="0.25">
      <c r="A32" s="73" t="s">
        <v>165</v>
      </c>
      <c r="B32" s="73" t="s">
        <v>322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321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178</v>
      </c>
      <c r="B34" s="73" t="s">
        <v>322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321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179</v>
      </c>
      <c r="B36" s="73" t="s">
        <v>322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321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180</v>
      </c>
      <c r="B38" s="73" t="s">
        <v>322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321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185</v>
      </c>
      <c r="B40" s="73" t="s">
        <v>322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321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191</v>
      </c>
      <c r="B42" s="73" t="s">
        <v>322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321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Og3/SQAHRcMVp6QqKTORbPAhFhqg2cGm3rCxa3PxS5j6pSXuy2h92kTS1MVAUilv/yK3cYySrrasYPkwpKdEOQ==" saltValue="w7/D3CMXd+9YOSNH2K05X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C3" zoomScale="70" zoomScaleNormal="70" workbookViewId="0">
      <selection activeCell="C3" sqref="C3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78</v>
      </c>
      <c r="D1" s="83" t="s">
        <v>74</v>
      </c>
      <c r="E1" s="83" t="s">
        <v>77</v>
      </c>
      <c r="F1" s="83" t="s">
        <v>75</v>
      </c>
      <c r="G1" s="83" t="s">
        <v>76</v>
      </c>
      <c r="H1" s="83" t="s">
        <v>68</v>
      </c>
      <c r="I1" s="83" t="s">
        <v>69</v>
      </c>
      <c r="J1" s="83" t="s">
        <v>70</v>
      </c>
      <c r="K1" s="83" t="s">
        <v>71</v>
      </c>
      <c r="L1" s="83" t="s">
        <v>113</v>
      </c>
      <c r="M1" s="83" t="s">
        <v>114</v>
      </c>
      <c r="N1" s="83" t="s">
        <v>115</v>
      </c>
      <c r="O1" s="83" t="s">
        <v>116</v>
      </c>
    </row>
    <row r="2" spans="1:15" ht="13" x14ac:dyDescent="0.3">
      <c r="A2" s="30" t="s">
        <v>326</v>
      </c>
    </row>
    <row r="3" spans="1:15" x14ac:dyDescent="0.25">
      <c r="B3" s="46" t="s">
        <v>169</v>
      </c>
      <c r="C3" s="105">
        <v>0.92</v>
      </c>
      <c r="D3" s="105">
        <v>0.92</v>
      </c>
      <c r="E3" s="105">
        <v>0.92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174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175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176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177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178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179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180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184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185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190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191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204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323</v>
      </c>
      <c r="B17" s="46"/>
    </row>
    <row r="18" spans="1:15" x14ac:dyDescent="0.25">
      <c r="B18" s="73" t="s">
        <v>171</v>
      </c>
      <c r="C18" s="105">
        <v>1</v>
      </c>
      <c r="D18" s="105">
        <v>1</v>
      </c>
      <c r="E18" s="105">
        <v>0.97599999999999998</v>
      </c>
      <c r="F18" s="105">
        <v>0.97599999999999998</v>
      </c>
      <c r="G18" s="105">
        <v>0.97599999999999998</v>
      </c>
      <c r="H18" s="105">
        <v>0.97599999999999998</v>
      </c>
      <c r="I18" s="105">
        <v>0.97599999999999998</v>
      </c>
      <c r="J18" s="105">
        <v>0.97599999999999998</v>
      </c>
      <c r="K18" s="105">
        <v>0.97599999999999998</v>
      </c>
      <c r="L18" s="105">
        <v>0.97599999999999998</v>
      </c>
      <c r="M18" s="105">
        <v>0.97599999999999998</v>
      </c>
      <c r="N18" s="105">
        <v>0.97599999999999998</v>
      </c>
      <c r="O18" s="105">
        <v>0.97599999999999998</v>
      </c>
    </row>
    <row r="19" spans="1:15" x14ac:dyDescent="0.25">
      <c r="B19" s="73" t="s">
        <v>172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173</v>
      </c>
      <c r="C20" s="105">
        <v>1</v>
      </c>
      <c r="D20" s="105">
        <v>1</v>
      </c>
      <c r="E20" s="105">
        <v>0.97599999999999998</v>
      </c>
      <c r="F20" s="105">
        <v>0.97599999999999998</v>
      </c>
      <c r="G20" s="105">
        <v>0.97599999999999998</v>
      </c>
      <c r="H20" s="105">
        <v>0.97599999999999998</v>
      </c>
      <c r="I20" s="105">
        <v>0.97599999999999998</v>
      </c>
      <c r="J20" s="105">
        <v>0.97599999999999998</v>
      </c>
      <c r="K20" s="105">
        <v>0.97599999999999998</v>
      </c>
      <c r="L20" s="105">
        <v>0.97599999999999998</v>
      </c>
      <c r="M20" s="105">
        <v>0.97599999999999998</v>
      </c>
      <c r="N20" s="105">
        <v>0.97599999999999998</v>
      </c>
      <c r="O20" s="105">
        <v>0.97599999999999998</v>
      </c>
    </row>
    <row r="21" spans="1:15" x14ac:dyDescent="0.25">
      <c r="B21" s="73" t="s">
        <v>181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235</v>
      </c>
    </row>
    <row r="24" spans="1:15" ht="26" x14ac:dyDescent="0.3">
      <c r="A24" s="30"/>
      <c r="B24" s="30"/>
      <c r="C24" s="83" t="s">
        <v>78</v>
      </c>
      <c r="D24" s="83" t="s">
        <v>74</v>
      </c>
      <c r="E24" s="83" t="s">
        <v>77</v>
      </c>
      <c r="F24" s="83" t="s">
        <v>75</v>
      </c>
      <c r="G24" s="83" t="s">
        <v>76</v>
      </c>
      <c r="H24" s="83" t="s">
        <v>68</v>
      </c>
      <c r="I24" s="83" t="s">
        <v>69</v>
      </c>
      <c r="J24" s="83" t="s">
        <v>70</v>
      </c>
      <c r="K24" s="83" t="s">
        <v>71</v>
      </c>
      <c r="L24" s="83" t="s">
        <v>113</v>
      </c>
      <c r="M24" s="83" t="s">
        <v>114</v>
      </c>
      <c r="N24" s="83" t="s">
        <v>115</v>
      </c>
      <c r="O24" s="83" t="s">
        <v>116</v>
      </c>
    </row>
    <row r="25" spans="1:15" ht="13" x14ac:dyDescent="0.3">
      <c r="A25" s="30" t="s">
        <v>327</v>
      </c>
    </row>
    <row r="26" spans="1:15" x14ac:dyDescent="0.25">
      <c r="B26" s="46" t="s">
        <v>169</v>
      </c>
      <c r="C26" s="105">
        <v>0.87</v>
      </c>
      <c r="D26" s="105">
        <v>0.87</v>
      </c>
      <c r="E26" s="105">
        <v>0.87</v>
      </c>
      <c r="F26" s="105">
        <f t="shared" ref="F26:O26" si="1">IF(F3=1,1,F3*0.9)</f>
        <v>1</v>
      </c>
      <c r="G26" s="105">
        <f t="shared" si="1"/>
        <v>1</v>
      </c>
      <c r="H26" s="105">
        <f t="shared" si="1"/>
        <v>1</v>
      </c>
      <c r="I26" s="105">
        <f t="shared" si="1"/>
        <v>1</v>
      </c>
      <c r="J26" s="105">
        <f t="shared" si="1"/>
        <v>1</v>
      </c>
      <c r="K26" s="105">
        <f t="shared" si="1"/>
        <v>1</v>
      </c>
      <c r="L26" s="105">
        <f t="shared" si="1"/>
        <v>1</v>
      </c>
      <c r="M26" s="105">
        <f t="shared" si="1"/>
        <v>1</v>
      </c>
      <c r="N26" s="105">
        <f t="shared" si="1"/>
        <v>1</v>
      </c>
      <c r="O26" s="105">
        <f t="shared" si="1"/>
        <v>1</v>
      </c>
    </row>
    <row r="27" spans="1:15" x14ac:dyDescent="0.25">
      <c r="B27" s="46" t="s">
        <v>174</v>
      </c>
      <c r="C27" s="105">
        <f t="shared" ref="C27:O34" si="2">IF(C4=1,1,C4*0.9)</f>
        <v>1</v>
      </c>
      <c r="D27" s="105">
        <f t="shared" si="2"/>
        <v>1</v>
      </c>
      <c r="E27" s="105">
        <f t="shared" si="2"/>
        <v>1</v>
      </c>
      <c r="F27" s="105">
        <f t="shared" si="2"/>
        <v>1</v>
      </c>
      <c r="G27" s="105">
        <f t="shared" si="2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2"/>
        <v>1</v>
      </c>
      <c r="M27" s="105">
        <f t="shared" si="2"/>
        <v>1</v>
      </c>
      <c r="N27" s="105">
        <f t="shared" si="2"/>
        <v>1</v>
      </c>
      <c r="O27" s="105">
        <f t="shared" si="2"/>
        <v>1</v>
      </c>
    </row>
    <row r="28" spans="1:15" x14ac:dyDescent="0.25">
      <c r="B28" s="46" t="s">
        <v>175</v>
      </c>
      <c r="C28" s="105">
        <f t="shared" si="2"/>
        <v>1</v>
      </c>
      <c r="D28" s="105">
        <f t="shared" si="2"/>
        <v>1</v>
      </c>
      <c r="E28" s="105">
        <f t="shared" si="2"/>
        <v>1</v>
      </c>
      <c r="F28" s="105">
        <f t="shared" si="2"/>
        <v>1</v>
      </c>
      <c r="G28" s="105">
        <f t="shared" si="2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2"/>
        <v>1</v>
      </c>
      <c r="M28" s="105">
        <f t="shared" si="2"/>
        <v>1</v>
      </c>
      <c r="N28" s="105">
        <f t="shared" si="2"/>
        <v>1</v>
      </c>
      <c r="O28" s="105">
        <f t="shared" si="2"/>
        <v>1</v>
      </c>
    </row>
    <row r="29" spans="1:15" x14ac:dyDescent="0.25">
      <c r="B29" s="46" t="s">
        <v>176</v>
      </c>
      <c r="C29" s="105">
        <f t="shared" si="2"/>
        <v>1</v>
      </c>
      <c r="D29" s="105">
        <f t="shared" si="2"/>
        <v>1</v>
      </c>
      <c r="E29" s="105">
        <f t="shared" si="2"/>
        <v>1</v>
      </c>
      <c r="F29" s="105">
        <f t="shared" si="2"/>
        <v>1</v>
      </c>
      <c r="G29" s="105">
        <f t="shared" si="2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2"/>
        <v>1</v>
      </c>
      <c r="M29" s="105">
        <f t="shared" si="2"/>
        <v>1</v>
      </c>
      <c r="N29" s="105">
        <f t="shared" si="2"/>
        <v>1</v>
      </c>
      <c r="O29" s="105">
        <f t="shared" si="2"/>
        <v>1</v>
      </c>
    </row>
    <row r="30" spans="1:15" x14ac:dyDescent="0.25">
      <c r="B30" s="46" t="s">
        <v>177</v>
      </c>
      <c r="C30" s="105">
        <f t="shared" si="2"/>
        <v>1</v>
      </c>
      <c r="D30" s="105">
        <f t="shared" si="2"/>
        <v>1</v>
      </c>
      <c r="E30" s="105">
        <f t="shared" si="2"/>
        <v>1</v>
      </c>
      <c r="F30" s="105">
        <f t="shared" si="2"/>
        <v>1</v>
      </c>
      <c r="G30" s="105">
        <f t="shared" si="2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2"/>
        <v>1</v>
      </c>
      <c r="M30" s="105">
        <f t="shared" si="2"/>
        <v>1</v>
      </c>
      <c r="N30" s="105">
        <f t="shared" si="2"/>
        <v>1</v>
      </c>
      <c r="O30" s="105">
        <f t="shared" si="2"/>
        <v>1</v>
      </c>
    </row>
    <row r="31" spans="1:15" x14ac:dyDescent="0.25">
      <c r="B31" s="73" t="s">
        <v>178</v>
      </c>
      <c r="C31" s="105">
        <f t="shared" si="2"/>
        <v>1</v>
      </c>
      <c r="D31" s="105">
        <f t="shared" si="2"/>
        <v>1</v>
      </c>
      <c r="E31" s="105">
        <f t="shared" si="2"/>
        <v>1</v>
      </c>
      <c r="F31" s="105">
        <f t="shared" si="2"/>
        <v>1</v>
      </c>
      <c r="G31" s="105">
        <f t="shared" si="2"/>
        <v>1</v>
      </c>
      <c r="H31" s="105">
        <f t="shared" si="2"/>
        <v>1</v>
      </c>
      <c r="I31" s="105">
        <f t="shared" si="2"/>
        <v>1</v>
      </c>
      <c r="J31" s="105">
        <f t="shared" si="2"/>
        <v>1</v>
      </c>
      <c r="K31" s="105">
        <f t="shared" si="2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179</v>
      </c>
      <c r="C32" s="105">
        <f t="shared" si="2"/>
        <v>1</v>
      </c>
      <c r="D32" s="105">
        <f t="shared" si="2"/>
        <v>1</v>
      </c>
      <c r="E32" s="105">
        <f t="shared" si="2"/>
        <v>1</v>
      </c>
      <c r="F32" s="105">
        <f t="shared" si="2"/>
        <v>1</v>
      </c>
      <c r="G32" s="105">
        <f t="shared" si="2"/>
        <v>1</v>
      </c>
      <c r="H32" s="105">
        <f t="shared" si="2"/>
        <v>1</v>
      </c>
      <c r="I32" s="105">
        <f t="shared" si="2"/>
        <v>1</v>
      </c>
      <c r="J32" s="105">
        <f t="shared" si="2"/>
        <v>1</v>
      </c>
      <c r="K32" s="105">
        <f t="shared" si="2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180</v>
      </c>
      <c r="C33" s="105">
        <f t="shared" si="2"/>
        <v>1</v>
      </c>
      <c r="D33" s="105">
        <f t="shared" si="2"/>
        <v>1</v>
      </c>
      <c r="E33" s="105">
        <f t="shared" si="2"/>
        <v>1</v>
      </c>
      <c r="F33" s="105">
        <f t="shared" si="2"/>
        <v>1</v>
      </c>
      <c r="G33" s="105">
        <f t="shared" si="2"/>
        <v>1</v>
      </c>
      <c r="H33" s="105">
        <f t="shared" si="2"/>
        <v>1</v>
      </c>
      <c r="I33" s="105">
        <f t="shared" si="2"/>
        <v>1</v>
      </c>
      <c r="J33" s="105">
        <f t="shared" si="2"/>
        <v>1</v>
      </c>
      <c r="K33" s="105">
        <f t="shared" si="2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184</v>
      </c>
      <c r="C34" s="105">
        <f t="shared" si="2"/>
        <v>1</v>
      </c>
      <c r="D34" s="105">
        <f t="shared" si="2"/>
        <v>1</v>
      </c>
      <c r="E34" s="105">
        <v>0.62</v>
      </c>
      <c r="F34" s="105">
        <v>0.62</v>
      </c>
      <c r="G34" s="105">
        <v>1</v>
      </c>
      <c r="H34" s="105">
        <f t="shared" si="2"/>
        <v>1</v>
      </c>
      <c r="I34" s="105">
        <f t="shared" si="2"/>
        <v>1</v>
      </c>
      <c r="J34" s="105">
        <f t="shared" si="2"/>
        <v>1</v>
      </c>
      <c r="K34" s="105">
        <f t="shared" si="2"/>
        <v>1</v>
      </c>
      <c r="L34" s="105">
        <f t="shared" si="2"/>
        <v>1</v>
      </c>
      <c r="M34" s="105">
        <f t="shared" si="2"/>
        <v>1</v>
      </c>
      <c r="N34" s="105">
        <f t="shared" si="2"/>
        <v>1</v>
      </c>
      <c r="O34" s="105">
        <f t="shared" si="2"/>
        <v>1</v>
      </c>
    </row>
    <row r="35" spans="1:15" x14ac:dyDescent="0.25">
      <c r="B35" s="46" t="s">
        <v>185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190</v>
      </c>
      <c r="C36" s="105">
        <f t="shared" ref="C36:O38" si="3">IF(C13=1,1,C13*0.9)</f>
        <v>1</v>
      </c>
      <c r="D36" s="105">
        <f t="shared" si="3"/>
        <v>1</v>
      </c>
      <c r="E36" s="105">
        <v>0.62</v>
      </c>
      <c r="F36" s="105">
        <v>0.62</v>
      </c>
      <c r="G36" s="105">
        <v>0.62</v>
      </c>
      <c r="H36" s="105">
        <f t="shared" si="3"/>
        <v>1</v>
      </c>
      <c r="I36" s="105">
        <f t="shared" si="3"/>
        <v>1</v>
      </c>
      <c r="J36" s="105">
        <f t="shared" si="3"/>
        <v>1</v>
      </c>
      <c r="K36" s="105">
        <f t="shared" si="3"/>
        <v>1</v>
      </c>
      <c r="L36" s="105">
        <f t="shared" si="3"/>
        <v>1</v>
      </c>
      <c r="M36" s="105">
        <f t="shared" si="3"/>
        <v>1</v>
      </c>
      <c r="N36" s="105">
        <f t="shared" si="3"/>
        <v>1</v>
      </c>
      <c r="O36" s="105">
        <f t="shared" si="3"/>
        <v>1</v>
      </c>
    </row>
    <row r="37" spans="1:15" x14ac:dyDescent="0.25">
      <c r="B37" s="46" t="s">
        <v>191</v>
      </c>
      <c r="C37" s="105">
        <f t="shared" si="3"/>
        <v>1</v>
      </c>
      <c r="D37" s="105">
        <f t="shared" si="3"/>
        <v>1</v>
      </c>
      <c r="E37" s="105">
        <f t="shared" si="3"/>
        <v>1</v>
      </c>
      <c r="F37" s="105">
        <f t="shared" si="3"/>
        <v>1</v>
      </c>
      <c r="G37" s="105">
        <f t="shared" si="3"/>
        <v>1</v>
      </c>
      <c r="H37" s="105">
        <f t="shared" si="3"/>
        <v>1</v>
      </c>
      <c r="I37" s="105">
        <f t="shared" si="3"/>
        <v>1</v>
      </c>
      <c r="J37" s="105">
        <f t="shared" si="3"/>
        <v>1</v>
      </c>
      <c r="K37" s="105">
        <f t="shared" si="3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204</v>
      </c>
      <c r="C38" s="105">
        <f t="shared" si="3"/>
        <v>1</v>
      </c>
      <c r="D38" s="105">
        <f t="shared" si="3"/>
        <v>1</v>
      </c>
      <c r="E38" s="105">
        <v>0.3</v>
      </c>
      <c r="F38" s="105">
        <v>0.3</v>
      </c>
      <c r="G38" s="105">
        <f t="shared" si="3"/>
        <v>1</v>
      </c>
      <c r="H38" s="105">
        <f t="shared" si="3"/>
        <v>1</v>
      </c>
      <c r="I38" s="105">
        <f t="shared" si="3"/>
        <v>1</v>
      </c>
      <c r="J38" s="105">
        <f t="shared" si="3"/>
        <v>1</v>
      </c>
      <c r="K38" s="105">
        <f t="shared" si="3"/>
        <v>1</v>
      </c>
      <c r="L38" s="105">
        <f t="shared" si="3"/>
        <v>1</v>
      </c>
      <c r="M38" s="105">
        <f t="shared" si="3"/>
        <v>1</v>
      </c>
      <c r="N38" s="105">
        <f t="shared" si="3"/>
        <v>1</v>
      </c>
      <c r="O38" s="105">
        <f t="shared" si="3"/>
        <v>1</v>
      </c>
    </row>
    <row r="40" spans="1:15" ht="13" x14ac:dyDescent="0.3">
      <c r="A40" s="30" t="s">
        <v>324</v>
      </c>
      <c r="B40" s="46"/>
    </row>
    <row r="41" spans="1:15" x14ac:dyDescent="0.25">
      <c r="B41" s="73" t="s">
        <v>171</v>
      </c>
      <c r="C41" s="105">
        <f t="shared" ref="C41:D41" si="4">IF(C18=1,1,C18*0.9)</f>
        <v>1</v>
      </c>
      <c r="D41" s="105">
        <f t="shared" si="4"/>
        <v>1</v>
      </c>
      <c r="E41" s="105">
        <v>0.97499999999999998</v>
      </c>
      <c r="F41" s="105">
        <v>0.97499999999999998</v>
      </c>
      <c r="G41" s="105">
        <v>0.97499999999999998</v>
      </c>
      <c r="H41" s="105">
        <v>0.97499999999999998</v>
      </c>
      <c r="I41" s="105">
        <v>0.97499999999999998</v>
      </c>
      <c r="J41" s="105">
        <v>0.97499999999999998</v>
      </c>
      <c r="K41" s="105">
        <v>0.97499999999999998</v>
      </c>
      <c r="L41" s="105">
        <v>0.97499999999999998</v>
      </c>
      <c r="M41" s="105">
        <v>0.97499999999999998</v>
      </c>
      <c r="N41" s="105">
        <v>0.97499999999999998</v>
      </c>
      <c r="O41" s="105">
        <v>0.97499999999999998</v>
      </c>
    </row>
    <row r="42" spans="1:15" x14ac:dyDescent="0.25">
      <c r="B42" s="73" t="s">
        <v>172</v>
      </c>
      <c r="C42" s="105">
        <f t="shared" ref="C42:D44" si="5">IF(C19=1,1,C19*0.9)</f>
        <v>1</v>
      </c>
      <c r="D42" s="105">
        <f t="shared" si="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173</v>
      </c>
      <c r="C43" s="105">
        <f t="shared" si="5"/>
        <v>1</v>
      </c>
      <c r="D43" s="105">
        <f t="shared" si="5"/>
        <v>1</v>
      </c>
      <c r="E43" s="105">
        <v>0.97499999999999998</v>
      </c>
      <c r="F43" s="105">
        <v>0.97499999999999998</v>
      </c>
      <c r="G43" s="105">
        <v>0.97499999999999998</v>
      </c>
      <c r="H43" s="105">
        <v>0.97499999999999998</v>
      </c>
      <c r="I43" s="105">
        <v>0.97499999999999998</v>
      </c>
      <c r="J43" s="105">
        <v>0.97499999999999998</v>
      </c>
      <c r="K43" s="105">
        <v>0.97499999999999998</v>
      </c>
      <c r="L43" s="105">
        <v>0.97499999999999998</v>
      </c>
      <c r="M43" s="105">
        <v>0.97499999999999998</v>
      </c>
      <c r="N43" s="105">
        <v>0.97499999999999998</v>
      </c>
      <c r="O43" s="105">
        <v>0.97499999999999998</v>
      </c>
    </row>
    <row r="44" spans="1:15" x14ac:dyDescent="0.25">
      <c r="B44" s="73" t="s">
        <v>181</v>
      </c>
      <c r="C44" s="105">
        <f t="shared" si="5"/>
        <v>1</v>
      </c>
      <c r="D44" s="105">
        <f t="shared" si="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245</v>
      </c>
    </row>
    <row r="47" spans="1:15" ht="26" x14ac:dyDescent="0.3">
      <c r="A47" s="30"/>
      <c r="B47" s="30"/>
      <c r="C47" s="83" t="s">
        <v>78</v>
      </c>
      <c r="D47" s="83" t="s">
        <v>74</v>
      </c>
      <c r="E47" s="83" t="s">
        <v>77</v>
      </c>
      <c r="F47" s="83" t="s">
        <v>75</v>
      </c>
      <c r="G47" s="83" t="s">
        <v>76</v>
      </c>
      <c r="H47" s="83" t="s">
        <v>68</v>
      </c>
      <c r="I47" s="83" t="s">
        <v>69</v>
      </c>
      <c r="J47" s="83" t="s">
        <v>70</v>
      </c>
      <c r="K47" s="83" t="s">
        <v>71</v>
      </c>
      <c r="L47" s="83" t="s">
        <v>113</v>
      </c>
      <c r="M47" s="83" t="s">
        <v>114</v>
      </c>
      <c r="N47" s="83" t="s">
        <v>115</v>
      </c>
      <c r="O47" s="83" t="s">
        <v>116</v>
      </c>
    </row>
    <row r="48" spans="1:15" ht="13" x14ac:dyDescent="0.3">
      <c r="A48" s="30" t="s">
        <v>328</v>
      </c>
    </row>
    <row r="49" spans="1:15" x14ac:dyDescent="0.25">
      <c r="B49" s="46" t="s">
        <v>169</v>
      </c>
      <c r="C49" s="105">
        <v>0.99</v>
      </c>
      <c r="D49" s="105">
        <v>0.99</v>
      </c>
      <c r="E49" s="105">
        <v>0.99</v>
      </c>
      <c r="F49" s="105">
        <f t="shared" ref="F49:O49" si="6">IF(F3=1,1,F3*1.05)</f>
        <v>1</v>
      </c>
      <c r="G49" s="105">
        <f t="shared" si="6"/>
        <v>1</v>
      </c>
      <c r="H49" s="105">
        <f t="shared" si="6"/>
        <v>1</v>
      </c>
      <c r="I49" s="105">
        <f t="shared" si="6"/>
        <v>1</v>
      </c>
      <c r="J49" s="105">
        <f t="shared" si="6"/>
        <v>1</v>
      </c>
      <c r="K49" s="105">
        <f t="shared" si="6"/>
        <v>1</v>
      </c>
      <c r="L49" s="105">
        <f t="shared" si="6"/>
        <v>1</v>
      </c>
      <c r="M49" s="105">
        <f t="shared" si="6"/>
        <v>1</v>
      </c>
      <c r="N49" s="105">
        <f t="shared" si="6"/>
        <v>1</v>
      </c>
      <c r="O49" s="105">
        <f t="shared" si="6"/>
        <v>1</v>
      </c>
    </row>
    <row r="50" spans="1:15" x14ac:dyDescent="0.25">
      <c r="B50" s="46" t="s">
        <v>174</v>
      </c>
      <c r="C50" s="105">
        <f t="shared" ref="C50:O57" si="7">IF(C4=1,1,C4*1.05)</f>
        <v>1</v>
      </c>
      <c r="D50" s="105">
        <f t="shared" si="7"/>
        <v>1</v>
      </c>
      <c r="E50" s="105">
        <f t="shared" si="7"/>
        <v>1</v>
      </c>
      <c r="F50" s="105">
        <f t="shared" si="7"/>
        <v>1</v>
      </c>
      <c r="G50" s="105">
        <f t="shared" si="7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7"/>
        <v>1</v>
      </c>
      <c r="M50" s="105">
        <f t="shared" si="7"/>
        <v>1</v>
      </c>
      <c r="N50" s="105">
        <f t="shared" si="7"/>
        <v>1</v>
      </c>
      <c r="O50" s="105">
        <f t="shared" si="7"/>
        <v>1</v>
      </c>
    </row>
    <row r="51" spans="1:15" x14ac:dyDescent="0.25">
      <c r="B51" s="46" t="s">
        <v>175</v>
      </c>
      <c r="C51" s="105">
        <f t="shared" si="7"/>
        <v>1</v>
      </c>
      <c r="D51" s="105">
        <f t="shared" si="7"/>
        <v>1</v>
      </c>
      <c r="E51" s="105">
        <f t="shared" si="7"/>
        <v>1</v>
      </c>
      <c r="F51" s="105">
        <f t="shared" si="7"/>
        <v>1</v>
      </c>
      <c r="G51" s="105">
        <f t="shared" si="7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7"/>
        <v>1</v>
      </c>
      <c r="M51" s="105">
        <f t="shared" si="7"/>
        <v>1</v>
      </c>
      <c r="N51" s="105">
        <f t="shared" si="7"/>
        <v>1</v>
      </c>
      <c r="O51" s="105">
        <f t="shared" si="7"/>
        <v>1</v>
      </c>
    </row>
    <row r="52" spans="1:15" x14ac:dyDescent="0.25">
      <c r="B52" s="46" t="s">
        <v>176</v>
      </c>
      <c r="C52" s="105">
        <f t="shared" si="7"/>
        <v>1</v>
      </c>
      <c r="D52" s="105">
        <f t="shared" si="7"/>
        <v>1</v>
      </c>
      <c r="E52" s="105">
        <f t="shared" si="7"/>
        <v>1</v>
      </c>
      <c r="F52" s="105">
        <f t="shared" si="7"/>
        <v>1</v>
      </c>
      <c r="G52" s="105">
        <f t="shared" si="7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7"/>
        <v>1</v>
      </c>
      <c r="M52" s="105">
        <f t="shared" si="7"/>
        <v>1</v>
      </c>
      <c r="N52" s="105">
        <f t="shared" si="7"/>
        <v>1</v>
      </c>
      <c r="O52" s="105">
        <f t="shared" si="7"/>
        <v>1</v>
      </c>
    </row>
    <row r="53" spans="1:15" x14ac:dyDescent="0.25">
      <c r="B53" s="46" t="s">
        <v>177</v>
      </c>
      <c r="C53" s="105">
        <f t="shared" si="7"/>
        <v>1</v>
      </c>
      <c r="D53" s="105">
        <f t="shared" si="7"/>
        <v>1</v>
      </c>
      <c r="E53" s="105">
        <f t="shared" si="7"/>
        <v>1</v>
      </c>
      <c r="F53" s="105">
        <f t="shared" si="7"/>
        <v>1</v>
      </c>
      <c r="G53" s="105">
        <f t="shared" si="7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7"/>
        <v>1</v>
      </c>
      <c r="M53" s="105">
        <f t="shared" si="7"/>
        <v>1</v>
      </c>
      <c r="N53" s="105">
        <f t="shared" si="7"/>
        <v>1</v>
      </c>
      <c r="O53" s="105">
        <f t="shared" si="7"/>
        <v>1</v>
      </c>
    </row>
    <row r="54" spans="1:15" x14ac:dyDescent="0.25">
      <c r="B54" s="73" t="s">
        <v>178</v>
      </c>
      <c r="C54" s="105">
        <f t="shared" si="7"/>
        <v>1</v>
      </c>
      <c r="D54" s="105">
        <f t="shared" si="7"/>
        <v>1</v>
      </c>
      <c r="E54" s="105">
        <f t="shared" si="7"/>
        <v>1</v>
      </c>
      <c r="F54" s="105">
        <f t="shared" si="7"/>
        <v>1</v>
      </c>
      <c r="G54" s="105">
        <f t="shared" si="7"/>
        <v>1</v>
      </c>
      <c r="H54" s="105">
        <f t="shared" si="7"/>
        <v>1</v>
      </c>
      <c r="I54" s="105">
        <f t="shared" si="7"/>
        <v>1</v>
      </c>
      <c r="J54" s="105">
        <f t="shared" si="7"/>
        <v>1</v>
      </c>
      <c r="K54" s="105">
        <f t="shared" si="7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179</v>
      </c>
      <c r="C55" s="105">
        <f t="shared" si="7"/>
        <v>1</v>
      </c>
      <c r="D55" s="105">
        <f t="shared" si="7"/>
        <v>1</v>
      </c>
      <c r="E55" s="105">
        <f t="shared" si="7"/>
        <v>1</v>
      </c>
      <c r="F55" s="105">
        <f t="shared" si="7"/>
        <v>1</v>
      </c>
      <c r="G55" s="105">
        <f t="shared" si="7"/>
        <v>1</v>
      </c>
      <c r="H55" s="105">
        <f t="shared" si="7"/>
        <v>1</v>
      </c>
      <c r="I55" s="105">
        <f t="shared" si="7"/>
        <v>1</v>
      </c>
      <c r="J55" s="105">
        <f t="shared" si="7"/>
        <v>1</v>
      </c>
      <c r="K55" s="105">
        <f t="shared" si="7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180</v>
      </c>
      <c r="C56" s="105">
        <f t="shared" si="7"/>
        <v>1</v>
      </c>
      <c r="D56" s="105">
        <f t="shared" si="7"/>
        <v>1</v>
      </c>
      <c r="E56" s="105">
        <f t="shared" si="7"/>
        <v>1</v>
      </c>
      <c r="F56" s="105">
        <f t="shared" si="7"/>
        <v>1</v>
      </c>
      <c r="G56" s="105">
        <f t="shared" si="7"/>
        <v>1</v>
      </c>
      <c r="H56" s="105">
        <f t="shared" si="7"/>
        <v>1</v>
      </c>
      <c r="I56" s="105">
        <f t="shared" si="7"/>
        <v>1</v>
      </c>
      <c r="J56" s="105">
        <f t="shared" si="7"/>
        <v>1</v>
      </c>
      <c r="K56" s="105">
        <f t="shared" si="7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184</v>
      </c>
      <c r="C57" s="105">
        <f t="shared" si="7"/>
        <v>1</v>
      </c>
      <c r="D57" s="105">
        <f t="shared" si="7"/>
        <v>1</v>
      </c>
      <c r="E57" s="105">
        <v>0.77</v>
      </c>
      <c r="F57" s="105">
        <v>0.77</v>
      </c>
      <c r="G57" s="105">
        <f t="shared" si="7"/>
        <v>1</v>
      </c>
      <c r="H57" s="105">
        <f t="shared" si="7"/>
        <v>1</v>
      </c>
      <c r="I57" s="105">
        <f t="shared" si="7"/>
        <v>1</v>
      </c>
      <c r="J57" s="105">
        <f t="shared" si="7"/>
        <v>1</v>
      </c>
      <c r="K57" s="105">
        <f t="shared" si="7"/>
        <v>1</v>
      </c>
      <c r="L57" s="105">
        <f t="shared" si="7"/>
        <v>1</v>
      </c>
      <c r="M57" s="105">
        <f t="shared" si="7"/>
        <v>1</v>
      </c>
      <c r="N57" s="105">
        <f t="shared" si="7"/>
        <v>1</v>
      </c>
      <c r="O57" s="105">
        <f t="shared" si="7"/>
        <v>1</v>
      </c>
    </row>
    <row r="58" spans="1:15" x14ac:dyDescent="0.25">
      <c r="B58" s="46" t="s">
        <v>185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190</v>
      </c>
      <c r="C59" s="105">
        <f t="shared" ref="C59:O61" si="8">IF(C13=1,1,C13*1.05)</f>
        <v>1</v>
      </c>
      <c r="D59" s="105">
        <f t="shared" si="8"/>
        <v>1</v>
      </c>
      <c r="E59" s="105">
        <v>0.77</v>
      </c>
      <c r="F59" s="105">
        <v>0.77</v>
      </c>
      <c r="G59" s="105">
        <v>0.77</v>
      </c>
      <c r="H59" s="105">
        <f t="shared" si="8"/>
        <v>1</v>
      </c>
      <c r="I59" s="105">
        <f t="shared" si="8"/>
        <v>1</v>
      </c>
      <c r="J59" s="105">
        <f t="shared" si="8"/>
        <v>1</v>
      </c>
      <c r="K59" s="105">
        <f t="shared" si="8"/>
        <v>1</v>
      </c>
      <c r="L59" s="105">
        <f t="shared" si="8"/>
        <v>1</v>
      </c>
      <c r="M59" s="105">
        <f t="shared" si="8"/>
        <v>1</v>
      </c>
      <c r="N59" s="105">
        <f t="shared" si="8"/>
        <v>1</v>
      </c>
      <c r="O59" s="105">
        <f t="shared" si="8"/>
        <v>1</v>
      </c>
    </row>
    <row r="60" spans="1:15" x14ac:dyDescent="0.25">
      <c r="B60" s="46" t="s">
        <v>191</v>
      </c>
      <c r="C60" s="105">
        <f t="shared" si="8"/>
        <v>1</v>
      </c>
      <c r="D60" s="105">
        <f t="shared" si="8"/>
        <v>1</v>
      </c>
      <c r="E60" s="105">
        <f t="shared" si="8"/>
        <v>1</v>
      </c>
      <c r="F60" s="105">
        <f t="shared" si="8"/>
        <v>1</v>
      </c>
      <c r="G60" s="105">
        <f t="shared" si="8"/>
        <v>1</v>
      </c>
      <c r="H60" s="105">
        <f t="shared" si="8"/>
        <v>1</v>
      </c>
      <c r="I60" s="105">
        <f t="shared" si="8"/>
        <v>1</v>
      </c>
      <c r="J60" s="105">
        <f t="shared" si="8"/>
        <v>1</v>
      </c>
      <c r="K60" s="105">
        <f t="shared" si="8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204</v>
      </c>
      <c r="C61" s="105">
        <f t="shared" si="8"/>
        <v>1</v>
      </c>
      <c r="D61" s="105">
        <f t="shared" si="8"/>
        <v>1</v>
      </c>
      <c r="E61" s="105">
        <v>0.44</v>
      </c>
      <c r="F61" s="105">
        <v>0.44</v>
      </c>
      <c r="G61" s="105">
        <f t="shared" si="8"/>
        <v>1</v>
      </c>
      <c r="H61" s="105">
        <f t="shared" si="8"/>
        <v>1</v>
      </c>
      <c r="I61" s="105">
        <f t="shared" si="8"/>
        <v>1</v>
      </c>
      <c r="J61" s="105">
        <f t="shared" si="8"/>
        <v>1</v>
      </c>
      <c r="K61" s="105">
        <f t="shared" si="8"/>
        <v>1</v>
      </c>
      <c r="L61" s="105">
        <f t="shared" si="8"/>
        <v>1</v>
      </c>
      <c r="M61" s="105">
        <f t="shared" si="8"/>
        <v>1</v>
      </c>
      <c r="N61" s="105">
        <f t="shared" si="8"/>
        <v>1</v>
      </c>
      <c r="O61" s="105">
        <f t="shared" si="8"/>
        <v>1</v>
      </c>
    </row>
    <row r="63" spans="1:15" ht="13" x14ac:dyDescent="0.3">
      <c r="A63" s="30" t="s">
        <v>325</v>
      </c>
      <c r="B63" s="46"/>
    </row>
    <row r="64" spans="1:15" x14ac:dyDescent="0.25">
      <c r="B64" s="73" t="s">
        <v>171</v>
      </c>
      <c r="C64" s="105">
        <f t="shared" ref="C64:D64" si="9">IF(C18=1,1,C18*1.05)</f>
        <v>1</v>
      </c>
      <c r="D64" s="105">
        <f t="shared" si="9"/>
        <v>1</v>
      </c>
      <c r="E64" s="105">
        <v>0.97799999999999998</v>
      </c>
      <c r="F64" s="105">
        <v>0.97799999999999998</v>
      </c>
      <c r="G64" s="105">
        <v>0.97799999999999998</v>
      </c>
      <c r="H64" s="105">
        <v>0.97799999999999998</v>
      </c>
      <c r="I64" s="105">
        <v>0.97799999999999998</v>
      </c>
      <c r="J64" s="105">
        <v>0.97799999999999998</v>
      </c>
      <c r="K64" s="105">
        <v>0.97799999999999998</v>
      </c>
      <c r="L64" s="105">
        <v>0.97799999999999998</v>
      </c>
      <c r="M64" s="105">
        <v>0.97799999999999998</v>
      </c>
      <c r="N64" s="105">
        <v>0.97799999999999998</v>
      </c>
      <c r="O64" s="105">
        <v>0.97799999999999998</v>
      </c>
    </row>
    <row r="65" spans="2:15" x14ac:dyDescent="0.25">
      <c r="B65" s="73" t="s">
        <v>172</v>
      </c>
      <c r="C65" s="105">
        <f t="shared" ref="C65:D67" si="10">IF(C19=1,1,C19*1.05)</f>
        <v>1</v>
      </c>
      <c r="D65" s="105">
        <f t="shared" si="1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173</v>
      </c>
      <c r="C66" s="105">
        <f t="shared" si="10"/>
        <v>1</v>
      </c>
      <c r="D66" s="105">
        <f t="shared" si="10"/>
        <v>1</v>
      </c>
      <c r="E66" s="105">
        <v>0.97799999999999998</v>
      </c>
      <c r="F66" s="105">
        <v>0.97799999999999998</v>
      </c>
      <c r="G66" s="105">
        <v>0.97799999999999998</v>
      </c>
      <c r="H66" s="105">
        <v>0.97799999999999998</v>
      </c>
      <c r="I66" s="105">
        <v>0.97799999999999998</v>
      </c>
      <c r="J66" s="105">
        <v>0.97799999999999998</v>
      </c>
      <c r="K66" s="105">
        <v>0.97799999999999998</v>
      </c>
      <c r="L66" s="105">
        <v>0.97799999999999998</v>
      </c>
      <c r="M66" s="105">
        <v>0.97799999999999998</v>
      </c>
      <c r="N66" s="105">
        <v>0.97799999999999998</v>
      </c>
      <c r="O66" s="105">
        <v>0.97799999999999998</v>
      </c>
    </row>
    <row r="67" spans="2:15" x14ac:dyDescent="0.25">
      <c r="B67" s="73" t="s">
        <v>181</v>
      </c>
      <c r="C67" s="105">
        <f t="shared" si="10"/>
        <v>1</v>
      </c>
      <c r="D67" s="105">
        <f t="shared" si="1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HMvQoRY8irT/YBQJQOwaETYDVHOgV2/W1hr6+K7oQwFPniLw13a/vlDlLns7ZWGGbWuuGZuGyc7rzhV6fuD44g==" saltValue="qDvuWZmj8M9z1N/+RQCUw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78</v>
      </c>
      <c r="D1" s="30" t="s">
        <v>74</v>
      </c>
      <c r="E1" s="30" t="s">
        <v>77</v>
      </c>
      <c r="F1" s="30" t="s">
        <v>75</v>
      </c>
      <c r="G1" s="30" t="s">
        <v>76</v>
      </c>
    </row>
    <row r="2" spans="1:7" ht="13" x14ac:dyDescent="0.3">
      <c r="A2" s="30" t="s">
        <v>333</v>
      </c>
    </row>
    <row r="3" spans="1:7" x14ac:dyDescent="0.25">
      <c r="B3" s="46" t="s">
        <v>164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330</v>
      </c>
      <c r="B4" s="46"/>
      <c r="C4" s="98"/>
      <c r="D4" s="98"/>
      <c r="E4" s="98"/>
      <c r="F4" s="98"/>
      <c r="G4" s="98"/>
    </row>
    <row r="5" spans="1:7" x14ac:dyDescent="0.25">
      <c r="B5" s="73" t="s">
        <v>162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329</v>
      </c>
    </row>
    <row r="8" spans="1:7" ht="13" x14ac:dyDescent="0.3">
      <c r="A8" s="30"/>
      <c r="B8" s="42"/>
      <c r="C8" s="30" t="s">
        <v>78</v>
      </c>
      <c r="D8" s="30" t="s">
        <v>74</v>
      </c>
      <c r="E8" s="30" t="s">
        <v>77</v>
      </c>
      <c r="F8" s="30" t="s">
        <v>75</v>
      </c>
      <c r="G8" s="30" t="s">
        <v>76</v>
      </c>
    </row>
    <row r="9" spans="1:7" ht="13" x14ac:dyDescent="0.3">
      <c r="A9" s="30" t="s">
        <v>334</v>
      </c>
    </row>
    <row r="10" spans="1:7" x14ac:dyDescent="0.25">
      <c r="B10" s="46" t="s">
        <v>164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331</v>
      </c>
      <c r="B11" s="46"/>
      <c r="C11" s="98"/>
      <c r="D11" s="98"/>
      <c r="E11" s="98"/>
      <c r="F11" s="98"/>
      <c r="G11" s="98"/>
    </row>
    <row r="12" spans="1:7" x14ac:dyDescent="0.25">
      <c r="B12" s="73" t="s">
        <v>162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336</v>
      </c>
    </row>
    <row r="15" spans="1:7" ht="13" x14ac:dyDescent="0.3">
      <c r="A15" s="30"/>
      <c r="B15" s="42"/>
      <c r="C15" s="30" t="s">
        <v>78</v>
      </c>
      <c r="D15" s="30" t="s">
        <v>74</v>
      </c>
      <c r="E15" s="30" t="s">
        <v>77</v>
      </c>
      <c r="F15" s="30" t="s">
        <v>75</v>
      </c>
      <c r="G15" s="30" t="s">
        <v>76</v>
      </c>
    </row>
    <row r="16" spans="1:7" ht="13" x14ac:dyDescent="0.3">
      <c r="A16" s="30" t="s">
        <v>335</v>
      </c>
    </row>
    <row r="17" spans="1:7" x14ac:dyDescent="0.25">
      <c r="B17" s="46" t="s">
        <v>164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332</v>
      </c>
      <c r="B18" s="46"/>
      <c r="C18" s="98"/>
      <c r="D18" s="98"/>
      <c r="E18" s="98"/>
      <c r="F18" s="98"/>
      <c r="G18" s="98"/>
    </row>
    <row r="19" spans="1:7" x14ac:dyDescent="0.25">
      <c r="B19" s="73" t="s">
        <v>162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MmRUvG6Ug8CY7xraICDbDhxrPXkWPNQDsiGAAQfoddybPrgESaNIc6oQBZYd1wYdiIULfYk7gCytDm509d3YEA==" saltValue="n8cPfRwy+XRgwTIN5Svn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80" zoomScaleNormal="80" workbookViewId="0">
      <selection activeCell="F18" sqref="F18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163</v>
      </c>
      <c r="B1" s="30" t="s">
        <v>340</v>
      </c>
      <c r="C1" s="97" t="s">
        <v>9</v>
      </c>
      <c r="D1" s="30" t="s">
        <v>78</v>
      </c>
      <c r="E1" s="30" t="s">
        <v>74</v>
      </c>
      <c r="F1" s="30" t="s">
        <v>77</v>
      </c>
      <c r="G1" s="30" t="s">
        <v>75</v>
      </c>
      <c r="H1" s="30" t="s">
        <v>76</v>
      </c>
    </row>
    <row r="2" spans="1:8" x14ac:dyDescent="0.25">
      <c r="A2" s="40" t="s">
        <v>196</v>
      </c>
      <c r="B2" s="40" t="s">
        <v>84</v>
      </c>
      <c r="C2" s="40" t="s">
        <v>337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339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338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193</v>
      </c>
      <c r="B5" s="40" t="s">
        <v>207</v>
      </c>
      <c r="C5" s="40" t="s">
        <v>337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338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3</v>
      </c>
      <c r="C7" s="40" t="s">
        <v>337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338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184</v>
      </c>
      <c r="B9" s="40" t="s">
        <v>207</v>
      </c>
      <c r="C9" s="40" t="s">
        <v>337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338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3</v>
      </c>
      <c r="C11" s="40" t="s">
        <v>337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338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204</v>
      </c>
      <c r="B13" s="40" t="s">
        <v>207</v>
      </c>
      <c r="C13" s="40" t="s">
        <v>337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338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3</v>
      </c>
      <c r="C15" s="40" t="s">
        <v>337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338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167</v>
      </c>
      <c r="B17" s="40" t="s">
        <v>207</v>
      </c>
      <c r="C17" s="40" t="s">
        <v>337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338</v>
      </c>
      <c r="D18" s="105">
        <v>0</v>
      </c>
      <c r="E18" s="105">
        <v>0</v>
      </c>
      <c r="F18" s="105">
        <f>MIN(MAX(1-0.89/(1-frac_sam_6_11months+(frac_sam_6_11months*0.89)),0),1)</f>
        <v>0.10999999999999999</v>
      </c>
      <c r="G18" s="105">
        <f>MIN(MAX(1-0.89/(1-frac_sam_12_23months+(frac_sam_12_23months*0.89)),0),1)</f>
        <v>0.10999999999999999</v>
      </c>
      <c r="H18" s="105">
        <f>MIN(MAX(1-0.89/(1-frac_sam_24_59months+(frac_sam_24_59months*0.89)),0),1)</f>
        <v>0.10999999999999999</v>
      </c>
    </row>
    <row r="19" spans="1:8" x14ac:dyDescent="0.25">
      <c r="B19" s="40" t="s">
        <v>3</v>
      </c>
      <c r="C19" s="40" t="s">
        <v>337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338</v>
      </c>
      <c r="D20" s="105">
        <v>0</v>
      </c>
      <c r="E20" s="105">
        <v>0</v>
      </c>
      <c r="F20" s="105">
        <f>MIN(MAX(1-0.89/(1-frac_mam_6_11months+(frac_mam_6_11months*0.89)),0),1)</f>
        <v>0.10999999999999999</v>
      </c>
      <c r="G20" s="105">
        <f>MIN(MAX(1-0.89/(1-frac_mam_12_23months+(frac_mam_12_23months*0.89)),0),1)</f>
        <v>0.10999999999999999</v>
      </c>
      <c r="H20" s="105">
        <f>MIN(MAX(1-0.89/(1-frac_mam_24_59months+(frac_mam_24_59months*0.89)),0),1)</f>
        <v>0.10999999999999999</v>
      </c>
    </row>
    <row r="21" spans="1:8" x14ac:dyDescent="0.25">
      <c r="A21" s="40" t="s">
        <v>173</v>
      </c>
      <c r="B21" s="40" t="s">
        <v>92</v>
      </c>
      <c r="C21" s="40" t="s">
        <v>337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339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171</v>
      </c>
      <c r="B23" s="40" t="s">
        <v>92</v>
      </c>
      <c r="C23" s="40" t="s">
        <v>337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339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172</v>
      </c>
      <c r="B25" s="40" t="s">
        <v>92</v>
      </c>
      <c r="C25" s="40" t="s">
        <v>337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339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200</v>
      </c>
      <c r="B27" s="40" t="s">
        <v>84</v>
      </c>
      <c r="C27" s="40" t="s">
        <v>337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339</v>
      </c>
      <c r="D28" s="105">
        <v>0.3</v>
      </c>
      <c r="E28" s="105">
        <v>0.3</v>
      </c>
      <c r="F28" s="105">
        <v>0.3</v>
      </c>
      <c r="G28" s="105">
        <v>0.3</v>
      </c>
      <c r="H28" s="105">
        <v>0.3</v>
      </c>
    </row>
    <row r="29" spans="1:8" x14ac:dyDescent="0.25">
      <c r="C29" s="40" t="s">
        <v>338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201</v>
      </c>
      <c r="B30" s="40" t="s">
        <v>84</v>
      </c>
      <c r="C30" s="40" t="s">
        <v>337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339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338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199</v>
      </c>
      <c r="B33" s="40" t="s">
        <v>84</v>
      </c>
      <c r="C33" s="40" t="s">
        <v>337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339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338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198</v>
      </c>
      <c r="B36" s="40" t="s">
        <v>84</v>
      </c>
      <c r="C36" s="40" t="s">
        <v>337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339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338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197</v>
      </c>
      <c r="B39" s="40" t="s">
        <v>84</v>
      </c>
      <c r="C39" s="40" t="s">
        <v>337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339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338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203</v>
      </c>
      <c r="B42" s="40" t="s">
        <v>84</v>
      </c>
      <c r="C42" s="40" t="s">
        <v>337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339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338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102</v>
      </c>
      <c r="C45" s="40" t="s">
        <v>337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339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338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192</v>
      </c>
      <c r="B48" s="40" t="s">
        <v>84</v>
      </c>
      <c r="C48" s="40" t="s">
        <v>337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339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202</v>
      </c>
      <c r="B50" s="40" t="s">
        <v>84</v>
      </c>
      <c r="C50" s="40" t="s">
        <v>337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339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182</v>
      </c>
      <c r="B52" s="40" t="s">
        <v>96</v>
      </c>
      <c r="C52" s="40" t="s">
        <v>337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339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329</v>
      </c>
      <c r="B55" s="112"/>
      <c r="C55" s="112"/>
    </row>
    <row r="56" spans="1:8" ht="13" x14ac:dyDescent="0.3">
      <c r="A56" s="30" t="s">
        <v>163</v>
      </c>
      <c r="B56" s="30" t="s">
        <v>340</v>
      </c>
      <c r="C56" s="97" t="s">
        <v>9</v>
      </c>
      <c r="D56" s="30" t="s">
        <v>78</v>
      </c>
      <c r="E56" s="30" t="s">
        <v>74</v>
      </c>
      <c r="F56" s="30" t="s">
        <v>77</v>
      </c>
      <c r="G56" s="30" t="s">
        <v>75</v>
      </c>
      <c r="H56" s="30" t="s">
        <v>76</v>
      </c>
    </row>
    <row r="57" spans="1:8" x14ac:dyDescent="0.25">
      <c r="A57" s="40" t="s">
        <v>196</v>
      </c>
      <c r="B57" s="40" t="s">
        <v>84</v>
      </c>
      <c r="C57" s="40" t="s">
        <v>337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339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338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193</v>
      </c>
      <c r="B60" s="40" t="s">
        <v>207</v>
      </c>
      <c r="C60" s="40" t="s">
        <v>337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338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3</v>
      </c>
      <c r="C62" s="40" t="s">
        <v>337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338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184</v>
      </c>
      <c r="B64" s="40" t="s">
        <v>207</v>
      </c>
      <c r="C64" s="40" t="s">
        <v>337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338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3</v>
      </c>
      <c r="C66" s="40" t="s">
        <v>337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338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204</v>
      </c>
      <c r="B68" s="40" t="s">
        <v>207</v>
      </c>
      <c r="C68" s="40" t="s">
        <v>337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338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3</v>
      </c>
      <c r="C70" s="40" t="s">
        <v>337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338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167</v>
      </c>
      <c r="B72" s="40" t="s">
        <v>207</v>
      </c>
      <c r="C72" s="40" t="s">
        <v>337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338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f>MIN(MAX(1-0.99/(1-frac_sam_6_11months+(frac_sam_6_11months*0.99)),0),1)</f>
        <v>1.0000000000000009E-2</v>
      </c>
      <c r="G73" s="105">
        <f>MIN(MAX(1-0.99/(1-frac_sam_12_23months+(frac_sam_12_23months*0.99)),0),1)</f>
        <v>1.0000000000000009E-2</v>
      </c>
      <c r="H73" s="105">
        <f>MIN(MAX(1-0.99/(1-frac_sam_24_59months+(frac_sam_24_59months*0.99)),0),1)</f>
        <v>1.0000000000000009E-2</v>
      </c>
    </row>
    <row r="74" spans="1:8" x14ac:dyDescent="0.25">
      <c r="B74" s="40" t="s">
        <v>3</v>
      </c>
      <c r="C74" s="40" t="s">
        <v>337</v>
      </c>
      <c r="D74" s="105">
        <f t="shared" ref="D74:E74" si="8">IF($C19="Affected fraction",D19,IF(D19=1,1,D19*0.9))</f>
        <v>0</v>
      </c>
      <c r="E74" s="105">
        <f t="shared" si="8"/>
        <v>0</v>
      </c>
      <c r="F74" s="105">
        <v>1</v>
      </c>
      <c r="G74" s="105">
        <v>1</v>
      </c>
      <c r="H74" s="105">
        <v>1</v>
      </c>
    </row>
    <row r="75" spans="1:8" x14ac:dyDescent="0.25">
      <c r="C75" s="40" t="s">
        <v>338</v>
      </c>
      <c r="D75" s="105">
        <f t="shared" ref="D75:E75" si="9">IF($C20="Affected fraction",D20,IF(D20=1,1,D20*0.9))</f>
        <v>0</v>
      </c>
      <c r="E75" s="105">
        <f t="shared" si="9"/>
        <v>0</v>
      </c>
      <c r="F75" s="105">
        <f>MIN(MAX(1-0.99/(1-frac_mam_6_11months+(frac_mam_6_11months*0.99)),0),1)</f>
        <v>1.0000000000000009E-2</v>
      </c>
      <c r="G75" s="105">
        <f>MIN(MAX(1-0.99/(1-frac_mam_12_23months+(frac_mam_12_23months*0.99)),0),1)</f>
        <v>1.0000000000000009E-2</v>
      </c>
      <c r="H75" s="105">
        <f>MIN(MAX(1-0.99/(1-frac_mam_24_59months+(frac_mam_24_59months*0.99)),0),1)</f>
        <v>1.0000000000000009E-2</v>
      </c>
    </row>
    <row r="76" spans="1:8" x14ac:dyDescent="0.25">
      <c r="A76" s="40" t="s">
        <v>173</v>
      </c>
      <c r="B76" s="40" t="s">
        <v>92</v>
      </c>
      <c r="C76" s="40" t="s">
        <v>337</v>
      </c>
      <c r="D76" s="105">
        <f t="shared" ref="D76:H76" si="10">IF($C21="Affected fraction",D21,IF(D21=1,1,D21*0.9))</f>
        <v>1</v>
      </c>
      <c r="E76" s="105">
        <f t="shared" si="10"/>
        <v>0</v>
      </c>
      <c r="F76" s="105">
        <f t="shared" si="10"/>
        <v>0</v>
      </c>
      <c r="G76" s="105">
        <f t="shared" si="10"/>
        <v>0</v>
      </c>
      <c r="H76" s="105">
        <f t="shared" si="10"/>
        <v>0</v>
      </c>
    </row>
    <row r="77" spans="1:8" x14ac:dyDescent="0.25">
      <c r="C77" s="40" t="s">
        <v>339</v>
      </c>
      <c r="D77" s="105">
        <v>0.11</v>
      </c>
      <c r="E77" s="105">
        <f t="shared" ref="E77:H77" si="11">IF($C22="Affected fraction",E22,IF(E22=1,1,E22*0.9))</f>
        <v>0</v>
      </c>
      <c r="F77" s="105">
        <f t="shared" si="11"/>
        <v>0</v>
      </c>
      <c r="G77" s="105">
        <f t="shared" si="11"/>
        <v>0</v>
      </c>
      <c r="H77" s="105">
        <f t="shared" si="11"/>
        <v>0</v>
      </c>
    </row>
    <row r="78" spans="1:8" x14ac:dyDescent="0.25">
      <c r="A78" s="40" t="s">
        <v>171</v>
      </c>
      <c r="B78" s="40" t="s">
        <v>92</v>
      </c>
      <c r="C78" s="40" t="s">
        <v>337</v>
      </c>
      <c r="D78" s="105">
        <f t="shared" ref="D78:H78" si="12">IF($C23="Affected fraction",D23,IF(D23=1,1,D23*0.9))</f>
        <v>1</v>
      </c>
      <c r="E78" s="105">
        <f t="shared" si="12"/>
        <v>0</v>
      </c>
      <c r="F78" s="105">
        <f t="shared" si="12"/>
        <v>0</v>
      </c>
      <c r="G78" s="105">
        <f t="shared" si="12"/>
        <v>0</v>
      </c>
      <c r="H78" s="105">
        <f t="shared" si="12"/>
        <v>0</v>
      </c>
    </row>
    <row r="79" spans="1:8" x14ac:dyDescent="0.25">
      <c r="C79" s="40" t="s">
        <v>339</v>
      </c>
      <c r="D79" s="105">
        <v>0.11</v>
      </c>
      <c r="E79" s="105">
        <f t="shared" ref="E79:H79" si="13">IF($C24="Affected fraction",E24,IF(E24=1,1,E24*0.9))</f>
        <v>0</v>
      </c>
      <c r="F79" s="105">
        <f t="shared" si="13"/>
        <v>0</v>
      </c>
      <c r="G79" s="105">
        <f t="shared" si="13"/>
        <v>0</v>
      </c>
      <c r="H79" s="105">
        <f t="shared" si="13"/>
        <v>0</v>
      </c>
    </row>
    <row r="80" spans="1:8" x14ac:dyDescent="0.25">
      <c r="A80" s="40" t="s">
        <v>172</v>
      </c>
      <c r="B80" s="40" t="s">
        <v>92</v>
      </c>
      <c r="C80" s="40" t="s">
        <v>337</v>
      </c>
      <c r="D80" s="105">
        <f t="shared" ref="D80:H80" si="14">IF($C25="Affected fraction",D25,IF(D25=1,1,D25*0.9))</f>
        <v>1</v>
      </c>
      <c r="E80" s="105">
        <f t="shared" si="14"/>
        <v>0</v>
      </c>
      <c r="F80" s="105">
        <f t="shared" si="14"/>
        <v>0</v>
      </c>
      <c r="G80" s="105">
        <f t="shared" si="14"/>
        <v>0</v>
      </c>
      <c r="H80" s="105">
        <f t="shared" si="14"/>
        <v>0</v>
      </c>
    </row>
    <row r="81" spans="1:8" x14ac:dyDescent="0.25">
      <c r="C81" s="40" t="s">
        <v>339</v>
      </c>
      <c r="D81" s="105">
        <v>0.11</v>
      </c>
      <c r="E81" s="105">
        <f t="shared" ref="E81:H81" si="15">IF($C26="Affected fraction",E26,IF(E26=1,1,E26*0.9))</f>
        <v>0</v>
      </c>
      <c r="F81" s="105">
        <f t="shared" si="15"/>
        <v>0</v>
      </c>
      <c r="G81" s="105">
        <f t="shared" si="15"/>
        <v>0</v>
      </c>
      <c r="H81" s="105">
        <f t="shared" si="15"/>
        <v>0</v>
      </c>
    </row>
    <row r="82" spans="1:8" x14ac:dyDescent="0.25">
      <c r="A82" s="40" t="s">
        <v>200</v>
      </c>
      <c r="B82" s="40" t="s">
        <v>84</v>
      </c>
      <c r="C82" s="40" t="s">
        <v>337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339</v>
      </c>
      <c r="D83" s="105">
        <v>7.0000000000000007E-2</v>
      </c>
      <c r="E83" s="105">
        <v>7.0000000000000007E-2</v>
      </c>
      <c r="F83" s="105">
        <v>7.0000000000000007E-2</v>
      </c>
      <c r="G83" s="105">
        <v>7.0000000000000007E-2</v>
      </c>
      <c r="H83" s="105">
        <v>7.0000000000000007E-2</v>
      </c>
    </row>
    <row r="84" spans="1:8" x14ac:dyDescent="0.25">
      <c r="C84" s="40" t="s">
        <v>338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201</v>
      </c>
      <c r="B85" s="40" t="s">
        <v>84</v>
      </c>
      <c r="C85" s="40" t="s">
        <v>337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339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338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199</v>
      </c>
      <c r="B88" s="40" t="s">
        <v>84</v>
      </c>
      <c r="C88" s="40" t="s">
        <v>337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339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338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198</v>
      </c>
      <c r="B91" s="40" t="s">
        <v>84</v>
      </c>
      <c r="C91" s="40" t="s">
        <v>337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339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338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197</v>
      </c>
      <c r="B94" s="40" t="s">
        <v>84</v>
      </c>
      <c r="C94" s="40" t="s">
        <v>337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339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338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203</v>
      </c>
      <c r="B97" s="40" t="s">
        <v>84</v>
      </c>
      <c r="C97" s="40" t="s">
        <v>337</v>
      </c>
      <c r="D97" s="105">
        <f t="shared" ref="D97:H97" si="16">IF($C42="Affected fraction",D42,IF(D42=1,1,D42*0.9))</f>
        <v>0</v>
      </c>
      <c r="E97" s="105">
        <f t="shared" si="16"/>
        <v>1</v>
      </c>
      <c r="F97" s="105">
        <f t="shared" si="16"/>
        <v>1</v>
      </c>
      <c r="G97" s="105">
        <f t="shared" si="16"/>
        <v>1</v>
      </c>
      <c r="H97" s="105">
        <f t="shared" si="16"/>
        <v>1</v>
      </c>
    </row>
    <row r="98" spans="1:8" x14ac:dyDescent="0.25">
      <c r="C98" s="40" t="s">
        <v>339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338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102</v>
      </c>
      <c r="C100" s="40" t="s">
        <v>337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339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338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192</v>
      </c>
      <c r="B103" s="40" t="s">
        <v>84</v>
      </c>
      <c r="C103" s="40" t="s">
        <v>337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339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202</v>
      </c>
      <c r="B105" s="40" t="s">
        <v>84</v>
      </c>
      <c r="C105" s="40" t="s">
        <v>337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339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182</v>
      </c>
      <c r="B107" s="40" t="s">
        <v>96</v>
      </c>
      <c r="C107" s="40" t="s">
        <v>337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339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336</v>
      </c>
      <c r="B110" s="112"/>
      <c r="C110" s="112"/>
    </row>
    <row r="111" spans="1:8" ht="13" x14ac:dyDescent="0.3">
      <c r="A111" s="30" t="s">
        <v>163</v>
      </c>
      <c r="B111" s="30" t="s">
        <v>340</v>
      </c>
      <c r="C111" s="97" t="s">
        <v>9</v>
      </c>
      <c r="D111" s="30" t="s">
        <v>78</v>
      </c>
      <c r="E111" s="30" t="s">
        <v>74</v>
      </c>
      <c r="F111" s="30" t="s">
        <v>77</v>
      </c>
      <c r="G111" s="30" t="s">
        <v>75</v>
      </c>
      <c r="H111" s="30" t="s">
        <v>76</v>
      </c>
    </row>
    <row r="112" spans="1:8" x14ac:dyDescent="0.25">
      <c r="A112" s="40" t="s">
        <v>196</v>
      </c>
      <c r="B112" s="40" t="s">
        <v>84</v>
      </c>
      <c r="C112" s="40" t="s">
        <v>337</v>
      </c>
      <c r="D112" s="105">
        <f>IF($C2="Affected fraction",D2,IF(D2=1,1,D2*1.05))</f>
        <v>0</v>
      </c>
      <c r="E112" s="105">
        <f t="shared" ref="E112" si="17">IF($C2="Affected fraction",E2,IF(E2=1,1,E2*1.05))</f>
        <v>0</v>
      </c>
      <c r="F112" s="105">
        <f t="shared" ref="F112:H112" si="18">IF($C57="Affected fraction",F57,IF(F57=1,1,F57*0.9))</f>
        <v>1</v>
      </c>
      <c r="G112" s="105">
        <f t="shared" si="18"/>
        <v>1</v>
      </c>
      <c r="H112" s="105">
        <f t="shared" si="18"/>
        <v>1</v>
      </c>
    </row>
    <row r="113" spans="1:8" x14ac:dyDescent="0.25">
      <c r="C113" s="40" t="s">
        <v>339</v>
      </c>
      <c r="D113" s="105">
        <f t="shared" ref="D113:E113" si="19">IF($C3="Affected fraction",D3,IF(D3=1,1,D3*1.05))</f>
        <v>0</v>
      </c>
      <c r="E113" s="105">
        <f t="shared" si="19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338</v>
      </c>
      <c r="D114" s="105">
        <f t="shared" ref="D114:E114" si="20">IF($C4="Affected fraction",D4,IF(D4=1,1,D4*1.05))</f>
        <v>0</v>
      </c>
      <c r="E114" s="105">
        <f t="shared" si="20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193</v>
      </c>
      <c r="B115" s="40" t="s">
        <v>207</v>
      </c>
      <c r="C115" s="40" t="s">
        <v>337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338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3</v>
      </c>
      <c r="C117" s="40" t="s">
        <v>337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338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184</v>
      </c>
      <c r="B119" s="40" t="s">
        <v>207</v>
      </c>
      <c r="C119" s="40" t="s">
        <v>337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338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3</v>
      </c>
      <c r="C121" s="40" t="s">
        <v>337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338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204</v>
      </c>
      <c r="B123" s="40" t="s">
        <v>207</v>
      </c>
      <c r="C123" s="40" t="s">
        <v>337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338</v>
      </c>
      <c r="D124" s="105">
        <f t="shared" ref="D124:H124" si="21">IF($C14="Affected fraction",D14,IF(D14=1,1,D14*1.05))</f>
        <v>0</v>
      </c>
      <c r="E124" s="105">
        <f t="shared" si="21"/>
        <v>0</v>
      </c>
      <c r="F124" s="105">
        <v>0.45</v>
      </c>
      <c r="G124" s="105">
        <v>0.45</v>
      </c>
      <c r="H124" s="105">
        <f t="shared" si="21"/>
        <v>0</v>
      </c>
    </row>
    <row r="125" spans="1:8" x14ac:dyDescent="0.25">
      <c r="B125" s="40" t="s">
        <v>3</v>
      </c>
      <c r="C125" s="40" t="s">
        <v>337</v>
      </c>
      <c r="D125" s="105">
        <f t="shared" ref="D125:H125" si="22">IF($C15="Affected fraction",D15,IF(D15=1,1,D15*1.05))</f>
        <v>0</v>
      </c>
      <c r="E125" s="105">
        <f t="shared" si="22"/>
        <v>0</v>
      </c>
      <c r="F125" s="105">
        <f t="shared" si="22"/>
        <v>1</v>
      </c>
      <c r="G125" s="105">
        <f t="shared" si="22"/>
        <v>1</v>
      </c>
      <c r="H125" s="105">
        <f t="shared" si="22"/>
        <v>0</v>
      </c>
    </row>
    <row r="126" spans="1:8" x14ac:dyDescent="0.25">
      <c r="C126" s="40" t="s">
        <v>338</v>
      </c>
      <c r="D126" s="105">
        <f t="shared" ref="D126:H126" si="23">IF($C16="Affected fraction",D16,IF(D16=1,1,D16*1.05))</f>
        <v>0</v>
      </c>
      <c r="E126" s="105">
        <f t="shared" si="23"/>
        <v>0</v>
      </c>
      <c r="F126" s="105">
        <v>0.2</v>
      </c>
      <c r="G126" s="105">
        <v>0.2</v>
      </c>
      <c r="H126" s="105">
        <f t="shared" si="23"/>
        <v>0</v>
      </c>
    </row>
    <row r="127" spans="1:8" x14ac:dyDescent="0.25">
      <c r="A127" s="40" t="s">
        <v>167</v>
      </c>
      <c r="B127" s="40" t="s">
        <v>207</v>
      </c>
      <c r="C127" s="40" t="s">
        <v>337</v>
      </c>
      <c r="D127" s="105">
        <f t="shared" ref="D127:H127" si="24">IF($C17="Affected fraction",D17,IF(D17=1,1,D17*1.05))</f>
        <v>0</v>
      </c>
      <c r="E127" s="105">
        <f t="shared" si="24"/>
        <v>0</v>
      </c>
      <c r="F127" s="105">
        <f t="shared" si="24"/>
        <v>1</v>
      </c>
      <c r="G127" s="105">
        <f t="shared" si="24"/>
        <v>1</v>
      </c>
      <c r="H127" s="105">
        <f t="shared" si="24"/>
        <v>1</v>
      </c>
    </row>
    <row r="128" spans="1:8" x14ac:dyDescent="0.25">
      <c r="C128" s="40" t="s">
        <v>338</v>
      </c>
      <c r="D128" s="105">
        <f t="shared" ref="D128:E128" si="25">IF($C18="Affected fraction",D18,IF(D18=1,1,D18*1.05))</f>
        <v>0</v>
      </c>
      <c r="E128" s="105">
        <f t="shared" si="25"/>
        <v>0</v>
      </c>
      <c r="F128" s="105">
        <f>MIN(MAX(1-0.8/(1-frac_sam_6_11months+(frac_sam_6_11months*0.8)),0),1)</f>
        <v>0.19999999999999996</v>
      </c>
      <c r="G128" s="105">
        <f>MIN(MAX(1-0.8/(1-frac_sam_12_23months+(frac_sam_12_23months*0.8)),0),1)</f>
        <v>0.19999999999999996</v>
      </c>
      <c r="H128" s="105">
        <f>MIN(MAX(1-0.8/(1-frac_sam_24_59months+(frac_sam_24_59months*0.8)),0),1)</f>
        <v>0.19999999999999996</v>
      </c>
    </row>
    <row r="129" spans="1:8" x14ac:dyDescent="0.25">
      <c r="B129" s="40" t="s">
        <v>3</v>
      </c>
      <c r="C129" s="40" t="s">
        <v>337</v>
      </c>
      <c r="D129" s="105">
        <f t="shared" ref="D129:E129" si="26">IF($C19="Affected fraction",D19,IF(D19=1,1,D19*1.05))</f>
        <v>0</v>
      </c>
      <c r="E129" s="105">
        <f t="shared" si="26"/>
        <v>0</v>
      </c>
      <c r="F129" s="105">
        <v>1</v>
      </c>
      <c r="G129" s="105">
        <v>1</v>
      </c>
      <c r="H129" s="105">
        <v>1</v>
      </c>
    </row>
    <row r="130" spans="1:8" x14ac:dyDescent="0.25">
      <c r="C130" s="40" t="s">
        <v>338</v>
      </c>
      <c r="D130" s="105">
        <f t="shared" ref="D130:E130" si="27">IF($C20="Affected fraction",D20,IF(D20=1,1,D20*1.05))</f>
        <v>0</v>
      </c>
      <c r="E130" s="105">
        <f t="shared" si="27"/>
        <v>0</v>
      </c>
      <c r="F130" s="105">
        <f>MIN(MAX(1-0.8/(1-frac_mam_6_11months+(frac_mam_6_11months*0.8)),0),1)</f>
        <v>0.19999999999999996</v>
      </c>
      <c r="G130" s="105">
        <f>MIN(MAX(1-0.8/(1-frac_mam_12_23months+(frac_mam_12_23months*0.8)),0),1)</f>
        <v>0.19999999999999996</v>
      </c>
      <c r="H130" s="105">
        <f>MIN(MAX(1-0.8/(1-frac_mam_24_59months+(frac_mam_24_59months*0.8)),0),1)</f>
        <v>0.19999999999999996</v>
      </c>
    </row>
    <row r="131" spans="1:8" x14ac:dyDescent="0.25">
      <c r="A131" s="40" t="s">
        <v>173</v>
      </c>
      <c r="B131" s="40" t="s">
        <v>92</v>
      </c>
      <c r="C131" s="40" t="s">
        <v>337</v>
      </c>
      <c r="D131" s="105">
        <f t="shared" ref="D131" si="28">IF($C76="Affected fraction",D76,IF(D76=1,1,D76*0.9))</f>
        <v>1</v>
      </c>
      <c r="E131" s="105">
        <f t="shared" ref="E131:H131" si="29">IF($C21="Affected fraction",E21,IF(E21=1,1,E21*1.05))</f>
        <v>0</v>
      </c>
      <c r="F131" s="105">
        <f t="shared" si="29"/>
        <v>0</v>
      </c>
      <c r="G131" s="105">
        <f t="shared" si="29"/>
        <v>0</v>
      </c>
      <c r="H131" s="105">
        <f t="shared" si="29"/>
        <v>0</v>
      </c>
    </row>
    <row r="132" spans="1:8" x14ac:dyDescent="0.25">
      <c r="C132" s="40" t="s">
        <v>339</v>
      </c>
      <c r="D132" s="105">
        <v>0.16</v>
      </c>
      <c r="E132" s="105">
        <f t="shared" ref="E132:H132" si="30">IF($C22="Affected fraction",E22,IF(E22=1,1,E22*1.05))</f>
        <v>0</v>
      </c>
      <c r="F132" s="105">
        <f t="shared" si="30"/>
        <v>0</v>
      </c>
      <c r="G132" s="105">
        <f t="shared" si="30"/>
        <v>0</v>
      </c>
      <c r="H132" s="105">
        <f t="shared" si="30"/>
        <v>0</v>
      </c>
    </row>
    <row r="133" spans="1:8" x14ac:dyDescent="0.25">
      <c r="A133" s="40" t="s">
        <v>171</v>
      </c>
      <c r="B133" s="40" t="s">
        <v>92</v>
      </c>
      <c r="C133" s="40" t="s">
        <v>337</v>
      </c>
      <c r="D133" s="105">
        <f t="shared" ref="D133" si="31">IF($C78="Affected fraction",D78,IF(D78=1,1,D78*0.9))</f>
        <v>1</v>
      </c>
      <c r="E133" s="105">
        <f t="shared" ref="E133:H133" si="32">IF($C23="Affected fraction",E23,IF(E23=1,1,E23*1.05))</f>
        <v>0</v>
      </c>
      <c r="F133" s="105">
        <f t="shared" si="32"/>
        <v>0</v>
      </c>
      <c r="G133" s="105">
        <f t="shared" si="32"/>
        <v>0</v>
      </c>
      <c r="H133" s="105">
        <f t="shared" si="32"/>
        <v>0</v>
      </c>
    </row>
    <row r="134" spans="1:8" x14ac:dyDescent="0.25">
      <c r="C134" s="40" t="s">
        <v>339</v>
      </c>
      <c r="D134" s="105">
        <v>0.16</v>
      </c>
      <c r="E134" s="105">
        <f t="shared" ref="E134:H134" si="33">IF($C24="Affected fraction",E24,IF(E24=1,1,E24*1.05))</f>
        <v>0</v>
      </c>
      <c r="F134" s="105">
        <f t="shared" si="33"/>
        <v>0</v>
      </c>
      <c r="G134" s="105">
        <f t="shared" si="33"/>
        <v>0</v>
      </c>
      <c r="H134" s="105">
        <f t="shared" si="33"/>
        <v>0</v>
      </c>
    </row>
    <row r="135" spans="1:8" x14ac:dyDescent="0.25">
      <c r="A135" s="40" t="s">
        <v>172</v>
      </c>
      <c r="B135" s="40" t="s">
        <v>92</v>
      </c>
      <c r="C135" s="40" t="s">
        <v>337</v>
      </c>
      <c r="D135" s="105">
        <f t="shared" ref="D135" si="34">IF($C80="Affected fraction",D80,IF(D80=1,1,D80*0.9))</f>
        <v>1</v>
      </c>
      <c r="E135" s="105">
        <f t="shared" ref="E135:H135" si="35">IF($C25="Affected fraction",E25,IF(E25=1,1,E25*1.05))</f>
        <v>0</v>
      </c>
      <c r="F135" s="105">
        <f t="shared" si="35"/>
        <v>0</v>
      </c>
      <c r="G135" s="105">
        <f t="shared" si="35"/>
        <v>0</v>
      </c>
      <c r="H135" s="105">
        <f t="shared" si="35"/>
        <v>0</v>
      </c>
    </row>
    <row r="136" spans="1:8" x14ac:dyDescent="0.25">
      <c r="C136" s="40" t="s">
        <v>339</v>
      </c>
      <c r="D136" s="105">
        <v>0.16</v>
      </c>
      <c r="E136" s="105">
        <f t="shared" ref="E136:H136" si="36">IF($C26="Affected fraction",E26,IF(E26=1,1,E26*1.05))</f>
        <v>0</v>
      </c>
      <c r="F136" s="105">
        <f t="shared" si="36"/>
        <v>0</v>
      </c>
      <c r="G136" s="105">
        <f t="shared" si="36"/>
        <v>0</v>
      </c>
      <c r="H136" s="105">
        <f t="shared" si="36"/>
        <v>0</v>
      </c>
    </row>
    <row r="137" spans="1:8" x14ac:dyDescent="0.25">
      <c r="A137" s="40" t="s">
        <v>200</v>
      </c>
      <c r="B137" s="40" t="s">
        <v>84</v>
      </c>
      <c r="C137" s="40" t="s">
        <v>337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339</v>
      </c>
      <c r="D138" s="105">
        <v>0.51</v>
      </c>
      <c r="E138" s="105">
        <v>0.51</v>
      </c>
      <c r="F138" s="105">
        <v>0.51</v>
      </c>
      <c r="G138" s="105">
        <v>0.51</v>
      </c>
      <c r="H138" s="105">
        <v>0.51</v>
      </c>
    </row>
    <row r="139" spans="1:8" x14ac:dyDescent="0.25">
      <c r="C139" s="40" t="s">
        <v>338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201</v>
      </c>
      <c r="B140" s="40" t="s">
        <v>84</v>
      </c>
      <c r="C140" s="40" t="s">
        <v>337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339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338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199</v>
      </c>
      <c r="B143" s="40" t="s">
        <v>84</v>
      </c>
      <c r="C143" s="40" t="s">
        <v>337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339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338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198</v>
      </c>
      <c r="B146" s="40" t="s">
        <v>84</v>
      </c>
      <c r="C146" s="40" t="s">
        <v>337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339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338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197</v>
      </c>
      <c r="B149" s="40" t="s">
        <v>84</v>
      </c>
      <c r="C149" s="40" t="s">
        <v>337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339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338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203</v>
      </c>
      <c r="B152" s="40" t="s">
        <v>84</v>
      </c>
      <c r="C152" s="40" t="s">
        <v>337</v>
      </c>
      <c r="D152" s="105">
        <f t="shared" ref="D152:H152" si="37">IF($C97="Affected fraction",D97,IF(D97=1,1,D97*0.9))</f>
        <v>0</v>
      </c>
      <c r="E152" s="105">
        <f t="shared" si="37"/>
        <v>1</v>
      </c>
      <c r="F152" s="105">
        <f t="shared" si="37"/>
        <v>1</v>
      </c>
      <c r="G152" s="105">
        <f t="shared" si="37"/>
        <v>1</v>
      </c>
      <c r="H152" s="105">
        <f t="shared" si="37"/>
        <v>1</v>
      </c>
    </row>
    <row r="153" spans="1:8" x14ac:dyDescent="0.25">
      <c r="C153" s="40" t="s">
        <v>339</v>
      </c>
      <c r="D153" s="105">
        <f t="shared" ref="D153:H153" si="38">IF($C98="Affected fraction",D98,IF(D98=1,1,D98*0.9))</f>
        <v>0</v>
      </c>
      <c r="E153" s="105">
        <f t="shared" si="38"/>
        <v>0</v>
      </c>
      <c r="F153" s="105">
        <f t="shared" si="38"/>
        <v>0</v>
      </c>
      <c r="G153" s="105">
        <f t="shared" si="38"/>
        <v>0</v>
      </c>
      <c r="H153" s="105">
        <f t="shared" si="38"/>
        <v>0</v>
      </c>
    </row>
    <row r="154" spans="1:8" x14ac:dyDescent="0.25">
      <c r="C154" s="40" t="s">
        <v>338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102</v>
      </c>
      <c r="C155" s="40" t="s">
        <v>337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339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338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192</v>
      </c>
      <c r="B158" s="40" t="s">
        <v>84</v>
      </c>
      <c r="C158" s="40" t="s">
        <v>337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339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202</v>
      </c>
      <c r="B160" s="40" t="s">
        <v>84</v>
      </c>
      <c r="C160" s="40" t="s">
        <v>337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339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182</v>
      </c>
      <c r="B162" s="40" t="s">
        <v>96</v>
      </c>
      <c r="C162" s="40" t="s">
        <v>337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339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J1PGou2iN46sQ4W0ZYlLoAtJgO4G9XuIKlmWedNyg+PEyHA57cNXORiS8TO0D72Wr39rk60HB11nZUlYCA7XLw==" saltValue="WIj+S8HsASAx8TRivZwMqA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E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163</v>
      </c>
      <c r="B1" s="42" t="s">
        <v>340</v>
      </c>
      <c r="C1" s="42"/>
      <c r="D1" s="30" t="s">
        <v>113</v>
      </c>
      <c r="E1" s="30" t="s">
        <v>114</v>
      </c>
      <c r="F1" s="30" t="s">
        <v>115</v>
      </c>
      <c r="G1" s="30" t="s">
        <v>116</v>
      </c>
      <c r="H1" s="30"/>
    </row>
    <row r="2" spans="1:8" x14ac:dyDescent="0.25">
      <c r="A2" s="32" t="s">
        <v>166</v>
      </c>
      <c r="B2" s="28" t="s">
        <v>86</v>
      </c>
      <c r="C2" s="32" t="s">
        <v>337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339</v>
      </c>
      <c r="D3" s="105">
        <v>0</v>
      </c>
      <c r="E3" s="105">
        <v>0</v>
      </c>
      <c r="F3" s="105">
        <v>0</v>
      </c>
      <c r="G3" s="105">
        <v>0</v>
      </c>
      <c r="H3" s="32"/>
    </row>
    <row r="4" spans="1:8" x14ac:dyDescent="0.25">
      <c r="A4" s="32" t="s">
        <v>189</v>
      </c>
      <c r="B4" s="28" t="s">
        <v>86</v>
      </c>
      <c r="C4" s="32" t="s">
        <v>337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339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188</v>
      </c>
      <c r="B6" s="28" t="s">
        <v>86</v>
      </c>
      <c r="C6" s="32" t="s">
        <v>337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339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329</v>
      </c>
    </row>
    <row r="10" spans="1:8" ht="13" x14ac:dyDescent="0.3">
      <c r="A10" s="42" t="s">
        <v>163</v>
      </c>
      <c r="B10" s="42" t="s">
        <v>340</v>
      </c>
      <c r="C10" s="42"/>
      <c r="D10" s="30" t="s">
        <v>113</v>
      </c>
      <c r="E10" s="30" t="s">
        <v>114</v>
      </c>
      <c r="F10" s="30" t="s">
        <v>115</v>
      </c>
      <c r="G10" s="30" t="s">
        <v>116</v>
      </c>
    </row>
    <row r="11" spans="1:8" x14ac:dyDescent="0.25">
      <c r="A11" s="32" t="s">
        <v>166</v>
      </c>
      <c r="B11" s="28" t="s">
        <v>86</v>
      </c>
      <c r="C11" s="32" t="s">
        <v>337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339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189</v>
      </c>
      <c r="B13" s="28" t="s">
        <v>86</v>
      </c>
      <c r="C13" s="32" t="s">
        <v>337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339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188</v>
      </c>
      <c r="B15" s="28" t="s">
        <v>86</v>
      </c>
      <c r="C15" s="32" t="s">
        <v>337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339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336</v>
      </c>
    </row>
    <row r="19" spans="1:7" ht="13" x14ac:dyDescent="0.3">
      <c r="A19" s="42" t="s">
        <v>163</v>
      </c>
      <c r="B19" s="42" t="s">
        <v>340</v>
      </c>
      <c r="C19" s="42"/>
      <c r="D19" s="30" t="s">
        <v>113</v>
      </c>
      <c r="E19" s="30" t="s">
        <v>114</v>
      </c>
      <c r="F19" s="30" t="s">
        <v>115</v>
      </c>
      <c r="G19" s="30" t="s">
        <v>116</v>
      </c>
    </row>
    <row r="20" spans="1:7" x14ac:dyDescent="0.25">
      <c r="A20" s="32" t="s">
        <v>166</v>
      </c>
      <c r="B20" s="28" t="s">
        <v>86</v>
      </c>
      <c r="C20" s="32" t="s">
        <v>337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339</v>
      </c>
      <c r="D21" s="105">
        <v>0</v>
      </c>
      <c r="E21" s="105">
        <v>0</v>
      </c>
      <c r="F21" s="105">
        <v>0</v>
      </c>
      <c r="G21" s="105">
        <v>0</v>
      </c>
    </row>
    <row r="22" spans="1:7" x14ac:dyDescent="0.25">
      <c r="A22" s="32" t="s">
        <v>189</v>
      </c>
      <c r="B22" s="28" t="s">
        <v>86</v>
      </c>
      <c r="C22" s="32" t="s">
        <v>337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339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188</v>
      </c>
      <c r="B24" s="28" t="s">
        <v>86</v>
      </c>
      <c r="C24" s="32" t="s">
        <v>337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339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i1HNyhDqsvypCKDsP4Y2kc2eYbUEsp1uu0VIZ7Ny3srNCX8inaXtWOvXrV2/oRUJh88thTD1QgHHJuRjl3Xz+A==" saltValue="Cx/3InOn0G/vN6vfbn+t1w==" spinCount="100000" sheet="1" objects="1" scenarios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6F57CCE8-B32C-43EE-BC7A-182980A651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