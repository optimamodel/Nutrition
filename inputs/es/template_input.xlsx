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"/>
    </mc:Choice>
  </mc:AlternateContent>
  <xr:revisionPtr revIDLastSave="0" documentId="13_ncr:1_{3305AE83-31BA-4766-BC0F-9E83ABF198C7}" xr6:coauthVersionLast="47" xr6:coauthVersionMax="47" xr10:uidLastSave="{00000000-0000-0000-0000-000000000000}"/>
  <bookViews>
    <workbookView xWindow="-110" yWindow="-110" windowWidth="19420" windowHeight="10420" tabRatio="961" firstSheet="3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A31" i="2"/>
  <c r="A26" i="2"/>
  <c r="A25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I6" i="2" s="1"/>
  <c r="H5" i="2"/>
  <c r="G5" i="2"/>
  <c r="H4" i="2"/>
  <c r="G4" i="2"/>
  <c r="I4" i="2" s="1"/>
  <c r="H3" i="2"/>
  <c r="G3" i="2"/>
  <c r="H2" i="2"/>
  <c r="G2" i="2"/>
  <c r="I2" i="2" s="1"/>
  <c r="A2" i="2"/>
  <c r="A39" i="2" s="1"/>
  <c r="C33" i="1"/>
  <c r="C20" i="1"/>
  <c r="A34" i="2" l="1"/>
  <c r="A19" i="2"/>
  <c r="I3" i="2"/>
  <c r="I7" i="2"/>
  <c r="I11" i="2"/>
  <c r="A23" i="2"/>
  <c r="A37" i="2"/>
  <c r="A40" i="2"/>
  <c r="A35" i="2"/>
  <c r="A22" i="2"/>
  <c r="A36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<sst xmlns="http://schemas.openxmlformats.org/spreadsheetml/2006/main" count="2159" uniqueCount="372">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</sst>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/>
    </row>
    <row r="8" spans="1:3" ht="15" customHeight="1" x14ac:dyDescent="0.25">
      <c r="B8" s="5" t="s">
        <v>63</v>
      </c>
      <c r="C8" s="44"/>
    </row>
    <row r="9" spans="1:3" ht="15" customHeight="1" x14ac:dyDescent="0.25">
      <c r="B9" s="5" t="s">
        <v>62</v>
      </c>
      <c r="C9" s="45"/>
    </row>
    <row r="10" spans="1:3" ht="15" customHeight="1" x14ac:dyDescent="0.25">
      <c r="B10" s="5" t="s">
        <v>75</v>
      </c>
      <c r="C10" s="45"/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/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/>
    </row>
    <row r="17" spans="1:3" ht="15" customHeight="1" x14ac:dyDescent="0.25">
      <c r="B17" s="5" t="s">
        <v>49</v>
      </c>
      <c r="C17" s="45"/>
    </row>
    <row r="18" spans="1:3" ht="15" customHeight="1" x14ac:dyDescent="0.25">
      <c r="B18" s="5" t="s">
        <v>50</v>
      </c>
      <c r="C18" s="45"/>
    </row>
    <row r="19" spans="1:3" ht="15" customHeight="1" x14ac:dyDescent="0.25">
      <c r="B19" s="5" t="s">
        <v>48</v>
      </c>
      <c r="C19" s="45"/>
    </row>
    <row r="20" spans="1:3" ht="15" customHeight="1" x14ac:dyDescent="0.25">
      <c r="B20" s="5" t="s">
        <v>53</v>
      </c>
      <c r="C20" s="46">
        <f>1-frac_rice-frac_wheat-frac_maize</f>
        <v>1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/>
    </row>
    <row r="24" spans="1:3" ht="15" customHeight="1" x14ac:dyDescent="0.25">
      <c r="B24" s="15" t="s">
        <v>65</v>
      </c>
      <c r="C24" s="45"/>
    </row>
    <row r="25" spans="1:3" ht="15" customHeight="1" x14ac:dyDescent="0.25">
      <c r="B25" s="15" t="s">
        <v>66</v>
      </c>
      <c r="C25" s="45"/>
    </row>
    <row r="26" spans="1:3" ht="15" customHeight="1" x14ac:dyDescent="0.25">
      <c r="B26" s="15" t="s">
        <v>67</v>
      </c>
      <c r="C26" s="45"/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/>
    </row>
    <row r="30" spans="1:3" ht="14.25" customHeight="1" x14ac:dyDescent="0.25">
      <c r="B30" s="25" t="s">
        <v>82</v>
      </c>
      <c r="C30" s="99"/>
    </row>
    <row r="31" spans="1:3" ht="14.25" customHeight="1" x14ac:dyDescent="0.25">
      <c r="B31" s="25" t="s">
        <v>29</v>
      </c>
      <c r="C31" s="99"/>
    </row>
    <row r="32" spans="1:3" ht="14.25" customHeight="1" x14ac:dyDescent="0.25">
      <c r="B32" s="25" t="s">
        <v>30</v>
      </c>
      <c r="C32" s="99"/>
    </row>
    <row r="33" spans="1:5" ht="13.25" customHeight="1" x14ac:dyDescent="0.25">
      <c r="B33" s="27" t="s">
        <v>79</v>
      </c>
      <c r="C33" s="48">
        <f>SUM(C29:C32)</f>
        <v>0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/>
    </row>
    <row r="38" spans="1:5" ht="15" customHeight="1" x14ac:dyDescent="0.25">
      <c r="B38" s="11" t="s">
        <v>54</v>
      </c>
      <c r="C38" s="43"/>
      <c r="D38" s="12"/>
      <c r="E38" s="13"/>
    </row>
    <row r="39" spans="1:5" ht="15" customHeight="1" x14ac:dyDescent="0.25">
      <c r="B39" s="11" t="s">
        <v>80</v>
      </c>
      <c r="C39" s="43"/>
      <c r="D39" s="12"/>
      <c r="E39" s="12"/>
    </row>
    <row r="40" spans="1:5" ht="15" customHeight="1" x14ac:dyDescent="0.25">
      <c r="B40" s="11" t="s">
        <v>55</v>
      </c>
      <c r="C40" s="100"/>
    </row>
    <row r="41" spans="1:5" ht="15" customHeight="1" x14ac:dyDescent="0.25">
      <c r="B41" s="11" t="s">
        <v>51</v>
      </c>
      <c r="C41" s="45"/>
    </row>
    <row r="42" spans="1:5" ht="15" customHeight="1" x14ac:dyDescent="0.25">
      <c r="B42" s="11" t="s">
        <v>76</v>
      </c>
      <c r="C42" s="43"/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/>
      <c r="D45" s="12"/>
    </row>
    <row r="46" spans="1:5" ht="15.75" customHeight="1" x14ac:dyDescent="0.25">
      <c r="B46" s="11" t="s">
        <v>70</v>
      </c>
      <c r="C46" s="45"/>
      <c r="D46" s="12"/>
    </row>
    <row r="47" spans="1:5" ht="15.75" customHeight="1" x14ac:dyDescent="0.25">
      <c r="B47" s="11" t="s">
        <v>78</v>
      </c>
      <c r="C47" s="45"/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/>
      <c r="D51" s="12"/>
    </row>
    <row r="52" spans="1:4" ht="15" customHeight="1" x14ac:dyDescent="0.25">
      <c r="B52" s="11" t="s">
        <v>32</v>
      </c>
      <c r="C52" s="100"/>
    </row>
    <row r="53" spans="1:4" ht="15.75" customHeight="1" x14ac:dyDescent="0.25">
      <c r="B53" s="11" t="s">
        <v>35</v>
      </c>
      <c r="C53" s="100"/>
    </row>
    <row r="54" spans="1:4" ht="15.75" customHeight="1" x14ac:dyDescent="0.25">
      <c r="B54" s="11" t="s">
        <v>33</v>
      </c>
      <c r="C54" s="100"/>
    </row>
    <row r="55" spans="1:4" ht="15.75" customHeight="1" x14ac:dyDescent="0.25">
      <c r="B55" s="11" t="s">
        <v>34</v>
      </c>
      <c r="C55" s="100"/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/>
    </row>
    <row r="59" spans="1:4" ht="15.75" customHeight="1" x14ac:dyDescent="0.25">
      <c r="B59" s="11" t="s">
        <v>59</v>
      </c>
      <c r="C59" s="45"/>
    </row>
    <row r="60" spans="1:4" ht="15.75" customHeight="1" x14ac:dyDescent="0.25">
      <c r="B60" s="11" t="s">
        <v>73</v>
      </c>
      <c r="C60" s="45"/>
    </row>
    <row r="61" spans="1:4" ht="15.75" customHeight="1" x14ac:dyDescent="0.25">
      <c r="B61" s="11" t="s">
        <v>72</v>
      </c>
      <c r="C61" s="45"/>
    </row>
    <row r="62" spans="1:4" ht="15.75" customHeight="1" x14ac:dyDescent="0.25">
      <c r="B62" s="11" t="s">
        <v>83</v>
      </c>
      <c r="C62" s="44"/>
    </row>
    <row r="63" spans="1:4" ht="15.75" customHeight="1" x14ac:dyDescent="0.3">
      <c r="A63" s="4"/>
    </row>
  </sheetData>
  <sheetProtection algorithmName="SHA-512" hashValue="Ji0oCldfF2i5KcBIKJqIyt1yO+lBmQrCkCqCblRTCGJEMGBJpF9PN/OQr4fQ6a6CpZ28VAHcVEcQmsVQXbHrpw==" saltValue="/gejaQZfE06wk2/xtoib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/>
      <c r="C2" s="49"/>
      <c r="D2" s="49"/>
      <c r="E2" s="49"/>
      <c r="F2" s="49"/>
      <c r="G2" s="17">
        <f t="shared" ref="G2:G13" si="0">C2+D2+E2+F2</f>
        <v>0</v>
      </c>
      <c r="H2" s="17">
        <f t="shared" ref="H2:H13" si="1">(B2 + stillbirth*B2/(1000-stillbirth))/(1-abortion)</f>
        <v>0</v>
      </c>
      <c r="I2" s="17">
        <f t="shared" ref="I2:I13" si="2">G2-H2</f>
        <v>0</v>
      </c>
    </row>
    <row r="3" spans="1:9" ht="15.75" customHeight="1" x14ac:dyDescent="0.25">
      <c r="A3" s="5">
        <f t="shared" ref="A3:A40" si="3">IF($A$2+ROW(A3)-2&lt;=end_year,A2+1,"")</f>
        <v>2025</v>
      </c>
      <c r="B3" s="49"/>
      <c r="C3" s="50"/>
      <c r="D3" s="50"/>
      <c r="E3" s="50"/>
      <c r="F3" s="50"/>
      <c r="G3" s="17">
        <f t="shared" si="0"/>
        <v>0</v>
      </c>
      <c r="H3" s="17">
        <f t="shared" si="1"/>
        <v>0</v>
      </c>
      <c r="I3" s="17">
        <f t="shared" si="2"/>
        <v>0</v>
      </c>
    </row>
    <row r="4" spans="1:9" ht="15.75" customHeight="1" x14ac:dyDescent="0.25">
      <c r="A4" s="5">
        <f t="shared" si="3"/>
        <v>2026</v>
      </c>
      <c r="B4" s="49"/>
      <c r="C4" s="50"/>
      <c r="D4" s="50"/>
      <c r="E4" s="50"/>
      <c r="F4" s="50"/>
      <c r="G4" s="17">
        <f t="shared" si="0"/>
        <v>0</v>
      </c>
      <c r="H4" s="17">
        <f t="shared" si="1"/>
        <v>0</v>
      </c>
      <c r="I4" s="17">
        <f t="shared" si="2"/>
        <v>0</v>
      </c>
    </row>
    <row r="5" spans="1:9" ht="15.75" customHeight="1" x14ac:dyDescent="0.25">
      <c r="A5" s="5">
        <f t="shared" si="3"/>
        <v>2027</v>
      </c>
      <c r="B5" s="49"/>
      <c r="C5" s="50"/>
      <c r="D5" s="50"/>
      <c r="E5" s="50"/>
      <c r="F5" s="50"/>
      <c r="G5" s="17">
        <f t="shared" si="0"/>
        <v>0</v>
      </c>
      <c r="H5" s="17">
        <f t="shared" si="1"/>
        <v>0</v>
      </c>
      <c r="I5" s="17">
        <f t="shared" si="2"/>
        <v>0</v>
      </c>
    </row>
    <row r="6" spans="1:9" ht="15.75" customHeight="1" x14ac:dyDescent="0.25">
      <c r="A6" s="5">
        <f t="shared" si="3"/>
        <v>2028</v>
      </c>
      <c r="B6" s="49"/>
      <c r="C6" s="50"/>
      <c r="D6" s="50"/>
      <c r="E6" s="50"/>
      <c r="F6" s="50"/>
      <c r="G6" s="17">
        <f t="shared" si="0"/>
        <v>0</v>
      </c>
      <c r="H6" s="17">
        <f t="shared" si="1"/>
        <v>0</v>
      </c>
      <c r="I6" s="17">
        <f t="shared" si="2"/>
        <v>0</v>
      </c>
    </row>
    <row r="7" spans="1:9" ht="15.75" customHeight="1" x14ac:dyDescent="0.25">
      <c r="A7" s="5">
        <f t="shared" si="3"/>
        <v>2029</v>
      </c>
      <c r="B7" s="49"/>
      <c r="C7" s="50"/>
      <c r="D7" s="50"/>
      <c r="E7" s="50"/>
      <c r="F7" s="50"/>
      <c r="G7" s="17">
        <f t="shared" si="0"/>
        <v>0</v>
      </c>
      <c r="H7" s="17">
        <f t="shared" si="1"/>
        <v>0</v>
      </c>
      <c r="I7" s="17">
        <f t="shared" si="2"/>
        <v>0</v>
      </c>
    </row>
    <row r="8" spans="1:9" ht="15.75" customHeight="1" x14ac:dyDescent="0.25">
      <c r="A8" s="5">
        <f t="shared" si="3"/>
        <v>2030</v>
      </c>
      <c r="B8" s="49"/>
      <c r="C8" s="50"/>
      <c r="D8" s="50"/>
      <c r="E8" s="50"/>
      <c r="F8" s="50"/>
      <c r="G8" s="17">
        <f t="shared" si="0"/>
        <v>0</v>
      </c>
      <c r="H8" s="17">
        <f t="shared" si="1"/>
        <v>0</v>
      </c>
      <c r="I8" s="17">
        <f t="shared" si="2"/>
        <v>0</v>
      </c>
    </row>
    <row r="9" spans="1:9" ht="15.75" customHeight="1" x14ac:dyDescent="0.25">
      <c r="A9" s="5">
        <f t="shared" si="3"/>
        <v>2031</v>
      </c>
      <c r="B9" s="49"/>
      <c r="C9" s="50"/>
      <c r="D9" s="50"/>
      <c r="E9" s="50"/>
      <c r="F9" s="50"/>
      <c r="G9" s="17">
        <f t="shared" si="0"/>
        <v>0</v>
      </c>
      <c r="H9" s="17">
        <f t="shared" si="1"/>
        <v>0</v>
      </c>
      <c r="I9" s="17">
        <f t="shared" si="2"/>
        <v>0</v>
      </c>
    </row>
    <row r="10" spans="1:9" ht="15.75" customHeight="1" x14ac:dyDescent="0.25">
      <c r="A10" s="5">
        <f t="shared" si="3"/>
        <v>2032</v>
      </c>
      <c r="B10" s="49"/>
      <c r="C10" s="50"/>
      <c r="D10" s="50"/>
      <c r="E10" s="50"/>
      <c r="F10" s="50"/>
      <c r="G10" s="17">
        <f t="shared" si="0"/>
        <v>0</v>
      </c>
      <c r="H10" s="17">
        <f t="shared" si="1"/>
        <v>0</v>
      </c>
      <c r="I10" s="17">
        <f t="shared" si="2"/>
        <v>0</v>
      </c>
    </row>
    <row r="11" spans="1:9" ht="15.75" customHeight="1" x14ac:dyDescent="0.25">
      <c r="A11" s="5">
        <f t="shared" si="3"/>
        <v>2033</v>
      </c>
      <c r="B11" s="49"/>
      <c r="C11" s="50"/>
      <c r="D11" s="50"/>
      <c r="E11" s="50"/>
      <c r="F11" s="50"/>
      <c r="G11" s="17">
        <f t="shared" si="0"/>
        <v>0</v>
      </c>
      <c r="H11" s="17">
        <f t="shared" si="1"/>
        <v>0</v>
      </c>
      <c r="I11" s="17">
        <f t="shared" si="2"/>
        <v>0</v>
      </c>
    </row>
    <row r="12" spans="1:9" ht="15.75" customHeight="1" x14ac:dyDescent="0.25">
      <c r="A12" s="5">
        <f t="shared" si="3"/>
        <v>2034</v>
      </c>
      <c r="B12" s="49"/>
      <c r="C12" s="50"/>
      <c r="D12" s="50"/>
      <c r="E12" s="50"/>
      <c r="F12" s="50"/>
      <c r="G12" s="17">
        <f t="shared" si="0"/>
        <v>0</v>
      </c>
      <c r="H12" s="17">
        <f t="shared" si="1"/>
        <v>0</v>
      </c>
      <c r="I12" s="17">
        <f t="shared" si="2"/>
        <v>0</v>
      </c>
    </row>
    <row r="13" spans="1:9" ht="15.75" customHeight="1" x14ac:dyDescent="0.25">
      <c r="A13" s="5">
        <f t="shared" si="3"/>
        <v>2035</v>
      </c>
      <c r="B13" s="49"/>
      <c r="C13" s="50"/>
      <c r="D13" s="50"/>
      <c r="E13" s="50"/>
      <c r="F13" s="50"/>
      <c r="G13" s="17">
        <f t="shared" si="0"/>
        <v>0</v>
      </c>
      <c r="H13" s="17">
        <f t="shared" si="1"/>
        <v>0</v>
      </c>
      <c r="I13" s="17">
        <f t="shared" si="2"/>
        <v>0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2/aoQx6AsEbkcb+3xdiCme8rEahO6YL11mHT8EiEvHuGzpUQ1k7Lf3/FZKNuJ6+fRw3nU8hJ09/DEfwDGmflA==" saltValue="Jur+gbxmT/mTBdby0hn8s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/>
    </row>
    <row r="4" spans="1:8" ht="15.75" customHeight="1" x14ac:dyDescent="0.25">
      <c r="B4" s="19" t="s">
        <v>116</v>
      </c>
      <c r="C4" s="101"/>
    </row>
    <row r="5" spans="1:8" ht="15.75" customHeight="1" x14ac:dyDescent="0.25">
      <c r="B5" s="19" t="s">
        <v>114</v>
      </c>
      <c r="C5" s="101"/>
    </row>
    <row r="6" spans="1:8" ht="15.75" customHeight="1" x14ac:dyDescent="0.25">
      <c r="B6" s="19" t="s">
        <v>110</v>
      </c>
      <c r="C6" s="101"/>
    </row>
    <row r="7" spans="1:8" ht="15.75" customHeight="1" x14ac:dyDescent="0.25">
      <c r="B7" s="19" t="s">
        <v>115</v>
      </c>
      <c r="C7" s="101"/>
    </row>
    <row r="8" spans="1:8" ht="15.75" customHeight="1" x14ac:dyDescent="0.25">
      <c r="B8" s="19" t="s">
        <v>117</v>
      </c>
      <c r="C8" s="101"/>
    </row>
    <row r="9" spans="1:8" ht="15.75" customHeight="1" x14ac:dyDescent="0.25">
      <c r="B9" s="19" t="s">
        <v>111</v>
      </c>
      <c r="C9" s="101"/>
    </row>
    <row r="10" spans="1:8" ht="15.75" customHeight="1" x14ac:dyDescent="0.25">
      <c r="B10" s="19" t="s">
        <v>113</v>
      </c>
      <c r="C10" s="101"/>
    </row>
    <row r="11" spans="1:8" ht="15.75" customHeight="1" x14ac:dyDescent="0.25">
      <c r="B11" s="27" t="s">
        <v>79</v>
      </c>
      <c r="C11" s="48">
        <f>SUM(C3:C10)</f>
        <v>0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/>
      <c r="D14" s="55"/>
      <c r="E14" s="55"/>
      <c r="F14" s="55"/>
    </row>
    <row r="15" spans="1:8" ht="15.75" customHeight="1" x14ac:dyDescent="0.25">
      <c r="B15" s="19" t="s">
        <v>121</v>
      </c>
      <c r="C15" s="101"/>
      <c r="D15" s="101"/>
      <c r="E15" s="101"/>
      <c r="F15" s="101"/>
    </row>
    <row r="16" spans="1:8" ht="15.75" customHeight="1" x14ac:dyDescent="0.25">
      <c r="B16" s="19" t="s">
        <v>2</v>
      </c>
      <c r="C16" s="101"/>
      <c r="D16" s="101"/>
      <c r="E16" s="101"/>
      <c r="F16" s="101"/>
    </row>
    <row r="17" spans="1:8" ht="15.75" customHeight="1" x14ac:dyDescent="0.25">
      <c r="B17" s="19" t="s">
        <v>109</v>
      </c>
      <c r="C17" s="101"/>
      <c r="D17" s="101"/>
      <c r="E17" s="101"/>
      <c r="F17" s="101"/>
    </row>
    <row r="18" spans="1:8" ht="15.75" customHeight="1" x14ac:dyDescent="0.25">
      <c r="B18" s="19" t="s">
        <v>3</v>
      </c>
      <c r="C18" s="101"/>
      <c r="D18" s="101"/>
      <c r="E18" s="101"/>
      <c r="F18" s="101"/>
    </row>
    <row r="19" spans="1:8" ht="15.75" customHeight="1" x14ac:dyDescent="0.25">
      <c r="B19" s="19" t="s">
        <v>120</v>
      </c>
      <c r="C19" s="101"/>
      <c r="D19" s="101"/>
      <c r="E19" s="101"/>
      <c r="F19" s="101"/>
    </row>
    <row r="20" spans="1:8" ht="15.75" customHeight="1" x14ac:dyDescent="0.25">
      <c r="B20" s="19" t="s">
        <v>98</v>
      </c>
      <c r="C20" s="101"/>
      <c r="D20" s="101"/>
      <c r="E20" s="101"/>
      <c r="F20" s="101"/>
    </row>
    <row r="21" spans="1:8" ht="15.75" customHeight="1" x14ac:dyDescent="0.25">
      <c r="B21" s="19" t="s">
        <v>107</v>
      </c>
      <c r="C21" s="101"/>
      <c r="D21" s="101"/>
      <c r="E21" s="101"/>
      <c r="F21" s="101"/>
    </row>
    <row r="22" spans="1:8" ht="15.75" customHeight="1" x14ac:dyDescent="0.25">
      <c r="B22" s="19" t="s">
        <v>118</v>
      </c>
      <c r="C22" s="101"/>
      <c r="D22" s="101"/>
      <c r="E22" s="101"/>
      <c r="F22" s="101"/>
    </row>
    <row r="23" spans="1:8" ht="15.75" customHeight="1" x14ac:dyDescent="0.25">
      <c r="B23" s="27" t="s">
        <v>79</v>
      </c>
      <c r="C23" s="48">
        <f>SUM(C14:C22)</f>
        <v>0</v>
      </c>
      <c r="D23" s="48">
        <f>SUM(D14:D22)</f>
        <v>0</v>
      </c>
      <c r="E23" s="48">
        <f>SUM(E14:E22)</f>
        <v>0</v>
      </c>
      <c r="F23" s="48">
        <f>SUM(F14:F22)</f>
        <v>0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/>
    </row>
    <row r="27" spans="1:8" ht="15.75" customHeight="1" x14ac:dyDescent="0.25">
      <c r="B27" s="19" t="s">
        <v>108</v>
      </c>
      <c r="C27" s="101"/>
    </row>
    <row r="28" spans="1:8" ht="15.75" customHeight="1" x14ac:dyDescent="0.25">
      <c r="B28" s="19" t="s">
        <v>122</v>
      </c>
      <c r="C28" s="101"/>
    </row>
    <row r="29" spans="1:8" ht="15.75" customHeight="1" x14ac:dyDescent="0.25">
      <c r="B29" s="19" t="s">
        <v>105</v>
      </c>
      <c r="C29" s="101"/>
    </row>
    <row r="30" spans="1:8" ht="15.75" customHeight="1" x14ac:dyDescent="0.25">
      <c r="B30" s="19" t="s">
        <v>4</v>
      </c>
      <c r="C30" s="101"/>
    </row>
    <row r="31" spans="1:8" ht="15.75" customHeight="1" x14ac:dyDescent="0.25">
      <c r="B31" s="19" t="s">
        <v>99</v>
      </c>
      <c r="C31" s="101"/>
    </row>
    <row r="32" spans="1:8" ht="15.75" customHeight="1" x14ac:dyDescent="0.25">
      <c r="B32" s="19" t="s">
        <v>104</v>
      </c>
      <c r="C32" s="101"/>
    </row>
    <row r="33" spans="2:3" ht="15.75" customHeight="1" x14ac:dyDescent="0.25">
      <c r="B33" s="19" t="s">
        <v>119</v>
      </c>
      <c r="C33" s="101"/>
    </row>
    <row r="34" spans="2:3" ht="15.75" customHeight="1" x14ac:dyDescent="0.25">
      <c r="B34" s="19" t="s">
        <v>106</v>
      </c>
      <c r="C34" s="101"/>
    </row>
    <row r="35" spans="2:3" ht="15.75" customHeight="1" x14ac:dyDescent="0.25">
      <c r="B35" s="27" t="s">
        <v>79</v>
      </c>
      <c r="C35" s="48">
        <f>SUM(C26:C34)</f>
        <v>0</v>
      </c>
    </row>
  </sheetData>
  <sheetProtection algorithmName="SHA-512" hashValue="mib2hyHwoT8lmtvCT0BdDjD9WKTdaZJ+0uInTKBMFZYfiY91ZmpnjY2s7lgrNmm8aFgmgdpgH0qu9pj+DPL01w==" saltValue="oi8ZlUs2Ok7myhrCgtwsm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 t="str">
        <f>IFERROR(1-_xlfn.NORM.DIST(_xlfn.NORM.INV(SUM(C4:C5), 0, 1) + 1, 0, 1, TRUE), "")</f>
        <v/>
      </c>
      <c r="D2" s="52" t="str">
        <f>IFERROR(1-_xlfn.NORM.DIST(_xlfn.NORM.INV(SUM(D4:D5), 0, 1) + 1, 0, 1, TRUE), "")</f>
        <v/>
      </c>
      <c r="E2" s="52" t="str">
        <f>IFERROR(1-_xlfn.NORM.DIST(_xlfn.NORM.INV(SUM(E4:E5), 0, 1) + 1, 0, 1, TRUE), "")</f>
        <v/>
      </c>
      <c r="F2" s="52" t="str">
        <f>IFERROR(1-_xlfn.NORM.DIST(_xlfn.NORM.INV(SUM(F4:F5), 0, 1) + 1, 0, 1, TRUE), "")</f>
        <v/>
      </c>
      <c r="G2" s="52" t="str">
        <f>IFERROR(1-_xlfn.NORM.DIST(_xlfn.NORM.INV(SUM(G4:G5), 0, 1) + 1, 0, 1, TRUE), "")</f>
        <v/>
      </c>
    </row>
    <row r="3" spans="1:15" ht="15.75" customHeight="1" x14ac:dyDescent="0.25">
      <c r="B3" s="5" t="s">
        <v>127</v>
      </c>
      <c r="C3" s="52" t="str">
        <f>IFERROR(_xlfn.NORM.DIST(_xlfn.NORM.INV(SUM(C4:C5), 0, 1) + 1, 0, 1, TRUE) - SUM(C4:C5), "")</f>
        <v/>
      </c>
      <c r="D3" s="52" t="str">
        <f>IFERROR(_xlfn.NORM.DIST(_xlfn.NORM.INV(SUM(D4:D5), 0, 1) + 1, 0, 1, TRUE) - SUM(D4:D5), "")</f>
        <v/>
      </c>
      <c r="E3" s="52" t="str">
        <f>IFERROR(_xlfn.NORM.DIST(_xlfn.NORM.INV(SUM(E4:E5), 0, 1) + 1, 0, 1, TRUE) - SUM(E4:E5), "")</f>
        <v/>
      </c>
      <c r="F3" s="52" t="str">
        <f>IFERROR(_xlfn.NORM.DIST(_xlfn.NORM.INV(SUM(F4:F5), 0, 1) + 1, 0, 1, TRUE) - SUM(F4:F5), "")</f>
        <v/>
      </c>
      <c r="G3" s="52" t="str">
        <f>IFERROR(_xlfn.NORM.DIST(_xlfn.NORM.INV(SUM(G4:G5), 0, 1) + 1, 0, 1, TRUE) - SUM(G4:G5), "")</f>
        <v/>
      </c>
    </row>
    <row r="4" spans="1:15" ht="15.75" customHeight="1" x14ac:dyDescent="0.25">
      <c r="B4" s="5" t="s">
        <v>129</v>
      </c>
      <c r="C4" s="45"/>
      <c r="D4" s="53"/>
      <c r="E4" s="53"/>
      <c r="F4" s="53"/>
      <c r="G4" s="53"/>
    </row>
    <row r="5" spans="1:15" ht="15.75" customHeight="1" x14ac:dyDescent="0.25">
      <c r="B5" s="5" t="s">
        <v>125</v>
      </c>
      <c r="C5" s="45"/>
      <c r="D5" s="53"/>
      <c r="E5" s="53"/>
      <c r="F5" s="53"/>
      <c r="G5" s="53"/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 t="str">
        <f>IFERROR(1-_xlfn.NORM.DIST(_xlfn.NORM.INV(SUM(C10:C11), 0, 1) + 1, 0, 1, TRUE), "")</f>
        <v/>
      </c>
      <c r="D8" s="52" t="str">
        <f>IFERROR(1-_xlfn.NORM.DIST(_xlfn.NORM.INV(SUM(D10:D11), 0, 1) + 1, 0, 1, TRUE), "")</f>
        <v/>
      </c>
      <c r="E8" s="52" t="str">
        <f>IFERROR(1-_xlfn.NORM.DIST(_xlfn.NORM.INV(SUM(E10:E11), 0, 1) + 1, 0, 1, TRUE), "")</f>
        <v/>
      </c>
      <c r="F8" s="52" t="str">
        <f>IFERROR(1-_xlfn.NORM.DIST(_xlfn.NORM.INV(SUM(F10:F11), 0, 1) + 1, 0, 1, TRUE), "")</f>
        <v/>
      </c>
      <c r="G8" s="52" t="str">
        <f>IFERROR(1-_xlfn.NORM.DIST(_xlfn.NORM.INV(SUM(G10:G11), 0, 1) + 1, 0, 1, TRUE), "")</f>
        <v/>
      </c>
    </row>
    <row r="9" spans="1:15" ht="15.75" customHeight="1" x14ac:dyDescent="0.25">
      <c r="B9" s="5" t="s">
        <v>128</v>
      </c>
      <c r="C9" s="52" t="str">
        <f>IFERROR(_xlfn.NORM.DIST(_xlfn.NORM.INV(SUM(C10:C11), 0, 1) + 1, 0, 1, TRUE) - SUM(C10:C11), "")</f>
        <v/>
      </c>
      <c r="D9" s="52" t="str">
        <f>IFERROR(_xlfn.NORM.DIST(_xlfn.NORM.INV(SUM(D10:D11), 0, 1) + 1, 0, 1, TRUE) - SUM(D10:D11), "")</f>
        <v/>
      </c>
      <c r="E9" s="52" t="str">
        <f>IFERROR(_xlfn.NORM.DIST(_xlfn.NORM.INV(SUM(E10:E11), 0, 1) + 1, 0, 1, TRUE) - SUM(E10:E11), "")</f>
        <v/>
      </c>
      <c r="F9" s="52" t="str">
        <f>IFERROR(_xlfn.NORM.DIST(_xlfn.NORM.INV(SUM(F10:F11), 0, 1) + 1, 0, 1, TRUE) - SUM(F10:F11), "")</f>
        <v/>
      </c>
      <c r="G9" s="52" t="str">
        <f>IFERROR(_xlfn.NORM.DIST(_xlfn.NORM.INV(SUM(G10:G11), 0, 1) + 1, 0, 1, TRUE) - SUM(G10:G11), "")</f>
        <v/>
      </c>
    </row>
    <row r="10" spans="1:15" ht="15.75" customHeight="1" x14ac:dyDescent="0.25">
      <c r="B10" s="5" t="s">
        <v>126</v>
      </c>
      <c r="C10" s="45"/>
      <c r="D10" s="53"/>
      <c r="E10" s="53"/>
      <c r="F10" s="53"/>
      <c r="G10" s="53"/>
    </row>
    <row r="11" spans="1:15" ht="15.75" customHeight="1" x14ac:dyDescent="0.25">
      <c r="B11" s="5" t="s">
        <v>138</v>
      </c>
      <c r="C11" s="45"/>
      <c r="D11" s="53"/>
      <c r="E11" s="53"/>
      <c r="F11" s="53"/>
      <c r="G11" s="53"/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/>
      <c r="D14" s="54"/>
      <c r="E14" s="54"/>
      <c r="F14" s="54"/>
      <c r="G14" s="54"/>
      <c r="H14" s="45"/>
      <c r="I14" s="55"/>
      <c r="J14" s="55"/>
      <c r="K14" s="55"/>
      <c r="L14" s="45"/>
      <c r="M14" s="55"/>
      <c r="N14" s="55"/>
      <c r="O14" s="55"/>
    </row>
    <row r="15" spans="1:15" ht="15.75" customHeight="1" x14ac:dyDescent="0.25">
      <c r="B15" s="11" t="s">
        <v>137</v>
      </c>
      <c r="C15" s="52">
        <f t="shared" ref="C15:O15" si="0">iron_deficiency_anaemia*C14</f>
        <v>0</v>
      </c>
      <c r="D15" s="52">
        <f t="shared" si="0"/>
        <v>0</v>
      </c>
      <c r="E15" s="52">
        <f t="shared" si="0"/>
        <v>0</v>
      </c>
      <c r="F15" s="52">
        <f t="shared" si="0"/>
        <v>0</v>
      </c>
      <c r="G15" s="52">
        <f t="shared" si="0"/>
        <v>0</v>
      </c>
      <c r="H15" s="52">
        <f t="shared" si="0"/>
        <v>0</v>
      </c>
      <c r="I15" s="52">
        <f t="shared" si="0"/>
        <v>0</v>
      </c>
      <c r="J15" s="52">
        <f t="shared" si="0"/>
        <v>0</v>
      </c>
      <c r="K15" s="52">
        <f t="shared" si="0"/>
        <v>0</v>
      </c>
      <c r="L15" s="52">
        <f t="shared" si="0"/>
        <v>0</v>
      </c>
      <c r="M15" s="52">
        <f t="shared" si="0"/>
        <v>0</v>
      </c>
      <c r="N15" s="52">
        <f t="shared" si="0"/>
        <v>0</v>
      </c>
      <c r="O15" s="52">
        <f t="shared" si="0"/>
        <v>0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i0trWc4a2Ck8GqpnEefmStCyszA/dKgAekArs2tn7QvHNyDfMQ317kJwZ2jT28mHq/fjz/RNTUDt1H+XLBq7Qw==" saltValue="NJhWA0AHxJ63aHjJnlMW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/>
      <c r="D2" s="53"/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/>
      <c r="D3" s="53"/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/>
      <c r="D4" s="53"/>
      <c r="E4" s="53"/>
      <c r="F4" s="53"/>
      <c r="G4" s="53">
        <v>0</v>
      </c>
    </row>
    <row r="5" spans="1:7" x14ac:dyDescent="0.25">
      <c r="B5" s="3" t="s">
        <v>144</v>
      </c>
      <c r="C5" s="52">
        <f t="shared" ref="C5:D5" si="0">1-SUM(C2:C4)</f>
        <v>1</v>
      </c>
      <c r="D5" s="52">
        <f t="shared" si="0"/>
        <v>1</v>
      </c>
      <c r="E5" s="52">
        <f>1-SUM(E2:E4)</f>
        <v>1</v>
      </c>
      <c r="F5" s="52">
        <f>1-SUM(F2:F4)</f>
        <v>1</v>
      </c>
      <c r="G5" s="52">
        <f>1-SUM(G2:G4)</f>
        <v>1</v>
      </c>
    </row>
  </sheetData>
  <sheetProtection algorithmName="SHA-512" hashValue="Sdkz5wrlrY1PquPyabMV8f3He04hZyzqS6DvDJ54MnyO39de3ar8+9K8lGxycPAGOyC+4up/AWqfmyzCgbICbw==" saltValue="9IrE59A7oXjCpQaE/yKD6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B4obv/IUT9s8MTs5hdj8TD0dC0A3JDi6LuCwBc6X5zwwP1SRkZGrloDgJnyzj5pWlhYEEs5O3WmtFJuWxke7pQ==" saltValue="goS0ZU0RtrBZF97cbnMs1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</row>
  </sheetData>
  <sheetProtection algorithmName="SHA-512" hashValue="ittrMhpdW+qR63DbG9C/rCvAj+ZcshhmXS+hQzNvZj+RSQNiN/afs3buamJ0KSi3AuwGH0S/U35QQWmJenpY/w==" saltValue="MoPHVnt4D4c7b3krxk844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2aWimhCRJ1ojVjG4rU0i7fTi3Fr/BxI88FVYudkgLxNq0qT+7KdLHnZDEnpcs0cZnvWBrpGiPTKLAsBWnNG/tA==" saltValue="t+sL9X9KDfaTUlsDD0EaG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cVQdSF/mAPq6RuXCMOIxtraMLGmlNgKMjXVkpLj00qOxTKaluY2ckCACAVLjvFPQLqVoYCQdauZYkN8LPpRnhA==" saltValue="8X6OrURCnsYkM/mrjfRMY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99.99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99.99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99.99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99.99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99.99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99.99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99.99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</v>
      </c>
      <c r="C10" s="98">
        <v>0.95</v>
      </c>
      <c r="D10" s="56">
        <v>99.99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99.99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99.99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99.99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</v>
      </c>
      <c r="C14" s="98">
        <v>0.95</v>
      </c>
      <c r="D14" s="56">
        <v>99.99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99.99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3.8198900000000001E-2</v>
      </c>
      <c r="C16" s="98">
        <v>0.95</v>
      </c>
      <c r="D16" s="56">
        <v>99.99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6.5675947999999998E-2</v>
      </c>
      <c r="C17" s="98">
        <v>0.95</v>
      </c>
      <c r="D17" s="56">
        <v>99.99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</v>
      </c>
      <c r="C18" s="98">
        <v>0.95</v>
      </c>
      <c r="D18" s="56">
        <v>99.99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</v>
      </c>
      <c r="C19" s="98">
        <v>0.95</v>
      </c>
      <c r="D19" s="56">
        <v>99.99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99.99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99.99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99.99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99.99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99.99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</v>
      </c>
      <c r="C29" s="98">
        <v>0.95</v>
      </c>
      <c r="D29" s="56">
        <v>99.99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99.99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99.99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</v>
      </c>
      <c r="C32" s="98">
        <v>0.95</v>
      </c>
      <c r="D32" s="56">
        <v>99.99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0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</v>
      </c>
      <c r="C38" s="98">
        <v>0.95</v>
      </c>
      <c r="D38" s="56">
        <v>99.99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99.99</v>
      </c>
      <c r="E39" s="56" t="s">
        <v>212</v>
      </c>
      <c r="F39" s="98">
        <v>1</v>
      </c>
      <c r="G39" s="98">
        <v>1</v>
      </c>
    </row>
  </sheetData>
  <sheetProtection algorithmName="SHA-512" hashValue="AFlaCeNhdoacX13+qWspeFKYu41lwUoSth+r+mj7/YYE2Mk48dWMHK2hrNkZh123Ac19nB9X0/gnB4ZuDMdosw==" saltValue="GuY1VFjrmfYIsyhwQdmB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tdRB50akSnhAuTKvAsnb8jRsWS/skBcSwDGl1fmoVXDkIqx57Lut3klWkmsGh7IrxucFpShAHDhoclOUcGOjeA==" saltValue="qkGaSyYL4DRMp0JzlyW6j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fq375M0MUeR/h6sps/N60sf8zMOf3vJ8WdI/IrqTXsGf48XTpBTaNjR5a3stXnusFnNOkvLmpeIJUtQMj5S9Vg==" saltValue="Znw+vdUqmYtKc+KtcB8zQ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0</v>
      </c>
      <c r="C2" s="21">
        <f>'Entradas de población-año base'!C52</f>
        <v>0</v>
      </c>
      <c r="D2" s="21">
        <f>'Entradas de población-año base'!C53</f>
        <v>0</v>
      </c>
      <c r="E2" s="21">
        <f>'Entradas de población-año base'!C54</f>
        <v>0</v>
      </c>
      <c r="F2" s="21">
        <f>'Entradas de población-año base'!C55</f>
        <v>0</v>
      </c>
    </row>
    <row r="3" spans="1:6" ht="15.75" customHeight="1" x14ac:dyDescent="0.25">
      <c r="A3" s="3" t="s">
        <v>6</v>
      </c>
      <c r="B3" s="21">
        <f>frac_mam_1month * 2.6</f>
        <v>0</v>
      </c>
      <c r="C3" s="21">
        <f>frac_mam_1_5months * 2.6</f>
        <v>0</v>
      </c>
      <c r="D3" s="21">
        <f>frac_mam_6_11months * 2.6</f>
        <v>0</v>
      </c>
      <c r="E3" s="21">
        <f>frac_mam_12_23months * 2.6</f>
        <v>0</v>
      </c>
      <c r="F3" s="21">
        <f>frac_mam_24_59months * 2.6</f>
        <v>0</v>
      </c>
    </row>
    <row r="4" spans="1:6" ht="15.75" customHeight="1" x14ac:dyDescent="0.25">
      <c r="A4" s="3" t="s">
        <v>236</v>
      </c>
      <c r="B4" s="21">
        <f>frac_sam_1month * 2.6</f>
        <v>0</v>
      </c>
      <c r="C4" s="21">
        <f>frac_sam_1_5months * 2.6</f>
        <v>0</v>
      </c>
      <c r="D4" s="21">
        <f>frac_sam_6_11months * 2.6</f>
        <v>0</v>
      </c>
      <c r="E4" s="21">
        <f>frac_sam_12_23months * 2.6</f>
        <v>0</v>
      </c>
      <c r="F4" s="21">
        <f>frac_sam_24_59months * 2.6</f>
        <v>0</v>
      </c>
    </row>
  </sheetData>
  <sheetProtection algorithmName="SHA-512" hashValue="PB7LZ94z9UpsCu9OW3D3zUDVq8xFWoM5GemWmL+AAxePAeAkxb2LVJSj2QenCV2HBFI65HpYCvTMluCIx8fscg==" saltValue="atrTkhfGmJPd3YAMmiYjV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</v>
      </c>
      <c r="F2" s="60">
        <f>food_insecure</f>
        <v>0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</v>
      </c>
      <c r="F5" s="60">
        <f>food_insecure</f>
        <v>0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0</v>
      </c>
      <c r="D7" s="60">
        <f>diarrhoea_1_5mo*frac_diarrhea_severe</f>
        <v>0</v>
      </c>
      <c r="E7" s="60">
        <f>diarrhoea_6_11mo*frac_diarrhea_severe</f>
        <v>0</v>
      </c>
      <c r="F7" s="60">
        <f>diarrhoea_12_23mo*frac_diarrhea_severe</f>
        <v>0</v>
      </c>
      <c r="G7" s="60">
        <f>diarrhoea_24_59mo*frac_diarrhea_severe</f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</v>
      </c>
      <c r="F8" s="60">
        <f>food_insecure</f>
        <v>0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</v>
      </c>
      <c r="F9" s="60">
        <f>food_insecure</f>
        <v>0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0</v>
      </c>
      <c r="D12" s="60">
        <f>diarrhoea_1_5mo*frac_diarrhea_severe</f>
        <v>0</v>
      </c>
      <c r="E12" s="60">
        <f>diarrhoea_6_11mo*frac_diarrhea_severe</f>
        <v>0</v>
      </c>
      <c r="F12" s="60">
        <f>diarrhoea_12_23mo*frac_diarrhea_severe</f>
        <v>0</v>
      </c>
      <c r="G12" s="60">
        <f>diarrhoea_24_59mo*frac_diarrhea_severe</f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</v>
      </c>
      <c r="I15" s="60">
        <f t="shared" si="0"/>
        <v>0</v>
      </c>
      <c r="J15" s="60">
        <f t="shared" si="0"/>
        <v>0</v>
      </c>
      <c r="K15" s="60">
        <f t="shared" si="0"/>
        <v>0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</v>
      </c>
      <c r="I16" s="60">
        <f t="shared" si="0"/>
        <v>0</v>
      </c>
      <c r="J16" s="60">
        <f t="shared" si="0"/>
        <v>0</v>
      </c>
      <c r="K16" s="60">
        <f t="shared" si="0"/>
        <v>0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</v>
      </c>
      <c r="I19" s="60">
        <f>frac_malaria_risk</f>
        <v>0</v>
      </c>
      <c r="J19" s="60">
        <f>frac_malaria_risk</f>
        <v>0</v>
      </c>
      <c r="K19" s="60">
        <f>frac_malaria_risk</f>
        <v>0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</v>
      </c>
      <c r="M24" s="60">
        <f>famplan_unmet_need</f>
        <v>0</v>
      </c>
      <c r="N24" s="60">
        <f>famplan_unmet_need</f>
        <v>0</v>
      </c>
      <c r="O24" s="60">
        <f>famplan_unmet_need</f>
        <v>0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0.49</v>
      </c>
      <c r="M25" s="60">
        <f>(1-food_insecure)*(0.49)+food_insecure*(0.7)</f>
        <v>0.49</v>
      </c>
      <c r="N25" s="60">
        <f>(1-food_insecure)*(0.49)+food_insecure*(0.7)</f>
        <v>0.49</v>
      </c>
      <c r="O25" s="60">
        <f>(1-food_insecure)*(0.49)+food_insecure*(0.7)</f>
        <v>0.49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0.21</v>
      </c>
      <c r="M26" s="60">
        <f>(1-food_insecure)*(0.21)+food_insecure*(0.3)</f>
        <v>0.21</v>
      </c>
      <c r="N26" s="60">
        <f>(1-food_insecure)*(0.21)+food_insecure*(0.3)</f>
        <v>0.21</v>
      </c>
      <c r="O26" s="60">
        <f>(1-food_insecure)*(0.21)+food_insecure*(0.3)</f>
        <v>0.21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0.3</v>
      </c>
      <c r="M27" s="60">
        <f>(1-food_insecure)*(0.3)</f>
        <v>0.3</v>
      </c>
      <c r="N27" s="60">
        <f>(1-food_insecure)*(0.3)</f>
        <v>0.3</v>
      </c>
      <c r="O27" s="60">
        <f>(1-food_insecure)*(0.3)</f>
        <v>0.3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</v>
      </c>
      <c r="F30" s="60">
        <f t="shared" si="1"/>
        <v>0</v>
      </c>
      <c r="G30" s="60">
        <f t="shared" si="1"/>
        <v>0</v>
      </c>
      <c r="H30" s="60">
        <f t="shared" si="1"/>
        <v>0</v>
      </c>
      <c r="I30" s="60">
        <f t="shared" si="1"/>
        <v>0</v>
      </c>
      <c r="J30" s="60">
        <f t="shared" si="1"/>
        <v>0</v>
      </c>
      <c r="K30" s="60">
        <f t="shared" si="1"/>
        <v>0</v>
      </c>
      <c r="L30" s="60">
        <f t="shared" si="1"/>
        <v>0</v>
      </c>
      <c r="M30" s="60">
        <f t="shared" si="1"/>
        <v>0</v>
      </c>
      <c r="N30" s="60">
        <f t="shared" si="1"/>
        <v>0</v>
      </c>
      <c r="O30" s="60">
        <f t="shared" si="1"/>
        <v>0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</v>
      </c>
      <c r="F31" s="60">
        <f t="shared" si="2"/>
        <v>0</v>
      </c>
      <c r="G31" s="60">
        <f t="shared" si="2"/>
        <v>0</v>
      </c>
      <c r="H31" s="60">
        <f t="shared" si="2"/>
        <v>0</v>
      </c>
      <c r="I31" s="60">
        <f t="shared" si="2"/>
        <v>0</v>
      </c>
      <c r="J31" s="60">
        <f t="shared" si="2"/>
        <v>0</v>
      </c>
      <c r="K31" s="60">
        <f t="shared" si="2"/>
        <v>0</v>
      </c>
      <c r="L31" s="60">
        <f t="shared" si="2"/>
        <v>0</v>
      </c>
      <c r="M31" s="60">
        <f t="shared" si="2"/>
        <v>0</v>
      </c>
      <c r="N31" s="60">
        <f t="shared" si="2"/>
        <v>0</v>
      </c>
      <c r="O31" s="60">
        <f t="shared" si="2"/>
        <v>0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</v>
      </c>
      <c r="F32" s="60">
        <f t="shared" si="3"/>
        <v>0</v>
      </c>
      <c r="G32" s="60">
        <f t="shared" si="3"/>
        <v>0</v>
      </c>
      <c r="H32" s="60">
        <f t="shared" si="3"/>
        <v>0</v>
      </c>
      <c r="I32" s="60">
        <f t="shared" si="3"/>
        <v>0</v>
      </c>
      <c r="J32" s="60">
        <f t="shared" si="3"/>
        <v>0</v>
      </c>
      <c r="K32" s="60">
        <f t="shared" si="3"/>
        <v>0</v>
      </c>
      <c r="L32" s="60">
        <f t="shared" si="3"/>
        <v>0</v>
      </c>
      <c r="M32" s="60">
        <f t="shared" si="3"/>
        <v>0</v>
      </c>
      <c r="N32" s="60">
        <f t="shared" si="3"/>
        <v>0</v>
      </c>
      <c r="O32" s="60">
        <f t="shared" si="3"/>
        <v>0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</v>
      </c>
      <c r="D34" s="60">
        <f t="shared" si="4"/>
        <v>0</v>
      </c>
      <c r="E34" s="60">
        <f t="shared" si="4"/>
        <v>0</v>
      </c>
      <c r="F34" s="60">
        <f t="shared" si="4"/>
        <v>0</v>
      </c>
      <c r="G34" s="60">
        <f t="shared" si="4"/>
        <v>0</v>
      </c>
      <c r="H34" s="60">
        <f t="shared" si="4"/>
        <v>0</v>
      </c>
      <c r="I34" s="60">
        <f t="shared" si="4"/>
        <v>0</v>
      </c>
      <c r="J34" s="60">
        <f t="shared" si="4"/>
        <v>0</v>
      </c>
      <c r="K34" s="60">
        <f t="shared" si="4"/>
        <v>0</v>
      </c>
      <c r="L34" s="60">
        <f t="shared" si="4"/>
        <v>0</v>
      </c>
      <c r="M34" s="60">
        <f t="shared" si="4"/>
        <v>0</v>
      </c>
      <c r="N34" s="60">
        <f t="shared" si="4"/>
        <v>0</v>
      </c>
      <c r="O34" s="60">
        <f t="shared" si="4"/>
        <v>0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DC7n2gRXv5oJacwUqpF/Uwl0dyfShuOM0s0D7y8rgVZH/eVzVlv4/kNkkntID9m1zCTUlf9SHH2mE8f83dFM1g==" saltValue="aYDWl5LsWDd2v2V53QFkx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1n3QgdPabKeUcXTQpw0Y4te+bsa7B/CLHGZDP+2wV7MtKw75S8cO81TuigNBiQ2PEoe9HtZcYxP4W1XkUKmMfw==" saltValue="kdgxtLhkoY9cjMboZJzwC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w5DECh7XaerqXGcM5inBOKKiWnMduS4FY9jSmo6hX8GnHpWvWwTcdZSLv4OulKgumkU3wwFvC06MDeBluYGCzA==" saltValue="KDq4Wh057mkqTboiSejLt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ie7BYahZ49PXUfm9bzRO+TDfCHj7Lr4TQyXfUAATB2bNDTiffVALL2Jl6jTZUZgrgddioqIlM7PEukZHn+Q2tQ==" saltValue="oWsX+jw5QVBOnPJRmcp3X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B20" workbookViewId="0">
      <selection activeCell="B2" sqref="B2:L39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bfgc8sB+eGv8kfYPu5YVliFccxC64t8DTTegQ2TH/2IZuyVji9qMJJK7oQgTZcVIKQiF2WCyVeSrIPVY98L+yA==" saltValue="AUS+o3lhJf2SnkWhxLs2I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kZ+nI+q/eCcBZVSOOge0xOOVDCx9ofGa9F97nKBgU7gI+VPD8x6p5bZxXvXBIm9KbNfSUF91/IzgkOpQkNsrxw==" saltValue="mfcu1WAE2nn5GFMUex3DM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aeiFifHTTUBFQteGhzKvj8LLcRbrvkLb8nHMonN+5ynj/NW3dZFdNu5ZC76LPvJS++4fCtkHWhNX+uBGQ87JBA==" saltValue="OGRa/cx1fprbCBKPGO79i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ncMQEUid7qkJ+0zJ9CSC6Skv8Lc5uc56p4InYMKuvP1TXjT5oN9KWwzMwjzi6BkUeuSLIqlaWeZ2bRfyCPmF/A==" saltValue="c71rGejPtHDI5lnbQAJc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pMXwbBrJxHfMGEX+QA9dslFggnAo/4LXIpq4X2hLEb+I/PEVCape//Ey9SNrtgLpgCRwb9c3jjzCs/mbFj8OrA==" saltValue="qmNxtyRUji51bb19+Tblz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i+DzPLwV5IFmblmYF6Rc0acsdXB4OszlpbtdftHB4vOQiwJeuNwyGAI+vODVhd0b79Ce6WmA2ReIzdx3Mzf+Q==" saltValue="kTOzLGzs37hxAhoWhHZb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KFH+/8LzTthOrZ5eZ4ONru5lQ8ZsazxbzZvcpK1U59E4R9RUawEzaTehEOCmSBD4up3FRdoQcWMWi1bxx5ofWg==" saltValue="6YRXwTNind8Q1eqOehRV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A3" zoomScale="70" zoomScaleNormal="70" workbookViewId="0">
      <selection activeCell="C3" sqref="C3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IgTkBTjwNOX6+2SkfmvRlSzR7NT0EFzQjM5ds0rrh+9DRai1cI7r6T4mqs7rMB1F4ff6vit2r7bLf4FCszSxhg==" saltValue="FdfaW4o1ZrmHSVRgAnb5+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gDAZKc/Ijre/PSYxKn5QhuVCXBb+rX5EofJeqhbKdg6B/rgk1tgi8gMmjbywsV9iX2a2EoznyYtGvS5q4wk08w==" saltValue="QZI0fLGYeM35stYgB1K8Y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zoomScale="70" zoomScaleNormal="70" workbookViewId="0">
      <selection activeCell="D2" sqref="D2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htgbcz5v7ETFU6DzRuYC7Le4D/aQjpEtbN/hX4AZ1uWu+vDQ6Cx1HUe63WOEdLU5gbghFKDp2Z6VJndwRlyruA==" saltValue="Tg9nz6KBwSAmkY/9C7dKE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FbGEti3UttfXdkQNk+orhX9QyG5aA0D32gb49G2dNPNIVsM7fqgdSV3DbmiofnWek4k/lAUrRcbLXrlgBD6goQ==" saltValue="Lv/l1IGA3gYg6uiNiUeCV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2025-07-08T03:49:59Z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