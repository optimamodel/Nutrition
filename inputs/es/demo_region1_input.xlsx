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4981B876-DA7E-4745-8DFC-025DB1E8A49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state="hidden" r:id="rId6"/>
    <sheet name="Pérdida económica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6">'[1]Baseline year population inputs'!$C$41</definedName>
    <definedName name="abortion" localSheetId="5">'[1]Baseline year population inputs'!$C$41</definedName>
    <definedName name="abortion">'Entradas de población-año base'!$C$41</definedName>
    <definedName name="comm_deliv" localSheetId="6">'[1]Treatment of SAM'!$D$3</definedName>
    <definedName name="comm_deliv" localSheetId="5">'[1]Treatment of SAM'!$D$3</definedName>
    <definedName name="comm_deliv">'Tratamiento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'Entradas de población-año base'!$C$52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'Entradas de población-año base'!$C$54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'Entradas de población-año base'!$C$51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'Entradas de población-año base'!$C$55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'Entradas de población-año base'!$C$53</definedName>
    <definedName name="end_year" localSheetId="6">'[1]Baseline year population inputs'!$C$4</definedName>
    <definedName name="end_year" localSheetId="5">'[1]Baseline year population inputs'!$C$4</definedName>
    <definedName name="end_year">'Entradas de población-año base'!$C$4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'Entradas de población-año base'!$C$13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'Entradas de población-año base'!$C$8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'Entradas de población-año base'!$C$12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'Entradas de población-año base'!$C$58</definedName>
    <definedName name="frac_maize" localSheetId="6">'[1]Baseline year population inputs'!$C$19</definedName>
    <definedName name="frac_maize" localSheetId="5">'[1]Baseline year population inputs'!$C$19</definedName>
    <definedName name="frac_maize">'Entradas de población-año base'!$C$19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'Entradas de población-año base'!$C$9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'Distribución estado nutricional'!$D$10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'Distribución estado nutricional'!$F$10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'Distribución estado nutricional'!$C$10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'Distribución estado nutricional'!$G$10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'Distribución estado nutricional'!$E$10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'Entradas de población-año base'!$C$11</definedName>
    <definedName name="frac_rice" localSheetId="6">'[1]Baseline year population inputs'!$C$17</definedName>
    <definedName name="frac_rice" localSheetId="5">'[1]Baseline year population inputs'!$C$17</definedName>
    <definedName name="frac_rice">'Entradas de población-año base'!$C$17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'Distribución estado nutricional'!$D$11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'Distribución estado nutricional'!$F$11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'Distribución estado nutricional'!$C$11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'Distribución estado nutricional'!$G$11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'Distribución estado nutricional'!$E$11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6">'[1]Baseline year population inputs'!$C$18</definedName>
    <definedName name="frac_wheat" localSheetId="5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6">'[1]Baseline year population inputs'!$C$46</definedName>
    <definedName name="preterm_AGA" localSheetId="5">'[1]Baseline year population inputs'!$C$46</definedName>
    <definedName name="preterm_AGA">'Entradas de población-año base'!$C$46</definedName>
    <definedName name="preterm_SGA" localSheetId="6">'[1]Baseline year population inputs'!$C$45</definedName>
    <definedName name="preterm_SGA" localSheetId="5">'[1]Baseline year population inputs'!$C$45</definedName>
    <definedName name="preterm_SGA">'Entradas de población-año base'!$C$45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'Entradas de población-año base'!$C$10</definedName>
    <definedName name="start_year" localSheetId="6">'[1]Baseline year population inputs'!$C$3</definedName>
    <definedName name="start_year" localSheetId="5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6">'[1]Baseline year population inputs'!$C$42</definedName>
    <definedName name="stillbirth" localSheetId="5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6">'[1]Baseline year population inputs'!$C$47</definedName>
    <definedName name="term_SGA" localSheetId="5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<sst xmlns="http://schemas.openxmlformats.org/spreadsheetml/2006/main" count="2093" uniqueCount="341">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</sst>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19</v>
      </c>
      <c r="B1" s="30" t="s">
        <v>4</v>
      </c>
      <c r="C1" s="30" t="s">
        <v>24</v>
      </c>
    </row>
    <row r="2" spans="1:3" ht="16" customHeight="1" x14ac:dyDescent="0.3">
      <c r="A2" s="8" t="s">
        <v>55</v>
      </c>
      <c r="B2" s="30"/>
      <c r="C2" s="30"/>
    </row>
    <row r="3" spans="1:3" ht="16" customHeight="1" x14ac:dyDescent="0.3">
      <c r="A3" s="1"/>
      <c r="B3" s="5" t="s">
        <v>18</v>
      </c>
      <c r="C3" s="48">
        <v>2017</v>
      </c>
    </row>
    <row r="4" spans="1:3" ht="16" customHeight="1" x14ac:dyDescent="0.3">
      <c r="A4" s="1"/>
      <c r="B4" s="5" t="s">
        <v>26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0">
        <v>9862402</v>
      </c>
    </row>
    <row r="8" spans="1:3" ht="15" customHeight="1" x14ac:dyDescent="0.25">
      <c r="B8" s="5" t="s">
        <v>44</v>
      </c>
      <c r="C8" s="51">
        <v>0.28199999999999997</v>
      </c>
    </row>
    <row r="9" spans="1:3" ht="15" customHeight="1" x14ac:dyDescent="0.25">
      <c r="B9" s="5" t="s">
        <v>43</v>
      </c>
      <c r="C9" s="52">
        <v>1</v>
      </c>
    </row>
    <row r="10" spans="1:3" ht="15" customHeight="1" x14ac:dyDescent="0.25">
      <c r="B10" s="5" t="s">
        <v>56</v>
      </c>
      <c r="C10" s="52">
        <v>0.23</v>
      </c>
    </row>
    <row r="11" spans="1:3" ht="15" customHeight="1" x14ac:dyDescent="0.25">
      <c r="B11" s="5" t="s">
        <v>49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62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2">
        <v>0.3</v>
      </c>
    </row>
    <row r="17" spans="1:3" ht="15" customHeight="1" x14ac:dyDescent="0.25">
      <c r="B17" s="5" t="s">
        <v>30</v>
      </c>
      <c r="C17" s="52">
        <v>0.1</v>
      </c>
    </row>
    <row r="18" spans="1:3" ht="15" customHeight="1" x14ac:dyDescent="0.25">
      <c r="B18" s="5" t="s">
        <v>31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34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2">
        <v>0.127</v>
      </c>
    </row>
    <row r="24" spans="1:3" ht="15" customHeight="1" x14ac:dyDescent="0.25">
      <c r="B24" s="15" t="s">
        <v>46</v>
      </c>
      <c r="C24" s="52">
        <v>0.45200000000000001</v>
      </c>
    </row>
    <row r="25" spans="1:3" ht="15" customHeight="1" x14ac:dyDescent="0.25">
      <c r="B25" s="15" t="s">
        <v>47</v>
      </c>
      <c r="C25" s="52">
        <v>0.33400000000000002</v>
      </c>
    </row>
    <row r="26" spans="1:3" ht="15" customHeight="1" x14ac:dyDescent="0.25">
      <c r="B26" s="15" t="s">
        <v>48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4" t="s">
        <v>27</v>
      </c>
      <c r="C29" s="53">
        <v>0.20799999999999999</v>
      </c>
    </row>
    <row r="30" spans="1:3" ht="14.25" customHeight="1" x14ac:dyDescent="0.25">
      <c r="B30" s="24" t="s">
        <v>63</v>
      </c>
      <c r="C30" s="53">
        <v>0.63700000000000001</v>
      </c>
    </row>
    <row r="31" spans="1:3" ht="14.25" customHeight="1" x14ac:dyDescent="0.25">
      <c r="B31" s="24" t="s">
        <v>10</v>
      </c>
      <c r="C31" s="53">
        <v>0.11899999999999999</v>
      </c>
    </row>
    <row r="32" spans="1:3" ht="14.25" customHeight="1" x14ac:dyDescent="0.25">
      <c r="B32" s="24" t="s">
        <v>11</v>
      </c>
      <c r="C32" s="53">
        <v>3.5999999999999997E-2</v>
      </c>
    </row>
    <row r="33" spans="1:5" ht="13" x14ac:dyDescent="0.25">
      <c r="B33" s="26" t="s">
        <v>60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4">
        <v>25</v>
      </c>
    </row>
    <row r="38" spans="1:5" ht="15" customHeight="1" x14ac:dyDescent="0.25">
      <c r="B38" s="11" t="s">
        <v>35</v>
      </c>
      <c r="C38" s="54">
        <v>43</v>
      </c>
      <c r="D38" s="12"/>
      <c r="E38" s="13"/>
    </row>
    <row r="39" spans="1:5" ht="15" customHeight="1" x14ac:dyDescent="0.25">
      <c r="B39" s="11" t="s">
        <v>61</v>
      </c>
      <c r="C39" s="54">
        <v>67</v>
      </c>
      <c r="D39" s="12"/>
      <c r="E39" s="12"/>
    </row>
    <row r="40" spans="1:5" ht="15" customHeight="1" x14ac:dyDescent="0.25">
      <c r="B40" s="11" t="s">
        <v>36</v>
      </c>
      <c r="C40" s="54">
        <v>4.01</v>
      </c>
    </row>
    <row r="41" spans="1:5" ht="15" customHeight="1" x14ac:dyDescent="0.25">
      <c r="B41" s="11" t="s">
        <v>32</v>
      </c>
      <c r="C41" s="52">
        <v>0.13</v>
      </c>
    </row>
    <row r="42" spans="1:5" ht="15" customHeight="1" x14ac:dyDescent="0.25">
      <c r="B42" s="11" t="s">
        <v>57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2">
        <v>3.1E-2</v>
      </c>
      <c r="D45" s="12"/>
    </row>
    <row r="46" spans="1:5" ht="15.75" customHeight="1" x14ac:dyDescent="0.25">
      <c r="B46" s="11" t="s">
        <v>51</v>
      </c>
      <c r="C46" s="52">
        <v>0.109</v>
      </c>
      <c r="D46" s="12"/>
    </row>
    <row r="47" spans="1:5" ht="15.75" customHeight="1" x14ac:dyDescent="0.25">
      <c r="B47" s="11" t="s">
        <v>59</v>
      </c>
      <c r="C47" s="52">
        <v>0.36499999999999999</v>
      </c>
      <c r="D47" s="12"/>
      <c r="E47" s="13"/>
    </row>
    <row r="48" spans="1:5" ht="15" customHeight="1" x14ac:dyDescent="0.25">
      <c r="B48" s="11" t="s">
        <v>58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55">
        <v>1.66</v>
      </c>
      <c r="D51" s="12"/>
    </row>
    <row r="52" spans="1:4" ht="15" customHeight="1" x14ac:dyDescent="0.25">
      <c r="B52" s="11" t="s">
        <v>13</v>
      </c>
      <c r="C52" s="55">
        <v>1.66</v>
      </c>
    </row>
    <row r="53" spans="1:4" ht="15.75" customHeight="1" x14ac:dyDescent="0.25">
      <c r="B53" s="11" t="s">
        <v>16</v>
      </c>
      <c r="C53" s="55">
        <v>5.64</v>
      </c>
    </row>
    <row r="54" spans="1:4" ht="15.75" customHeight="1" x14ac:dyDescent="0.25">
      <c r="B54" s="11" t="s">
        <v>14</v>
      </c>
      <c r="C54" s="55">
        <v>5.43</v>
      </c>
    </row>
    <row r="55" spans="1:4" ht="15.75" customHeight="1" x14ac:dyDescent="0.25">
      <c r="B55" s="11" t="s">
        <v>15</v>
      </c>
      <c r="C55" s="55">
        <v>1.91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1">
        <v>0.2</v>
      </c>
    </row>
    <row r="59" spans="1:4" ht="15.75" customHeight="1" x14ac:dyDescent="0.25">
      <c r="B59" s="11" t="s">
        <v>40</v>
      </c>
      <c r="C59" s="51">
        <v>0.42</v>
      </c>
    </row>
    <row r="60" spans="1:4" ht="15.75" customHeight="1" x14ac:dyDescent="0.25">
      <c r="B60" s="11" t="s">
        <v>54</v>
      </c>
      <c r="C60" s="51">
        <v>4.5999999999999999E-2</v>
      </c>
    </row>
    <row r="61" spans="1:4" ht="15.75" customHeight="1" x14ac:dyDescent="0.25">
      <c r="B61" s="11" t="s">
        <v>53</v>
      </c>
      <c r="C61" s="51">
        <v>1.4E-2</v>
      </c>
    </row>
    <row r="62" spans="1:4" ht="15.75" customHeight="1" x14ac:dyDescent="0.25">
      <c r="B62" s="11" t="s">
        <v>64</v>
      </c>
      <c r="C62" s="51">
        <v>0.02</v>
      </c>
    </row>
    <row r="63" spans="1:4" ht="15.75" customHeight="1" x14ac:dyDescent="0.3">
      <c r="A63" s="4"/>
    </row>
  </sheetData>
  <sheetProtection algorithmName="SHA-512" hashValue="+QQyC5ufTbkFSHu6GY8qZ9Iynh9nxyS6GsxZ4K3oYcGVX/A8lP6vL5FJqUvn9BhW4uyaVdMy1AX9EKlEXlWl5g==" saltValue="yXI6W+MOErRMNsG2qeo0l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nAtpXo9zQdrODk3Xuy963t5i1b6cni1TzqkZzagl/ujeZQaJGEkAya72eF4qvQW3Yn8PHJJxs0MxjW8uIAlK9w==" saltValue="WaHJmElEMC0NvR1GnbDX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82</v>
      </c>
      <c r="C2" s="30" t="s">
        <v>78</v>
      </c>
      <c r="D2" s="30"/>
      <c r="E2" s="30"/>
      <c r="F2" s="30"/>
      <c r="G2" s="30"/>
    </row>
    <row r="3" spans="1:8" ht="15.75" customHeight="1" x14ac:dyDescent="0.25">
      <c r="B3" s="19" t="s">
        <v>93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95</v>
      </c>
      <c r="C5" s="58">
        <v>6.2100000000000002E-2</v>
      </c>
    </row>
    <row r="6" spans="1:8" ht="15.75" customHeight="1" x14ac:dyDescent="0.25">
      <c r="B6" s="19" t="s">
        <v>91</v>
      </c>
      <c r="C6" s="58">
        <v>0.29289999999999999</v>
      </c>
    </row>
    <row r="7" spans="1:8" ht="15.75" customHeight="1" x14ac:dyDescent="0.25">
      <c r="B7" s="19" t="s">
        <v>96</v>
      </c>
      <c r="C7" s="58">
        <v>0.24709999999999999</v>
      </c>
    </row>
    <row r="8" spans="1:8" ht="15.75" customHeight="1" x14ac:dyDescent="0.25">
      <c r="B8" s="19" t="s">
        <v>98</v>
      </c>
      <c r="C8" s="58">
        <v>4.7999999999999996E-3</v>
      </c>
    </row>
    <row r="9" spans="1:8" ht="15.75" customHeight="1" x14ac:dyDescent="0.25">
      <c r="B9" s="19" t="s">
        <v>92</v>
      </c>
      <c r="C9" s="58">
        <v>0.13200000000000001</v>
      </c>
    </row>
    <row r="10" spans="1:8" ht="15.75" customHeight="1" x14ac:dyDescent="0.25">
      <c r="B10" s="19" t="s">
        <v>94</v>
      </c>
      <c r="C10" s="58">
        <v>6.1800000000000001E-2</v>
      </c>
    </row>
    <row r="11" spans="1:8" ht="15.75" customHeight="1" x14ac:dyDescent="0.25">
      <c r="B11" s="26" t="s">
        <v>60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0" t="s">
        <v>82</v>
      </c>
      <c r="C13" s="18" t="s">
        <v>74</v>
      </c>
      <c r="D13" s="18" t="s">
        <v>77</v>
      </c>
      <c r="E13" s="18" t="s">
        <v>75</v>
      </c>
      <c r="F13" s="18" t="s">
        <v>76</v>
      </c>
      <c r="G13" s="19"/>
    </row>
    <row r="14" spans="1:8" ht="15.75" customHeight="1" x14ac:dyDescent="0.25">
      <c r="B14" s="19" t="s">
        <v>84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102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101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79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88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99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60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0" t="s">
        <v>82</v>
      </c>
      <c r="C25" s="30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8">
        <v>0.10082724000000001</v>
      </c>
    </row>
    <row r="27" spans="1:8" ht="15.75" customHeight="1" x14ac:dyDescent="0.25">
      <c r="B27" s="19" t="s">
        <v>89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86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80</v>
      </c>
      <c r="C31" s="58">
        <v>3.9028409999999999E-2</v>
      </c>
    </row>
    <row r="32" spans="1:8" ht="15.75" customHeight="1" x14ac:dyDescent="0.25">
      <c r="B32" s="19" t="s">
        <v>85</v>
      </c>
      <c r="C32" s="58">
        <v>8.5254999999999999E-4</v>
      </c>
    </row>
    <row r="33" spans="2:3" ht="15.75" customHeight="1" x14ac:dyDescent="0.25">
      <c r="B33" s="19" t="s">
        <v>100</v>
      </c>
      <c r="C33" s="58">
        <v>6.8467810000000004E-2</v>
      </c>
    </row>
    <row r="34" spans="2:3" ht="15.75" customHeight="1" x14ac:dyDescent="0.25">
      <c r="B34" s="19" t="s">
        <v>87</v>
      </c>
      <c r="C34" s="58">
        <v>0.38127283000000001</v>
      </c>
    </row>
    <row r="35" spans="2:3" ht="15.75" customHeight="1" x14ac:dyDescent="0.25">
      <c r="B35" s="26" t="s">
        <v>60</v>
      </c>
      <c r="C35" s="113">
        <f>SUM(C26:C34)</f>
        <v>1</v>
      </c>
    </row>
  </sheetData>
  <sheetProtection algorithmName="SHA-512" hashValue="N/f5GN0z8tTAg/dBU5N3K2Agt7IqGll9rc56Ktza1Sd8SmBl20OqreqSWDK97qbpIWM1JtzAVkFu+9TtCtlmtA==" saltValue="u256WHRI7NpMggvI18FlM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D11" sqref="D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0.51268059916993503</v>
      </c>
      <c r="F2" s="114">
        <f>IFERROR(1-_xlfn.NORM.DIST(_xlfn.NORM.INV(SUM(F4:F5), 0, 1) + 1, 0, 1, TRUE), "")</f>
        <v>0.30815857585736128</v>
      </c>
      <c r="G2" s="114">
        <f>IFERROR(1-_xlfn.NORM.DIST(_xlfn.NORM.INV(SUM(G4:G5), 0, 1) + 1, 0, 1, TRUE), "")</f>
        <v>0.27515252880031782</v>
      </c>
    </row>
    <row r="3" spans="1:15" ht="15.75" customHeight="1" x14ac:dyDescent="0.25">
      <c r="B3" s="5" t="s">
        <v>108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0.33623435984645883</v>
      </c>
      <c r="F3" s="114">
        <f>IFERROR(_xlfn.NORM.DIST(_xlfn.NORM.INV(SUM(F4:F5), 0, 1) + 1, 0, 1, TRUE) - SUM(F4:F5), "")</f>
        <v>0.3829247184804957</v>
      </c>
      <c r="G3" s="114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110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106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122</v>
      </c>
      <c r="B8" s="5" t="s">
        <v>112</v>
      </c>
      <c r="C8" s="114">
        <f>IFERROR(1-_xlfn.NORM.DIST(_xlfn.NORM.INV(SUM(C10:C11), 0, 1) + 1, 0, 1, TRUE), "")</f>
        <v>0.72815679319755799</v>
      </c>
      <c r="D8" s="114">
        <f>IFERROR(1-_xlfn.NORM.DIST(_xlfn.NORM.INV(SUM(D10:D11), 0, 1) + 1, 0, 1, TRUE), "")</f>
        <v>0.72815679319755799</v>
      </c>
      <c r="E8" s="114">
        <f>IFERROR(1-_xlfn.NORM.DIST(_xlfn.NORM.INV(SUM(E10:E11), 0, 1) + 1, 0, 1, TRUE), "")</f>
        <v>0.74128269501188215</v>
      </c>
      <c r="F8" s="114">
        <f>IFERROR(1-_xlfn.NORM.DIST(_xlfn.NORM.INV(SUM(F10:F11), 0, 1) + 1, 0, 1, TRUE), "")</f>
        <v>0.80046768973733329</v>
      </c>
      <c r="G8" s="114">
        <f>IFERROR(1-_xlfn.NORM.DIST(_xlfn.NORM.INV(SUM(G10:G11), 0, 1) + 1, 0, 1, TRUE), "")</f>
        <v>0.85559010266351077</v>
      </c>
    </row>
    <row r="9" spans="1:15" ht="15.75" customHeight="1" x14ac:dyDescent="0.25">
      <c r="B9" s="5" t="s">
        <v>109</v>
      </c>
      <c r="C9" s="114">
        <f>IFERROR(_xlfn.NORM.DIST(_xlfn.NORM.INV(SUM(C10:C11), 0, 1) + 1, 0, 1, TRUE) - SUM(C10:C11), "")</f>
        <v>0.21784320680244201</v>
      </c>
      <c r="D9" s="114">
        <f>IFERROR(_xlfn.NORM.DIST(_xlfn.NORM.INV(SUM(D10:D11), 0, 1) + 1, 0, 1, TRUE) - SUM(D10:D11), "")</f>
        <v>0.21784320680244201</v>
      </c>
      <c r="E9" s="114">
        <f>IFERROR(_xlfn.NORM.DIST(_xlfn.NORM.INV(SUM(E10:E11), 0, 1) + 1, 0, 1, TRUE) - SUM(E10:E11), "")</f>
        <v>0.20896961268042552</v>
      </c>
      <c r="F9" s="114">
        <f>IFERROR(_xlfn.NORM.DIST(_xlfn.NORM.INV(SUM(F10:F11), 0, 1) + 1, 0, 1, TRUE) - SUM(F10:F11), "")</f>
        <v>0.16688918584732537</v>
      </c>
      <c r="G9" s="114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107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119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118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xa+YGk5Wuy28sFxOzIhNRR1zedbCcsFA6mbMb9S8mBZrSLkZmKs8ekqasA40skHOD5vxuPOd/DbGCUyQZCmXw==" saltValue="wi5o6uyTNgjAORlRv+PSfw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1" t="s">
        <v>124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127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126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125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Q++38OCCNLlUAsr0Zo+rE19ged1bpBXlJQapAu509ymTJC3t6HkkCSh06fYPU95gmvnNwBlF7J8v2h1oMYyHTw==" saltValue="VLQ2xfHOvu596I9Ri5pan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135</v>
      </c>
      <c r="B1" s="29" t="s">
        <v>133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136</v>
      </c>
      <c r="B2" s="45" t="s">
        <v>130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138</v>
      </c>
      <c r="B4" s="45" t="s">
        <v>130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128</v>
      </c>
      <c r="B6" s="45" t="s">
        <v>130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104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134</v>
      </c>
      <c r="B10" s="45" t="s">
        <v>129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131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37</v>
      </c>
      <c r="B13" s="45" t="s">
        <v>137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132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RhHZYLR8IrPjHl1/3uU2e//Ie5OqQ9YZ5vUpfB2AHOgd/zW7KaH1N/8lutJhGwVRfIWEy3N1ZZ4CasVG/MgxMA==" saltValue="tUI1aIKwbEMMqUXHwVULkQ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147</v>
      </c>
      <c r="B1" s="29" t="s">
        <v>145</v>
      </c>
    </row>
    <row r="2" spans="1:2" x14ac:dyDescent="0.25">
      <c r="A2" s="27" t="s">
        <v>144</v>
      </c>
      <c r="B2" s="116">
        <v>10</v>
      </c>
    </row>
    <row r="3" spans="1:2" x14ac:dyDescent="0.25">
      <c r="A3" s="27" t="s">
        <v>143</v>
      </c>
      <c r="B3" s="116">
        <v>10</v>
      </c>
    </row>
    <row r="4" spans="1:2" x14ac:dyDescent="0.25">
      <c r="A4" s="27" t="s">
        <v>142</v>
      </c>
      <c r="B4" s="116">
        <v>50</v>
      </c>
    </row>
    <row r="5" spans="1:2" x14ac:dyDescent="0.25">
      <c r="A5" s="27" t="s">
        <v>146</v>
      </c>
      <c r="B5" s="116">
        <v>100</v>
      </c>
    </row>
    <row r="6" spans="1:2" x14ac:dyDescent="0.25">
      <c r="A6" s="27" t="s">
        <v>140</v>
      </c>
      <c r="B6" s="116">
        <v>5</v>
      </c>
    </row>
    <row r="7" spans="1:2" x14ac:dyDescent="0.25">
      <c r="A7" s="27" t="s">
        <v>141</v>
      </c>
      <c r="B7" s="116">
        <v>5</v>
      </c>
    </row>
  </sheetData>
  <sheetProtection algorithmName="SHA-512" hashValue="7/CP87L4FRQNxS3f9Sy5I41/aIFVx8QhNWktlIja2X3GNnA/IsgD/6HTM9zn+3uAiXhWzTDbeMiX4/Ow8DgMJQ==" saltValue="ONm3/5RK+4FHlZS4hbc7zA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154</v>
      </c>
      <c r="B1" s="38" t="s">
        <v>156</v>
      </c>
      <c r="C1" s="38" t="s">
        <v>150</v>
      </c>
      <c r="D1" s="38" t="s">
        <v>149</v>
      </c>
      <c r="E1" s="38" t="s">
        <v>155</v>
      </c>
    </row>
    <row r="2" spans="1:5" ht="13" x14ac:dyDescent="0.3">
      <c r="A2" s="36" t="s">
        <v>151</v>
      </c>
      <c r="B2" s="34" t="s">
        <v>104</v>
      </c>
      <c r="C2" s="62"/>
      <c r="D2" s="62"/>
      <c r="E2" s="44" t="str">
        <f>IF(E$7="","",E$7)</f>
        <v/>
      </c>
    </row>
    <row r="3" spans="1:5" x14ac:dyDescent="0.25">
      <c r="B3" s="34" t="s">
        <v>78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74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77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75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148</v>
      </c>
      <c r="C7" s="33"/>
      <c r="D7" s="32"/>
      <c r="E7" s="62"/>
    </row>
    <row r="9" spans="1:5" ht="13" x14ac:dyDescent="0.3">
      <c r="A9" s="36" t="s">
        <v>152</v>
      </c>
      <c r="B9" s="34" t="s">
        <v>104</v>
      </c>
      <c r="C9" s="62"/>
      <c r="D9" s="62"/>
      <c r="E9" s="44" t="str">
        <f>IF(E$7="","",E$7)</f>
        <v/>
      </c>
    </row>
    <row r="10" spans="1:5" x14ac:dyDescent="0.25">
      <c r="B10" s="34" t="s">
        <v>78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74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77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75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148</v>
      </c>
      <c r="C14" s="33"/>
      <c r="D14" s="32"/>
      <c r="E14" s="62"/>
    </row>
    <row r="16" spans="1:5" ht="13" x14ac:dyDescent="0.3">
      <c r="A16" s="36" t="s">
        <v>153</v>
      </c>
      <c r="B16" s="34" t="s">
        <v>104</v>
      </c>
      <c r="C16" s="62"/>
      <c r="D16" s="62"/>
      <c r="E16" s="44" t="str">
        <f>IF(E$7="","",E$7)</f>
        <v/>
      </c>
    </row>
    <row r="17" spans="2:5" x14ac:dyDescent="0.25">
      <c r="B17" s="34" t="s">
        <v>78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74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77</v>
      </c>
      <c r="C19" s="62"/>
      <c r="D19" s="62"/>
      <c r="E19" s="44" t="str">
        <f>IF(E$7="","",E$7)</f>
        <v/>
      </c>
    </row>
    <row r="20" spans="2:5" x14ac:dyDescent="0.25">
      <c r="B20" s="34" t="s">
        <v>75</v>
      </c>
      <c r="C20" s="62"/>
      <c r="D20" s="62"/>
      <c r="E20" s="44" t="str">
        <f>IF(E$7="","",E$7)</f>
        <v/>
      </c>
    </row>
    <row r="21" spans="2:5" x14ac:dyDescent="0.25">
      <c r="B21" s="34" t="s">
        <v>148</v>
      </c>
      <c r="C21" s="33"/>
      <c r="D21" s="32"/>
      <c r="E21" s="62"/>
    </row>
  </sheetData>
  <sheetProtection algorithmName="SHA-512" hashValue="mQiDULTQh4Qo4yItRWUmNPS0Tx5ZUxLlHNWnNNYNV7zK/Ak0w7sgm+YHdtbwdWjxuqIc3kGibddv7TE25sJN3A==" saltValue="5f/qyjeQv2FqY8TJWMXT7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159</v>
      </c>
      <c r="C1" s="47" t="s">
        <v>161</v>
      </c>
      <c r="D1" s="47" t="s">
        <v>157</v>
      </c>
    </row>
    <row r="2" spans="1:4" ht="13" x14ac:dyDescent="0.3">
      <c r="A2" s="47" t="s">
        <v>163</v>
      </c>
      <c r="B2" s="34" t="s">
        <v>164</v>
      </c>
      <c r="C2" s="34" t="s">
        <v>162</v>
      </c>
      <c r="D2" s="62"/>
    </row>
    <row r="3" spans="1:4" ht="13" x14ac:dyDescent="0.3">
      <c r="A3" s="47" t="s">
        <v>160</v>
      </c>
      <c r="B3" s="34" t="s">
        <v>150</v>
      </c>
      <c r="C3" s="34" t="s">
        <v>158</v>
      </c>
      <c r="D3" s="62"/>
    </row>
  </sheetData>
  <sheetProtection algorithmName="SHA-512" hashValue="kewodCn+huCJ2rbTiZX/CdKd8x81WsCYTE6aWLDHsSX4MyVO6EUth81k5ColNxOR3HpzRCJ8oPMH0jloDY3RXQ==" saltValue="ttHz25g3ic8NX3xO+Fq4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163</v>
      </c>
      <c r="B1" s="40" t="str">
        <f>"Cobertura de referencia ("&amp;start_year&amp;")"</f>
        <v>Cobertura de referencia (2017)</v>
      </c>
      <c r="C1" s="40" t="s">
        <v>194</v>
      </c>
      <c r="D1" s="40" t="s">
        <v>195</v>
      </c>
      <c r="E1" s="40" t="s">
        <v>168</v>
      </c>
      <c r="F1" s="40" t="s">
        <v>187</v>
      </c>
      <c r="G1" s="40" t="s">
        <v>186</v>
      </c>
    </row>
    <row r="2" spans="1:7" ht="15.75" customHeight="1" x14ac:dyDescent="0.25">
      <c r="A2" s="39" t="s">
        <v>165</v>
      </c>
      <c r="B2" s="63">
        <v>0</v>
      </c>
      <c r="C2" s="63">
        <v>0.95</v>
      </c>
      <c r="D2" s="64">
        <v>25</v>
      </c>
      <c r="E2" s="64" t="s">
        <v>183</v>
      </c>
      <c r="F2" s="63">
        <v>1</v>
      </c>
      <c r="G2" s="63">
        <v>1</v>
      </c>
    </row>
    <row r="3" spans="1:7" ht="15.75" customHeight="1" x14ac:dyDescent="0.25">
      <c r="A3" s="39" t="s">
        <v>166</v>
      </c>
      <c r="B3" s="63">
        <v>0</v>
      </c>
      <c r="C3" s="63">
        <v>0.95</v>
      </c>
      <c r="D3" s="64">
        <v>1</v>
      </c>
      <c r="E3" s="64" t="s">
        <v>183</v>
      </c>
      <c r="F3" s="63">
        <v>1</v>
      </c>
      <c r="G3" s="63">
        <v>1</v>
      </c>
    </row>
    <row r="4" spans="1:7" ht="15.75" customHeight="1" x14ac:dyDescent="0.25">
      <c r="A4" s="39" t="s">
        <v>167</v>
      </c>
      <c r="B4" s="63">
        <v>0</v>
      </c>
      <c r="C4" s="63">
        <v>0.95</v>
      </c>
      <c r="D4" s="64">
        <v>90</v>
      </c>
      <c r="E4" s="64" t="s">
        <v>183</v>
      </c>
      <c r="F4" s="63">
        <v>1</v>
      </c>
      <c r="G4" s="63">
        <v>1</v>
      </c>
    </row>
    <row r="5" spans="1:7" ht="15.75" customHeight="1" x14ac:dyDescent="0.25">
      <c r="A5" s="39" t="s">
        <v>169</v>
      </c>
      <c r="B5" s="63">
        <v>0</v>
      </c>
      <c r="C5" s="63">
        <v>0.95</v>
      </c>
      <c r="D5" s="64">
        <v>1</v>
      </c>
      <c r="E5" s="64" t="s">
        <v>183</v>
      </c>
      <c r="F5" s="63">
        <v>1</v>
      </c>
      <c r="G5" s="63">
        <v>1</v>
      </c>
    </row>
    <row r="6" spans="1:7" ht="15.75" customHeight="1" x14ac:dyDescent="0.25">
      <c r="A6" s="39" t="s">
        <v>170</v>
      </c>
      <c r="B6" s="63">
        <v>0</v>
      </c>
      <c r="C6" s="63">
        <v>0.95</v>
      </c>
      <c r="D6" s="64">
        <v>0.82</v>
      </c>
      <c r="E6" s="64" t="s">
        <v>183</v>
      </c>
      <c r="F6" s="63">
        <v>1</v>
      </c>
      <c r="G6" s="63">
        <v>1</v>
      </c>
    </row>
    <row r="7" spans="1:7" ht="15.75" customHeight="1" x14ac:dyDescent="0.25">
      <c r="A7" s="39" t="s">
        <v>171</v>
      </c>
      <c r="B7" s="63">
        <v>0.36</v>
      </c>
      <c r="C7" s="63">
        <v>0.95</v>
      </c>
      <c r="D7" s="64">
        <v>0.25</v>
      </c>
      <c r="E7" s="64" t="s">
        <v>183</v>
      </c>
      <c r="F7" s="63">
        <v>1</v>
      </c>
      <c r="G7" s="63">
        <v>1</v>
      </c>
    </row>
    <row r="8" spans="1:7" ht="15.75" customHeight="1" x14ac:dyDescent="0.25">
      <c r="A8" s="39" t="s">
        <v>172</v>
      </c>
      <c r="B8" s="63">
        <v>0</v>
      </c>
      <c r="C8" s="63">
        <v>0.95</v>
      </c>
      <c r="D8" s="64">
        <v>0.75</v>
      </c>
      <c r="E8" s="64" t="s">
        <v>183</v>
      </c>
      <c r="F8" s="63">
        <v>1</v>
      </c>
      <c r="G8" s="63">
        <v>1</v>
      </c>
    </row>
    <row r="9" spans="1:7" ht="15.75" customHeight="1" x14ac:dyDescent="0.25">
      <c r="A9" s="39" t="s">
        <v>173</v>
      </c>
      <c r="B9" s="63">
        <v>0</v>
      </c>
      <c r="C9" s="63">
        <v>0.95</v>
      </c>
      <c r="D9" s="64">
        <v>0.19</v>
      </c>
      <c r="E9" s="64" t="s">
        <v>183</v>
      </c>
      <c r="F9" s="63">
        <v>1</v>
      </c>
      <c r="G9" s="63">
        <v>1</v>
      </c>
    </row>
    <row r="10" spans="1:7" ht="15.75" customHeight="1" x14ac:dyDescent="0.25">
      <c r="A10" s="45" t="s">
        <v>174</v>
      </c>
      <c r="B10" s="63">
        <v>0</v>
      </c>
      <c r="C10" s="63">
        <v>0.95</v>
      </c>
      <c r="D10" s="64">
        <v>0.73</v>
      </c>
      <c r="E10" s="64" t="s">
        <v>183</v>
      </c>
      <c r="F10" s="63">
        <v>1</v>
      </c>
      <c r="G10" s="63">
        <v>1</v>
      </c>
    </row>
    <row r="11" spans="1:7" ht="15.75" customHeight="1" x14ac:dyDescent="0.25">
      <c r="A11" s="45" t="s">
        <v>175</v>
      </c>
      <c r="B11" s="63">
        <v>0</v>
      </c>
      <c r="C11" s="63">
        <v>0.95</v>
      </c>
      <c r="D11" s="64">
        <v>1.78</v>
      </c>
      <c r="E11" s="64" t="s">
        <v>183</v>
      </c>
      <c r="F11" s="63">
        <v>1</v>
      </c>
      <c r="G11" s="63">
        <v>1</v>
      </c>
    </row>
    <row r="12" spans="1:7" ht="15.75" customHeight="1" x14ac:dyDescent="0.25">
      <c r="A12" s="45" t="s">
        <v>176</v>
      </c>
      <c r="B12" s="63">
        <v>0</v>
      </c>
      <c r="C12" s="63">
        <v>0.95</v>
      </c>
      <c r="D12" s="64">
        <v>0.24</v>
      </c>
      <c r="E12" s="64" t="s">
        <v>183</v>
      </c>
      <c r="F12" s="63">
        <v>1</v>
      </c>
      <c r="G12" s="63">
        <v>1</v>
      </c>
    </row>
    <row r="13" spans="1:7" ht="15.75" customHeight="1" x14ac:dyDescent="0.25">
      <c r="A13" s="45" t="s">
        <v>177</v>
      </c>
      <c r="B13" s="63">
        <v>0</v>
      </c>
      <c r="C13" s="63">
        <v>0.95</v>
      </c>
      <c r="D13" s="64">
        <v>0.55000000000000004</v>
      </c>
      <c r="E13" s="64" t="s">
        <v>183</v>
      </c>
      <c r="F13" s="63">
        <v>1</v>
      </c>
      <c r="G13" s="63">
        <v>1</v>
      </c>
    </row>
    <row r="14" spans="1:7" ht="15.75" customHeight="1" x14ac:dyDescent="0.25">
      <c r="A14" s="5" t="s">
        <v>178</v>
      </c>
      <c r="B14" s="63">
        <v>0</v>
      </c>
      <c r="C14" s="63">
        <v>0.95</v>
      </c>
      <c r="D14" s="64">
        <v>0.73</v>
      </c>
      <c r="E14" s="64" t="s">
        <v>183</v>
      </c>
      <c r="F14" s="63">
        <v>1</v>
      </c>
      <c r="G14" s="63">
        <v>1</v>
      </c>
    </row>
    <row r="15" spans="1:7" ht="15.75" customHeight="1" x14ac:dyDescent="0.25">
      <c r="A15" s="5" t="s">
        <v>179</v>
      </c>
      <c r="B15" s="63">
        <v>0</v>
      </c>
      <c r="C15" s="63">
        <v>0.95</v>
      </c>
      <c r="D15" s="64">
        <v>1.78</v>
      </c>
      <c r="E15" s="64" t="s">
        <v>183</v>
      </c>
      <c r="F15" s="63">
        <v>1</v>
      </c>
      <c r="G15" s="63">
        <v>1</v>
      </c>
    </row>
    <row r="16" spans="1:7" ht="15.75" customHeight="1" x14ac:dyDescent="0.25">
      <c r="A16" s="39" t="s">
        <v>180</v>
      </c>
      <c r="B16" s="63">
        <v>0.9</v>
      </c>
      <c r="C16" s="63">
        <v>0.95</v>
      </c>
      <c r="D16" s="64">
        <v>2.06</v>
      </c>
      <c r="E16" s="64" t="s">
        <v>183</v>
      </c>
      <c r="F16" s="63">
        <v>1</v>
      </c>
      <c r="G16" s="63">
        <v>1</v>
      </c>
    </row>
    <row r="17" spans="1:7" ht="15.75" customHeight="1" x14ac:dyDescent="0.25">
      <c r="A17" s="39" t="s">
        <v>181</v>
      </c>
      <c r="B17" s="63">
        <v>0.80800000000000005</v>
      </c>
      <c r="C17" s="63">
        <v>0.95</v>
      </c>
      <c r="D17" s="64">
        <v>0.05</v>
      </c>
      <c r="E17" s="64" t="s">
        <v>183</v>
      </c>
      <c r="F17" s="63">
        <v>1</v>
      </c>
      <c r="G17" s="63">
        <v>1</v>
      </c>
    </row>
    <row r="18" spans="1:7" ht="16" customHeight="1" x14ac:dyDescent="0.25">
      <c r="A18" s="39" t="s">
        <v>151</v>
      </c>
      <c r="B18" s="63">
        <v>0</v>
      </c>
      <c r="C18" s="63">
        <v>0.95</v>
      </c>
      <c r="D18" s="64">
        <v>5</v>
      </c>
      <c r="E18" s="64" t="s">
        <v>183</v>
      </c>
      <c r="F18" s="63">
        <v>1</v>
      </c>
      <c r="G18" s="63">
        <v>1</v>
      </c>
    </row>
    <row r="19" spans="1:7" ht="15.75" customHeight="1" x14ac:dyDescent="0.25">
      <c r="A19" s="39" t="s">
        <v>152</v>
      </c>
      <c r="B19" s="63">
        <v>0</v>
      </c>
      <c r="C19" s="63">
        <v>0.95</v>
      </c>
      <c r="D19" s="64">
        <v>5</v>
      </c>
      <c r="E19" s="64" t="s">
        <v>183</v>
      </c>
      <c r="F19" s="63">
        <v>1</v>
      </c>
      <c r="G19" s="63">
        <v>1</v>
      </c>
    </row>
    <row r="20" spans="1:7" ht="15.75" customHeight="1" x14ac:dyDescent="0.25">
      <c r="A20" s="39" t="s">
        <v>153</v>
      </c>
      <c r="B20" s="63">
        <v>0</v>
      </c>
      <c r="C20" s="63">
        <v>0.95</v>
      </c>
      <c r="D20" s="64">
        <v>5</v>
      </c>
      <c r="E20" s="64" t="s">
        <v>183</v>
      </c>
      <c r="F20" s="63">
        <v>1</v>
      </c>
      <c r="G20" s="63">
        <v>1</v>
      </c>
    </row>
    <row r="21" spans="1:7" ht="15.75" customHeight="1" x14ac:dyDescent="0.25">
      <c r="A21" s="39" t="s">
        <v>182</v>
      </c>
      <c r="B21" s="63">
        <v>0</v>
      </c>
      <c r="C21" s="63">
        <v>0.95</v>
      </c>
      <c r="D21" s="64">
        <v>8.84</v>
      </c>
      <c r="E21" s="64" t="s">
        <v>183</v>
      </c>
      <c r="F21" s="63">
        <v>1</v>
      </c>
      <c r="G21" s="63">
        <v>1</v>
      </c>
    </row>
    <row r="22" spans="1:7" ht="15.75" customHeight="1" x14ac:dyDescent="0.25">
      <c r="A22" s="39" t="s">
        <v>184</v>
      </c>
      <c r="B22" s="63">
        <v>0</v>
      </c>
      <c r="C22" s="63">
        <v>0.95</v>
      </c>
      <c r="D22" s="64">
        <v>50</v>
      </c>
      <c r="E22" s="64" t="s">
        <v>183</v>
      </c>
      <c r="F22" s="63">
        <v>1</v>
      </c>
      <c r="G22" s="63">
        <v>1</v>
      </c>
    </row>
    <row r="23" spans="1:7" ht="15.75" customHeight="1" x14ac:dyDescent="0.25">
      <c r="A23" s="39" t="s">
        <v>185</v>
      </c>
      <c r="B23" s="63">
        <v>0.50800000000000001</v>
      </c>
      <c r="C23" s="63">
        <v>0.95</v>
      </c>
      <c r="D23" s="64">
        <v>2.61</v>
      </c>
      <c r="E23" s="64" t="s">
        <v>183</v>
      </c>
      <c r="F23" s="63">
        <v>1</v>
      </c>
      <c r="G23" s="63">
        <v>1</v>
      </c>
    </row>
    <row r="24" spans="1:7" ht="15.75" customHeight="1" x14ac:dyDescent="0.25">
      <c r="A24" s="39" t="s">
        <v>188</v>
      </c>
      <c r="B24" s="63">
        <v>0</v>
      </c>
      <c r="C24" s="63">
        <v>0.95</v>
      </c>
      <c r="D24" s="64">
        <v>1</v>
      </c>
      <c r="E24" s="64" t="s">
        <v>183</v>
      </c>
      <c r="F24" s="63">
        <v>1</v>
      </c>
      <c r="G24" s="63">
        <v>1</v>
      </c>
    </row>
    <row r="25" spans="1:7" ht="15.75" customHeight="1" x14ac:dyDescent="0.25">
      <c r="A25" s="39" t="s">
        <v>189</v>
      </c>
      <c r="B25" s="63">
        <v>0</v>
      </c>
      <c r="C25" s="63">
        <v>0.95</v>
      </c>
      <c r="D25" s="64">
        <v>1</v>
      </c>
      <c r="E25" s="64" t="s">
        <v>183</v>
      </c>
      <c r="F25" s="63">
        <v>1</v>
      </c>
      <c r="G25" s="63">
        <v>1</v>
      </c>
    </row>
    <row r="26" spans="1:7" ht="15.75" customHeight="1" x14ac:dyDescent="0.25">
      <c r="A26" s="39" t="s">
        <v>190</v>
      </c>
      <c r="B26" s="63">
        <v>0.1</v>
      </c>
      <c r="C26" s="63">
        <v>0.95</v>
      </c>
      <c r="D26" s="64">
        <v>4.6500000000000004</v>
      </c>
      <c r="E26" s="64" t="s">
        <v>183</v>
      </c>
      <c r="F26" s="63">
        <v>1</v>
      </c>
      <c r="G26" s="63">
        <v>1</v>
      </c>
    </row>
    <row r="27" spans="1:7" ht="15.75" customHeight="1" x14ac:dyDescent="0.25">
      <c r="A27" s="39" t="s">
        <v>191</v>
      </c>
      <c r="B27" s="63">
        <v>0.3538</v>
      </c>
      <c r="C27" s="63">
        <v>0.95</v>
      </c>
      <c r="D27" s="64">
        <v>3.78</v>
      </c>
      <c r="E27" s="64" t="s">
        <v>183</v>
      </c>
      <c r="F27" s="63">
        <v>1</v>
      </c>
      <c r="G27" s="63">
        <v>1</v>
      </c>
    </row>
    <row r="28" spans="1:7" ht="15.75" customHeight="1" x14ac:dyDescent="0.25">
      <c r="A28" s="39" t="s">
        <v>192</v>
      </c>
      <c r="B28" s="63">
        <v>0</v>
      </c>
      <c r="C28" s="63">
        <v>0.95</v>
      </c>
      <c r="D28" s="64">
        <v>1</v>
      </c>
      <c r="E28" s="64" t="s">
        <v>183</v>
      </c>
      <c r="F28" s="63">
        <v>1</v>
      </c>
      <c r="G28" s="63">
        <v>1</v>
      </c>
    </row>
    <row r="29" spans="1:7" ht="15.75" customHeight="1" x14ac:dyDescent="0.25">
      <c r="A29" s="39" t="s">
        <v>193</v>
      </c>
      <c r="B29" s="63">
        <v>0</v>
      </c>
      <c r="C29" s="63">
        <v>0.95</v>
      </c>
      <c r="D29" s="64">
        <v>48</v>
      </c>
      <c r="E29" s="64" t="s">
        <v>183</v>
      </c>
      <c r="F29" s="63">
        <v>1</v>
      </c>
      <c r="G29" s="63">
        <v>1</v>
      </c>
    </row>
    <row r="30" spans="1:7" ht="15.75" customHeight="1" x14ac:dyDescent="0.25">
      <c r="A30" s="39" t="s">
        <v>204</v>
      </c>
      <c r="B30" s="63">
        <v>0</v>
      </c>
      <c r="C30" s="63">
        <v>0.95</v>
      </c>
      <c r="D30" s="64">
        <v>64</v>
      </c>
      <c r="E30" s="64" t="s">
        <v>183</v>
      </c>
      <c r="F30" s="63">
        <v>1</v>
      </c>
      <c r="G30" s="63">
        <v>1</v>
      </c>
    </row>
    <row r="31" spans="1:7" ht="15.75" customHeight="1" x14ac:dyDescent="0.25">
      <c r="A31" s="39" t="s">
        <v>164</v>
      </c>
      <c r="B31" s="63">
        <v>0</v>
      </c>
      <c r="C31" s="63">
        <v>0.95</v>
      </c>
      <c r="D31" s="64">
        <v>65</v>
      </c>
      <c r="E31" s="64" t="s">
        <v>183</v>
      </c>
      <c r="F31" s="63">
        <v>1</v>
      </c>
      <c r="G31" s="63">
        <v>1</v>
      </c>
    </row>
    <row r="32" spans="1:7" ht="15.75" customHeight="1" x14ac:dyDescent="0.25">
      <c r="A32" s="39" t="s">
        <v>196</v>
      </c>
      <c r="B32" s="63">
        <v>0.89970000000000006</v>
      </c>
      <c r="C32" s="63">
        <v>0.95</v>
      </c>
      <c r="D32" s="64">
        <v>0.41</v>
      </c>
      <c r="E32" s="64" t="s">
        <v>183</v>
      </c>
      <c r="F32" s="63">
        <v>1</v>
      </c>
      <c r="G32" s="63">
        <v>1</v>
      </c>
    </row>
    <row r="33" spans="1:7" ht="15.75" customHeight="1" x14ac:dyDescent="0.25">
      <c r="A33" s="39" t="s">
        <v>197</v>
      </c>
      <c r="B33" s="63">
        <v>0.80700000000000005</v>
      </c>
      <c r="C33" s="63">
        <v>0.95</v>
      </c>
      <c r="D33" s="64">
        <v>0.9</v>
      </c>
      <c r="E33" s="64" t="s">
        <v>183</v>
      </c>
      <c r="F33" s="63">
        <v>1</v>
      </c>
      <c r="G33" s="63">
        <v>1</v>
      </c>
    </row>
    <row r="34" spans="1:7" ht="15.75" customHeight="1" x14ac:dyDescent="0.25">
      <c r="A34" s="39" t="s">
        <v>198</v>
      </c>
      <c r="B34" s="63">
        <v>0.73199999999999998</v>
      </c>
      <c r="C34" s="63">
        <v>0.95</v>
      </c>
      <c r="D34" s="64">
        <v>0.9</v>
      </c>
      <c r="E34" s="64" t="s">
        <v>183</v>
      </c>
      <c r="F34" s="63">
        <v>1</v>
      </c>
      <c r="G34" s="63">
        <v>1</v>
      </c>
    </row>
    <row r="35" spans="1:7" ht="15.75" customHeight="1" x14ac:dyDescent="0.25">
      <c r="A35" s="39" t="s">
        <v>199</v>
      </c>
      <c r="B35" s="63">
        <v>0.316</v>
      </c>
      <c r="C35" s="63">
        <v>0.95</v>
      </c>
      <c r="D35" s="64">
        <v>79</v>
      </c>
      <c r="E35" s="64" t="s">
        <v>183</v>
      </c>
      <c r="F35" s="63">
        <v>1</v>
      </c>
      <c r="G35" s="63">
        <v>1</v>
      </c>
    </row>
    <row r="36" spans="1:7" ht="15.75" customHeight="1" x14ac:dyDescent="0.25">
      <c r="A36" s="39" t="s">
        <v>200</v>
      </c>
      <c r="B36" s="63">
        <v>0.59699999999999998</v>
      </c>
      <c r="C36" s="63">
        <v>0.95</v>
      </c>
      <c r="D36" s="64">
        <v>31</v>
      </c>
      <c r="E36" s="64" t="s">
        <v>183</v>
      </c>
      <c r="F36" s="63">
        <v>1</v>
      </c>
      <c r="G36" s="63">
        <v>1</v>
      </c>
    </row>
    <row r="37" spans="1:7" ht="15.75" customHeight="1" x14ac:dyDescent="0.25">
      <c r="A37" s="39" t="s">
        <v>201</v>
      </c>
      <c r="B37" s="63">
        <v>0.19900000000000001</v>
      </c>
      <c r="C37" s="63">
        <v>0.95</v>
      </c>
      <c r="D37" s="64">
        <v>102</v>
      </c>
      <c r="E37" s="64" t="s">
        <v>183</v>
      </c>
      <c r="F37" s="63">
        <v>1</v>
      </c>
      <c r="G37" s="63">
        <v>1</v>
      </c>
    </row>
    <row r="38" spans="1:7" ht="15.75" customHeight="1" x14ac:dyDescent="0.25">
      <c r="A38" s="39" t="s">
        <v>202</v>
      </c>
      <c r="B38" s="63">
        <v>0.13400000000000001</v>
      </c>
      <c r="C38" s="63">
        <v>0.95</v>
      </c>
      <c r="D38" s="64">
        <v>5.53</v>
      </c>
      <c r="E38" s="64" t="s">
        <v>183</v>
      </c>
      <c r="F38" s="63">
        <v>1</v>
      </c>
      <c r="G38" s="63">
        <v>1</v>
      </c>
    </row>
    <row r="39" spans="1:7" ht="15.75" customHeight="1" x14ac:dyDescent="0.25">
      <c r="A39" s="39" t="s">
        <v>203</v>
      </c>
      <c r="B39" s="63">
        <v>0</v>
      </c>
      <c r="C39" s="63">
        <v>0.95</v>
      </c>
      <c r="D39" s="64">
        <v>1</v>
      </c>
      <c r="E39" s="64" t="s">
        <v>183</v>
      </c>
      <c r="F39" s="63">
        <v>1</v>
      </c>
      <c r="G39" s="63">
        <v>1</v>
      </c>
    </row>
  </sheetData>
  <sheetProtection algorithmName="SHA-512" hashValue="GCZnRz8Tk8UuqqpjQvbNmvTUaM7sUWL0X3+nXhWvDpbWwR9+VMbfYIGxh9soRWs7IaqPkNeVkrPLBuC+VwwaUQ==" saltValue="1ivXai3YTM/EyGMV4sSDo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163</v>
      </c>
      <c r="B1" s="29" t="s">
        <v>205</v>
      </c>
      <c r="C1" s="29" t="s">
        <v>206</v>
      </c>
    </row>
    <row r="2" spans="1:3" x14ac:dyDescent="0.25">
      <c r="A2" s="65" t="s">
        <v>178</v>
      </c>
      <c r="B2" s="62" t="s">
        <v>191</v>
      </c>
      <c r="C2" s="62"/>
    </row>
    <row r="3" spans="1:3" x14ac:dyDescent="0.25">
      <c r="A3" s="65" t="s">
        <v>179</v>
      </c>
      <c r="B3" s="62" t="s">
        <v>191</v>
      </c>
      <c r="C3" s="62"/>
    </row>
    <row r="4" spans="1:3" x14ac:dyDescent="0.25">
      <c r="A4" s="66" t="s">
        <v>193</v>
      </c>
      <c r="B4" s="62" t="s">
        <v>184</v>
      </c>
      <c r="C4" s="62"/>
    </row>
    <row r="5" spans="1:3" x14ac:dyDescent="0.25">
      <c r="A5" s="66" t="s">
        <v>190</v>
      </c>
      <c r="B5" s="62" t="s">
        <v>184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Rzpp1J/tPGYdLaCMaWFC/LL5YZrwTjZZC6Gz+bEsTPycVK1K7+4kI/gB0tEI/qS4we19VcYo5Y1p0xH+e6Kc8A==" saltValue="7l1wIOcWTOFrGBDEmyIK4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163</v>
      </c>
    </row>
    <row r="2" spans="1:1" x14ac:dyDescent="0.25">
      <c r="A2" s="35" t="s">
        <v>170</v>
      </c>
    </row>
    <row r="3" spans="1:1" x14ac:dyDescent="0.25">
      <c r="A3" s="35" t="s">
        <v>180</v>
      </c>
    </row>
    <row r="4" spans="1:1" x14ac:dyDescent="0.25">
      <c r="A4" s="35" t="s">
        <v>185</v>
      </c>
    </row>
    <row r="5" spans="1:1" x14ac:dyDescent="0.25">
      <c r="A5" s="35" t="s">
        <v>197</v>
      </c>
    </row>
    <row r="6" spans="1:1" x14ac:dyDescent="0.25">
      <c r="A6" s="35" t="s">
        <v>198</v>
      </c>
    </row>
    <row r="7" spans="1:1" x14ac:dyDescent="0.25">
      <c r="A7" s="35" t="s">
        <v>199</v>
      </c>
    </row>
    <row r="8" spans="1:1" x14ac:dyDescent="0.25">
      <c r="A8" s="35" t="s">
        <v>200</v>
      </c>
    </row>
    <row r="9" spans="1:1" x14ac:dyDescent="0.25">
      <c r="A9" s="35" t="s">
        <v>201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jyig89QZUD4zUs4VRGUXhvE0fjy/uS5NmMEcKpt/mmqQGvh6rVLtQyD4uqJUa7CttiJpn1NCZpfJtZa95/4IyA==" saltValue="6PB3/GiDh6iz+UQg1UpU3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207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l/dVj6wZv5Q8SsED02EraL2vb/qapJfWXMEc8MGa/aQoBWJhxwqgOUb0W+brCj/+WalB5a1PEkJTyHm285697w==" saltValue="UXCEloWGqKGsZsSnarXo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169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182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190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192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193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164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196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202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203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178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179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180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189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191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5" t="s">
        <v>170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174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175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176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177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172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173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181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185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197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198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199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200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201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4tMmHoibtCWkdwi5vdD09b3QIemsNR4iYSd0WgpNhnO+CmQboX1u5aTJhIVRuIXP3J+lNdodWLqwRpW8Y0epPg==" saltValue="X9ZuLAfjG9tBzwMwk4KPQ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RBFXspLmzZgRSb8H9FLUHhY/uUGuPrW61JbLmC0Tzl/Xh/F7UUX7NHl+SkEVgfBFOyij1w0p+T2NwnXmPCBOsg==" saltValue="ziGYk9iIbC2pHGvLsXLL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223</v>
      </c>
      <c r="B1" s="29" t="s">
        <v>216</v>
      </c>
      <c r="C1" s="29" t="s">
        <v>227</v>
      </c>
      <c r="D1" s="29" t="s">
        <v>145</v>
      </c>
      <c r="E1" s="29" t="s">
        <v>225</v>
      </c>
    </row>
    <row r="2" spans="1:5" ht="14" x14ac:dyDescent="0.3">
      <c r="A2" s="28" t="s">
        <v>215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222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220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218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219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NU/KHmH0lRzs5ia+DKIjyCtSQp5AeYf2zX7UMWYfkp4oNyOXj8TXVgiml2nB0PBigpAEnLr6W77vrkXj39D/og==" saltValue="qpYAAYhIbhIPkXADpg3t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209</v>
      </c>
      <c r="B1" s="71" t="s">
        <v>163</v>
      </c>
      <c r="C1" s="43" t="s">
        <v>78</v>
      </c>
      <c r="D1" s="43" t="s">
        <v>74</v>
      </c>
      <c r="E1" s="43" t="s">
        <v>77</v>
      </c>
      <c r="F1" s="43" t="s">
        <v>75</v>
      </c>
      <c r="G1" s="43" t="s">
        <v>76</v>
      </c>
      <c r="H1" s="43" t="s">
        <v>113</v>
      </c>
      <c r="I1" s="43" t="s">
        <v>114</v>
      </c>
      <c r="J1" s="43" t="s">
        <v>115</v>
      </c>
      <c r="K1" s="43" t="s">
        <v>116</v>
      </c>
      <c r="L1" s="43" t="s">
        <v>68</v>
      </c>
      <c r="M1" s="43" t="s">
        <v>69</v>
      </c>
      <c r="N1" s="43" t="s">
        <v>70</v>
      </c>
      <c r="O1" s="43" t="s">
        <v>71</v>
      </c>
    </row>
    <row r="2" spans="1:15" ht="15.75" customHeight="1" x14ac:dyDescent="0.35">
      <c r="A2" s="43" t="s">
        <v>83</v>
      </c>
      <c r="B2" s="39" t="s">
        <v>167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169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151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152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153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182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184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190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192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193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204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164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196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202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203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104</v>
      </c>
      <c r="B18" s="39" t="s">
        <v>165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178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179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180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189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191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211</v>
      </c>
      <c r="B27" s="39" t="s">
        <v>170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174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175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176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177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171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172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173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181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185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197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198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199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200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201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yEkYBsefwsi4wt5wrG1BgttlELO8n/1YgkAGLLTUTZNpQCPFLlN2YZbj+wjbeGDemLRPW7NYtRgLH5eGeRodyQ==" saltValue="HFLrmt2zC0PQd5HJtmVi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39" t="s">
        <v>165</v>
      </c>
      <c r="B2" s="101"/>
      <c r="C2" s="101"/>
      <c r="D2" s="101"/>
      <c r="E2" s="101"/>
      <c r="F2" s="101"/>
      <c r="G2" s="101"/>
      <c r="H2" s="101"/>
      <c r="I2" s="101" t="s">
        <v>5</v>
      </c>
      <c r="J2" s="101"/>
      <c r="K2" s="101"/>
    </row>
    <row r="3" spans="1:11" x14ac:dyDescent="0.25">
      <c r="A3" s="39" t="s">
        <v>166</v>
      </c>
      <c r="B3" s="101"/>
      <c r="C3" s="101"/>
      <c r="D3" s="101"/>
      <c r="E3" s="101"/>
      <c r="F3" s="101"/>
      <c r="G3" s="101"/>
      <c r="H3" s="101" t="s">
        <v>5</v>
      </c>
      <c r="I3" s="101"/>
      <c r="J3" s="101"/>
      <c r="K3" s="101"/>
    </row>
    <row r="4" spans="1:11" x14ac:dyDescent="0.25">
      <c r="A4" s="39" t="s">
        <v>167</v>
      </c>
      <c r="B4" s="101"/>
      <c r="C4" s="101"/>
      <c r="D4" s="101" t="s">
        <v>5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169</v>
      </c>
      <c r="B5" s="101"/>
      <c r="C5" s="101" t="s">
        <v>5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170</v>
      </c>
      <c r="B6" s="101"/>
      <c r="C6" s="101"/>
      <c r="D6" s="101"/>
      <c r="E6" s="101"/>
      <c r="F6" s="101"/>
      <c r="G6" s="101"/>
      <c r="H6" s="101"/>
      <c r="I6" s="101"/>
      <c r="J6" s="101" t="s">
        <v>5</v>
      </c>
      <c r="K6" s="101" t="s">
        <v>5</v>
      </c>
    </row>
    <row r="7" spans="1:11" x14ac:dyDescent="0.25">
      <c r="A7" s="39" t="s">
        <v>171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/>
      <c r="J7" s="101"/>
      <c r="K7" s="101"/>
    </row>
    <row r="8" spans="1:11" x14ac:dyDescent="0.25">
      <c r="A8" s="39" t="s">
        <v>172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/>
      <c r="J8" s="101"/>
      <c r="K8" s="101"/>
    </row>
    <row r="9" spans="1:11" x14ac:dyDescent="0.25">
      <c r="A9" s="39" t="s">
        <v>173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/>
      <c r="J9" s="101"/>
      <c r="K9" s="101"/>
    </row>
    <row r="10" spans="1:11" x14ac:dyDescent="0.25">
      <c r="A10" s="45" t="s">
        <v>174</v>
      </c>
      <c r="B10" s="101"/>
      <c r="C10" s="101" t="s">
        <v>5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175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176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177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178</v>
      </c>
      <c r="B14" s="101"/>
      <c r="C14" s="101" t="s">
        <v>5</v>
      </c>
      <c r="D14" s="101"/>
      <c r="E14" s="101"/>
      <c r="F14" s="101"/>
      <c r="G14" s="101"/>
      <c r="H14" s="101"/>
      <c r="I14" s="101" t="s">
        <v>5</v>
      </c>
      <c r="J14" s="101"/>
      <c r="K14" s="101"/>
    </row>
    <row r="15" spans="1:11" x14ac:dyDescent="0.25">
      <c r="A15" s="72" t="s">
        <v>179</v>
      </c>
      <c r="B15" s="101"/>
      <c r="C15" s="101" t="s">
        <v>5</v>
      </c>
      <c r="D15" s="101"/>
      <c r="E15" s="101"/>
      <c r="F15" s="101"/>
      <c r="G15" s="101"/>
      <c r="H15" s="101"/>
      <c r="I15" s="101" t="s">
        <v>5</v>
      </c>
      <c r="J15" s="101"/>
      <c r="K15" s="101"/>
    </row>
    <row r="16" spans="1:11" x14ac:dyDescent="0.25">
      <c r="A16" s="39" t="s">
        <v>180</v>
      </c>
      <c r="B16" s="101"/>
      <c r="C16" s="101" t="s">
        <v>5</v>
      </c>
      <c r="D16" s="101"/>
      <c r="E16" s="101"/>
      <c r="F16" s="101"/>
      <c r="G16" s="101"/>
      <c r="H16" s="101" t="s">
        <v>5</v>
      </c>
      <c r="I16" s="101" t="s">
        <v>5</v>
      </c>
      <c r="J16" s="101"/>
      <c r="K16" s="101"/>
    </row>
    <row r="17" spans="1:11" x14ac:dyDescent="0.25">
      <c r="A17" s="39" t="s">
        <v>181</v>
      </c>
      <c r="B17" s="101"/>
      <c r="C17" s="101" t="s">
        <v>5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151</v>
      </c>
      <c r="B18" s="101" t="s">
        <v>5</v>
      </c>
      <c r="C18" s="101"/>
      <c r="D18" s="101"/>
      <c r="E18" s="101"/>
      <c r="F18" s="101" t="s">
        <v>5</v>
      </c>
      <c r="G18" s="101"/>
      <c r="H18" s="101"/>
      <c r="I18" s="101"/>
      <c r="J18" s="101"/>
      <c r="K18" s="101"/>
    </row>
    <row r="19" spans="1:11" x14ac:dyDescent="0.25">
      <c r="A19" s="39" t="s">
        <v>152</v>
      </c>
      <c r="B19" s="101" t="s">
        <v>5</v>
      </c>
      <c r="C19" s="101"/>
      <c r="D19" s="101"/>
      <c r="E19" s="101"/>
      <c r="F19" s="101" t="s">
        <v>5</v>
      </c>
      <c r="G19" s="101"/>
      <c r="H19" s="101"/>
      <c r="I19" s="101"/>
      <c r="J19" s="101"/>
      <c r="K19" s="101"/>
    </row>
    <row r="20" spans="1:11" x14ac:dyDescent="0.25">
      <c r="A20" s="39" t="s">
        <v>153</v>
      </c>
      <c r="B20" s="101" t="s">
        <v>5</v>
      </c>
      <c r="C20" s="101"/>
      <c r="D20" s="101"/>
      <c r="E20" s="101"/>
      <c r="F20" s="101" t="s">
        <v>5</v>
      </c>
      <c r="G20" s="101"/>
      <c r="H20" s="101"/>
      <c r="I20" s="101"/>
      <c r="J20" s="101"/>
      <c r="K20" s="101"/>
    </row>
    <row r="21" spans="1:11" x14ac:dyDescent="0.25">
      <c r="A21" s="39" t="s">
        <v>182</v>
      </c>
      <c r="B21" s="101"/>
      <c r="C21" s="101"/>
      <c r="D21" s="101"/>
      <c r="E21" s="101"/>
      <c r="F21" s="101"/>
      <c r="G21" s="101"/>
      <c r="H21" s="101" t="s">
        <v>5</v>
      </c>
      <c r="I21" s="101" t="s">
        <v>5</v>
      </c>
      <c r="J21" s="101"/>
      <c r="K21" s="101"/>
    </row>
    <row r="22" spans="1:11" x14ac:dyDescent="0.25">
      <c r="A22" s="39" t="s">
        <v>184</v>
      </c>
      <c r="B22" s="101" t="s">
        <v>5</v>
      </c>
      <c r="C22" s="101" t="s">
        <v>5</v>
      </c>
      <c r="D22" s="101" t="s">
        <v>5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185</v>
      </c>
      <c r="B23" s="101"/>
      <c r="C23" s="101" t="s">
        <v>5</v>
      </c>
      <c r="D23" s="101"/>
      <c r="E23" s="101"/>
      <c r="F23" s="101"/>
      <c r="G23" s="101"/>
      <c r="H23" s="101"/>
      <c r="I23" s="101" t="s">
        <v>5</v>
      </c>
      <c r="J23" s="101"/>
      <c r="K23" s="101"/>
    </row>
    <row r="24" spans="1:11" x14ac:dyDescent="0.25">
      <c r="A24" s="39" t="s">
        <v>188</v>
      </c>
      <c r="B24" s="101"/>
      <c r="C24" s="101"/>
      <c r="D24" s="101"/>
      <c r="E24" s="101"/>
      <c r="F24" s="101"/>
      <c r="G24" s="101"/>
      <c r="H24" s="101" t="s">
        <v>5</v>
      </c>
      <c r="I24" s="101"/>
      <c r="J24" s="101"/>
      <c r="K24" s="101"/>
    </row>
    <row r="25" spans="1:11" x14ac:dyDescent="0.25">
      <c r="A25" s="39" t="s">
        <v>189</v>
      </c>
      <c r="B25" s="101"/>
      <c r="C25" s="101"/>
      <c r="D25" s="101"/>
      <c r="E25" s="101"/>
      <c r="F25" s="101"/>
      <c r="G25" s="101"/>
      <c r="H25" s="101" t="s">
        <v>5</v>
      </c>
      <c r="I25" s="101"/>
      <c r="J25" s="101"/>
      <c r="K25" s="101"/>
    </row>
    <row r="26" spans="1:11" x14ac:dyDescent="0.25">
      <c r="A26" s="39" t="s">
        <v>190</v>
      </c>
      <c r="B26" s="101"/>
      <c r="C26" s="101" t="s">
        <v>5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191</v>
      </c>
      <c r="B27" s="101"/>
      <c r="C27" s="101" t="s">
        <v>5</v>
      </c>
      <c r="D27" s="101"/>
      <c r="E27" s="101"/>
      <c r="F27" s="101"/>
      <c r="G27" s="101"/>
      <c r="H27" s="101"/>
      <c r="I27" s="101" t="s">
        <v>5</v>
      </c>
      <c r="J27" s="101"/>
      <c r="K27" s="101"/>
    </row>
    <row r="28" spans="1:11" x14ac:dyDescent="0.25">
      <c r="A28" s="39" t="s">
        <v>192</v>
      </c>
      <c r="B28" s="101"/>
      <c r="C28" s="101"/>
      <c r="D28" s="101"/>
      <c r="E28" s="101"/>
      <c r="F28" s="101"/>
      <c r="G28" s="101"/>
      <c r="H28" s="101" t="s">
        <v>5</v>
      </c>
      <c r="I28" s="101"/>
      <c r="J28" s="101"/>
      <c r="K28" s="101"/>
    </row>
    <row r="29" spans="1:11" x14ac:dyDescent="0.25">
      <c r="A29" s="39" t="s">
        <v>193</v>
      </c>
      <c r="B29" s="101" t="s">
        <v>5</v>
      </c>
      <c r="C29" s="101"/>
      <c r="D29" s="101" t="s">
        <v>5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204</v>
      </c>
      <c r="B30" s="101" t="s">
        <v>5</v>
      </c>
      <c r="C30" s="101" t="s">
        <v>5</v>
      </c>
      <c r="D30" s="101" t="s">
        <v>5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164</v>
      </c>
      <c r="B31" s="101"/>
      <c r="C31" s="101"/>
      <c r="D31" s="101"/>
      <c r="E31" s="101" t="s">
        <v>5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196</v>
      </c>
      <c r="B32" s="101"/>
      <c r="C32" s="101"/>
      <c r="D32" s="101"/>
      <c r="E32" s="101"/>
      <c r="F32" s="101"/>
      <c r="G32" s="101" t="s">
        <v>5</v>
      </c>
      <c r="H32" s="101" t="s">
        <v>5</v>
      </c>
      <c r="I32" s="101"/>
      <c r="J32" s="101"/>
      <c r="K32" s="101"/>
    </row>
    <row r="33" spans="1:11" x14ac:dyDescent="0.25">
      <c r="A33" s="39" t="s">
        <v>197</v>
      </c>
      <c r="B33" s="101"/>
      <c r="C33" s="101"/>
      <c r="D33" s="101"/>
      <c r="E33" s="101"/>
      <c r="F33" s="101"/>
      <c r="G33" s="101" t="s">
        <v>5</v>
      </c>
      <c r="H33" s="101" t="s">
        <v>5</v>
      </c>
      <c r="I33" s="101"/>
      <c r="J33" s="101"/>
      <c r="K33" s="101"/>
    </row>
    <row r="34" spans="1:11" x14ac:dyDescent="0.25">
      <c r="A34" s="39" t="s">
        <v>198</v>
      </c>
      <c r="B34" s="101"/>
      <c r="C34" s="101"/>
      <c r="D34" s="101"/>
      <c r="E34" s="101"/>
      <c r="F34" s="101"/>
      <c r="G34" s="101" t="s">
        <v>5</v>
      </c>
      <c r="H34" s="101" t="s">
        <v>5</v>
      </c>
      <c r="I34" s="101"/>
      <c r="J34" s="101"/>
      <c r="K34" s="101"/>
    </row>
    <row r="35" spans="1:11" x14ac:dyDescent="0.25">
      <c r="A35" s="39" t="s">
        <v>199</v>
      </c>
      <c r="B35" s="101"/>
      <c r="C35" s="101"/>
      <c r="D35" s="101"/>
      <c r="E35" s="101"/>
      <c r="F35" s="101"/>
      <c r="G35" s="101" t="s">
        <v>5</v>
      </c>
      <c r="H35" s="101" t="s">
        <v>5</v>
      </c>
      <c r="I35" s="101"/>
      <c r="J35" s="101"/>
      <c r="K35" s="101"/>
    </row>
    <row r="36" spans="1:11" x14ac:dyDescent="0.25">
      <c r="A36" s="39" t="s">
        <v>200</v>
      </c>
      <c r="B36" s="101"/>
      <c r="C36" s="101"/>
      <c r="D36" s="101"/>
      <c r="E36" s="101"/>
      <c r="F36" s="101"/>
      <c r="G36" s="101" t="s">
        <v>5</v>
      </c>
      <c r="H36" s="101" t="s">
        <v>5</v>
      </c>
      <c r="I36" s="101"/>
      <c r="J36" s="101"/>
      <c r="K36" s="101"/>
    </row>
    <row r="37" spans="1:11" x14ac:dyDescent="0.25">
      <c r="A37" s="39" t="s">
        <v>201</v>
      </c>
      <c r="B37" s="101"/>
      <c r="C37" s="101"/>
      <c r="D37" s="101"/>
      <c r="E37" s="101"/>
      <c r="F37" s="101"/>
      <c r="G37" s="101" t="s">
        <v>5</v>
      </c>
      <c r="H37" s="101" t="s">
        <v>5</v>
      </c>
      <c r="I37" s="101"/>
      <c r="J37" s="101"/>
      <c r="K37" s="101"/>
    </row>
    <row r="38" spans="1:11" x14ac:dyDescent="0.25">
      <c r="A38" s="39" t="s">
        <v>202</v>
      </c>
      <c r="B38" s="101"/>
      <c r="C38" s="101"/>
      <c r="D38" s="101"/>
      <c r="E38" s="101"/>
      <c r="F38" s="101"/>
      <c r="G38" s="101"/>
      <c r="H38" s="101" t="s">
        <v>5</v>
      </c>
      <c r="I38" s="101"/>
      <c r="J38" s="101"/>
      <c r="K38" s="101"/>
    </row>
    <row r="39" spans="1:11" x14ac:dyDescent="0.25">
      <c r="A39" s="39" t="s">
        <v>203</v>
      </c>
      <c r="B39" s="101" t="s">
        <v>5</v>
      </c>
      <c r="C39" s="101"/>
      <c r="D39" s="101"/>
      <c r="E39" s="101"/>
      <c r="F39" s="101"/>
      <c r="G39" s="101" t="s">
        <v>5</v>
      </c>
      <c r="H39" s="101" t="s">
        <v>5</v>
      </c>
      <c r="I39" s="101"/>
      <c r="J39" s="101"/>
      <c r="K39" s="101"/>
    </row>
  </sheetData>
  <sheetProtection algorithmName="SHA-512" hashValue="EYt4mE/pYt6yR0W0deN9NlFGmZNn62ytgCmMBJSP2Bgh+gY13PfWGvCiA/q2GdxRtvz/4Ww3UBMiitcdXLE5xg==" saltValue="TVTIbgeL2CWhkhI1NdoYX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27" t="s">
        <v>78</v>
      </c>
      <c r="B2" s="101" t="s">
        <v>5</v>
      </c>
      <c r="C2" s="101" t="s">
        <v>5</v>
      </c>
      <c r="D2" s="101" t="s">
        <v>5</v>
      </c>
      <c r="E2" s="101" t="s">
        <v>5</v>
      </c>
      <c r="F2" s="101" t="s">
        <v>5</v>
      </c>
      <c r="G2" s="101" t="s">
        <v>5</v>
      </c>
      <c r="H2" s="101" t="s">
        <v>5</v>
      </c>
      <c r="I2" s="101"/>
      <c r="J2" s="101"/>
      <c r="K2" s="101"/>
    </row>
    <row r="3" spans="1:11" x14ac:dyDescent="0.25">
      <c r="A3" s="27" t="s">
        <v>74</v>
      </c>
      <c r="B3" s="101" t="s">
        <v>5</v>
      </c>
      <c r="C3" s="101" t="s">
        <v>5</v>
      </c>
      <c r="D3" s="101" t="s">
        <v>5</v>
      </c>
      <c r="E3" s="101" t="s">
        <v>5</v>
      </c>
      <c r="F3" s="101" t="s">
        <v>5</v>
      </c>
      <c r="G3" s="101" t="s">
        <v>5</v>
      </c>
      <c r="H3" s="101" t="s">
        <v>5</v>
      </c>
      <c r="I3" s="101"/>
      <c r="J3" s="101"/>
      <c r="K3" s="101"/>
    </row>
    <row r="4" spans="1:11" x14ac:dyDescent="0.25">
      <c r="A4" s="27" t="s">
        <v>77</v>
      </c>
      <c r="B4" s="101" t="s">
        <v>5</v>
      </c>
      <c r="C4" s="101" t="s">
        <v>5</v>
      </c>
      <c r="D4" s="101" t="s">
        <v>5</v>
      </c>
      <c r="E4" s="101" t="s">
        <v>5</v>
      </c>
      <c r="F4" s="101" t="s">
        <v>5</v>
      </c>
      <c r="G4" s="101" t="s">
        <v>5</v>
      </c>
      <c r="H4" s="101" t="s">
        <v>5</v>
      </c>
      <c r="I4" s="101"/>
      <c r="J4" s="101"/>
      <c r="K4" s="101"/>
    </row>
    <row r="5" spans="1:11" x14ac:dyDescent="0.25">
      <c r="A5" s="27" t="s">
        <v>75</v>
      </c>
      <c r="B5" s="101" t="s">
        <v>5</v>
      </c>
      <c r="C5" s="101" t="s">
        <v>5</v>
      </c>
      <c r="D5" s="101" t="s">
        <v>5</v>
      </c>
      <c r="E5" s="101" t="s">
        <v>5</v>
      </c>
      <c r="F5" s="101" t="s">
        <v>5</v>
      </c>
      <c r="G5" s="101" t="s">
        <v>5</v>
      </c>
      <c r="H5" s="101" t="s">
        <v>5</v>
      </c>
      <c r="I5" s="101"/>
      <c r="J5" s="101"/>
      <c r="K5" s="101"/>
    </row>
    <row r="6" spans="1:11" x14ac:dyDescent="0.25">
      <c r="A6" s="27" t="s">
        <v>76</v>
      </c>
      <c r="B6" s="101" t="s">
        <v>5</v>
      </c>
      <c r="C6" s="101" t="s">
        <v>5</v>
      </c>
      <c r="D6" s="101" t="s">
        <v>5</v>
      </c>
      <c r="E6" s="101" t="s">
        <v>5</v>
      </c>
      <c r="F6" s="101" t="s">
        <v>5</v>
      </c>
      <c r="G6" s="101" t="s">
        <v>5</v>
      </c>
      <c r="H6" s="101" t="s">
        <v>5</v>
      </c>
      <c r="I6" s="101"/>
      <c r="J6" s="101"/>
      <c r="K6" s="101"/>
    </row>
    <row r="7" spans="1:11" x14ac:dyDescent="0.25">
      <c r="A7" s="27" t="s">
        <v>113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 t="s">
        <v>5</v>
      </c>
      <c r="J7" s="101"/>
      <c r="K7" s="101"/>
    </row>
    <row r="8" spans="1:11" x14ac:dyDescent="0.25">
      <c r="A8" s="27" t="s">
        <v>114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 t="s">
        <v>5</v>
      </c>
      <c r="J8" s="101"/>
      <c r="K8" s="101"/>
    </row>
    <row r="9" spans="1:11" x14ac:dyDescent="0.25">
      <c r="A9" s="27" t="s">
        <v>115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 t="s">
        <v>5</v>
      </c>
      <c r="J9" s="101"/>
      <c r="K9" s="101"/>
    </row>
    <row r="10" spans="1:11" x14ac:dyDescent="0.25">
      <c r="A10" s="27" t="s">
        <v>116</v>
      </c>
      <c r="B10" s="101"/>
      <c r="C10" s="101" t="s">
        <v>5</v>
      </c>
      <c r="D10" s="101"/>
      <c r="E10" s="101"/>
      <c r="F10" s="101"/>
      <c r="G10" s="101"/>
      <c r="H10" s="101" t="s">
        <v>5</v>
      </c>
      <c r="I10" s="101" t="s">
        <v>5</v>
      </c>
      <c r="J10" s="101"/>
      <c r="K10" s="101"/>
    </row>
    <row r="11" spans="1:11" x14ac:dyDescent="0.25">
      <c r="A11" s="27" t="s">
        <v>68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 t="s">
        <v>5</v>
      </c>
      <c r="K11" s="101" t="s">
        <v>5</v>
      </c>
    </row>
    <row r="12" spans="1:11" x14ac:dyDescent="0.25">
      <c r="A12" s="27" t="s">
        <v>69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 t="s">
        <v>5</v>
      </c>
    </row>
    <row r="13" spans="1:11" x14ac:dyDescent="0.25">
      <c r="A13" s="27" t="s">
        <v>70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 t="s">
        <v>5</v>
      </c>
    </row>
    <row r="14" spans="1:11" x14ac:dyDescent="0.25">
      <c r="A14" s="27" t="s">
        <v>71</v>
      </c>
      <c r="B14" s="101"/>
      <c r="C14" s="101" t="s">
        <v>5</v>
      </c>
      <c r="D14" s="101"/>
      <c r="E14" s="101"/>
      <c r="F14" s="101"/>
      <c r="G14" s="101"/>
      <c r="H14" s="101"/>
      <c r="I14" s="101"/>
      <c r="J14" s="101"/>
      <c r="K14" s="101" t="s">
        <v>5</v>
      </c>
    </row>
  </sheetData>
  <sheetProtection algorithmName="SHA-512" hashValue="JsF1XcYncvBGHH22giEdh2NqxcKnpEfsy3JGiNtMOX7qSAeUVnwbT/0x2BLbkEFRLvrYxKCwIa2KnV7ApFnqfQ==" saltValue="RIzizR311qBODfWLgOoq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234</v>
      </c>
      <c r="B1" s="29" t="s">
        <v>156</v>
      </c>
      <c r="C1" s="29" t="s">
        <v>160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10" ht="13" x14ac:dyDescent="0.3">
      <c r="A2" s="29" t="s">
        <v>236</v>
      </c>
      <c r="B2" s="117" t="s">
        <v>104</v>
      </c>
      <c r="C2" s="27" t="s">
        <v>150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149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78</v>
      </c>
      <c r="C5" s="27" t="s">
        <v>150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149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74</v>
      </c>
      <c r="C8" s="27" t="s">
        <v>150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149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77</v>
      </c>
      <c r="C11" s="27" t="s">
        <v>150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149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75</v>
      </c>
      <c r="C14" s="27" t="s">
        <v>150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149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148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242</v>
      </c>
      <c r="B19" s="117" t="s">
        <v>104</v>
      </c>
      <c r="C19" s="27" t="s">
        <v>150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149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78</v>
      </c>
      <c r="C22" s="27" t="s">
        <v>150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149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74</v>
      </c>
      <c r="C25" s="27" t="s">
        <v>150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149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77</v>
      </c>
      <c r="C28" s="27" t="s">
        <v>150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149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75</v>
      </c>
      <c r="C31" s="27" t="s">
        <v>150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149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148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239</v>
      </c>
      <c r="B36" s="117" t="s">
        <v>104</v>
      </c>
      <c r="C36" s="27" t="s">
        <v>150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149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78</v>
      </c>
      <c r="C39" s="27" t="s">
        <v>150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149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74</v>
      </c>
      <c r="C42" s="27" t="s">
        <v>150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149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77</v>
      </c>
      <c r="C45" s="27" t="s">
        <v>150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149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75</v>
      </c>
      <c r="C48" s="27" t="s">
        <v>150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149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148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234</v>
      </c>
      <c r="B54" s="29" t="s">
        <v>156</v>
      </c>
      <c r="C54" s="29" t="s">
        <v>160</v>
      </c>
      <c r="D54" s="29" t="s">
        <v>78</v>
      </c>
      <c r="E54" s="29" t="s">
        <v>74</v>
      </c>
      <c r="F54" s="29" t="s">
        <v>77</v>
      </c>
      <c r="G54" s="29" t="s">
        <v>75</v>
      </c>
      <c r="H54" s="29" t="s">
        <v>76</v>
      </c>
    </row>
    <row r="55" spans="1:8" ht="13" x14ac:dyDescent="0.3">
      <c r="A55" s="29" t="s">
        <v>237</v>
      </c>
      <c r="B55" s="117" t="s">
        <v>104</v>
      </c>
      <c r="C55" s="27" t="s">
        <v>150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149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78</v>
      </c>
      <c r="C58" s="27" t="s">
        <v>150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149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74</v>
      </c>
      <c r="C61" s="27" t="s">
        <v>150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149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77</v>
      </c>
      <c r="C64" s="27" t="s">
        <v>150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149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75</v>
      </c>
      <c r="C67" s="27" t="s">
        <v>150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149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148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243</v>
      </c>
      <c r="B72" s="117" t="s">
        <v>104</v>
      </c>
      <c r="C72" s="27" t="s">
        <v>150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149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78</v>
      </c>
      <c r="C75" s="27" t="s">
        <v>150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149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74</v>
      </c>
      <c r="C78" s="27" t="s">
        <v>150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149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77</v>
      </c>
      <c r="C81" s="27" t="s">
        <v>150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149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75</v>
      </c>
      <c r="C84" s="27" t="s">
        <v>150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149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148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240</v>
      </c>
      <c r="B89" s="117" t="s">
        <v>104</v>
      </c>
      <c r="C89" s="27" t="s">
        <v>150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149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78</v>
      </c>
      <c r="C92" s="27" t="s">
        <v>150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149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74</v>
      </c>
      <c r="C95" s="27" t="s">
        <v>150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149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77</v>
      </c>
      <c r="C98" s="27" t="s">
        <v>150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149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75</v>
      </c>
      <c r="C101" s="27" t="s">
        <v>150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149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148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245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234</v>
      </c>
      <c r="B107" s="29" t="s">
        <v>156</v>
      </c>
      <c r="C107" s="29" t="s">
        <v>160</v>
      </c>
      <c r="D107" s="29" t="s">
        <v>78</v>
      </c>
      <c r="E107" s="29" t="s">
        <v>74</v>
      </c>
      <c r="F107" s="29" t="s">
        <v>77</v>
      </c>
      <c r="G107" s="29" t="s">
        <v>75</v>
      </c>
      <c r="H107" s="29" t="s">
        <v>76</v>
      </c>
    </row>
    <row r="108" spans="1:8" ht="13" x14ac:dyDescent="0.3">
      <c r="A108" s="29" t="s">
        <v>238</v>
      </c>
      <c r="B108" s="117" t="s">
        <v>104</v>
      </c>
      <c r="C108" s="27" t="s">
        <v>150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149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78</v>
      </c>
      <c r="C111" s="27" t="s">
        <v>150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149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74</v>
      </c>
      <c r="C114" s="27" t="s">
        <v>150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149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155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77</v>
      </c>
      <c r="C117" s="27" t="s">
        <v>150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149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155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75</v>
      </c>
      <c r="C120" s="27" t="s">
        <v>150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149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155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148</v>
      </c>
      <c r="C123" s="27" t="s">
        <v>155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244</v>
      </c>
      <c r="B125" s="117" t="s">
        <v>104</v>
      </c>
      <c r="C125" s="27" t="s">
        <v>150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149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155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78</v>
      </c>
      <c r="C128" s="27" t="s">
        <v>150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149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155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74</v>
      </c>
      <c r="C131" s="27" t="s">
        <v>150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149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155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77</v>
      </c>
      <c r="C134" s="27" t="s">
        <v>150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149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155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75</v>
      </c>
      <c r="C137" s="27" t="s">
        <v>150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149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155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148</v>
      </c>
      <c r="C140" s="27" t="s">
        <v>155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241</v>
      </c>
      <c r="B142" s="117" t="s">
        <v>104</v>
      </c>
      <c r="C142" s="27" t="s">
        <v>150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149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155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78</v>
      </c>
      <c r="C145" s="27" t="s">
        <v>150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149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155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74</v>
      </c>
      <c r="C148" s="27" t="s">
        <v>150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149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155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77</v>
      </c>
      <c r="C151" s="27" t="s">
        <v>150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149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155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75</v>
      </c>
      <c r="C154" s="27" t="s">
        <v>150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149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155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148</v>
      </c>
      <c r="C157" s="27" t="s">
        <v>155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okjrip1rwV2ryGtDF6awL6pDlGAEd7/kbbR0LSyxfbO1jr4wYToMC1wpwJ+gcEjlbVmTx5Mh/D1cMdPa6CRN4w==" saltValue="FpbifbaO73TOfUmECSgs6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248</v>
      </c>
    </row>
    <row r="2" spans="1:6" ht="15.75" customHeight="1" x14ac:dyDescent="0.3">
      <c r="B2" s="80"/>
      <c r="C2" s="81" t="s">
        <v>58</v>
      </c>
      <c r="D2" s="82" t="s">
        <v>59</v>
      </c>
      <c r="E2" s="82" t="s">
        <v>51</v>
      </c>
      <c r="F2" s="82" t="s">
        <v>52</v>
      </c>
    </row>
    <row r="3" spans="1:6" ht="15.75" customHeight="1" x14ac:dyDescent="0.3">
      <c r="A3" s="29" t="s">
        <v>255</v>
      </c>
      <c r="B3" s="83"/>
      <c r="C3" s="84"/>
      <c r="D3" s="85"/>
      <c r="E3" s="85"/>
      <c r="F3" s="85"/>
    </row>
    <row r="4" spans="1:6" ht="15.75" customHeight="1" x14ac:dyDescent="0.25">
      <c r="B4" s="72" t="s">
        <v>27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63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10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11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252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261</v>
      </c>
      <c r="C11" s="87"/>
      <c r="D11" s="88"/>
      <c r="E11" s="88"/>
      <c r="F11" s="88"/>
    </row>
    <row r="12" spans="1:6" ht="15.75" customHeight="1" x14ac:dyDescent="0.3">
      <c r="A12" s="29" t="s">
        <v>249</v>
      </c>
      <c r="C12" s="86"/>
      <c r="D12" s="75"/>
      <c r="E12" s="75"/>
      <c r="F12" s="75"/>
    </row>
    <row r="13" spans="1:6" ht="15.75" customHeight="1" x14ac:dyDescent="0.25">
      <c r="B13" s="45" t="s">
        <v>264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107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119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258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97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95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91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96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98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92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94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248</v>
      </c>
    </row>
    <row r="29" spans="1:6" ht="15.75" customHeight="1" x14ac:dyDescent="0.3">
      <c r="B29" s="80"/>
      <c r="C29" s="81" t="s">
        <v>58</v>
      </c>
      <c r="D29" s="82" t="s">
        <v>59</v>
      </c>
      <c r="E29" s="82" t="s">
        <v>51</v>
      </c>
      <c r="F29" s="82" t="s">
        <v>52</v>
      </c>
    </row>
    <row r="30" spans="1:6" ht="15.75" customHeight="1" x14ac:dyDescent="0.3">
      <c r="A30" s="29" t="s">
        <v>256</v>
      </c>
      <c r="B30" s="83"/>
      <c r="C30" s="84"/>
      <c r="D30" s="85"/>
      <c r="E30" s="85"/>
      <c r="F30" s="85"/>
    </row>
    <row r="31" spans="1:6" ht="15.75" customHeight="1" x14ac:dyDescent="0.25">
      <c r="B31" s="72" t="s">
        <v>27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63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10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11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253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261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250</v>
      </c>
      <c r="C39" s="86"/>
      <c r="D39" s="75"/>
      <c r="E39" s="75"/>
      <c r="F39" s="75"/>
    </row>
    <row r="40" spans="1:6" ht="15.75" customHeight="1" x14ac:dyDescent="0.25">
      <c r="B40" s="45" t="s">
        <v>265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246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262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259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97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95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91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96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98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92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94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245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248</v>
      </c>
    </row>
    <row r="56" spans="1:6" ht="15.75" customHeight="1" x14ac:dyDescent="0.3">
      <c r="B56" s="80"/>
      <c r="C56" s="81" t="s">
        <v>58</v>
      </c>
      <c r="D56" s="82" t="s">
        <v>59</v>
      </c>
      <c r="E56" s="82" t="s">
        <v>51</v>
      </c>
      <c r="F56" s="82" t="s">
        <v>52</v>
      </c>
    </row>
    <row r="57" spans="1:6" ht="15.75" customHeight="1" x14ac:dyDescent="0.3">
      <c r="A57" s="29" t="s">
        <v>257</v>
      </c>
      <c r="B57" s="83"/>
      <c r="C57" s="84"/>
      <c r="D57" s="85"/>
      <c r="E57" s="85"/>
      <c r="F57" s="85"/>
    </row>
    <row r="58" spans="1:6" ht="15.75" customHeight="1" x14ac:dyDescent="0.25">
      <c r="B58" s="72" t="s">
        <v>27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63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10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11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254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261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251</v>
      </c>
      <c r="C66" s="86"/>
      <c r="D66" s="75"/>
      <c r="E66" s="75"/>
      <c r="F66" s="75"/>
    </row>
    <row r="67" spans="1:6" ht="15.75" customHeight="1" x14ac:dyDescent="0.25">
      <c r="B67" s="45" t="s">
        <v>266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247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263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260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97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95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91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96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98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92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94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zMpgQTJG/csi7PMPD1zJ37bpCSsBHetNbAHNXr7T6zVJ34V/rMzszuAmQbl10yRzxCPOp1fF/43f1DOhWbgvmw==" saltValue="7gMClH3I/Cm+RV2oxqOQ8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278</v>
      </c>
    </row>
    <row r="2" spans="1:16" ht="13" x14ac:dyDescent="0.3">
      <c r="A2" s="92" t="s">
        <v>230</v>
      </c>
      <c r="B2" s="41" t="s">
        <v>270</v>
      </c>
      <c r="C2" s="41" t="s">
        <v>271</v>
      </c>
      <c r="D2" s="82" t="s">
        <v>78</v>
      </c>
      <c r="E2" s="82" t="s">
        <v>74</v>
      </c>
      <c r="F2" s="82" t="s">
        <v>77</v>
      </c>
      <c r="G2" s="82" t="s">
        <v>75</v>
      </c>
      <c r="H2" s="82" t="s">
        <v>76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84</v>
      </c>
      <c r="C3" s="31" t="s">
        <v>7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273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274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272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102</v>
      </c>
      <c r="C7" s="31" t="s">
        <v>7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273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274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272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7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273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274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272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273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274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272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273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274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272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99</v>
      </c>
      <c r="C23" s="31" t="s">
        <v>7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273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274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272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279</v>
      </c>
    </row>
    <row r="29" spans="1:16" ht="13" x14ac:dyDescent="0.3">
      <c r="A29" s="92" t="s">
        <v>282</v>
      </c>
      <c r="B29" s="29" t="s">
        <v>270</v>
      </c>
      <c r="C29" s="29" t="s">
        <v>281</v>
      </c>
      <c r="D29" s="82" t="s">
        <v>78</v>
      </c>
      <c r="E29" s="82" t="s">
        <v>74</v>
      </c>
      <c r="F29" s="82" t="s">
        <v>77</v>
      </c>
      <c r="G29" s="82" t="s">
        <v>75</v>
      </c>
      <c r="H29" s="82" t="s">
        <v>76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84</v>
      </c>
      <c r="C30" s="31" t="s">
        <v>7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273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207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102</v>
      </c>
      <c r="C34" s="31" t="s">
        <v>7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273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207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7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273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207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273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207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273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207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99</v>
      </c>
      <c r="C50" s="31" t="s">
        <v>7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273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207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276</v>
      </c>
    </row>
    <row r="56" spans="1:16" ht="26" x14ac:dyDescent="0.3">
      <c r="A56" s="92" t="s">
        <v>105</v>
      </c>
      <c r="B56" s="29" t="s">
        <v>270</v>
      </c>
      <c r="C56" s="80" t="s">
        <v>267</v>
      </c>
      <c r="D56" s="82" t="s">
        <v>113</v>
      </c>
      <c r="E56" s="82" t="s">
        <v>114</v>
      </c>
      <c r="F56" s="82" t="s">
        <v>115</v>
      </c>
      <c r="G56" s="82" t="s">
        <v>116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81</v>
      </c>
      <c r="C57" s="31" t="s">
        <v>275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268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89</v>
      </c>
      <c r="C59" s="31" t="s">
        <v>275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268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275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268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277</v>
      </c>
    </row>
    <row r="65" spans="1:16" ht="26" x14ac:dyDescent="0.3">
      <c r="A65" s="92" t="s">
        <v>123</v>
      </c>
      <c r="B65" s="29" t="s">
        <v>270</v>
      </c>
      <c r="C65" s="80" t="s">
        <v>269</v>
      </c>
      <c r="D65" s="82" t="s">
        <v>78</v>
      </c>
      <c r="E65" s="82" t="s">
        <v>74</v>
      </c>
      <c r="F65" s="82" t="s">
        <v>77</v>
      </c>
      <c r="G65" s="82" t="s">
        <v>75</v>
      </c>
      <c r="H65" s="95" t="s">
        <v>76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93</v>
      </c>
      <c r="C66" s="31" t="s">
        <v>124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127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126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125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124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127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126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125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95</v>
      </c>
      <c r="C74" s="31" t="s">
        <v>124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127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126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125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96</v>
      </c>
      <c r="C78" s="31" t="s">
        <v>124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127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126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125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84</v>
      </c>
      <c r="C82" s="31" t="s">
        <v>124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127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126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125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102</v>
      </c>
      <c r="C86" s="31" t="s">
        <v>124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127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126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125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124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127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126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125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124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127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126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125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101</v>
      </c>
      <c r="C98" s="31" t="s">
        <v>124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127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126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125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280</v>
      </c>
    </row>
    <row r="104" spans="1:16" ht="26" x14ac:dyDescent="0.3">
      <c r="A104" s="92" t="s">
        <v>84</v>
      </c>
      <c r="B104" s="96" t="s">
        <v>125</v>
      </c>
      <c r="C104" s="80" t="s">
        <v>269</v>
      </c>
      <c r="D104" s="82" t="s">
        <v>78</v>
      </c>
      <c r="E104" s="82" t="s">
        <v>74</v>
      </c>
      <c r="F104" s="82" t="s">
        <v>77</v>
      </c>
      <c r="G104" s="82" t="s">
        <v>75</v>
      </c>
      <c r="H104" s="95" t="s">
        <v>76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124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127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126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125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278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230</v>
      </c>
      <c r="B112" s="41" t="s">
        <v>270</v>
      </c>
      <c r="C112" s="41" t="s">
        <v>271</v>
      </c>
      <c r="D112" s="82" t="s">
        <v>78</v>
      </c>
      <c r="E112" s="82" t="s">
        <v>74</v>
      </c>
      <c r="F112" s="82" t="s">
        <v>77</v>
      </c>
      <c r="G112" s="82" t="s">
        <v>75</v>
      </c>
      <c r="H112" s="82" t="s">
        <v>76</v>
      </c>
    </row>
    <row r="113" spans="1:8" ht="13" x14ac:dyDescent="0.3">
      <c r="A113" s="29"/>
      <c r="B113" s="27" t="s">
        <v>84</v>
      </c>
      <c r="C113" s="31" t="s">
        <v>7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273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274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272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102</v>
      </c>
      <c r="C117" s="31" t="s">
        <v>7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273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274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272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7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273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274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272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273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274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272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0</v>
      </c>
      <c r="C129" s="31" t="s">
        <v>7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273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274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272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99</v>
      </c>
      <c r="C133" s="31" t="s">
        <v>7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273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274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272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282</v>
      </c>
      <c r="B139" s="29" t="s">
        <v>270</v>
      </c>
      <c r="C139" s="29" t="s">
        <v>281</v>
      </c>
      <c r="D139" s="82" t="s">
        <v>78</v>
      </c>
      <c r="E139" s="82" t="s">
        <v>74</v>
      </c>
      <c r="F139" s="82" t="s">
        <v>77</v>
      </c>
      <c r="G139" s="82" t="s">
        <v>75</v>
      </c>
      <c r="H139" s="82" t="s">
        <v>76</v>
      </c>
    </row>
    <row r="140" spans="1:8" ht="13" x14ac:dyDescent="0.3">
      <c r="A140" s="29"/>
      <c r="B140" s="27" t="s">
        <v>84</v>
      </c>
      <c r="C140" s="31" t="s">
        <v>7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273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3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207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102</v>
      </c>
      <c r="C144" s="31" t="s">
        <v>7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273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3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207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7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273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3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207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273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3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207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0</v>
      </c>
      <c r="C156" s="31" t="s">
        <v>7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273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3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207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99</v>
      </c>
      <c r="C160" s="31" t="s">
        <v>7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273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3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207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276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105</v>
      </c>
      <c r="B166" s="29" t="s">
        <v>270</v>
      </c>
      <c r="C166" s="80" t="s">
        <v>267</v>
      </c>
      <c r="D166" s="82" t="s">
        <v>113</v>
      </c>
      <c r="E166" s="82" t="s">
        <v>114</v>
      </c>
      <c r="F166" s="82" t="s">
        <v>115</v>
      </c>
      <c r="G166" s="82" t="s">
        <v>116</v>
      </c>
      <c r="H166" s="93"/>
    </row>
    <row r="167" spans="1:8" ht="13" x14ac:dyDescent="0.3">
      <c r="A167" s="29"/>
      <c r="B167" s="27" t="s">
        <v>81</v>
      </c>
      <c r="C167" s="31" t="s">
        <v>275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268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89</v>
      </c>
      <c r="C169" s="31" t="s">
        <v>275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268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275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268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277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123</v>
      </c>
      <c r="B175" s="29" t="s">
        <v>270</v>
      </c>
      <c r="C175" s="80" t="s">
        <v>269</v>
      </c>
      <c r="D175" s="82" t="s">
        <v>78</v>
      </c>
      <c r="E175" s="82" t="s">
        <v>74</v>
      </c>
      <c r="F175" s="82" t="s">
        <v>77</v>
      </c>
      <c r="G175" s="82" t="s">
        <v>75</v>
      </c>
      <c r="H175" s="95" t="s">
        <v>76</v>
      </c>
    </row>
    <row r="176" spans="1:8" ht="13" x14ac:dyDescent="0.3">
      <c r="A176" s="96"/>
      <c r="B176" s="27" t="s">
        <v>93</v>
      </c>
      <c r="C176" s="31" t="s">
        <v>124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127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126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125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124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127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126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125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95</v>
      </c>
      <c r="C184" s="31" t="s">
        <v>124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127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126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125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96</v>
      </c>
      <c r="C188" s="31" t="s">
        <v>124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127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126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125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84</v>
      </c>
      <c r="C192" s="31" t="s">
        <v>124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127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126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125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102</v>
      </c>
      <c r="C196" s="31" t="s">
        <v>124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127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126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125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124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127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126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125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124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127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126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125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101</v>
      </c>
      <c r="C208" s="31" t="s">
        <v>124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127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126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125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280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84</v>
      </c>
      <c r="B214" s="96" t="s">
        <v>125</v>
      </c>
      <c r="C214" s="80" t="s">
        <v>269</v>
      </c>
      <c r="D214" s="82" t="s">
        <v>78</v>
      </c>
      <c r="E214" s="82" t="s">
        <v>74</v>
      </c>
      <c r="F214" s="82" t="s">
        <v>77</v>
      </c>
      <c r="G214" s="82" t="s">
        <v>75</v>
      </c>
      <c r="H214" s="95" t="s">
        <v>76</v>
      </c>
    </row>
    <row r="215" spans="1:9" ht="13" x14ac:dyDescent="0.3">
      <c r="A215" s="29"/>
      <c r="C215" s="31" t="s">
        <v>124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127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126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125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245</v>
      </c>
      <c r="H220" s="106"/>
    </row>
    <row r="221" spans="1:9" ht="13" x14ac:dyDescent="0.3">
      <c r="A221" s="78" t="s">
        <v>278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230</v>
      </c>
      <c r="B222" s="41" t="s">
        <v>270</v>
      </c>
      <c r="C222" s="41" t="s">
        <v>271</v>
      </c>
      <c r="D222" s="82" t="s">
        <v>78</v>
      </c>
      <c r="E222" s="82" t="s">
        <v>74</v>
      </c>
      <c r="F222" s="82" t="s">
        <v>77</v>
      </c>
      <c r="G222" s="82" t="s">
        <v>75</v>
      </c>
      <c r="H222" s="82" t="s">
        <v>76</v>
      </c>
      <c r="I222" s="93"/>
    </row>
    <row r="223" spans="1:9" ht="13" x14ac:dyDescent="0.3">
      <c r="A223" s="29"/>
      <c r="B223" s="27" t="s">
        <v>84</v>
      </c>
      <c r="C223" s="31" t="s">
        <v>7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273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274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272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102</v>
      </c>
      <c r="C227" s="31" t="s">
        <v>7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273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274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272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7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273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274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272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273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274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272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273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274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272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99</v>
      </c>
      <c r="C243" s="31" t="s">
        <v>7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273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274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272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282</v>
      </c>
      <c r="B249" s="29" t="s">
        <v>270</v>
      </c>
      <c r="C249" s="29" t="s">
        <v>281</v>
      </c>
      <c r="D249" s="82" t="s">
        <v>78</v>
      </c>
      <c r="E249" s="82" t="s">
        <v>74</v>
      </c>
      <c r="F249" s="82" t="s">
        <v>77</v>
      </c>
      <c r="G249" s="82" t="s">
        <v>75</v>
      </c>
      <c r="H249" s="82" t="s">
        <v>76</v>
      </c>
      <c r="I249" s="93"/>
    </row>
    <row r="250" spans="1:9" ht="13" x14ac:dyDescent="0.3">
      <c r="A250" s="29"/>
      <c r="B250" s="27" t="s">
        <v>84</v>
      </c>
      <c r="C250" s="31" t="s">
        <v>7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273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3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207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102</v>
      </c>
      <c r="C254" s="31" t="s">
        <v>7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273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3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207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7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273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3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207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273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3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207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273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3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207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99</v>
      </c>
      <c r="C270" s="31" t="s">
        <v>7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273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3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207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276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105</v>
      </c>
      <c r="B276" s="29" t="s">
        <v>270</v>
      </c>
      <c r="C276" s="80" t="s">
        <v>267</v>
      </c>
      <c r="D276" s="82" t="s">
        <v>113</v>
      </c>
      <c r="E276" s="82" t="s">
        <v>114</v>
      </c>
      <c r="F276" s="82" t="s">
        <v>115</v>
      </c>
      <c r="G276" s="82" t="s">
        <v>116</v>
      </c>
      <c r="H276" s="93"/>
    </row>
    <row r="277" spans="1:9" ht="13" x14ac:dyDescent="0.3">
      <c r="A277" s="29"/>
      <c r="B277" s="27" t="s">
        <v>81</v>
      </c>
      <c r="C277" s="31" t="s">
        <v>275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268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89</v>
      </c>
      <c r="C279" s="31" t="s">
        <v>275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268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275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268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277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123</v>
      </c>
      <c r="B285" s="29" t="s">
        <v>270</v>
      </c>
      <c r="C285" s="80" t="s">
        <v>269</v>
      </c>
      <c r="D285" s="82" t="s">
        <v>78</v>
      </c>
      <c r="E285" s="82" t="s">
        <v>74</v>
      </c>
      <c r="F285" s="82" t="s">
        <v>77</v>
      </c>
      <c r="G285" s="82" t="s">
        <v>75</v>
      </c>
      <c r="H285" s="95" t="s">
        <v>76</v>
      </c>
      <c r="I285" s="93"/>
    </row>
    <row r="286" spans="1:9" ht="13" x14ac:dyDescent="0.3">
      <c r="A286" s="96"/>
      <c r="B286" s="27" t="s">
        <v>93</v>
      </c>
      <c r="C286" s="31" t="s">
        <v>124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127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126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125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124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127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126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125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95</v>
      </c>
      <c r="C294" s="31" t="s">
        <v>124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127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126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125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96</v>
      </c>
      <c r="C298" s="31" t="s">
        <v>124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127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126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125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84</v>
      </c>
      <c r="C302" s="31" t="s">
        <v>124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127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126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125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102</v>
      </c>
      <c r="C306" s="31" t="s">
        <v>124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127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126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125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124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127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126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125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124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127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126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125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101</v>
      </c>
      <c r="C318" s="31" t="s">
        <v>124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127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126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125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280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84</v>
      </c>
      <c r="B324" s="96" t="s">
        <v>125</v>
      </c>
      <c r="C324" s="80" t="s">
        <v>269</v>
      </c>
      <c r="D324" s="82" t="s">
        <v>78</v>
      </c>
      <c r="E324" s="82" t="s">
        <v>74</v>
      </c>
      <c r="F324" s="82" t="s">
        <v>77</v>
      </c>
      <c r="G324" s="82" t="s">
        <v>75</v>
      </c>
      <c r="H324" s="95" t="s">
        <v>76</v>
      </c>
      <c r="I324" s="93"/>
    </row>
    <row r="325" spans="1:9" ht="13" x14ac:dyDescent="0.3">
      <c r="A325" s="29"/>
      <c r="C325" s="31" t="s">
        <v>124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127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126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125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jIBNzt5MF4iR4cVJD7Wtd3FkMLQh47VHd7+aRci32DQ8zthgnyD5gzGRD67VPNT2BSXT2QJYcVVwzkpWMFUNJQ==" saltValue="LJa7DmAvrtGYU5SstnLf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313</v>
      </c>
    </row>
    <row r="2" spans="1:7" ht="14.25" customHeight="1" x14ac:dyDescent="0.3">
      <c r="A2" s="96" t="s">
        <v>208</v>
      </c>
      <c r="B2" s="41"/>
      <c r="C2" s="29" t="s">
        <v>78</v>
      </c>
      <c r="D2" s="29" t="s">
        <v>74</v>
      </c>
      <c r="E2" s="29" t="s">
        <v>77</v>
      </c>
      <c r="F2" s="29" t="s">
        <v>75</v>
      </c>
      <c r="G2" s="29" t="s">
        <v>76</v>
      </c>
    </row>
    <row r="3" spans="1:7" ht="14.25" customHeight="1" x14ac:dyDescent="0.25">
      <c r="B3" s="45" t="s">
        <v>300</v>
      </c>
      <c r="C3" s="104" t="s">
        <v>8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286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283</v>
      </c>
    </row>
    <row r="6" spans="1:7" ht="14.25" customHeight="1" x14ac:dyDescent="0.25">
      <c r="B6" s="72" t="s">
        <v>193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184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204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203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307</v>
      </c>
    </row>
    <row r="12" spans="1:7" ht="14.25" customHeight="1" x14ac:dyDescent="0.3">
      <c r="A12" s="83"/>
      <c r="B12" s="45" t="s">
        <v>182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314</v>
      </c>
    </row>
    <row r="15" spans="1:7" ht="14.25" customHeight="1" x14ac:dyDescent="0.3">
      <c r="A15" s="96" t="s">
        <v>282</v>
      </c>
      <c r="B15" s="72" t="s">
        <v>294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291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105</v>
      </c>
      <c r="B17" s="45" t="s">
        <v>297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310</v>
      </c>
    </row>
    <row r="20" spans="1:7" s="83" customFormat="1" ht="14.25" customHeight="1" x14ac:dyDescent="0.3">
      <c r="C20" s="43" t="s">
        <v>68</v>
      </c>
      <c r="D20" s="43" t="s">
        <v>69</v>
      </c>
      <c r="E20" s="43" t="s">
        <v>70</v>
      </c>
      <c r="F20" s="43" t="s">
        <v>71</v>
      </c>
    </row>
    <row r="21" spans="1:7" x14ac:dyDescent="0.25">
      <c r="B21" s="45" t="s">
        <v>170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313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208</v>
      </c>
      <c r="B25" s="41"/>
      <c r="C25" s="29" t="s">
        <v>78</v>
      </c>
      <c r="D25" s="29" t="s">
        <v>74</v>
      </c>
      <c r="E25" s="29" t="s">
        <v>77</v>
      </c>
      <c r="F25" s="29" t="s">
        <v>75</v>
      </c>
      <c r="G25" s="29" t="s">
        <v>76</v>
      </c>
    </row>
    <row r="26" spans="1:7" x14ac:dyDescent="0.25">
      <c r="B26" s="45" t="s">
        <v>301</v>
      </c>
      <c r="C26" s="104" t="s">
        <v>8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287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284</v>
      </c>
    </row>
    <row r="29" spans="1:7" x14ac:dyDescent="0.25">
      <c r="B29" s="72" t="s">
        <v>315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305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319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317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308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303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314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282</v>
      </c>
      <c r="B38" s="72" t="s">
        <v>295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292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105</v>
      </c>
      <c r="B40" s="45" t="s">
        <v>298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311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68</v>
      </c>
      <c r="D43" s="43" t="s">
        <v>69</v>
      </c>
      <c r="E43" s="43" t="s">
        <v>70</v>
      </c>
      <c r="F43" s="43" t="s">
        <v>71</v>
      </c>
      <c r="G43" s="83"/>
    </row>
    <row r="44" spans="1:7" x14ac:dyDescent="0.25">
      <c r="B44" s="45" t="s">
        <v>289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245</v>
      </c>
    </row>
    <row r="47" spans="1:7" ht="13" x14ac:dyDescent="0.3">
      <c r="A47" s="78" t="s">
        <v>313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208</v>
      </c>
      <c r="B48" s="41"/>
      <c r="C48" s="29" t="s">
        <v>78</v>
      </c>
      <c r="D48" s="29" t="s">
        <v>74</v>
      </c>
      <c r="E48" s="29" t="s">
        <v>77</v>
      </c>
      <c r="F48" s="29" t="s">
        <v>75</v>
      </c>
      <c r="G48" s="29" t="s">
        <v>76</v>
      </c>
    </row>
    <row r="49" spans="1:7" x14ac:dyDescent="0.25">
      <c r="B49" s="45" t="s">
        <v>302</v>
      </c>
      <c r="C49" s="104" t="s">
        <v>8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285</v>
      </c>
    </row>
    <row r="52" spans="1:7" x14ac:dyDescent="0.25">
      <c r="B52" s="72" t="s">
        <v>316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306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320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318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309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304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314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282</v>
      </c>
      <c r="B61" s="72" t="s">
        <v>296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293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105</v>
      </c>
      <c r="B63" s="45" t="s">
        <v>299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312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68</v>
      </c>
      <c r="D66" s="43" t="s">
        <v>69</v>
      </c>
      <c r="E66" s="43" t="s">
        <v>70</v>
      </c>
      <c r="F66" s="43" t="s">
        <v>71</v>
      </c>
      <c r="G66" s="83"/>
    </row>
    <row r="67" spans="1:7" x14ac:dyDescent="0.25">
      <c r="B67" s="45" t="s">
        <v>290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+Zb9aqpN1qg4BoJni/AIEhP87lS9KJ18kCkfbTDDSDx3f2yFjmzBTHodIhGa+pBZJdz2IRUFh+P/hFw18uPVfg==" saltValue="RHoKPtDuwT9OxiQkuHQc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163</v>
      </c>
      <c r="B1" s="29"/>
      <c r="C1" s="29" t="s">
        <v>52</v>
      </c>
      <c r="D1" s="29" t="s">
        <v>59</v>
      </c>
      <c r="E1" s="29" t="s">
        <v>51</v>
      </c>
      <c r="F1" s="41" t="s">
        <v>58</v>
      </c>
    </row>
    <row r="2" spans="1:6" ht="15.75" customHeight="1" x14ac:dyDescent="0.25">
      <c r="A2" s="72" t="s">
        <v>165</v>
      </c>
      <c r="B2" s="72" t="s">
        <v>322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321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178</v>
      </c>
      <c r="B4" s="72" t="s">
        <v>322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321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179</v>
      </c>
      <c r="B6" s="72" t="s">
        <v>322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321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180</v>
      </c>
      <c r="B8" s="72" t="s">
        <v>322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321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185</v>
      </c>
      <c r="B10" s="72" t="s">
        <v>322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321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191</v>
      </c>
      <c r="B12" s="72" t="s">
        <v>322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321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163</v>
      </c>
      <c r="B16" s="29"/>
      <c r="C16" s="29" t="s">
        <v>52</v>
      </c>
      <c r="D16" s="29" t="s">
        <v>59</v>
      </c>
      <c r="E16" s="29" t="s">
        <v>51</v>
      </c>
      <c r="F16" s="41" t="s">
        <v>58</v>
      </c>
    </row>
    <row r="17" spans="1:6" ht="15.75" customHeight="1" x14ac:dyDescent="0.25">
      <c r="A17" s="72" t="s">
        <v>165</v>
      </c>
      <c r="B17" s="72" t="s">
        <v>322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321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178</v>
      </c>
      <c r="B19" s="72" t="s">
        <v>322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321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179</v>
      </c>
      <c r="B21" s="72" t="s">
        <v>322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321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180</v>
      </c>
      <c r="B23" s="72" t="s">
        <v>322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321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185</v>
      </c>
      <c r="B25" s="72" t="s">
        <v>322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321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191</v>
      </c>
      <c r="B27" s="72" t="s">
        <v>322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321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245</v>
      </c>
    </row>
    <row r="31" spans="1:6" ht="15.75" customHeight="1" x14ac:dyDescent="0.3">
      <c r="A31" s="41" t="s">
        <v>163</v>
      </c>
      <c r="B31" s="29"/>
      <c r="C31" s="29" t="s">
        <v>52</v>
      </c>
      <c r="D31" s="29" t="s">
        <v>59</v>
      </c>
      <c r="E31" s="29" t="s">
        <v>51</v>
      </c>
      <c r="F31" s="41" t="s">
        <v>58</v>
      </c>
    </row>
    <row r="32" spans="1:6" ht="15.75" customHeight="1" x14ac:dyDescent="0.25">
      <c r="A32" s="72" t="s">
        <v>165</v>
      </c>
      <c r="B32" s="72" t="s">
        <v>322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321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178</v>
      </c>
      <c r="B34" s="72" t="s">
        <v>322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321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179</v>
      </c>
      <c r="B36" s="72" t="s">
        <v>322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321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180</v>
      </c>
      <c r="B38" s="72" t="s">
        <v>322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321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185</v>
      </c>
      <c r="B40" s="72" t="s">
        <v>322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321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191</v>
      </c>
      <c r="B42" s="72" t="s">
        <v>322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321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M1N5G8NqkTNLmBWcsZDjdplg+nkGGuGEkSgZ8ScpH8MRfXpYPP2jcICpAxhzWOTFSqBvqL/WQBor8uJgJ02mtw==" saltValue="8D34ntrf2Gh3bAvbhCfam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78</v>
      </c>
      <c r="D1" s="82" t="s">
        <v>74</v>
      </c>
      <c r="E1" s="82" t="s">
        <v>77</v>
      </c>
      <c r="F1" s="82" t="s">
        <v>75</v>
      </c>
      <c r="G1" s="82" t="s">
        <v>76</v>
      </c>
      <c r="H1" s="82" t="s">
        <v>68</v>
      </c>
      <c r="I1" s="82" t="s">
        <v>69</v>
      </c>
      <c r="J1" s="82" t="s">
        <v>70</v>
      </c>
      <c r="K1" s="82" t="s">
        <v>71</v>
      </c>
      <c r="L1" s="82" t="s">
        <v>113</v>
      </c>
      <c r="M1" s="82" t="s">
        <v>114</v>
      </c>
      <c r="N1" s="82" t="s">
        <v>115</v>
      </c>
      <c r="O1" s="82" t="s">
        <v>116</v>
      </c>
    </row>
    <row r="2" spans="1:15" ht="13" x14ac:dyDescent="0.3">
      <c r="A2" s="29" t="s">
        <v>326</v>
      </c>
    </row>
    <row r="3" spans="1:15" x14ac:dyDescent="0.25">
      <c r="B3" s="45" t="s">
        <v>169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174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175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176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177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178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179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184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185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190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191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204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323</v>
      </c>
      <c r="B17" s="45"/>
    </row>
    <row r="18" spans="1:15" x14ac:dyDescent="0.25">
      <c r="B18" s="72" t="s">
        <v>171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172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173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181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26" x14ac:dyDescent="0.3">
      <c r="A24" s="29"/>
      <c r="B24" s="29"/>
      <c r="C24" s="82" t="s">
        <v>78</v>
      </c>
      <c r="D24" s="82" t="s">
        <v>74</v>
      </c>
      <c r="E24" s="82" t="s">
        <v>77</v>
      </c>
      <c r="F24" s="82" t="s">
        <v>75</v>
      </c>
      <c r="G24" s="82" t="s">
        <v>76</v>
      </c>
      <c r="H24" s="82" t="s">
        <v>68</v>
      </c>
      <c r="I24" s="82" t="s">
        <v>69</v>
      </c>
      <c r="J24" s="82" t="s">
        <v>70</v>
      </c>
      <c r="K24" s="82" t="s">
        <v>71</v>
      </c>
      <c r="L24" s="82" t="s">
        <v>113</v>
      </c>
      <c r="M24" s="82" t="s">
        <v>114</v>
      </c>
      <c r="N24" s="82" t="s">
        <v>115</v>
      </c>
      <c r="O24" s="82" t="s">
        <v>116</v>
      </c>
    </row>
    <row r="25" spans="1:15" ht="13" x14ac:dyDescent="0.3">
      <c r="A25" s="29" t="s">
        <v>327</v>
      </c>
    </row>
    <row r="26" spans="1:15" x14ac:dyDescent="0.25">
      <c r="B26" s="45" t="s">
        <v>169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174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175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176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177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178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179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180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184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185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190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191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204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324</v>
      </c>
      <c r="B40" s="45"/>
    </row>
    <row r="41" spans="1:15" x14ac:dyDescent="0.25">
      <c r="B41" s="72" t="s">
        <v>171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172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173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181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245</v>
      </c>
    </row>
    <row r="47" spans="1:15" ht="52" x14ac:dyDescent="0.3">
      <c r="A47" s="29"/>
      <c r="B47" s="29"/>
      <c r="C47" s="82" t="s">
        <v>78</v>
      </c>
      <c r="D47" s="82" t="s">
        <v>74</v>
      </c>
      <c r="E47" s="82" t="s">
        <v>77</v>
      </c>
      <c r="F47" s="82" t="s">
        <v>75</v>
      </c>
      <c r="G47" s="82" t="s">
        <v>76</v>
      </c>
      <c r="H47" s="82" t="s">
        <v>68</v>
      </c>
      <c r="I47" s="82" t="s">
        <v>69</v>
      </c>
      <c r="J47" s="82" t="s">
        <v>70</v>
      </c>
      <c r="K47" s="82" t="s">
        <v>71</v>
      </c>
      <c r="L47" s="82" t="s">
        <v>113</v>
      </c>
      <c r="M47" s="82" t="s">
        <v>114</v>
      </c>
      <c r="N47" s="82" t="s">
        <v>115</v>
      </c>
      <c r="O47" s="82" t="s">
        <v>116</v>
      </c>
    </row>
    <row r="48" spans="1:15" ht="13" x14ac:dyDescent="0.3">
      <c r="A48" s="29" t="s">
        <v>328</v>
      </c>
    </row>
    <row r="49" spans="1:15" x14ac:dyDescent="0.25">
      <c r="B49" s="45" t="s">
        <v>169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174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175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176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177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178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179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180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184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185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190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191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204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325</v>
      </c>
      <c r="B63" s="45"/>
    </row>
    <row r="64" spans="1:15" x14ac:dyDescent="0.25">
      <c r="B64" s="72" t="s">
        <v>171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172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173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181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KCcuyss8+rUKwm0wX4fwnWCmYFKxO6LCwfGMR/v17Pu08cTjngB56scuxJCgeaZ5bF7gFtEHqPlyiCky+juNeQ==" saltValue="K7xBCDx3uArakvwsvhXv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78</v>
      </c>
      <c r="D1" s="29" t="s">
        <v>74</v>
      </c>
      <c r="E1" s="29" t="s">
        <v>77</v>
      </c>
      <c r="F1" s="29" t="s">
        <v>75</v>
      </c>
      <c r="G1" s="29" t="s">
        <v>76</v>
      </c>
    </row>
    <row r="2" spans="1:7" ht="13" x14ac:dyDescent="0.3">
      <c r="A2" s="29" t="s">
        <v>333</v>
      </c>
    </row>
    <row r="3" spans="1:7" x14ac:dyDescent="0.25">
      <c r="B3" s="45" t="s">
        <v>164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330</v>
      </c>
      <c r="B4" s="45"/>
      <c r="C4" s="97"/>
      <c r="D4" s="97"/>
      <c r="E4" s="97"/>
      <c r="F4" s="97"/>
      <c r="G4" s="97"/>
    </row>
    <row r="5" spans="1:7" x14ac:dyDescent="0.25">
      <c r="B5" s="72" t="s">
        <v>162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329</v>
      </c>
    </row>
    <row r="8" spans="1:7" ht="13" x14ac:dyDescent="0.3">
      <c r="A8" s="29"/>
      <c r="B8" s="41"/>
      <c r="C8" s="29" t="s">
        <v>78</v>
      </c>
      <c r="D8" s="29" t="s">
        <v>74</v>
      </c>
      <c r="E8" s="29" t="s">
        <v>77</v>
      </c>
      <c r="F8" s="29" t="s">
        <v>75</v>
      </c>
      <c r="G8" s="29" t="s">
        <v>76</v>
      </c>
    </row>
    <row r="9" spans="1:7" ht="13" x14ac:dyDescent="0.3">
      <c r="A9" s="29" t="s">
        <v>334</v>
      </c>
    </row>
    <row r="10" spans="1:7" x14ac:dyDescent="0.25">
      <c r="B10" s="45" t="s">
        <v>164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331</v>
      </c>
      <c r="B11" s="45"/>
      <c r="C11" s="97"/>
      <c r="D11" s="97"/>
      <c r="E11" s="97"/>
      <c r="F11" s="97"/>
      <c r="G11" s="97"/>
    </row>
    <row r="12" spans="1:7" x14ac:dyDescent="0.25">
      <c r="B12" s="72" t="s">
        <v>162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336</v>
      </c>
    </row>
    <row r="15" spans="1:7" ht="13" x14ac:dyDescent="0.3">
      <c r="A15" s="29"/>
      <c r="B15" s="41"/>
      <c r="C15" s="29" t="s">
        <v>78</v>
      </c>
      <c r="D15" s="29" t="s">
        <v>74</v>
      </c>
      <c r="E15" s="29" t="s">
        <v>77</v>
      </c>
      <c r="F15" s="29" t="s">
        <v>75</v>
      </c>
      <c r="G15" s="29" t="s">
        <v>76</v>
      </c>
    </row>
    <row r="16" spans="1:7" ht="13" x14ac:dyDescent="0.3">
      <c r="A16" s="29" t="s">
        <v>335</v>
      </c>
    </row>
    <row r="17" spans="1:7" x14ac:dyDescent="0.25">
      <c r="B17" s="45" t="s">
        <v>164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332</v>
      </c>
      <c r="B18" s="45"/>
      <c r="C18" s="97"/>
      <c r="D18" s="97"/>
      <c r="E18" s="97"/>
      <c r="F18" s="97"/>
      <c r="G18" s="97"/>
    </row>
    <row r="19" spans="1:7" x14ac:dyDescent="0.25">
      <c r="B19" s="72" t="s">
        <v>162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6m1TRkiJulC3Pei751SFcTKXVGP+hBLGi3RKohbKIw39cHLsfiNj55IUTgmdirs5VikDfnsYmXxEV1xNAU9bHA==" saltValue="SO5KoDibajKakzAdQHOO4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163</v>
      </c>
      <c r="B1" s="29" t="s">
        <v>340</v>
      </c>
      <c r="C1" s="96" t="s">
        <v>9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8" x14ac:dyDescent="0.25">
      <c r="A2" s="39" t="s">
        <v>196</v>
      </c>
      <c r="B2" s="39" t="s">
        <v>84</v>
      </c>
      <c r="C2" s="39" t="s">
        <v>337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339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338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193</v>
      </c>
      <c r="B5" s="39" t="s">
        <v>207</v>
      </c>
      <c r="C5" s="39" t="s">
        <v>337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338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3</v>
      </c>
      <c r="C7" s="39" t="s">
        <v>337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338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184</v>
      </c>
      <c r="B9" s="39" t="s">
        <v>207</v>
      </c>
      <c r="C9" s="39" t="s">
        <v>337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338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3</v>
      </c>
      <c r="C11" s="39" t="s">
        <v>337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338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204</v>
      </c>
      <c r="B13" s="39" t="s">
        <v>207</v>
      </c>
      <c r="C13" s="39" t="s">
        <v>337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338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3</v>
      </c>
      <c r="C15" s="39" t="s">
        <v>337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338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167</v>
      </c>
      <c r="B17" s="39" t="s">
        <v>207</v>
      </c>
      <c r="C17" s="39" t="s">
        <v>337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338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3</v>
      </c>
      <c r="C19" s="39" t="s">
        <v>337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338</v>
      </c>
      <c r="D20" s="104">
        <v>0</v>
      </c>
      <c r="E20" s="104">
        <v>0</v>
      </c>
      <c r="F20" s="104">
        <f>MIN(MAX(1-0.89/(1-frac_mam_6_11months+(frac_mam_6_11months*0.89)),0),1)</f>
        <v>0.10665667865423079</v>
      </c>
      <c r="G20" s="104">
        <f>MIN(MAX(1-0.89/(1-frac_mam_12_23months+(frac_mam_12_23months*0.89)),0),1)</f>
        <v>0.10778709080988491</v>
      </c>
      <c r="H20" s="104">
        <f>MIN(MAX(1-0.89/(1-frac_mam_24_59months+(frac_mam_24_59months*0.89)),0),1)</f>
        <v>0.10879118872633531</v>
      </c>
    </row>
    <row r="21" spans="1:8" x14ac:dyDescent="0.25">
      <c r="A21" s="39" t="s">
        <v>173</v>
      </c>
      <c r="B21" s="39" t="s">
        <v>92</v>
      </c>
      <c r="C21" s="39" t="s">
        <v>337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339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171</v>
      </c>
      <c r="B23" s="39" t="s">
        <v>92</v>
      </c>
      <c r="C23" s="39" t="s">
        <v>337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339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172</v>
      </c>
      <c r="B25" s="39" t="s">
        <v>92</v>
      </c>
      <c r="C25" s="39" t="s">
        <v>337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339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200</v>
      </c>
      <c r="B27" s="39" t="s">
        <v>84</v>
      </c>
      <c r="C27" s="39" t="s">
        <v>337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339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338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201</v>
      </c>
      <c r="B30" s="39" t="s">
        <v>84</v>
      </c>
      <c r="C30" s="39" t="s">
        <v>337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339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338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199</v>
      </c>
      <c r="B33" s="39" t="s">
        <v>84</v>
      </c>
      <c r="C33" s="39" t="s">
        <v>337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339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338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198</v>
      </c>
      <c r="B36" s="39" t="s">
        <v>84</v>
      </c>
      <c r="C36" s="39" t="s">
        <v>337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339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338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197</v>
      </c>
      <c r="B39" s="39" t="s">
        <v>84</v>
      </c>
      <c r="C39" s="39" t="s">
        <v>337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339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338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203</v>
      </c>
      <c r="B42" s="39" t="s">
        <v>84</v>
      </c>
      <c r="C42" s="39" t="s">
        <v>337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339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338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102</v>
      </c>
      <c r="C45" s="39" t="s">
        <v>337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339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338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192</v>
      </c>
      <c r="B48" s="39" t="s">
        <v>84</v>
      </c>
      <c r="C48" s="39" t="s">
        <v>337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339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202</v>
      </c>
      <c r="B50" s="39" t="s">
        <v>84</v>
      </c>
      <c r="C50" s="39" t="s">
        <v>337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339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182</v>
      </c>
      <c r="B52" s="39" t="s">
        <v>96</v>
      </c>
      <c r="C52" s="39" t="s">
        <v>337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339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329</v>
      </c>
      <c r="B55" s="111"/>
      <c r="C55" s="111"/>
    </row>
    <row r="56" spans="1:8" ht="13" x14ac:dyDescent="0.3">
      <c r="A56" s="29" t="s">
        <v>163</v>
      </c>
      <c r="B56" s="29" t="s">
        <v>340</v>
      </c>
      <c r="C56" s="96" t="s">
        <v>9</v>
      </c>
      <c r="D56" s="29" t="s">
        <v>78</v>
      </c>
      <c r="E56" s="29" t="s">
        <v>74</v>
      </c>
      <c r="F56" s="29" t="s">
        <v>77</v>
      </c>
      <c r="G56" s="29" t="s">
        <v>75</v>
      </c>
      <c r="H56" s="29" t="s">
        <v>76</v>
      </c>
    </row>
    <row r="57" spans="1:8" x14ac:dyDescent="0.25">
      <c r="A57" s="39" t="s">
        <v>196</v>
      </c>
      <c r="B57" s="39" t="s">
        <v>84</v>
      </c>
      <c r="C57" s="39" t="s">
        <v>337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339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338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193</v>
      </c>
      <c r="B60" s="39" t="s">
        <v>207</v>
      </c>
      <c r="C60" s="39" t="s">
        <v>337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338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3</v>
      </c>
      <c r="C62" s="39" t="s">
        <v>337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338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184</v>
      </c>
      <c r="B64" s="39" t="s">
        <v>207</v>
      </c>
      <c r="C64" s="39" t="s">
        <v>337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338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3</v>
      </c>
      <c r="C66" s="39" t="s">
        <v>337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338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204</v>
      </c>
      <c r="B68" s="39" t="s">
        <v>207</v>
      </c>
      <c r="C68" s="39" t="s">
        <v>337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338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3</v>
      </c>
      <c r="C70" s="39" t="s">
        <v>337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338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167</v>
      </c>
      <c r="B72" s="39" t="s">
        <v>207</v>
      </c>
      <c r="C72" s="39" t="s">
        <v>337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338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3</v>
      </c>
      <c r="C74" s="39" t="s">
        <v>337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338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9.6630619804308759E-3</v>
      </c>
      <c r="G75" s="104">
        <f>MIN(MAX(1-0.99/(1-frac_mam_12_23months+(frac_mam_12_23months*0.99)),0),1)</f>
        <v>9.7767273465632076E-3</v>
      </c>
      <c r="H75" s="104">
        <f>MIN(MAX(1-0.99/(1-frac_mam_24_59months+(frac_mam_24_59months*0.99)),0),1)</f>
        <v>9.8779114054918793E-3</v>
      </c>
    </row>
    <row r="76" spans="1:8" x14ac:dyDescent="0.25">
      <c r="A76" s="39" t="s">
        <v>173</v>
      </c>
      <c r="B76" s="39" t="s">
        <v>92</v>
      </c>
      <c r="C76" s="39" t="s">
        <v>337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339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171</v>
      </c>
      <c r="B78" s="39" t="s">
        <v>92</v>
      </c>
      <c r="C78" s="39" t="s">
        <v>337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339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172</v>
      </c>
      <c r="B80" s="39" t="s">
        <v>92</v>
      </c>
      <c r="C80" s="39" t="s">
        <v>337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339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200</v>
      </c>
      <c r="B82" s="39" t="s">
        <v>84</v>
      </c>
      <c r="C82" s="39" t="s">
        <v>337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339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338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201</v>
      </c>
      <c r="B85" s="39" t="s">
        <v>84</v>
      </c>
      <c r="C85" s="39" t="s">
        <v>337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339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338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199</v>
      </c>
      <c r="B88" s="39" t="s">
        <v>84</v>
      </c>
      <c r="C88" s="39" t="s">
        <v>337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339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338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198</v>
      </c>
      <c r="B91" s="39" t="s">
        <v>84</v>
      </c>
      <c r="C91" s="39" t="s">
        <v>337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339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338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197</v>
      </c>
      <c r="B94" s="39" t="s">
        <v>84</v>
      </c>
      <c r="C94" s="39" t="s">
        <v>337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339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338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203</v>
      </c>
      <c r="B97" s="39" t="s">
        <v>84</v>
      </c>
      <c r="C97" s="39" t="s">
        <v>337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339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338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102</v>
      </c>
      <c r="C100" s="39" t="s">
        <v>337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339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338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192</v>
      </c>
      <c r="B103" s="39" t="s">
        <v>84</v>
      </c>
      <c r="C103" s="39" t="s">
        <v>337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339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202</v>
      </c>
      <c r="B105" s="39" t="s">
        <v>84</v>
      </c>
      <c r="C105" s="39" t="s">
        <v>337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339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182</v>
      </c>
      <c r="B107" s="39" t="s">
        <v>96</v>
      </c>
      <c r="C107" s="39" t="s">
        <v>337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339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336</v>
      </c>
      <c r="B110" s="111"/>
      <c r="C110" s="111"/>
    </row>
    <row r="111" spans="1:8" ht="13" x14ac:dyDescent="0.3">
      <c r="A111" s="29" t="s">
        <v>163</v>
      </c>
      <c r="B111" s="29" t="s">
        <v>340</v>
      </c>
      <c r="C111" s="96" t="s">
        <v>9</v>
      </c>
      <c r="D111" s="29" t="s">
        <v>78</v>
      </c>
      <c r="E111" s="29" t="s">
        <v>74</v>
      </c>
      <c r="F111" s="29" t="s">
        <v>77</v>
      </c>
      <c r="G111" s="29" t="s">
        <v>75</v>
      </c>
      <c r="H111" s="29" t="s">
        <v>76</v>
      </c>
    </row>
    <row r="112" spans="1:8" x14ac:dyDescent="0.25">
      <c r="A112" s="39" t="s">
        <v>196</v>
      </c>
      <c r="B112" s="39" t="s">
        <v>84</v>
      </c>
      <c r="C112" s="39" t="s">
        <v>337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339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338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193</v>
      </c>
      <c r="B115" s="39" t="s">
        <v>207</v>
      </c>
      <c r="C115" s="39" t="s">
        <v>337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338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3</v>
      </c>
      <c r="C117" s="39" t="s">
        <v>337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338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184</v>
      </c>
      <c r="B119" s="39" t="s">
        <v>207</v>
      </c>
      <c r="C119" s="39" t="s">
        <v>337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338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3</v>
      </c>
      <c r="C121" s="39" t="s">
        <v>337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338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204</v>
      </c>
      <c r="B123" s="39" t="s">
        <v>207</v>
      </c>
      <c r="C123" s="39" t="s">
        <v>337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338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3</v>
      </c>
      <c r="C125" s="39" t="s">
        <v>337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338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167</v>
      </c>
      <c r="B127" s="39" t="s">
        <v>207</v>
      </c>
      <c r="C127" s="39" t="s">
        <v>337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338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3</v>
      </c>
      <c r="C129" s="39" t="s">
        <v>337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338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0.19451909485425745</v>
      </c>
      <c r="G130" s="104">
        <f>MIN(MAX(1-0.8/(1-frac_mam_12_23months+(frac_mam_12_23months*0.8)),0),1)</f>
        <v>0.19637602422824796</v>
      </c>
      <c r="H130" s="104">
        <f>MIN(MAX(1-0.8/(1-frac_mam_24_59months+(frac_mam_24_59months*0.8)),0),1)</f>
        <v>0.19802221682553434</v>
      </c>
    </row>
    <row r="131" spans="1:8" x14ac:dyDescent="0.25">
      <c r="A131" s="39" t="s">
        <v>173</v>
      </c>
      <c r="B131" s="39" t="s">
        <v>92</v>
      </c>
      <c r="C131" s="39" t="s">
        <v>337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339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171</v>
      </c>
      <c r="B133" s="39" t="s">
        <v>92</v>
      </c>
      <c r="C133" s="39" t="s">
        <v>337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339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172</v>
      </c>
      <c r="B135" s="39" t="s">
        <v>92</v>
      </c>
      <c r="C135" s="39" t="s">
        <v>337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339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200</v>
      </c>
      <c r="B137" s="39" t="s">
        <v>84</v>
      </c>
      <c r="C137" s="39" t="s">
        <v>337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339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338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201</v>
      </c>
      <c r="B140" s="39" t="s">
        <v>84</v>
      </c>
      <c r="C140" s="39" t="s">
        <v>337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339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338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199</v>
      </c>
      <c r="B143" s="39" t="s">
        <v>84</v>
      </c>
      <c r="C143" s="39" t="s">
        <v>337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339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338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198</v>
      </c>
      <c r="B146" s="39" t="s">
        <v>84</v>
      </c>
      <c r="C146" s="39" t="s">
        <v>337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339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338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197</v>
      </c>
      <c r="B149" s="39" t="s">
        <v>84</v>
      </c>
      <c r="C149" s="39" t="s">
        <v>337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339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338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203</v>
      </c>
      <c r="B152" s="39" t="s">
        <v>84</v>
      </c>
      <c r="C152" s="39" t="s">
        <v>337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339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338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102</v>
      </c>
      <c r="C155" s="39" t="s">
        <v>337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339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338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192</v>
      </c>
      <c r="B158" s="39" t="s">
        <v>84</v>
      </c>
      <c r="C158" s="39" t="s">
        <v>337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339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202</v>
      </c>
      <c r="B160" s="39" t="s">
        <v>84</v>
      </c>
      <c r="C160" s="39" t="s">
        <v>337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339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182</v>
      </c>
      <c r="B162" s="39" t="s">
        <v>96</v>
      </c>
      <c r="C162" s="39" t="s">
        <v>337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339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V7eVGffRmnGDQHwRAzxV73hyp3yPgUKpmRLRbjCqvRRY3GCzU+iI7s5idQ5hMBfG1EvyhNG8VRm/CVjrn5LQxA==" saltValue="dXJT3dAl2qERLxf+IujH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163</v>
      </c>
      <c r="B1" s="41" t="s">
        <v>340</v>
      </c>
      <c r="C1" s="41"/>
      <c r="D1" s="29" t="s">
        <v>113</v>
      </c>
      <c r="E1" s="29" t="s">
        <v>114</v>
      </c>
      <c r="F1" s="29" t="s">
        <v>115</v>
      </c>
      <c r="G1" s="29" t="s">
        <v>116</v>
      </c>
      <c r="H1" s="29"/>
    </row>
    <row r="2" spans="1:8" x14ac:dyDescent="0.25">
      <c r="A2" s="31" t="s">
        <v>166</v>
      </c>
      <c r="B2" s="27" t="s">
        <v>86</v>
      </c>
      <c r="C2" s="31" t="s">
        <v>337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339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189</v>
      </c>
      <c r="B4" s="27" t="s">
        <v>86</v>
      </c>
      <c r="C4" s="31" t="s">
        <v>337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339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188</v>
      </c>
      <c r="B6" s="27" t="s">
        <v>86</v>
      </c>
      <c r="C6" s="31" t="s">
        <v>337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339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329</v>
      </c>
    </row>
    <row r="10" spans="1:8" ht="13" x14ac:dyDescent="0.3">
      <c r="A10" s="41" t="s">
        <v>163</v>
      </c>
      <c r="B10" s="41" t="s">
        <v>340</v>
      </c>
      <c r="C10" s="41"/>
      <c r="D10" s="29" t="s">
        <v>113</v>
      </c>
      <c r="E10" s="29" t="s">
        <v>114</v>
      </c>
      <c r="F10" s="29" t="s">
        <v>115</v>
      </c>
      <c r="G10" s="29" t="s">
        <v>116</v>
      </c>
    </row>
    <row r="11" spans="1:8" x14ac:dyDescent="0.25">
      <c r="A11" s="31" t="s">
        <v>166</v>
      </c>
      <c r="B11" s="27" t="s">
        <v>86</v>
      </c>
      <c r="C11" s="31" t="s">
        <v>337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339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189</v>
      </c>
      <c r="B13" s="27" t="s">
        <v>86</v>
      </c>
      <c r="C13" s="31" t="s">
        <v>337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339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188</v>
      </c>
      <c r="B15" s="27" t="s">
        <v>86</v>
      </c>
      <c r="C15" s="31" t="s">
        <v>337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339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336</v>
      </c>
    </row>
    <row r="19" spans="1:7" ht="13" x14ac:dyDescent="0.3">
      <c r="A19" s="41" t="s">
        <v>163</v>
      </c>
      <c r="B19" s="41" t="s">
        <v>340</v>
      </c>
      <c r="C19" s="41"/>
      <c r="D19" s="29" t="s">
        <v>113</v>
      </c>
      <c r="E19" s="29" t="s">
        <v>114</v>
      </c>
      <c r="F19" s="29" t="s">
        <v>115</v>
      </c>
      <c r="G19" s="29" t="s">
        <v>116</v>
      </c>
    </row>
    <row r="20" spans="1:7" x14ac:dyDescent="0.25">
      <c r="A20" s="31" t="s">
        <v>166</v>
      </c>
      <c r="B20" s="27" t="s">
        <v>86</v>
      </c>
      <c r="C20" s="31" t="s">
        <v>337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339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189</v>
      </c>
      <c r="B22" s="27" t="s">
        <v>86</v>
      </c>
      <c r="C22" s="31" t="s">
        <v>337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339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188</v>
      </c>
      <c r="B24" s="27" t="s">
        <v>86</v>
      </c>
      <c r="C24" s="31" t="s">
        <v>337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339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7p4RKxYFCOVTTAWnwiNcQJ9/DN1WNgQaQGqiLcJ91wr/p2L/WWB28TPlhX2yvzrLU6oLo4khR6wsFokbHSVjhA==" saltValue="8/fqv2DPkz79VZNG6BxdU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2024-08-06T07:10:06Z</dcterms:modified>
</cp:coreProperties>
</file>