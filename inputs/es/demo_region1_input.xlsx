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"/>
    </mc:Choice>
  </mc:AlternateContent>
  <xr:revisionPtr revIDLastSave="0" documentId="8_{AE1B1D1D-FBA0-4A28-9727-B47C26F10C10}" xr6:coauthVersionLast="47" xr6:coauthVersionMax="47" xr10:uidLastSave="{00000000-0000-0000-0000-000000000000}"/>
  <bookViews>
    <workbookView xWindow="-110" yWindow="-110" windowWidth="19420" windowHeight="10420" tabRatio="904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75" r:id="rId6"/>
    <sheet name="Variables económicas" sheetId="76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externalReferences>
    <externalReference r:id="rId29"/>
  </externalReference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 localSheetId="5">'[1]Baseline year population inputs'!$C$41</definedName>
    <definedName name="abortion" localSheetId="6">'[1]Baseline year population inputs'!$C$41</definedName>
    <definedName name="abortion">'Entradas de población-año base'!$C$41</definedName>
    <definedName name="comm_deliv" localSheetId="5">'[1]Treatment of SAM'!$D$3</definedName>
    <definedName name="comm_deliv" localSheetId="6">'[1]Treatment of SAM'!$D$3</definedName>
    <definedName name="comm_deliv">'Tratamiento de la MAS'!$D$3</definedName>
    <definedName name="diarrhoea_1_5mo" localSheetId="5">'[1]Baseline year population inputs'!$C$52</definedName>
    <definedName name="diarrhoea_1_5mo" localSheetId="6">'[1]Baseline year population inputs'!$C$52</definedName>
    <definedName name="diarrhoea_1_5mo">'Entradas de población-año base'!$C$52</definedName>
    <definedName name="diarrhoea_12_23mo" localSheetId="5">'[1]Baseline year population inputs'!$C$54</definedName>
    <definedName name="diarrhoea_12_23mo" localSheetId="6">'[1]Baseline year population inputs'!$C$54</definedName>
    <definedName name="diarrhoea_12_23mo">'Entradas de población-año base'!$C$54</definedName>
    <definedName name="diarrhoea_1mo" localSheetId="5">'[1]Baseline year population inputs'!$C$51</definedName>
    <definedName name="diarrhoea_1mo" localSheetId="6">'[1]Baseline year population inputs'!$C$51</definedName>
    <definedName name="diarrhoea_1mo">'Entradas de población-año base'!$C$51</definedName>
    <definedName name="diarrhoea_24_59mo" localSheetId="5">'[1]Baseline year population inputs'!$C$55</definedName>
    <definedName name="diarrhoea_24_59mo" localSheetId="6">'[1]Baseline year population inputs'!$C$55</definedName>
    <definedName name="diarrhoea_24_59mo">'Entradas de población-año base'!$C$55</definedName>
    <definedName name="diarrhoea_6_11mo" localSheetId="5">'[1]Baseline year population inputs'!$C$53</definedName>
    <definedName name="diarrhoea_6_11mo" localSheetId="6">'[1]Baseline year population inputs'!$C$53</definedName>
    <definedName name="diarrhoea_6_11mo">'Entradas de población-año base'!$C$53</definedName>
    <definedName name="end_year" localSheetId="5">'[1]Baseline year population inputs'!$C$4</definedName>
    <definedName name="end_year" localSheetId="6">'[1]Baseline year population inputs'!$C$4</definedName>
    <definedName name="end_year">'Entradas de población-año base'!$C$4</definedName>
    <definedName name="famplan_unmet_need" localSheetId="5">'[1]Baseline year population inputs'!$C$13</definedName>
    <definedName name="famplan_unmet_need" localSheetId="6">'[1]Baseline year population inputs'!$C$13</definedName>
    <definedName name="famplan_unmet_need">'Entradas de población-año base'!$C$13</definedName>
    <definedName name="food_insecure" localSheetId="5">'[1]Baseline year population inputs'!$C$8</definedName>
    <definedName name="food_insecure" localSheetId="6">'[1]Baseline year population inputs'!$C$8</definedName>
    <definedName name="food_insecure">'Entradas de población-año base'!$C$8</definedName>
    <definedName name="frac_children_health_facility" localSheetId="5">'[1]Baseline year population inputs'!$C$12</definedName>
    <definedName name="frac_children_health_facility" localSheetId="6">'[1]Baseline year population inputs'!$C$12</definedName>
    <definedName name="frac_children_health_facility">'Entradas de población-año base'!$C$12</definedName>
    <definedName name="frac_diarrhea_severe" localSheetId="5">'[1]Baseline year population inputs'!$C$58</definedName>
    <definedName name="frac_diarrhea_severe" localSheetId="6">'[1]Baseline year population inputs'!$C$58</definedName>
    <definedName name="frac_diarrhea_severe">'Entradas de población-año base'!$C$58</definedName>
    <definedName name="frac_maize" localSheetId="5">'[1]Baseline year population inputs'!$C$19</definedName>
    <definedName name="frac_maize" localSheetId="6">'[1]Baseline year population inputs'!$C$19</definedName>
    <definedName name="frac_maize">'Entradas de población-año base'!$C$19</definedName>
    <definedName name="frac_malaria_risk" localSheetId="5">'[1]Baseline year population inputs'!$C$9</definedName>
    <definedName name="frac_malaria_risk" localSheetId="6">'[1]Baseline year population inputs'!$C$9</definedName>
    <definedName name="frac_malaria_risk">'Entradas de población-año base'!$C$9</definedName>
    <definedName name="frac_mam_1_5months" localSheetId="5">'[1]Nutritional status distribution'!$D$10</definedName>
    <definedName name="frac_mam_1_5months" localSheetId="6">'[1]Nutritional status distribution'!$D$10</definedName>
    <definedName name="frac_mam_1_5months">'Distribución estado nutricional'!$D$10</definedName>
    <definedName name="frac_mam_12_23months" localSheetId="5">'[1]Nutritional status distribution'!$F$10</definedName>
    <definedName name="frac_mam_12_23months" localSheetId="6">'[1]Nutritional status distribution'!$F$10</definedName>
    <definedName name="frac_mam_12_23months">'Distribución estado nutricional'!$F$10</definedName>
    <definedName name="frac_mam_1month" localSheetId="5">'[1]Nutritional status distribution'!$C$10</definedName>
    <definedName name="frac_mam_1month" localSheetId="6">'[1]Nutritional status distribution'!$C$10</definedName>
    <definedName name="frac_mam_1month">'Distribución estado nutricional'!$C$10</definedName>
    <definedName name="frac_mam_24_59months" localSheetId="5">'[1]Nutritional status distribution'!$G$10</definedName>
    <definedName name="frac_mam_24_59months" localSheetId="6">'[1]Nutritional status distribution'!$G$10</definedName>
    <definedName name="frac_mam_24_59months">'Distribución estado nutricional'!$G$10</definedName>
    <definedName name="frac_mam_6_11months" localSheetId="5">'[1]Nutritional status distribution'!$E$10</definedName>
    <definedName name="frac_mam_6_11months" localSheetId="6">'[1]Nutritional status distribution'!$E$10</definedName>
    <definedName name="frac_mam_6_11months">'Distribución estado nutricional'!$E$10</definedName>
    <definedName name="frac_MAMtoSAM" localSheetId="5">'[1]Baseline year population inputs'!#REF!</definedName>
    <definedName name="frac_MAMtoSAM" localSheetId="6">'[1]Baseline year population inputs'!#REF!</definedName>
    <definedName name="frac_MAMtoSAM">'Entradas de población-año base'!#REF!</definedName>
    <definedName name="frac_other_staples">'Entradas de población-año base'!$C$20</definedName>
    <definedName name="frac_PW_health_facility" localSheetId="5">'[1]Baseline year population inputs'!$C$11</definedName>
    <definedName name="frac_PW_health_facility" localSheetId="6">'[1]Baseline year population inputs'!$C$11</definedName>
    <definedName name="frac_PW_health_facility">'Entradas de población-año base'!$C$11</definedName>
    <definedName name="frac_rice" localSheetId="5">'[1]Baseline year population inputs'!$C$17</definedName>
    <definedName name="frac_rice" localSheetId="6">'[1]Baseline year population inputs'!$C$17</definedName>
    <definedName name="frac_rice">'Entradas de población-año base'!$C$17</definedName>
    <definedName name="frac_sam_1_5months" localSheetId="5">'[1]Nutritional status distribution'!$D$11</definedName>
    <definedName name="frac_sam_1_5months" localSheetId="6">'[1]Nutritional status distribution'!$D$11</definedName>
    <definedName name="frac_sam_1_5months">'Distribución estado nutricional'!$D$11</definedName>
    <definedName name="frac_sam_12_23months" localSheetId="5">'[1]Nutritional status distribution'!$F$11</definedName>
    <definedName name="frac_sam_12_23months" localSheetId="6">'[1]Nutritional status distribution'!$F$11</definedName>
    <definedName name="frac_sam_12_23months">'Distribución estado nutricional'!$F$11</definedName>
    <definedName name="frac_sam_1month" localSheetId="5">'[1]Nutritional status distribution'!$C$11</definedName>
    <definedName name="frac_sam_1month" localSheetId="6">'[1]Nutritional status distribution'!$C$11</definedName>
    <definedName name="frac_sam_1month">'Distribución estado nutricional'!$C$11</definedName>
    <definedName name="frac_sam_24_59months" localSheetId="5">'[1]Nutritional status distribution'!$G$11</definedName>
    <definedName name="frac_sam_24_59months" localSheetId="6">'[1]Nutritional status distribution'!$G$11</definedName>
    <definedName name="frac_sam_24_59months">'Distribución estado nutricional'!$G$11</definedName>
    <definedName name="frac_sam_6_11months" localSheetId="5">'[1]Nutritional status distribution'!$E$11</definedName>
    <definedName name="frac_sam_6_11months" localSheetId="6">'[1]Nutritional status distribution'!$E$11</definedName>
    <definedName name="frac_sam_6_11months">'Distribución estado nutricional'!$E$11</definedName>
    <definedName name="frac_SAMtoMAM" localSheetId="5">'[1]Baseline year population inputs'!#REF!</definedName>
    <definedName name="frac_SAMtoMAM" localSheetId="6">'[1]Baseline year population inputs'!#REF!</definedName>
    <definedName name="frac_SAMtoMAM">'Entradas de población-año base'!#REF!</definedName>
    <definedName name="frac_subsistence_farming">'Entradas de población-año base'!$C$16</definedName>
    <definedName name="frac_wheat" localSheetId="5">'[1]Baseline year population inputs'!$C$18</definedName>
    <definedName name="frac_wheat" localSheetId="6">'[1]Baseline year population inputs'!$C$18</definedName>
    <definedName name="frac_wheat">'Entradas de población-año base'!$C$18</definedName>
    <definedName name="infant_mortality">'Entradas de población-año base'!$C$38</definedName>
    <definedName name="iron_deficiency_anaemia" localSheetId="5">'[1]Baseline year population inputs'!$C$59</definedName>
    <definedName name="iron_deficiency_anaemia" localSheetId="6">'[1]Baseline year population inputs'!$C$59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 localSheetId="5">'[1]Baseline year population inputs'!$C$46</definedName>
    <definedName name="preterm_AGA" localSheetId="6">'[1]Baseline year population inputs'!$C$46</definedName>
    <definedName name="preterm_AGA">'Entradas de población-año base'!$C$46</definedName>
    <definedName name="preterm_SGA" localSheetId="5">'[1]Baseline year population inputs'!$C$45</definedName>
    <definedName name="preterm_SGA" localSheetId="6">'[1]Baseline year population inputs'!$C$45</definedName>
    <definedName name="preterm_SGA">'Entradas de población-año base'!$C$45</definedName>
    <definedName name="school_attendance" localSheetId="5">'[1]Baseline year population inputs'!$C$10</definedName>
    <definedName name="school_attendance" localSheetId="6">'[1]Baseline year population inputs'!$C$10</definedName>
    <definedName name="school_attendance">'Entradas de población-año base'!$C$10</definedName>
    <definedName name="start_year" localSheetId="5">'[1]Baseline year population inputs'!$C$3</definedName>
    <definedName name="start_year" localSheetId="6">'[1]Baseline year population inputs'!$C$3</definedName>
    <definedName name="start_year">'Entradas de población-año base'!$C$3</definedName>
    <definedName name="stillbirth" localSheetId="7">'Entradas de población-año base'!$C$39</definedName>
    <definedName name="stillbirth" localSheetId="5">'[1]Baseline year population inputs'!$C$42</definedName>
    <definedName name="stillbirth" localSheetId="6">'[1]Baseline year population inputs'!$C$42</definedName>
    <definedName name="stillbirth">'Entradas de población-año base'!$C$42</definedName>
    <definedName name="term_AGA">'Entradas de población-año base'!$C$48</definedName>
    <definedName name="term_SGA" localSheetId="5">'[1]Baseline year population inputs'!$C$47</definedName>
    <definedName name="term_SGA" localSheetId="6">'[1]Baseline year population inputs'!$C$47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9" i="72"/>
  <c r="G159" i="72"/>
  <c r="F159" i="72"/>
  <c r="E159" i="72"/>
  <c r="D159" i="72"/>
  <c r="H158" i="72"/>
  <c r="G158" i="72"/>
  <c r="F158" i="72"/>
  <c r="E158" i="72"/>
  <c r="D158" i="72"/>
  <c r="H142" i="72"/>
  <c r="G142" i="72"/>
  <c r="F142" i="72"/>
  <c r="E142" i="72"/>
  <c r="H141" i="72"/>
  <c r="G141" i="72"/>
  <c r="F141" i="72"/>
  <c r="E141" i="72"/>
  <c r="D141" i="72"/>
  <c r="H140" i="72"/>
  <c r="G140" i="72"/>
  <c r="F140" i="72"/>
  <c r="E140" i="72"/>
  <c r="H139" i="72"/>
  <c r="G139" i="72"/>
  <c r="F139" i="72"/>
  <c r="E139" i="72"/>
  <c r="D139" i="72"/>
  <c r="H138" i="72"/>
  <c r="G138" i="72"/>
  <c r="F138" i="72"/>
  <c r="E138" i="72"/>
  <c r="H137" i="72"/>
  <c r="G137" i="72"/>
  <c r="F137" i="72"/>
  <c r="E137" i="72"/>
  <c r="E136" i="72"/>
  <c r="D136" i="72"/>
  <c r="E135" i="72"/>
  <c r="D135" i="72"/>
  <c r="E134" i="72"/>
  <c r="D134" i="72"/>
  <c r="H133" i="72"/>
  <c r="G133" i="72"/>
  <c r="F133" i="72"/>
  <c r="E133" i="72"/>
  <c r="D133" i="72"/>
  <c r="H130" i="72"/>
  <c r="E130" i="72"/>
  <c r="D130" i="72"/>
  <c r="H129" i="72"/>
  <c r="G129" i="72"/>
  <c r="F129" i="72"/>
  <c r="E129" i="72"/>
  <c r="D129" i="72"/>
  <c r="H128" i="72"/>
  <c r="E128" i="72"/>
  <c r="D128" i="72"/>
  <c r="E118" i="72"/>
  <c r="D118" i="72"/>
  <c r="E117" i="72"/>
  <c r="D117" i="72"/>
  <c r="H116" i="72"/>
  <c r="G116" i="72"/>
  <c r="F116" i="72"/>
  <c r="E116" i="72"/>
  <c r="D116" i="72"/>
  <c r="H101" i="72"/>
  <c r="G101" i="72"/>
  <c r="F101" i="72"/>
  <c r="E101" i="72"/>
  <c r="D101" i="72"/>
  <c r="H85" i="72"/>
  <c r="G85" i="72"/>
  <c r="F85" i="72"/>
  <c r="E85" i="72"/>
  <c r="H84" i="72"/>
  <c r="G84" i="72"/>
  <c r="F84" i="72"/>
  <c r="E84" i="72"/>
  <c r="D84" i="72"/>
  <c r="H83" i="72"/>
  <c r="G83" i="72"/>
  <c r="F83" i="72"/>
  <c r="E83" i="72"/>
  <c r="H82" i="72"/>
  <c r="G82" i="72"/>
  <c r="F82" i="72"/>
  <c r="E82" i="72"/>
  <c r="D82" i="72"/>
  <c r="H81" i="72"/>
  <c r="G81" i="72"/>
  <c r="F81" i="72"/>
  <c r="E81" i="72"/>
  <c r="H80" i="72"/>
  <c r="G80" i="72"/>
  <c r="F80" i="72"/>
  <c r="E80" i="72"/>
  <c r="D80" i="72"/>
  <c r="D137" i="72" s="1"/>
  <c r="E79" i="72"/>
  <c r="D79" i="72"/>
  <c r="E78" i="72"/>
  <c r="D78" i="72"/>
  <c r="E77" i="72"/>
  <c r="D77" i="72"/>
  <c r="H76" i="72"/>
  <c r="G76" i="72"/>
  <c r="F76" i="72"/>
  <c r="E76" i="72"/>
  <c r="D76" i="72"/>
  <c r="H73" i="72"/>
  <c r="E73" i="72"/>
  <c r="D73" i="72"/>
  <c r="H72" i="72"/>
  <c r="G72" i="72"/>
  <c r="F72" i="72"/>
  <c r="E72" i="72"/>
  <c r="D72" i="72"/>
  <c r="H71" i="72"/>
  <c r="E71" i="72"/>
  <c r="D71" i="72"/>
  <c r="E61" i="72"/>
  <c r="D61" i="72"/>
  <c r="E60" i="72"/>
  <c r="D60" i="72"/>
  <c r="H59" i="72"/>
  <c r="G59" i="72"/>
  <c r="F59" i="72"/>
  <c r="E59" i="72"/>
  <c r="D59" i="72"/>
  <c r="G19" i="71" l="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74330433-5A0B-4EFB-ADBE-6E9FB460200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401E74D8-78F3-4E1C-841D-D1059A84EEB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917757-F6DE-4524-A261-7BDC95C78AA8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DF1BBFB4-725F-46F8-B91E-594A3482060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A61CD1B8-9FE4-4263-90C9-AA33B923249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6DC250A-A58D-490B-84A6-81DB79BF594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E10A471B-E476-47D6-B903-DCA494FED9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E1C7AC95-529E-42BB-921E-0372478507F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A67F925B-6765-4CCC-9C2C-0D7ADA0281E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4B4DD4D1-4770-49CA-A583-61465EF4DFC2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A79FB1FF-32F8-43E1-8BEE-DE393BBE841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5E7871DE-DD5D-48ED-9120-BA91812DE3B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D22FEB1B-36A9-4ED6-B67E-9C441D49983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3AE35E2D-9F74-4BFF-8C33-CD476234CD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550CA5BB-4575-400D-A6CC-638CA3115D8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18669F11-61B9-4239-8C6D-BEE6AB2D122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4B4ACE2-00AE-44BA-B5B8-0483866FB5A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9EB15544-D851-4F28-BCB9-8A3E88A081B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48CB35DE-9DE4-4BD6-89DE-D4DBF0EE4BB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F06C63E0-E1F3-428C-A7AB-CC8B2036BC6A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203A8E2E-B83F-451C-B45F-EE523890FBB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0F043BBC-F624-4F74-9068-4145D1D8172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9D376379-7128-4080-88B7-1A0564DB003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5C14DDC-485F-40CC-BC6E-04115750EF9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26FF60D2-FA3C-4D05-AD2E-162510FC8063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B382625A-6133-4CFA-AE1F-E67C5F571E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124D772-7E23-4225-AF90-84029563058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7B6B75D8-057C-41F2-BF12-DFB483E556C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2317F20-C29F-44FA-860A-0D2B31CE854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F3FAFA9C-B2D1-4036-9357-5192D7DF6B2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CD2FE0A-17AB-4230-A05C-A454E0C6DC6D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F6E23E4-05D3-422D-BC79-B91164A7E17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5660FC2F-4A80-4613-BAB2-997B1F5D361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141E6458-2AF5-4C4C-BECB-F0617CC1C6B4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9F0B23DE-A368-4ED0-B406-619831CC259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41822021-39F9-4470-ABD3-EA52933DEB2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F38D64F2-EC89-4723-B5AD-0CE3F65BEE3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E8E3B4D9-183F-4B9C-B0D1-58EB09A4B3D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55D7B9A5-9FF1-4E21-AA66-A40928ECCDF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BA092B49-C97D-4453-8E4F-9174C5146B4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69DE4AD9-257D-4596-B3AB-E3F06DE9AA3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2D15DDB-5E9D-4A53-9500-41160570379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50E246CF-ACCB-470A-B279-B7DFDF0A2F9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08787D4E-3107-47AB-86DF-504027385C7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61FABFDE-7DD4-4322-8A9F-F63C7C86ADD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F4FA1F74-CEF8-49AD-81F4-3787ADBEE78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D307FBF5-877F-4371-A8F1-AC2BD862193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714D0382-EAAB-43F0-ADCF-AE5FA6BE211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6181E1B0-1DFA-4C34-80DF-1F9E2498776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6C1F233C-2A8C-4BA0-B9B5-194EF633A31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1EBF4590-D0C6-4DC4-B4BC-27CBFDA8A2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21609E2B-9819-453F-B06F-A324E412B1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3F1F25D3-866E-428D-86F1-168AE0CCE60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BF5A35A-FE7C-4091-B3C7-D3BC4F1CC26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70AFBFDB-F6E7-4FE9-8616-44B9EED8F43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CF015013-8D25-476C-B7AC-65DD2A17A70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6D37E16C-2225-4796-BF27-191FA078A15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B0CB31FE-6C35-4E3F-8859-189780E0E22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32F1F170-630C-44C5-86A6-247770F261A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F82899E2-5000-4DE4-ABBA-CB81A4B5174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F04EB7A6-60F3-4421-812C-6D85F297BEC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1E6D0AFF-1DFA-4358-A13D-3A43B55CD6E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61800DA0-CFAB-4681-8FAB-8958BB02C24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B3C942A3-B0BE-49F3-A1FE-B62A9EB61D9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82E8E508-5F66-4B99-9B51-D28BBF68103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52D240C9-5A4E-4E74-A82B-165D6F8F1AE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349469DF-A558-401D-B3E6-35F725563F9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BECFF68-6763-4011-B82C-AAA29634A3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9E9B0DEE-8FFC-4196-8D32-4B3C19EBA91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359AC6F-5A0A-412A-A1CD-D3856E21798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BFFC21B9-57BE-402B-9F5A-0384C4D1D7B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9C2671F-F41E-4280-A754-A1578BA9D58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3F54610A-0EC7-4D77-A292-2B6D3EE689C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FBE5DE60-CC63-497E-AB3D-11D44B245C84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840AF324-F7DB-4BBE-AF68-88285418ACE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E44667FB-E29F-4939-AEBE-E7D8463839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00E4AA23-09AF-46C5-A585-1DEBB0E7A9E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59F8DB6E-EE22-4DA6-A67A-52A07CCFC71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9AD41E5-EB28-4CC4-ABB6-FB73DB9A842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48E4E707-6171-4C2D-BBB8-AD69A444057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B001AADC-69A0-4E44-A650-358B397F8B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618D828-1825-430D-AE16-05CE9AFFDB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897223CF-A5EE-4866-AF32-86F37B7AE1B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D3E8390F-0A37-447D-8D76-70C13B5E1C6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026342D0-EC3D-4072-9246-F0444410AF4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50D76260-1302-487A-B594-219BB62B9DDB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B0FEF59E-AD74-45C7-BDC3-8C03ED955C9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7C7BBF7E-4475-4E7D-9A1F-64350B2AB38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484CBA04-15CD-4F5D-B97F-CC2A11F424C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B3D1CA9C-F56D-41FD-A971-E2D102C4C0A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618BED6-F6C6-4F87-94E2-E5FD6F8486F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7D5F552-3863-4B20-B5FB-6CDE5D9A4D8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6430DBFF-5E3A-4B97-968E-76778035875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4CBDBEF1-F1CA-4B11-937F-985D69B3BA1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56E6E42B-8311-470E-8537-B25F2B67A9E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0F9D534E-0C9F-40E2-B930-E5B46410B1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333EA76F-70AF-4977-B105-1090E92AEFF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65B17889-5C60-4B66-9807-0BA966EAA73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380E0249-6706-42F0-B313-FF808692393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E2BDC06-CEC9-4011-A9FC-85D97517059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E8147027-29AE-4A91-9D75-F7C090C0E72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DB5FD236-3E27-43DA-BC83-7ABB50874D2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863B733D-A0F4-4033-8408-041CB1CAAB4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CBE2727F-3A10-4D18-80E1-8E1D738DEFB5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21CCF85-285F-4EE7-A668-7399C0378D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EDD5F876-A953-4E7F-BFFE-E0B090BA068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1E8658D5-D01C-4906-B6F9-A9403D8010C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00D59D19-D0D4-4031-9C45-EF62B08162EE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E2F05DB1-4339-4DEC-9733-7CC6935AB0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5CAB21C1-6279-428C-99CB-DCEA67BB87B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EB0EF64-7B43-4744-9447-1C23396811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28BF156F-C49A-4B45-99CE-B45E731261C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0949213E-7C87-4434-8EBC-D0C079A4A6C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7E4C918C-46A2-4CB5-9E0F-A2418E498A8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1C24944A-A7CA-4128-9455-5A4552D350F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C367BEEA-221A-45A0-8523-E382F060AF7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7306C85D-BE77-46F1-A2CD-FD75D6945AA8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44522A09-D7F5-493F-958D-5FE5407D495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36AB411C-9177-4948-B942-ED95AAA7B35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B6BF4ED6-FC3C-494E-90CC-A9D32D0E842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C5225100-7383-47FD-A714-A254858545D3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3462BF60-8B89-4E16-B350-7CE2363BE5B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D907706C-8EE4-4FB7-9197-A7A34D9E97C8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F29A15A4-62DF-48F0-8867-D1B06938C3E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B0DDA024-75BA-43C6-9887-03926A0FAA4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FB7EC08F-895F-4B33-AD1F-B014C481DC3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80226D56-BDA4-4039-BFF0-14C0ADCE429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5269A76C-0303-490A-8E90-F9947F0B69E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D4E21D6-1856-4AC1-A82E-3841BABC1CF3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68EE2AD-44F3-49A2-A38E-FBAA58067F4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EB33F8DD-677B-4EAE-8FBD-A9AEBA81047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975D2D13-7386-4ECE-B09E-51B53D7279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A04FB88E-D46A-4613-9940-08C16DDB03D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12124500-7926-4B18-99D9-9BDCE79C6F2B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13176225-B44B-4F15-A30A-68F20DC89EC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88454DA-EDC2-47E2-A513-3E5E6B175BB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1CB94DCE-5321-4CDF-8154-7DE82533DB9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B6A4229-24DD-4A6A-A891-AC10A0BD009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568D99E3-514D-414F-895A-75F90FDD12D9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DAE92EF3-77E3-4DE1-BEF2-65B0C23C33D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44A05B81-CA3A-41F0-9101-664726F65D2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A653CD2D-62B3-4269-8AB8-591E4115333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D2DD1671-A8EE-4765-A890-99DE350967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29A90A3F-316C-47B9-A5D7-F165D4C15B2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F9B5568B-8E2F-493E-9529-B42EA8C40C8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E51EBB73-0F7E-4AAF-8771-7FBA96A5E654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A3D1AC5A-E2AB-49A4-A4DF-6221470C2F5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E86E18C-26F5-4394-9703-E76B07E53D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10AD40CB-D754-4936-8394-5F1FC0E90E4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A67C2289-894D-43AE-A05C-A87586BCCEB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D19A400-3E76-4C43-8C46-5645269A6A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68D77307-8EC9-40B3-87AA-E4CD47B97ED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68522479-DB3B-44EA-ABE2-F44D1DAC6DB3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<sst xmlns="http://schemas.openxmlformats.org/spreadsheetml/2006/main" count="2167" uniqueCount="373">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</sst>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38</v>
      </c>
      <c r="B1" s="30" t="s">
        <v>4</v>
      </c>
      <c r="C1" s="30" t="s">
        <v>43</v>
      </c>
    </row>
    <row r="2" spans="1:3" ht="16" customHeight="1" x14ac:dyDescent="0.3">
      <c r="A2" s="8" t="s">
        <v>74</v>
      </c>
      <c r="B2" s="30"/>
      <c r="C2" s="30"/>
    </row>
    <row r="3" spans="1:3" ht="16" customHeight="1" x14ac:dyDescent="0.3">
      <c r="A3" s="1"/>
      <c r="B3" s="5" t="s">
        <v>37</v>
      </c>
      <c r="C3" s="48">
        <v>2017</v>
      </c>
    </row>
    <row r="4" spans="1:3" ht="16" customHeight="1" x14ac:dyDescent="0.3">
      <c r="A4" s="1"/>
      <c r="B4" s="5" t="s">
        <v>45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50">
        <v>9862402</v>
      </c>
    </row>
    <row r="8" spans="1:3" ht="15" customHeight="1" x14ac:dyDescent="0.25">
      <c r="B8" s="5" t="s">
        <v>63</v>
      </c>
      <c r="C8" s="51">
        <v>0.28199999999999997</v>
      </c>
    </row>
    <row r="9" spans="1:3" ht="15" customHeight="1" x14ac:dyDescent="0.25">
      <c r="B9" s="5" t="s">
        <v>62</v>
      </c>
      <c r="C9" s="52">
        <v>1</v>
      </c>
    </row>
    <row r="10" spans="1:3" ht="15" customHeight="1" x14ac:dyDescent="0.25">
      <c r="B10" s="5" t="s">
        <v>75</v>
      </c>
      <c r="C10" s="52">
        <v>0.23</v>
      </c>
    </row>
    <row r="11" spans="1:3" ht="15" customHeight="1" x14ac:dyDescent="0.25">
      <c r="B11" s="5" t="s">
        <v>68</v>
      </c>
      <c r="C11" s="51">
        <v>0.51</v>
      </c>
    </row>
    <row r="12" spans="1:3" ht="15" customHeight="1" x14ac:dyDescent="0.25">
      <c r="B12" s="5" t="s">
        <v>60</v>
      </c>
      <c r="C12" s="51">
        <v>0.37</v>
      </c>
    </row>
    <row r="13" spans="1:3" ht="15" customHeight="1" x14ac:dyDescent="0.25">
      <c r="B13" s="5" t="s">
        <v>81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52">
        <v>0.3</v>
      </c>
    </row>
    <row r="17" spans="1:3" ht="15" customHeight="1" x14ac:dyDescent="0.25">
      <c r="B17" s="5" t="s">
        <v>49</v>
      </c>
      <c r="C17" s="52">
        <v>0.1</v>
      </c>
    </row>
    <row r="18" spans="1:3" ht="15" customHeight="1" x14ac:dyDescent="0.25">
      <c r="B18" s="5" t="s">
        <v>50</v>
      </c>
      <c r="C18" s="52">
        <v>0.1</v>
      </c>
    </row>
    <row r="19" spans="1:3" ht="15" customHeight="1" x14ac:dyDescent="0.25">
      <c r="B19" s="5" t="s">
        <v>48</v>
      </c>
      <c r="C19" s="52">
        <v>0.8</v>
      </c>
    </row>
    <row r="20" spans="1:3" ht="15" customHeight="1" x14ac:dyDescent="0.25">
      <c r="B20" s="5" t="s">
        <v>53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52">
        <v>0.127</v>
      </c>
    </row>
    <row r="24" spans="1:3" ht="15" customHeight="1" x14ac:dyDescent="0.25">
      <c r="B24" s="15" t="s">
        <v>65</v>
      </c>
      <c r="C24" s="52">
        <v>0.45200000000000001</v>
      </c>
    </row>
    <row r="25" spans="1:3" ht="15" customHeight="1" x14ac:dyDescent="0.25">
      <c r="B25" s="15" t="s">
        <v>66</v>
      </c>
      <c r="C25" s="52">
        <v>0.33400000000000002</v>
      </c>
    </row>
    <row r="26" spans="1:3" ht="15" customHeight="1" x14ac:dyDescent="0.25">
      <c r="B26" s="15" t="s">
        <v>67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4" t="s">
        <v>46</v>
      </c>
      <c r="C29" s="53">
        <v>0.20799999999999999</v>
      </c>
    </row>
    <row r="30" spans="1:3" ht="14.25" customHeight="1" x14ac:dyDescent="0.25">
      <c r="B30" s="24" t="s">
        <v>82</v>
      </c>
      <c r="C30" s="53">
        <v>0.63700000000000001</v>
      </c>
    </row>
    <row r="31" spans="1:3" ht="14.25" customHeight="1" x14ac:dyDescent="0.25">
      <c r="B31" s="24" t="s">
        <v>29</v>
      </c>
      <c r="C31" s="53">
        <v>0.11899999999999999</v>
      </c>
    </row>
    <row r="32" spans="1:3" ht="14.25" customHeight="1" x14ac:dyDescent="0.25">
      <c r="B32" s="24" t="s">
        <v>30</v>
      </c>
      <c r="C32" s="53">
        <v>3.5999999999999997E-2</v>
      </c>
    </row>
    <row r="33" spans="1:5" ht="13" x14ac:dyDescent="0.25">
      <c r="B33" s="26" t="s">
        <v>79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54">
        <v>25</v>
      </c>
    </row>
    <row r="38" spans="1:5" ht="15" customHeight="1" x14ac:dyDescent="0.25">
      <c r="B38" s="11" t="s">
        <v>54</v>
      </c>
      <c r="C38" s="54">
        <v>43</v>
      </c>
      <c r="D38" s="12"/>
      <c r="E38" s="13"/>
    </row>
    <row r="39" spans="1:5" ht="15" customHeight="1" x14ac:dyDescent="0.25">
      <c r="B39" s="11" t="s">
        <v>80</v>
      </c>
      <c r="C39" s="54">
        <v>67</v>
      </c>
      <c r="D39" s="12"/>
      <c r="E39" s="12"/>
    </row>
    <row r="40" spans="1:5" ht="15" customHeight="1" x14ac:dyDescent="0.25">
      <c r="B40" s="11" t="s">
        <v>55</v>
      </c>
      <c r="C40" s="54">
        <v>4.01</v>
      </c>
    </row>
    <row r="41" spans="1:5" ht="15" customHeight="1" x14ac:dyDescent="0.25">
      <c r="B41" s="11" t="s">
        <v>51</v>
      </c>
      <c r="C41" s="52">
        <v>0.13</v>
      </c>
    </row>
    <row r="42" spans="1:5" ht="15" customHeight="1" x14ac:dyDescent="0.25">
      <c r="B42" s="11" t="s">
        <v>76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78</v>
      </c>
      <c r="C47" s="52">
        <v>0.36499999999999999</v>
      </c>
      <c r="D47" s="12"/>
      <c r="E47" s="13"/>
    </row>
    <row r="48" spans="1:5" ht="15" customHeight="1" x14ac:dyDescent="0.25">
      <c r="B48" s="11" t="s">
        <v>77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55">
        <v>1.66</v>
      </c>
      <c r="D51" s="12"/>
    </row>
    <row r="52" spans="1:4" ht="15" customHeight="1" x14ac:dyDescent="0.25">
      <c r="B52" s="11" t="s">
        <v>32</v>
      </c>
      <c r="C52" s="55">
        <v>1.66</v>
      </c>
    </row>
    <row r="53" spans="1:4" ht="15.75" customHeight="1" x14ac:dyDescent="0.25">
      <c r="B53" s="11" t="s">
        <v>35</v>
      </c>
      <c r="C53" s="55">
        <v>5.64</v>
      </c>
    </row>
    <row r="54" spans="1:4" ht="15.75" customHeight="1" x14ac:dyDescent="0.25">
      <c r="B54" s="11" t="s">
        <v>33</v>
      </c>
      <c r="C54" s="55">
        <v>5.43</v>
      </c>
    </row>
    <row r="55" spans="1:4" ht="15.75" customHeight="1" x14ac:dyDescent="0.25">
      <c r="B55" s="11" t="s">
        <v>34</v>
      </c>
      <c r="C55" s="55">
        <v>1.91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51">
        <v>0.2</v>
      </c>
    </row>
    <row r="59" spans="1:4" ht="15.75" customHeight="1" x14ac:dyDescent="0.25">
      <c r="B59" s="11" t="s">
        <v>59</v>
      </c>
      <c r="C59" s="51">
        <v>0.42</v>
      </c>
    </row>
    <row r="60" spans="1:4" ht="15.75" customHeight="1" x14ac:dyDescent="0.25">
      <c r="B60" s="11" t="s">
        <v>73</v>
      </c>
      <c r="C60" s="51">
        <v>4.5999999999999999E-2</v>
      </c>
    </row>
    <row r="61" spans="1:4" ht="15.75" customHeight="1" x14ac:dyDescent="0.25">
      <c r="B61" s="11" t="s">
        <v>72</v>
      </c>
      <c r="C61" s="51">
        <v>1.4E-2</v>
      </c>
    </row>
    <row r="62" spans="1:4" ht="15.75" customHeight="1" x14ac:dyDescent="0.25">
      <c r="B62" s="11" t="s">
        <v>83</v>
      </c>
      <c r="C62" s="51">
        <v>0.02</v>
      </c>
    </row>
    <row r="63" spans="1:4" ht="15.75" customHeight="1" x14ac:dyDescent="0.3">
      <c r="A63" s="4"/>
    </row>
  </sheetData>
  <sheetProtection algorithmName="SHA-512" hashValue="ERh9B9nFV5fo0aLV0rwHQ6wg8i1z62bnG9PHiZCgWqHY3SlWTYlzvUgHG2UCFQZ9Sg3AYJY+PVj1GDq0hb08dg==" saltValue="bIuouElX/sD892pfaVct3Q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O7FiCD8PjrcxCnmwlSnQy7o1uJ7pu4tzZVTUHyjt0Q2VSwbO9OeXUVMblpC9Hzmri78T8ZUXuf2gh/bEaJ00Zw==" saltValue="JJ2HgGKcocg3gWF4l1Wy3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(2017) atribuible a la causa</v>
      </c>
      <c r="B1" s="30"/>
      <c r="C1" s="30"/>
      <c r="D1" s="30"/>
      <c r="E1" s="30"/>
      <c r="F1" s="30"/>
    </row>
    <row r="2" spans="1:8" ht="27.75" customHeight="1" x14ac:dyDescent="0.3">
      <c r="A2" t="s">
        <v>6</v>
      </c>
      <c r="B2" s="30" t="s">
        <v>101</v>
      </c>
      <c r="C2" s="30" t="s">
        <v>97</v>
      </c>
      <c r="D2" s="30"/>
      <c r="E2" s="30"/>
      <c r="F2" s="30"/>
      <c r="G2" s="30"/>
    </row>
    <row r="3" spans="1:8" ht="15.75" customHeight="1" x14ac:dyDescent="0.25">
      <c r="B3" s="19" t="s">
        <v>112</v>
      </c>
      <c r="C3" s="58">
        <v>2.7000000000000001E-3</v>
      </c>
    </row>
    <row r="4" spans="1:8" ht="15.75" customHeight="1" x14ac:dyDescent="0.25">
      <c r="B4" s="19" t="s">
        <v>116</v>
      </c>
      <c r="C4" s="58">
        <v>0.1966</v>
      </c>
    </row>
    <row r="5" spans="1:8" ht="15.75" customHeight="1" x14ac:dyDescent="0.25">
      <c r="B5" s="19" t="s">
        <v>114</v>
      </c>
      <c r="C5" s="58">
        <v>6.2100000000000002E-2</v>
      </c>
    </row>
    <row r="6" spans="1:8" ht="15.75" customHeight="1" x14ac:dyDescent="0.25">
      <c r="B6" s="19" t="s">
        <v>110</v>
      </c>
      <c r="C6" s="58">
        <v>0.29289999999999999</v>
      </c>
    </row>
    <row r="7" spans="1:8" ht="15.75" customHeight="1" x14ac:dyDescent="0.25">
      <c r="B7" s="19" t="s">
        <v>115</v>
      </c>
      <c r="C7" s="58">
        <v>0.24709999999999999</v>
      </c>
    </row>
    <row r="8" spans="1:8" ht="15.75" customHeight="1" x14ac:dyDescent="0.25">
      <c r="B8" s="19" t="s">
        <v>117</v>
      </c>
      <c r="C8" s="58">
        <v>4.7999999999999996E-3</v>
      </c>
    </row>
    <row r="9" spans="1:8" ht="15.75" customHeight="1" x14ac:dyDescent="0.25">
      <c r="B9" s="19" t="s">
        <v>111</v>
      </c>
      <c r="C9" s="58">
        <v>0.13200000000000001</v>
      </c>
    </row>
    <row r="10" spans="1:8" ht="15.75" customHeight="1" x14ac:dyDescent="0.25">
      <c r="B10" s="19" t="s">
        <v>113</v>
      </c>
      <c r="C10" s="58">
        <v>6.1800000000000001E-2</v>
      </c>
    </row>
    <row r="11" spans="1:8" ht="15.75" customHeight="1" x14ac:dyDescent="0.25">
      <c r="B11" s="26" t="s">
        <v>79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30" t="s">
        <v>101</v>
      </c>
      <c r="C13" s="18" t="s">
        <v>93</v>
      </c>
      <c r="D13" s="18" t="s">
        <v>96</v>
      </c>
      <c r="E13" s="18" t="s">
        <v>94</v>
      </c>
      <c r="F13" s="18" t="s">
        <v>95</v>
      </c>
      <c r="G13" s="19"/>
    </row>
    <row r="14" spans="1:8" ht="15.75" customHeight="1" x14ac:dyDescent="0.25">
      <c r="B14" s="19" t="s">
        <v>103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121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0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109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98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107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118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79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30" t="s">
        <v>101</v>
      </c>
      <c r="C25" s="30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8">
        <v>0.10082724000000001</v>
      </c>
    </row>
    <row r="27" spans="1:8" ht="15.75" customHeight="1" x14ac:dyDescent="0.25">
      <c r="B27" s="19" t="s">
        <v>108</v>
      </c>
      <c r="C27" s="58">
        <v>3.1206000000000002E-4</v>
      </c>
    </row>
    <row r="28" spans="1:8" ht="15.75" customHeight="1" x14ac:dyDescent="0.25">
      <c r="B28" s="19" t="s">
        <v>122</v>
      </c>
      <c r="C28" s="58">
        <v>0.15891214000000001</v>
      </c>
    </row>
    <row r="29" spans="1:8" ht="15.75" customHeight="1" x14ac:dyDescent="0.25">
      <c r="B29" s="19" t="s">
        <v>105</v>
      </c>
      <c r="C29" s="58">
        <v>0.12598688999999999</v>
      </c>
    </row>
    <row r="30" spans="1:8" ht="15.75" customHeight="1" x14ac:dyDescent="0.25">
      <c r="B30" s="19" t="s">
        <v>2</v>
      </c>
      <c r="C30" s="58">
        <v>0.12434007</v>
      </c>
    </row>
    <row r="31" spans="1:8" ht="15.75" customHeight="1" x14ac:dyDescent="0.25">
      <c r="B31" s="19" t="s">
        <v>99</v>
      </c>
      <c r="C31" s="58">
        <v>3.9028409999999999E-2</v>
      </c>
    </row>
    <row r="32" spans="1:8" ht="15.75" customHeight="1" x14ac:dyDescent="0.25">
      <c r="B32" s="19" t="s">
        <v>104</v>
      </c>
      <c r="C32" s="58">
        <v>8.5254999999999999E-4</v>
      </c>
    </row>
    <row r="33" spans="2:3" ht="15.75" customHeight="1" x14ac:dyDescent="0.25">
      <c r="B33" s="19" t="s">
        <v>119</v>
      </c>
      <c r="C33" s="58">
        <v>6.8467810000000004E-2</v>
      </c>
    </row>
    <row r="34" spans="2:3" ht="15.75" customHeight="1" x14ac:dyDescent="0.25">
      <c r="B34" s="19" t="s">
        <v>106</v>
      </c>
      <c r="C34" s="58">
        <v>0.38127283000000001</v>
      </c>
    </row>
    <row r="35" spans="2:3" ht="15.75" customHeight="1" x14ac:dyDescent="0.25">
      <c r="B35" s="26" t="s">
        <v>79</v>
      </c>
      <c r="C35" s="112">
        <f>SUM(C26:C34)</f>
        <v>1</v>
      </c>
    </row>
  </sheetData>
  <sheetProtection algorithmName="SHA-512" hashValue="8whlNR2lUiosOVTStBn9b3BruUIScTbB5zhmb68Lsma+Raz/ajUbqdMs7ocd/Qt6XT8S+APlCnCmOnxb2/9Frw==" saltValue="4pa2+C9ElpnqapfDFf6iHA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11" zoomScaleNormal="100" workbookViewId="0">
      <selection activeCell="C14" sqref="C14:O1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(2017)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113">
        <f>IFERROR(1-_xlfn.NORM.DIST(_xlfn.NORM.INV(SUM(C4:C5), 0, 1) + 1, 0, 1, TRUE), "")</f>
        <v>0.62646497653878419</v>
      </c>
      <c r="D2" s="113">
        <f>IFERROR(1-_xlfn.NORM.DIST(_xlfn.NORM.INV(SUM(D4:D5), 0, 1) + 1, 0, 1, TRUE), "")</f>
        <v>0.62646497653878419</v>
      </c>
      <c r="E2" s="113">
        <f>IFERROR(1-_xlfn.NORM.DIST(_xlfn.NORM.INV(SUM(E4:E5), 0, 1) + 1, 0, 1, TRUE), "")</f>
        <v>0.51268059916993503</v>
      </c>
      <c r="F2" s="113">
        <f>IFERROR(1-_xlfn.NORM.DIST(_xlfn.NORM.INV(SUM(F4:F5), 0, 1) + 1, 0, 1, TRUE), "")</f>
        <v>0.30815857585736128</v>
      </c>
      <c r="G2" s="113">
        <f>IFERROR(1-_xlfn.NORM.DIST(_xlfn.NORM.INV(SUM(G4:G5), 0, 1) + 1, 0, 1, TRUE), "")</f>
        <v>0.27515252880031782</v>
      </c>
    </row>
    <row r="3" spans="1:15" ht="15.75" customHeight="1" x14ac:dyDescent="0.25">
      <c r="B3" s="5" t="s">
        <v>127</v>
      </c>
      <c r="C3" s="113">
        <f>IFERROR(_xlfn.NORM.DIST(_xlfn.NORM.INV(SUM(C4:C5), 0, 1) + 1, 0, 1, TRUE) - SUM(C4:C5), "")</f>
        <v>0.28053502346121584</v>
      </c>
      <c r="D3" s="113">
        <f>IFERROR(_xlfn.NORM.DIST(_xlfn.NORM.INV(SUM(D4:D5), 0, 1) + 1, 0, 1, TRUE) - SUM(D4:D5), "")</f>
        <v>0.28053502346121584</v>
      </c>
      <c r="E3" s="113">
        <f>IFERROR(_xlfn.NORM.DIST(_xlfn.NORM.INV(SUM(E4:E5), 0, 1) + 1, 0, 1, TRUE) - SUM(E4:E5), "")</f>
        <v>0.33623435984645883</v>
      </c>
      <c r="F3" s="113">
        <f>IFERROR(_xlfn.NORM.DIST(_xlfn.NORM.INV(SUM(F4:F5), 0, 1) + 1, 0, 1, TRUE) - SUM(F4:F5), "")</f>
        <v>0.3829247184804957</v>
      </c>
      <c r="G3" s="113">
        <f>IFERROR(_xlfn.NORM.DIST(_xlfn.NORM.INV(SUM(G4:G5), 0, 1) + 1, 0, 1, TRUE) - SUM(G4:G5), "")</f>
        <v>0.3812618762101212</v>
      </c>
    </row>
    <row r="4" spans="1:15" ht="15.75" customHeight="1" x14ac:dyDescent="0.25">
      <c r="B4" s="5" t="s">
        <v>129</v>
      </c>
      <c r="C4" s="59">
        <v>6.7000000000000004E-2</v>
      </c>
      <c r="D4" s="59">
        <v>6.7000000000000004E-2</v>
      </c>
      <c r="E4" s="59">
        <v>0.114430327868852</v>
      </c>
      <c r="F4" s="59">
        <v>0.20673186710341601</v>
      </c>
      <c r="G4" s="59">
        <v>0.23929610299234499</v>
      </c>
    </row>
    <row r="5" spans="1:15" ht="15.75" customHeight="1" x14ac:dyDescent="0.25">
      <c r="B5" s="5" t="s">
        <v>125</v>
      </c>
      <c r="C5" s="59">
        <v>2.5999999999999999E-2</v>
      </c>
      <c r="D5" s="59">
        <v>2.5999999999999999E-2</v>
      </c>
      <c r="E5" s="59">
        <v>3.6654713114754101E-2</v>
      </c>
      <c r="F5" s="59">
        <v>0.102184838558727</v>
      </c>
      <c r="G5" s="59">
        <v>0.104289491997216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141</v>
      </c>
      <c r="B8" s="5" t="s">
        <v>131</v>
      </c>
      <c r="C8" s="113">
        <f>IFERROR(1-_xlfn.NORM.DIST(_xlfn.NORM.INV(SUM(C10:C11), 0, 1) + 1, 0, 1, TRUE), "")</f>
        <v>0.72815679319755799</v>
      </c>
      <c r="D8" s="113">
        <f>IFERROR(1-_xlfn.NORM.DIST(_xlfn.NORM.INV(SUM(D10:D11), 0, 1) + 1, 0, 1, TRUE), "")</f>
        <v>0.72815679319755799</v>
      </c>
      <c r="E8" s="113">
        <f>IFERROR(1-_xlfn.NORM.DIST(_xlfn.NORM.INV(SUM(E10:E11), 0, 1) + 1, 0, 1, TRUE), "")</f>
        <v>0.74128269501188215</v>
      </c>
      <c r="F8" s="113">
        <f>IFERROR(1-_xlfn.NORM.DIST(_xlfn.NORM.INV(SUM(F10:F11), 0, 1) + 1, 0, 1, TRUE), "")</f>
        <v>0.80046768973733329</v>
      </c>
      <c r="G8" s="113">
        <f>IFERROR(1-_xlfn.NORM.DIST(_xlfn.NORM.INV(SUM(G10:G11), 0, 1) + 1, 0, 1, TRUE), "")</f>
        <v>0.85559010266351077</v>
      </c>
    </row>
    <row r="9" spans="1:15" ht="15.75" customHeight="1" x14ac:dyDescent="0.25">
      <c r="B9" s="5" t="s">
        <v>128</v>
      </c>
      <c r="C9" s="113">
        <f>IFERROR(_xlfn.NORM.DIST(_xlfn.NORM.INV(SUM(C10:C11), 0, 1) + 1, 0, 1, TRUE) - SUM(C10:C11), "")</f>
        <v>0.21784320680244201</v>
      </c>
      <c r="D9" s="113">
        <f>IFERROR(_xlfn.NORM.DIST(_xlfn.NORM.INV(SUM(D10:D11), 0, 1) + 1, 0, 1, TRUE) - SUM(D10:D11), "")</f>
        <v>0.21784320680244201</v>
      </c>
      <c r="E9" s="113">
        <f>IFERROR(_xlfn.NORM.DIST(_xlfn.NORM.INV(SUM(E10:E11), 0, 1) + 1, 0, 1, TRUE) - SUM(E10:E11), "")</f>
        <v>0.20896961268042552</v>
      </c>
      <c r="F9" s="113">
        <f>IFERROR(_xlfn.NORM.DIST(_xlfn.NORM.INV(SUM(F10:F11), 0, 1) + 1, 0, 1, TRUE) - SUM(F10:F11), "")</f>
        <v>0.16688918584732537</v>
      </c>
      <c r="G9" s="113">
        <f>IFERROR(_xlfn.NORM.DIST(_xlfn.NORM.INV(SUM(G10:G11), 0, 1) + 1, 0, 1, TRUE) - SUM(G10:G11), "")</f>
        <v>0.12474474133160862</v>
      </c>
    </row>
    <row r="10" spans="1:15" ht="15.75" customHeight="1" x14ac:dyDescent="0.25">
      <c r="B10" s="5" t="s">
        <v>126</v>
      </c>
      <c r="C10" s="59">
        <v>3.4000000000000002E-2</v>
      </c>
      <c r="D10" s="59">
        <v>3.4000000000000002E-2</v>
      </c>
      <c r="E10" s="59">
        <v>3.4022564102564101E-2</v>
      </c>
      <c r="F10" s="59">
        <v>2.2547708138447101E-2</v>
      </c>
      <c r="G10" s="59">
        <v>1.2330660624019499E-2</v>
      </c>
    </row>
    <row r="11" spans="1:15" ht="15.75" customHeight="1" x14ac:dyDescent="0.25">
      <c r="B11" s="5" t="s">
        <v>138</v>
      </c>
      <c r="C11" s="59">
        <v>0.02</v>
      </c>
      <c r="D11" s="59">
        <v>0.02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137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TGTvqOC9sU5GbbXGXLzqhb91lIFrPnFx0aSPOCH0eHqCT0OMZchSOimcudxiSpYSgKK/UpKGb5zQ6w2ufQo0nw==" saltValue="+IUMjLefrgi8GYHw49OAjg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(2017)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1" t="s">
        <v>143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146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145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144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t9ITo+/l3UWZegkXbQ88BGJjbI4BJg7HX/TpdPLe6+gi+W00TQhJ9tO6QrLjXdh9WGOGSjOIi0Mt2heI3nFWXQ==" saltValue="6NfwzsXktz7j4XGjjh0ekw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154</v>
      </c>
      <c r="B1" s="29" t="s">
        <v>152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155</v>
      </c>
      <c r="B2" s="45" t="s">
        <v>149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157</v>
      </c>
      <c r="B4" s="45" t="s">
        <v>149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147</v>
      </c>
      <c r="B6" s="45" t="s">
        <v>149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123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158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153</v>
      </c>
      <c r="B10" s="45" t="s">
        <v>148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150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56</v>
      </c>
      <c r="B13" s="45" t="s">
        <v>156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151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r6hGyW/uW9ofay3lrC5YoIUh1gDLZylHMQVA30Yc1764e+CRDFfGFJFPJSzPsw/wIxvY6wdqHxcUcaSdwZ7CSA==" saltValue="x0eyIKFVC9BfjrVEuEbJ/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14</v>
      </c>
      <c r="B1" s="29" t="s">
        <v>10</v>
      </c>
    </row>
    <row r="2" spans="1:2" x14ac:dyDescent="0.25">
      <c r="A2" s="27" t="s">
        <v>160</v>
      </c>
      <c r="B2" s="117">
        <v>3000.4442305317302</v>
      </c>
    </row>
    <row r="3" spans="1:2" x14ac:dyDescent="0.25">
      <c r="A3" s="27" t="s">
        <v>159</v>
      </c>
      <c r="B3" s="119">
        <v>0.03</v>
      </c>
    </row>
    <row r="4" spans="1:2" x14ac:dyDescent="0.25">
      <c r="A4" s="27" t="s">
        <v>170</v>
      </c>
      <c r="B4" s="119">
        <v>0.43146000000000001</v>
      </c>
    </row>
    <row r="5" spans="1:2" x14ac:dyDescent="0.25">
      <c r="A5" s="27" t="s">
        <v>161</v>
      </c>
      <c r="B5" s="119">
        <v>0.03</v>
      </c>
    </row>
    <row r="6" spans="1:2" x14ac:dyDescent="0.25">
      <c r="A6" s="27" t="s">
        <v>162</v>
      </c>
      <c r="B6" s="119">
        <v>0.03</v>
      </c>
    </row>
    <row r="7" spans="1:2" x14ac:dyDescent="0.25">
      <c r="A7" s="27" t="s">
        <v>165</v>
      </c>
      <c r="B7" s="115">
        <v>18</v>
      </c>
    </row>
    <row r="8" spans="1:2" x14ac:dyDescent="0.25">
      <c r="A8" s="27" t="s">
        <v>164</v>
      </c>
      <c r="B8" s="115">
        <v>65</v>
      </c>
    </row>
    <row r="9" spans="1:2" x14ac:dyDescent="0.25">
      <c r="A9" s="27" t="s">
        <v>166</v>
      </c>
      <c r="B9" s="119">
        <v>0.73801000000000005</v>
      </c>
    </row>
    <row r="10" spans="1:2" x14ac:dyDescent="0.25">
      <c r="A10" s="27" t="s">
        <v>163</v>
      </c>
      <c r="B10" s="119">
        <v>0.9</v>
      </c>
    </row>
    <row r="11" spans="1:2" x14ac:dyDescent="0.25">
      <c r="A11" s="27" t="s">
        <v>171</v>
      </c>
      <c r="B11" s="119">
        <v>0.66</v>
      </c>
    </row>
    <row r="12" spans="1:2" x14ac:dyDescent="0.25">
      <c r="A12" s="27" t="s">
        <v>172</v>
      </c>
      <c r="B12" s="119">
        <f>0.025</f>
        <v>2.5000000000000001E-2</v>
      </c>
    </row>
    <row r="13" spans="1:2" x14ac:dyDescent="0.25">
      <c r="A13" s="27" t="s">
        <v>173</v>
      </c>
      <c r="B13" s="119">
        <f>0.075</f>
        <v>7.4999999999999997E-2</v>
      </c>
    </row>
    <row r="14" spans="1:2" x14ac:dyDescent="0.25">
      <c r="A14" s="27" t="s">
        <v>174</v>
      </c>
      <c r="B14" s="118">
        <v>1.2190322671178365E-4</v>
      </c>
    </row>
    <row r="15" spans="1:2" x14ac:dyDescent="0.25">
      <c r="A15" s="27" t="s">
        <v>167</v>
      </c>
      <c r="B15" s="115">
        <v>0.5</v>
      </c>
    </row>
    <row r="16" spans="1:2" x14ac:dyDescent="0.25">
      <c r="A16" s="27" t="s">
        <v>168</v>
      </c>
      <c r="B16" s="115">
        <v>0.8</v>
      </c>
    </row>
    <row r="17" spans="1:15" x14ac:dyDescent="0.25">
      <c r="A17" s="27" t="s">
        <v>169</v>
      </c>
      <c r="B17" s="116">
        <v>1.0666666666666666E-2</v>
      </c>
    </row>
    <row r="18" spans="1:15" x14ac:dyDescent="0.25">
      <c r="A18" t="s">
        <v>175</v>
      </c>
      <c r="B18" s="119">
        <v>0.5</v>
      </c>
    </row>
    <row r="21" spans="1:15" ht="13" x14ac:dyDescent="0.3">
      <c r="A21" s="29" t="s">
        <v>11</v>
      </c>
      <c r="B21" s="27" t="s">
        <v>12</v>
      </c>
      <c r="C21" s="27" t="s">
        <v>13</v>
      </c>
      <c r="D21" s="27" t="s">
        <v>15</v>
      </c>
      <c r="E21" s="27" t="s">
        <v>16</v>
      </c>
      <c r="F21" s="27" t="s">
        <v>17</v>
      </c>
      <c r="G21" s="27" t="s">
        <v>18</v>
      </c>
      <c r="H21" s="27" t="s">
        <v>19</v>
      </c>
      <c r="I21" s="27" t="s">
        <v>20</v>
      </c>
      <c r="J21" s="27" t="s">
        <v>21</v>
      </c>
      <c r="K21" s="27" t="s">
        <v>22</v>
      </c>
      <c r="L21" s="27" t="s">
        <v>23</v>
      </c>
      <c r="M21" s="27" t="s">
        <v>24</v>
      </c>
      <c r="N21" s="27" t="s">
        <v>25</v>
      </c>
      <c r="O21" s="27" t="s">
        <v>26</v>
      </c>
    </row>
    <row r="22" spans="1:15" x14ac:dyDescent="0.25">
      <c r="A22" s="27" t="s">
        <v>176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7EMawIv7QNobFshIG9p9xvQUkYXUDTvkugKVtBTiiBFEhAh99YcPF4vuq7JMTsc/wIkmw7ReegXvnag1mdtP9A==" saltValue="RslnY/YphRQPiXIhyLgHbg==" spinCount="100000" sheet="1" objects="1" scenarios="1"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183</v>
      </c>
      <c r="B1" s="38" t="s">
        <v>185</v>
      </c>
      <c r="C1" s="38" t="s">
        <v>179</v>
      </c>
      <c r="D1" s="38" t="s">
        <v>178</v>
      </c>
      <c r="E1" s="38" t="s">
        <v>184</v>
      </c>
    </row>
    <row r="2" spans="1:5" ht="13" x14ac:dyDescent="0.3">
      <c r="A2" s="36" t="s">
        <v>180</v>
      </c>
      <c r="B2" s="34" t="s">
        <v>123</v>
      </c>
      <c r="C2" s="62"/>
      <c r="D2" s="62"/>
      <c r="E2" s="44" t="str">
        <f>IF(E$7="","",E$7)</f>
        <v/>
      </c>
    </row>
    <row r="3" spans="1:5" x14ac:dyDescent="0.25">
      <c r="B3" s="34" t="s">
        <v>97</v>
      </c>
      <c r="C3" s="62" t="s">
        <v>5</v>
      </c>
      <c r="D3" s="62"/>
      <c r="E3" s="44" t="str">
        <f>IF(E$7="","",E$7)</f>
        <v/>
      </c>
    </row>
    <row r="4" spans="1:5" x14ac:dyDescent="0.25">
      <c r="B4" s="34" t="s">
        <v>93</v>
      </c>
      <c r="C4" s="62" t="s">
        <v>5</v>
      </c>
      <c r="D4" s="62"/>
      <c r="E4" s="44" t="str">
        <f>IF(E$7="","",E$7)</f>
        <v/>
      </c>
    </row>
    <row r="5" spans="1:5" x14ac:dyDescent="0.25">
      <c r="B5" s="34" t="s">
        <v>96</v>
      </c>
      <c r="C5" s="62" t="s">
        <v>5</v>
      </c>
      <c r="D5" s="62"/>
      <c r="E5" s="44" t="str">
        <f>IF(E$7="","",E$7)</f>
        <v/>
      </c>
    </row>
    <row r="6" spans="1:5" x14ac:dyDescent="0.25">
      <c r="B6" s="34" t="s">
        <v>94</v>
      </c>
      <c r="C6" s="62" t="s">
        <v>5</v>
      </c>
      <c r="D6" s="62"/>
      <c r="E6" s="44" t="str">
        <f>IF(E$7="","",E$7)</f>
        <v/>
      </c>
    </row>
    <row r="7" spans="1:5" x14ac:dyDescent="0.25">
      <c r="B7" s="34" t="s">
        <v>177</v>
      </c>
      <c r="C7" s="33"/>
      <c r="D7" s="32"/>
      <c r="E7" s="62"/>
    </row>
    <row r="9" spans="1:5" ht="13" x14ac:dyDescent="0.3">
      <c r="A9" s="36" t="s">
        <v>181</v>
      </c>
      <c r="B9" s="34" t="s">
        <v>123</v>
      </c>
      <c r="C9" s="62"/>
      <c r="D9" s="62"/>
      <c r="E9" s="44" t="str">
        <f>IF(E$7="","",E$7)</f>
        <v/>
      </c>
    </row>
    <row r="10" spans="1:5" x14ac:dyDescent="0.25">
      <c r="B10" s="34" t="s">
        <v>97</v>
      </c>
      <c r="C10" s="62"/>
      <c r="D10" s="62" t="s">
        <v>5</v>
      </c>
      <c r="E10" s="44" t="str">
        <f>IF(E$7="","",E$7)</f>
        <v/>
      </c>
    </row>
    <row r="11" spans="1:5" x14ac:dyDescent="0.25">
      <c r="B11" s="34" t="s">
        <v>93</v>
      </c>
      <c r="C11" s="62"/>
      <c r="D11" s="62" t="s">
        <v>5</v>
      </c>
      <c r="E11" s="44" t="str">
        <f>IF(E$7="","",E$7)</f>
        <v/>
      </c>
    </row>
    <row r="12" spans="1:5" x14ac:dyDescent="0.25">
      <c r="B12" s="34" t="s">
        <v>96</v>
      </c>
      <c r="C12" s="62"/>
      <c r="D12" s="62" t="s">
        <v>5</v>
      </c>
      <c r="E12" s="44" t="str">
        <f>IF(E$7="","",E$7)</f>
        <v/>
      </c>
    </row>
    <row r="13" spans="1:5" x14ac:dyDescent="0.25">
      <c r="B13" s="34" t="s">
        <v>94</v>
      </c>
      <c r="C13" s="62"/>
      <c r="D13" s="62" t="s">
        <v>5</v>
      </c>
      <c r="E13" s="44" t="str">
        <f>IF(E$7="","",E$7)</f>
        <v/>
      </c>
    </row>
    <row r="14" spans="1:5" x14ac:dyDescent="0.25">
      <c r="B14" s="34" t="s">
        <v>177</v>
      </c>
      <c r="C14" s="33"/>
      <c r="D14" s="32"/>
      <c r="E14" s="62"/>
    </row>
    <row r="16" spans="1:5" ht="13" x14ac:dyDescent="0.3">
      <c r="A16" s="36" t="s">
        <v>182</v>
      </c>
      <c r="B16" s="34" t="s">
        <v>123</v>
      </c>
      <c r="C16" s="62"/>
      <c r="D16" s="62"/>
      <c r="E16" s="44" t="str">
        <f>IF(E$7="","",E$7)</f>
        <v/>
      </c>
    </row>
    <row r="17" spans="2:5" x14ac:dyDescent="0.25">
      <c r="B17" s="34" t="s">
        <v>97</v>
      </c>
      <c r="C17" s="62"/>
      <c r="D17" s="62" t="s">
        <v>5</v>
      </c>
      <c r="E17" s="44" t="str">
        <f>IF(E$7="","",E$7)</f>
        <v/>
      </c>
    </row>
    <row r="18" spans="2:5" x14ac:dyDescent="0.25">
      <c r="B18" s="34" t="s">
        <v>93</v>
      </c>
      <c r="C18" s="62"/>
      <c r="D18" s="62" t="s">
        <v>5</v>
      </c>
      <c r="E18" s="44" t="str">
        <f>IF(E$7="","",E$7)</f>
        <v/>
      </c>
    </row>
    <row r="19" spans="2:5" x14ac:dyDescent="0.25">
      <c r="B19" s="34" t="s">
        <v>96</v>
      </c>
      <c r="C19" s="62"/>
      <c r="D19" s="62"/>
      <c r="E19" s="44" t="str">
        <f>IF(E$7="","",E$7)</f>
        <v/>
      </c>
    </row>
    <row r="20" spans="2:5" x14ac:dyDescent="0.25">
      <c r="B20" s="34" t="s">
        <v>94</v>
      </c>
      <c r="C20" s="62"/>
      <c r="D20" s="62"/>
      <c r="E20" s="44" t="str">
        <f>IF(E$7="","",E$7)</f>
        <v/>
      </c>
    </row>
    <row r="21" spans="2:5" x14ac:dyDescent="0.25">
      <c r="B21" s="34" t="s">
        <v>177</v>
      </c>
      <c r="C21" s="33"/>
      <c r="D21" s="32"/>
      <c r="E21" s="62"/>
    </row>
  </sheetData>
  <sheetProtection algorithmName="SHA-512" hashValue="v6bx7rF3mriJUBo65jHscYSH+lJizaiFEMBrUTvEUGkZSugoxUA1O3AcHbNMEuw8quDxpWZSBYZqtXmKA4OoyA==" saltValue="V8VDW5t1hxx1JEVUJP1T/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4</v>
      </c>
      <c r="B1" s="38" t="s">
        <v>188</v>
      </c>
      <c r="C1" s="47" t="s">
        <v>190</v>
      </c>
      <c r="D1" s="47" t="s">
        <v>186</v>
      </c>
    </row>
    <row r="2" spans="1:4" ht="13" x14ac:dyDescent="0.3">
      <c r="A2" s="47" t="s">
        <v>192</v>
      </c>
      <c r="B2" s="34" t="s">
        <v>193</v>
      </c>
      <c r="C2" s="34" t="s">
        <v>191</v>
      </c>
      <c r="D2" s="62"/>
    </row>
    <row r="3" spans="1:4" ht="13" x14ac:dyDescent="0.3">
      <c r="A3" s="47" t="s">
        <v>189</v>
      </c>
      <c r="B3" s="34" t="s">
        <v>179</v>
      </c>
      <c r="C3" s="34" t="s">
        <v>187</v>
      </c>
      <c r="D3" s="62"/>
    </row>
  </sheetData>
  <sheetProtection algorithmName="SHA-512" hashValue="eEwQfoZKkQzdhanDKV/tuQhGm7HIDpcGDIGJScpussbIuT0FwpNUYegQAwXGU+awoIbKOc+JyuJteMV+1IKBsg==" saltValue="j/MI4iGEUH2pADXKwuITy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192</v>
      </c>
      <c r="B1" s="40" t="str">
        <f>"Cobertura de referencia ("&amp;start_year&amp;")"</f>
        <v>Cobertura de referencia (2017)</v>
      </c>
      <c r="C1" s="40" t="s">
        <v>223</v>
      </c>
      <c r="D1" s="40" t="s">
        <v>224</v>
      </c>
      <c r="E1" s="40" t="s">
        <v>197</v>
      </c>
      <c r="F1" s="40" t="s">
        <v>216</v>
      </c>
      <c r="G1" s="40" t="s">
        <v>215</v>
      </c>
    </row>
    <row r="2" spans="1:7" ht="15.75" customHeight="1" x14ac:dyDescent="0.25">
      <c r="A2" s="39" t="s">
        <v>194</v>
      </c>
      <c r="B2" s="63">
        <v>0</v>
      </c>
      <c r="C2" s="63">
        <v>0.95</v>
      </c>
      <c r="D2" s="64">
        <v>25</v>
      </c>
      <c r="E2" s="64" t="s">
        <v>212</v>
      </c>
      <c r="F2" s="63">
        <v>1</v>
      </c>
      <c r="G2" s="63">
        <v>1</v>
      </c>
    </row>
    <row r="3" spans="1:7" ht="15.75" customHeight="1" x14ac:dyDescent="0.25">
      <c r="A3" s="39" t="s">
        <v>195</v>
      </c>
      <c r="B3" s="63">
        <v>0</v>
      </c>
      <c r="C3" s="63">
        <v>0.95</v>
      </c>
      <c r="D3" s="64">
        <v>1</v>
      </c>
      <c r="E3" s="64" t="s">
        <v>212</v>
      </c>
      <c r="F3" s="63">
        <v>1</v>
      </c>
      <c r="G3" s="63">
        <v>1</v>
      </c>
    </row>
    <row r="4" spans="1:7" ht="15.75" customHeight="1" x14ac:dyDescent="0.25">
      <c r="A4" s="39" t="s">
        <v>196</v>
      </c>
      <c r="B4" s="63">
        <v>0</v>
      </c>
      <c r="C4" s="63">
        <v>0.95</v>
      </c>
      <c r="D4" s="64">
        <v>90</v>
      </c>
      <c r="E4" s="64" t="s">
        <v>212</v>
      </c>
      <c r="F4" s="63">
        <v>1</v>
      </c>
      <c r="G4" s="63">
        <v>1</v>
      </c>
    </row>
    <row r="5" spans="1:7" ht="15.75" customHeight="1" x14ac:dyDescent="0.25">
      <c r="A5" s="39" t="s">
        <v>198</v>
      </c>
      <c r="B5" s="63">
        <v>0</v>
      </c>
      <c r="C5" s="63">
        <v>0.95</v>
      </c>
      <c r="D5" s="64">
        <v>1</v>
      </c>
      <c r="E5" s="64" t="s">
        <v>212</v>
      </c>
      <c r="F5" s="63">
        <v>1</v>
      </c>
      <c r="G5" s="63">
        <v>1</v>
      </c>
    </row>
    <row r="6" spans="1:7" ht="15.75" customHeight="1" x14ac:dyDescent="0.25">
      <c r="A6" s="39" t="s">
        <v>199</v>
      </c>
      <c r="B6" s="63">
        <v>0</v>
      </c>
      <c r="C6" s="63">
        <v>0.95</v>
      </c>
      <c r="D6" s="64">
        <v>0.82</v>
      </c>
      <c r="E6" s="64" t="s">
        <v>212</v>
      </c>
      <c r="F6" s="63">
        <v>1</v>
      </c>
      <c r="G6" s="63">
        <v>1</v>
      </c>
    </row>
    <row r="7" spans="1:7" ht="15.75" customHeight="1" x14ac:dyDescent="0.25">
      <c r="A7" s="39" t="s">
        <v>200</v>
      </c>
      <c r="B7" s="63">
        <v>0.36</v>
      </c>
      <c r="C7" s="63">
        <v>0.95</v>
      </c>
      <c r="D7" s="64">
        <v>0.25</v>
      </c>
      <c r="E7" s="64" t="s">
        <v>212</v>
      </c>
      <c r="F7" s="63">
        <v>1</v>
      </c>
      <c r="G7" s="63">
        <v>1</v>
      </c>
    </row>
    <row r="8" spans="1:7" ht="15.75" customHeight="1" x14ac:dyDescent="0.25">
      <c r="A8" s="39" t="s">
        <v>201</v>
      </c>
      <c r="B8" s="63">
        <v>0</v>
      </c>
      <c r="C8" s="63">
        <v>0.95</v>
      </c>
      <c r="D8" s="64">
        <v>0.75</v>
      </c>
      <c r="E8" s="64" t="s">
        <v>212</v>
      </c>
      <c r="F8" s="63">
        <v>1</v>
      </c>
      <c r="G8" s="63">
        <v>1</v>
      </c>
    </row>
    <row r="9" spans="1:7" ht="15.75" customHeight="1" x14ac:dyDescent="0.25">
      <c r="A9" s="39" t="s">
        <v>202</v>
      </c>
      <c r="B9" s="63">
        <v>0</v>
      </c>
      <c r="C9" s="63">
        <v>0.95</v>
      </c>
      <c r="D9" s="64">
        <v>0.19</v>
      </c>
      <c r="E9" s="64" t="s">
        <v>212</v>
      </c>
      <c r="F9" s="63">
        <v>1</v>
      </c>
      <c r="G9" s="63">
        <v>1</v>
      </c>
    </row>
    <row r="10" spans="1:7" ht="15.75" customHeight="1" x14ac:dyDescent="0.25">
      <c r="A10" s="45" t="s">
        <v>203</v>
      </c>
      <c r="B10" s="63">
        <v>0</v>
      </c>
      <c r="C10" s="63">
        <v>0.95</v>
      </c>
      <c r="D10" s="64">
        <v>0.73</v>
      </c>
      <c r="E10" s="64" t="s">
        <v>212</v>
      </c>
      <c r="F10" s="63">
        <v>1</v>
      </c>
      <c r="G10" s="63">
        <v>1</v>
      </c>
    </row>
    <row r="11" spans="1:7" ht="15.75" customHeight="1" x14ac:dyDescent="0.25">
      <c r="A11" s="45" t="s">
        <v>204</v>
      </c>
      <c r="B11" s="63">
        <v>0</v>
      </c>
      <c r="C11" s="63">
        <v>0.95</v>
      </c>
      <c r="D11" s="64">
        <v>1.78</v>
      </c>
      <c r="E11" s="64" t="s">
        <v>212</v>
      </c>
      <c r="F11" s="63">
        <v>1</v>
      </c>
      <c r="G11" s="63">
        <v>1</v>
      </c>
    </row>
    <row r="12" spans="1:7" ht="15.75" customHeight="1" x14ac:dyDescent="0.25">
      <c r="A12" s="45" t="s">
        <v>205</v>
      </c>
      <c r="B12" s="63">
        <v>0</v>
      </c>
      <c r="C12" s="63">
        <v>0.95</v>
      </c>
      <c r="D12" s="64">
        <v>0.24</v>
      </c>
      <c r="E12" s="64" t="s">
        <v>212</v>
      </c>
      <c r="F12" s="63">
        <v>1</v>
      </c>
      <c r="G12" s="63">
        <v>1</v>
      </c>
    </row>
    <row r="13" spans="1:7" ht="15.75" customHeight="1" x14ac:dyDescent="0.25">
      <c r="A13" s="45" t="s">
        <v>206</v>
      </c>
      <c r="B13" s="63">
        <v>0</v>
      </c>
      <c r="C13" s="63">
        <v>0.95</v>
      </c>
      <c r="D13" s="64">
        <v>0.55000000000000004</v>
      </c>
      <c r="E13" s="64" t="s">
        <v>212</v>
      </c>
      <c r="F13" s="63">
        <v>1</v>
      </c>
      <c r="G13" s="63">
        <v>1</v>
      </c>
    </row>
    <row r="14" spans="1:7" ht="15.75" customHeight="1" x14ac:dyDescent="0.25">
      <c r="A14" s="5" t="s">
        <v>207</v>
      </c>
      <c r="B14" s="63">
        <v>0</v>
      </c>
      <c r="C14" s="63">
        <v>0.95</v>
      </c>
      <c r="D14" s="64">
        <v>0.73</v>
      </c>
      <c r="E14" s="64" t="s">
        <v>212</v>
      </c>
      <c r="F14" s="63">
        <v>1</v>
      </c>
      <c r="G14" s="63">
        <v>1</v>
      </c>
    </row>
    <row r="15" spans="1:7" ht="15.75" customHeight="1" x14ac:dyDescent="0.25">
      <c r="A15" s="5" t="s">
        <v>208</v>
      </c>
      <c r="B15" s="63">
        <v>0</v>
      </c>
      <c r="C15" s="63">
        <v>0.95</v>
      </c>
      <c r="D15" s="64">
        <v>1.78</v>
      </c>
      <c r="E15" s="64" t="s">
        <v>212</v>
      </c>
      <c r="F15" s="63">
        <v>1</v>
      </c>
      <c r="G15" s="63">
        <v>1</v>
      </c>
    </row>
    <row r="16" spans="1:7" ht="15.75" customHeight="1" x14ac:dyDescent="0.25">
      <c r="A16" s="39" t="s">
        <v>209</v>
      </c>
      <c r="B16" s="63">
        <v>0.9</v>
      </c>
      <c r="C16" s="63">
        <v>0.95</v>
      </c>
      <c r="D16" s="64">
        <v>2.06</v>
      </c>
      <c r="E16" s="64" t="s">
        <v>212</v>
      </c>
      <c r="F16" s="63">
        <v>1</v>
      </c>
      <c r="G16" s="63">
        <v>1</v>
      </c>
    </row>
    <row r="17" spans="1:7" ht="15.75" customHeight="1" x14ac:dyDescent="0.25">
      <c r="A17" s="39" t="s">
        <v>210</v>
      </c>
      <c r="B17" s="63">
        <v>0.80800000000000005</v>
      </c>
      <c r="C17" s="63">
        <v>0.95</v>
      </c>
      <c r="D17" s="64">
        <v>0.05</v>
      </c>
      <c r="E17" s="64" t="s">
        <v>212</v>
      </c>
      <c r="F17" s="63">
        <v>1</v>
      </c>
      <c r="G17" s="63">
        <v>1</v>
      </c>
    </row>
    <row r="18" spans="1:7" ht="16" customHeight="1" x14ac:dyDescent="0.25">
      <c r="A18" s="39" t="s">
        <v>180</v>
      </c>
      <c r="B18" s="63">
        <v>0</v>
      </c>
      <c r="C18" s="63">
        <v>0.95</v>
      </c>
      <c r="D18" s="64">
        <v>5</v>
      </c>
      <c r="E18" s="64" t="s">
        <v>212</v>
      </c>
      <c r="F18" s="63">
        <v>1</v>
      </c>
      <c r="G18" s="63">
        <v>1</v>
      </c>
    </row>
    <row r="19" spans="1:7" ht="15.75" customHeight="1" x14ac:dyDescent="0.25">
      <c r="A19" s="39" t="s">
        <v>181</v>
      </c>
      <c r="B19" s="63">
        <v>0</v>
      </c>
      <c r="C19" s="63">
        <v>0.95</v>
      </c>
      <c r="D19" s="64">
        <v>5</v>
      </c>
      <c r="E19" s="64" t="s">
        <v>212</v>
      </c>
      <c r="F19" s="63">
        <v>1</v>
      </c>
      <c r="G19" s="63">
        <v>1</v>
      </c>
    </row>
    <row r="20" spans="1:7" ht="15.75" customHeight="1" x14ac:dyDescent="0.25">
      <c r="A20" s="39" t="s">
        <v>182</v>
      </c>
      <c r="B20" s="63">
        <v>0</v>
      </c>
      <c r="C20" s="63">
        <v>0.95</v>
      </c>
      <c r="D20" s="64">
        <v>5</v>
      </c>
      <c r="E20" s="64" t="s">
        <v>212</v>
      </c>
      <c r="F20" s="63">
        <v>1</v>
      </c>
      <c r="G20" s="63">
        <v>1</v>
      </c>
    </row>
    <row r="21" spans="1:7" ht="15.75" customHeight="1" x14ac:dyDescent="0.25">
      <c r="A21" s="39" t="s">
        <v>211</v>
      </c>
      <c r="B21" s="63">
        <v>0</v>
      </c>
      <c r="C21" s="63">
        <v>0.95</v>
      </c>
      <c r="D21" s="64">
        <v>8.84</v>
      </c>
      <c r="E21" s="64" t="s">
        <v>212</v>
      </c>
      <c r="F21" s="63">
        <v>1</v>
      </c>
      <c r="G21" s="63">
        <v>1</v>
      </c>
    </row>
    <row r="22" spans="1:7" ht="15.75" customHeight="1" x14ac:dyDescent="0.25">
      <c r="A22" s="39" t="s">
        <v>213</v>
      </c>
      <c r="B22" s="63">
        <v>0</v>
      </c>
      <c r="C22" s="63">
        <v>0.95</v>
      </c>
      <c r="D22" s="64">
        <v>50</v>
      </c>
      <c r="E22" s="64" t="s">
        <v>212</v>
      </c>
      <c r="F22" s="63">
        <v>1</v>
      </c>
      <c r="G22" s="63">
        <v>1</v>
      </c>
    </row>
    <row r="23" spans="1:7" ht="15.75" customHeight="1" x14ac:dyDescent="0.25">
      <c r="A23" s="39" t="s">
        <v>214</v>
      </c>
      <c r="B23" s="63">
        <v>0.50800000000000001</v>
      </c>
      <c r="C23" s="63">
        <v>0.95</v>
      </c>
      <c r="D23" s="64">
        <v>2.61</v>
      </c>
      <c r="E23" s="64" t="s">
        <v>212</v>
      </c>
      <c r="F23" s="63">
        <v>1</v>
      </c>
      <c r="G23" s="63">
        <v>1</v>
      </c>
    </row>
    <row r="24" spans="1:7" ht="15.75" customHeight="1" x14ac:dyDescent="0.25">
      <c r="A24" s="39" t="s">
        <v>217</v>
      </c>
      <c r="B24" s="63">
        <v>0</v>
      </c>
      <c r="C24" s="63">
        <v>0.95</v>
      </c>
      <c r="D24" s="64">
        <v>1</v>
      </c>
      <c r="E24" s="64" t="s">
        <v>212</v>
      </c>
      <c r="F24" s="63">
        <v>1</v>
      </c>
      <c r="G24" s="63">
        <v>1</v>
      </c>
    </row>
    <row r="25" spans="1:7" ht="15.75" customHeight="1" x14ac:dyDescent="0.25">
      <c r="A25" s="39" t="s">
        <v>218</v>
      </c>
      <c r="B25" s="63">
        <v>0</v>
      </c>
      <c r="C25" s="63">
        <v>0.95</v>
      </c>
      <c r="D25" s="64">
        <v>1</v>
      </c>
      <c r="E25" s="64" t="s">
        <v>212</v>
      </c>
      <c r="F25" s="63">
        <v>1</v>
      </c>
      <c r="G25" s="63">
        <v>1</v>
      </c>
    </row>
    <row r="26" spans="1:7" ht="15.75" customHeight="1" x14ac:dyDescent="0.25">
      <c r="A26" s="39" t="s">
        <v>219</v>
      </c>
      <c r="B26" s="63">
        <v>0.1</v>
      </c>
      <c r="C26" s="63">
        <v>0.95</v>
      </c>
      <c r="D26" s="64">
        <v>4.6500000000000004</v>
      </c>
      <c r="E26" s="64" t="s">
        <v>212</v>
      </c>
      <c r="F26" s="63">
        <v>1</v>
      </c>
      <c r="G26" s="63">
        <v>1</v>
      </c>
    </row>
    <row r="27" spans="1:7" ht="15.75" customHeight="1" x14ac:dyDescent="0.25">
      <c r="A27" s="39" t="s">
        <v>220</v>
      </c>
      <c r="B27" s="63">
        <v>0.3538</v>
      </c>
      <c r="C27" s="63">
        <v>0.95</v>
      </c>
      <c r="D27" s="64">
        <v>3.78</v>
      </c>
      <c r="E27" s="64" t="s">
        <v>212</v>
      </c>
      <c r="F27" s="63">
        <v>1</v>
      </c>
      <c r="G27" s="63">
        <v>1</v>
      </c>
    </row>
    <row r="28" spans="1:7" ht="15.75" customHeight="1" x14ac:dyDescent="0.25">
      <c r="A28" s="39" t="s">
        <v>221</v>
      </c>
      <c r="B28" s="63">
        <v>0</v>
      </c>
      <c r="C28" s="63">
        <v>0.95</v>
      </c>
      <c r="D28" s="64">
        <v>1</v>
      </c>
      <c r="E28" s="64" t="s">
        <v>212</v>
      </c>
      <c r="F28" s="63">
        <v>1</v>
      </c>
      <c r="G28" s="63">
        <v>1</v>
      </c>
    </row>
    <row r="29" spans="1:7" ht="15.75" customHeight="1" x14ac:dyDescent="0.25">
      <c r="A29" s="39" t="s">
        <v>222</v>
      </c>
      <c r="B29" s="63">
        <v>0</v>
      </c>
      <c r="C29" s="63">
        <v>0.95</v>
      </c>
      <c r="D29" s="64">
        <v>48</v>
      </c>
      <c r="E29" s="64" t="s">
        <v>212</v>
      </c>
      <c r="F29" s="63">
        <v>1</v>
      </c>
      <c r="G29" s="63">
        <v>1</v>
      </c>
    </row>
    <row r="30" spans="1:7" ht="15.75" customHeight="1" x14ac:dyDescent="0.25">
      <c r="A30" s="39" t="s">
        <v>233</v>
      </c>
      <c r="B30" s="63">
        <v>0</v>
      </c>
      <c r="C30" s="63">
        <v>0.95</v>
      </c>
      <c r="D30" s="64">
        <v>64</v>
      </c>
      <c r="E30" s="64" t="s">
        <v>212</v>
      </c>
      <c r="F30" s="63">
        <v>1</v>
      </c>
      <c r="G30" s="63">
        <v>1</v>
      </c>
    </row>
    <row r="31" spans="1:7" ht="15.75" customHeight="1" x14ac:dyDescent="0.25">
      <c r="A31" s="39" t="s">
        <v>193</v>
      </c>
      <c r="B31" s="63">
        <v>0</v>
      </c>
      <c r="C31" s="63">
        <v>0.95</v>
      </c>
      <c r="D31" s="64">
        <v>65</v>
      </c>
      <c r="E31" s="64" t="s">
        <v>212</v>
      </c>
      <c r="F31" s="63">
        <v>1</v>
      </c>
      <c r="G31" s="63">
        <v>1</v>
      </c>
    </row>
    <row r="32" spans="1:7" ht="15.75" customHeight="1" x14ac:dyDescent="0.25">
      <c r="A32" s="39" t="s">
        <v>225</v>
      </c>
      <c r="B32" s="63">
        <v>0.89970000000000006</v>
      </c>
      <c r="C32" s="63">
        <v>0.95</v>
      </c>
      <c r="D32" s="64">
        <v>0.41</v>
      </c>
      <c r="E32" s="64" t="s">
        <v>212</v>
      </c>
      <c r="F32" s="63">
        <v>1</v>
      </c>
      <c r="G32" s="63">
        <v>1</v>
      </c>
    </row>
    <row r="33" spans="1:7" ht="15.75" customHeight="1" x14ac:dyDescent="0.25">
      <c r="A33" s="39" t="s">
        <v>226</v>
      </c>
      <c r="B33" s="63">
        <v>0.80700000000000005</v>
      </c>
      <c r="C33" s="63">
        <v>0.95</v>
      </c>
      <c r="D33" s="64">
        <v>0.9</v>
      </c>
      <c r="E33" s="64" t="s">
        <v>212</v>
      </c>
      <c r="F33" s="63">
        <v>1</v>
      </c>
      <c r="G33" s="63">
        <v>1</v>
      </c>
    </row>
    <row r="34" spans="1:7" ht="15.75" customHeight="1" x14ac:dyDescent="0.25">
      <c r="A34" s="39" t="s">
        <v>227</v>
      </c>
      <c r="B34" s="63">
        <v>0.73199999999999998</v>
      </c>
      <c r="C34" s="63">
        <v>0.95</v>
      </c>
      <c r="D34" s="64">
        <v>0.9</v>
      </c>
      <c r="E34" s="64" t="s">
        <v>212</v>
      </c>
      <c r="F34" s="63">
        <v>1</v>
      </c>
      <c r="G34" s="63">
        <v>1</v>
      </c>
    </row>
    <row r="35" spans="1:7" ht="15.75" customHeight="1" x14ac:dyDescent="0.25">
      <c r="A35" s="39" t="s">
        <v>228</v>
      </c>
      <c r="B35" s="63">
        <v>0.316</v>
      </c>
      <c r="C35" s="63">
        <v>0.95</v>
      </c>
      <c r="D35" s="64">
        <v>79</v>
      </c>
      <c r="E35" s="64" t="s">
        <v>212</v>
      </c>
      <c r="F35" s="63">
        <v>1</v>
      </c>
      <c r="G35" s="63">
        <v>1</v>
      </c>
    </row>
    <row r="36" spans="1:7" ht="15.75" customHeight="1" x14ac:dyDescent="0.25">
      <c r="A36" s="39" t="s">
        <v>229</v>
      </c>
      <c r="B36" s="63">
        <v>0.59699999999999998</v>
      </c>
      <c r="C36" s="63">
        <v>0.95</v>
      </c>
      <c r="D36" s="64">
        <v>31</v>
      </c>
      <c r="E36" s="64" t="s">
        <v>212</v>
      </c>
      <c r="F36" s="63">
        <v>1</v>
      </c>
      <c r="G36" s="63">
        <v>1</v>
      </c>
    </row>
    <row r="37" spans="1:7" ht="15.75" customHeight="1" x14ac:dyDescent="0.25">
      <c r="A37" s="39" t="s">
        <v>230</v>
      </c>
      <c r="B37" s="63">
        <v>0.19900000000000001</v>
      </c>
      <c r="C37" s="63">
        <v>0.95</v>
      </c>
      <c r="D37" s="64">
        <v>102</v>
      </c>
      <c r="E37" s="64" t="s">
        <v>212</v>
      </c>
      <c r="F37" s="63">
        <v>1</v>
      </c>
      <c r="G37" s="63">
        <v>1</v>
      </c>
    </row>
    <row r="38" spans="1:7" ht="15.75" customHeight="1" x14ac:dyDescent="0.25">
      <c r="A38" s="39" t="s">
        <v>231</v>
      </c>
      <c r="B38" s="63">
        <v>0.13400000000000001</v>
      </c>
      <c r="C38" s="63">
        <v>0.95</v>
      </c>
      <c r="D38" s="64">
        <v>5.53</v>
      </c>
      <c r="E38" s="64" t="s">
        <v>212</v>
      </c>
      <c r="F38" s="63">
        <v>1</v>
      </c>
      <c r="G38" s="63">
        <v>1</v>
      </c>
    </row>
    <row r="39" spans="1:7" ht="15.75" customHeight="1" x14ac:dyDescent="0.25">
      <c r="A39" s="39" t="s">
        <v>232</v>
      </c>
      <c r="B39" s="63">
        <v>0</v>
      </c>
      <c r="C39" s="63">
        <v>0.95</v>
      </c>
      <c r="D39" s="64">
        <v>1</v>
      </c>
      <c r="E39" s="64" t="s">
        <v>212</v>
      </c>
      <c r="F39" s="63">
        <v>1</v>
      </c>
      <c r="G39" s="63">
        <v>1</v>
      </c>
    </row>
  </sheetData>
  <sheetProtection algorithmName="SHA-512" hashValue="UdRdYfd2SllmXXc3rcNv7YRgfeRi1RXxvG5thUjsy/U8xWMbFGJ3FY5SMV+y75NKDZbOiIEBryHMCFT4uDG0uA==" saltValue="vSgA+ZGmOAputHBc+t/BfQ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3" sqref="C13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192</v>
      </c>
      <c r="B1" s="29" t="s">
        <v>234</v>
      </c>
      <c r="C1" s="29" t="s">
        <v>235</v>
      </c>
    </row>
    <row r="2" spans="1:3" x14ac:dyDescent="0.25">
      <c r="A2" s="65" t="s">
        <v>207</v>
      </c>
      <c r="B2" s="62" t="s">
        <v>220</v>
      </c>
      <c r="C2" s="62"/>
    </row>
    <row r="3" spans="1:3" x14ac:dyDescent="0.25">
      <c r="A3" s="65" t="s">
        <v>208</v>
      </c>
      <c r="B3" s="62" t="s">
        <v>220</v>
      </c>
      <c r="C3" s="62"/>
    </row>
    <row r="4" spans="1:3" x14ac:dyDescent="0.25">
      <c r="A4" s="66" t="s">
        <v>222</v>
      </c>
      <c r="B4" s="62" t="s">
        <v>213</v>
      </c>
      <c r="C4" s="62"/>
    </row>
    <row r="5" spans="1:3" x14ac:dyDescent="0.25">
      <c r="A5" s="66" t="s">
        <v>222</v>
      </c>
      <c r="B5" s="62" t="s">
        <v>233</v>
      </c>
      <c r="C5" s="62"/>
    </row>
    <row r="6" spans="1:3" x14ac:dyDescent="0.25">
      <c r="A6" s="66" t="s">
        <v>219</v>
      </c>
      <c r="B6" s="67" t="s">
        <v>233</v>
      </c>
      <c r="C6" s="67"/>
    </row>
    <row r="7" spans="1:3" x14ac:dyDescent="0.25">
      <c r="A7" s="66" t="s">
        <v>232</v>
      </c>
      <c r="B7" s="67" t="s">
        <v>233</v>
      </c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yZqs1ZW/O0I0ydDYy9iOzvLFcdIsv/tbmBnYeSo3htkjwtu3h29Z8qwri1s+33ve3KjyTAQliBs/iog8lITfcQ==" saltValue="dbOj80IobX7MGhGA+gcAe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192</v>
      </c>
    </row>
    <row r="2" spans="1:1" x14ac:dyDescent="0.25">
      <c r="A2" s="35" t="s">
        <v>199</v>
      </c>
    </row>
    <row r="3" spans="1:1" x14ac:dyDescent="0.25">
      <c r="A3" s="35" t="s">
        <v>209</v>
      </c>
    </row>
    <row r="4" spans="1:1" x14ac:dyDescent="0.25">
      <c r="A4" s="35" t="s">
        <v>214</v>
      </c>
    </row>
    <row r="5" spans="1:1" x14ac:dyDescent="0.25">
      <c r="A5" s="35" t="s">
        <v>226</v>
      </c>
    </row>
    <row r="6" spans="1:1" x14ac:dyDescent="0.25">
      <c r="A6" s="35" t="s">
        <v>227</v>
      </c>
    </row>
    <row r="7" spans="1:1" x14ac:dyDescent="0.25">
      <c r="A7" s="35" t="s">
        <v>228</v>
      </c>
    </row>
    <row r="8" spans="1:1" x14ac:dyDescent="0.25">
      <c r="A8" s="35" t="s">
        <v>229</v>
      </c>
    </row>
    <row r="9" spans="1:1" x14ac:dyDescent="0.25">
      <c r="A9" s="35" t="s">
        <v>230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XE+HBOnNfGWCdSs9eHYzTLWVCBU+strypZn4+We0Cv1a2XeKY/EJQzE9/oBpIWIJrWB38RaT2hxiIseWE1xj7w==" saltValue="WpvsIt0Q98fFZEh8fD1xN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1.66</v>
      </c>
      <c r="C2" s="21">
        <f>'Entradas de población-año base'!C52</f>
        <v>1.66</v>
      </c>
      <c r="D2" s="21">
        <f>'Entradas de población-año base'!C53</f>
        <v>5.64</v>
      </c>
      <c r="E2" s="21">
        <f>'Entradas de población-año base'!C54</f>
        <v>5.43</v>
      </c>
      <c r="F2" s="21">
        <f>'Entradas de población-año base'!C55</f>
        <v>1.91</v>
      </c>
    </row>
    <row r="3" spans="1:6" ht="15.75" customHeight="1" x14ac:dyDescent="0.25">
      <c r="A3" s="3" t="s">
        <v>3</v>
      </c>
      <c r="B3" s="21">
        <f>frac_mam_1month * 2.6</f>
        <v>8.8400000000000006E-2</v>
      </c>
      <c r="C3" s="21">
        <f>frac_mam_1_5months * 2.6</f>
        <v>8.8400000000000006E-2</v>
      </c>
      <c r="D3" s="21">
        <f>frac_mam_6_11months * 2.6</f>
        <v>8.8458666666666672E-2</v>
      </c>
      <c r="E3" s="21">
        <f>frac_mam_12_23months * 2.6</f>
        <v>5.8624041159962462E-2</v>
      </c>
      <c r="F3" s="21">
        <f>frac_mam_24_59months * 2.6</f>
        <v>3.2059717622450697E-2</v>
      </c>
    </row>
    <row r="4" spans="1:6" ht="15.75" customHeight="1" x14ac:dyDescent="0.25">
      <c r="A4" s="3" t="s">
        <v>236</v>
      </c>
      <c r="B4" s="21">
        <f>frac_sam_1month * 2.6</f>
        <v>5.2000000000000005E-2</v>
      </c>
      <c r="C4" s="21">
        <f>frac_sam_1_5months * 2.6</f>
        <v>5.2000000000000005E-2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mTd5tmpDUSfwLil+iioHlH8AUnRpR93xUSmRs6769WzcKluV7F8n2nEB1frtWt7hLQiki1WX9l4G3SFX69VJNQ==" saltValue="gkCsuoi7k0WOzUDl7sk+R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198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211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213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219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221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222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233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193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225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231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232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195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207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208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209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217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218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220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45" t="s">
        <v>199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204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205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206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201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210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226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227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228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230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ge/v9sr+49rb4vVHeQtDKMkiOhiODNHKHpyhdo4qz16q3hYQcGoldQ4fqf0+4kgv5fs8ne0+oBD+3YhscmmgtQ==" saltValue="7ukYc44WJ5hG3w3MgLQZ8A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sEIu6S6y1Q8n9m+CYcI4Qo5q7QCD21dluxlcESTe2nAYiIfyCpR2sC9L4cMAw8l9Dq9iSoGg/sKYPbgqTCgBGQ==" saltValue="83gUdIAEWsjkJeFVo1GZE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253</v>
      </c>
      <c r="B1" s="29" t="s">
        <v>246</v>
      </c>
      <c r="C1" s="29" t="s">
        <v>257</v>
      </c>
      <c r="D1" s="29" t="s">
        <v>245</v>
      </c>
      <c r="E1" s="29" t="s">
        <v>255</v>
      </c>
    </row>
    <row r="2" spans="1:5" ht="14" x14ac:dyDescent="0.3">
      <c r="A2" s="28" t="s">
        <v>244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247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251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250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254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256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248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249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JO3kNDGa6xuJSaW5n26xnAKECwkz95JGd+kQLoU/CEYRp6p0Roobgha9fNaVR0pX/zLja+0Msii9fNkc2O2aNA==" saltValue="sgFzW/gXRqGqwXc6XNiso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238</v>
      </c>
      <c r="B1" s="71" t="s">
        <v>192</v>
      </c>
      <c r="C1" s="43" t="s">
        <v>97</v>
      </c>
      <c r="D1" s="43" t="s">
        <v>93</v>
      </c>
      <c r="E1" s="43" t="s">
        <v>96</v>
      </c>
      <c r="F1" s="43" t="s">
        <v>94</v>
      </c>
      <c r="G1" s="43" t="s">
        <v>95</v>
      </c>
      <c r="H1" s="43" t="s">
        <v>132</v>
      </c>
      <c r="I1" s="43" t="s">
        <v>133</v>
      </c>
      <c r="J1" s="43" t="s">
        <v>134</v>
      </c>
      <c r="K1" s="43" t="s">
        <v>135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102</v>
      </c>
      <c r="B2" s="39" t="s">
        <v>196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198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180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181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182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211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213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219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221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222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233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193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225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231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232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123</v>
      </c>
      <c r="B18" s="39" t="s">
        <v>194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195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207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208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209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217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218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220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240</v>
      </c>
      <c r="B27" s="39" t="s">
        <v>199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204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205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206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200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201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210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226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227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228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230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55a7HS3Nqt/x/9fHPZljixNI22BYpUNlX/WT8zjjVcFiPdhyIdWgHRk1KlDTEGhNGPZs5anidKE7wM0ET+NaCg==" saltValue="bdWY5yYbgctqhEEUonKY7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topLeftCell="A12" workbookViewId="0">
      <selection activeCell="D18" sqref="D18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192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39" t="s">
        <v>194</v>
      </c>
      <c r="B2" s="100"/>
      <c r="C2" s="100"/>
      <c r="D2" s="100"/>
      <c r="E2" s="100"/>
      <c r="F2" s="100"/>
      <c r="G2" s="100"/>
      <c r="H2" s="100"/>
      <c r="I2" s="100" t="s">
        <v>5</v>
      </c>
      <c r="J2" s="100"/>
      <c r="K2" s="100"/>
      <c r="L2" s="100"/>
    </row>
    <row r="3" spans="1:12" x14ac:dyDescent="0.25">
      <c r="A3" s="39" t="s">
        <v>195</v>
      </c>
      <c r="B3" s="100"/>
      <c r="C3" s="100"/>
      <c r="D3" s="100"/>
      <c r="E3" s="100"/>
      <c r="F3" s="100"/>
      <c r="G3" s="100"/>
      <c r="H3" s="100" t="s">
        <v>5</v>
      </c>
      <c r="I3" s="100" t="s">
        <v>5</v>
      </c>
      <c r="J3" s="100"/>
      <c r="K3" s="100"/>
      <c r="L3" s="100"/>
    </row>
    <row r="4" spans="1:12" x14ac:dyDescent="0.25">
      <c r="A4" s="39" t="s">
        <v>196</v>
      </c>
      <c r="B4" s="100" t="s">
        <v>5</v>
      </c>
      <c r="C4" s="100"/>
      <c r="D4" s="100" t="s">
        <v>5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198</v>
      </c>
      <c r="B5" s="100"/>
      <c r="C5" s="100" t="s">
        <v>5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199</v>
      </c>
      <c r="B6" s="100"/>
      <c r="C6" s="100"/>
      <c r="D6" s="100"/>
      <c r="E6" s="100"/>
      <c r="F6" s="100"/>
      <c r="G6" s="100"/>
      <c r="H6" s="100"/>
      <c r="I6" s="100"/>
      <c r="J6" s="100" t="s">
        <v>5</v>
      </c>
      <c r="K6" s="100" t="s">
        <v>5</v>
      </c>
      <c r="L6" s="100"/>
    </row>
    <row r="7" spans="1:12" x14ac:dyDescent="0.25">
      <c r="A7" s="39" t="s">
        <v>200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/>
      <c r="J7" s="100"/>
      <c r="K7" s="100"/>
      <c r="L7" s="100"/>
    </row>
    <row r="8" spans="1:12" x14ac:dyDescent="0.25">
      <c r="A8" s="39" t="s">
        <v>201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/>
      <c r="J8" s="100"/>
      <c r="K8" s="100"/>
      <c r="L8" s="100"/>
    </row>
    <row r="9" spans="1:12" x14ac:dyDescent="0.25">
      <c r="A9" s="39" t="s">
        <v>202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/>
      <c r="J9" s="100"/>
      <c r="K9" s="100"/>
      <c r="L9" s="100"/>
    </row>
    <row r="10" spans="1:12" x14ac:dyDescent="0.25">
      <c r="A10" s="45" t="s">
        <v>203</v>
      </c>
      <c r="B10" s="100"/>
      <c r="C10" s="100" t="s">
        <v>5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204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205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206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207</v>
      </c>
      <c r="B14" s="100"/>
      <c r="C14" s="100" t="s">
        <v>5</v>
      </c>
      <c r="D14" s="100"/>
      <c r="E14" s="100"/>
      <c r="F14" s="100"/>
      <c r="G14" s="100"/>
      <c r="H14" s="100"/>
      <c r="I14" s="100" t="s">
        <v>5</v>
      </c>
      <c r="J14" s="100"/>
      <c r="K14" s="100"/>
      <c r="L14" s="100"/>
    </row>
    <row r="15" spans="1:12" x14ac:dyDescent="0.25">
      <c r="A15" s="72" t="s">
        <v>208</v>
      </c>
      <c r="B15" s="100"/>
      <c r="C15" s="100" t="s">
        <v>5</v>
      </c>
      <c r="D15" s="100"/>
      <c r="E15" s="100"/>
      <c r="F15" s="100"/>
      <c r="G15" s="100"/>
      <c r="H15" s="100"/>
      <c r="I15" s="100" t="s">
        <v>5</v>
      </c>
      <c r="J15" s="100"/>
      <c r="K15" s="100"/>
      <c r="L15" s="100"/>
    </row>
    <row r="16" spans="1:12" x14ac:dyDescent="0.25">
      <c r="A16" s="39" t="s">
        <v>209</v>
      </c>
      <c r="B16" s="100"/>
      <c r="C16" s="100" t="s">
        <v>5</v>
      </c>
      <c r="D16" s="100"/>
      <c r="E16" s="100"/>
      <c r="F16" s="100"/>
      <c r="G16" s="100"/>
      <c r="H16" s="100" t="s">
        <v>5</v>
      </c>
      <c r="I16" s="100" t="s">
        <v>5</v>
      </c>
      <c r="J16" s="100"/>
      <c r="K16" s="100"/>
      <c r="L16" s="100"/>
    </row>
    <row r="17" spans="1:12" x14ac:dyDescent="0.25">
      <c r="A17" s="39" t="s">
        <v>210</v>
      </c>
      <c r="B17" s="100"/>
      <c r="C17" s="100" t="s">
        <v>5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180</v>
      </c>
      <c r="B18" s="100" t="s">
        <v>5</v>
      </c>
      <c r="C18" s="100"/>
      <c r="D18" s="100"/>
      <c r="E18" s="100"/>
      <c r="F18" s="100" t="s">
        <v>5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181</v>
      </c>
      <c r="B19" s="100" t="s">
        <v>5</v>
      </c>
      <c r="C19" s="100"/>
      <c r="D19" s="100"/>
      <c r="E19" s="100"/>
      <c r="F19" s="100" t="s">
        <v>5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182</v>
      </c>
      <c r="B20" s="100" t="s">
        <v>5</v>
      </c>
      <c r="C20" s="100"/>
      <c r="D20" s="100"/>
      <c r="E20" s="100"/>
      <c r="F20" s="100" t="s">
        <v>5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211</v>
      </c>
      <c r="B21" s="100"/>
      <c r="C21" s="100"/>
      <c r="D21" s="100"/>
      <c r="E21" s="100"/>
      <c r="F21" s="100"/>
      <c r="G21" s="100"/>
      <c r="H21" s="100" t="s">
        <v>5</v>
      </c>
      <c r="I21" s="100" t="s">
        <v>5</v>
      </c>
      <c r="J21" s="100"/>
      <c r="K21" s="100"/>
      <c r="L21" s="100"/>
    </row>
    <row r="22" spans="1:12" x14ac:dyDescent="0.25">
      <c r="A22" s="39" t="s">
        <v>213</v>
      </c>
      <c r="B22" s="100" t="s">
        <v>5</v>
      </c>
      <c r="C22" s="100" t="s">
        <v>5</v>
      </c>
      <c r="D22" s="100" t="s">
        <v>5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214</v>
      </c>
      <c r="B23" s="100"/>
      <c r="C23" s="100" t="s">
        <v>5</v>
      </c>
      <c r="D23" s="100"/>
      <c r="E23" s="100"/>
      <c r="F23" s="100"/>
      <c r="G23" s="100"/>
      <c r="H23" s="100"/>
      <c r="I23" s="100" t="s">
        <v>5</v>
      </c>
      <c r="J23" s="100"/>
      <c r="K23" s="100"/>
      <c r="L23" s="100"/>
    </row>
    <row r="24" spans="1:12" x14ac:dyDescent="0.25">
      <c r="A24" s="39" t="s">
        <v>217</v>
      </c>
      <c r="B24" s="100"/>
      <c r="C24" s="100"/>
      <c r="D24" s="100"/>
      <c r="E24" s="100"/>
      <c r="F24" s="100"/>
      <c r="G24" s="100"/>
      <c r="H24" s="100" t="s">
        <v>5</v>
      </c>
      <c r="I24" s="100"/>
      <c r="J24" s="100"/>
      <c r="K24" s="100"/>
      <c r="L24" s="100"/>
    </row>
    <row r="25" spans="1:12" x14ac:dyDescent="0.25">
      <c r="A25" s="39" t="s">
        <v>218</v>
      </c>
      <c r="B25" s="100"/>
      <c r="C25" s="100"/>
      <c r="D25" s="100"/>
      <c r="E25" s="100"/>
      <c r="F25" s="100"/>
      <c r="G25" s="100"/>
      <c r="H25" s="100" t="s">
        <v>5</v>
      </c>
      <c r="I25" s="100"/>
      <c r="J25" s="100"/>
      <c r="K25" s="100"/>
      <c r="L25" s="100"/>
    </row>
    <row r="26" spans="1:12" x14ac:dyDescent="0.25">
      <c r="A26" s="39" t="s">
        <v>219</v>
      </c>
      <c r="B26" s="100"/>
      <c r="C26" s="100" t="s">
        <v>5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220</v>
      </c>
      <c r="B27" s="100"/>
      <c r="C27" s="100" t="s">
        <v>5</v>
      </c>
      <c r="D27" s="100"/>
      <c r="E27" s="100"/>
      <c r="F27" s="100"/>
      <c r="G27" s="100"/>
      <c r="H27" s="100"/>
      <c r="I27" s="100" t="s">
        <v>5</v>
      </c>
      <c r="J27" s="100"/>
      <c r="K27" s="100"/>
      <c r="L27" s="100" t="s">
        <v>5</v>
      </c>
    </row>
    <row r="28" spans="1:12" x14ac:dyDescent="0.25">
      <c r="A28" s="39" t="s">
        <v>221</v>
      </c>
      <c r="B28" s="100"/>
      <c r="C28" s="100"/>
      <c r="D28" s="100"/>
      <c r="E28" s="100"/>
      <c r="F28" s="100"/>
      <c r="G28" s="100"/>
      <c r="H28" s="100" t="s">
        <v>5</v>
      </c>
      <c r="I28" s="100"/>
      <c r="J28" s="100"/>
      <c r="K28" s="100"/>
      <c r="L28" s="100"/>
    </row>
    <row r="29" spans="1:12" x14ac:dyDescent="0.25">
      <c r="A29" s="39" t="s">
        <v>222</v>
      </c>
      <c r="B29" s="100" t="s">
        <v>5</v>
      </c>
      <c r="C29" s="100"/>
      <c r="D29" s="100" t="s">
        <v>5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233</v>
      </c>
      <c r="B30" s="100" t="s">
        <v>5</v>
      </c>
      <c r="C30" s="100" t="s">
        <v>5</v>
      </c>
      <c r="D30" s="100" t="s">
        <v>5</v>
      </c>
      <c r="E30" s="100"/>
      <c r="F30" s="100"/>
      <c r="G30" s="100"/>
      <c r="H30" s="100" t="s">
        <v>5</v>
      </c>
      <c r="I30" s="100"/>
      <c r="J30" s="100"/>
      <c r="K30" s="100"/>
      <c r="L30" s="100"/>
    </row>
    <row r="31" spans="1:12" x14ac:dyDescent="0.25">
      <c r="A31" s="39" t="s">
        <v>193</v>
      </c>
      <c r="B31" s="100"/>
      <c r="C31" s="100"/>
      <c r="D31" s="100"/>
      <c r="E31" s="100" t="s">
        <v>5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225</v>
      </c>
      <c r="B32" s="100"/>
      <c r="C32" s="100"/>
      <c r="D32" s="100"/>
      <c r="E32" s="100"/>
      <c r="F32" s="100"/>
      <c r="G32" s="100" t="s">
        <v>5</v>
      </c>
      <c r="H32" s="100" t="s">
        <v>5</v>
      </c>
      <c r="I32" s="100"/>
      <c r="J32" s="100"/>
      <c r="K32" s="100"/>
      <c r="L32" s="100"/>
    </row>
    <row r="33" spans="1:12" x14ac:dyDescent="0.25">
      <c r="A33" s="39" t="s">
        <v>226</v>
      </c>
      <c r="B33" s="100"/>
      <c r="C33" s="100"/>
      <c r="D33" s="100"/>
      <c r="E33" s="100"/>
      <c r="F33" s="100"/>
      <c r="G33" s="100" t="s">
        <v>5</v>
      </c>
      <c r="H33" s="100" t="s">
        <v>5</v>
      </c>
      <c r="I33" s="100"/>
      <c r="J33" s="100"/>
      <c r="K33" s="100"/>
      <c r="L33" s="100"/>
    </row>
    <row r="34" spans="1:12" x14ac:dyDescent="0.25">
      <c r="A34" s="39" t="s">
        <v>227</v>
      </c>
      <c r="B34" s="100"/>
      <c r="C34" s="100"/>
      <c r="D34" s="100"/>
      <c r="E34" s="100"/>
      <c r="F34" s="100"/>
      <c r="G34" s="100" t="s">
        <v>5</v>
      </c>
      <c r="H34" s="100" t="s">
        <v>5</v>
      </c>
      <c r="I34" s="100"/>
      <c r="J34" s="100"/>
      <c r="K34" s="100"/>
      <c r="L34" s="100"/>
    </row>
    <row r="35" spans="1:12" x14ac:dyDescent="0.25">
      <c r="A35" s="39" t="s">
        <v>228</v>
      </c>
      <c r="B35" s="100"/>
      <c r="C35" s="100"/>
      <c r="D35" s="100"/>
      <c r="E35" s="100"/>
      <c r="F35" s="100"/>
      <c r="G35" s="100" t="s">
        <v>5</v>
      </c>
      <c r="H35" s="100" t="s">
        <v>5</v>
      </c>
      <c r="I35" s="100"/>
      <c r="J35" s="100"/>
      <c r="K35" s="100"/>
      <c r="L35" s="100"/>
    </row>
    <row r="36" spans="1:12" x14ac:dyDescent="0.25">
      <c r="A36" s="39" t="s">
        <v>229</v>
      </c>
      <c r="B36" s="100"/>
      <c r="C36" s="100"/>
      <c r="D36" s="100"/>
      <c r="E36" s="100"/>
      <c r="F36" s="100"/>
      <c r="G36" s="100" t="s">
        <v>5</v>
      </c>
      <c r="H36" s="100" t="s">
        <v>5</v>
      </c>
      <c r="I36" s="100"/>
      <c r="J36" s="100"/>
      <c r="K36" s="100"/>
      <c r="L36" s="100"/>
    </row>
    <row r="37" spans="1:12" x14ac:dyDescent="0.25">
      <c r="A37" s="39" t="s">
        <v>230</v>
      </c>
      <c r="B37" s="100"/>
      <c r="C37" s="100"/>
      <c r="D37" s="100"/>
      <c r="E37" s="100"/>
      <c r="F37" s="100"/>
      <c r="G37" s="100" t="s">
        <v>5</v>
      </c>
      <c r="H37" s="100" t="s">
        <v>5</v>
      </c>
      <c r="I37" s="100"/>
      <c r="J37" s="100"/>
      <c r="K37" s="100"/>
      <c r="L37" s="100"/>
    </row>
    <row r="38" spans="1:12" x14ac:dyDescent="0.25">
      <c r="A38" s="39" t="s">
        <v>231</v>
      </c>
      <c r="B38" s="100"/>
      <c r="C38" s="100"/>
      <c r="D38" s="100"/>
      <c r="E38" s="100"/>
      <c r="F38" s="100"/>
      <c r="G38" s="100"/>
      <c r="H38" s="100" t="s">
        <v>5</v>
      </c>
      <c r="I38" s="100"/>
      <c r="J38" s="100"/>
      <c r="K38" s="100"/>
      <c r="L38" s="100"/>
    </row>
    <row r="39" spans="1:12" x14ac:dyDescent="0.25">
      <c r="A39" s="39" t="s">
        <v>232</v>
      </c>
      <c r="B39" s="100" t="s">
        <v>5</v>
      </c>
      <c r="C39" s="100"/>
      <c r="D39" s="100"/>
      <c r="E39" s="100"/>
      <c r="F39" s="100"/>
      <c r="G39" s="100" t="s">
        <v>5</v>
      </c>
      <c r="H39" s="100" t="s">
        <v>5</v>
      </c>
      <c r="I39" s="100"/>
      <c r="J39" s="100"/>
      <c r="K39" s="100"/>
      <c r="L39" s="100"/>
    </row>
  </sheetData>
  <sheetProtection algorithmName="SHA-512" hashValue="JzmzdcJMK+4BoLXgToHV9QeUJSOFR9PHdFXIuDk5fYAHuiXxl1+k8GhSVjrUVBFvLFod0DqPqr2959kPSg3IAw==" saltValue="ilOxhL0XTya54yrh0DrGH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264</v>
      </c>
      <c r="B1" s="27" t="s">
        <v>260</v>
      </c>
      <c r="C1" s="27" t="s">
        <v>124</v>
      </c>
      <c r="D1" s="27" t="s">
        <v>261</v>
      </c>
      <c r="E1" s="27" t="s">
        <v>262</v>
      </c>
      <c r="F1" s="27" t="s">
        <v>142</v>
      </c>
      <c r="G1" s="27" t="s">
        <v>103</v>
      </c>
      <c r="H1" s="27" t="s">
        <v>56</v>
      </c>
      <c r="I1" s="27" t="s">
        <v>259</v>
      </c>
      <c r="J1" s="27" t="s">
        <v>41</v>
      </c>
      <c r="K1" s="27" t="s">
        <v>258</v>
      </c>
      <c r="L1" s="27" t="s">
        <v>263</v>
      </c>
    </row>
    <row r="2" spans="1:12" x14ac:dyDescent="0.25">
      <c r="A2" s="27" t="s">
        <v>97</v>
      </c>
      <c r="B2" s="100" t="s">
        <v>5</v>
      </c>
      <c r="C2" s="100" t="s">
        <v>5</v>
      </c>
      <c r="D2" s="100" t="s">
        <v>5</v>
      </c>
      <c r="E2" s="100" t="s">
        <v>5</v>
      </c>
      <c r="F2" s="100" t="s">
        <v>5</v>
      </c>
      <c r="G2" s="100" t="s">
        <v>5</v>
      </c>
      <c r="H2" s="100" t="s">
        <v>5</v>
      </c>
      <c r="I2" s="100"/>
      <c r="J2" s="100"/>
      <c r="K2" s="100"/>
      <c r="L2" s="100"/>
    </row>
    <row r="3" spans="1:12" x14ac:dyDescent="0.25">
      <c r="A3" s="27" t="s">
        <v>93</v>
      </c>
      <c r="B3" s="100" t="s">
        <v>5</v>
      </c>
      <c r="C3" s="100" t="s">
        <v>5</v>
      </c>
      <c r="D3" s="100" t="s">
        <v>5</v>
      </c>
      <c r="E3" s="100" t="s">
        <v>5</v>
      </c>
      <c r="F3" s="100" t="s">
        <v>5</v>
      </c>
      <c r="G3" s="100" t="s">
        <v>5</v>
      </c>
      <c r="H3" s="100" t="s">
        <v>5</v>
      </c>
      <c r="I3" s="100"/>
      <c r="J3" s="100"/>
      <c r="K3" s="100"/>
      <c r="L3" s="100"/>
    </row>
    <row r="4" spans="1:12" x14ac:dyDescent="0.25">
      <c r="A4" s="27" t="s">
        <v>96</v>
      </c>
      <c r="B4" s="100" t="s">
        <v>5</v>
      </c>
      <c r="C4" s="100" t="s">
        <v>5</v>
      </c>
      <c r="D4" s="100" t="s">
        <v>5</v>
      </c>
      <c r="E4" s="100" t="s">
        <v>5</v>
      </c>
      <c r="F4" s="100" t="s">
        <v>5</v>
      </c>
      <c r="G4" s="100" t="s">
        <v>5</v>
      </c>
      <c r="H4" s="100" t="s">
        <v>5</v>
      </c>
      <c r="I4" s="100"/>
      <c r="J4" s="100"/>
      <c r="K4" s="100"/>
      <c r="L4" s="100"/>
    </row>
    <row r="5" spans="1:12" x14ac:dyDescent="0.25">
      <c r="A5" s="27" t="s">
        <v>94</v>
      </c>
      <c r="B5" s="100" t="s">
        <v>5</v>
      </c>
      <c r="C5" s="100" t="s">
        <v>5</v>
      </c>
      <c r="D5" s="100" t="s">
        <v>5</v>
      </c>
      <c r="E5" s="100" t="s">
        <v>5</v>
      </c>
      <c r="F5" s="100" t="s">
        <v>5</v>
      </c>
      <c r="G5" s="100" t="s">
        <v>5</v>
      </c>
      <c r="H5" s="100" t="s">
        <v>5</v>
      </c>
      <c r="I5" s="100"/>
      <c r="J5" s="100"/>
      <c r="K5" s="100"/>
      <c r="L5" s="100"/>
    </row>
    <row r="6" spans="1:12" x14ac:dyDescent="0.25">
      <c r="A6" s="27" t="s">
        <v>95</v>
      </c>
      <c r="B6" s="100" t="s">
        <v>5</v>
      </c>
      <c r="C6" s="100" t="s">
        <v>5</v>
      </c>
      <c r="D6" s="100" t="s">
        <v>5</v>
      </c>
      <c r="E6" s="100" t="s">
        <v>5</v>
      </c>
      <c r="F6" s="100" t="s">
        <v>5</v>
      </c>
      <c r="G6" s="100" t="s">
        <v>5</v>
      </c>
      <c r="H6" s="100" t="s">
        <v>5</v>
      </c>
      <c r="I6" s="100"/>
      <c r="J6" s="100"/>
      <c r="K6" s="100"/>
      <c r="L6" s="100"/>
    </row>
    <row r="7" spans="1:12" x14ac:dyDescent="0.25">
      <c r="A7" s="27" t="s">
        <v>132</v>
      </c>
      <c r="B7" s="100"/>
      <c r="C7" s="100" t="s">
        <v>5</v>
      </c>
      <c r="D7" s="100"/>
      <c r="E7" s="100"/>
      <c r="F7" s="100"/>
      <c r="G7" s="100"/>
      <c r="H7" s="100" t="s">
        <v>5</v>
      </c>
      <c r="I7" s="100" t="s">
        <v>5</v>
      </c>
      <c r="J7" s="100"/>
      <c r="K7" s="100"/>
      <c r="L7" s="100" t="s">
        <v>5</v>
      </c>
    </row>
    <row r="8" spans="1:12" x14ac:dyDescent="0.25">
      <c r="A8" s="27" t="s">
        <v>133</v>
      </c>
      <c r="B8" s="100"/>
      <c r="C8" s="100" t="s">
        <v>5</v>
      </c>
      <c r="D8" s="100"/>
      <c r="E8" s="100"/>
      <c r="F8" s="100"/>
      <c r="G8" s="100"/>
      <c r="H8" s="100" t="s">
        <v>5</v>
      </c>
      <c r="I8" s="100" t="s">
        <v>5</v>
      </c>
      <c r="J8" s="100"/>
      <c r="K8" s="100"/>
      <c r="L8" s="100" t="s">
        <v>5</v>
      </c>
    </row>
    <row r="9" spans="1:12" x14ac:dyDescent="0.25">
      <c r="A9" s="27" t="s">
        <v>134</v>
      </c>
      <c r="B9" s="100"/>
      <c r="C9" s="100" t="s">
        <v>5</v>
      </c>
      <c r="D9" s="100"/>
      <c r="E9" s="100"/>
      <c r="F9" s="100"/>
      <c r="G9" s="100"/>
      <c r="H9" s="100" t="s">
        <v>5</v>
      </c>
      <c r="I9" s="100" t="s">
        <v>5</v>
      </c>
      <c r="J9" s="100"/>
      <c r="K9" s="100"/>
      <c r="L9" s="100" t="s">
        <v>5</v>
      </c>
    </row>
    <row r="10" spans="1:12" x14ac:dyDescent="0.25">
      <c r="A10" s="27" t="s">
        <v>135</v>
      </c>
      <c r="B10" s="100"/>
      <c r="C10" s="100" t="s">
        <v>5</v>
      </c>
      <c r="D10" s="100"/>
      <c r="E10" s="100"/>
      <c r="F10" s="100"/>
      <c r="G10" s="100"/>
      <c r="H10" s="100" t="s">
        <v>5</v>
      </c>
      <c r="I10" s="100" t="s">
        <v>5</v>
      </c>
      <c r="J10" s="100"/>
      <c r="K10" s="100"/>
      <c r="L10" s="100" t="s">
        <v>5</v>
      </c>
    </row>
    <row r="11" spans="1:12" x14ac:dyDescent="0.25">
      <c r="A11" s="27" t="s">
        <v>87</v>
      </c>
      <c r="B11" s="100"/>
      <c r="C11" s="100" t="s">
        <v>5</v>
      </c>
      <c r="D11" s="100"/>
      <c r="E11" s="100"/>
      <c r="F11" s="100"/>
      <c r="G11" s="100"/>
      <c r="H11" s="100"/>
      <c r="I11" s="100"/>
      <c r="J11" s="100" t="s">
        <v>5</v>
      </c>
      <c r="K11" s="100" t="s">
        <v>5</v>
      </c>
      <c r="L11" s="100"/>
    </row>
    <row r="12" spans="1:12" x14ac:dyDescent="0.25">
      <c r="A12" s="27" t="s">
        <v>88</v>
      </c>
      <c r="B12" s="100"/>
      <c r="C12" s="100" t="s">
        <v>5</v>
      </c>
      <c r="D12" s="100"/>
      <c r="E12" s="100"/>
      <c r="F12" s="100"/>
      <c r="G12" s="100"/>
      <c r="H12" s="100"/>
      <c r="I12" s="100"/>
      <c r="J12" s="100"/>
      <c r="K12" s="100" t="s">
        <v>5</v>
      </c>
      <c r="L12" s="100"/>
    </row>
    <row r="13" spans="1:12" x14ac:dyDescent="0.25">
      <c r="A13" s="27" t="s">
        <v>89</v>
      </c>
      <c r="B13" s="100"/>
      <c r="C13" s="100" t="s">
        <v>5</v>
      </c>
      <c r="D13" s="100"/>
      <c r="E13" s="100"/>
      <c r="F13" s="100"/>
      <c r="G13" s="100"/>
      <c r="H13" s="100"/>
      <c r="I13" s="100"/>
      <c r="J13" s="100"/>
      <c r="K13" s="100" t="s">
        <v>5</v>
      </c>
      <c r="L13" s="100"/>
    </row>
    <row r="14" spans="1:12" x14ac:dyDescent="0.25">
      <c r="A14" s="27" t="s">
        <v>90</v>
      </c>
      <c r="B14" s="100"/>
      <c r="C14" s="100" t="s">
        <v>5</v>
      </c>
      <c r="D14" s="100"/>
      <c r="E14" s="100"/>
      <c r="F14" s="100"/>
      <c r="G14" s="100"/>
      <c r="H14" s="100"/>
      <c r="I14" s="100"/>
      <c r="J14" s="100"/>
      <c r="K14" s="100" t="s">
        <v>5</v>
      </c>
      <c r="L14" s="100"/>
    </row>
  </sheetData>
  <sheetProtection algorithmName="SHA-512" hashValue="twXJ278pBIhJz4KXSlN0J2YqHnUuLHAtOvd9IvVldU4oJ3VNFsrgnpWjGdqFoIlhQEgKIzEONLjmzYTGToXaVw==" saltValue="/Ku5Ae0jiqG/lOH/RAiha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265</v>
      </c>
      <c r="B1" s="29" t="s">
        <v>185</v>
      </c>
      <c r="C1" s="29" t="s">
        <v>189</v>
      </c>
      <c r="D1" s="29" t="s">
        <v>97</v>
      </c>
      <c r="E1" s="29" t="s">
        <v>93</v>
      </c>
      <c r="F1" s="29" t="s">
        <v>96</v>
      </c>
      <c r="G1" s="29" t="s">
        <v>94</v>
      </c>
      <c r="H1" s="29" t="s">
        <v>95</v>
      </c>
    </row>
    <row r="2" spans="1:10" ht="13" x14ac:dyDescent="0.3">
      <c r="A2" s="29" t="s">
        <v>267</v>
      </c>
      <c r="B2" s="125" t="s">
        <v>123</v>
      </c>
      <c r="C2" s="27" t="s">
        <v>179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178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97</v>
      </c>
      <c r="C5" s="27" t="s">
        <v>179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178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93</v>
      </c>
      <c r="C8" s="27" t="s">
        <v>179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178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96</v>
      </c>
      <c r="C11" s="27" t="s">
        <v>179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178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94</v>
      </c>
      <c r="C14" s="27" t="s">
        <v>179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178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177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273</v>
      </c>
      <c r="B19" s="125" t="s">
        <v>123</v>
      </c>
      <c r="C19" s="27" t="s">
        <v>179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178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97</v>
      </c>
      <c r="C22" s="27" t="s">
        <v>179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178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93</v>
      </c>
      <c r="C25" s="27" t="s">
        <v>179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178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96</v>
      </c>
      <c r="C28" s="27" t="s">
        <v>179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178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94</v>
      </c>
      <c r="C31" s="27" t="s">
        <v>179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178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177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270</v>
      </c>
      <c r="B36" s="125" t="s">
        <v>123</v>
      </c>
      <c r="C36" s="27" t="s">
        <v>179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178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97</v>
      </c>
      <c r="C39" s="27" t="s">
        <v>179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178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93</v>
      </c>
      <c r="C42" s="27" t="s">
        <v>179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178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96</v>
      </c>
      <c r="C45" s="27" t="s">
        <v>179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178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94</v>
      </c>
      <c r="C48" s="27" t="s">
        <v>179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178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177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265</v>
      </c>
      <c r="B54" s="29" t="s">
        <v>185</v>
      </c>
      <c r="C54" s="29" t="s">
        <v>189</v>
      </c>
      <c r="D54" s="29" t="s">
        <v>97</v>
      </c>
      <c r="E54" s="29" t="s">
        <v>93</v>
      </c>
      <c r="F54" s="29" t="s">
        <v>96</v>
      </c>
      <c r="G54" s="29" t="s">
        <v>94</v>
      </c>
      <c r="H54" s="29" t="s">
        <v>95</v>
      </c>
    </row>
    <row r="55" spans="1:8" ht="13" x14ac:dyDescent="0.3">
      <c r="A55" s="29" t="s">
        <v>268</v>
      </c>
      <c r="B55" s="125" t="s">
        <v>123</v>
      </c>
      <c r="C55" s="27" t="s">
        <v>179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178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97</v>
      </c>
      <c r="C58" s="27" t="s">
        <v>179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178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93</v>
      </c>
      <c r="C61" s="27" t="s">
        <v>179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178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96</v>
      </c>
      <c r="C64" s="27" t="s">
        <v>179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178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94</v>
      </c>
      <c r="C67" s="27" t="s">
        <v>179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178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177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274</v>
      </c>
      <c r="B72" s="125" t="s">
        <v>123</v>
      </c>
      <c r="C72" s="27" t="s">
        <v>179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178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97</v>
      </c>
      <c r="C75" s="27" t="s">
        <v>179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178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93</v>
      </c>
      <c r="C78" s="27" t="s">
        <v>179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178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96</v>
      </c>
      <c r="C81" s="27" t="s">
        <v>179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178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94</v>
      </c>
      <c r="C84" s="27" t="s">
        <v>179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178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177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271</v>
      </c>
      <c r="B89" s="125" t="s">
        <v>123</v>
      </c>
      <c r="C89" s="27" t="s">
        <v>179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178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97</v>
      </c>
      <c r="C92" s="27" t="s">
        <v>179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178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93</v>
      </c>
      <c r="C95" s="27" t="s">
        <v>179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178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96</v>
      </c>
      <c r="C98" s="27" t="s">
        <v>179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178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94</v>
      </c>
      <c r="C101" s="27" t="s">
        <v>179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178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177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276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265</v>
      </c>
      <c r="B107" s="29" t="s">
        <v>185</v>
      </c>
      <c r="C107" s="29" t="s">
        <v>189</v>
      </c>
      <c r="D107" s="29" t="s">
        <v>97</v>
      </c>
      <c r="E107" s="29" t="s">
        <v>93</v>
      </c>
      <c r="F107" s="29" t="s">
        <v>96</v>
      </c>
      <c r="G107" s="29" t="s">
        <v>94</v>
      </c>
      <c r="H107" s="29" t="s">
        <v>95</v>
      </c>
    </row>
    <row r="108" spans="1:8" ht="13" x14ac:dyDescent="0.3">
      <c r="A108" s="29" t="s">
        <v>269</v>
      </c>
      <c r="B108" s="125" t="s">
        <v>123</v>
      </c>
      <c r="C108" s="27" t="s">
        <v>179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178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97</v>
      </c>
      <c r="C111" s="27" t="s">
        <v>179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178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93</v>
      </c>
      <c r="C114" s="27" t="s">
        <v>179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178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96</v>
      </c>
      <c r="C117" s="27" t="s">
        <v>179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178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94</v>
      </c>
      <c r="C120" s="27" t="s">
        <v>179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178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177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275</v>
      </c>
      <c r="B125" s="125" t="s">
        <v>123</v>
      </c>
      <c r="C125" s="27" t="s">
        <v>179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178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97</v>
      </c>
      <c r="C128" s="27" t="s">
        <v>179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178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93</v>
      </c>
      <c r="C131" s="27" t="s">
        <v>179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178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96</v>
      </c>
      <c r="C134" s="27" t="s">
        <v>179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178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94</v>
      </c>
      <c r="C137" s="27" t="s">
        <v>179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178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177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272</v>
      </c>
      <c r="B142" s="125" t="s">
        <v>123</v>
      </c>
      <c r="C142" s="27" t="s">
        <v>179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178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97</v>
      </c>
      <c r="C145" s="27" t="s">
        <v>179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178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93</v>
      </c>
      <c r="C148" s="27" t="s">
        <v>179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178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96</v>
      </c>
      <c r="C151" s="27" t="s">
        <v>179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178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94</v>
      </c>
      <c r="C154" s="27" t="s">
        <v>179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178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177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vRr8NM5qyBaDZlUSGd/uKb8l2as87yVOIU0KveEbOvyVQ8FGKbFBzf/rlkIVphWVRypniMPWtB0dGlI5O0wl/g==" saltValue="baYd8rXDFUNujUWiQlyFXw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279</v>
      </c>
    </row>
    <row r="2" spans="1:6" ht="15.75" customHeight="1" x14ac:dyDescent="0.3">
      <c r="B2" s="80"/>
      <c r="C2" s="81" t="s">
        <v>77</v>
      </c>
      <c r="D2" s="82" t="s">
        <v>78</v>
      </c>
      <c r="E2" s="82" t="s">
        <v>70</v>
      </c>
      <c r="F2" s="82" t="s">
        <v>71</v>
      </c>
    </row>
    <row r="3" spans="1:6" ht="15.75" customHeight="1" x14ac:dyDescent="0.3">
      <c r="A3" s="29" t="s">
        <v>286</v>
      </c>
      <c r="B3" s="83"/>
      <c r="C3" s="84"/>
      <c r="D3" s="85"/>
      <c r="E3" s="85"/>
      <c r="F3" s="85"/>
    </row>
    <row r="4" spans="1:6" ht="15.75" customHeight="1" x14ac:dyDescent="0.25">
      <c r="B4" s="72" t="s">
        <v>46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82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29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30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283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292</v>
      </c>
      <c r="C11" s="87"/>
      <c r="D11" s="88"/>
      <c r="E11" s="88"/>
      <c r="F11" s="88"/>
    </row>
    <row r="12" spans="1:6" ht="15.75" customHeight="1" x14ac:dyDescent="0.3">
      <c r="A12" s="29" t="s">
        <v>280</v>
      </c>
      <c r="C12" s="86"/>
      <c r="D12" s="75"/>
      <c r="E12" s="75"/>
      <c r="F12" s="75"/>
    </row>
    <row r="13" spans="1:6" ht="15.75" customHeight="1" x14ac:dyDescent="0.25">
      <c r="B13" s="45" t="s">
        <v>295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126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289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112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116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114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115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117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111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113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279</v>
      </c>
    </row>
    <row r="29" spans="1:6" ht="15.75" customHeight="1" x14ac:dyDescent="0.3">
      <c r="B29" s="80"/>
      <c r="C29" s="81" t="s">
        <v>77</v>
      </c>
      <c r="D29" s="82" t="s">
        <v>78</v>
      </c>
      <c r="E29" s="82" t="s">
        <v>70</v>
      </c>
      <c r="F29" s="82" t="s">
        <v>71</v>
      </c>
    </row>
    <row r="30" spans="1:6" ht="15.75" customHeight="1" x14ac:dyDescent="0.3">
      <c r="A30" s="29" t="s">
        <v>287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46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82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29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30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284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292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281</v>
      </c>
      <c r="C39" s="86"/>
      <c r="D39" s="75"/>
      <c r="E39" s="75"/>
      <c r="F39" s="75"/>
    </row>
    <row r="40" spans="1:6" ht="15.75" customHeight="1" x14ac:dyDescent="0.25">
      <c r="B40" s="45" t="s">
        <v>296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277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293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290</v>
      </c>
      <c r="B44" s="83"/>
      <c r="C44" s="90"/>
      <c r="D44" s="91"/>
      <c r="E44" s="91"/>
      <c r="F44" s="91"/>
    </row>
    <row r="45" spans="1:6" ht="15.75" customHeight="1" x14ac:dyDescent="0.25">
      <c r="B45" s="72" t="s">
        <v>112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116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114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115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117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111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113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276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279</v>
      </c>
    </row>
    <row r="56" spans="1:6" ht="15.75" customHeight="1" x14ac:dyDescent="0.3">
      <c r="B56" s="80"/>
      <c r="C56" s="81" t="s">
        <v>77</v>
      </c>
      <c r="D56" s="82" t="s">
        <v>78</v>
      </c>
      <c r="E56" s="82" t="s">
        <v>70</v>
      </c>
      <c r="F56" s="82" t="s">
        <v>71</v>
      </c>
    </row>
    <row r="57" spans="1:6" ht="15.75" customHeight="1" x14ac:dyDescent="0.3">
      <c r="A57" s="29" t="s">
        <v>288</v>
      </c>
      <c r="B57" s="83"/>
      <c r="C57" s="84"/>
      <c r="D57" s="85"/>
      <c r="E57" s="85"/>
      <c r="F57" s="85"/>
    </row>
    <row r="58" spans="1:6" ht="15.75" customHeight="1" x14ac:dyDescent="0.25">
      <c r="B58" s="72" t="s">
        <v>46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82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29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30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285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292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282</v>
      </c>
      <c r="C66" s="86"/>
      <c r="D66" s="75"/>
      <c r="E66" s="75"/>
      <c r="F66" s="75"/>
    </row>
    <row r="67" spans="1:6" ht="15.75" customHeight="1" x14ac:dyDescent="0.25">
      <c r="B67" s="45" t="s">
        <v>297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278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294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291</v>
      </c>
      <c r="B71" s="83"/>
      <c r="C71" s="90"/>
      <c r="D71" s="91"/>
      <c r="E71" s="91"/>
      <c r="F71" s="91"/>
    </row>
    <row r="72" spans="1:6" ht="15.75" customHeight="1" x14ac:dyDescent="0.25">
      <c r="B72" s="72" t="s">
        <v>112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116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114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115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117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111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113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tTD3p7CviJiFib9fqMAVc0NK5Vwc8vm8nwm5xmSci/a8H4eH1hrghBcjeAIZa6GugpjyRLlSQoIpuFqbtFtvCQ==" saltValue="Tf6IEFqWVsugBTn9ues8s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309</v>
      </c>
    </row>
    <row r="2" spans="1:16" ht="13" x14ac:dyDescent="0.3">
      <c r="A2" s="92" t="s">
        <v>260</v>
      </c>
      <c r="B2" s="41" t="s">
        <v>301</v>
      </c>
      <c r="C2" s="41" t="s">
        <v>302</v>
      </c>
      <c r="D2" s="82" t="s">
        <v>97</v>
      </c>
      <c r="E2" s="82" t="s">
        <v>93</v>
      </c>
      <c r="F2" s="82" t="s">
        <v>96</v>
      </c>
      <c r="G2" s="82" t="s">
        <v>94</v>
      </c>
      <c r="H2" s="82" t="s">
        <v>95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103</v>
      </c>
      <c r="C3" s="31" t="s">
        <v>7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304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305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303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121</v>
      </c>
      <c r="C7" s="31" t="s">
        <v>7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304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305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303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109</v>
      </c>
      <c r="C11" s="31" t="s">
        <v>7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304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305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303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</v>
      </c>
      <c r="C15" s="31" t="s">
        <v>7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304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305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303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0</v>
      </c>
      <c r="C19" s="31" t="s">
        <v>7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304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305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303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118</v>
      </c>
      <c r="C23" s="31" t="s">
        <v>7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304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305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303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310</v>
      </c>
    </row>
    <row r="29" spans="1:16" ht="13" x14ac:dyDescent="0.3">
      <c r="A29" s="92" t="s">
        <v>313</v>
      </c>
      <c r="B29" s="29" t="s">
        <v>301</v>
      </c>
      <c r="C29" s="29" t="s">
        <v>312</v>
      </c>
      <c r="D29" s="82" t="s">
        <v>97</v>
      </c>
      <c r="E29" s="82" t="s">
        <v>93</v>
      </c>
      <c r="F29" s="82" t="s">
        <v>96</v>
      </c>
      <c r="G29" s="82" t="s">
        <v>94</v>
      </c>
      <c r="H29" s="82" t="s">
        <v>95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103</v>
      </c>
      <c r="C30" s="31" t="s">
        <v>7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304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3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121</v>
      </c>
      <c r="C34" s="31" t="s">
        <v>7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304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3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109</v>
      </c>
      <c r="C38" s="31" t="s">
        <v>7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304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3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</v>
      </c>
      <c r="C42" s="31" t="s">
        <v>7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304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3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0</v>
      </c>
      <c r="C46" s="31" t="s">
        <v>7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304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3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118</v>
      </c>
      <c r="C50" s="31" t="s">
        <v>7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304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3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307</v>
      </c>
    </row>
    <row r="56" spans="1:16" ht="26" x14ac:dyDescent="0.3">
      <c r="A56" s="92" t="s">
        <v>124</v>
      </c>
      <c r="B56" s="29" t="s">
        <v>301</v>
      </c>
      <c r="C56" s="80" t="s">
        <v>298</v>
      </c>
      <c r="D56" s="82" t="s">
        <v>132</v>
      </c>
      <c r="E56" s="82" t="s">
        <v>133</v>
      </c>
      <c r="F56" s="82" t="s">
        <v>134</v>
      </c>
      <c r="G56" s="82" t="s">
        <v>135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100</v>
      </c>
      <c r="C57" s="31" t="s">
        <v>306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299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108</v>
      </c>
      <c r="C59" s="31" t="s">
        <v>306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299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122</v>
      </c>
      <c r="C61" s="31" t="s">
        <v>306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299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308</v>
      </c>
    </row>
    <row r="65" spans="1:16" ht="26" x14ac:dyDescent="0.3">
      <c r="A65" s="92" t="s">
        <v>142</v>
      </c>
      <c r="B65" s="29" t="s">
        <v>301</v>
      </c>
      <c r="C65" s="80" t="s">
        <v>300</v>
      </c>
      <c r="D65" s="82" t="s">
        <v>97</v>
      </c>
      <c r="E65" s="82" t="s">
        <v>93</v>
      </c>
      <c r="F65" s="82" t="s">
        <v>96</v>
      </c>
      <c r="G65" s="82" t="s">
        <v>94</v>
      </c>
      <c r="H65" s="95" t="s">
        <v>95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112</v>
      </c>
      <c r="C66" s="31" t="s">
        <v>143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146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145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144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116</v>
      </c>
      <c r="C70" s="31" t="s">
        <v>143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146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145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144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114</v>
      </c>
      <c r="C74" s="31" t="s">
        <v>143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146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145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144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115</v>
      </c>
      <c r="C78" s="31" t="s">
        <v>143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146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145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144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103</v>
      </c>
      <c r="C82" s="31" t="s">
        <v>143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146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145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144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121</v>
      </c>
      <c r="C86" s="31" t="s">
        <v>143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146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145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144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109</v>
      </c>
      <c r="C90" s="31" t="s">
        <v>143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146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145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144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0</v>
      </c>
      <c r="C94" s="31" t="s">
        <v>143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146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145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144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120</v>
      </c>
      <c r="C98" s="31" t="s">
        <v>143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146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145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144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311</v>
      </c>
    </row>
    <row r="104" spans="1:16" ht="26" x14ac:dyDescent="0.3">
      <c r="A104" s="92" t="s">
        <v>103</v>
      </c>
      <c r="B104" s="96" t="s">
        <v>144</v>
      </c>
      <c r="C104" s="80" t="s">
        <v>300</v>
      </c>
      <c r="D104" s="82" t="s">
        <v>97</v>
      </c>
      <c r="E104" s="82" t="s">
        <v>93</v>
      </c>
      <c r="F104" s="82" t="s">
        <v>96</v>
      </c>
      <c r="G104" s="82" t="s">
        <v>94</v>
      </c>
      <c r="H104" s="95" t="s">
        <v>95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143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146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145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144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309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260</v>
      </c>
      <c r="B112" s="41" t="s">
        <v>301</v>
      </c>
      <c r="C112" s="41" t="s">
        <v>302</v>
      </c>
      <c r="D112" s="82" t="s">
        <v>97</v>
      </c>
      <c r="E112" s="82" t="s">
        <v>93</v>
      </c>
      <c r="F112" s="82" t="s">
        <v>96</v>
      </c>
      <c r="G112" s="82" t="s">
        <v>94</v>
      </c>
      <c r="H112" s="82" t="s">
        <v>95</v>
      </c>
    </row>
    <row r="113" spans="1:8" ht="13" x14ac:dyDescent="0.3">
      <c r="A113" s="29"/>
      <c r="B113" s="27" t="s">
        <v>103</v>
      </c>
      <c r="C113" s="31" t="s">
        <v>7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304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305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303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121</v>
      </c>
      <c r="C117" s="31" t="s">
        <v>7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304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305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303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109</v>
      </c>
      <c r="C121" s="31" t="s">
        <v>7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304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305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303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</v>
      </c>
      <c r="C125" s="31" t="s">
        <v>7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304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305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303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0</v>
      </c>
      <c r="C129" s="31" t="s">
        <v>7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304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305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303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118</v>
      </c>
      <c r="C133" s="31" t="s">
        <v>7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304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305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303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310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313</v>
      </c>
      <c r="B139" s="29" t="s">
        <v>301</v>
      </c>
      <c r="C139" s="29" t="s">
        <v>312</v>
      </c>
      <c r="D139" s="82" t="s">
        <v>97</v>
      </c>
      <c r="E139" s="82" t="s">
        <v>93</v>
      </c>
      <c r="F139" s="82" t="s">
        <v>96</v>
      </c>
      <c r="G139" s="82" t="s">
        <v>94</v>
      </c>
      <c r="H139" s="82" t="s">
        <v>95</v>
      </c>
    </row>
    <row r="140" spans="1:8" ht="13" x14ac:dyDescent="0.3">
      <c r="A140" s="29"/>
      <c r="B140" s="27" t="s">
        <v>103</v>
      </c>
      <c r="C140" s="31" t="s">
        <v>7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304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3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121</v>
      </c>
      <c r="C144" s="31" t="s">
        <v>7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304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3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109</v>
      </c>
      <c r="C148" s="31" t="s">
        <v>7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304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3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</v>
      </c>
      <c r="C152" s="31" t="s">
        <v>7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304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3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0</v>
      </c>
      <c r="C156" s="31" t="s">
        <v>7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304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3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118</v>
      </c>
      <c r="C160" s="31" t="s">
        <v>7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304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3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307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124</v>
      </c>
      <c r="B166" s="29" t="s">
        <v>301</v>
      </c>
      <c r="C166" s="80" t="s">
        <v>298</v>
      </c>
      <c r="D166" s="82" t="s">
        <v>132</v>
      </c>
      <c r="E166" s="82" t="s">
        <v>133</v>
      </c>
      <c r="F166" s="82" t="s">
        <v>134</v>
      </c>
      <c r="G166" s="82" t="s">
        <v>135</v>
      </c>
      <c r="H166" s="93"/>
    </row>
    <row r="167" spans="1:8" ht="13" x14ac:dyDescent="0.3">
      <c r="A167" s="29"/>
      <c r="B167" s="27" t="s">
        <v>100</v>
      </c>
      <c r="C167" s="31" t="s">
        <v>306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299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108</v>
      </c>
      <c r="C169" s="31" t="s">
        <v>306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299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122</v>
      </c>
      <c r="C171" s="31" t="s">
        <v>306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299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308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142</v>
      </c>
      <c r="B175" s="29" t="s">
        <v>301</v>
      </c>
      <c r="C175" s="80" t="s">
        <v>300</v>
      </c>
      <c r="D175" s="82" t="s">
        <v>97</v>
      </c>
      <c r="E175" s="82" t="s">
        <v>93</v>
      </c>
      <c r="F175" s="82" t="s">
        <v>96</v>
      </c>
      <c r="G175" s="82" t="s">
        <v>94</v>
      </c>
      <c r="H175" s="95" t="s">
        <v>95</v>
      </c>
    </row>
    <row r="176" spans="1:8" ht="13" x14ac:dyDescent="0.3">
      <c r="A176" s="96"/>
      <c r="B176" s="27" t="s">
        <v>112</v>
      </c>
      <c r="C176" s="31" t="s">
        <v>143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146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145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144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116</v>
      </c>
      <c r="C180" s="31" t="s">
        <v>143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146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145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144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114</v>
      </c>
      <c r="C184" s="31" t="s">
        <v>143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146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145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144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115</v>
      </c>
      <c r="C188" s="31" t="s">
        <v>143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146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145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144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103</v>
      </c>
      <c r="C192" s="31" t="s">
        <v>143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146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145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144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121</v>
      </c>
      <c r="C196" s="31" t="s">
        <v>143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146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145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144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109</v>
      </c>
      <c r="C200" s="31" t="s">
        <v>143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146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145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144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0</v>
      </c>
      <c r="C204" s="31" t="s">
        <v>143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146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145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144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120</v>
      </c>
      <c r="C208" s="31" t="s">
        <v>143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146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145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144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311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103</v>
      </c>
      <c r="B214" s="96" t="s">
        <v>144</v>
      </c>
      <c r="C214" s="80" t="s">
        <v>300</v>
      </c>
      <c r="D214" s="82" t="s">
        <v>97</v>
      </c>
      <c r="E214" s="82" t="s">
        <v>93</v>
      </c>
      <c r="F214" s="82" t="s">
        <v>96</v>
      </c>
      <c r="G214" s="82" t="s">
        <v>94</v>
      </c>
      <c r="H214" s="95" t="s">
        <v>95</v>
      </c>
    </row>
    <row r="215" spans="1:9" ht="13" x14ac:dyDescent="0.3">
      <c r="A215" s="29"/>
      <c r="C215" s="31" t="s">
        <v>143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146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145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144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276</v>
      </c>
      <c r="H220" s="105"/>
    </row>
    <row r="221" spans="1:9" ht="13" x14ac:dyDescent="0.3">
      <c r="A221" s="78" t="s">
        <v>309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260</v>
      </c>
      <c r="B222" s="41" t="s">
        <v>301</v>
      </c>
      <c r="C222" s="41" t="s">
        <v>302</v>
      </c>
      <c r="D222" s="82" t="s">
        <v>97</v>
      </c>
      <c r="E222" s="82" t="s">
        <v>93</v>
      </c>
      <c r="F222" s="82" t="s">
        <v>96</v>
      </c>
      <c r="G222" s="82" t="s">
        <v>94</v>
      </c>
      <c r="H222" s="82" t="s">
        <v>95</v>
      </c>
      <c r="I222" s="93"/>
    </row>
    <row r="223" spans="1:9" ht="13" x14ac:dyDescent="0.3">
      <c r="A223" s="29"/>
      <c r="B223" s="27" t="s">
        <v>103</v>
      </c>
      <c r="C223" s="31" t="s">
        <v>7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304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305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303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121</v>
      </c>
      <c r="C227" s="31" t="s">
        <v>7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304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305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303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109</v>
      </c>
      <c r="C231" s="31" t="s">
        <v>7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304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305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303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</v>
      </c>
      <c r="C235" s="31" t="s">
        <v>7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304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305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303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0</v>
      </c>
      <c r="C239" s="31" t="s">
        <v>7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304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305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303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118</v>
      </c>
      <c r="C243" s="31" t="s">
        <v>7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304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305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303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310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313</v>
      </c>
      <c r="B249" s="29" t="s">
        <v>301</v>
      </c>
      <c r="C249" s="29" t="s">
        <v>312</v>
      </c>
      <c r="D249" s="82" t="s">
        <v>97</v>
      </c>
      <c r="E249" s="82" t="s">
        <v>93</v>
      </c>
      <c r="F249" s="82" t="s">
        <v>96</v>
      </c>
      <c r="G249" s="82" t="s">
        <v>94</v>
      </c>
      <c r="H249" s="82" t="s">
        <v>95</v>
      </c>
      <c r="I249" s="93"/>
    </row>
    <row r="250" spans="1:9" ht="13" x14ac:dyDescent="0.3">
      <c r="A250" s="29"/>
      <c r="B250" s="27" t="s">
        <v>103</v>
      </c>
      <c r="C250" s="31" t="s">
        <v>7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304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3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121</v>
      </c>
      <c r="C254" s="31" t="s">
        <v>7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304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3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109</v>
      </c>
      <c r="C258" s="31" t="s">
        <v>7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304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3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</v>
      </c>
      <c r="C262" s="31" t="s">
        <v>7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304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3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0</v>
      </c>
      <c r="C266" s="31" t="s">
        <v>7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304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3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118</v>
      </c>
      <c r="C270" s="31" t="s">
        <v>7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304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3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307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124</v>
      </c>
      <c r="B276" s="29" t="s">
        <v>301</v>
      </c>
      <c r="C276" s="80" t="s">
        <v>298</v>
      </c>
      <c r="D276" s="82" t="s">
        <v>132</v>
      </c>
      <c r="E276" s="82" t="s">
        <v>133</v>
      </c>
      <c r="F276" s="82" t="s">
        <v>134</v>
      </c>
      <c r="G276" s="82" t="s">
        <v>135</v>
      </c>
      <c r="H276" s="93"/>
    </row>
    <row r="277" spans="1:9" ht="13" x14ac:dyDescent="0.3">
      <c r="A277" s="29"/>
      <c r="B277" s="27" t="s">
        <v>100</v>
      </c>
      <c r="C277" s="31" t="s">
        <v>306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299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108</v>
      </c>
      <c r="C279" s="31" t="s">
        <v>306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299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122</v>
      </c>
      <c r="C281" s="31" t="s">
        <v>306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299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308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142</v>
      </c>
      <c r="B285" s="29" t="s">
        <v>301</v>
      </c>
      <c r="C285" s="80" t="s">
        <v>300</v>
      </c>
      <c r="D285" s="82" t="s">
        <v>97</v>
      </c>
      <c r="E285" s="82" t="s">
        <v>93</v>
      </c>
      <c r="F285" s="82" t="s">
        <v>96</v>
      </c>
      <c r="G285" s="82" t="s">
        <v>94</v>
      </c>
      <c r="H285" s="95" t="s">
        <v>95</v>
      </c>
      <c r="I285" s="93"/>
    </row>
    <row r="286" spans="1:9" ht="13" x14ac:dyDescent="0.3">
      <c r="A286" s="96"/>
      <c r="B286" s="27" t="s">
        <v>112</v>
      </c>
      <c r="C286" s="31" t="s">
        <v>143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146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145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144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116</v>
      </c>
      <c r="C290" s="31" t="s">
        <v>143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146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145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144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114</v>
      </c>
      <c r="C294" s="31" t="s">
        <v>143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146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145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144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115</v>
      </c>
      <c r="C298" s="31" t="s">
        <v>143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146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145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144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103</v>
      </c>
      <c r="C302" s="31" t="s">
        <v>143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146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145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144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121</v>
      </c>
      <c r="C306" s="31" t="s">
        <v>143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146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145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144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109</v>
      </c>
      <c r="C310" s="31" t="s">
        <v>143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146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145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144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0</v>
      </c>
      <c r="C314" s="31" t="s">
        <v>143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146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145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144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120</v>
      </c>
      <c r="C318" s="31" t="s">
        <v>143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146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145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144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311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103</v>
      </c>
      <c r="B324" s="96" t="s">
        <v>144</v>
      </c>
      <c r="C324" s="80" t="s">
        <v>300</v>
      </c>
      <c r="D324" s="82" t="s">
        <v>97</v>
      </c>
      <c r="E324" s="82" t="s">
        <v>93</v>
      </c>
      <c r="F324" s="82" t="s">
        <v>96</v>
      </c>
      <c r="G324" s="82" t="s">
        <v>94</v>
      </c>
      <c r="H324" s="95" t="s">
        <v>95</v>
      </c>
      <c r="I324" s="93"/>
    </row>
    <row r="325" spans="1:9" ht="13" x14ac:dyDescent="0.3">
      <c r="A325" s="29"/>
      <c r="C325" s="31" t="s">
        <v>143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146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145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144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JK8+KLEY+kTD0FQZvgItZDTbWARSOSe2kNbU92Tt6E922DFj+UT9TUZZnAe4KK4sJrOsvuLs51arakGZ5UDl8A==" saltValue="gVBEym14w8bFU+ke7Ztq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344</v>
      </c>
    </row>
    <row r="2" spans="1:7" ht="14.25" customHeight="1" x14ac:dyDescent="0.3">
      <c r="A2" s="96" t="s">
        <v>237</v>
      </c>
      <c r="B2" s="41"/>
      <c r="C2" s="29" t="s">
        <v>97</v>
      </c>
      <c r="D2" s="29" t="s">
        <v>93</v>
      </c>
      <c r="E2" s="29" t="s">
        <v>96</v>
      </c>
      <c r="F2" s="29" t="s">
        <v>94</v>
      </c>
      <c r="G2" s="29" t="s">
        <v>95</v>
      </c>
    </row>
    <row r="3" spans="1:7" ht="14.25" customHeight="1" x14ac:dyDescent="0.25">
      <c r="B3" s="45" t="s">
        <v>331</v>
      </c>
      <c r="C3" s="103" t="s">
        <v>8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317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314</v>
      </c>
    </row>
    <row r="6" spans="1:7" ht="14.25" customHeight="1" x14ac:dyDescent="0.25">
      <c r="B6" s="72" t="s">
        <v>222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213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196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233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232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338</v>
      </c>
    </row>
    <row r="13" spans="1:7" ht="14.25" customHeight="1" x14ac:dyDescent="0.3">
      <c r="A13" s="83"/>
      <c r="B13" s="45" t="s">
        <v>211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345</v>
      </c>
    </row>
    <row r="16" spans="1:7" ht="14.25" customHeight="1" x14ac:dyDescent="0.3">
      <c r="A16" s="96" t="s">
        <v>313</v>
      </c>
      <c r="B16" s="72" t="s">
        <v>325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322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124</v>
      </c>
      <c r="B18" s="45" t="s">
        <v>328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341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199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344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237</v>
      </c>
      <c r="B26" s="41"/>
      <c r="C26" s="29" t="s">
        <v>97</v>
      </c>
      <c r="D26" s="29" t="s">
        <v>93</v>
      </c>
      <c r="E26" s="29" t="s">
        <v>96</v>
      </c>
      <c r="F26" s="29" t="s">
        <v>94</v>
      </c>
      <c r="G26" s="29" t="s">
        <v>95</v>
      </c>
    </row>
    <row r="27" spans="1:7" x14ac:dyDescent="0.25">
      <c r="B27" s="45" t="s">
        <v>332</v>
      </c>
      <c r="C27" s="103" t="s">
        <v>8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318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315</v>
      </c>
    </row>
    <row r="30" spans="1:7" x14ac:dyDescent="0.25">
      <c r="B30" s="72" t="s">
        <v>346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336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27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350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348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339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334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345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313</v>
      </c>
      <c r="B40" s="72" t="s">
        <v>326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323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124</v>
      </c>
      <c r="B42" s="45" t="s">
        <v>329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342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320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276</v>
      </c>
    </row>
    <row r="49" spans="1:7" ht="13" x14ac:dyDescent="0.3">
      <c r="A49" s="78" t="s">
        <v>344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237</v>
      </c>
      <c r="B50" s="41"/>
      <c r="C50" s="29" t="s">
        <v>97</v>
      </c>
      <c r="D50" s="29" t="s">
        <v>93</v>
      </c>
      <c r="E50" s="29" t="s">
        <v>96</v>
      </c>
      <c r="F50" s="29" t="s">
        <v>94</v>
      </c>
      <c r="G50" s="29" t="s">
        <v>95</v>
      </c>
    </row>
    <row r="51" spans="1:7" x14ac:dyDescent="0.25">
      <c r="B51" s="45" t="s">
        <v>333</v>
      </c>
      <c r="C51" s="103" t="s">
        <v>8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319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316</v>
      </c>
    </row>
    <row r="54" spans="1:7" x14ac:dyDescent="0.25">
      <c r="B54" s="72" t="s">
        <v>347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28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351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349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340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335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345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313</v>
      </c>
      <c r="B64" s="72" t="s">
        <v>327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324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124</v>
      </c>
      <c r="B66" s="45" t="s">
        <v>330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321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UzH9Cw5eRiP7lxegRGvqiU+TZ5QRi5uKeb15rBPk7bf0E7wOiRvVJ9b701IQP/Q0j5nLmFjQ7VZjf66hruEw4Q==" saltValue="dccffs31iXbqVxWBI8/5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192</v>
      </c>
      <c r="B1" s="29"/>
      <c r="C1" s="29" t="s">
        <v>71</v>
      </c>
      <c r="D1" s="29" t="s">
        <v>78</v>
      </c>
      <c r="E1" s="29" t="s">
        <v>70</v>
      </c>
      <c r="F1" s="41" t="s">
        <v>77</v>
      </c>
    </row>
    <row r="2" spans="1:6" ht="15.75" customHeight="1" x14ac:dyDescent="0.25">
      <c r="A2" s="72" t="s">
        <v>194</v>
      </c>
      <c r="B2" s="72" t="s">
        <v>353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352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195</v>
      </c>
      <c r="B4" s="72" t="s">
        <v>353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352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207</v>
      </c>
      <c r="B6" s="72" t="s">
        <v>353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352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208</v>
      </c>
      <c r="B8" s="72" t="s">
        <v>353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352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209</v>
      </c>
      <c r="B10" s="72" t="s">
        <v>353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352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214</v>
      </c>
      <c r="B12" s="72" t="s">
        <v>353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352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220</v>
      </c>
      <c r="B14" s="72" t="s">
        <v>353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352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192</v>
      </c>
      <c r="B18" s="29"/>
      <c r="C18" s="29" t="s">
        <v>71</v>
      </c>
      <c r="D18" s="29" t="s">
        <v>78</v>
      </c>
      <c r="E18" s="29" t="s">
        <v>70</v>
      </c>
      <c r="F18" s="41" t="s">
        <v>77</v>
      </c>
    </row>
    <row r="19" spans="1:6" ht="15.75" customHeight="1" x14ac:dyDescent="0.25">
      <c r="A19" s="72" t="s">
        <v>194</v>
      </c>
      <c r="B19" s="72" t="s">
        <v>353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352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195</v>
      </c>
      <c r="B21" s="72" t="s">
        <v>353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352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207</v>
      </c>
      <c r="B23" s="72" t="s">
        <v>353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352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208</v>
      </c>
      <c r="B25" s="72" t="s">
        <v>353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352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209</v>
      </c>
      <c r="B27" s="72" t="s">
        <v>353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352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214</v>
      </c>
      <c r="B29" s="72" t="s">
        <v>353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352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220</v>
      </c>
      <c r="B31" s="72" t="s">
        <v>353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352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276</v>
      </c>
    </row>
    <row r="35" spans="1:6" ht="15.75" customHeight="1" x14ac:dyDescent="0.3">
      <c r="A35" s="41" t="s">
        <v>192</v>
      </c>
      <c r="B35" s="29"/>
      <c r="C35" s="29" t="s">
        <v>71</v>
      </c>
      <c r="D35" s="29" t="s">
        <v>78</v>
      </c>
      <c r="E35" s="29" t="s">
        <v>70</v>
      </c>
      <c r="F35" s="41" t="s">
        <v>77</v>
      </c>
    </row>
    <row r="36" spans="1:6" ht="15.75" customHeight="1" x14ac:dyDescent="0.25">
      <c r="A36" s="72" t="s">
        <v>194</v>
      </c>
      <c r="B36" s="72" t="s">
        <v>353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352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195</v>
      </c>
      <c r="B38" s="72" t="s">
        <v>353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352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207</v>
      </c>
      <c r="B40" s="72" t="s">
        <v>353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352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208</v>
      </c>
      <c r="B42" s="72" t="s">
        <v>353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352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209</v>
      </c>
      <c r="B44" s="72" t="s">
        <v>353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352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214</v>
      </c>
      <c r="B46" s="72" t="s">
        <v>353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352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220</v>
      </c>
      <c r="B48" s="72" t="s">
        <v>353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352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WoZ458bC2tPGP48t8WetJuQs0dzkpDyYxfmUoGtN6rBPS464XNL4OmSCfSC8jvkIOlCxguQ+SKhBOpiAw0FPZw==" saltValue="NNpwkSC6LpJ42JPT4lgt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97</v>
      </c>
      <c r="D1" s="122" t="s">
        <v>93</v>
      </c>
      <c r="E1" s="122" t="s">
        <v>96</v>
      </c>
      <c r="F1" s="122" t="s">
        <v>94</v>
      </c>
      <c r="G1" s="122" t="s">
        <v>95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132</v>
      </c>
      <c r="M1" s="122" t="s">
        <v>133</v>
      </c>
      <c r="N1" s="122" t="s">
        <v>134</v>
      </c>
      <c r="O1" s="122" t="s">
        <v>135</v>
      </c>
    </row>
    <row r="2" spans="1:15" ht="13" x14ac:dyDescent="0.3">
      <c r="A2" s="29" t="s">
        <v>357</v>
      </c>
    </row>
    <row r="3" spans="1:15" x14ac:dyDescent="0.25">
      <c r="B3" s="45" t="s">
        <v>198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204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205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206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207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208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209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213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219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220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233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354</v>
      </c>
      <c r="B17" s="45"/>
    </row>
    <row r="18" spans="1:15" x14ac:dyDescent="0.25">
      <c r="B18" s="72" t="s">
        <v>200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201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210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97</v>
      </c>
      <c r="D24" s="122" t="s">
        <v>93</v>
      </c>
      <c r="E24" s="122" t="s">
        <v>96</v>
      </c>
      <c r="F24" s="122" t="s">
        <v>94</v>
      </c>
      <c r="G24" s="122" t="s">
        <v>95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132</v>
      </c>
      <c r="M24" s="122" t="s">
        <v>133</v>
      </c>
      <c r="N24" s="122" t="s">
        <v>134</v>
      </c>
      <c r="O24" s="122" t="s">
        <v>135</v>
      </c>
    </row>
    <row r="25" spans="1:15" ht="13" x14ac:dyDescent="0.3">
      <c r="A25" s="29" t="s">
        <v>358</v>
      </c>
    </row>
    <row r="26" spans="1:15" x14ac:dyDescent="0.25">
      <c r="B26" s="45" t="s">
        <v>198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204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205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206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207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208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209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213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219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220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233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355</v>
      </c>
      <c r="B40" s="45"/>
    </row>
    <row r="41" spans="1:15" x14ac:dyDescent="0.25">
      <c r="B41" s="72" t="s">
        <v>200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201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210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276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97</v>
      </c>
      <c r="D47" s="122" t="s">
        <v>93</v>
      </c>
      <c r="E47" s="122" t="s">
        <v>96</v>
      </c>
      <c r="F47" s="122" t="s">
        <v>94</v>
      </c>
      <c r="G47" s="122" t="s">
        <v>95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132</v>
      </c>
      <c r="M47" s="122" t="s">
        <v>133</v>
      </c>
      <c r="N47" s="122" t="s">
        <v>134</v>
      </c>
      <c r="O47" s="122" t="s">
        <v>135</v>
      </c>
    </row>
    <row r="48" spans="1:15" ht="13" x14ac:dyDescent="0.3">
      <c r="A48" s="29" t="s">
        <v>359</v>
      </c>
    </row>
    <row r="49" spans="1:15" x14ac:dyDescent="0.25">
      <c r="B49" s="45" t="s">
        <v>198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204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205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206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207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208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209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213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219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220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233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356</v>
      </c>
      <c r="B63" s="45"/>
    </row>
    <row r="64" spans="1:15" x14ac:dyDescent="0.25">
      <c r="B64" s="72" t="s">
        <v>200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201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210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O1qHFKZw7CFQgl/psivOERnoa/n6QnzM598a32UbZsmIxaz3JyU5CaD0LjY/B8w+c7X8r1olrXcRWGA9UvKRRQ==" saltValue="cqi8xtsi3ZzipiJi80jQ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29" t="s">
        <v>364</v>
      </c>
    </row>
    <row r="3" spans="1:7" x14ac:dyDescent="0.25">
      <c r="B3" s="45" t="s">
        <v>193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361</v>
      </c>
      <c r="B4" s="45"/>
      <c r="C4" s="123"/>
      <c r="D4" s="123"/>
      <c r="E4" s="123"/>
      <c r="F4" s="123"/>
      <c r="G4" s="123"/>
    </row>
    <row r="5" spans="1:7" x14ac:dyDescent="0.25">
      <c r="B5" s="72" t="s">
        <v>191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360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29" t="s">
        <v>365</v>
      </c>
    </row>
    <row r="10" spans="1:7" x14ac:dyDescent="0.25">
      <c r="B10" s="45" t="s">
        <v>193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362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191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367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29" t="s">
        <v>366</v>
      </c>
    </row>
    <row r="17" spans="1:7" x14ac:dyDescent="0.25">
      <c r="B17" s="45" t="s">
        <v>193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363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191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YOHEcaN07FZsG0hIX1lBHa31FDOs/8OSqRp/jejJoR0zsximLC3dMkGMqLDaUaLjiFJkyagvCg0EpwmS36kMug==" saltValue="v72IXeHNbcplKo6Gh4+Y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9"/>
  <sheetViews>
    <sheetView zoomScale="70" zoomScaleNormal="70" workbookViewId="0">
      <selection activeCell="D18" sqref="D18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192</v>
      </c>
      <c r="B1" s="29" t="s">
        <v>371</v>
      </c>
      <c r="C1" s="96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39" t="s">
        <v>225</v>
      </c>
      <c r="B2" s="39" t="s">
        <v>103</v>
      </c>
      <c r="C2" s="39" t="s">
        <v>368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370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369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222</v>
      </c>
      <c r="B5" s="39" t="s">
        <v>236</v>
      </c>
      <c r="C5" s="39" t="s">
        <v>368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369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3</v>
      </c>
      <c r="C7" s="39" t="s">
        <v>368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369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213</v>
      </c>
      <c r="B9" s="39" t="s">
        <v>236</v>
      </c>
      <c r="C9" s="39" t="s">
        <v>368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369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3</v>
      </c>
      <c r="C11" s="39" t="s">
        <v>368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369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233</v>
      </c>
      <c r="B13" s="39" t="s">
        <v>236</v>
      </c>
      <c r="C13" s="39" t="s">
        <v>368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369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3</v>
      </c>
      <c r="C15" s="39" t="s">
        <v>368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369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B17" s="39" t="s">
        <v>372</v>
      </c>
      <c r="C17" s="39" t="s">
        <v>368</v>
      </c>
      <c r="D17" s="120">
        <v>0</v>
      </c>
      <c r="E17" s="120">
        <v>0</v>
      </c>
      <c r="F17" s="120">
        <v>1</v>
      </c>
      <c r="G17" s="120">
        <v>1</v>
      </c>
      <c r="H17" s="120">
        <v>0</v>
      </c>
    </row>
    <row r="18" spans="1:8" x14ac:dyDescent="0.25">
      <c r="C18" s="39" t="s">
        <v>370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A19" s="39" t="s">
        <v>196</v>
      </c>
      <c r="B19" s="39" t="s">
        <v>236</v>
      </c>
      <c r="C19" s="39" t="s">
        <v>368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369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B21" s="39" t="s">
        <v>3</v>
      </c>
      <c r="C21" s="39" t="s">
        <v>368</v>
      </c>
      <c r="D21" s="120">
        <v>0</v>
      </c>
      <c r="E21" s="120">
        <v>0</v>
      </c>
      <c r="F21" s="120">
        <v>1</v>
      </c>
      <c r="G21" s="120">
        <v>1</v>
      </c>
      <c r="H21" s="120">
        <v>1</v>
      </c>
    </row>
    <row r="22" spans="1:8" x14ac:dyDescent="0.25">
      <c r="C22" s="39" t="s">
        <v>369</v>
      </c>
      <c r="D22" s="120">
        <v>0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202</v>
      </c>
      <c r="B23" s="39" t="s">
        <v>111</v>
      </c>
      <c r="C23" s="39" t="s">
        <v>368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370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200</v>
      </c>
      <c r="B25" s="39" t="s">
        <v>111</v>
      </c>
      <c r="C25" s="39" t="s">
        <v>368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370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201</v>
      </c>
      <c r="B27" s="39" t="s">
        <v>111</v>
      </c>
      <c r="C27" s="39" t="s">
        <v>368</v>
      </c>
      <c r="D27" s="120">
        <v>1</v>
      </c>
      <c r="E27" s="120">
        <v>0</v>
      </c>
      <c r="F27" s="120">
        <v>0</v>
      </c>
      <c r="G27" s="120">
        <v>0</v>
      </c>
      <c r="H27" s="120">
        <v>0</v>
      </c>
    </row>
    <row r="28" spans="1:8" x14ac:dyDescent="0.25">
      <c r="C28" s="39" t="s">
        <v>370</v>
      </c>
      <c r="D28" s="120">
        <v>0.13</v>
      </c>
      <c r="E28" s="120">
        <v>0</v>
      </c>
      <c r="F28" s="120">
        <v>0</v>
      </c>
      <c r="G28" s="120">
        <v>0</v>
      </c>
      <c r="H28" s="120">
        <v>0</v>
      </c>
    </row>
    <row r="29" spans="1:8" x14ac:dyDescent="0.25">
      <c r="A29" s="39" t="s">
        <v>229</v>
      </c>
      <c r="B29" s="39" t="s">
        <v>103</v>
      </c>
      <c r="C29" s="39" t="s">
        <v>368</v>
      </c>
      <c r="D29" s="120">
        <v>1</v>
      </c>
      <c r="E29" s="120">
        <v>1</v>
      </c>
      <c r="F29" s="120">
        <v>1</v>
      </c>
      <c r="G29" s="120">
        <v>1</v>
      </c>
      <c r="H29" s="120">
        <v>1</v>
      </c>
    </row>
    <row r="30" spans="1:8" x14ac:dyDescent="0.25">
      <c r="C30" s="39" t="s">
        <v>370</v>
      </c>
      <c r="D30" s="120">
        <v>0.3</v>
      </c>
      <c r="E30" s="120">
        <v>0.3</v>
      </c>
      <c r="F30" s="120">
        <v>0.3</v>
      </c>
      <c r="G30" s="120">
        <v>0.3</v>
      </c>
      <c r="H30" s="120">
        <v>0.3</v>
      </c>
    </row>
    <row r="31" spans="1:8" x14ac:dyDescent="0.25">
      <c r="C31" s="39" t="s">
        <v>369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A32" s="39" t="s">
        <v>230</v>
      </c>
      <c r="B32" s="39" t="s">
        <v>103</v>
      </c>
      <c r="C32" s="39" t="s">
        <v>368</v>
      </c>
      <c r="D32" s="120">
        <v>1</v>
      </c>
      <c r="E32" s="120">
        <v>1</v>
      </c>
      <c r="F32" s="120">
        <v>1</v>
      </c>
      <c r="G32" s="120">
        <v>1</v>
      </c>
      <c r="H32" s="120">
        <v>1</v>
      </c>
    </row>
    <row r="33" spans="1:8" x14ac:dyDescent="0.25">
      <c r="C33" s="39" t="s">
        <v>370</v>
      </c>
      <c r="D33" s="120">
        <v>0</v>
      </c>
      <c r="E33" s="120">
        <v>0</v>
      </c>
      <c r="F33" s="120">
        <v>0</v>
      </c>
      <c r="G33" s="120">
        <v>0</v>
      </c>
      <c r="H33" s="120">
        <v>0</v>
      </c>
    </row>
    <row r="34" spans="1:8" x14ac:dyDescent="0.25">
      <c r="C34" s="39" t="s">
        <v>369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A35" s="39" t="s">
        <v>228</v>
      </c>
      <c r="B35" s="39" t="s">
        <v>103</v>
      </c>
      <c r="C35" s="39" t="s">
        <v>368</v>
      </c>
      <c r="D35" s="120">
        <v>1</v>
      </c>
      <c r="E35" s="120">
        <v>1</v>
      </c>
      <c r="F35" s="120">
        <v>1</v>
      </c>
      <c r="G35" s="120">
        <v>1</v>
      </c>
      <c r="H35" s="120">
        <v>1</v>
      </c>
    </row>
    <row r="36" spans="1:8" x14ac:dyDescent="0.25">
      <c r="C36" s="39" t="s">
        <v>370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</row>
    <row r="37" spans="1:8" x14ac:dyDescent="0.25">
      <c r="C37" s="39" t="s">
        <v>369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A38" s="39" t="s">
        <v>227</v>
      </c>
      <c r="B38" s="39" t="s">
        <v>103</v>
      </c>
      <c r="C38" s="39" t="s">
        <v>368</v>
      </c>
      <c r="D38" s="120">
        <v>1</v>
      </c>
      <c r="E38" s="120">
        <v>1</v>
      </c>
      <c r="F38" s="120">
        <v>1</v>
      </c>
      <c r="G38" s="120">
        <v>1</v>
      </c>
      <c r="H38" s="120">
        <v>1</v>
      </c>
    </row>
    <row r="39" spans="1:8" x14ac:dyDescent="0.25">
      <c r="C39" s="39" t="s">
        <v>370</v>
      </c>
      <c r="D39" s="120">
        <v>0</v>
      </c>
      <c r="E39" s="120">
        <v>0</v>
      </c>
      <c r="F39" s="120">
        <v>0</v>
      </c>
      <c r="G39" s="120">
        <v>0</v>
      </c>
      <c r="H39" s="120">
        <v>0</v>
      </c>
    </row>
    <row r="40" spans="1:8" x14ac:dyDescent="0.25">
      <c r="C40" s="39" t="s">
        <v>369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A41" s="39" t="s">
        <v>226</v>
      </c>
      <c r="B41" s="39" t="s">
        <v>103</v>
      </c>
      <c r="C41" s="39" t="s">
        <v>368</v>
      </c>
      <c r="D41" s="120">
        <v>1</v>
      </c>
      <c r="E41" s="120">
        <v>1</v>
      </c>
      <c r="F41" s="120">
        <v>1</v>
      </c>
      <c r="G41" s="120">
        <v>1</v>
      </c>
      <c r="H41" s="120">
        <v>1</v>
      </c>
    </row>
    <row r="42" spans="1:8" x14ac:dyDescent="0.25">
      <c r="C42" s="39" t="s">
        <v>370</v>
      </c>
      <c r="D42" s="120">
        <v>0</v>
      </c>
      <c r="E42" s="120">
        <v>0</v>
      </c>
      <c r="F42" s="120">
        <v>0</v>
      </c>
      <c r="G42" s="120">
        <v>0</v>
      </c>
      <c r="H42" s="120">
        <v>0</v>
      </c>
    </row>
    <row r="43" spans="1:8" x14ac:dyDescent="0.25">
      <c r="C43" s="39" t="s">
        <v>369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A44" s="39" t="s">
        <v>232</v>
      </c>
      <c r="B44" s="39" t="s">
        <v>103</v>
      </c>
      <c r="C44" s="39" t="s">
        <v>368</v>
      </c>
      <c r="D44" s="120">
        <v>0</v>
      </c>
      <c r="E44" s="120">
        <v>1</v>
      </c>
      <c r="F44" s="120">
        <v>1</v>
      </c>
      <c r="G44" s="120">
        <v>1</v>
      </c>
      <c r="H44" s="120">
        <v>1</v>
      </c>
    </row>
    <row r="45" spans="1:8" x14ac:dyDescent="0.25">
      <c r="C45" s="39" t="s">
        <v>370</v>
      </c>
      <c r="D45" s="120">
        <v>0</v>
      </c>
      <c r="E45" s="120">
        <v>0</v>
      </c>
      <c r="F45" s="120">
        <v>0</v>
      </c>
      <c r="G45" s="120">
        <v>0</v>
      </c>
      <c r="H45" s="120">
        <v>0</v>
      </c>
    </row>
    <row r="46" spans="1:8" x14ac:dyDescent="0.25">
      <c r="C46" s="39" t="s">
        <v>369</v>
      </c>
      <c r="D46" s="120">
        <v>0.09</v>
      </c>
      <c r="E46" s="120">
        <v>0.09</v>
      </c>
      <c r="F46" s="120">
        <v>0.09</v>
      </c>
      <c r="G46" s="120">
        <v>0.09</v>
      </c>
      <c r="H46" s="120">
        <v>0.09</v>
      </c>
    </row>
    <row r="47" spans="1:8" x14ac:dyDescent="0.25">
      <c r="B47" s="39" t="s">
        <v>121</v>
      </c>
      <c r="C47" s="39" t="s">
        <v>368</v>
      </c>
      <c r="D47" s="120">
        <v>0</v>
      </c>
      <c r="E47" s="120">
        <v>1</v>
      </c>
      <c r="F47" s="120">
        <v>1</v>
      </c>
      <c r="G47" s="120">
        <v>1</v>
      </c>
      <c r="H47" s="120">
        <v>1</v>
      </c>
    </row>
    <row r="48" spans="1:8" x14ac:dyDescent="0.25">
      <c r="C48" s="39" t="s">
        <v>370</v>
      </c>
      <c r="D48" s="120">
        <v>0</v>
      </c>
      <c r="E48" s="120">
        <v>0</v>
      </c>
      <c r="F48" s="120">
        <v>0</v>
      </c>
      <c r="G48" s="120">
        <v>0</v>
      </c>
      <c r="H48" s="120">
        <v>0</v>
      </c>
    </row>
    <row r="49" spans="1:8" x14ac:dyDescent="0.25">
      <c r="C49" s="39" t="s">
        <v>369</v>
      </c>
      <c r="D49" s="120">
        <v>0</v>
      </c>
      <c r="E49" s="120">
        <v>0</v>
      </c>
      <c r="F49" s="120">
        <v>0</v>
      </c>
      <c r="G49" s="120">
        <v>0</v>
      </c>
      <c r="H49" s="120">
        <v>0</v>
      </c>
    </row>
    <row r="50" spans="1:8" x14ac:dyDescent="0.25">
      <c r="A50" s="39" t="s">
        <v>221</v>
      </c>
      <c r="B50" s="39" t="s">
        <v>103</v>
      </c>
      <c r="C50" s="39" t="s">
        <v>368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370</v>
      </c>
      <c r="D51" s="120">
        <v>0.69</v>
      </c>
      <c r="E51" s="120">
        <v>0.69</v>
      </c>
      <c r="F51" s="120">
        <v>0.69</v>
      </c>
      <c r="G51" s="120">
        <v>0.69</v>
      </c>
      <c r="H51" s="120">
        <v>0.69</v>
      </c>
    </row>
    <row r="52" spans="1:8" x14ac:dyDescent="0.25">
      <c r="A52" s="39" t="s">
        <v>231</v>
      </c>
      <c r="B52" s="39" t="s">
        <v>103</v>
      </c>
      <c r="C52" s="39" t="s">
        <v>368</v>
      </c>
      <c r="D52" s="120">
        <v>1</v>
      </c>
      <c r="E52" s="120">
        <v>1</v>
      </c>
      <c r="F52" s="120">
        <v>1</v>
      </c>
      <c r="G52" s="120">
        <v>1</v>
      </c>
      <c r="H52" s="120">
        <v>1</v>
      </c>
    </row>
    <row r="53" spans="1:8" x14ac:dyDescent="0.25">
      <c r="C53" s="39" t="s">
        <v>370</v>
      </c>
      <c r="D53" s="120">
        <v>0.76</v>
      </c>
      <c r="E53" s="120">
        <v>0.76</v>
      </c>
      <c r="F53" s="120">
        <v>0.76</v>
      </c>
      <c r="G53" s="120">
        <v>0.76</v>
      </c>
      <c r="H53" s="120">
        <v>0.76</v>
      </c>
    </row>
    <row r="54" spans="1:8" x14ac:dyDescent="0.25">
      <c r="A54" s="39" t="s">
        <v>211</v>
      </c>
      <c r="B54" s="39" t="s">
        <v>115</v>
      </c>
      <c r="C54" s="39" t="s">
        <v>368</v>
      </c>
      <c r="D54" s="120">
        <v>1</v>
      </c>
      <c r="E54" s="120">
        <v>0</v>
      </c>
      <c r="F54" s="120">
        <v>0</v>
      </c>
      <c r="G54" s="120">
        <v>0</v>
      </c>
      <c r="H54" s="120">
        <v>0</v>
      </c>
    </row>
    <row r="55" spans="1:8" x14ac:dyDescent="0.25">
      <c r="C55" s="39" t="s">
        <v>370</v>
      </c>
      <c r="D55" s="120">
        <v>0.32</v>
      </c>
      <c r="E55" s="120">
        <v>0</v>
      </c>
      <c r="F55" s="120">
        <v>0</v>
      </c>
      <c r="G55" s="120">
        <v>0</v>
      </c>
      <c r="H55" s="120">
        <v>0</v>
      </c>
    </row>
    <row r="57" spans="1:8" s="106" customFormat="1" ht="13" x14ac:dyDescent="0.3">
      <c r="A57" s="109" t="s">
        <v>360</v>
      </c>
      <c r="B57" s="110"/>
      <c r="C57" s="110"/>
      <c r="D57" s="124"/>
      <c r="E57" s="124"/>
      <c r="F57" s="124"/>
      <c r="G57" s="124"/>
      <c r="H57" s="124"/>
    </row>
    <row r="58" spans="1:8" ht="13" x14ac:dyDescent="0.3">
      <c r="A58" s="29" t="s">
        <v>192</v>
      </c>
      <c r="B58" s="29" t="s">
        <v>371</v>
      </c>
      <c r="C58" s="96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39" t="s">
        <v>225</v>
      </c>
      <c r="B59" s="39" t="s">
        <v>103</v>
      </c>
      <c r="C59" s="39" t="s">
        <v>368</v>
      </c>
      <c r="D59" s="120">
        <f>IF($C2="Affected fraction",D2,IF(D2=1,1,D2*0.9))</f>
        <v>0</v>
      </c>
      <c r="E59" s="120">
        <f>IF($C2="Affected fraction",E2,IF(E2=1,1,E2*0.9))</f>
        <v>0</v>
      </c>
      <c r="F59" s="120">
        <f>IF($C2="Affected fraction",F2,IF(F2=1,1,F2*0.9))</f>
        <v>1</v>
      </c>
      <c r="G59" s="120">
        <f>IF($C2="Affected fraction",G2,IF(G2=1,1,G2*0.9))</f>
        <v>1</v>
      </c>
      <c r="H59" s="120">
        <f>IF($C2="Affected fraction",H2,IF(H2=1,1,H2*0.9))</f>
        <v>1</v>
      </c>
    </row>
    <row r="60" spans="1:8" x14ac:dyDescent="0.25">
      <c r="C60" s="39" t="s">
        <v>370</v>
      </c>
      <c r="D60" s="120">
        <f>IF($C3="Affected fraction",D3,IF(D3=1,1,D3*0.9))</f>
        <v>0</v>
      </c>
      <c r="E60" s="120">
        <f>IF($C3="Affected fraction",E3,IF(E3=1,1,E3*0.9))</f>
        <v>0</v>
      </c>
      <c r="F60" s="120">
        <v>0.02</v>
      </c>
      <c r="G60" s="120">
        <v>0.02</v>
      </c>
      <c r="H60" s="120">
        <v>0.02</v>
      </c>
    </row>
    <row r="61" spans="1:8" x14ac:dyDescent="0.25">
      <c r="C61" s="39" t="s">
        <v>369</v>
      </c>
      <c r="D61" s="120">
        <f>IF($C4="Affected fraction",D4,IF(D4=1,1,D4*0.9))</f>
        <v>0</v>
      </c>
      <c r="E61" s="120">
        <f>IF($C4="Affected fraction",E4,IF(E4=1,1,E4*0.9))</f>
        <v>0</v>
      </c>
      <c r="F61" s="120">
        <v>0.13</v>
      </c>
      <c r="G61" s="120">
        <v>0.13</v>
      </c>
      <c r="H61" s="120">
        <v>0.13</v>
      </c>
    </row>
    <row r="62" spans="1:8" x14ac:dyDescent="0.25">
      <c r="A62" s="39" t="s">
        <v>222</v>
      </c>
      <c r="B62" s="39" t="s">
        <v>236</v>
      </c>
      <c r="C62" s="39" t="s">
        <v>368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369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B64" s="39" t="s">
        <v>3</v>
      </c>
      <c r="C64" s="39" t="s">
        <v>368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369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A66" s="39" t="s">
        <v>213</v>
      </c>
      <c r="B66" s="39" t="s">
        <v>236</v>
      </c>
      <c r="C66" s="39" t="s">
        <v>368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369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B68" s="39" t="s">
        <v>3</v>
      </c>
      <c r="C68" s="39" t="s">
        <v>368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369</v>
      </c>
      <c r="D69" s="120">
        <v>0</v>
      </c>
      <c r="E69" s="120">
        <v>0</v>
      </c>
      <c r="F69" s="120">
        <v>0</v>
      </c>
      <c r="G69" s="120">
        <v>0</v>
      </c>
      <c r="H69" s="120">
        <v>0</v>
      </c>
    </row>
    <row r="70" spans="1:8" x14ac:dyDescent="0.25">
      <c r="A70" s="39" t="s">
        <v>233</v>
      </c>
      <c r="B70" s="39" t="s">
        <v>236</v>
      </c>
      <c r="C70" s="39" t="s">
        <v>368</v>
      </c>
      <c r="D70" s="120">
        <v>0</v>
      </c>
      <c r="E70" s="120">
        <v>0</v>
      </c>
      <c r="F70" s="120">
        <v>1</v>
      </c>
      <c r="G70" s="120">
        <v>1</v>
      </c>
      <c r="H70" s="120">
        <v>0</v>
      </c>
    </row>
    <row r="71" spans="1:8" x14ac:dyDescent="0.25">
      <c r="C71" s="39" t="s">
        <v>369</v>
      </c>
      <c r="D71" s="120">
        <f t="shared" ref="D71:E73" si="0">IF($C14="Affected fraction",D14,IF(D14=1,1,D14*0.9))</f>
        <v>0</v>
      </c>
      <c r="E71" s="120">
        <f t="shared" si="0"/>
        <v>0</v>
      </c>
      <c r="F71" s="120">
        <v>0.14000000000000001</v>
      </c>
      <c r="G71" s="120">
        <v>0.14000000000000001</v>
      </c>
      <c r="H71" s="120">
        <f>IF($C14="Affected fraction",H14,IF(H14=1,1,H14*0.9))</f>
        <v>0</v>
      </c>
    </row>
    <row r="72" spans="1:8" x14ac:dyDescent="0.25">
      <c r="B72" s="39" t="s">
        <v>3</v>
      </c>
      <c r="C72" s="39" t="s">
        <v>368</v>
      </c>
      <c r="D72" s="120">
        <f t="shared" si="0"/>
        <v>0</v>
      </c>
      <c r="E72" s="120">
        <f t="shared" si="0"/>
        <v>0</v>
      </c>
      <c r="F72" s="120">
        <f>IF($C15="Affected fraction",F15,IF(F15=1,1,F15*0.9))</f>
        <v>1</v>
      </c>
      <c r="G72" s="120">
        <f>IF($C15="Affected fraction",G15,IF(G15=1,1,G15*0.9))</f>
        <v>1</v>
      </c>
      <c r="H72" s="120">
        <f>IF($C15="Affected fraction",H15,IF(H15=1,1,H15*0.9))</f>
        <v>0</v>
      </c>
    </row>
    <row r="73" spans="1:8" x14ac:dyDescent="0.25">
      <c r="C73" s="39" t="s">
        <v>369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f>IF($C16="Affected fraction",H16,IF(H16=1,1,H16*0.9))</f>
        <v>0</v>
      </c>
    </row>
    <row r="74" spans="1:8" x14ac:dyDescent="0.25">
      <c r="B74" s="39" t="s">
        <v>372</v>
      </c>
      <c r="C74" s="39" t="s">
        <v>368</v>
      </c>
      <c r="D74" s="120">
        <v>0</v>
      </c>
      <c r="E74" s="120">
        <v>0</v>
      </c>
      <c r="F74" s="120">
        <v>1</v>
      </c>
      <c r="G74" s="120">
        <v>1</v>
      </c>
      <c r="H74" s="120">
        <v>0</v>
      </c>
    </row>
    <row r="75" spans="1:8" x14ac:dyDescent="0.25">
      <c r="C75" s="39" t="s">
        <v>370</v>
      </c>
      <c r="D75" s="120">
        <v>0</v>
      </c>
      <c r="E75" s="120"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196</v>
      </c>
      <c r="B76" s="39" t="s">
        <v>236</v>
      </c>
      <c r="C76" s="39" t="s">
        <v>368</v>
      </c>
      <c r="D76" s="120">
        <f>IF($C19="Affected fraction",D19,IF(D19=1,1,D19*0.9))</f>
        <v>0</v>
      </c>
      <c r="E76" s="120">
        <f>IF($C19="Affected fraction",E19,IF(E19=1,1,E19*0.9))</f>
        <v>0</v>
      </c>
      <c r="F76" s="120">
        <f>IF($C19="Affected fraction",F19,IF(F19=1,1,F19*0.9))</f>
        <v>1</v>
      </c>
      <c r="G76" s="120">
        <f>IF($C19="Affected fraction",G19,IF(G19=1,1,G19*0.9))</f>
        <v>1</v>
      </c>
      <c r="H76" s="120">
        <f>IF($C19="Affected fraction",H19,IF(H19=1,1,H19*0.9))</f>
        <v>1</v>
      </c>
    </row>
    <row r="77" spans="1:8" x14ac:dyDescent="0.25">
      <c r="C77" s="39" t="s">
        <v>369</v>
      </c>
      <c r="D77" s="120">
        <f t="shared" ref="D77:H85" si="1">IF($C20="Affected fraction",D20,IF(D20=1,1,D20*0.9))</f>
        <v>0</v>
      </c>
      <c r="E77" s="120">
        <f t="shared" si="1"/>
        <v>0</v>
      </c>
      <c r="F77" s="120">
        <v>0</v>
      </c>
      <c r="G77" s="120">
        <v>0</v>
      </c>
      <c r="H77" s="120">
        <v>0</v>
      </c>
    </row>
    <row r="78" spans="1:8" x14ac:dyDescent="0.25">
      <c r="B78" s="39" t="s">
        <v>3</v>
      </c>
      <c r="C78" s="39" t="s">
        <v>368</v>
      </c>
      <c r="D78" s="120">
        <f t="shared" si="1"/>
        <v>0</v>
      </c>
      <c r="E78" s="120">
        <f t="shared" si="1"/>
        <v>0</v>
      </c>
      <c r="F78" s="120">
        <v>1</v>
      </c>
      <c r="G78" s="120">
        <v>1</v>
      </c>
      <c r="H78" s="120">
        <v>1</v>
      </c>
    </row>
    <row r="79" spans="1:8" x14ac:dyDescent="0.25">
      <c r="C79" s="39" t="s">
        <v>369</v>
      </c>
      <c r="D79" s="120">
        <f t="shared" si="1"/>
        <v>0</v>
      </c>
      <c r="E79" s="120">
        <f t="shared" si="1"/>
        <v>0</v>
      </c>
      <c r="F79" s="120">
        <v>0</v>
      </c>
      <c r="G79" s="120">
        <v>0</v>
      </c>
      <c r="H79" s="120">
        <v>0</v>
      </c>
    </row>
    <row r="80" spans="1:8" x14ac:dyDescent="0.25">
      <c r="A80" s="39" t="s">
        <v>202</v>
      </c>
      <c r="B80" s="39" t="s">
        <v>111</v>
      </c>
      <c r="C80" s="39" t="s">
        <v>368</v>
      </c>
      <c r="D80" s="120">
        <f t="shared" si="1"/>
        <v>1</v>
      </c>
      <c r="E80" s="120">
        <f t="shared" si="1"/>
        <v>0</v>
      </c>
      <c r="F80" s="120">
        <f t="shared" si="1"/>
        <v>0</v>
      </c>
      <c r="G80" s="120">
        <f t="shared" si="1"/>
        <v>0</v>
      </c>
      <c r="H80" s="120">
        <f t="shared" si="1"/>
        <v>0</v>
      </c>
    </row>
    <row r="81" spans="1:8" x14ac:dyDescent="0.25">
      <c r="C81" s="39" t="s">
        <v>370</v>
      </c>
      <c r="D81" s="120">
        <v>0.11</v>
      </c>
      <c r="E81" s="120">
        <f>IF($C24="Affected fraction",E24,IF(E24=1,1,E24*0.9))</f>
        <v>0</v>
      </c>
      <c r="F81" s="120">
        <f t="shared" si="1"/>
        <v>0</v>
      </c>
      <c r="G81" s="120">
        <f t="shared" si="1"/>
        <v>0</v>
      </c>
      <c r="H81" s="120">
        <f t="shared" si="1"/>
        <v>0</v>
      </c>
    </row>
    <row r="82" spans="1:8" x14ac:dyDescent="0.25">
      <c r="A82" s="39" t="s">
        <v>200</v>
      </c>
      <c r="B82" s="39" t="s">
        <v>111</v>
      </c>
      <c r="C82" s="39" t="s">
        <v>368</v>
      </c>
      <c r="D82" s="120">
        <f>IF($C25="Affected fraction",D25,IF(D25=1,1,D25*0.9))</f>
        <v>1</v>
      </c>
      <c r="E82" s="120">
        <f>IF($C25="Affected fraction",E25,IF(E25=1,1,E25*0.9))</f>
        <v>0</v>
      </c>
      <c r="F82" s="120">
        <f t="shared" si="1"/>
        <v>0</v>
      </c>
      <c r="G82" s="120">
        <f t="shared" si="1"/>
        <v>0</v>
      </c>
      <c r="H82" s="120">
        <f t="shared" si="1"/>
        <v>0</v>
      </c>
    </row>
    <row r="83" spans="1:8" x14ac:dyDescent="0.25">
      <c r="C83" s="39" t="s">
        <v>370</v>
      </c>
      <c r="D83" s="120">
        <v>0.11</v>
      </c>
      <c r="E83" s="120">
        <f>IF($C26="Affected fraction",E26,IF(E26=1,1,E26*0.9))</f>
        <v>0</v>
      </c>
      <c r="F83" s="120">
        <f t="shared" si="1"/>
        <v>0</v>
      </c>
      <c r="G83" s="120">
        <f t="shared" si="1"/>
        <v>0</v>
      </c>
      <c r="H83" s="120">
        <f t="shared" si="1"/>
        <v>0</v>
      </c>
    </row>
    <row r="84" spans="1:8" x14ac:dyDescent="0.25">
      <c r="A84" s="39" t="s">
        <v>201</v>
      </c>
      <c r="B84" s="39" t="s">
        <v>111</v>
      </c>
      <c r="C84" s="39" t="s">
        <v>368</v>
      </c>
      <c r="D84" s="120">
        <f>IF($C27="Affected fraction",D27,IF(D27=1,1,D27*0.9))</f>
        <v>1</v>
      </c>
      <c r="E84" s="120">
        <f>IF($C27="Affected fraction",E27,IF(E27=1,1,E27*0.9))</f>
        <v>0</v>
      </c>
      <c r="F84" s="120">
        <f t="shared" si="1"/>
        <v>0</v>
      </c>
      <c r="G84" s="120">
        <f t="shared" si="1"/>
        <v>0</v>
      </c>
      <c r="H84" s="120">
        <f t="shared" si="1"/>
        <v>0</v>
      </c>
    </row>
    <row r="85" spans="1:8" x14ac:dyDescent="0.25">
      <c r="C85" s="39" t="s">
        <v>370</v>
      </c>
      <c r="D85" s="120">
        <v>0.11</v>
      </c>
      <c r="E85" s="120">
        <f>IF($C28="Affected fraction",E28,IF(E28=1,1,E28*0.9))</f>
        <v>0</v>
      </c>
      <c r="F85" s="120">
        <f t="shared" si="1"/>
        <v>0</v>
      </c>
      <c r="G85" s="120">
        <f t="shared" si="1"/>
        <v>0</v>
      </c>
      <c r="H85" s="120">
        <f t="shared" si="1"/>
        <v>0</v>
      </c>
    </row>
    <row r="86" spans="1:8" x14ac:dyDescent="0.25">
      <c r="A86" s="39" t="s">
        <v>229</v>
      </c>
      <c r="B86" s="39" t="s">
        <v>103</v>
      </c>
      <c r="C86" s="39" t="s">
        <v>368</v>
      </c>
      <c r="D86" s="120">
        <v>1</v>
      </c>
      <c r="E86" s="120">
        <v>1</v>
      </c>
      <c r="F86" s="120">
        <v>1</v>
      </c>
      <c r="G86" s="120">
        <v>1</v>
      </c>
      <c r="H86" s="120">
        <v>1</v>
      </c>
    </row>
    <row r="87" spans="1:8" x14ac:dyDescent="0.25">
      <c r="C87" s="39" t="s">
        <v>370</v>
      </c>
      <c r="D87" s="120">
        <v>7.0000000000000007E-2</v>
      </c>
      <c r="E87" s="120">
        <v>7.0000000000000007E-2</v>
      </c>
      <c r="F87" s="120">
        <v>7.0000000000000007E-2</v>
      </c>
      <c r="G87" s="120">
        <v>7.0000000000000007E-2</v>
      </c>
      <c r="H87" s="120">
        <v>7.0000000000000007E-2</v>
      </c>
    </row>
    <row r="88" spans="1:8" x14ac:dyDescent="0.25">
      <c r="C88" s="39" t="s">
        <v>369</v>
      </c>
      <c r="D88" s="120">
        <v>0</v>
      </c>
      <c r="E88" s="120">
        <v>0</v>
      </c>
      <c r="F88" s="120">
        <v>0</v>
      </c>
      <c r="G88" s="120">
        <v>0</v>
      </c>
      <c r="H88" s="120">
        <v>0</v>
      </c>
    </row>
    <row r="89" spans="1:8" x14ac:dyDescent="0.25">
      <c r="A89" s="39" t="s">
        <v>230</v>
      </c>
      <c r="B89" s="39" t="s">
        <v>103</v>
      </c>
      <c r="C89" s="39" t="s">
        <v>368</v>
      </c>
      <c r="D89" s="120">
        <v>1</v>
      </c>
      <c r="E89" s="120">
        <v>1</v>
      </c>
      <c r="F89" s="120">
        <v>1</v>
      </c>
      <c r="G89" s="120">
        <v>1</v>
      </c>
      <c r="H89" s="120">
        <v>1</v>
      </c>
    </row>
    <row r="90" spans="1:8" x14ac:dyDescent="0.25">
      <c r="C90" s="39" t="s">
        <v>370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C91" s="39" t="s">
        <v>369</v>
      </c>
      <c r="D91" s="120">
        <v>0</v>
      </c>
      <c r="E91" s="120">
        <v>0</v>
      </c>
      <c r="F91" s="120">
        <v>0</v>
      </c>
      <c r="G91" s="120">
        <v>0</v>
      </c>
      <c r="H91" s="120">
        <v>0</v>
      </c>
    </row>
    <row r="92" spans="1:8" x14ac:dyDescent="0.25">
      <c r="A92" s="39" t="s">
        <v>228</v>
      </c>
      <c r="B92" s="39" t="s">
        <v>103</v>
      </c>
      <c r="C92" s="39" t="s">
        <v>368</v>
      </c>
      <c r="D92" s="120">
        <v>1</v>
      </c>
      <c r="E92" s="120">
        <v>1</v>
      </c>
      <c r="F92" s="120">
        <v>1</v>
      </c>
      <c r="G92" s="120">
        <v>1</v>
      </c>
      <c r="H92" s="120">
        <v>1</v>
      </c>
    </row>
    <row r="93" spans="1:8" x14ac:dyDescent="0.25">
      <c r="C93" s="39" t="s">
        <v>370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C94" s="39" t="s">
        <v>369</v>
      </c>
      <c r="D94" s="120">
        <v>0</v>
      </c>
      <c r="E94" s="120">
        <v>0</v>
      </c>
      <c r="F94" s="120">
        <v>0</v>
      </c>
      <c r="G94" s="120">
        <v>0</v>
      </c>
      <c r="H94" s="120">
        <v>0</v>
      </c>
    </row>
    <row r="95" spans="1:8" x14ac:dyDescent="0.25">
      <c r="A95" s="39" t="s">
        <v>227</v>
      </c>
      <c r="B95" s="39" t="s">
        <v>103</v>
      </c>
      <c r="C95" s="39" t="s">
        <v>368</v>
      </c>
      <c r="D95" s="120">
        <v>1</v>
      </c>
      <c r="E95" s="120">
        <v>1</v>
      </c>
      <c r="F95" s="120">
        <v>1</v>
      </c>
      <c r="G95" s="120">
        <v>1</v>
      </c>
      <c r="H95" s="120">
        <v>1</v>
      </c>
    </row>
    <row r="96" spans="1:8" x14ac:dyDescent="0.25">
      <c r="C96" s="39" t="s">
        <v>370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C97" s="39" t="s">
        <v>369</v>
      </c>
      <c r="D97" s="120">
        <v>0</v>
      </c>
      <c r="E97" s="120">
        <v>0</v>
      </c>
      <c r="F97" s="120">
        <v>0</v>
      </c>
      <c r="G97" s="120">
        <v>0</v>
      </c>
      <c r="H97" s="120">
        <v>0</v>
      </c>
    </row>
    <row r="98" spans="1:8" x14ac:dyDescent="0.25">
      <c r="A98" s="39" t="s">
        <v>226</v>
      </c>
      <c r="B98" s="39" t="s">
        <v>103</v>
      </c>
      <c r="C98" s="39" t="s">
        <v>368</v>
      </c>
      <c r="D98" s="120">
        <v>1</v>
      </c>
      <c r="E98" s="120">
        <v>1</v>
      </c>
      <c r="F98" s="120">
        <v>1</v>
      </c>
      <c r="G98" s="120">
        <v>1</v>
      </c>
      <c r="H98" s="120">
        <v>1</v>
      </c>
    </row>
    <row r="99" spans="1:8" x14ac:dyDescent="0.25">
      <c r="C99" s="39" t="s">
        <v>370</v>
      </c>
      <c r="D99" s="120">
        <v>0</v>
      </c>
      <c r="E99" s="120">
        <v>0</v>
      </c>
      <c r="F99" s="120">
        <v>0</v>
      </c>
      <c r="G99" s="120">
        <v>0</v>
      </c>
      <c r="H99" s="120">
        <v>0</v>
      </c>
    </row>
    <row r="100" spans="1:8" x14ac:dyDescent="0.25">
      <c r="C100" s="39" t="s">
        <v>369</v>
      </c>
      <c r="D100" s="120">
        <v>0</v>
      </c>
      <c r="E100" s="120">
        <v>0</v>
      </c>
      <c r="F100" s="120">
        <v>0</v>
      </c>
      <c r="G100" s="120">
        <v>0</v>
      </c>
      <c r="H100" s="120">
        <v>0</v>
      </c>
    </row>
    <row r="101" spans="1:8" x14ac:dyDescent="0.25">
      <c r="A101" s="39" t="s">
        <v>232</v>
      </c>
      <c r="B101" s="39" t="s">
        <v>103</v>
      </c>
      <c r="C101" s="39" t="s">
        <v>368</v>
      </c>
      <c r="D101" s="120">
        <f>IF($C44="Affected fraction",D44,IF(D44=1,1,D44*0.9))</f>
        <v>0</v>
      </c>
      <c r="E101" s="120">
        <f>IF($C44="Affected fraction",E44,IF(E44=1,1,E44*0.9))</f>
        <v>1</v>
      </c>
      <c r="F101" s="120">
        <f>IF($C44="Affected fraction",F44,IF(F44=1,1,F44*0.9))</f>
        <v>1</v>
      </c>
      <c r="G101" s="120">
        <f>IF($C44="Affected fraction",G44,IF(G44=1,1,G44*0.9))</f>
        <v>1</v>
      </c>
      <c r="H101" s="120">
        <f>IF($C44="Affected fraction",H44,IF(H44=1,1,H44*0.9))</f>
        <v>1</v>
      </c>
    </row>
    <row r="102" spans="1:8" x14ac:dyDescent="0.25">
      <c r="C102" s="39" t="s">
        <v>370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C103" s="39" t="s">
        <v>369</v>
      </c>
      <c r="D103" s="120">
        <v>7.0000000000000007E-2</v>
      </c>
      <c r="E103" s="120">
        <v>7.0000000000000007E-2</v>
      </c>
      <c r="F103" s="120">
        <v>7.0000000000000007E-2</v>
      </c>
      <c r="G103" s="120">
        <v>7.0000000000000007E-2</v>
      </c>
      <c r="H103" s="120">
        <v>7.0000000000000007E-2</v>
      </c>
    </row>
    <row r="104" spans="1:8" x14ac:dyDescent="0.25">
      <c r="B104" s="39" t="s">
        <v>121</v>
      </c>
      <c r="C104" s="39" t="s">
        <v>368</v>
      </c>
      <c r="D104" s="120">
        <v>0</v>
      </c>
      <c r="E104" s="120">
        <v>1</v>
      </c>
      <c r="F104" s="120">
        <v>1</v>
      </c>
      <c r="G104" s="120">
        <v>1</v>
      </c>
      <c r="H104" s="120">
        <v>1</v>
      </c>
    </row>
    <row r="105" spans="1:8" x14ac:dyDescent="0.25">
      <c r="C105" s="39" t="s">
        <v>370</v>
      </c>
      <c r="D105" s="120">
        <v>0</v>
      </c>
      <c r="E105" s="120">
        <v>0</v>
      </c>
      <c r="F105" s="120">
        <v>0</v>
      </c>
      <c r="G105" s="120">
        <v>0</v>
      </c>
      <c r="H105" s="120">
        <v>0</v>
      </c>
    </row>
    <row r="106" spans="1:8" x14ac:dyDescent="0.25">
      <c r="C106" s="39" t="s">
        <v>369</v>
      </c>
      <c r="D106" s="120">
        <v>0</v>
      </c>
      <c r="E106" s="120">
        <v>0</v>
      </c>
      <c r="F106" s="120">
        <v>0</v>
      </c>
      <c r="G106" s="120">
        <v>0</v>
      </c>
      <c r="H106" s="120">
        <v>0</v>
      </c>
    </row>
    <row r="107" spans="1:8" x14ac:dyDescent="0.25">
      <c r="A107" s="39" t="s">
        <v>221</v>
      </c>
      <c r="B107" s="39" t="s">
        <v>103</v>
      </c>
      <c r="C107" s="39" t="s">
        <v>368</v>
      </c>
      <c r="D107" s="120">
        <v>1</v>
      </c>
      <c r="E107" s="120">
        <v>1</v>
      </c>
      <c r="F107" s="120">
        <v>1</v>
      </c>
      <c r="G107" s="120">
        <v>1</v>
      </c>
      <c r="H107" s="120">
        <v>1</v>
      </c>
    </row>
    <row r="108" spans="1:8" x14ac:dyDescent="0.25">
      <c r="C108" s="39" t="s">
        <v>370</v>
      </c>
      <c r="D108" s="120">
        <v>0.51</v>
      </c>
      <c r="E108" s="120">
        <v>0.51</v>
      </c>
      <c r="F108" s="120">
        <v>0.51</v>
      </c>
      <c r="G108" s="120">
        <v>0.51</v>
      </c>
      <c r="H108" s="120">
        <v>0.51</v>
      </c>
    </row>
    <row r="109" spans="1:8" x14ac:dyDescent="0.25">
      <c r="A109" s="39" t="s">
        <v>231</v>
      </c>
      <c r="B109" s="39" t="s">
        <v>103</v>
      </c>
      <c r="C109" s="39" t="s">
        <v>368</v>
      </c>
      <c r="D109" s="120">
        <v>1</v>
      </c>
      <c r="E109" s="120">
        <v>1</v>
      </c>
      <c r="F109" s="120">
        <v>1</v>
      </c>
      <c r="G109" s="120">
        <v>1</v>
      </c>
      <c r="H109" s="120">
        <v>1</v>
      </c>
    </row>
    <row r="110" spans="1:8" x14ac:dyDescent="0.25">
      <c r="C110" s="39" t="s">
        <v>370</v>
      </c>
      <c r="D110" s="120">
        <v>0.62</v>
      </c>
      <c r="E110" s="120">
        <v>0.62</v>
      </c>
      <c r="F110" s="120">
        <v>0.62</v>
      </c>
      <c r="G110" s="120">
        <v>0.62</v>
      </c>
      <c r="H110" s="120">
        <v>0.62</v>
      </c>
    </row>
    <row r="111" spans="1:8" x14ac:dyDescent="0.25">
      <c r="A111" s="39" t="s">
        <v>211</v>
      </c>
      <c r="B111" s="39" t="s">
        <v>115</v>
      </c>
      <c r="C111" s="39" t="s">
        <v>368</v>
      </c>
      <c r="D111" s="120">
        <v>1</v>
      </c>
      <c r="E111" s="120">
        <v>0</v>
      </c>
      <c r="F111" s="120">
        <v>0</v>
      </c>
      <c r="G111" s="120">
        <v>0</v>
      </c>
      <c r="H111" s="120">
        <v>0</v>
      </c>
    </row>
    <row r="112" spans="1:8" x14ac:dyDescent="0.25">
      <c r="C112" s="39" t="s">
        <v>370</v>
      </c>
      <c r="D112" s="120">
        <v>0.14000000000000001</v>
      </c>
      <c r="E112" s="120">
        <v>0</v>
      </c>
      <c r="F112" s="120">
        <v>0</v>
      </c>
      <c r="G112" s="120">
        <v>0</v>
      </c>
      <c r="H112" s="120">
        <v>0</v>
      </c>
    </row>
    <row r="114" spans="1:8" s="106" customFormat="1" ht="13" x14ac:dyDescent="0.3">
      <c r="A114" s="109" t="s">
        <v>367</v>
      </c>
      <c r="B114" s="110"/>
      <c r="C114" s="110"/>
      <c r="D114" s="124"/>
      <c r="E114" s="124"/>
      <c r="F114" s="124"/>
      <c r="G114" s="124"/>
      <c r="H114" s="124"/>
    </row>
    <row r="115" spans="1:8" ht="13" x14ac:dyDescent="0.3">
      <c r="A115" s="29" t="s">
        <v>192</v>
      </c>
      <c r="B115" s="29" t="s">
        <v>371</v>
      </c>
      <c r="C115" s="96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39" t="s">
        <v>225</v>
      </c>
      <c r="B116" s="39" t="s">
        <v>103</v>
      </c>
      <c r="C116" s="39" t="s">
        <v>368</v>
      </c>
      <c r="D116" s="120">
        <f t="shared" ref="D116:E118" si="2">IF($C2="Affected fraction",D2,IF(D2=1,1,D2*1.05))</f>
        <v>0</v>
      </c>
      <c r="E116" s="120">
        <f t="shared" si="2"/>
        <v>0</v>
      </c>
      <c r="F116" s="120">
        <f>IF($C59="Affected fraction",F59,IF(F59=1,1,F59*0.9))</f>
        <v>1</v>
      </c>
      <c r="G116" s="120">
        <f>IF($C59="Affected fraction",G59,IF(G59=1,1,G59*0.9))</f>
        <v>1</v>
      </c>
      <c r="H116" s="120">
        <f>IF($C59="Affected fraction",H59,IF(H59=1,1,H59*0.9))</f>
        <v>1</v>
      </c>
    </row>
    <row r="117" spans="1:8" x14ac:dyDescent="0.25">
      <c r="C117" s="39" t="s">
        <v>370</v>
      </c>
      <c r="D117" s="120">
        <f t="shared" si="2"/>
        <v>0</v>
      </c>
      <c r="E117" s="120">
        <f t="shared" si="2"/>
        <v>0</v>
      </c>
      <c r="F117" s="120">
        <v>0.21</v>
      </c>
      <c r="G117" s="120">
        <v>0.21</v>
      </c>
      <c r="H117" s="120">
        <v>0.21</v>
      </c>
    </row>
    <row r="118" spans="1:8" x14ac:dyDescent="0.25">
      <c r="C118" s="39" t="s">
        <v>369</v>
      </c>
      <c r="D118" s="120">
        <f t="shared" si="2"/>
        <v>0</v>
      </c>
      <c r="E118" s="120">
        <f t="shared" si="2"/>
        <v>0</v>
      </c>
      <c r="F118" s="120">
        <v>0.18</v>
      </c>
      <c r="G118" s="120">
        <v>0.18</v>
      </c>
      <c r="H118" s="120">
        <v>0.18</v>
      </c>
    </row>
    <row r="119" spans="1:8" x14ac:dyDescent="0.25">
      <c r="A119" s="39" t="s">
        <v>222</v>
      </c>
      <c r="B119" s="39" t="s">
        <v>236</v>
      </c>
      <c r="C119" s="39" t="s">
        <v>368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369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3</v>
      </c>
      <c r="C121" s="39" t="s">
        <v>368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369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213</v>
      </c>
      <c r="B123" s="39" t="s">
        <v>236</v>
      </c>
      <c r="C123" s="39" t="s">
        <v>368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369</v>
      </c>
      <c r="D124" s="120">
        <v>0</v>
      </c>
      <c r="E124" s="120">
        <v>0</v>
      </c>
      <c r="F124" s="120">
        <v>0</v>
      </c>
      <c r="G124" s="120">
        <v>0</v>
      </c>
      <c r="H124" s="120">
        <v>0</v>
      </c>
    </row>
    <row r="125" spans="1:8" x14ac:dyDescent="0.25">
      <c r="B125" s="39" t="s">
        <v>3</v>
      </c>
      <c r="C125" s="39" t="s">
        <v>368</v>
      </c>
      <c r="D125" s="120">
        <v>0</v>
      </c>
      <c r="E125" s="120">
        <v>0</v>
      </c>
      <c r="F125" s="120">
        <v>1</v>
      </c>
      <c r="G125" s="120">
        <v>1</v>
      </c>
      <c r="H125" s="120">
        <v>0</v>
      </c>
    </row>
    <row r="126" spans="1:8" x14ac:dyDescent="0.25">
      <c r="C126" s="39" t="s">
        <v>369</v>
      </c>
      <c r="D126" s="120">
        <v>0</v>
      </c>
      <c r="E126" s="120">
        <v>0</v>
      </c>
      <c r="F126" s="120">
        <v>0</v>
      </c>
      <c r="G126" s="120">
        <v>0</v>
      </c>
      <c r="H126" s="120">
        <v>0</v>
      </c>
    </row>
    <row r="127" spans="1:8" x14ac:dyDescent="0.25">
      <c r="A127" s="39" t="s">
        <v>233</v>
      </c>
      <c r="B127" s="39" t="s">
        <v>236</v>
      </c>
      <c r="C127" s="39" t="s">
        <v>368</v>
      </c>
      <c r="D127" s="120">
        <v>0</v>
      </c>
      <c r="E127" s="120">
        <v>0</v>
      </c>
      <c r="F127" s="120">
        <v>1</v>
      </c>
      <c r="G127" s="120">
        <v>1</v>
      </c>
      <c r="H127" s="120">
        <v>0</v>
      </c>
    </row>
    <row r="128" spans="1:8" x14ac:dyDescent="0.25">
      <c r="C128" s="39" t="s">
        <v>369</v>
      </c>
      <c r="D128" s="120">
        <f t="shared" ref="D128:E130" si="3">IF($C14="Affected fraction",D14,IF(D14=1,1,D14*1.05))</f>
        <v>0</v>
      </c>
      <c r="E128" s="120">
        <f t="shared" si="3"/>
        <v>0</v>
      </c>
      <c r="F128" s="120">
        <v>0.45</v>
      </c>
      <c r="G128" s="120">
        <v>0.45</v>
      </c>
      <c r="H128" s="120">
        <f>IF($C14="Affected fraction",H14,IF(H14=1,1,H14*1.05))</f>
        <v>0</v>
      </c>
    </row>
    <row r="129" spans="1:8" x14ac:dyDescent="0.25">
      <c r="B129" s="39" t="s">
        <v>3</v>
      </c>
      <c r="C129" s="39" t="s">
        <v>368</v>
      </c>
      <c r="D129" s="120">
        <f t="shared" si="3"/>
        <v>0</v>
      </c>
      <c r="E129" s="120">
        <f t="shared" si="3"/>
        <v>0</v>
      </c>
      <c r="F129" s="120">
        <f>IF($C15="Affected fraction",F15,IF(F15=1,1,F15*1.05))</f>
        <v>1</v>
      </c>
      <c r="G129" s="120">
        <f>IF($C15="Affected fraction",G15,IF(G15=1,1,G15*1.05))</f>
        <v>1</v>
      </c>
      <c r="H129" s="120">
        <f>IF($C15="Affected fraction",H15,IF(H15=1,1,H15*1.05))</f>
        <v>0</v>
      </c>
    </row>
    <row r="130" spans="1:8" x14ac:dyDescent="0.25">
      <c r="C130" s="39" t="s">
        <v>369</v>
      </c>
      <c r="D130" s="120">
        <f t="shared" si="3"/>
        <v>0</v>
      </c>
      <c r="E130" s="120">
        <f t="shared" si="3"/>
        <v>0</v>
      </c>
      <c r="F130" s="120">
        <v>0.2</v>
      </c>
      <c r="G130" s="120">
        <v>0.2</v>
      </c>
      <c r="H130" s="120">
        <f>IF($C16="Affected fraction",H16,IF(H16=1,1,H16*1.05))</f>
        <v>0</v>
      </c>
    </row>
    <row r="131" spans="1:8" x14ac:dyDescent="0.25">
      <c r="B131" s="39" t="s">
        <v>372</v>
      </c>
      <c r="C131" s="39" t="s">
        <v>368</v>
      </c>
      <c r="D131" s="120">
        <v>0</v>
      </c>
      <c r="E131" s="120">
        <v>0</v>
      </c>
      <c r="F131" s="120">
        <v>1</v>
      </c>
      <c r="G131" s="120">
        <v>1</v>
      </c>
      <c r="H131" s="120">
        <v>0</v>
      </c>
    </row>
    <row r="132" spans="1:8" x14ac:dyDescent="0.25">
      <c r="C132" s="39" t="s">
        <v>370</v>
      </c>
      <c r="D132" s="120">
        <v>0</v>
      </c>
      <c r="E132" s="120">
        <v>0</v>
      </c>
      <c r="F132" s="120">
        <v>0</v>
      </c>
      <c r="G132" s="120">
        <v>0</v>
      </c>
      <c r="H132" s="120">
        <v>0</v>
      </c>
    </row>
    <row r="133" spans="1:8" x14ac:dyDescent="0.25">
      <c r="A133" s="39" t="s">
        <v>196</v>
      </c>
      <c r="B133" s="39" t="s">
        <v>236</v>
      </c>
      <c r="C133" s="39" t="s">
        <v>368</v>
      </c>
      <c r="D133" s="120">
        <f>IF($C19="Affected fraction",D19,IF(D19=1,1,D19*1.05))</f>
        <v>0</v>
      </c>
      <c r="E133" s="120">
        <f>IF($C19="Affected fraction",E19,IF(E19=1,1,E19*1.05))</f>
        <v>0</v>
      </c>
      <c r="F133" s="120">
        <f>IF($C19="Affected fraction",F19,IF(F19=1,1,F19*1.05))</f>
        <v>1</v>
      </c>
      <c r="G133" s="120">
        <f>IF($C19="Affected fraction",G19,IF(G19=1,1,G19*1.05))</f>
        <v>1</v>
      </c>
      <c r="H133" s="120">
        <f>IF($C19="Affected fraction",H19,IF(H19=1,1,H19*1.05))</f>
        <v>1</v>
      </c>
    </row>
    <row r="134" spans="1:8" x14ac:dyDescent="0.25">
      <c r="C134" s="39" t="s">
        <v>369</v>
      </c>
      <c r="D134" s="120">
        <f t="shared" ref="D134:H142" si="4">IF($C20="Affected fraction",D20,IF(D20=1,1,D20*1.05))</f>
        <v>0</v>
      </c>
      <c r="E134" s="120">
        <f t="shared" si="4"/>
        <v>0</v>
      </c>
      <c r="F134" s="120">
        <v>0</v>
      </c>
      <c r="G134" s="120">
        <v>0</v>
      </c>
      <c r="H134" s="120">
        <v>0</v>
      </c>
    </row>
    <row r="135" spans="1:8" x14ac:dyDescent="0.25">
      <c r="B135" s="39" t="s">
        <v>3</v>
      </c>
      <c r="C135" s="39" t="s">
        <v>368</v>
      </c>
      <c r="D135" s="120">
        <f t="shared" si="4"/>
        <v>0</v>
      </c>
      <c r="E135" s="120">
        <f t="shared" si="4"/>
        <v>0</v>
      </c>
      <c r="F135" s="120">
        <v>1</v>
      </c>
      <c r="G135" s="120">
        <v>1</v>
      </c>
      <c r="H135" s="120">
        <v>1</v>
      </c>
    </row>
    <row r="136" spans="1:8" x14ac:dyDescent="0.25">
      <c r="C136" s="39" t="s">
        <v>369</v>
      </c>
      <c r="D136" s="120">
        <f t="shared" si="4"/>
        <v>0</v>
      </c>
      <c r="E136" s="120">
        <f t="shared" si="4"/>
        <v>0</v>
      </c>
      <c r="F136" s="120">
        <v>0</v>
      </c>
      <c r="G136" s="120">
        <v>0</v>
      </c>
      <c r="H136" s="120">
        <v>0</v>
      </c>
    </row>
    <row r="137" spans="1:8" x14ac:dyDescent="0.25">
      <c r="A137" s="39" t="s">
        <v>202</v>
      </c>
      <c r="B137" s="39" t="s">
        <v>111</v>
      </c>
      <c r="C137" s="39" t="s">
        <v>368</v>
      </c>
      <c r="D137" s="120">
        <f>IF($C80="Affected fraction",D80,IF(D80=1,1,D80*0.9))</f>
        <v>1</v>
      </c>
      <c r="E137" s="120">
        <f t="shared" si="4"/>
        <v>0</v>
      </c>
      <c r="F137" s="120">
        <f t="shared" si="4"/>
        <v>0</v>
      </c>
      <c r="G137" s="120">
        <f t="shared" si="4"/>
        <v>0</v>
      </c>
      <c r="H137" s="120">
        <f t="shared" si="4"/>
        <v>0</v>
      </c>
    </row>
    <row r="138" spans="1:8" x14ac:dyDescent="0.25">
      <c r="C138" s="39" t="s">
        <v>370</v>
      </c>
      <c r="D138" s="120">
        <v>0.16</v>
      </c>
      <c r="E138" s="120">
        <f t="shared" si="4"/>
        <v>0</v>
      </c>
      <c r="F138" s="120">
        <f t="shared" si="4"/>
        <v>0</v>
      </c>
      <c r="G138" s="120">
        <f t="shared" si="4"/>
        <v>0</v>
      </c>
      <c r="H138" s="120">
        <f t="shared" si="4"/>
        <v>0</v>
      </c>
    </row>
    <row r="139" spans="1:8" x14ac:dyDescent="0.25">
      <c r="A139" s="39" t="s">
        <v>200</v>
      </c>
      <c r="B139" s="39" t="s">
        <v>111</v>
      </c>
      <c r="C139" s="39" t="s">
        <v>368</v>
      </c>
      <c r="D139" s="120">
        <f>IF($C82="Affected fraction",D82,IF(D82=1,1,D82*0.9))</f>
        <v>1</v>
      </c>
      <c r="E139" s="120">
        <f t="shared" si="4"/>
        <v>0</v>
      </c>
      <c r="F139" s="120">
        <f t="shared" si="4"/>
        <v>0</v>
      </c>
      <c r="G139" s="120">
        <f t="shared" si="4"/>
        <v>0</v>
      </c>
      <c r="H139" s="120">
        <f t="shared" si="4"/>
        <v>0</v>
      </c>
    </row>
    <row r="140" spans="1:8" x14ac:dyDescent="0.25">
      <c r="C140" s="39" t="s">
        <v>370</v>
      </c>
      <c r="D140" s="120">
        <v>0.16</v>
      </c>
      <c r="E140" s="120">
        <f t="shared" si="4"/>
        <v>0</v>
      </c>
      <c r="F140" s="120">
        <f t="shared" si="4"/>
        <v>0</v>
      </c>
      <c r="G140" s="120">
        <f t="shared" si="4"/>
        <v>0</v>
      </c>
      <c r="H140" s="120">
        <f t="shared" si="4"/>
        <v>0</v>
      </c>
    </row>
    <row r="141" spans="1:8" x14ac:dyDescent="0.25">
      <c r="A141" s="39" t="s">
        <v>201</v>
      </c>
      <c r="B141" s="39" t="s">
        <v>111</v>
      </c>
      <c r="C141" s="39" t="s">
        <v>368</v>
      </c>
      <c r="D141" s="120">
        <f>IF($C84="Affected fraction",D84,IF(D84=1,1,D84*0.9))</f>
        <v>1</v>
      </c>
      <c r="E141" s="120">
        <f t="shared" si="4"/>
        <v>0</v>
      </c>
      <c r="F141" s="120">
        <f t="shared" si="4"/>
        <v>0</v>
      </c>
      <c r="G141" s="120">
        <f t="shared" si="4"/>
        <v>0</v>
      </c>
      <c r="H141" s="120">
        <f t="shared" si="4"/>
        <v>0</v>
      </c>
    </row>
    <row r="142" spans="1:8" x14ac:dyDescent="0.25">
      <c r="C142" s="39" t="s">
        <v>370</v>
      </c>
      <c r="D142" s="120">
        <v>0.16</v>
      </c>
      <c r="E142" s="120">
        <f t="shared" si="4"/>
        <v>0</v>
      </c>
      <c r="F142" s="120">
        <f t="shared" si="4"/>
        <v>0</v>
      </c>
      <c r="G142" s="120">
        <f t="shared" si="4"/>
        <v>0</v>
      </c>
      <c r="H142" s="120">
        <f t="shared" si="4"/>
        <v>0</v>
      </c>
    </row>
    <row r="143" spans="1:8" x14ac:dyDescent="0.25">
      <c r="A143" s="39" t="s">
        <v>229</v>
      </c>
      <c r="B143" s="39" t="s">
        <v>103</v>
      </c>
      <c r="C143" s="39" t="s">
        <v>368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370</v>
      </c>
      <c r="D144" s="120">
        <v>0.51</v>
      </c>
      <c r="E144" s="120">
        <v>0.51</v>
      </c>
      <c r="F144" s="120">
        <v>0.51</v>
      </c>
      <c r="G144" s="120">
        <v>0.51</v>
      </c>
      <c r="H144" s="120">
        <v>0.51</v>
      </c>
    </row>
    <row r="145" spans="1:8" x14ac:dyDescent="0.25">
      <c r="C145" s="39" t="s">
        <v>369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230</v>
      </c>
      <c r="B146" s="39" t="s">
        <v>103</v>
      </c>
      <c r="C146" s="39" t="s">
        <v>368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370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369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228</v>
      </c>
      <c r="B149" s="39" t="s">
        <v>103</v>
      </c>
      <c r="C149" s="39" t="s">
        <v>368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370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369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227</v>
      </c>
      <c r="B152" s="39" t="s">
        <v>103</v>
      </c>
      <c r="C152" s="39" t="s">
        <v>368</v>
      </c>
      <c r="D152" s="120">
        <v>1</v>
      </c>
      <c r="E152" s="120">
        <v>1</v>
      </c>
      <c r="F152" s="120">
        <v>1</v>
      </c>
      <c r="G152" s="120">
        <v>1</v>
      </c>
      <c r="H152" s="120">
        <v>1</v>
      </c>
    </row>
    <row r="153" spans="1:8" x14ac:dyDescent="0.25">
      <c r="C153" s="39" t="s">
        <v>370</v>
      </c>
      <c r="D153" s="120">
        <v>0</v>
      </c>
      <c r="E153" s="120">
        <v>0</v>
      </c>
      <c r="F153" s="120">
        <v>0</v>
      </c>
      <c r="G153" s="120">
        <v>0</v>
      </c>
      <c r="H153" s="120">
        <v>0</v>
      </c>
    </row>
    <row r="154" spans="1:8" x14ac:dyDescent="0.25">
      <c r="C154" s="39" t="s">
        <v>369</v>
      </c>
      <c r="D154" s="120">
        <v>0</v>
      </c>
      <c r="E154" s="120">
        <v>0</v>
      </c>
      <c r="F154" s="120">
        <v>0</v>
      </c>
      <c r="G154" s="120">
        <v>0</v>
      </c>
      <c r="H154" s="120">
        <v>0</v>
      </c>
    </row>
    <row r="155" spans="1:8" x14ac:dyDescent="0.25">
      <c r="A155" s="39" t="s">
        <v>226</v>
      </c>
      <c r="B155" s="39" t="s">
        <v>103</v>
      </c>
      <c r="C155" s="39" t="s">
        <v>368</v>
      </c>
      <c r="D155" s="120">
        <v>1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370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369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232</v>
      </c>
      <c r="B158" s="39" t="s">
        <v>103</v>
      </c>
      <c r="C158" s="39" t="s">
        <v>368</v>
      </c>
      <c r="D158" s="120">
        <f t="shared" ref="D158:H159" si="5">IF($C101="Affected fraction",D101,IF(D101=1,1,D101*0.9))</f>
        <v>0</v>
      </c>
      <c r="E158" s="120">
        <f t="shared" si="5"/>
        <v>1</v>
      </c>
      <c r="F158" s="120">
        <f t="shared" si="5"/>
        <v>1</v>
      </c>
      <c r="G158" s="120">
        <f t="shared" si="5"/>
        <v>1</v>
      </c>
      <c r="H158" s="120">
        <f t="shared" si="5"/>
        <v>1</v>
      </c>
    </row>
    <row r="159" spans="1:8" x14ac:dyDescent="0.25">
      <c r="C159" s="39" t="s">
        <v>370</v>
      </c>
      <c r="D159" s="120">
        <f t="shared" si="5"/>
        <v>0</v>
      </c>
      <c r="E159" s="120">
        <f t="shared" si="5"/>
        <v>0</v>
      </c>
      <c r="F159" s="120">
        <f t="shared" si="5"/>
        <v>0</v>
      </c>
      <c r="G159" s="120">
        <f t="shared" si="5"/>
        <v>0</v>
      </c>
      <c r="H159" s="120">
        <f t="shared" si="5"/>
        <v>0</v>
      </c>
    </row>
    <row r="160" spans="1:8" x14ac:dyDescent="0.25">
      <c r="C160" s="39" t="s">
        <v>369</v>
      </c>
      <c r="D160" s="120">
        <v>0.1</v>
      </c>
      <c r="E160" s="120">
        <v>0.1</v>
      </c>
      <c r="F160" s="120">
        <v>0.1</v>
      </c>
      <c r="G160" s="120">
        <v>0.1</v>
      </c>
      <c r="H160" s="120">
        <v>0.1</v>
      </c>
    </row>
    <row r="161" spans="1:8" x14ac:dyDescent="0.25">
      <c r="B161" s="39" t="s">
        <v>121</v>
      </c>
      <c r="C161" s="39" t="s">
        <v>368</v>
      </c>
      <c r="D161" s="120">
        <v>0</v>
      </c>
      <c r="E161" s="120">
        <v>1</v>
      </c>
      <c r="F161" s="120">
        <v>1</v>
      </c>
      <c r="G161" s="120">
        <v>1</v>
      </c>
      <c r="H161" s="120">
        <v>1</v>
      </c>
    </row>
    <row r="162" spans="1:8" x14ac:dyDescent="0.25">
      <c r="C162" s="39" t="s">
        <v>370</v>
      </c>
      <c r="D162" s="120">
        <v>0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369</v>
      </c>
      <c r="D163" s="120">
        <v>0</v>
      </c>
      <c r="E163" s="120">
        <v>0</v>
      </c>
      <c r="F163" s="120">
        <v>0</v>
      </c>
      <c r="G163" s="120">
        <v>0</v>
      </c>
      <c r="H163" s="120">
        <v>0</v>
      </c>
    </row>
    <row r="164" spans="1:8" x14ac:dyDescent="0.25">
      <c r="A164" s="39" t="s">
        <v>221</v>
      </c>
      <c r="B164" s="39" t="s">
        <v>103</v>
      </c>
      <c r="C164" s="39" t="s">
        <v>368</v>
      </c>
      <c r="D164" s="120">
        <v>1</v>
      </c>
      <c r="E164" s="120">
        <v>1</v>
      </c>
      <c r="F164" s="120">
        <v>1</v>
      </c>
      <c r="G164" s="120">
        <v>1</v>
      </c>
      <c r="H164" s="120">
        <v>1</v>
      </c>
    </row>
    <row r="165" spans="1:8" x14ac:dyDescent="0.25">
      <c r="C165" s="39" t="s">
        <v>370</v>
      </c>
      <c r="D165" s="120">
        <v>0.8</v>
      </c>
      <c r="E165" s="120">
        <v>0.8</v>
      </c>
      <c r="F165" s="120">
        <v>0.8</v>
      </c>
      <c r="G165" s="120">
        <v>0.8</v>
      </c>
      <c r="H165" s="120">
        <v>0.8</v>
      </c>
    </row>
    <row r="166" spans="1:8" x14ac:dyDescent="0.25">
      <c r="A166" s="39" t="s">
        <v>231</v>
      </c>
      <c r="B166" s="39" t="s">
        <v>103</v>
      </c>
      <c r="C166" s="39" t="s">
        <v>368</v>
      </c>
      <c r="D166" s="120">
        <v>1</v>
      </c>
      <c r="E166" s="120">
        <v>1</v>
      </c>
      <c r="F166" s="120">
        <v>1</v>
      </c>
      <c r="G166" s="120">
        <v>1</v>
      </c>
      <c r="H166" s="120">
        <v>1</v>
      </c>
    </row>
    <row r="167" spans="1:8" x14ac:dyDescent="0.25">
      <c r="C167" s="39" t="s">
        <v>370</v>
      </c>
      <c r="D167" s="120">
        <v>0.85</v>
      </c>
      <c r="E167" s="120">
        <v>0.85</v>
      </c>
      <c r="F167" s="120">
        <v>0.85</v>
      </c>
      <c r="G167" s="120">
        <v>0.85</v>
      </c>
      <c r="H167" s="120">
        <v>0.85</v>
      </c>
    </row>
    <row r="168" spans="1:8" x14ac:dyDescent="0.25">
      <c r="A168" s="39" t="s">
        <v>211</v>
      </c>
      <c r="B168" s="39" t="s">
        <v>115</v>
      </c>
      <c r="C168" s="39" t="s">
        <v>368</v>
      </c>
      <c r="D168" s="120">
        <v>1</v>
      </c>
      <c r="E168" s="120">
        <v>0</v>
      </c>
      <c r="F168" s="120">
        <v>0</v>
      </c>
      <c r="G168" s="120">
        <v>0</v>
      </c>
      <c r="H168" s="120">
        <v>0</v>
      </c>
    </row>
    <row r="169" spans="1:8" x14ac:dyDescent="0.25">
      <c r="C169" s="39" t="s">
        <v>370</v>
      </c>
      <c r="D169" s="120">
        <v>0.47</v>
      </c>
      <c r="E169" s="120">
        <v>0</v>
      </c>
      <c r="F169" s="120">
        <v>0</v>
      </c>
      <c r="G169" s="120">
        <v>0</v>
      </c>
      <c r="H169" s="120">
        <v>0</v>
      </c>
    </row>
  </sheetData>
  <sheetProtection algorithmName="SHA-512" hashValue="Av8C9kMTBx99JCds5O3bwifjj2i8dlIK0IdaB3SDGb5/ngg9mQziUD8t0EDEs1tqOigDN+C78wACw/gq0xEbhA==" saltValue="LWTJGoEHmHnO2D2IfE+x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192</v>
      </c>
      <c r="B1" s="41" t="s">
        <v>371</v>
      </c>
      <c r="C1" s="41"/>
      <c r="D1" s="4" t="s">
        <v>132</v>
      </c>
      <c r="E1" s="4" t="s">
        <v>133</v>
      </c>
      <c r="F1" s="4" t="s">
        <v>134</v>
      </c>
      <c r="G1" s="4" t="s">
        <v>135</v>
      </c>
      <c r="H1" s="29"/>
    </row>
    <row r="2" spans="1:8" x14ac:dyDescent="0.25">
      <c r="A2" s="31" t="s">
        <v>195</v>
      </c>
      <c r="B2" s="27" t="s">
        <v>105</v>
      </c>
      <c r="C2" s="31" t="s">
        <v>368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370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218</v>
      </c>
      <c r="B4" s="27" t="s">
        <v>105</v>
      </c>
      <c r="C4" s="31" t="s">
        <v>368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370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217</v>
      </c>
      <c r="B6" s="27" t="s">
        <v>105</v>
      </c>
      <c r="C6" s="31" t="s">
        <v>368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370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220</v>
      </c>
      <c r="B8" s="27" t="s">
        <v>263</v>
      </c>
      <c r="C8" s="31" t="s">
        <v>368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246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360</v>
      </c>
      <c r="D11" s="121"/>
      <c r="E11" s="121"/>
      <c r="F11" s="121"/>
      <c r="G11" s="121"/>
    </row>
    <row r="12" spans="1:8" ht="13" x14ac:dyDescent="0.3">
      <c r="A12" s="41" t="s">
        <v>192</v>
      </c>
      <c r="B12" s="41" t="s">
        <v>371</v>
      </c>
      <c r="C12" s="4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1" t="s">
        <v>195</v>
      </c>
      <c r="B13" s="27" t="s">
        <v>105</v>
      </c>
      <c r="C13" s="31" t="s">
        <v>368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370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218</v>
      </c>
      <c r="B15" s="27" t="s">
        <v>105</v>
      </c>
      <c r="C15" s="31" t="s">
        <v>368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370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217</v>
      </c>
      <c r="B17" s="27" t="s">
        <v>105</v>
      </c>
      <c r="C17" s="31" t="s">
        <v>368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370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220</v>
      </c>
      <c r="B19" s="27" t="s">
        <v>263</v>
      </c>
      <c r="C19" s="31" t="s">
        <v>368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246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367</v>
      </c>
      <c r="D22" s="121"/>
      <c r="E22" s="121"/>
      <c r="F22" s="121"/>
      <c r="G22" s="121"/>
    </row>
    <row r="23" spans="1:7" ht="13" x14ac:dyDescent="0.3">
      <c r="A23" s="41" t="s">
        <v>192</v>
      </c>
      <c r="B23" s="41" t="s">
        <v>371</v>
      </c>
      <c r="C23" s="4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1" t="s">
        <v>195</v>
      </c>
      <c r="B24" s="27" t="s">
        <v>105</v>
      </c>
      <c r="C24" s="31" t="s">
        <v>368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370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218</v>
      </c>
      <c r="B26" s="27" t="s">
        <v>105</v>
      </c>
      <c r="C26" s="31" t="s">
        <v>368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370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217</v>
      </c>
      <c r="B28" s="27" t="s">
        <v>105</v>
      </c>
      <c r="C28" s="31" t="s">
        <v>368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370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220</v>
      </c>
      <c r="B30" s="27" t="s">
        <v>263</v>
      </c>
      <c r="C30" s="31" t="s">
        <v>368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246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1fftsiu+al0/a1citFRdCKCQ+1bbPcJEnAHEnrwRd57nfaZLAodzpLlLH1keoP5D2pbOaxhIoQ9/Q9P6zsQQ/A==" saltValue="dLZMzQ/UAiDPTnBACN3I9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2025-07-29T23:18:29Z</dcterms:modified>
</cp:coreProperties>
</file>