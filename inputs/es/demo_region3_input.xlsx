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Modelling projects\Nutrition\inputs\es\"/>
    </mc:Choice>
  </mc:AlternateContent>
  <xr:revisionPtr revIDLastSave="0" documentId="8_{119D5094-C7F4-4AE2-865E-B753F7B77785}" xr6:coauthVersionLast="47" xr6:coauthVersionMax="47" xr10:uidLastSave="{00000000-0000-0000-0000-000000000000}"/>
  <bookViews>
    <workbookView xWindow="-110" yWindow="-110" windowWidth="19420" windowHeight="10300" tabRatio="904" xr2:uid="{00000000-000D-0000-FFFF-FFFF00000000}"/>
  </bookViews>
  <sheets>
    <sheet name="Entradas de población-año base" sheetId="1" r:id="rId1"/>
    <sheet name="Proyecciones demográficas" sheetId="2" r:id="rId2"/>
    <sheet name="Causas de muerte" sheetId="4" r:id="rId3"/>
    <sheet name="Distribución estado nutricional" sheetId="5" r:id="rId4"/>
    <sheet name="Distribución de lactancia" sheetId="50" r:id="rId5"/>
    <sheet name="Tendencias temporales" sheetId="75" r:id="rId6"/>
    <sheet name="Variables económicas" sheetId="76" r:id="rId7"/>
    <sheet name="Paquetes de IYCF" sheetId="55" r:id="rId8"/>
    <sheet name="Tratamiento de la MAS" sheetId="60" r:id="rId9"/>
    <sheet name="Costo y cobertura del programa" sheetId="56" r:id="rId10"/>
    <sheet name="Dependencias del programa" sheetId="58" r:id="rId11"/>
    <sheet name="Programas de referencia" sheetId="59" state="hidden" r:id="rId12"/>
    <sheet name="Incidencia de las afecciones" sheetId="7" state="hidden" r:id="rId13"/>
    <sheet name="Población objetivo del programa" sheetId="21" state="hidden" r:id="rId14"/>
    <sheet name="Opciones de la curva de costos" sheetId="61" state="hidden" r:id="rId15"/>
    <sheet name="Prog. de planificación familiar" sheetId="54" state="hidden" r:id="rId16"/>
    <sheet name="Programas población afectada" sheetId="62" state="hidden" r:id="rId17"/>
    <sheet name="Riesgos que impacta programa" sheetId="63" state="hidden" r:id="rId18"/>
    <sheet name="Riegos para la población" sheetId="64" state="hidden" r:id="rId19"/>
    <sheet name="Razón de momios IYCF" sheetId="65" state="hidden" r:id="rId20"/>
    <sheet name="Riesgos desenlace de nacimiento" sheetId="66" state="hidden" r:id="rId21"/>
    <sheet name="Riesgos relativos" sheetId="67" state="hidden" r:id="rId22"/>
    <sheet name="Razón de momios" sheetId="68" state="hidden" r:id="rId23"/>
    <sheet name="Resultados de nacimiento- prog" sheetId="69" state="hidden" r:id="rId24"/>
    <sheet name="Programas de anemia" sheetId="70" state="hidden" r:id="rId25"/>
    <sheet name="Programas para emaciación" sheetId="71" state="hidden" r:id="rId26"/>
    <sheet name="Programas para niños" sheetId="72" state="hidden" r:id="rId27"/>
    <sheet name="Prog. para mujeres embarazadas" sheetId="73" state="hidden" r:id="rId28"/>
  </sheets>
  <externalReferences>
    <externalReference r:id="rId29"/>
  </externalReferences>
  <definedNames>
    <definedName name="_xlnm._FilterDatabase" localSheetId="20" hidden="1">'Riesgos desenlace de nacimiento'!$A$1:$F$7</definedName>
    <definedName name="abortion" localSheetId="7">'Entradas de población-año base'!$C$38</definedName>
    <definedName name="abortion" localSheetId="5">'[1]Baseline year population inputs'!$C$41</definedName>
    <definedName name="abortion" localSheetId="6">'[1]Baseline year population inputs'!$C$41</definedName>
    <definedName name="abortion">'Entradas de población-año base'!$C$41</definedName>
    <definedName name="comm_deliv" localSheetId="5">'[1]Treatment of SAM'!$D$3</definedName>
    <definedName name="comm_deliv" localSheetId="6">'[1]Treatment of SAM'!$D$3</definedName>
    <definedName name="comm_deliv">'Tratamiento de la MAS'!$D$3</definedName>
    <definedName name="diarrhoea_1_5mo" localSheetId="5">'[1]Baseline year population inputs'!$C$52</definedName>
    <definedName name="diarrhoea_1_5mo" localSheetId="6">'[1]Baseline year population inputs'!$C$52</definedName>
    <definedName name="diarrhoea_1_5mo">'Entradas de población-año base'!$C$52</definedName>
    <definedName name="diarrhoea_12_23mo" localSheetId="5">'[1]Baseline year population inputs'!$C$54</definedName>
    <definedName name="diarrhoea_12_23mo" localSheetId="6">'[1]Baseline year population inputs'!$C$54</definedName>
    <definedName name="diarrhoea_12_23mo">'Entradas de población-año base'!$C$54</definedName>
    <definedName name="diarrhoea_1mo" localSheetId="5">'[1]Baseline year population inputs'!$C$51</definedName>
    <definedName name="diarrhoea_1mo" localSheetId="6">'[1]Baseline year population inputs'!$C$51</definedName>
    <definedName name="diarrhoea_1mo">'Entradas de población-año base'!$C$51</definedName>
    <definedName name="diarrhoea_24_59mo" localSheetId="5">'[1]Baseline year population inputs'!$C$55</definedName>
    <definedName name="diarrhoea_24_59mo" localSheetId="6">'[1]Baseline year population inputs'!$C$55</definedName>
    <definedName name="diarrhoea_24_59mo">'Entradas de población-año base'!$C$55</definedName>
    <definedName name="diarrhoea_6_11mo" localSheetId="5">'[1]Baseline year population inputs'!$C$53</definedName>
    <definedName name="diarrhoea_6_11mo" localSheetId="6">'[1]Baseline year population inputs'!$C$53</definedName>
    <definedName name="diarrhoea_6_11mo">'Entradas de población-año base'!$C$53</definedName>
    <definedName name="end_year" localSheetId="5">'[1]Baseline year population inputs'!$C$4</definedName>
    <definedName name="end_year" localSheetId="6">'[1]Baseline year population inputs'!$C$4</definedName>
    <definedName name="end_year">'Entradas de población-año base'!$C$4</definedName>
    <definedName name="famplan_unmet_need" localSheetId="5">'[1]Baseline year population inputs'!$C$13</definedName>
    <definedName name="famplan_unmet_need" localSheetId="6">'[1]Baseline year population inputs'!$C$13</definedName>
    <definedName name="famplan_unmet_need">'Entradas de población-año base'!$C$13</definedName>
    <definedName name="food_insecure" localSheetId="5">'[1]Baseline year population inputs'!$C$8</definedName>
    <definedName name="food_insecure" localSheetId="6">'[1]Baseline year population inputs'!$C$8</definedName>
    <definedName name="food_insecure">'Entradas de población-año base'!$C$8</definedName>
    <definedName name="frac_children_health_facility" localSheetId="5">'[1]Baseline year population inputs'!$C$12</definedName>
    <definedName name="frac_children_health_facility" localSheetId="6">'[1]Baseline year population inputs'!$C$12</definedName>
    <definedName name="frac_children_health_facility">'Entradas de población-año base'!$C$12</definedName>
    <definedName name="frac_diarrhea_severe" localSheetId="5">'[1]Baseline year population inputs'!$C$58</definedName>
    <definedName name="frac_diarrhea_severe" localSheetId="6">'[1]Baseline year population inputs'!$C$58</definedName>
    <definedName name="frac_diarrhea_severe">'Entradas de población-año base'!$C$58</definedName>
    <definedName name="frac_maize" localSheetId="5">'[1]Baseline year population inputs'!$C$19</definedName>
    <definedName name="frac_maize" localSheetId="6">'[1]Baseline year population inputs'!$C$19</definedName>
    <definedName name="frac_maize">'Entradas de población-año base'!$C$19</definedName>
    <definedName name="frac_malaria_risk" localSheetId="5">'[1]Baseline year population inputs'!$C$9</definedName>
    <definedName name="frac_malaria_risk" localSheetId="6">'[1]Baseline year population inputs'!$C$9</definedName>
    <definedName name="frac_malaria_risk">'Entradas de población-año base'!$C$9</definedName>
    <definedName name="frac_mam_1_5months" localSheetId="5">'[1]Nutritional status distribution'!$D$10</definedName>
    <definedName name="frac_mam_1_5months" localSheetId="6">'[1]Nutritional status distribution'!$D$10</definedName>
    <definedName name="frac_mam_1_5months">'Distribución estado nutricional'!$D$10</definedName>
    <definedName name="frac_mam_12_23months" localSheetId="5">'[1]Nutritional status distribution'!$F$10</definedName>
    <definedName name="frac_mam_12_23months" localSheetId="6">'[1]Nutritional status distribution'!$F$10</definedName>
    <definedName name="frac_mam_12_23months">'Distribución estado nutricional'!$F$10</definedName>
    <definedName name="frac_mam_1month" localSheetId="5">'[1]Nutritional status distribution'!$C$10</definedName>
    <definedName name="frac_mam_1month" localSheetId="6">'[1]Nutritional status distribution'!$C$10</definedName>
    <definedName name="frac_mam_1month">'Distribución estado nutricional'!$C$10</definedName>
    <definedName name="frac_mam_24_59months" localSheetId="5">'[1]Nutritional status distribution'!$G$10</definedName>
    <definedName name="frac_mam_24_59months" localSheetId="6">'[1]Nutritional status distribution'!$G$10</definedName>
    <definedName name="frac_mam_24_59months">'Distribución estado nutricional'!$G$10</definedName>
    <definedName name="frac_mam_6_11months" localSheetId="5">'[1]Nutritional status distribution'!$E$10</definedName>
    <definedName name="frac_mam_6_11months" localSheetId="6">'[1]Nutritional status distribution'!$E$10</definedName>
    <definedName name="frac_mam_6_11months">'Distribución estado nutricional'!$E$10</definedName>
    <definedName name="frac_MAMtoSAM" localSheetId="5">'[1]Baseline year population inputs'!#REF!</definedName>
    <definedName name="frac_MAMtoSAM" localSheetId="6">'[1]Baseline year population inputs'!#REF!</definedName>
    <definedName name="frac_MAMtoSAM">'Entradas de población-año base'!#REF!</definedName>
    <definedName name="frac_other_staples">'Entradas de población-año base'!$C$20</definedName>
    <definedName name="frac_PW_health_facility" localSheetId="5">'[1]Baseline year population inputs'!$C$11</definedName>
    <definedName name="frac_PW_health_facility" localSheetId="6">'[1]Baseline year population inputs'!$C$11</definedName>
    <definedName name="frac_PW_health_facility">'Entradas de población-año base'!$C$11</definedName>
    <definedName name="frac_rice" localSheetId="5">'[1]Baseline year population inputs'!$C$17</definedName>
    <definedName name="frac_rice" localSheetId="6">'[1]Baseline year population inputs'!$C$17</definedName>
    <definedName name="frac_rice">'Entradas de población-año base'!$C$17</definedName>
    <definedName name="frac_sam_1_5months" localSheetId="5">'[1]Nutritional status distribution'!$D$11</definedName>
    <definedName name="frac_sam_1_5months" localSheetId="6">'[1]Nutritional status distribution'!$D$11</definedName>
    <definedName name="frac_sam_1_5months">'Distribución estado nutricional'!$D$11</definedName>
    <definedName name="frac_sam_12_23months" localSheetId="5">'[1]Nutritional status distribution'!$F$11</definedName>
    <definedName name="frac_sam_12_23months" localSheetId="6">'[1]Nutritional status distribution'!$F$11</definedName>
    <definedName name="frac_sam_12_23months">'Distribución estado nutricional'!$F$11</definedName>
    <definedName name="frac_sam_1month" localSheetId="5">'[1]Nutritional status distribution'!$C$11</definedName>
    <definedName name="frac_sam_1month" localSheetId="6">'[1]Nutritional status distribution'!$C$11</definedName>
    <definedName name="frac_sam_1month">'Distribución estado nutricional'!$C$11</definedName>
    <definedName name="frac_sam_24_59months" localSheetId="5">'[1]Nutritional status distribution'!$G$11</definedName>
    <definedName name="frac_sam_24_59months" localSheetId="6">'[1]Nutritional status distribution'!$G$11</definedName>
    <definedName name="frac_sam_24_59months">'Distribución estado nutricional'!$G$11</definedName>
    <definedName name="frac_sam_6_11months" localSheetId="5">'[1]Nutritional status distribution'!$E$11</definedName>
    <definedName name="frac_sam_6_11months" localSheetId="6">'[1]Nutritional status distribution'!$E$11</definedName>
    <definedName name="frac_sam_6_11months">'Distribución estado nutricional'!$E$11</definedName>
    <definedName name="frac_SAMtoMAM" localSheetId="5">'[1]Baseline year population inputs'!#REF!</definedName>
    <definedName name="frac_SAMtoMAM" localSheetId="6">'[1]Baseline year population inputs'!#REF!</definedName>
    <definedName name="frac_SAMtoMAM">'Entradas de población-año base'!#REF!</definedName>
    <definedName name="frac_subsistence_farming">'Entradas de población-año base'!$C$16</definedName>
    <definedName name="frac_wheat" localSheetId="5">'[1]Baseline year population inputs'!$C$18</definedName>
    <definedName name="frac_wheat" localSheetId="6">'[1]Baseline year population inputs'!$C$18</definedName>
    <definedName name="frac_wheat">'Entradas de población-año base'!$C$18</definedName>
    <definedName name="infant_mortality">'Entradas de población-año base'!$C$38</definedName>
    <definedName name="iron_deficiency_anaemia" localSheetId="5">'[1]Baseline year population inputs'!$C$59</definedName>
    <definedName name="iron_deficiency_anaemia" localSheetId="6">'[1]Baseline year population inputs'!$C$59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 localSheetId="5">'[1]Baseline year population inputs'!$C$46</definedName>
    <definedName name="preterm_AGA" localSheetId="6">'[1]Baseline year population inputs'!$C$46</definedName>
    <definedName name="preterm_AGA">'Entradas de población-año base'!$C$46</definedName>
    <definedName name="preterm_SGA" localSheetId="5">'[1]Baseline year population inputs'!$C$45</definedName>
    <definedName name="preterm_SGA" localSheetId="6">'[1]Baseline year population inputs'!$C$45</definedName>
    <definedName name="preterm_SGA">'Entradas de población-año base'!$C$45</definedName>
    <definedName name="school_attendance" localSheetId="5">'[1]Baseline year population inputs'!$C$10</definedName>
    <definedName name="school_attendance" localSheetId="6">'[1]Baseline year population inputs'!$C$10</definedName>
    <definedName name="school_attendance">'Entradas de población-año base'!$C$10</definedName>
    <definedName name="start_year" localSheetId="5">'[1]Baseline year population inputs'!$C$3</definedName>
    <definedName name="start_year" localSheetId="6">'[1]Baseline year population inputs'!$C$3</definedName>
    <definedName name="start_year">'Entradas de población-año base'!$C$3</definedName>
    <definedName name="stillbirth" localSheetId="7">'Entradas de población-año base'!$C$39</definedName>
    <definedName name="stillbirth" localSheetId="5">'[1]Baseline year population inputs'!$C$42</definedName>
    <definedName name="stillbirth" localSheetId="6">'[1]Baseline year population inputs'!$C$42</definedName>
    <definedName name="stillbirth">'Entradas de población-año base'!$C$42</definedName>
    <definedName name="term_AGA">'Entradas de población-año base'!$C$48</definedName>
    <definedName name="term_SGA" localSheetId="5">'[1]Baseline year population inputs'!$C$47</definedName>
    <definedName name="term_SGA" localSheetId="6">'[1]Baseline year population inputs'!$C$47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9" i="72"/>
  <c r="G159" i="72"/>
  <c r="F159" i="72"/>
  <c r="E159" i="72"/>
  <c r="D159" i="72"/>
  <c r="G158" i="72"/>
  <c r="F158" i="72"/>
  <c r="H142" i="72"/>
  <c r="G142" i="72"/>
  <c r="F142" i="72"/>
  <c r="E142" i="72"/>
  <c r="H141" i="72"/>
  <c r="G141" i="72"/>
  <c r="F141" i="72"/>
  <c r="E141" i="72"/>
  <c r="H140" i="72"/>
  <c r="G140" i="72"/>
  <c r="F140" i="72"/>
  <c r="E140" i="72"/>
  <c r="H139" i="72"/>
  <c r="G139" i="72"/>
  <c r="F139" i="72"/>
  <c r="E139" i="72"/>
  <c r="H138" i="72"/>
  <c r="G138" i="72"/>
  <c r="F138" i="72"/>
  <c r="E138" i="72"/>
  <c r="H137" i="72"/>
  <c r="G137" i="72"/>
  <c r="F137" i="72"/>
  <c r="E137" i="72"/>
  <c r="E136" i="72"/>
  <c r="D136" i="72"/>
  <c r="E135" i="72"/>
  <c r="D135" i="72"/>
  <c r="E134" i="72"/>
  <c r="D134" i="72"/>
  <c r="H133" i="72"/>
  <c r="G133" i="72"/>
  <c r="F133" i="72"/>
  <c r="E133" i="72"/>
  <c r="D133" i="72"/>
  <c r="H130" i="72"/>
  <c r="E130" i="72"/>
  <c r="D130" i="72"/>
  <c r="H129" i="72"/>
  <c r="G129" i="72"/>
  <c r="F129" i="72"/>
  <c r="E129" i="72"/>
  <c r="D129" i="72"/>
  <c r="H128" i="72"/>
  <c r="E128" i="72"/>
  <c r="D128" i="72"/>
  <c r="E118" i="72"/>
  <c r="D118" i="72"/>
  <c r="E117" i="72"/>
  <c r="D117" i="72"/>
  <c r="E116" i="72"/>
  <c r="D116" i="72"/>
  <c r="H101" i="72"/>
  <c r="H158" i="72" s="1"/>
  <c r="G101" i="72"/>
  <c r="F101" i="72"/>
  <c r="E101" i="72"/>
  <c r="E158" i="72" s="1"/>
  <c r="D101" i="72"/>
  <c r="D158" i="72" s="1"/>
  <c r="H85" i="72"/>
  <c r="G85" i="72"/>
  <c r="F85" i="72"/>
  <c r="E85" i="72"/>
  <c r="H84" i="72"/>
  <c r="G84" i="72"/>
  <c r="F84" i="72"/>
  <c r="E84" i="72"/>
  <c r="D84" i="72"/>
  <c r="D141" i="72" s="1"/>
  <c r="H83" i="72"/>
  <c r="G83" i="72"/>
  <c r="F83" i="72"/>
  <c r="E83" i="72"/>
  <c r="H82" i="72"/>
  <c r="G82" i="72"/>
  <c r="F82" i="72"/>
  <c r="E82" i="72"/>
  <c r="D82" i="72"/>
  <c r="D139" i="72" s="1"/>
  <c r="H81" i="72"/>
  <c r="G81" i="72"/>
  <c r="F81" i="72"/>
  <c r="E81" i="72"/>
  <c r="H80" i="72"/>
  <c r="G80" i="72"/>
  <c r="F80" i="72"/>
  <c r="E80" i="72"/>
  <c r="D80" i="72"/>
  <c r="D137" i="72" s="1"/>
  <c r="E79" i="72"/>
  <c r="D79" i="72"/>
  <c r="E78" i="72"/>
  <c r="D78" i="72"/>
  <c r="E77" i="72"/>
  <c r="D77" i="72"/>
  <c r="H76" i="72"/>
  <c r="G76" i="72"/>
  <c r="F76" i="72"/>
  <c r="E76" i="72"/>
  <c r="D76" i="72"/>
  <c r="H73" i="72"/>
  <c r="E73" i="72"/>
  <c r="D73" i="72"/>
  <c r="H72" i="72"/>
  <c r="G72" i="72"/>
  <c r="F72" i="72"/>
  <c r="E72" i="72"/>
  <c r="D72" i="72"/>
  <c r="H71" i="72"/>
  <c r="E71" i="72"/>
  <c r="D71" i="72"/>
  <c r="E61" i="72"/>
  <c r="D61" i="72"/>
  <c r="E60" i="72"/>
  <c r="D60" i="72"/>
  <c r="H59" i="72"/>
  <c r="H116" i="72" s="1"/>
  <c r="G59" i="72"/>
  <c r="G116" i="72" s="1"/>
  <c r="F59" i="72"/>
  <c r="F116" i="72" s="1"/>
  <c r="E59" i="72"/>
  <c r="D59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A20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E21E312-5284-47EE-AD0E-6B1F7C858E75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3CE91DD0-0D69-40B3-B791-151F73F78778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1BCF1FF3-6563-4B3C-97B4-41D2942D562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CC8EBA3B-2CE7-47D1-B946-E65D9D137F8E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1277F3E-238E-4430-8668-4C49FEAB988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3144D64E-BB28-41E2-9779-08D0DD66973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6914398-887C-4DA1-89A7-698EB93D17AE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79CE02-6E44-4A29-8262-FB30971286B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08CBB4B-EF9A-427E-A111-853344BBFDF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45D2850C-7E55-44C6-991B-B25310E9B0F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A1E55BFC-57B7-47A2-A54E-F6E3797C914D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9CFF617-DAFC-4B28-BAFD-FBFA1504F3DD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ED4DABD3-2BEA-433B-BDCA-397566F8041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3054DDB8-F190-4173-94F2-92C374B9CC09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57798CEA-F92E-4290-9FA0-1D0F40644889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598F0FA3-6C3A-4446-9623-0FD1E78918F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112BF811-F3CB-4FC2-9F1B-3C21B047AD9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FE8E42B1-9B4E-49EE-B6C8-F67DAA2B5642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9EA94BB8-C02E-471E-A42C-5489646EB345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6F8F532E-AC6F-4473-B83F-03B541B5FC46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F01866B1-DEB5-46F1-AB62-28A4273A0B0A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F37CACC5-5CBC-4A6A-A6EF-BA406A9E158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BA5B34C2-0A3F-4F80-95F6-64D24385C47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8BCB1780-915E-40CA-AFE6-BA754FE5968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E70D4D62-2A75-48AB-B89D-5A02A2738D9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5C905BC4-6109-47E8-8479-31286E90D5B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2DC92E3C-9C59-4C4E-B582-7D2DEDCCE893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CA7D52E1-FCC2-46F6-AC73-961F3446743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684EF6D2-CED1-4D40-AF2E-917A5EE4F80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C84A5B5A-61F6-4E8F-9E0F-B525A8D3304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1797476-979C-4AA4-B329-E94E4115D01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53B5AA46-37DF-40EA-9D39-87B3B8D9E1C4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F92AA795-608B-40DD-8AA4-6147B4791958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8D2FAE20-99A2-45F5-8577-C76F5C8F57AE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939F8845-9FFB-4B5E-8EB8-3423C124587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7D9F4DFB-B288-4077-B027-4AF5C0D2F95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3531AB6A-FE00-4535-975A-30654AD4678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1943F941-C35E-42E4-88B9-E72EECC90D5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C8C6E747-33AD-41A1-8BA0-C6EBEAB5170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A01569FA-98BE-494E-AA71-8678904732E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06ACA698-E8FC-49E8-96B0-4058CC8BFDD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D80A217D-143F-4B80-A377-997DD2A73EE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4E31EEB4-D3AC-4D17-9385-A3099E2DCBD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639D5D68-FD72-4082-9C88-0FB519E3B06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DBB8DB45-78BB-445C-9E3C-A05786DD42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18A5EEAD-5494-4F9C-973E-FD23F138269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EBC8C955-B3F7-4CEC-96C5-0149CCB9ED9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E023C7D-2462-48C5-B6C2-9B18F3738A3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59C90B3D-6CCE-4359-BAE3-ECB32EC364D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6C9B27F9-C683-40E4-B05C-2DD2BE2DECC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4BEAE24-B9F5-49DF-93BD-5907E779E5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6D8EAAAC-4468-431F-ADE3-D35134CB62E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EFC32373-895A-4B5A-9ED3-D2D801EA1B4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C288D36F-9C49-4337-8632-0ECD0875F11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AC7C6FC6-AE72-49CC-9C45-489232EB76E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8D586D4E-1737-40D5-BEFA-663E2FFEF50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C31A1C4-B867-4DFC-A7D1-D5703625751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84ED7FF-1FB7-4B01-BA3A-7E4ABA94E5EA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835E9660-1EF5-455E-978D-D543BDFE9A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0E9F30B8-8F69-4FA3-B5EC-87310625BDD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D1098C46-BD19-4681-8488-8EF64689556E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85AC6454-39F1-4BB0-9861-59DA3B01342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87D4E0B4-790D-4153-9B6E-9A670FCC7BE2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D508E260-868D-4E4C-88AF-6B27FAA2BAF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2B7807B8-233A-4648-A8AE-0FDBD3D076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931FD69-CED2-48D4-8417-B715316EDDED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850A57CC-BF66-463A-B038-E225C813F53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115BC45F-8F77-49A7-8C0F-A24709FD5BC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245BAAF3-0BFB-4AD3-94CC-E570C934ECFC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C50A6EE9-7977-479B-A36F-D948E109FB7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90A5940D-EFEF-4091-9ABB-5CDFB3D8ED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A23A3784-14E8-4E0F-83B5-FA6272DF98F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AAFBB65D-7C9B-471D-A627-08C81EAE313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64AE9CC1-9689-4D94-84D1-57FFA5EDB305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81C4855-ED0A-4DA8-9A93-AC1DE967BE5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D5037819-EC04-4545-BDDE-9A94C02F30A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02D239B4-A767-46D1-965B-9754CB6E1D6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1E87513A-00A3-489B-975C-32F2D2706789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BFFCC65B-1D52-4266-A41B-8F11CA933A4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CC0A9E9F-5340-4261-9869-3175D8D88E6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C14396FC-850B-441C-BCB7-DA0D83B195C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1919809B-3465-4421-A79B-674A31095283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F1E1B4DC-49A0-4FAC-9FD7-04B5AF5F248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D73AFD98-062C-4F23-B74C-23E762CBE9BB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7D592B1A-E533-4D64-97F4-5ED1FB22E2B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226850EC-4597-4861-AC41-D6740BAF2DE2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27A045F1-8DFF-49F9-AD69-8ED90C3ABF42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696AEDA0-A7EF-41A5-8DED-3DEF02C7E23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3C4B2EA6-1E8B-4E48-8831-80C4CBFE03F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A7FDD18D-2823-48EE-9A73-83C7FD8E08B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AC0DD932-BD6C-430E-BDDC-6AA23F778B2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6A885BC-2EE6-4152-A961-65F0E9BCA49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34672723-4F3D-4E81-957E-2D7B9382C73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CA608B37-EEF2-4A17-BA30-1DB7E100B1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C2DD496B-C666-490D-A51C-D213D4EA615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10C4DD09-11EA-4A3C-BBFD-1A88AD0323F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782F2ECC-69FC-49C5-94A1-493FEA291DF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9E48CF13-9F1E-4AD7-9F0D-B6A75E54AE2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4CFE502-4C36-4624-9745-8A2D9634B81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964B084-8F7E-4949-B969-0B3A340FF95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8FE91EFF-8834-43D0-9E03-E9DD2FC332C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488AE239-0C63-4041-B81E-B82D820902D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84C7379F-1012-44D4-9826-8DAC159D44F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473D8D25-9F40-44B9-AB6B-527BB4D0730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45E6B7D4-8C3C-456C-979F-492FB9CB58A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665DBA0B-A179-42A3-A78C-7712B074D99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CB45F1F9-DADA-4E17-AD02-3DC0D511692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48D72F81-FA83-45A5-B7E0-D4F76716978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EB967D55-3F49-4CF3-827D-0FD4065F035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8A5631DF-221F-4B53-A146-6732065087E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FB9F799-4D45-4904-8DB4-7013BECB0AF9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9F4B02BA-8149-4077-9810-886EB9281379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D389AB12-F8A9-4DD5-8647-ED41014E998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6CF32E8D-3578-4C35-8D95-F3FDAEE3F6C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4EC5B9BF-5F79-48E0-AEEB-3BE048359C2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3A00B4A4-9086-49FD-A973-E57ACF41519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B753A3E5-5850-4333-B255-138735532F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5F533C4F-14BE-4FFD-AFF0-4F363C6DB46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24DEB51A-3B71-4F4F-8B1A-554B96477B6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B1E2943-05E3-425E-81FA-B470E020184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4873B8C3-3DC1-4ABA-9CA2-041EDFEAA8E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C01B86B-8434-41C9-AA91-62393B82971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533D00F-40C7-422E-B637-7480A633E0EE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A23BD60A-3F08-4056-BBE4-5BC9BF9DBAC1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F00096D-9328-4957-BCBE-20B06054142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791D4741-6C69-4394-BDA7-74694025027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B95D491F-0995-4634-BB75-0A2B65DA521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836F7DA3-3746-45EC-9F91-75F43F69B75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015B127F-3ACD-448E-B7AE-EE2AF821A6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4117A4CF-A7A4-4A59-A708-41648375B963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971DA0E7-9694-49B2-B341-0F42CEE4FD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7C15A418-97F2-48E8-992E-453798CC1DEC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6164A66E-F113-4BBF-BF3A-8966970C600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F7F4BAB9-AB0B-4436-AC09-996DE9B577D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9989CDBB-8F11-4CDD-883C-0C902FEECF7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7E86D7CC-FFDF-480C-A748-42D8159559C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774D9A5-3ABF-47A9-A38D-5AB1A3809E2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829B6F07-CFE0-4770-8526-355FDCE82E9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095883B0-AB44-4AFF-AD9C-1999BE44C8D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509F1B53-9B24-47B5-968C-11359092BFF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2EEAE878-FBE4-4D03-8FFA-67100DF53E5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00840D25-5C48-4AF0-B0E9-867DDA5EC48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6E6AF3A9-ADC6-4103-BB07-F68C791F46C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F0BF211F-E613-4551-BC35-FD9052946C1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0799FE11-2ED5-432A-94B9-FBCD868D64C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32A415C-8309-455D-9525-76E5D04A06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B2416FE8-AF34-4C68-84A8-3AA3F35C14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39A0291-77A2-4F56-BD36-FA5B9037523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9304167C-11E2-4ACE-9287-AFFE3701CE6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AE0B8211-22DB-4C3B-B2EA-8C1DE747BD3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B3A4E65C-5017-4C6E-8A49-644FD0141BD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D67F04CE-D918-4BB4-BA97-B8D34A8E23C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E7EEB3A4-6E86-497F-9BA3-C00A3BE62948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<sst xmlns="http://schemas.openxmlformats.org/spreadsheetml/2006/main" count="2167" uniqueCount="373">
  <si>
    <t>Meningitis</t>
  </si>
  <si>
    <t>Malaria</t>
  </si>
  <si>
    <t>Sepsis</t>
  </si>
  <si>
    <t>MAM</t>
  </si>
  <si>
    <t>Field</t>
  </si>
  <si>
    <t>x</t>
  </si>
  <si>
    <t>Neonatal</t>
  </si>
  <si>
    <t>Normal</t>
  </si>
  <si>
    <t>N/A</t>
  </si>
  <si>
    <t>Outcome</t>
  </si>
  <si>
    <t>Value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</si>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</sst>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romesh/projects/nutrition/inputs/en/demo_demo_input.xlsx" TargetMode="External"/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38</v>
      </c>
      <c r="B1" s="30" t="s">
        <v>4</v>
      </c>
      <c r="C1" s="30" t="s">
        <v>43</v>
      </c>
    </row>
    <row r="2" spans="1:3" ht="16" customHeight="1" x14ac:dyDescent="0.3">
      <c r="A2" s="8" t="s">
        <v>74</v>
      </c>
      <c r="B2" s="30"/>
      <c r="C2" s="30"/>
    </row>
    <row r="3" spans="1:3" ht="16" customHeight="1" x14ac:dyDescent="0.3">
      <c r="A3" s="1"/>
      <c r="B3" s="5" t="s">
        <v>37</v>
      </c>
      <c r="C3" s="48">
        <v>2017</v>
      </c>
    </row>
    <row r="4" spans="1:3" ht="16" customHeight="1" x14ac:dyDescent="0.3">
      <c r="A4" s="1"/>
      <c r="B4" s="5" t="s">
        <v>45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50">
        <v>9862402</v>
      </c>
    </row>
    <row r="8" spans="1:3" ht="15" customHeight="1" x14ac:dyDescent="0.25">
      <c r="B8" s="5" t="s">
        <v>63</v>
      </c>
      <c r="C8" s="51">
        <v>0.28199999999999997</v>
      </c>
    </row>
    <row r="9" spans="1:3" ht="15" customHeight="1" x14ac:dyDescent="0.25">
      <c r="B9" s="5" t="s">
        <v>62</v>
      </c>
      <c r="C9" s="52">
        <v>1</v>
      </c>
    </row>
    <row r="10" spans="1:3" ht="15" customHeight="1" x14ac:dyDescent="0.25">
      <c r="B10" s="5" t="s">
        <v>75</v>
      </c>
      <c r="C10" s="52">
        <v>0.23</v>
      </c>
    </row>
    <row r="11" spans="1:3" ht="15" customHeight="1" x14ac:dyDescent="0.25">
      <c r="B11" s="5" t="s">
        <v>68</v>
      </c>
      <c r="C11" s="51">
        <v>0.51</v>
      </c>
    </row>
    <row r="12" spans="1:3" ht="15" customHeight="1" x14ac:dyDescent="0.25">
      <c r="B12" s="5" t="s">
        <v>60</v>
      </c>
      <c r="C12" s="51">
        <v>0.37</v>
      </c>
    </row>
    <row r="13" spans="1:3" ht="15" customHeight="1" x14ac:dyDescent="0.25">
      <c r="B13" s="5" t="s">
        <v>81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52">
        <v>0.3</v>
      </c>
    </row>
    <row r="17" spans="1:3" ht="15" customHeight="1" x14ac:dyDescent="0.25">
      <c r="B17" s="5" t="s">
        <v>49</v>
      </c>
      <c r="C17" s="52">
        <v>0.1</v>
      </c>
    </row>
    <row r="18" spans="1:3" ht="15" customHeight="1" x14ac:dyDescent="0.25">
      <c r="B18" s="5" t="s">
        <v>50</v>
      </c>
      <c r="C18" s="52">
        <v>0.1</v>
      </c>
    </row>
    <row r="19" spans="1:3" ht="15" customHeight="1" x14ac:dyDescent="0.25">
      <c r="B19" s="5" t="s">
        <v>48</v>
      </c>
      <c r="C19" s="52">
        <v>0.8</v>
      </c>
    </row>
    <row r="20" spans="1:3" ht="15" customHeight="1" x14ac:dyDescent="0.25">
      <c r="B20" s="5" t="s">
        <v>53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52">
        <v>0.127</v>
      </c>
    </row>
    <row r="24" spans="1:3" ht="15" customHeight="1" x14ac:dyDescent="0.25">
      <c r="B24" s="15" t="s">
        <v>65</v>
      </c>
      <c r="C24" s="52">
        <v>0.45200000000000001</v>
      </c>
    </row>
    <row r="25" spans="1:3" ht="15" customHeight="1" x14ac:dyDescent="0.25">
      <c r="B25" s="15" t="s">
        <v>66</v>
      </c>
      <c r="C25" s="52">
        <v>0.33400000000000002</v>
      </c>
    </row>
    <row r="26" spans="1:3" ht="15" customHeight="1" x14ac:dyDescent="0.25">
      <c r="B26" s="15" t="s">
        <v>67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4" t="s">
        <v>46</v>
      </c>
      <c r="C29" s="53">
        <v>0.20799999999999999</v>
      </c>
    </row>
    <row r="30" spans="1:3" ht="14.25" customHeight="1" x14ac:dyDescent="0.25">
      <c r="B30" s="24" t="s">
        <v>82</v>
      </c>
      <c r="C30" s="53">
        <v>0.63700000000000001</v>
      </c>
    </row>
    <row r="31" spans="1:3" ht="14.25" customHeight="1" x14ac:dyDescent="0.25">
      <c r="B31" s="24" t="s">
        <v>29</v>
      </c>
      <c r="C31" s="53">
        <v>0.11899999999999999</v>
      </c>
    </row>
    <row r="32" spans="1:3" ht="14.25" customHeight="1" x14ac:dyDescent="0.25">
      <c r="B32" s="24" t="s">
        <v>30</v>
      </c>
      <c r="C32" s="53">
        <v>3.5999999999999997E-2</v>
      </c>
    </row>
    <row r="33" spans="1:5" ht="13" x14ac:dyDescent="0.25">
      <c r="B33" s="26" t="s">
        <v>79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54">
        <v>25</v>
      </c>
    </row>
    <row r="38" spans="1:5" ht="15" customHeight="1" x14ac:dyDescent="0.25">
      <c r="B38" s="11" t="s">
        <v>54</v>
      </c>
      <c r="C38" s="54">
        <v>43</v>
      </c>
      <c r="D38" s="12"/>
      <c r="E38" s="13"/>
    </row>
    <row r="39" spans="1:5" ht="15" customHeight="1" x14ac:dyDescent="0.25">
      <c r="B39" s="11" t="s">
        <v>80</v>
      </c>
      <c r="C39" s="54">
        <v>67</v>
      </c>
      <c r="D39" s="12"/>
      <c r="E39" s="12"/>
    </row>
    <row r="40" spans="1:5" ht="15" customHeight="1" x14ac:dyDescent="0.25">
      <c r="B40" s="11" t="s">
        <v>55</v>
      </c>
      <c r="C40" s="54">
        <v>4.01</v>
      </c>
    </row>
    <row r="41" spans="1:5" ht="15" customHeight="1" x14ac:dyDescent="0.25">
      <c r="B41" s="11" t="s">
        <v>51</v>
      </c>
      <c r="C41" s="52">
        <v>0.13</v>
      </c>
    </row>
    <row r="42" spans="1:5" ht="15" customHeight="1" x14ac:dyDescent="0.25">
      <c r="B42" s="11" t="s">
        <v>76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52">
        <v>3.1E-2</v>
      </c>
      <c r="D45" s="12"/>
    </row>
    <row r="46" spans="1:5" ht="15.75" customHeight="1" x14ac:dyDescent="0.25">
      <c r="B46" s="11" t="s">
        <v>70</v>
      </c>
      <c r="C46" s="52">
        <v>0.109</v>
      </c>
      <c r="D46" s="12"/>
    </row>
    <row r="47" spans="1:5" ht="15.75" customHeight="1" x14ac:dyDescent="0.25">
      <c r="B47" s="11" t="s">
        <v>78</v>
      </c>
      <c r="C47" s="52">
        <v>0.36499999999999999</v>
      </c>
      <c r="D47" s="12"/>
      <c r="E47" s="13"/>
    </row>
    <row r="48" spans="1:5" ht="15" customHeight="1" x14ac:dyDescent="0.25">
      <c r="B48" s="11" t="s">
        <v>77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55">
        <v>1.66</v>
      </c>
      <c r="D51" s="12"/>
    </row>
    <row r="52" spans="1:4" ht="15" customHeight="1" x14ac:dyDescent="0.25">
      <c r="B52" s="11" t="s">
        <v>32</v>
      </c>
      <c r="C52" s="55">
        <v>1.66</v>
      </c>
    </row>
    <row r="53" spans="1:4" ht="15.75" customHeight="1" x14ac:dyDescent="0.25">
      <c r="B53" s="11" t="s">
        <v>35</v>
      </c>
      <c r="C53" s="55">
        <v>5.64</v>
      </c>
    </row>
    <row r="54" spans="1:4" ht="15.75" customHeight="1" x14ac:dyDescent="0.25">
      <c r="B54" s="11" t="s">
        <v>33</v>
      </c>
      <c r="C54" s="55">
        <v>5.43</v>
      </c>
    </row>
    <row r="55" spans="1:4" ht="15.75" customHeight="1" x14ac:dyDescent="0.25">
      <c r="B55" s="11" t="s">
        <v>34</v>
      </c>
      <c r="C55" s="55">
        <v>1.91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51">
        <v>0.2</v>
      </c>
    </row>
    <row r="59" spans="1:4" ht="15.75" customHeight="1" x14ac:dyDescent="0.25">
      <c r="B59" s="11" t="s">
        <v>59</v>
      </c>
      <c r="C59" s="51">
        <v>0.42</v>
      </c>
    </row>
    <row r="60" spans="1:4" ht="15.75" customHeight="1" x14ac:dyDescent="0.25">
      <c r="B60" s="11" t="s">
        <v>73</v>
      </c>
      <c r="C60" s="51">
        <v>4.5999999999999999E-2</v>
      </c>
    </row>
    <row r="61" spans="1:4" ht="15.75" customHeight="1" x14ac:dyDescent="0.25">
      <c r="B61" s="11" t="s">
        <v>72</v>
      </c>
      <c r="C61" s="51">
        <v>1.4E-2</v>
      </c>
    </row>
    <row r="62" spans="1:4" ht="15.75" customHeight="1" x14ac:dyDescent="0.25">
      <c r="B62" s="11" t="s">
        <v>83</v>
      </c>
      <c r="C62" s="51">
        <v>0.02</v>
      </c>
    </row>
    <row r="63" spans="1:4" ht="15.75" customHeight="1" x14ac:dyDescent="0.3">
      <c r="A63" s="4"/>
    </row>
  </sheetData>
  <sheetProtection algorithmName="SHA-512" hashValue="dcAkO0wm/Ogcc7kMob31Qk6vaYPjAPHvp2lKBU0TnlCJ9Z3/T6wTfdgGGkmxI3kSi3j6eGzglGKlD3BZVkwuMQ==" saltValue="ZJt0llHjdGvjzqNqqdesog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fN1VXYaFlyxHcnZw80dK7hFyAK9GfCberwwHPAJzFSOfG4Mw8VscJsnFmbv4rVU+MocWqJr1srrL5/8+R5LOqg==" saltValue="FQszbFPnQlL0WsmpHNz99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(2017) atribuible a la causa</v>
      </c>
      <c r="B1" s="30"/>
      <c r="C1" s="30"/>
      <c r="D1" s="30"/>
      <c r="E1" s="30"/>
      <c r="F1" s="30"/>
    </row>
    <row r="2" spans="1:8" ht="27.75" customHeight="1" x14ac:dyDescent="0.3">
      <c r="A2" t="s">
        <v>6</v>
      </c>
      <c r="B2" s="30" t="s">
        <v>101</v>
      </c>
      <c r="C2" s="30" t="s">
        <v>97</v>
      </c>
      <c r="D2" s="30"/>
      <c r="E2" s="30"/>
      <c r="F2" s="30"/>
      <c r="G2" s="30"/>
    </row>
    <row r="3" spans="1:8" ht="15.75" customHeight="1" x14ac:dyDescent="0.25">
      <c r="B3" s="19" t="s">
        <v>112</v>
      </c>
      <c r="C3" s="58">
        <v>2.7000000000000001E-3</v>
      </c>
    </row>
    <row r="4" spans="1:8" ht="15.75" customHeight="1" x14ac:dyDescent="0.25">
      <c r="B4" s="19" t="s">
        <v>116</v>
      </c>
      <c r="C4" s="58">
        <v>0.1966</v>
      </c>
    </row>
    <row r="5" spans="1:8" ht="15.75" customHeight="1" x14ac:dyDescent="0.25">
      <c r="B5" s="19" t="s">
        <v>114</v>
      </c>
      <c r="C5" s="58">
        <v>6.2100000000000002E-2</v>
      </c>
    </row>
    <row r="6" spans="1:8" ht="15.75" customHeight="1" x14ac:dyDescent="0.25">
      <c r="B6" s="19" t="s">
        <v>110</v>
      </c>
      <c r="C6" s="58">
        <v>0.29289999999999999</v>
      </c>
    </row>
    <row r="7" spans="1:8" ht="15.75" customHeight="1" x14ac:dyDescent="0.25">
      <c r="B7" s="19" t="s">
        <v>115</v>
      </c>
      <c r="C7" s="58">
        <v>0.24709999999999999</v>
      </c>
    </row>
    <row r="8" spans="1:8" ht="15.75" customHeight="1" x14ac:dyDescent="0.25">
      <c r="B8" s="19" t="s">
        <v>117</v>
      </c>
      <c r="C8" s="58">
        <v>4.7999999999999996E-3</v>
      </c>
    </row>
    <row r="9" spans="1:8" ht="15.75" customHeight="1" x14ac:dyDescent="0.25">
      <c r="B9" s="19" t="s">
        <v>111</v>
      </c>
      <c r="C9" s="58">
        <v>0.13200000000000001</v>
      </c>
    </row>
    <row r="10" spans="1:8" ht="15.75" customHeight="1" x14ac:dyDescent="0.25">
      <c r="B10" s="19" t="s">
        <v>113</v>
      </c>
      <c r="C10" s="58">
        <v>6.1800000000000001E-2</v>
      </c>
    </row>
    <row r="11" spans="1:8" ht="15.75" customHeight="1" x14ac:dyDescent="0.25">
      <c r="B11" s="26" t="s">
        <v>79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30" t="s">
        <v>101</v>
      </c>
      <c r="C13" s="18" t="s">
        <v>93</v>
      </c>
      <c r="D13" s="18" t="s">
        <v>96</v>
      </c>
      <c r="E13" s="18" t="s">
        <v>94</v>
      </c>
      <c r="F13" s="18" t="s">
        <v>95</v>
      </c>
      <c r="G13" s="19"/>
    </row>
    <row r="14" spans="1:8" ht="15.75" customHeight="1" x14ac:dyDescent="0.25">
      <c r="B14" s="19" t="s">
        <v>103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121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0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109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98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107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118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79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30" t="s">
        <v>101</v>
      </c>
      <c r="C25" s="30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8">
        <v>0.10082724000000001</v>
      </c>
    </row>
    <row r="27" spans="1:8" ht="15.75" customHeight="1" x14ac:dyDescent="0.25">
      <c r="B27" s="19" t="s">
        <v>108</v>
      </c>
      <c r="C27" s="58">
        <v>3.1206000000000002E-4</v>
      </c>
    </row>
    <row r="28" spans="1:8" ht="15.75" customHeight="1" x14ac:dyDescent="0.25">
      <c r="B28" s="19" t="s">
        <v>122</v>
      </c>
      <c r="C28" s="58">
        <v>0.15891214000000001</v>
      </c>
    </row>
    <row r="29" spans="1:8" ht="15.75" customHeight="1" x14ac:dyDescent="0.25">
      <c r="B29" s="19" t="s">
        <v>105</v>
      </c>
      <c r="C29" s="58">
        <v>0.12598688999999999</v>
      </c>
    </row>
    <row r="30" spans="1:8" ht="15.75" customHeight="1" x14ac:dyDescent="0.25">
      <c r="B30" s="19" t="s">
        <v>2</v>
      </c>
      <c r="C30" s="58">
        <v>0.12434007</v>
      </c>
    </row>
    <row r="31" spans="1:8" ht="15.75" customHeight="1" x14ac:dyDescent="0.25">
      <c r="B31" s="19" t="s">
        <v>99</v>
      </c>
      <c r="C31" s="58">
        <v>3.9028409999999999E-2</v>
      </c>
    </row>
    <row r="32" spans="1:8" ht="15.75" customHeight="1" x14ac:dyDescent="0.25">
      <c r="B32" s="19" t="s">
        <v>104</v>
      </c>
      <c r="C32" s="58">
        <v>8.5254999999999999E-4</v>
      </c>
    </row>
    <row r="33" spans="2:3" ht="15.75" customHeight="1" x14ac:dyDescent="0.25">
      <c r="B33" s="19" t="s">
        <v>119</v>
      </c>
      <c r="C33" s="58">
        <v>6.8467810000000004E-2</v>
      </c>
    </row>
    <row r="34" spans="2:3" ht="15.75" customHeight="1" x14ac:dyDescent="0.25">
      <c r="B34" s="19" t="s">
        <v>106</v>
      </c>
      <c r="C34" s="58">
        <v>0.38127283000000001</v>
      </c>
    </row>
    <row r="35" spans="2:3" ht="15.75" customHeight="1" x14ac:dyDescent="0.25">
      <c r="B35" s="26" t="s">
        <v>79</v>
      </c>
      <c r="C35" s="112">
        <f>SUM(C26:C34)</f>
        <v>1</v>
      </c>
    </row>
  </sheetData>
  <sheetProtection algorithmName="SHA-512" hashValue="6Emd86lnJk8jcOxRR8vsKfP7sdT/cacRbnQ451F0IHKjY3KYZdancEyzlN27xR4LokNK3lidTFjvgL1jYiHJkw==" saltValue="CPDBUxcOxejLvDiDAa+1gA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8" zoomScaleNormal="100" workbookViewId="0">
      <selection activeCell="C14" sqref="C14:O1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(2017)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113">
        <f>IFERROR(1-_xlfn.NORM.DIST(_xlfn.NORM.INV(SUM(C4:C5), 0, 1) + 1, 0, 1, TRUE), "")</f>
        <v>0.47702419856642964</v>
      </c>
      <c r="D2" s="113">
        <f>IFERROR(1-_xlfn.NORM.DIST(_xlfn.NORM.INV(SUM(D4:D5), 0, 1) + 1, 0, 1, TRUE), "")</f>
        <v>0.47702419856642964</v>
      </c>
      <c r="E2" s="113">
        <f>IFERROR(1-_xlfn.NORM.DIST(_xlfn.NORM.INV(SUM(E4:E5), 0, 1) + 1, 0, 1, TRUE), "")</f>
        <v>0.39561189127189544</v>
      </c>
      <c r="F2" s="113">
        <f>IFERROR(1-_xlfn.NORM.DIST(_xlfn.NORM.INV(SUM(F4:F5), 0, 1) + 1, 0, 1, TRUE), "")</f>
        <v>0.21320949938660438</v>
      </c>
      <c r="G2" s="113">
        <f>IFERROR(1-_xlfn.NORM.DIST(_xlfn.NORM.INV(SUM(G4:G5), 0, 1) + 1, 0, 1, TRUE), "")</f>
        <v>0.20249364172902928</v>
      </c>
    </row>
    <row r="3" spans="1:15" ht="15.75" customHeight="1" x14ac:dyDescent="0.25">
      <c r="B3" s="5" t="s">
        <v>127</v>
      </c>
      <c r="C3" s="113">
        <f>IFERROR(_xlfn.NORM.DIST(_xlfn.NORM.INV(SUM(C4:C5), 0, 1) + 1, 0, 1, TRUE) - SUM(C4:C5), "")</f>
        <v>0.34997580143357038</v>
      </c>
      <c r="D3" s="113">
        <f>IFERROR(_xlfn.NORM.DIST(_xlfn.NORM.INV(SUM(D4:D5), 0, 1) + 1, 0, 1, TRUE) - SUM(D4:D5), "")</f>
        <v>0.34997580143357038</v>
      </c>
      <c r="E3" s="113">
        <f>IFERROR(_xlfn.NORM.DIST(_xlfn.NORM.INV(SUM(E4:E5), 0, 1) + 1, 0, 1, TRUE) - SUM(E4:E5), "")</f>
        <v>0.37330306774449845</v>
      </c>
      <c r="F3" s="113">
        <f>IFERROR(_xlfn.NORM.DIST(_xlfn.NORM.INV(SUM(F4:F5), 0, 1) + 1, 0, 1, TRUE) - SUM(F4:F5), "")</f>
        <v>0.36787379495125261</v>
      </c>
      <c r="G3" s="113">
        <f>IFERROR(_xlfn.NORM.DIST(_xlfn.NORM.INV(SUM(G4:G5), 0, 1) + 1, 0, 1, TRUE) - SUM(G4:G5), "")</f>
        <v>0.36392076328140976</v>
      </c>
    </row>
    <row r="4" spans="1:15" ht="15.75" customHeight="1" x14ac:dyDescent="0.25">
      <c r="B4" s="5" t="s">
        <v>129</v>
      </c>
      <c r="C4" s="59">
        <v>0.107</v>
      </c>
      <c r="D4" s="59">
        <v>0.107</v>
      </c>
      <c r="E4" s="59">
        <v>0.154430327868852</v>
      </c>
      <c r="F4" s="59">
        <v>0.26673186710341601</v>
      </c>
      <c r="G4" s="59">
        <v>0.27929610299234497</v>
      </c>
    </row>
    <row r="5" spans="1:15" ht="15.75" customHeight="1" x14ac:dyDescent="0.25">
      <c r="B5" s="5" t="s">
        <v>125</v>
      </c>
      <c r="C5" s="59">
        <v>6.6000000000000003E-2</v>
      </c>
      <c r="D5" s="59">
        <v>6.6000000000000003E-2</v>
      </c>
      <c r="E5" s="59">
        <v>7.6654713114754094E-2</v>
      </c>
      <c r="F5" s="59">
        <v>0.152184838558727</v>
      </c>
      <c r="G5" s="59">
        <v>0.15428949199721601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141</v>
      </c>
      <c r="B8" s="5" t="s">
        <v>131</v>
      </c>
      <c r="C8" s="113">
        <f>IFERROR(1-_xlfn.NORM.DIST(_xlfn.NORM.INV(SUM(C10:C11), 0, 1) + 1, 0, 1, TRUE), "")</f>
        <v>0.54287526907834005</v>
      </c>
      <c r="D8" s="113">
        <f>IFERROR(1-_xlfn.NORM.DIST(_xlfn.NORM.INV(SUM(D10:D11), 0, 1) + 1, 0, 1, TRUE), "")</f>
        <v>0.54287526907834005</v>
      </c>
      <c r="E8" s="113">
        <f>IFERROR(1-_xlfn.NORM.DIST(_xlfn.NORM.INV(SUM(E10:E11), 0, 1) + 1, 0, 1, TRUE), "")</f>
        <v>0.63394133132364583</v>
      </c>
      <c r="F8" s="113">
        <f>IFERROR(1-_xlfn.NORM.DIST(_xlfn.NORM.INV(SUM(F10:F11), 0, 1) + 1, 0, 1, TRUE), "")</f>
        <v>0.6759433871062428</v>
      </c>
      <c r="G8" s="113">
        <f>IFERROR(1-_xlfn.NORM.DIST(_xlfn.NORM.INV(SUM(G10:G11), 0, 1) + 1, 0, 1, TRUE), "")</f>
        <v>0.74154276352799009</v>
      </c>
    </row>
    <row r="9" spans="1:15" ht="15.75" customHeight="1" x14ac:dyDescent="0.25">
      <c r="B9" s="5" t="s">
        <v>128</v>
      </c>
      <c r="C9" s="113">
        <f>IFERROR(_xlfn.NORM.DIST(_xlfn.NORM.INV(SUM(C10:C11), 0, 1) + 1, 0, 1, TRUE) - SUM(C10:C11), "")</f>
        <v>0.32312473092165994</v>
      </c>
      <c r="D9" s="113">
        <f>IFERROR(_xlfn.NORM.DIST(_xlfn.NORM.INV(SUM(D10:D11), 0, 1) + 1, 0, 1, TRUE) - SUM(D10:D11), "")</f>
        <v>0.32312473092165994</v>
      </c>
      <c r="E9" s="113">
        <f>IFERROR(_xlfn.NORM.DIST(_xlfn.NORM.INV(SUM(E10:E11), 0, 1) + 1, 0, 1, TRUE) - SUM(E10:E11), "")</f>
        <v>0.27631097636866186</v>
      </c>
      <c r="F9" s="113">
        <f>IFERROR(_xlfn.NORM.DIST(_xlfn.NORM.INV(SUM(F10:F11), 0, 1) + 1, 0, 1, TRUE) - SUM(F10:F11), "")</f>
        <v>0.25141348847841583</v>
      </c>
      <c r="G9" s="113">
        <f>IFERROR(_xlfn.NORM.DIST(_xlfn.NORM.INV(SUM(G10:G11), 0, 1) + 1, 0, 1, TRUE) - SUM(G10:G11), "")</f>
        <v>0.20879208046712927</v>
      </c>
    </row>
    <row r="10" spans="1:15" ht="15.75" customHeight="1" x14ac:dyDescent="0.25">
      <c r="B10" s="5" t="s">
        <v>126</v>
      </c>
      <c r="C10" s="59">
        <v>7.3999999999999996E-2</v>
      </c>
      <c r="D10" s="59">
        <v>7.3999999999999996E-2</v>
      </c>
      <c r="E10" s="59">
        <v>7.4022564102564095E-2</v>
      </c>
      <c r="F10" s="59">
        <v>6.2547708138447095E-2</v>
      </c>
      <c r="G10" s="59">
        <v>4.2330660624019502E-2</v>
      </c>
    </row>
    <row r="11" spans="1:15" ht="15.75" customHeight="1" x14ac:dyDescent="0.25">
      <c r="B11" s="5" t="s">
        <v>138</v>
      </c>
      <c r="C11" s="59">
        <v>0.06</v>
      </c>
      <c r="D11" s="59">
        <v>0.06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137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6TAzW/u3wbBZLakn6wwa3oVZQyqeneeLZreXxDeRTaDYWcBc+XuldbKNgvEZxHBjlwiL418bYdV2vvmJ2kJ0g==" saltValue="21UBNU95jF7mIjNu0wkZng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(2017)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1" t="s">
        <v>143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146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145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144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zwCqw9N0S2jyEu8bd+EGSb9QQxv0Ugwl4owz4FjCZM09X8+u/eMdYx33iHhZZ7Zc6wwZEiKJ0hwSulRW1C3jug==" saltValue="s3VqvpVqCi/f16XYljGVvw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154</v>
      </c>
      <c r="B1" s="29" t="s">
        <v>152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155</v>
      </c>
      <c r="B2" s="45" t="s">
        <v>149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157</v>
      </c>
      <c r="B4" s="45" t="s">
        <v>149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147</v>
      </c>
      <c r="B6" s="45" t="s">
        <v>149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123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158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153</v>
      </c>
      <c r="B10" s="45" t="s">
        <v>148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150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56</v>
      </c>
      <c r="B13" s="45" t="s">
        <v>156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151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Uxhn1ywGGP0EIAgQ9eKLg+DYP9PGOtdVUx4aDOA+pMwISWaKSXYCGftNOHyzomzKNB/E2HDiKlY7dBVOn+GLjA==" saltValue="Qe1N2ojLh3Xwcnog1Vann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B15" sqref="B15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14</v>
      </c>
      <c r="B1" s="29" t="s">
        <v>10</v>
      </c>
    </row>
    <row r="2" spans="1:2" x14ac:dyDescent="0.25">
      <c r="A2" s="27" t="s">
        <v>160</v>
      </c>
      <c r="B2" s="117">
        <v>3000.4442305317302</v>
      </c>
    </row>
    <row r="3" spans="1:2" x14ac:dyDescent="0.25">
      <c r="A3" s="27" t="s">
        <v>159</v>
      </c>
      <c r="B3" s="119">
        <v>0.03</v>
      </c>
    </row>
    <row r="4" spans="1:2" x14ac:dyDescent="0.25">
      <c r="A4" s="27" t="s">
        <v>170</v>
      </c>
      <c r="B4" s="119">
        <v>0.43146000000000001</v>
      </c>
    </row>
    <row r="5" spans="1:2" x14ac:dyDescent="0.25">
      <c r="A5" s="27" t="s">
        <v>161</v>
      </c>
      <c r="B5" s="119">
        <v>0.03</v>
      </c>
    </row>
    <row r="6" spans="1:2" x14ac:dyDescent="0.25">
      <c r="A6" s="27" t="s">
        <v>162</v>
      </c>
      <c r="B6" s="119">
        <v>0.03</v>
      </c>
    </row>
    <row r="7" spans="1:2" x14ac:dyDescent="0.25">
      <c r="A7" s="27" t="s">
        <v>165</v>
      </c>
      <c r="B7" s="115">
        <v>18</v>
      </c>
    </row>
    <row r="8" spans="1:2" x14ac:dyDescent="0.25">
      <c r="A8" s="27" t="s">
        <v>164</v>
      </c>
      <c r="B8" s="115">
        <v>65</v>
      </c>
    </row>
    <row r="9" spans="1:2" x14ac:dyDescent="0.25">
      <c r="A9" s="27" t="s">
        <v>166</v>
      </c>
      <c r="B9" s="119">
        <v>0.73801000000000005</v>
      </c>
    </row>
    <row r="10" spans="1:2" x14ac:dyDescent="0.25">
      <c r="A10" s="27" t="s">
        <v>163</v>
      </c>
      <c r="B10" s="119">
        <v>0.9</v>
      </c>
    </row>
    <row r="11" spans="1:2" x14ac:dyDescent="0.25">
      <c r="A11" s="27" t="s">
        <v>171</v>
      </c>
      <c r="B11" s="119">
        <v>0.66</v>
      </c>
    </row>
    <row r="12" spans="1:2" x14ac:dyDescent="0.25">
      <c r="A12" s="27" t="s">
        <v>172</v>
      </c>
      <c r="B12" s="119">
        <f>0.025</f>
        <v>2.5000000000000001E-2</v>
      </c>
    </row>
    <row r="13" spans="1:2" x14ac:dyDescent="0.25">
      <c r="A13" s="27" t="s">
        <v>173</v>
      </c>
      <c r="B13" s="119">
        <f>0.075</f>
        <v>7.4999999999999997E-2</v>
      </c>
    </row>
    <row r="14" spans="1:2" x14ac:dyDescent="0.25">
      <c r="A14" s="27" t="s">
        <v>174</v>
      </c>
      <c r="B14" s="118">
        <v>1.2190322671178365E-4</v>
      </c>
    </row>
    <row r="15" spans="1:2" x14ac:dyDescent="0.25">
      <c r="A15" s="27" t="s">
        <v>167</v>
      </c>
      <c r="B15" s="115">
        <v>0.5</v>
      </c>
    </row>
    <row r="16" spans="1:2" x14ac:dyDescent="0.25">
      <c r="A16" s="27" t="s">
        <v>168</v>
      </c>
      <c r="B16" s="115">
        <v>0.8</v>
      </c>
    </row>
    <row r="17" spans="1:15" x14ac:dyDescent="0.25">
      <c r="A17" s="27" t="s">
        <v>169</v>
      </c>
      <c r="B17" s="116">
        <v>1.0666666666666666E-2</v>
      </c>
    </row>
    <row r="18" spans="1:15" x14ac:dyDescent="0.25">
      <c r="A18" t="s">
        <v>175</v>
      </c>
      <c r="B18" s="119">
        <v>0.5</v>
      </c>
    </row>
    <row r="21" spans="1:15" ht="13" x14ac:dyDescent="0.3">
      <c r="A21" s="29" t="s">
        <v>11</v>
      </c>
      <c r="B21" s="27" t="s">
        <v>12</v>
      </c>
      <c r="C21" s="27" t="s">
        <v>13</v>
      </c>
      <c r="D21" s="27" t="s">
        <v>15</v>
      </c>
      <c r="E21" s="27" t="s">
        <v>16</v>
      </c>
      <c r="F21" s="27" t="s">
        <v>17</v>
      </c>
      <c r="G21" s="27" t="s">
        <v>18</v>
      </c>
      <c r="H21" s="27" t="s">
        <v>19</v>
      </c>
      <c r="I21" s="27" t="s">
        <v>20</v>
      </c>
      <c r="J21" s="27" t="s">
        <v>21</v>
      </c>
      <c r="K21" s="27" t="s">
        <v>22</v>
      </c>
      <c r="L21" s="27" t="s">
        <v>23</v>
      </c>
      <c r="M21" s="27" t="s">
        <v>24</v>
      </c>
      <c r="N21" s="27" t="s">
        <v>25</v>
      </c>
      <c r="O21" s="27" t="s">
        <v>26</v>
      </c>
    </row>
    <row r="22" spans="1:15" x14ac:dyDescent="0.25">
      <c r="A22" s="27" t="s">
        <v>176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algorithmName="SHA-512" hashValue="k6Z9TW47ImH/d6tx9/8gSefBhm1AhpVQvshLkPgpY2gRaZTu6n8ckL3GgBogjblS3Ha7EfaJrVzaXWBKXE71JA==" saltValue="s1llVZAN7OJTkfWcIqW/xg==" spinCount="100000" sheet="1" objects="1" scenarios="1"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183</v>
      </c>
      <c r="B1" s="38" t="s">
        <v>185</v>
      </c>
      <c r="C1" s="38" t="s">
        <v>179</v>
      </c>
      <c r="D1" s="38" t="s">
        <v>178</v>
      </c>
      <c r="E1" s="38" t="s">
        <v>184</v>
      </c>
    </row>
    <row r="2" spans="1:5" ht="13" x14ac:dyDescent="0.3">
      <c r="A2" s="36" t="s">
        <v>180</v>
      </c>
      <c r="B2" s="34" t="s">
        <v>123</v>
      </c>
      <c r="C2" s="62"/>
      <c r="D2" s="62"/>
      <c r="E2" s="44" t="str">
        <f>IF(E$7="","",E$7)</f>
        <v/>
      </c>
    </row>
    <row r="3" spans="1:5" x14ac:dyDescent="0.25">
      <c r="B3" s="34" t="s">
        <v>97</v>
      </c>
      <c r="C3" s="62" t="s">
        <v>5</v>
      </c>
      <c r="D3" s="62"/>
      <c r="E3" s="44" t="str">
        <f>IF(E$7="","",E$7)</f>
        <v/>
      </c>
    </row>
    <row r="4" spans="1:5" x14ac:dyDescent="0.25">
      <c r="B4" s="34" t="s">
        <v>93</v>
      </c>
      <c r="C4" s="62" t="s">
        <v>5</v>
      </c>
      <c r="D4" s="62"/>
      <c r="E4" s="44" t="str">
        <f>IF(E$7="","",E$7)</f>
        <v/>
      </c>
    </row>
    <row r="5" spans="1:5" x14ac:dyDescent="0.25">
      <c r="B5" s="34" t="s">
        <v>96</v>
      </c>
      <c r="C5" s="62" t="s">
        <v>5</v>
      </c>
      <c r="D5" s="62"/>
      <c r="E5" s="44" t="str">
        <f>IF(E$7="","",E$7)</f>
        <v/>
      </c>
    </row>
    <row r="6" spans="1:5" x14ac:dyDescent="0.25">
      <c r="B6" s="34" t="s">
        <v>94</v>
      </c>
      <c r="C6" s="62" t="s">
        <v>5</v>
      </c>
      <c r="D6" s="62"/>
      <c r="E6" s="44" t="str">
        <f>IF(E$7="","",E$7)</f>
        <v/>
      </c>
    </row>
    <row r="7" spans="1:5" x14ac:dyDescent="0.25">
      <c r="B7" s="34" t="s">
        <v>177</v>
      </c>
      <c r="C7" s="33"/>
      <c r="D7" s="32"/>
      <c r="E7" s="62"/>
    </row>
    <row r="9" spans="1:5" ht="13" x14ac:dyDescent="0.3">
      <c r="A9" s="36" t="s">
        <v>181</v>
      </c>
      <c r="B9" s="34" t="s">
        <v>123</v>
      </c>
      <c r="C9" s="62"/>
      <c r="D9" s="62"/>
      <c r="E9" s="44" t="str">
        <f>IF(E$7="","",E$7)</f>
        <v/>
      </c>
    </row>
    <row r="10" spans="1:5" x14ac:dyDescent="0.25">
      <c r="B10" s="34" t="s">
        <v>97</v>
      </c>
      <c r="C10" s="62"/>
      <c r="D10" s="62" t="s">
        <v>5</v>
      </c>
      <c r="E10" s="44" t="str">
        <f>IF(E$7="","",E$7)</f>
        <v/>
      </c>
    </row>
    <row r="11" spans="1:5" x14ac:dyDescent="0.25">
      <c r="B11" s="34" t="s">
        <v>93</v>
      </c>
      <c r="C11" s="62"/>
      <c r="D11" s="62" t="s">
        <v>5</v>
      </c>
      <c r="E11" s="44" t="str">
        <f>IF(E$7="","",E$7)</f>
        <v/>
      </c>
    </row>
    <row r="12" spans="1:5" x14ac:dyDescent="0.25">
      <c r="B12" s="34" t="s">
        <v>96</v>
      </c>
      <c r="C12" s="62"/>
      <c r="D12" s="62" t="s">
        <v>5</v>
      </c>
      <c r="E12" s="44" t="str">
        <f>IF(E$7="","",E$7)</f>
        <v/>
      </c>
    </row>
    <row r="13" spans="1:5" x14ac:dyDescent="0.25">
      <c r="B13" s="34" t="s">
        <v>94</v>
      </c>
      <c r="C13" s="62"/>
      <c r="D13" s="62" t="s">
        <v>5</v>
      </c>
      <c r="E13" s="44" t="str">
        <f>IF(E$7="","",E$7)</f>
        <v/>
      </c>
    </row>
    <row r="14" spans="1:5" x14ac:dyDescent="0.25">
      <c r="B14" s="34" t="s">
        <v>177</v>
      </c>
      <c r="C14" s="33"/>
      <c r="D14" s="32"/>
      <c r="E14" s="62"/>
    </row>
    <row r="16" spans="1:5" ht="13" x14ac:dyDescent="0.3">
      <c r="A16" s="36" t="s">
        <v>182</v>
      </c>
      <c r="B16" s="34" t="s">
        <v>123</v>
      </c>
      <c r="C16" s="62"/>
      <c r="D16" s="62"/>
      <c r="E16" s="44" t="str">
        <f>IF(E$7="","",E$7)</f>
        <v/>
      </c>
    </row>
    <row r="17" spans="2:5" x14ac:dyDescent="0.25">
      <c r="B17" s="34" t="s">
        <v>97</v>
      </c>
      <c r="C17" s="62"/>
      <c r="D17" s="62" t="s">
        <v>5</v>
      </c>
      <c r="E17" s="44" t="str">
        <f>IF(E$7="","",E$7)</f>
        <v/>
      </c>
    </row>
    <row r="18" spans="2:5" x14ac:dyDescent="0.25">
      <c r="B18" s="34" t="s">
        <v>93</v>
      </c>
      <c r="C18" s="62"/>
      <c r="D18" s="62" t="s">
        <v>5</v>
      </c>
      <c r="E18" s="44" t="str">
        <f>IF(E$7="","",E$7)</f>
        <v/>
      </c>
    </row>
    <row r="19" spans="2:5" x14ac:dyDescent="0.25">
      <c r="B19" s="34" t="s">
        <v>96</v>
      </c>
      <c r="C19" s="62"/>
      <c r="D19" s="62"/>
      <c r="E19" s="44" t="str">
        <f>IF(E$7="","",E$7)</f>
        <v/>
      </c>
    </row>
    <row r="20" spans="2:5" x14ac:dyDescent="0.25">
      <c r="B20" s="34" t="s">
        <v>94</v>
      </c>
      <c r="C20" s="62"/>
      <c r="D20" s="62"/>
      <c r="E20" s="44" t="str">
        <f>IF(E$7="","",E$7)</f>
        <v/>
      </c>
    </row>
    <row r="21" spans="2:5" x14ac:dyDescent="0.25">
      <c r="B21" s="34" t="s">
        <v>177</v>
      </c>
      <c r="C21" s="33"/>
      <c r="D21" s="32"/>
      <c r="E21" s="62"/>
    </row>
  </sheetData>
  <sheetProtection algorithmName="SHA-512" hashValue="HopFK0hEj75MXUrhZDp4XIMq14uRDeEmfM3JgSW6d1CiYxrYP97qPqWXkOfYe4RwDyc0prGKCcfQHxJohYZDSQ==" saltValue="2f+VWKujPdwPP9N4FWPyH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4</v>
      </c>
      <c r="B1" s="38" t="s">
        <v>188</v>
      </c>
      <c r="C1" s="47" t="s">
        <v>190</v>
      </c>
      <c r="D1" s="47" t="s">
        <v>186</v>
      </c>
    </row>
    <row r="2" spans="1:4" ht="13" x14ac:dyDescent="0.3">
      <c r="A2" s="47" t="s">
        <v>192</v>
      </c>
      <c r="B2" s="34" t="s">
        <v>193</v>
      </c>
      <c r="C2" s="34" t="s">
        <v>191</v>
      </c>
      <c r="D2" s="62"/>
    </row>
    <row r="3" spans="1:4" ht="13" x14ac:dyDescent="0.3">
      <c r="A3" s="47" t="s">
        <v>189</v>
      </c>
      <c r="B3" s="34" t="s">
        <v>179</v>
      </c>
      <c r="C3" s="34" t="s">
        <v>187</v>
      </c>
      <c r="D3" s="62"/>
    </row>
  </sheetData>
  <sheetProtection algorithmName="SHA-512" hashValue="+zQaq9DSDgk8tzNkYpv+6oXOZSMO4KYzvDAL7IX/nwkaCovKOw7AuHnoRfzPPTEPRFiNLBXAAOKczw1VuTM0Qg==" saltValue="P/kGgErgDcFE35+GYugdW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192</v>
      </c>
      <c r="B1" s="40" t="str">
        <f>"Cobertura de referencia ("&amp;start_year&amp;")"</f>
        <v>Cobertura de referencia (2017)</v>
      </c>
      <c r="C1" s="40" t="s">
        <v>223</v>
      </c>
      <c r="D1" s="40" t="s">
        <v>224</v>
      </c>
      <c r="E1" s="40" t="s">
        <v>197</v>
      </c>
      <c r="F1" s="40" t="s">
        <v>216</v>
      </c>
      <c r="G1" s="40" t="s">
        <v>215</v>
      </c>
    </row>
    <row r="2" spans="1:7" ht="15.75" customHeight="1" x14ac:dyDescent="0.25">
      <c r="A2" s="39" t="s">
        <v>194</v>
      </c>
      <c r="B2" s="63">
        <v>0</v>
      </c>
      <c r="C2" s="63">
        <v>0.95</v>
      </c>
      <c r="D2" s="64">
        <v>25</v>
      </c>
      <c r="E2" s="64" t="s">
        <v>212</v>
      </c>
      <c r="F2" s="63">
        <v>1</v>
      </c>
      <c r="G2" s="63">
        <v>1</v>
      </c>
    </row>
    <row r="3" spans="1:7" ht="15.75" customHeight="1" x14ac:dyDescent="0.25">
      <c r="A3" s="39" t="s">
        <v>195</v>
      </c>
      <c r="B3" s="63">
        <v>0</v>
      </c>
      <c r="C3" s="63">
        <v>0.95</v>
      </c>
      <c r="D3" s="64">
        <v>1</v>
      </c>
      <c r="E3" s="64" t="s">
        <v>212</v>
      </c>
      <c r="F3" s="63">
        <v>1</v>
      </c>
      <c r="G3" s="63">
        <v>1</v>
      </c>
    </row>
    <row r="4" spans="1:7" ht="15.75" customHeight="1" x14ac:dyDescent="0.25">
      <c r="A4" s="39" t="s">
        <v>196</v>
      </c>
      <c r="B4" s="63">
        <v>0</v>
      </c>
      <c r="C4" s="63">
        <v>0.95</v>
      </c>
      <c r="D4" s="64">
        <v>90</v>
      </c>
      <c r="E4" s="64" t="s">
        <v>212</v>
      </c>
      <c r="F4" s="63">
        <v>1</v>
      </c>
      <c r="G4" s="63">
        <v>1</v>
      </c>
    </row>
    <row r="5" spans="1:7" ht="15.75" customHeight="1" x14ac:dyDescent="0.25">
      <c r="A5" s="39" t="s">
        <v>198</v>
      </c>
      <c r="B5" s="63">
        <v>0</v>
      </c>
      <c r="C5" s="63">
        <v>0.95</v>
      </c>
      <c r="D5" s="64">
        <v>1</v>
      </c>
      <c r="E5" s="64" t="s">
        <v>212</v>
      </c>
      <c r="F5" s="63">
        <v>1</v>
      </c>
      <c r="G5" s="63">
        <v>1</v>
      </c>
    </row>
    <row r="6" spans="1:7" ht="15.75" customHeight="1" x14ac:dyDescent="0.25">
      <c r="A6" s="39" t="s">
        <v>199</v>
      </c>
      <c r="B6" s="63">
        <v>0</v>
      </c>
      <c r="C6" s="63">
        <v>0.95</v>
      </c>
      <c r="D6" s="64">
        <v>0.82</v>
      </c>
      <c r="E6" s="64" t="s">
        <v>212</v>
      </c>
      <c r="F6" s="63">
        <v>1</v>
      </c>
      <c r="G6" s="63">
        <v>1</v>
      </c>
    </row>
    <row r="7" spans="1:7" ht="15.75" customHeight="1" x14ac:dyDescent="0.25">
      <c r="A7" s="39" t="s">
        <v>200</v>
      </c>
      <c r="B7" s="63">
        <v>0.36</v>
      </c>
      <c r="C7" s="63">
        <v>0.95</v>
      </c>
      <c r="D7" s="64">
        <v>0.25</v>
      </c>
      <c r="E7" s="64" t="s">
        <v>212</v>
      </c>
      <c r="F7" s="63">
        <v>1</v>
      </c>
      <c r="G7" s="63">
        <v>1</v>
      </c>
    </row>
    <row r="8" spans="1:7" ht="15.75" customHeight="1" x14ac:dyDescent="0.25">
      <c r="A8" s="39" t="s">
        <v>201</v>
      </c>
      <c r="B8" s="63">
        <v>0</v>
      </c>
      <c r="C8" s="63">
        <v>0.95</v>
      </c>
      <c r="D8" s="64">
        <v>0.75</v>
      </c>
      <c r="E8" s="64" t="s">
        <v>212</v>
      </c>
      <c r="F8" s="63">
        <v>1</v>
      </c>
      <c r="G8" s="63">
        <v>1</v>
      </c>
    </row>
    <row r="9" spans="1:7" ht="15.75" customHeight="1" x14ac:dyDescent="0.25">
      <c r="A9" s="39" t="s">
        <v>202</v>
      </c>
      <c r="B9" s="63">
        <v>0</v>
      </c>
      <c r="C9" s="63">
        <v>0.95</v>
      </c>
      <c r="D9" s="64">
        <v>0.19</v>
      </c>
      <c r="E9" s="64" t="s">
        <v>212</v>
      </c>
      <c r="F9" s="63">
        <v>1</v>
      </c>
      <c r="G9" s="63">
        <v>1</v>
      </c>
    </row>
    <row r="10" spans="1:7" ht="15.75" customHeight="1" x14ac:dyDescent="0.25">
      <c r="A10" s="45" t="s">
        <v>203</v>
      </c>
      <c r="B10" s="63">
        <v>0</v>
      </c>
      <c r="C10" s="63">
        <v>0.95</v>
      </c>
      <c r="D10" s="64">
        <v>0.73</v>
      </c>
      <c r="E10" s="64" t="s">
        <v>212</v>
      </c>
      <c r="F10" s="63">
        <v>1</v>
      </c>
      <c r="G10" s="63">
        <v>1</v>
      </c>
    </row>
    <row r="11" spans="1:7" ht="15.75" customHeight="1" x14ac:dyDescent="0.25">
      <c r="A11" s="45" t="s">
        <v>204</v>
      </c>
      <c r="B11" s="63">
        <v>0</v>
      </c>
      <c r="C11" s="63">
        <v>0.95</v>
      </c>
      <c r="D11" s="64">
        <v>1.78</v>
      </c>
      <c r="E11" s="64" t="s">
        <v>212</v>
      </c>
      <c r="F11" s="63">
        <v>1</v>
      </c>
      <c r="G11" s="63">
        <v>1</v>
      </c>
    </row>
    <row r="12" spans="1:7" ht="15.75" customHeight="1" x14ac:dyDescent="0.25">
      <c r="A12" s="45" t="s">
        <v>205</v>
      </c>
      <c r="B12" s="63">
        <v>0</v>
      </c>
      <c r="C12" s="63">
        <v>0.95</v>
      </c>
      <c r="D12" s="64">
        <v>0.24</v>
      </c>
      <c r="E12" s="64" t="s">
        <v>212</v>
      </c>
      <c r="F12" s="63">
        <v>1</v>
      </c>
      <c r="G12" s="63">
        <v>1</v>
      </c>
    </row>
    <row r="13" spans="1:7" ht="15.75" customHeight="1" x14ac:dyDescent="0.25">
      <c r="A13" s="45" t="s">
        <v>206</v>
      </c>
      <c r="B13" s="63">
        <v>0</v>
      </c>
      <c r="C13" s="63">
        <v>0.95</v>
      </c>
      <c r="D13" s="64">
        <v>0.55000000000000004</v>
      </c>
      <c r="E13" s="64" t="s">
        <v>212</v>
      </c>
      <c r="F13" s="63">
        <v>1</v>
      </c>
      <c r="G13" s="63">
        <v>1</v>
      </c>
    </row>
    <row r="14" spans="1:7" ht="15.75" customHeight="1" x14ac:dyDescent="0.25">
      <c r="A14" s="5" t="s">
        <v>207</v>
      </c>
      <c r="B14" s="63">
        <v>0</v>
      </c>
      <c r="C14" s="63">
        <v>0.95</v>
      </c>
      <c r="D14" s="64">
        <v>0.73</v>
      </c>
      <c r="E14" s="64" t="s">
        <v>212</v>
      </c>
      <c r="F14" s="63">
        <v>1</v>
      </c>
      <c r="G14" s="63">
        <v>1</v>
      </c>
    </row>
    <row r="15" spans="1:7" ht="15.75" customHeight="1" x14ac:dyDescent="0.25">
      <c r="A15" s="5" t="s">
        <v>208</v>
      </c>
      <c r="B15" s="63">
        <v>0</v>
      </c>
      <c r="C15" s="63">
        <v>0.95</v>
      </c>
      <c r="D15" s="64">
        <v>1.78</v>
      </c>
      <c r="E15" s="64" t="s">
        <v>212</v>
      </c>
      <c r="F15" s="63">
        <v>1</v>
      </c>
      <c r="G15" s="63">
        <v>1</v>
      </c>
    </row>
    <row r="16" spans="1:7" ht="15.75" customHeight="1" x14ac:dyDescent="0.25">
      <c r="A16" s="39" t="s">
        <v>209</v>
      </c>
      <c r="B16" s="63">
        <v>0.9</v>
      </c>
      <c r="C16" s="63">
        <v>0.95</v>
      </c>
      <c r="D16" s="64">
        <v>2.06</v>
      </c>
      <c r="E16" s="64" t="s">
        <v>212</v>
      </c>
      <c r="F16" s="63">
        <v>1</v>
      </c>
      <c r="G16" s="63">
        <v>1</v>
      </c>
    </row>
    <row r="17" spans="1:7" ht="15.75" customHeight="1" x14ac:dyDescent="0.25">
      <c r="A17" s="39" t="s">
        <v>210</v>
      </c>
      <c r="B17" s="63">
        <v>0.80800000000000005</v>
      </c>
      <c r="C17" s="63">
        <v>0.95</v>
      </c>
      <c r="D17" s="64">
        <v>0.05</v>
      </c>
      <c r="E17" s="64" t="s">
        <v>212</v>
      </c>
      <c r="F17" s="63">
        <v>1</v>
      </c>
      <c r="G17" s="63">
        <v>1</v>
      </c>
    </row>
    <row r="18" spans="1:7" ht="16" customHeight="1" x14ac:dyDescent="0.25">
      <c r="A18" s="39" t="s">
        <v>180</v>
      </c>
      <c r="B18" s="63">
        <v>0</v>
      </c>
      <c r="C18" s="63">
        <v>0.95</v>
      </c>
      <c r="D18" s="64">
        <v>5</v>
      </c>
      <c r="E18" s="64" t="s">
        <v>212</v>
      </c>
      <c r="F18" s="63">
        <v>1</v>
      </c>
      <c r="G18" s="63">
        <v>1</v>
      </c>
    </row>
    <row r="19" spans="1:7" ht="15.75" customHeight="1" x14ac:dyDescent="0.25">
      <c r="A19" s="39" t="s">
        <v>181</v>
      </c>
      <c r="B19" s="63">
        <v>0</v>
      </c>
      <c r="C19" s="63">
        <v>0.95</v>
      </c>
      <c r="D19" s="64">
        <v>5</v>
      </c>
      <c r="E19" s="64" t="s">
        <v>212</v>
      </c>
      <c r="F19" s="63">
        <v>1</v>
      </c>
      <c r="G19" s="63">
        <v>1</v>
      </c>
    </row>
    <row r="20" spans="1:7" ht="15.75" customHeight="1" x14ac:dyDescent="0.25">
      <c r="A20" s="39" t="s">
        <v>182</v>
      </c>
      <c r="B20" s="63">
        <v>0</v>
      </c>
      <c r="C20" s="63">
        <v>0.95</v>
      </c>
      <c r="D20" s="64">
        <v>5</v>
      </c>
      <c r="E20" s="64" t="s">
        <v>212</v>
      </c>
      <c r="F20" s="63">
        <v>1</v>
      </c>
      <c r="G20" s="63">
        <v>1</v>
      </c>
    </row>
    <row r="21" spans="1:7" ht="15.75" customHeight="1" x14ac:dyDescent="0.25">
      <c r="A21" s="39" t="s">
        <v>211</v>
      </c>
      <c r="B21" s="63">
        <v>0</v>
      </c>
      <c r="C21" s="63">
        <v>0.95</v>
      </c>
      <c r="D21" s="64">
        <v>8.84</v>
      </c>
      <c r="E21" s="64" t="s">
        <v>212</v>
      </c>
      <c r="F21" s="63">
        <v>1</v>
      </c>
      <c r="G21" s="63">
        <v>1</v>
      </c>
    </row>
    <row r="22" spans="1:7" ht="15.75" customHeight="1" x14ac:dyDescent="0.25">
      <c r="A22" s="39" t="s">
        <v>213</v>
      </c>
      <c r="B22" s="63">
        <v>0</v>
      </c>
      <c r="C22" s="63">
        <v>0.95</v>
      </c>
      <c r="D22" s="64">
        <v>50</v>
      </c>
      <c r="E22" s="64" t="s">
        <v>212</v>
      </c>
      <c r="F22" s="63">
        <v>1</v>
      </c>
      <c r="G22" s="63">
        <v>1</v>
      </c>
    </row>
    <row r="23" spans="1:7" ht="15.75" customHeight="1" x14ac:dyDescent="0.25">
      <c r="A23" s="39" t="s">
        <v>214</v>
      </c>
      <c r="B23" s="63">
        <v>0.50800000000000001</v>
      </c>
      <c r="C23" s="63">
        <v>0.95</v>
      </c>
      <c r="D23" s="64">
        <v>2.61</v>
      </c>
      <c r="E23" s="64" t="s">
        <v>212</v>
      </c>
      <c r="F23" s="63">
        <v>1</v>
      </c>
      <c r="G23" s="63">
        <v>1</v>
      </c>
    </row>
    <row r="24" spans="1:7" ht="15.75" customHeight="1" x14ac:dyDescent="0.25">
      <c r="A24" s="39" t="s">
        <v>217</v>
      </c>
      <c r="B24" s="63">
        <v>0</v>
      </c>
      <c r="C24" s="63">
        <v>0.95</v>
      </c>
      <c r="D24" s="64">
        <v>1</v>
      </c>
      <c r="E24" s="64" t="s">
        <v>212</v>
      </c>
      <c r="F24" s="63">
        <v>1</v>
      </c>
      <c r="G24" s="63">
        <v>1</v>
      </c>
    </row>
    <row r="25" spans="1:7" ht="15.75" customHeight="1" x14ac:dyDescent="0.25">
      <c r="A25" s="39" t="s">
        <v>218</v>
      </c>
      <c r="B25" s="63">
        <v>0</v>
      </c>
      <c r="C25" s="63">
        <v>0.95</v>
      </c>
      <c r="D25" s="64">
        <v>1</v>
      </c>
      <c r="E25" s="64" t="s">
        <v>212</v>
      </c>
      <c r="F25" s="63">
        <v>1</v>
      </c>
      <c r="G25" s="63">
        <v>1</v>
      </c>
    </row>
    <row r="26" spans="1:7" ht="15.75" customHeight="1" x14ac:dyDescent="0.25">
      <c r="A26" s="39" t="s">
        <v>219</v>
      </c>
      <c r="B26" s="63">
        <v>0.1</v>
      </c>
      <c r="C26" s="63">
        <v>0.95</v>
      </c>
      <c r="D26" s="64">
        <v>4.6500000000000004</v>
      </c>
      <c r="E26" s="64" t="s">
        <v>212</v>
      </c>
      <c r="F26" s="63">
        <v>1</v>
      </c>
      <c r="G26" s="63">
        <v>1</v>
      </c>
    </row>
    <row r="27" spans="1:7" ht="15.75" customHeight="1" x14ac:dyDescent="0.25">
      <c r="A27" s="39" t="s">
        <v>220</v>
      </c>
      <c r="B27" s="63">
        <v>0.3538</v>
      </c>
      <c r="C27" s="63">
        <v>0.95</v>
      </c>
      <c r="D27" s="64">
        <v>3.78</v>
      </c>
      <c r="E27" s="64" t="s">
        <v>212</v>
      </c>
      <c r="F27" s="63">
        <v>1</v>
      </c>
      <c r="G27" s="63">
        <v>1</v>
      </c>
    </row>
    <row r="28" spans="1:7" ht="15.75" customHeight="1" x14ac:dyDescent="0.25">
      <c r="A28" s="39" t="s">
        <v>221</v>
      </c>
      <c r="B28" s="63">
        <v>0</v>
      </c>
      <c r="C28" s="63">
        <v>0.95</v>
      </c>
      <c r="D28" s="64">
        <v>1</v>
      </c>
      <c r="E28" s="64" t="s">
        <v>212</v>
      </c>
      <c r="F28" s="63">
        <v>1</v>
      </c>
      <c r="G28" s="63">
        <v>1</v>
      </c>
    </row>
    <row r="29" spans="1:7" ht="15.75" customHeight="1" x14ac:dyDescent="0.25">
      <c r="A29" s="39" t="s">
        <v>222</v>
      </c>
      <c r="B29" s="63">
        <v>0</v>
      </c>
      <c r="C29" s="63">
        <v>0.95</v>
      </c>
      <c r="D29" s="64">
        <v>48</v>
      </c>
      <c r="E29" s="64" t="s">
        <v>212</v>
      </c>
      <c r="F29" s="63">
        <v>1</v>
      </c>
      <c r="G29" s="63">
        <v>1</v>
      </c>
    </row>
    <row r="30" spans="1:7" ht="15.75" customHeight="1" x14ac:dyDescent="0.25">
      <c r="A30" s="39" t="s">
        <v>233</v>
      </c>
      <c r="B30" s="63">
        <v>0</v>
      </c>
      <c r="C30" s="63">
        <v>0.95</v>
      </c>
      <c r="D30" s="64">
        <v>64</v>
      </c>
      <c r="E30" s="64" t="s">
        <v>212</v>
      </c>
      <c r="F30" s="63">
        <v>1</v>
      </c>
      <c r="G30" s="63">
        <v>1</v>
      </c>
    </row>
    <row r="31" spans="1:7" ht="15.75" customHeight="1" x14ac:dyDescent="0.25">
      <c r="A31" s="39" t="s">
        <v>193</v>
      </c>
      <c r="B31" s="63">
        <v>0</v>
      </c>
      <c r="C31" s="63">
        <v>0.95</v>
      </c>
      <c r="D31" s="64">
        <v>65</v>
      </c>
      <c r="E31" s="64" t="s">
        <v>212</v>
      </c>
      <c r="F31" s="63">
        <v>1</v>
      </c>
      <c r="G31" s="63">
        <v>1</v>
      </c>
    </row>
    <row r="32" spans="1:7" ht="15.75" customHeight="1" x14ac:dyDescent="0.25">
      <c r="A32" s="39" t="s">
        <v>225</v>
      </c>
      <c r="B32" s="63">
        <v>0.89970000000000006</v>
      </c>
      <c r="C32" s="63">
        <v>0.95</v>
      </c>
      <c r="D32" s="64">
        <v>0.41</v>
      </c>
      <c r="E32" s="64" t="s">
        <v>212</v>
      </c>
      <c r="F32" s="63">
        <v>1</v>
      </c>
      <c r="G32" s="63">
        <v>1</v>
      </c>
    </row>
    <row r="33" spans="1:7" ht="15.75" customHeight="1" x14ac:dyDescent="0.25">
      <c r="A33" s="39" t="s">
        <v>226</v>
      </c>
      <c r="B33" s="63">
        <v>0.80700000000000005</v>
      </c>
      <c r="C33" s="63">
        <v>0.95</v>
      </c>
      <c r="D33" s="64">
        <v>0.9</v>
      </c>
      <c r="E33" s="64" t="s">
        <v>212</v>
      </c>
      <c r="F33" s="63">
        <v>1</v>
      </c>
      <c r="G33" s="63">
        <v>1</v>
      </c>
    </row>
    <row r="34" spans="1:7" ht="15.75" customHeight="1" x14ac:dyDescent="0.25">
      <c r="A34" s="39" t="s">
        <v>227</v>
      </c>
      <c r="B34" s="63">
        <v>0.73199999999999998</v>
      </c>
      <c r="C34" s="63">
        <v>0.95</v>
      </c>
      <c r="D34" s="64">
        <v>0.9</v>
      </c>
      <c r="E34" s="64" t="s">
        <v>212</v>
      </c>
      <c r="F34" s="63">
        <v>1</v>
      </c>
      <c r="G34" s="63">
        <v>1</v>
      </c>
    </row>
    <row r="35" spans="1:7" ht="15.75" customHeight="1" x14ac:dyDescent="0.25">
      <c r="A35" s="39" t="s">
        <v>228</v>
      </c>
      <c r="B35" s="63">
        <v>0.316</v>
      </c>
      <c r="C35" s="63">
        <v>0.95</v>
      </c>
      <c r="D35" s="64">
        <v>79</v>
      </c>
      <c r="E35" s="64" t="s">
        <v>212</v>
      </c>
      <c r="F35" s="63">
        <v>1</v>
      </c>
      <c r="G35" s="63">
        <v>1</v>
      </c>
    </row>
    <row r="36" spans="1:7" ht="15.75" customHeight="1" x14ac:dyDescent="0.25">
      <c r="A36" s="39" t="s">
        <v>229</v>
      </c>
      <c r="B36" s="63">
        <v>0.59699999999999998</v>
      </c>
      <c r="C36" s="63">
        <v>0.95</v>
      </c>
      <c r="D36" s="64">
        <v>31</v>
      </c>
      <c r="E36" s="64" t="s">
        <v>212</v>
      </c>
      <c r="F36" s="63">
        <v>1</v>
      </c>
      <c r="G36" s="63">
        <v>1</v>
      </c>
    </row>
    <row r="37" spans="1:7" ht="15.75" customHeight="1" x14ac:dyDescent="0.25">
      <c r="A37" s="39" t="s">
        <v>230</v>
      </c>
      <c r="B37" s="63">
        <v>0.19900000000000001</v>
      </c>
      <c r="C37" s="63">
        <v>0.95</v>
      </c>
      <c r="D37" s="64">
        <v>102</v>
      </c>
      <c r="E37" s="64" t="s">
        <v>212</v>
      </c>
      <c r="F37" s="63">
        <v>1</v>
      </c>
      <c r="G37" s="63">
        <v>1</v>
      </c>
    </row>
    <row r="38" spans="1:7" ht="15.75" customHeight="1" x14ac:dyDescent="0.25">
      <c r="A38" s="39" t="s">
        <v>231</v>
      </c>
      <c r="B38" s="63">
        <v>0.13400000000000001</v>
      </c>
      <c r="C38" s="63">
        <v>0.95</v>
      </c>
      <c r="D38" s="64">
        <v>5.53</v>
      </c>
      <c r="E38" s="64" t="s">
        <v>212</v>
      </c>
      <c r="F38" s="63">
        <v>1</v>
      </c>
      <c r="G38" s="63">
        <v>1</v>
      </c>
    </row>
    <row r="39" spans="1:7" ht="15.75" customHeight="1" x14ac:dyDescent="0.25">
      <c r="A39" s="39" t="s">
        <v>232</v>
      </c>
      <c r="B39" s="63">
        <v>0</v>
      </c>
      <c r="C39" s="63">
        <v>0.95</v>
      </c>
      <c r="D39" s="64">
        <v>1</v>
      </c>
      <c r="E39" s="64" t="s">
        <v>212</v>
      </c>
      <c r="F39" s="63">
        <v>1</v>
      </c>
      <c r="G39" s="63">
        <v>1</v>
      </c>
    </row>
  </sheetData>
  <sheetProtection algorithmName="SHA-512" hashValue="28okrP3RO5qVzFVGf1yA6sVvnzk0jHZx93YJh6Pl+mgyBHEADxYeQmMRmep0JqBLLjjgx0kH/yh22/TWua553g==" saltValue="0BmBu3zaysYWgoWf+g+hAg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'Opciones de la curva de costos'!$A$1:$A$4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13" sqref="B13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192</v>
      </c>
      <c r="B1" s="29" t="s">
        <v>234</v>
      </c>
      <c r="C1" s="29" t="s">
        <v>235</v>
      </c>
    </row>
    <row r="2" spans="1:3" x14ac:dyDescent="0.25">
      <c r="A2" s="65" t="s">
        <v>207</v>
      </c>
      <c r="B2" s="62" t="s">
        <v>220</v>
      </c>
      <c r="C2" s="62"/>
    </row>
    <row r="3" spans="1:3" x14ac:dyDescent="0.25">
      <c r="A3" s="65" t="s">
        <v>208</v>
      </c>
      <c r="B3" s="62" t="s">
        <v>220</v>
      </c>
      <c r="C3" s="62"/>
    </row>
    <row r="4" spans="1:3" x14ac:dyDescent="0.25">
      <c r="A4" s="66" t="s">
        <v>222</v>
      </c>
      <c r="B4" s="62" t="s">
        <v>213</v>
      </c>
      <c r="C4" s="62"/>
    </row>
    <row r="5" spans="1:3" x14ac:dyDescent="0.25">
      <c r="A5" s="66" t="s">
        <v>222</v>
      </c>
      <c r="B5" s="62" t="s">
        <v>233</v>
      </c>
      <c r="C5" s="62"/>
    </row>
    <row r="6" spans="1:3" x14ac:dyDescent="0.25">
      <c r="A6" s="66" t="s">
        <v>219</v>
      </c>
      <c r="B6" s="67" t="s">
        <v>233</v>
      </c>
      <c r="C6" s="67"/>
    </row>
    <row r="7" spans="1:3" x14ac:dyDescent="0.25">
      <c r="A7" s="66" t="s">
        <v>232</v>
      </c>
      <c r="B7" s="67" t="s">
        <v>233</v>
      </c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SLRGOgl2fhuYBlB/hYLkdPik4o+qSnGRikbwLhSCXB8m88rAvd4oxV/gC/xTic/qIaN0it1PN54cKYTvaol0aQ==" saltValue="JX/+2W3lI5CGVly+6QF+n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192</v>
      </c>
    </row>
    <row r="2" spans="1:1" x14ac:dyDescent="0.25">
      <c r="A2" s="35" t="s">
        <v>199</v>
      </c>
    </row>
    <row r="3" spans="1:1" x14ac:dyDescent="0.25">
      <c r="A3" s="35" t="s">
        <v>209</v>
      </c>
    </row>
    <row r="4" spans="1:1" x14ac:dyDescent="0.25">
      <c r="A4" s="35" t="s">
        <v>214</v>
      </c>
    </row>
    <row r="5" spans="1:1" x14ac:dyDescent="0.25">
      <c r="A5" s="35" t="s">
        <v>226</v>
      </c>
    </row>
    <row r="6" spans="1:1" x14ac:dyDescent="0.25">
      <c r="A6" s="35" t="s">
        <v>227</v>
      </c>
    </row>
    <row r="7" spans="1:1" x14ac:dyDescent="0.25">
      <c r="A7" s="35" t="s">
        <v>228</v>
      </c>
    </row>
    <row r="8" spans="1:1" x14ac:dyDescent="0.25">
      <c r="A8" s="35" t="s">
        <v>229</v>
      </c>
    </row>
    <row r="9" spans="1:1" x14ac:dyDescent="0.25">
      <c r="A9" s="35" t="s">
        <v>230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6lWqU3MCEwqEROMUiarN5WP/F93aEGTaX1Kewo5d6jPeVXrdTT0DQtWc9nSJPlh5yhurdFm16b1uZTxDT6I+wQ==" saltValue="g5UNxksbPZL15XV3RP2HB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1.66</v>
      </c>
      <c r="C2" s="21">
        <f>'Entradas de población-año base'!C52</f>
        <v>1.66</v>
      </c>
      <c r="D2" s="21">
        <f>'Entradas de población-año base'!C53</f>
        <v>5.64</v>
      </c>
      <c r="E2" s="21">
        <f>'Entradas de población-año base'!C54</f>
        <v>5.43</v>
      </c>
      <c r="F2" s="21">
        <f>'Entradas de población-año base'!C55</f>
        <v>1.91</v>
      </c>
    </row>
    <row r="3" spans="1:6" ht="15.75" customHeight="1" x14ac:dyDescent="0.25">
      <c r="A3" s="3" t="s">
        <v>3</v>
      </c>
      <c r="B3" s="21">
        <f>frac_mam_1month * 2.6</f>
        <v>0.19239999999999999</v>
      </c>
      <c r="C3" s="21">
        <f>frac_mam_1_5months * 2.6</f>
        <v>0.19239999999999999</v>
      </c>
      <c r="D3" s="21">
        <f>frac_mam_6_11months * 2.6</f>
        <v>0.19245866666666667</v>
      </c>
      <c r="E3" s="21">
        <f>frac_mam_12_23months * 2.6</f>
        <v>0.16262404115996246</v>
      </c>
      <c r="F3" s="21">
        <f>frac_mam_24_59months * 2.6</f>
        <v>0.1100597176224507</v>
      </c>
    </row>
    <row r="4" spans="1:6" ht="15.75" customHeight="1" x14ac:dyDescent="0.25">
      <c r="A4" s="3" t="s">
        <v>236</v>
      </c>
      <c r="B4" s="21">
        <f>frac_sam_1month * 2.6</f>
        <v>0.156</v>
      </c>
      <c r="C4" s="21">
        <f>frac_sam_1_5months * 2.6</f>
        <v>0.156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4KHLF/tVBAH8eghgVYPjU8LfiazLAa5YHgnHcYQlx276KyWCraGB9WYjv8k76Qdli0tAquyW45bq6DlfZmj3pA==" saltValue="/tEchpLCcgyzi31/RfNha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198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211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213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219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221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222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233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193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225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231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232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195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207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208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209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217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218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220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45" t="s">
        <v>199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203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204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205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206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201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202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210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214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226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227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228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229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230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h3MIQXg7kkw4iFe1prGoI/7/kygJcFaoxvS9wO0OVZTep2fu8BqbxxvrdfE6cEeYGbClX608iAtaooQ2VOVfsQ==" saltValue="yPDk/V+N4t/ilLH+2pBD9A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wOL+I6jIbxYhmHWlRCPQCVfqJ83Zvl7QS1wjyxREpk+Kc2Hr/i3VA+HXQun5ZkZSjxAECzwQUCPtdvlGzXNN7w==" saltValue="KklZNtjhF/sswcgYmUe8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253</v>
      </c>
      <c r="B1" s="29" t="s">
        <v>246</v>
      </c>
      <c r="C1" s="29" t="s">
        <v>257</v>
      </c>
      <c r="D1" s="29" t="s">
        <v>245</v>
      </c>
      <c r="E1" s="29" t="s">
        <v>255</v>
      </c>
    </row>
    <row r="2" spans="1:5" ht="14" x14ac:dyDescent="0.3">
      <c r="A2" s="28" t="s">
        <v>244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247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251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250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254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256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248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249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WDy0RICXMg02+R1j0JSZ8eBQPDInWVh0p069e7/f7ZNookQKics0+68/e/XchUAskCEOiXKghpJWgj5AbZNRVQ==" saltValue="Wg6itI9X72QLkSAW7Pn68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238</v>
      </c>
      <c r="B1" s="71" t="s">
        <v>192</v>
      </c>
      <c r="C1" s="43" t="s">
        <v>97</v>
      </c>
      <c r="D1" s="43" t="s">
        <v>93</v>
      </c>
      <c r="E1" s="43" t="s">
        <v>96</v>
      </c>
      <c r="F1" s="43" t="s">
        <v>94</v>
      </c>
      <c r="G1" s="43" t="s">
        <v>95</v>
      </c>
      <c r="H1" s="43" t="s">
        <v>132</v>
      </c>
      <c r="I1" s="43" t="s">
        <v>133</v>
      </c>
      <c r="J1" s="43" t="s">
        <v>134</v>
      </c>
      <c r="K1" s="43" t="s">
        <v>135</v>
      </c>
      <c r="L1" s="43" t="s">
        <v>87</v>
      </c>
      <c r="M1" s="43" t="s">
        <v>88</v>
      </c>
      <c r="N1" s="43" t="s">
        <v>89</v>
      </c>
      <c r="O1" s="43" t="s">
        <v>90</v>
      </c>
    </row>
    <row r="2" spans="1:15" ht="15.75" customHeight="1" x14ac:dyDescent="0.35">
      <c r="A2" s="43" t="s">
        <v>102</v>
      </c>
      <c r="B2" s="39" t="s">
        <v>196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198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180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181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182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211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213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219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221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222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233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193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225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231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232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123</v>
      </c>
      <c r="B18" s="39" t="s">
        <v>194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195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207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208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209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217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218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220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240</v>
      </c>
      <c r="B27" s="39" t="s">
        <v>199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203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204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205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206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239</v>
      </c>
      <c r="B33" s="39" t="s">
        <v>200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201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202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210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214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226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227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228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229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230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uuhG87P9O1HIiFyTEv0eBkle5xNnccDBWQ+b1vDwlgfxi3FxN7h9Ry4Ht+K1tqh3OODmDJnw/6n1+yW+5BoDeg==" saltValue="b5CfDy8E3RMxLGgNMqH4t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topLeftCell="A12" workbookViewId="0">
      <selection activeCell="H14" sqref="H1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192</v>
      </c>
      <c r="B1" s="27" t="s">
        <v>260</v>
      </c>
      <c r="C1" s="27" t="s">
        <v>124</v>
      </c>
      <c r="D1" s="27" t="s">
        <v>261</v>
      </c>
      <c r="E1" s="27" t="s">
        <v>262</v>
      </c>
      <c r="F1" s="27" t="s">
        <v>142</v>
      </c>
      <c r="G1" s="27" t="s">
        <v>103</v>
      </c>
      <c r="H1" s="27" t="s">
        <v>56</v>
      </c>
      <c r="I1" s="27" t="s">
        <v>259</v>
      </c>
      <c r="J1" s="27" t="s">
        <v>41</v>
      </c>
      <c r="K1" s="27" t="s">
        <v>258</v>
      </c>
      <c r="L1" s="27" t="s">
        <v>263</v>
      </c>
    </row>
    <row r="2" spans="1:12" x14ac:dyDescent="0.25">
      <c r="A2" s="39" t="s">
        <v>194</v>
      </c>
      <c r="B2" s="100"/>
      <c r="C2" s="100"/>
      <c r="D2" s="100"/>
      <c r="E2" s="100"/>
      <c r="F2" s="100"/>
      <c r="G2" s="100"/>
      <c r="H2" s="100"/>
      <c r="I2" s="100" t="s">
        <v>5</v>
      </c>
      <c r="J2" s="100"/>
      <c r="K2" s="100"/>
      <c r="L2" s="100"/>
    </row>
    <row r="3" spans="1:12" x14ac:dyDescent="0.25">
      <c r="A3" s="39" t="s">
        <v>195</v>
      </c>
      <c r="B3" s="100"/>
      <c r="C3" s="100"/>
      <c r="D3" s="100"/>
      <c r="E3" s="100"/>
      <c r="F3" s="100"/>
      <c r="G3" s="100"/>
      <c r="H3" s="100" t="s">
        <v>5</v>
      </c>
      <c r="I3" s="100" t="s">
        <v>5</v>
      </c>
      <c r="J3" s="100"/>
      <c r="K3" s="100"/>
      <c r="L3" s="100"/>
    </row>
    <row r="4" spans="1:12" x14ac:dyDescent="0.25">
      <c r="A4" s="39" t="s">
        <v>196</v>
      </c>
      <c r="B4" s="100" t="s">
        <v>5</v>
      </c>
      <c r="C4" s="100"/>
      <c r="D4" s="100" t="s">
        <v>5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198</v>
      </c>
      <c r="B5" s="100"/>
      <c r="C5" s="100" t="s">
        <v>5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199</v>
      </c>
      <c r="B6" s="100"/>
      <c r="C6" s="100"/>
      <c r="D6" s="100"/>
      <c r="E6" s="100"/>
      <c r="F6" s="100"/>
      <c r="G6" s="100"/>
      <c r="H6" s="100"/>
      <c r="I6" s="100"/>
      <c r="J6" s="100" t="s">
        <v>5</v>
      </c>
      <c r="K6" s="100" t="s">
        <v>5</v>
      </c>
      <c r="L6" s="100"/>
    </row>
    <row r="7" spans="1:12" x14ac:dyDescent="0.25">
      <c r="A7" s="39" t="s">
        <v>200</v>
      </c>
      <c r="B7" s="100"/>
      <c r="C7" s="100" t="s">
        <v>5</v>
      </c>
      <c r="D7" s="100"/>
      <c r="E7" s="100"/>
      <c r="F7" s="100"/>
      <c r="G7" s="100"/>
      <c r="H7" s="100" t="s">
        <v>5</v>
      </c>
      <c r="I7" s="100"/>
      <c r="J7" s="100"/>
      <c r="K7" s="100"/>
      <c r="L7" s="100"/>
    </row>
    <row r="8" spans="1:12" x14ac:dyDescent="0.25">
      <c r="A8" s="39" t="s">
        <v>201</v>
      </c>
      <c r="B8" s="100"/>
      <c r="C8" s="100" t="s">
        <v>5</v>
      </c>
      <c r="D8" s="100"/>
      <c r="E8" s="100"/>
      <c r="F8" s="100"/>
      <c r="G8" s="100"/>
      <c r="H8" s="100" t="s">
        <v>5</v>
      </c>
      <c r="I8" s="100"/>
      <c r="J8" s="100"/>
      <c r="K8" s="100"/>
      <c r="L8" s="100"/>
    </row>
    <row r="9" spans="1:12" x14ac:dyDescent="0.25">
      <c r="A9" s="39" t="s">
        <v>202</v>
      </c>
      <c r="B9" s="100"/>
      <c r="C9" s="100" t="s">
        <v>5</v>
      </c>
      <c r="D9" s="100"/>
      <c r="E9" s="100"/>
      <c r="F9" s="100"/>
      <c r="G9" s="100"/>
      <c r="H9" s="100" t="s">
        <v>5</v>
      </c>
      <c r="I9" s="100"/>
      <c r="J9" s="100"/>
      <c r="K9" s="100"/>
      <c r="L9" s="100"/>
    </row>
    <row r="10" spans="1:12" x14ac:dyDescent="0.25">
      <c r="A10" s="45" t="s">
        <v>203</v>
      </c>
      <c r="B10" s="100"/>
      <c r="C10" s="100" t="s">
        <v>5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204</v>
      </c>
      <c r="B11" s="100"/>
      <c r="C11" s="100" t="s">
        <v>5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205</v>
      </c>
      <c r="B12" s="100"/>
      <c r="C12" s="100" t="s">
        <v>5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206</v>
      </c>
      <c r="B13" s="100"/>
      <c r="C13" s="100" t="s">
        <v>5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207</v>
      </c>
      <c r="B14" s="100"/>
      <c r="C14" s="100" t="s">
        <v>5</v>
      </c>
      <c r="D14" s="100"/>
      <c r="E14" s="100"/>
      <c r="F14" s="100"/>
      <c r="G14" s="100"/>
      <c r="H14" s="100"/>
      <c r="I14" s="100" t="s">
        <v>5</v>
      </c>
      <c r="J14" s="100"/>
      <c r="K14" s="100"/>
      <c r="L14" s="100"/>
    </row>
    <row r="15" spans="1:12" x14ac:dyDescent="0.25">
      <c r="A15" s="72" t="s">
        <v>208</v>
      </c>
      <c r="B15" s="100"/>
      <c r="C15" s="100" t="s">
        <v>5</v>
      </c>
      <c r="D15" s="100"/>
      <c r="E15" s="100"/>
      <c r="F15" s="100"/>
      <c r="G15" s="100"/>
      <c r="H15" s="100"/>
      <c r="I15" s="100" t="s">
        <v>5</v>
      </c>
      <c r="J15" s="100"/>
      <c r="K15" s="100"/>
      <c r="L15" s="100"/>
    </row>
    <row r="16" spans="1:12" x14ac:dyDescent="0.25">
      <c r="A16" s="39" t="s">
        <v>209</v>
      </c>
      <c r="B16" s="100"/>
      <c r="C16" s="100" t="s">
        <v>5</v>
      </c>
      <c r="D16" s="100"/>
      <c r="E16" s="100"/>
      <c r="F16" s="100"/>
      <c r="G16" s="100"/>
      <c r="H16" s="100" t="s">
        <v>5</v>
      </c>
      <c r="I16" s="100" t="s">
        <v>5</v>
      </c>
      <c r="J16" s="100"/>
      <c r="K16" s="100"/>
      <c r="L16" s="100"/>
    </row>
    <row r="17" spans="1:12" x14ac:dyDescent="0.25">
      <c r="A17" s="39" t="s">
        <v>210</v>
      </c>
      <c r="B17" s="100"/>
      <c r="C17" s="100" t="s">
        <v>5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180</v>
      </c>
      <c r="B18" s="100" t="s">
        <v>5</v>
      </c>
      <c r="C18" s="100"/>
      <c r="D18" s="100"/>
      <c r="E18" s="100"/>
      <c r="F18" s="100" t="s">
        <v>5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181</v>
      </c>
      <c r="B19" s="100" t="s">
        <v>5</v>
      </c>
      <c r="C19" s="100"/>
      <c r="D19" s="100"/>
      <c r="E19" s="100"/>
      <c r="F19" s="100" t="s">
        <v>5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182</v>
      </c>
      <c r="B20" s="100" t="s">
        <v>5</v>
      </c>
      <c r="C20" s="100"/>
      <c r="D20" s="100"/>
      <c r="E20" s="100"/>
      <c r="F20" s="100" t="s">
        <v>5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211</v>
      </c>
      <c r="B21" s="100"/>
      <c r="C21" s="100"/>
      <c r="D21" s="100"/>
      <c r="E21" s="100"/>
      <c r="F21" s="100"/>
      <c r="G21" s="100"/>
      <c r="H21" s="100" t="s">
        <v>5</v>
      </c>
      <c r="I21" s="100" t="s">
        <v>5</v>
      </c>
      <c r="J21" s="100"/>
      <c r="K21" s="100"/>
      <c r="L21" s="100"/>
    </row>
    <row r="22" spans="1:12" x14ac:dyDescent="0.25">
      <c r="A22" s="39" t="s">
        <v>213</v>
      </c>
      <c r="B22" s="100" t="s">
        <v>5</v>
      </c>
      <c r="C22" s="100" t="s">
        <v>5</v>
      </c>
      <c r="D22" s="100" t="s">
        <v>5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214</v>
      </c>
      <c r="B23" s="100"/>
      <c r="C23" s="100" t="s">
        <v>5</v>
      </c>
      <c r="D23" s="100"/>
      <c r="E23" s="100"/>
      <c r="F23" s="100"/>
      <c r="G23" s="100"/>
      <c r="H23" s="100"/>
      <c r="I23" s="100" t="s">
        <v>5</v>
      </c>
      <c r="J23" s="100"/>
      <c r="K23" s="100"/>
      <c r="L23" s="100"/>
    </row>
    <row r="24" spans="1:12" x14ac:dyDescent="0.25">
      <c r="A24" s="39" t="s">
        <v>217</v>
      </c>
      <c r="B24" s="100"/>
      <c r="C24" s="100"/>
      <c r="D24" s="100"/>
      <c r="E24" s="100"/>
      <c r="F24" s="100"/>
      <c r="G24" s="100"/>
      <c r="H24" s="100" t="s">
        <v>5</v>
      </c>
      <c r="I24" s="100"/>
      <c r="J24" s="100"/>
      <c r="K24" s="100"/>
      <c r="L24" s="100"/>
    </row>
    <row r="25" spans="1:12" x14ac:dyDescent="0.25">
      <c r="A25" s="39" t="s">
        <v>218</v>
      </c>
      <c r="B25" s="100"/>
      <c r="C25" s="100"/>
      <c r="D25" s="100"/>
      <c r="E25" s="100"/>
      <c r="F25" s="100"/>
      <c r="G25" s="100"/>
      <c r="H25" s="100" t="s">
        <v>5</v>
      </c>
      <c r="I25" s="100"/>
      <c r="J25" s="100"/>
      <c r="K25" s="100"/>
      <c r="L25" s="100"/>
    </row>
    <row r="26" spans="1:12" x14ac:dyDescent="0.25">
      <c r="A26" s="39" t="s">
        <v>219</v>
      </c>
      <c r="B26" s="100"/>
      <c r="C26" s="100" t="s">
        <v>5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220</v>
      </c>
      <c r="B27" s="100"/>
      <c r="C27" s="100" t="s">
        <v>5</v>
      </c>
      <c r="D27" s="100"/>
      <c r="E27" s="100"/>
      <c r="F27" s="100"/>
      <c r="G27" s="100"/>
      <c r="H27" s="100"/>
      <c r="I27" s="100" t="s">
        <v>5</v>
      </c>
      <c r="J27" s="100"/>
      <c r="K27" s="100"/>
      <c r="L27" s="100" t="s">
        <v>5</v>
      </c>
    </row>
    <row r="28" spans="1:12" x14ac:dyDescent="0.25">
      <c r="A28" s="39" t="s">
        <v>221</v>
      </c>
      <c r="B28" s="100"/>
      <c r="C28" s="100"/>
      <c r="D28" s="100"/>
      <c r="E28" s="100"/>
      <c r="F28" s="100"/>
      <c r="G28" s="100"/>
      <c r="H28" s="100" t="s">
        <v>5</v>
      </c>
      <c r="I28" s="100"/>
      <c r="J28" s="100"/>
      <c r="K28" s="100"/>
      <c r="L28" s="100"/>
    </row>
    <row r="29" spans="1:12" x14ac:dyDescent="0.25">
      <c r="A29" s="39" t="s">
        <v>222</v>
      </c>
      <c r="B29" s="100" t="s">
        <v>5</v>
      </c>
      <c r="C29" s="100"/>
      <c r="D29" s="100" t="s">
        <v>5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233</v>
      </c>
      <c r="B30" s="100" t="s">
        <v>5</v>
      </c>
      <c r="C30" s="100" t="s">
        <v>5</v>
      </c>
      <c r="D30" s="100" t="s">
        <v>5</v>
      </c>
      <c r="E30" s="100"/>
      <c r="F30" s="100"/>
      <c r="G30" s="100"/>
      <c r="H30" s="100" t="s">
        <v>5</v>
      </c>
      <c r="I30" s="100"/>
      <c r="J30" s="100"/>
      <c r="K30" s="100"/>
      <c r="L30" s="100"/>
    </row>
    <row r="31" spans="1:12" x14ac:dyDescent="0.25">
      <c r="A31" s="39" t="s">
        <v>193</v>
      </c>
      <c r="B31" s="100"/>
      <c r="C31" s="100"/>
      <c r="D31" s="100"/>
      <c r="E31" s="100" t="s">
        <v>5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225</v>
      </c>
      <c r="B32" s="100"/>
      <c r="C32" s="100"/>
      <c r="D32" s="100"/>
      <c r="E32" s="100"/>
      <c r="F32" s="100"/>
      <c r="G32" s="100" t="s">
        <v>5</v>
      </c>
      <c r="H32" s="100" t="s">
        <v>5</v>
      </c>
      <c r="I32" s="100"/>
      <c r="J32" s="100"/>
      <c r="K32" s="100"/>
      <c r="L32" s="100"/>
    </row>
    <row r="33" spans="1:12" x14ac:dyDescent="0.25">
      <c r="A33" s="39" t="s">
        <v>226</v>
      </c>
      <c r="B33" s="100"/>
      <c r="C33" s="100"/>
      <c r="D33" s="100"/>
      <c r="E33" s="100"/>
      <c r="F33" s="100"/>
      <c r="G33" s="100" t="s">
        <v>5</v>
      </c>
      <c r="H33" s="100" t="s">
        <v>5</v>
      </c>
      <c r="I33" s="100"/>
      <c r="J33" s="100"/>
      <c r="K33" s="100"/>
      <c r="L33" s="100"/>
    </row>
    <row r="34" spans="1:12" x14ac:dyDescent="0.25">
      <c r="A34" s="39" t="s">
        <v>227</v>
      </c>
      <c r="B34" s="100"/>
      <c r="C34" s="100"/>
      <c r="D34" s="100"/>
      <c r="E34" s="100"/>
      <c r="F34" s="100"/>
      <c r="G34" s="100" t="s">
        <v>5</v>
      </c>
      <c r="H34" s="100" t="s">
        <v>5</v>
      </c>
      <c r="I34" s="100"/>
      <c r="J34" s="100"/>
      <c r="K34" s="100"/>
      <c r="L34" s="100"/>
    </row>
    <row r="35" spans="1:12" x14ac:dyDescent="0.25">
      <c r="A35" s="39" t="s">
        <v>228</v>
      </c>
      <c r="B35" s="100"/>
      <c r="C35" s="100"/>
      <c r="D35" s="100"/>
      <c r="E35" s="100"/>
      <c r="F35" s="100"/>
      <c r="G35" s="100" t="s">
        <v>5</v>
      </c>
      <c r="H35" s="100" t="s">
        <v>5</v>
      </c>
      <c r="I35" s="100"/>
      <c r="J35" s="100"/>
      <c r="K35" s="100"/>
      <c r="L35" s="100"/>
    </row>
    <row r="36" spans="1:12" x14ac:dyDescent="0.25">
      <c r="A36" s="39" t="s">
        <v>229</v>
      </c>
      <c r="B36" s="100"/>
      <c r="C36" s="100"/>
      <c r="D36" s="100"/>
      <c r="E36" s="100"/>
      <c r="F36" s="100"/>
      <c r="G36" s="100" t="s">
        <v>5</v>
      </c>
      <c r="H36" s="100" t="s">
        <v>5</v>
      </c>
      <c r="I36" s="100"/>
      <c r="J36" s="100"/>
      <c r="K36" s="100"/>
      <c r="L36" s="100"/>
    </row>
    <row r="37" spans="1:12" x14ac:dyDescent="0.25">
      <c r="A37" s="39" t="s">
        <v>230</v>
      </c>
      <c r="B37" s="100"/>
      <c r="C37" s="100"/>
      <c r="D37" s="100"/>
      <c r="E37" s="100"/>
      <c r="F37" s="100"/>
      <c r="G37" s="100" t="s">
        <v>5</v>
      </c>
      <c r="H37" s="100" t="s">
        <v>5</v>
      </c>
      <c r="I37" s="100"/>
      <c r="J37" s="100"/>
      <c r="K37" s="100"/>
      <c r="L37" s="100"/>
    </row>
    <row r="38" spans="1:12" x14ac:dyDescent="0.25">
      <c r="A38" s="39" t="s">
        <v>231</v>
      </c>
      <c r="B38" s="100"/>
      <c r="C38" s="100"/>
      <c r="D38" s="100"/>
      <c r="E38" s="100"/>
      <c r="F38" s="100"/>
      <c r="G38" s="100"/>
      <c r="H38" s="100" t="s">
        <v>5</v>
      </c>
      <c r="I38" s="100"/>
      <c r="J38" s="100"/>
      <c r="K38" s="100"/>
      <c r="L38" s="100"/>
    </row>
    <row r="39" spans="1:12" x14ac:dyDescent="0.25">
      <c r="A39" s="39" t="s">
        <v>232</v>
      </c>
      <c r="B39" s="100" t="s">
        <v>5</v>
      </c>
      <c r="C39" s="100"/>
      <c r="D39" s="100"/>
      <c r="E39" s="100"/>
      <c r="F39" s="100"/>
      <c r="G39" s="100" t="s">
        <v>5</v>
      </c>
      <c r="H39" s="100" t="s">
        <v>5</v>
      </c>
      <c r="I39" s="100"/>
      <c r="J39" s="100"/>
      <c r="K39" s="100"/>
      <c r="L39" s="100"/>
    </row>
  </sheetData>
  <sheetProtection algorithmName="SHA-512" hashValue="NVY7x0aVyFkx02GddTs2Eainp6qJBiJUeNPuVb7/AhuClQMtboCwg6LtCyQ/pqBg9lQmpvtVRbeH/QQb7Nwkqw==" saltValue="gwqGtR+N64RGdQynaLo5m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264</v>
      </c>
      <c r="B1" s="27" t="s">
        <v>260</v>
      </c>
      <c r="C1" s="27" t="s">
        <v>124</v>
      </c>
      <c r="D1" s="27" t="s">
        <v>261</v>
      </c>
      <c r="E1" s="27" t="s">
        <v>262</v>
      </c>
      <c r="F1" s="27" t="s">
        <v>142</v>
      </c>
      <c r="G1" s="27" t="s">
        <v>103</v>
      </c>
      <c r="H1" s="27" t="s">
        <v>56</v>
      </c>
      <c r="I1" s="27" t="s">
        <v>259</v>
      </c>
      <c r="J1" s="27" t="s">
        <v>41</v>
      </c>
      <c r="K1" s="27" t="s">
        <v>258</v>
      </c>
      <c r="L1" s="27" t="s">
        <v>263</v>
      </c>
    </row>
    <row r="2" spans="1:12" x14ac:dyDescent="0.25">
      <c r="A2" s="27" t="s">
        <v>97</v>
      </c>
      <c r="B2" s="100" t="s">
        <v>5</v>
      </c>
      <c r="C2" s="100" t="s">
        <v>5</v>
      </c>
      <c r="D2" s="100" t="s">
        <v>5</v>
      </c>
      <c r="E2" s="100" t="s">
        <v>5</v>
      </c>
      <c r="F2" s="100" t="s">
        <v>5</v>
      </c>
      <c r="G2" s="100" t="s">
        <v>5</v>
      </c>
      <c r="H2" s="100" t="s">
        <v>5</v>
      </c>
      <c r="I2" s="100"/>
      <c r="J2" s="100"/>
      <c r="K2" s="100"/>
      <c r="L2" s="100"/>
    </row>
    <row r="3" spans="1:12" x14ac:dyDescent="0.25">
      <c r="A3" s="27" t="s">
        <v>93</v>
      </c>
      <c r="B3" s="100" t="s">
        <v>5</v>
      </c>
      <c r="C3" s="100" t="s">
        <v>5</v>
      </c>
      <c r="D3" s="100" t="s">
        <v>5</v>
      </c>
      <c r="E3" s="100" t="s">
        <v>5</v>
      </c>
      <c r="F3" s="100" t="s">
        <v>5</v>
      </c>
      <c r="G3" s="100" t="s">
        <v>5</v>
      </c>
      <c r="H3" s="100" t="s">
        <v>5</v>
      </c>
      <c r="I3" s="100"/>
      <c r="J3" s="100"/>
      <c r="K3" s="100"/>
      <c r="L3" s="100"/>
    </row>
    <row r="4" spans="1:12" x14ac:dyDescent="0.25">
      <c r="A4" s="27" t="s">
        <v>96</v>
      </c>
      <c r="B4" s="100" t="s">
        <v>5</v>
      </c>
      <c r="C4" s="100" t="s">
        <v>5</v>
      </c>
      <c r="D4" s="100" t="s">
        <v>5</v>
      </c>
      <c r="E4" s="100" t="s">
        <v>5</v>
      </c>
      <c r="F4" s="100" t="s">
        <v>5</v>
      </c>
      <c r="G4" s="100" t="s">
        <v>5</v>
      </c>
      <c r="H4" s="100" t="s">
        <v>5</v>
      </c>
      <c r="I4" s="100"/>
      <c r="J4" s="100"/>
      <c r="K4" s="100"/>
      <c r="L4" s="100"/>
    </row>
    <row r="5" spans="1:12" x14ac:dyDescent="0.25">
      <c r="A5" s="27" t="s">
        <v>94</v>
      </c>
      <c r="B5" s="100" t="s">
        <v>5</v>
      </c>
      <c r="C5" s="100" t="s">
        <v>5</v>
      </c>
      <c r="D5" s="100" t="s">
        <v>5</v>
      </c>
      <c r="E5" s="100" t="s">
        <v>5</v>
      </c>
      <c r="F5" s="100" t="s">
        <v>5</v>
      </c>
      <c r="G5" s="100" t="s">
        <v>5</v>
      </c>
      <c r="H5" s="100" t="s">
        <v>5</v>
      </c>
      <c r="I5" s="100"/>
      <c r="J5" s="100"/>
      <c r="K5" s="100"/>
      <c r="L5" s="100"/>
    </row>
    <row r="6" spans="1:12" x14ac:dyDescent="0.25">
      <c r="A6" s="27" t="s">
        <v>95</v>
      </c>
      <c r="B6" s="100" t="s">
        <v>5</v>
      </c>
      <c r="C6" s="100" t="s">
        <v>5</v>
      </c>
      <c r="D6" s="100" t="s">
        <v>5</v>
      </c>
      <c r="E6" s="100" t="s">
        <v>5</v>
      </c>
      <c r="F6" s="100" t="s">
        <v>5</v>
      </c>
      <c r="G6" s="100" t="s">
        <v>5</v>
      </c>
      <c r="H6" s="100" t="s">
        <v>5</v>
      </c>
      <c r="I6" s="100"/>
      <c r="J6" s="100"/>
      <c r="K6" s="100"/>
      <c r="L6" s="100"/>
    </row>
    <row r="7" spans="1:12" x14ac:dyDescent="0.25">
      <c r="A7" s="27" t="s">
        <v>132</v>
      </c>
      <c r="B7" s="100"/>
      <c r="C7" s="100" t="s">
        <v>5</v>
      </c>
      <c r="D7" s="100"/>
      <c r="E7" s="100"/>
      <c r="F7" s="100"/>
      <c r="G7" s="100"/>
      <c r="H7" s="100" t="s">
        <v>5</v>
      </c>
      <c r="I7" s="100" t="s">
        <v>5</v>
      </c>
      <c r="J7" s="100"/>
      <c r="K7" s="100"/>
      <c r="L7" s="100" t="s">
        <v>5</v>
      </c>
    </row>
    <row r="8" spans="1:12" x14ac:dyDescent="0.25">
      <c r="A8" s="27" t="s">
        <v>133</v>
      </c>
      <c r="B8" s="100"/>
      <c r="C8" s="100" t="s">
        <v>5</v>
      </c>
      <c r="D8" s="100"/>
      <c r="E8" s="100"/>
      <c r="F8" s="100"/>
      <c r="G8" s="100"/>
      <c r="H8" s="100" t="s">
        <v>5</v>
      </c>
      <c r="I8" s="100" t="s">
        <v>5</v>
      </c>
      <c r="J8" s="100"/>
      <c r="K8" s="100"/>
      <c r="L8" s="100" t="s">
        <v>5</v>
      </c>
    </row>
    <row r="9" spans="1:12" x14ac:dyDescent="0.25">
      <c r="A9" s="27" t="s">
        <v>134</v>
      </c>
      <c r="B9" s="100"/>
      <c r="C9" s="100" t="s">
        <v>5</v>
      </c>
      <c r="D9" s="100"/>
      <c r="E9" s="100"/>
      <c r="F9" s="100"/>
      <c r="G9" s="100"/>
      <c r="H9" s="100" t="s">
        <v>5</v>
      </c>
      <c r="I9" s="100" t="s">
        <v>5</v>
      </c>
      <c r="J9" s="100"/>
      <c r="K9" s="100"/>
      <c r="L9" s="100" t="s">
        <v>5</v>
      </c>
    </row>
    <row r="10" spans="1:12" x14ac:dyDescent="0.25">
      <c r="A10" s="27" t="s">
        <v>135</v>
      </c>
      <c r="B10" s="100"/>
      <c r="C10" s="100" t="s">
        <v>5</v>
      </c>
      <c r="D10" s="100"/>
      <c r="E10" s="100"/>
      <c r="F10" s="100"/>
      <c r="G10" s="100"/>
      <c r="H10" s="100" t="s">
        <v>5</v>
      </c>
      <c r="I10" s="100" t="s">
        <v>5</v>
      </c>
      <c r="J10" s="100"/>
      <c r="K10" s="100"/>
      <c r="L10" s="100" t="s">
        <v>5</v>
      </c>
    </row>
    <row r="11" spans="1:12" x14ac:dyDescent="0.25">
      <c r="A11" s="27" t="s">
        <v>87</v>
      </c>
      <c r="B11" s="100"/>
      <c r="C11" s="100" t="s">
        <v>5</v>
      </c>
      <c r="D11" s="100"/>
      <c r="E11" s="100"/>
      <c r="F11" s="100"/>
      <c r="G11" s="100"/>
      <c r="H11" s="100"/>
      <c r="I11" s="100"/>
      <c r="J11" s="100" t="s">
        <v>5</v>
      </c>
      <c r="K11" s="100" t="s">
        <v>5</v>
      </c>
      <c r="L11" s="100"/>
    </row>
    <row r="12" spans="1:12" x14ac:dyDescent="0.25">
      <c r="A12" s="27" t="s">
        <v>88</v>
      </c>
      <c r="B12" s="100"/>
      <c r="C12" s="100" t="s">
        <v>5</v>
      </c>
      <c r="D12" s="100"/>
      <c r="E12" s="100"/>
      <c r="F12" s="100"/>
      <c r="G12" s="100"/>
      <c r="H12" s="100"/>
      <c r="I12" s="100"/>
      <c r="J12" s="100"/>
      <c r="K12" s="100" t="s">
        <v>5</v>
      </c>
      <c r="L12" s="100"/>
    </row>
    <row r="13" spans="1:12" x14ac:dyDescent="0.25">
      <c r="A13" s="27" t="s">
        <v>89</v>
      </c>
      <c r="B13" s="100"/>
      <c r="C13" s="100" t="s">
        <v>5</v>
      </c>
      <c r="D13" s="100"/>
      <c r="E13" s="100"/>
      <c r="F13" s="100"/>
      <c r="G13" s="100"/>
      <c r="H13" s="100"/>
      <c r="I13" s="100"/>
      <c r="J13" s="100"/>
      <c r="K13" s="100" t="s">
        <v>5</v>
      </c>
      <c r="L13" s="100"/>
    </row>
    <row r="14" spans="1:12" x14ac:dyDescent="0.25">
      <c r="A14" s="27" t="s">
        <v>90</v>
      </c>
      <c r="B14" s="100"/>
      <c r="C14" s="100" t="s">
        <v>5</v>
      </c>
      <c r="D14" s="100"/>
      <c r="E14" s="100"/>
      <c r="F14" s="100"/>
      <c r="G14" s="100"/>
      <c r="H14" s="100"/>
      <c r="I14" s="100"/>
      <c r="J14" s="100"/>
      <c r="K14" s="100" t="s">
        <v>5</v>
      </c>
      <c r="L14" s="100"/>
    </row>
  </sheetData>
  <sheetProtection algorithmName="SHA-512" hashValue="KJgocYCCrDA8qFTfYDt+NCZIkkY6zY/OyE1DVyPqdP3BDlqua3wk9c8NbRIO0X9+9Lgh402GoyyUuxKsp5HW9Q==" saltValue="kvlNl4W3PpXkXaR/xpVbG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265</v>
      </c>
      <c r="B1" s="29" t="s">
        <v>185</v>
      </c>
      <c r="C1" s="29" t="s">
        <v>189</v>
      </c>
      <c r="D1" s="29" t="s">
        <v>97</v>
      </c>
      <c r="E1" s="29" t="s">
        <v>93</v>
      </c>
      <c r="F1" s="29" t="s">
        <v>96</v>
      </c>
      <c r="G1" s="29" t="s">
        <v>94</v>
      </c>
      <c r="H1" s="29" t="s">
        <v>95</v>
      </c>
    </row>
    <row r="2" spans="1:10" ht="13" x14ac:dyDescent="0.3">
      <c r="A2" s="29" t="s">
        <v>267</v>
      </c>
      <c r="B2" s="125" t="s">
        <v>123</v>
      </c>
      <c r="C2" s="27" t="s">
        <v>179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178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184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97</v>
      </c>
      <c r="C5" s="27" t="s">
        <v>179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178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184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93</v>
      </c>
      <c r="C8" s="27" t="s">
        <v>179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178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184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96</v>
      </c>
      <c r="C11" s="27" t="s">
        <v>179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178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184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94</v>
      </c>
      <c r="C14" s="27" t="s">
        <v>179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178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184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177</v>
      </c>
      <c r="C17" s="27" t="s">
        <v>184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273</v>
      </c>
      <c r="B19" s="125" t="s">
        <v>123</v>
      </c>
      <c r="C19" s="27" t="s">
        <v>179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178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184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97</v>
      </c>
      <c r="C22" s="27" t="s">
        <v>179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178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184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93</v>
      </c>
      <c r="C25" s="27" t="s">
        <v>179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178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184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96</v>
      </c>
      <c r="C28" s="27" t="s">
        <v>179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178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184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94</v>
      </c>
      <c r="C31" s="27" t="s">
        <v>179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178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184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177</v>
      </c>
      <c r="C34" s="27" t="s">
        <v>184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270</v>
      </c>
      <c r="B36" s="125" t="s">
        <v>123</v>
      </c>
      <c r="C36" s="27" t="s">
        <v>179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178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184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97</v>
      </c>
      <c r="C39" s="27" t="s">
        <v>179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178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184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93</v>
      </c>
      <c r="C42" s="27" t="s">
        <v>179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178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184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96</v>
      </c>
      <c r="C45" s="27" t="s">
        <v>179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178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184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94</v>
      </c>
      <c r="C48" s="27" t="s">
        <v>179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178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184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177</v>
      </c>
      <c r="C51" s="27" t="s">
        <v>184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266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265</v>
      </c>
      <c r="B54" s="29" t="s">
        <v>185</v>
      </c>
      <c r="C54" s="29" t="s">
        <v>189</v>
      </c>
      <c r="D54" s="29" t="s">
        <v>97</v>
      </c>
      <c r="E54" s="29" t="s">
        <v>93</v>
      </c>
      <c r="F54" s="29" t="s">
        <v>96</v>
      </c>
      <c r="G54" s="29" t="s">
        <v>94</v>
      </c>
      <c r="H54" s="29" t="s">
        <v>95</v>
      </c>
    </row>
    <row r="55" spans="1:8" ht="13" x14ac:dyDescent="0.3">
      <c r="A55" s="29" t="s">
        <v>268</v>
      </c>
      <c r="B55" s="125" t="s">
        <v>123</v>
      </c>
      <c r="C55" s="27" t="s">
        <v>179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178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184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97</v>
      </c>
      <c r="C58" s="27" t="s">
        <v>179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178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184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93</v>
      </c>
      <c r="C61" s="27" t="s">
        <v>179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178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184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96</v>
      </c>
      <c r="C64" s="27" t="s">
        <v>179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178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184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94</v>
      </c>
      <c r="C67" s="27" t="s">
        <v>179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178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184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177</v>
      </c>
      <c r="C70" s="27" t="s">
        <v>184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274</v>
      </c>
      <c r="B72" s="125" t="s">
        <v>123</v>
      </c>
      <c r="C72" s="27" t="s">
        <v>179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178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184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97</v>
      </c>
      <c r="C75" s="27" t="s">
        <v>179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178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184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93</v>
      </c>
      <c r="C78" s="27" t="s">
        <v>179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178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184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96</v>
      </c>
      <c r="C81" s="27" t="s">
        <v>179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178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184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94</v>
      </c>
      <c r="C84" s="27" t="s">
        <v>179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178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184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177</v>
      </c>
      <c r="C87" s="27" t="s">
        <v>184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271</v>
      </c>
      <c r="B89" s="125" t="s">
        <v>123</v>
      </c>
      <c r="C89" s="27" t="s">
        <v>179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178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184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97</v>
      </c>
      <c r="C92" s="27" t="s">
        <v>179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178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184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93</v>
      </c>
      <c r="C95" s="27" t="s">
        <v>179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178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184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96</v>
      </c>
      <c r="C98" s="27" t="s">
        <v>179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178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184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94</v>
      </c>
      <c r="C101" s="27" t="s">
        <v>179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178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184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177</v>
      </c>
      <c r="C104" s="27" t="s">
        <v>184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276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265</v>
      </c>
      <c r="B107" s="29" t="s">
        <v>185</v>
      </c>
      <c r="C107" s="29" t="s">
        <v>189</v>
      </c>
      <c r="D107" s="29" t="s">
        <v>97</v>
      </c>
      <c r="E107" s="29" t="s">
        <v>93</v>
      </c>
      <c r="F107" s="29" t="s">
        <v>96</v>
      </c>
      <c r="G107" s="29" t="s">
        <v>94</v>
      </c>
      <c r="H107" s="29" t="s">
        <v>95</v>
      </c>
    </row>
    <row r="108" spans="1:8" ht="13" x14ac:dyDescent="0.3">
      <c r="A108" s="29" t="s">
        <v>269</v>
      </c>
      <c r="B108" s="125" t="s">
        <v>123</v>
      </c>
      <c r="C108" s="27" t="s">
        <v>179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178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184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97</v>
      </c>
      <c r="C111" s="27" t="s">
        <v>179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178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184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93</v>
      </c>
      <c r="C114" s="27" t="s">
        <v>179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178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184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96</v>
      </c>
      <c r="C117" s="27" t="s">
        <v>179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178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184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94</v>
      </c>
      <c r="C120" s="27" t="s">
        <v>179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178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184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177</v>
      </c>
      <c r="C123" s="27" t="s">
        <v>184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275</v>
      </c>
      <c r="B125" s="125" t="s">
        <v>123</v>
      </c>
      <c r="C125" s="27" t="s">
        <v>179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178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184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97</v>
      </c>
      <c r="C128" s="27" t="s">
        <v>179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178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184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93</v>
      </c>
      <c r="C131" s="27" t="s">
        <v>179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178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184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96</v>
      </c>
      <c r="C134" s="27" t="s">
        <v>179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178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184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94</v>
      </c>
      <c r="C137" s="27" t="s">
        <v>179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178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184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177</v>
      </c>
      <c r="C140" s="27" t="s">
        <v>184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272</v>
      </c>
      <c r="B142" s="125" t="s">
        <v>123</v>
      </c>
      <c r="C142" s="27" t="s">
        <v>179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178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184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97</v>
      </c>
      <c r="C145" s="27" t="s">
        <v>179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178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184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93</v>
      </c>
      <c r="C148" s="27" t="s">
        <v>179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178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184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96</v>
      </c>
      <c r="C151" s="27" t="s">
        <v>179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178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184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94</v>
      </c>
      <c r="C154" s="27" t="s">
        <v>179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178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184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177</v>
      </c>
      <c r="C157" s="27" t="s">
        <v>184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+6E6iOpoe5ClhLrtSUmR8jYjf+t3h1AicGauJGwrT30tc+LJT3RT91JUbD2ldVS17g0ManAGicOI2hzC0j6oFw==" saltValue="XE65mq6fBaaB5CLH/nuwSQ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279</v>
      </c>
    </row>
    <row r="2" spans="1:6" ht="15.75" customHeight="1" x14ac:dyDescent="0.3">
      <c r="B2" s="80"/>
      <c r="C2" s="81" t="s">
        <v>77</v>
      </c>
      <c r="D2" s="82" t="s">
        <v>78</v>
      </c>
      <c r="E2" s="82" t="s">
        <v>70</v>
      </c>
      <c r="F2" s="82" t="s">
        <v>71</v>
      </c>
    </row>
    <row r="3" spans="1:6" ht="15.75" customHeight="1" x14ac:dyDescent="0.3">
      <c r="A3" s="29" t="s">
        <v>286</v>
      </c>
      <c r="B3" s="83"/>
      <c r="C3" s="84"/>
      <c r="D3" s="85"/>
      <c r="E3" s="85"/>
      <c r="F3" s="85"/>
    </row>
    <row r="4" spans="1:6" ht="15.75" customHeight="1" x14ac:dyDescent="0.25">
      <c r="B4" s="72" t="s">
        <v>46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82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29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30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283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292</v>
      </c>
      <c r="C11" s="87"/>
      <c r="D11" s="88"/>
      <c r="E11" s="88"/>
      <c r="F11" s="88"/>
    </row>
    <row r="12" spans="1:6" ht="15.75" customHeight="1" x14ac:dyDescent="0.3">
      <c r="A12" s="29" t="s">
        <v>280</v>
      </c>
      <c r="C12" s="86"/>
      <c r="D12" s="75"/>
      <c r="E12" s="75"/>
      <c r="F12" s="75"/>
    </row>
    <row r="13" spans="1:6" ht="15.75" customHeight="1" x14ac:dyDescent="0.25">
      <c r="B13" s="45" t="s">
        <v>295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126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138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289</v>
      </c>
      <c r="B17" s="83"/>
      <c r="C17" s="90"/>
      <c r="D17" s="91"/>
      <c r="E17" s="91"/>
      <c r="F17" s="91"/>
    </row>
    <row r="18" spans="1:6" ht="15.75" customHeight="1" x14ac:dyDescent="0.25">
      <c r="B18" s="72" t="s">
        <v>112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116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114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110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115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117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111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113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266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279</v>
      </c>
    </row>
    <row r="29" spans="1:6" ht="15.75" customHeight="1" x14ac:dyDescent="0.3">
      <c r="B29" s="80"/>
      <c r="C29" s="81" t="s">
        <v>77</v>
      </c>
      <c r="D29" s="82" t="s">
        <v>78</v>
      </c>
      <c r="E29" s="82" t="s">
        <v>70</v>
      </c>
      <c r="F29" s="82" t="s">
        <v>71</v>
      </c>
    </row>
    <row r="30" spans="1:6" ht="15.75" customHeight="1" x14ac:dyDescent="0.3">
      <c r="A30" s="29" t="s">
        <v>287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46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82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29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30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284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292</v>
      </c>
      <c r="B38" s="79"/>
      <c r="C38" s="87"/>
      <c r="D38" s="88"/>
      <c r="E38" s="88"/>
      <c r="F38" s="88"/>
    </row>
    <row r="39" spans="1:6" ht="15.75" customHeight="1" x14ac:dyDescent="0.3">
      <c r="A39" s="29" t="s">
        <v>281</v>
      </c>
      <c r="C39" s="86"/>
      <c r="D39" s="75"/>
      <c r="E39" s="75"/>
      <c r="F39" s="75"/>
    </row>
    <row r="40" spans="1:6" ht="15.75" customHeight="1" x14ac:dyDescent="0.25">
      <c r="B40" s="45" t="s">
        <v>296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277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293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290</v>
      </c>
      <c r="B44" s="83"/>
      <c r="C44" s="90"/>
      <c r="D44" s="91"/>
      <c r="E44" s="91"/>
      <c r="F44" s="91"/>
    </row>
    <row r="45" spans="1:6" ht="15.75" customHeight="1" x14ac:dyDescent="0.25">
      <c r="B45" s="72" t="s">
        <v>112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116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114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110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115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117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111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113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276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279</v>
      </c>
    </row>
    <row r="56" spans="1:6" ht="15.75" customHeight="1" x14ac:dyDescent="0.3">
      <c r="B56" s="80"/>
      <c r="C56" s="81" t="s">
        <v>77</v>
      </c>
      <c r="D56" s="82" t="s">
        <v>78</v>
      </c>
      <c r="E56" s="82" t="s">
        <v>70</v>
      </c>
      <c r="F56" s="82" t="s">
        <v>71</v>
      </c>
    </row>
    <row r="57" spans="1:6" ht="15.75" customHeight="1" x14ac:dyDescent="0.3">
      <c r="A57" s="29" t="s">
        <v>288</v>
      </c>
      <c r="B57" s="83"/>
      <c r="C57" s="84"/>
      <c r="D57" s="85"/>
      <c r="E57" s="85"/>
      <c r="F57" s="85"/>
    </row>
    <row r="58" spans="1:6" ht="15.75" customHeight="1" x14ac:dyDescent="0.25">
      <c r="B58" s="72" t="s">
        <v>46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82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29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30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285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292</v>
      </c>
      <c r="B65" s="79"/>
      <c r="C65" s="87"/>
      <c r="D65" s="88"/>
      <c r="E65" s="88"/>
      <c r="F65" s="88"/>
    </row>
    <row r="66" spans="1:6" ht="15.75" customHeight="1" x14ac:dyDescent="0.3">
      <c r="A66" s="29" t="s">
        <v>282</v>
      </c>
      <c r="C66" s="86"/>
      <c r="D66" s="75"/>
      <c r="E66" s="75"/>
      <c r="F66" s="75"/>
    </row>
    <row r="67" spans="1:6" ht="15.75" customHeight="1" x14ac:dyDescent="0.25">
      <c r="B67" s="45" t="s">
        <v>297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278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294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291</v>
      </c>
      <c r="B71" s="83"/>
      <c r="C71" s="90"/>
      <c r="D71" s="91"/>
      <c r="E71" s="91"/>
      <c r="F71" s="91"/>
    </row>
    <row r="72" spans="1:6" ht="15.75" customHeight="1" x14ac:dyDescent="0.25">
      <c r="B72" s="72" t="s">
        <v>112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116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114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110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115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117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111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113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kfcfO15G0H3TBPQkUHhRT22O8iPmwVOEVZqVHjZxSkSWecz4tG8ShRiTXHP021SdGx3YejQktgkDcyp29iPwsA==" saltValue="ncMXcH5RMwUUlCZA+wE6A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309</v>
      </c>
    </row>
    <row r="2" spans="1:16" ht="13" x14ac:dyDescent="0.3">
      <c r="A2" s="92" t="s">
        <v>260</v>
      </c>
      <c r="B2" s="41" t="s">
        <v>301</v>
      </c>
      <c r="C2" s="41" t="s">
        <v>302</v>
      </c>
      <c r="D2" s="82" t="s">
        <v>97</v>
      </c>
      <c r="E2" s="82" t="s">
        <v>93</v>
      </c>
      <c r="F2" s="82" t="s">
        <v>96</v>
      </c>
      <c r="G2" s="82" t="s">
        <v>94</v>
      </c>
      <c r="H2" s="82" t="s">
        <v>95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103</v>
      </c>
      <c r="C3" s="31" t="s">
        <v>7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304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305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303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121</v>
      </c>
      <c r="C7" s="31" t="s">
        <v>7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304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305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303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109</v>
      </c>
      <c r="C11" s="31" t="s">
        <v>7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304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305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303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</v>
      </c>
      <c r="C15" s="31" t="s">
        <v>7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304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305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303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0</v>
      </c>
      <c r="C19" s="31" t="s">
        <v>7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304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305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303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118</v>
      </c>
      <c r="C23" s="31" t="s">
        <v>7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304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305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303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310</v>
      </c>
    </row>
    <row r="29" spans="1:16" ht="13" x14ac:dyDescent="0.3">
      <c r="A29" s="92" t="s">
        <v>313</v>
      </c>
      <c r="B29" s="29" t="s">
        <v>301</v>
      </c>
      <c r="C29" s="29" t="s">
        <v>312</v>
      </c>
      <c r="D29" s="82" t="s">
        <v>97</v>
      </c>
      <c r="E29" s="82" t="s">
        <v>93</v>
      </c>
      <c r="F29" s="82" t="s">
        <v>96</v>
      </c>
      <c r="G29" s="82" t="s">
        <v>94</v>
      </c>
      <c r="H29" s="82" t="s">
        <v>95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103</v>
      </c>
      <c r="C30" s="31" t="s">
        <v>7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304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3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236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121</v>
      </c>
      <c r="C34" s="31" t="s">
        <v>7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304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3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236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109</v>
      </c>
      <c r="C38" s="31" t="s">
        <v>7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304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3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236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</v>
      </c>
      <c r="C42" s="31" t="s">
        <v>7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304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3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236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0</v>
      </c>
      <c r="C46" s="31" t="s">
        <v>7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304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3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236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118</v>
      </c>
      <c r="C50" s="31" t="s">
        <v>7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304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3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236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307</v>
      </c>
    </row>
    <row r="56" spans="1:16" ht="26" x14ac:dyDescent="0.3">
      <c r="A56" s="92" t="s">
        <v>124</v>
      </c>
      <c r="B56" s="29" t="s">
        <v>301</v>
      </c>
      <c r="C56" s="80" t="s">
        <v>298</v>
      </c>
      <c r="D56" s="82" t="s">
        <v>132</v>
      </c>
      <c r="E56" s="82" t="s">
        <v>133</v>
      </c>
      <c r="F56" s="82" t="s">
        <v>134</v>
      </c>
      <c r="G56" s="82" t="s">
        <v>135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100</v>
      </c>
      <c r="C57" s="31" t="s">
        <v>306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299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108</v>
      </c>
      <c r="C59" s="31" t="s">
        <v>306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299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122</v>
      </c>
      <c r="C61" s="31" t="s">
        <v>306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299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308</v>
      </c>
    </row>
    <row r="65" spans="1:16" ht="26" x14ac:dyDescent="0.3">
      <c r="A65" s="92" t="s">
        <v>142</v>
      </c>
      <c r="B65" s="29" t="s">
        <v>301</v>
      </c>
      <c r="C65" s="80" t="s">
        <v>300</v>
      </c>
      <c r="D65" s="82" t="s">
        <v>97</v>
      </c>
      <c r="E65" s="82" t="s">
        <v>93</v>
      </c>
      <c r="F65" s="82" t="s">
        <v>96</v>
      </c>
      <c r="G65" s="82" t="s">
        <v>94</v>
      </c>
      <c r="H65" s="95" t="s">
        <v>95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112</v>
      </c>
      <c r="C66" s="31" t="s">
        <v>143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146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145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144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116</v>
      </c>
      <c r="C70" s="31" t="s">
        <v>143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146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145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144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114</v>
      </c>
      <c r="C74" s="31" t="s">
        <v>143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146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145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144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115</v>
      </c>
      <c r="C78" s="31" t="s">
        <v>143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146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145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144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103</v>
      </c>
      <c r="C82" s="31" t="s">
        <v>143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146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145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144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121</v>
      </c>
      <c r="C86" s="31" t="s">
        <v>143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146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145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144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109</v>
      </c>
      <c r="C90" s="31" t="s">
        <v>143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146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145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144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0</v>
      </c>
      <c r="C94" s="31" t="s">
        <v>143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146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145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144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120</v>
      </c>
      <c r="C98" s="31" t="s">
        <v>143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146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145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144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311</v>
      </c>
    </row>
    <row r="104" spans="1:16" ht="26" x14ac:dyDescent="0.3">
      <c r="A104" s="92" t="s">
        <v>103</v>
      </c>
      <c r="B104" s="96" t="s">
        <v>144</v>
      </c>
      <c r="C104" s="80" t="s">
        <v>300</v>
      </c>
      <c r="D104" s="82" t="s">
        <v>97</v>
      </c>
      <c r="E104" s="82" t="s">
        <v>93</v>
      </c>
      <c r="F104" s="82" t="s">
        <v>96</v>
      </c>
      <c r="G104" s="82" t="s">
        <v>94</v>
      </c>
      <c r="H104" s="95" t="s">
        <v>95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143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146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145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144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266</v>
      </c>
      <c r="H110" s="105"/>
    </row>
    <row r="111" spans="1:16" ht="13" x14ac:dyDescent="0.3">
      <c r="A111" s="78" t="s">
        <v>309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260</v>
      </c>
      <c r="B112" s="41" t="s">
        <v>301</v>
      </c>
      <c r="C112" s="41" t="s">
        <v>302</v>
      </c>
      <c r="D112" s="82" t="s">
        <v>97</v>
      </c>
      <c r="E112" s="82" t="s">
        <v>93</v>
      </c>
      <c r="F112" s="82" t="s">
        <v>96</v>
      </c>
      <c r="G112" s="82" t="s">
        <v>94</v>
      </c>
      <c r="H112" s="82" t="s">
        <v>95</v>
      </c>
    </row>
    <row r="113" spans="1:8" ht="13" x14ac:dyDescent="0.3">
      <c r="A113" s="29"/>
      <c r="B113" s="27" t="s">
        <v>103</v>
      </c>
      <c r="C113" s="31" t="s">
        <v>7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304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305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303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121</v>
      </c>
      <c r="C117" s="31" t="s">
        <v>7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304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305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303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109</v>
      </c>
      <c r="C121" s="31" t="s">
        <v>7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304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305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303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</v>
      </c>
      <c r="C125" s="31" t="s">
        <v>7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304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305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303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0</v>
      </c>
      <c r="C129" s="31" t="s">
        <v>7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304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305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303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118</v>
      </c>
      <c r="C133" s="31" t="s">
        <v>7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304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305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303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310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313</v>
      </c>
      <c r="B139" s="29" t="s">
        <v>301</v>
      </c>
      <c r="C139" s="29" t="s">
        <v>312</v>
      </c>
      <c r="D139" s="82" t="s">
        <v>97</v>
      </c>
      <c r="E139" s="82" t="s">
        <v>93</v>
      </c>
      <c r="F139" s="82" t="s">
        <v>96</v>
      </c>
      <c r="G139" s="82" t="s">
        <v>94</v>
      </c>
      <c r="H139" s="82" t="s">
        <v>95</v>
      </c>
    </row>
    <row r="140" spans="1:8" ht="13" x14ac:dyDescent="0.3">
      <c r="A140" s="29"/>
      <c r="B140" s="27" t="s">
        <v>103</v>
      </c>
      <c r="C140" s="31" t="s">
        <v>7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304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3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236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121</v>
      </c>
      <c r="C144" s="31" t="s">
        <v>7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304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3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236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109</v>
      </c>
      <c r="C148" s="31" t="s">
        <v>7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304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3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236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</v>
      </c>
      <c r="C152" s="31" t="s">
        <v>7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304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3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236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0</v>
      </c>
      <c r="C156" s="31" t="s">
        <v>7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304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3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236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118</v>
      </c>
      <c r="C160" s="31" t="s">
        <v>7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304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3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236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307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124</v>
      </c>
      <c r="B166" s="29" t="s">
        <v>301</v>
      </c>
      <c r="C166" s="80" t="s">
        <v>298</v>
      </c>
      <c r="D166" s="82" t="s">
        <v>132</v>
      </c>
      <c r="E166" s="82" t="s">
        <v>133</v>
      </c>
      <c r="F166" s="82" t="s">
        <v>134</v>
      </c>
      <c r="G166" s="82" t="s">
        <v>135</v>
      </c>
      <c r="H166" s="93"/>
    </row>
    <row r="167" spans="1:8" ht="13" x14ac:dyDescent="0.3">
      <c r="A167" s="29"/>
      <c r="B167" s="27" t="s">
        <v>100</v>
      </c>
      <c r="C167" s="31" t="s">
        <v>306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299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108</v>
      </c>
      <c r="C169" s="31" t="s">
        <v>306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299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122</v>
      </c>
      <c r="C171" s="31" t="s">
        <v>306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299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308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142</v>
      </c>
      <c r="B175" s="29" t="s">
        <v>301</v>
      </c>
      <c r="C175" s="80" t="s">
        <v>300</v>
      </c>
      <c r="D175" s="82" t="s">
        <v>97</v>
      </c>
      <c r="E175" s="82" t="s">
        <v>93</v>
      </c>
      <c r="F175" s="82" t="s">
        <v>96</v>
      </c>
      <c r="G175" s="82" t="s">
        <v>94</v>
      </c>
      <c r="H175" s="95" t="s">
        <v>95</v>
      </c>
    </row>
    <row r="176" spans="1:8" ht="13" x14ac:dyDescent="0.3">
      <c r="A176" s="96"/>
      <c r="B176" s="27" t="s">
        <v>112</v>
      </c>
      <c r="C176" s="31" t="s">
        <v>143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146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145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144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116</v>
      </c>
      <c r="C180" s="31" t="s">
        <v>143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146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145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144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114</v>
      </c>
      <c r="C184" s="31" t="s">
        <v>143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146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145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144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115</v>
      </c>
      <c r="C188" s="31" t="s">
        <v>143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146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145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144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103</v>
      </c>
      <c r="C192" s="31" t="s">
        <v>143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146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145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144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121</v>
      </c>
      <c r="C196" s="31" t="s">
        <v>143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146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145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144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109</v>
      </c>
      <c r="C200" s="31" t="s">
        <v>143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146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145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144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0</v>
      </c>
      <c r="C204" s="31" t="s">
        <v>143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146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145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144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120</v>
      </c>
      <c r="C208" s="31" t="s">
        <v>143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146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145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144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311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103</v>
      </c>
      <c r="B214" s="96" t="s">
        <v>144</v>
      </c>
      <c r="C214" s="80" t="s">
        <v>300</v>
      </c>
      <c r="D214" s="82" t="s">
        <v>97</v>
      </c>
      <c r="E214" s="82" t="s">
        <v>93</v>
      </c>
      <c r="F214" s="82" t="s">
        <v>96</v>
      </c>
      <c r="G214" s="82" t="s">
        <v>94</v>
      </c>
      <c r="H214" s="95" t="s">
        <v>95</v>
      </c>
    </row>
    <row r="215" spans="1:9" ht="13" x14ac:dyDescent="0.3">
      <c r="A215" s="29"/>
      <c r="C215" s="31" t="s">
        <v>143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146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145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144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276</v>
      </c>
      <c r="H220" s="105"/>
    </row>
    <row r="221" spans="1:9" ht="13" x14ac:dyDescent="0.3">
      <c r="A221" s="78" t="s">
        <v>309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260</v>
      </c>
      <c r="B222" s="41" t="s">
        <v>301</v>
      </c>
      <c r="C222" s="41" t="s">
        <v>302</v>
      </c>
      <c r="D222" s="82" t="s">
        <v>97</v>
      </c>
      <c r="E222" s="82" t="s">
        <v>93</v>
      </c>
      <c r="F222" s="82" t="s">
        <v>96</v>
      </c>
      <c r="G222" s="82" t="s">
        <v>94</v>
      </c>
      <c r="H222" s="82" t="s">
        <v>95</v>
      </c>
      <c r="I222" s="93"/>
    </row>
    <row r="223" spans="1:9" ht="13" x14ac:dyDescent="0.3">
      <c r="A223" s="29"/>
      <c r="B223" s="27" t="s">
        <v>103</v>
      </c>
      <c r="C223" s="31" t="s">
        <v>7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304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305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303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121</v>
      </c>
      <c r="C227" s="31" t="s">
        <v>7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304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305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303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109</v>
      </c>
      <c r="C231" s="31" t="s">
        <v>7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304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305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303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</v>
      </c>
      <c r="C235" s="31" t="s">
        <v>7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304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305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303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0</v>
      </c>
      <c r="C239" s="31" t="s">
        <v>7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304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305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303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118</v>
      </c>
      <c r="C243" s="31" t="s">
        <v>7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304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305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303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310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313</v>
      </c>
      <c r="B249" s="29" t="s">
        <v>301</v>
      </c>
      <c r="C249" s="29" t="s">
        <v>312</v>
      </c>
      <c r="D249" s="82" t="s">
        <v>97</v>
      </c>
      <c r="E249" s="82" t="s">
        <v>93</v>
      </c>
      <c r="F249" s="82" t="s">
        <v>96</v>
      </c>
      <c r="G249" s="82" t="s">
        <v>94</v>
      </c>
      <c r="H249" s="82" t="s">
        <v>95</v>
      </c>
      <c r="I249" s="93"/>
    </row>
    <row r="250" spans="1:9" ht="13" x14ac:dyDescent="0.3">
      <c r="A250" s="29"/>
      <c r="B250" s="27" t="s">
        <v>103</v>
      </c>
      <c r="C250" s="31" t="s">
        <v>7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304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3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236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121</v>
      </c>
      <c r="C254" s="31" t="s">
        <v>7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304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3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236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109</v>
      </c>
      <c r="C258" s="31" t="s">
        <v>7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304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3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236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</v>
      </c>
      <c r="C262" s="31" t="s">
        <v>7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304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3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236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0</v>
      </c>
      <c r="C266" s="31" t="s">
        <v>7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304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3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236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118</v>
      </c>
      <c r="C270" s="31" t="s">
        <v>7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304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3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236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307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124</v>
      </c>
      <c r="B276" s="29" t="s">
        <v>301</v>
      </c>
      <c r="C276" s="80" t="s">
        <v>298</v>
      </c>
      <c r="D276" s="82" t="s">
        <v>132</v>
      </c>
      <c r="E276" s="82" t="s">
        <v>133</v>
      </c>
      <c r="F276" s="82" t="s">
        <v>134</v>
      </c>
      <c r="G276" s="82" t="s">
        <v>135</v>
      </c>
      <c r="H276" s="93"/>
    </row>
    <row r="277" spans="1:9" ht="13" x14ac:dyDescent="0.3">
      <c r="A277" s="29"/>
      <c r="B277" s="27" t="s">
        <v>100</v>
      </c>
      <c r="C277" s="31" t="s">
        <v>306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299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108</v>
      </c>
      <c r="C279" s="31" t="s">
        <v>306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299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122</v>
      </c>
      <c r="C281" s="31" t="s">
        <v>306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299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308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142</v>
      </c>
      <c r="B285" s="29" t="s">
        <v>301</v>
      </c>
      <c r="C285" s="80" t="s">
        <v>300</v>
      </c>
      <c r="D285" s="82" t="s">
        <v>97</v>
      </c>
      <c r="E285" s="82" t="s">
        <v>93</v>
      </c>
      <c r="F285" s="82" t="s">
        <v>96</v>
      </c>
      <c r="G285" s="82" t="s">
        <v>94</v>
      </c>
      <c r="H285" s="95" t="s">
        <v>95</v>
      </c>
      <c r="I285" s="93"/>
    </row>
    <row r="286" spans="1:9" ht="13" x14ac:dyDescent="0.3">
      <c r="A286" s="96"/>
      <c r="B286" s="27" t="s">
        <v>112</v>
      </c>
      <c r="C286" s="31" t="s">
        <v>143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146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145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144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116</v>
      </c>
      <c r="C290" s="31" t="s">
        <v>143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146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145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144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114</v>
      </c>
      <c r="C294" s="31" t="s">
        <v>143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146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145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144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115</v>
      </c>
      <c r="C298" s="31" t="s">
        <v>143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146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145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144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103</v>
      </c>
      <c r="C302" s="31" t="s">
        <v>143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146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145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144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121</v>
      </c>
      <c r="C306" s="31" t="s">
        <v>143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146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145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144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109</v>
      </c>
      <c r="C310" s="31" t="s">
        <v>143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146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145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144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0</v>
      </c>
      <c r="C314" s="31" t="s">
        <v>143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146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145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144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120</v>
      </c>
      <c r="C318" s="31" t="s">
        <v>143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146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145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144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311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103</v>
      </c>
      <c r="B324" s="96" t="s">
        <v>144</v>
      </c>
      <c r="C324" s="80" t="s">
        <v>300</v>
      </c>
      <c r="D324" s="82" t="s">
        <v>97</v>
      </c>
      <c r="E324" s="82" t="s">
        <v>93</v>
      </c>
      <c r="F324" s="82" t="s">
        <v>96</v>
      </c>
      <c r="G324" s="82" t="s">
        <v>94</v>
      </c>
      <c r="H324" s="95" t="s">
        <v>95</v>
      </c>
      <c r="I324" s="93"/>
    </row>
    <row r="325" spans="1:9" ht="13" x14ac:dyDescent="0.3">
      <c r="A325" s="29"/>
      <c r="C325" s="31" t="s">
        <v>143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146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145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144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B9ZxxrmGyvhHBVYWlK0NKHyUbi34Kd/Yb/0JNy4wqytOp2wiMmY/n/sjyUPMO39ZSL4EDtdZdNGzPX11htewBg==" saltValue="rICiq4DKOItfaiuSA5VI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344</v>
      </c>
    </row>
    <row r="2" spans="1:7" ht="14.25" customHeight="1" x14ac:dyDescent="0.3">
      <c r="A2" s="96" t="s">
        <v>237</v>
      </c>
      <c r="B2" s="41"/>
      <c r="C2" s="29" t="s">
        <v>97</v>
      </c>
      <c r="D2" s="29" t="s">
        <v>93</v>
      </c>
      <c r="E2" s="29" t="s">
        <v>96</v>
      </c>
      <c r="F2" s="29" t="s">
        <v>94</v>
      </c>
      <c r="G2" s="29" t="s">
        <v>95</v>
      </c>
    </row>
    <row r="3" spans="1:7" ht="14.25" customHeight="1" x14ac:dyDescent="0.25">
      <c r="B3" s="45" t="s">
        <v>331</v>
      </c>
      <c r="C3" s="103" t="s">
        <v>8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317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314</v>
      </c>
    </row>
    <row r="6" spans="1:7" ht="14.25" customHeight="1" x14ac:dyDescent="0.25">
      <c r="B6" s="72" t="s">
        <v>222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213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196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233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232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338</v>
      </c>
    </row>
    <row r="13" spans="1:7" ht="14.25" customHeight="1" x14ac:dyDescent="0.3">
      <c r="A13" s="83"/>
      <c r="B13" s="45" t="s">
        <v>211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345</v>
      </c>
    </row>
    <row r="16" spans="1:7" ht="14.25" customHeight="1" x14ac:dyDescent="0.3">
      <c r="A16" s="96" t="s">
        <v>313</v>
      </c>
      <c r="B16" s="72" t="s">
        <v>325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322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124</v>
      </c>
      <c r="B18" s="45" t="s">
        <v>328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341</v>
      </c>
    </row>
    <row r="21" spans="1:7" s="83" customFormat="1" ht="14.25" customHeight="1" x14ac:dyDescent="0.3">
      <c r="C21" s="43" t="s">
        <v>87</v>
      </c>
      <c r="D21" s="43" t="s">
        <v>88</v>
      </c>
      <c r="E21" s="43" t="s">
        <v>89</v>
      </c>
      <c r="F21" s="43" t="s">
        <v>90</v>
      </c>
    </row>
    <row r="22" spans="1:7" x14ac:dyDescent="0.25">
      <c r="B22" s="45" t="s">
        <v>199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266</v>
      </c>
    </row>
    <row r="25" spans="1:7" ht="13" x14ac:dyDescent="0.3">
      <c r="A25" s="78" t="s">
        <v>344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237</v>
      </c>
      <c r="B26" s="41"/>
      <c r="C26" s="29" t="s">
        <v>97</v>
      </c>
      <c r="D26" s="29" t="s">
        <v>93</v>
      </c>
      <c r="E26" s="29" t="s">
        <v>96</v>
      </c>
      <c r="F26" s="29" t="s">
        <v>94</v>
      </c>
      <c r="G26" s="29" t="s">
        <v>95</v>
      </c>
    </row>
    <row r="27" spans="1:7" x14ac:dyDescent="0.25">
      <c r="B27" s="45" t="s">
        <v>332</v>
      </c>
      <c r="C27" s="103" t="s">
        <v>8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318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315</v>
      </c>
    </row>
    <row r="30" spans="1:7" x14ac:dyDescent="0.25">
      <c r="B30" s="72" t="s">
        <v>346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336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27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350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348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339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334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345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313</v>
      </c>
      <c r="B40" s="72" t="s">
        <v>326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323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124</v>
      </c>
      <c r="B42" s="45" t="s">
        <v>329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342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87</v>
      </c>
      <c r="D45" s="43" t="s">
        <v>88</v>
      </c>
      <c r="E45" s="43" t="s">
        <v>89</v>
      </c>
      <c r="F45" s="43" t="s">
        <v>90</v>
      </c>
      <c r="G45" s="83"/>
    </row>
    <row r="46" spans="1:7" x14ac:dyDescent="0.25">
      <c r="B46" s="45" t="s">
        <v>320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276</v>
      </c>
    </row>
    <row r="49" spans="1:7" ht="13" x14ac:dyDescent="0.3">
      <c r="A49" s="78" t="s">
        <v>344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237</v>
      </c>
      <c r="B50" s="41"/>
      <c r="C50" s="29" t="s">
        <v>97</v>
      </c>
      <c r="D50" s="29" t="s">
        <v>93</v>
      </c>
      <c r="E50" s="29" t="s">
        <v>96</v>
      </c>
      <c r="F50" s="29" t="s">
        <v>94</v>
      </c>
      <c r="G50" s="29" t="s">
        <v>95</v>
      </c>
    </row>
    <row r="51" spans="1:7" x14ac:dyDescent="0.25">
      <c r="B51" s="45" t="s">
        <v>333</v>
      </c>
      <c r="C51" s="103" t="s">
        <v>8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319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316</v>
      </c>
    </row>
    <row r="54" spans="1:7" x14ac:dyDescent="0.25">
      <c r="B54" s="72" t="s">
        <v>347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337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28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351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349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340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335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345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313</v>
      </c>
      <c r="B64" s="72" t="s">
        <v>327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324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124</v>
      </c>
      <c r="B66" s="45" t="s">
        <v>330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343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87</v>
      </c>
      <c r="D69" s="43" t="s">
        <v>88</v>
      </c>
      <c r="E69" s="43" t="s">
        <v>89</v>
      </c>
      <c r="F69" s="43" t="s">
        <v>90</v>
      </c>
      <c r="G69" s="83"/>
    </row>
    <row r="70" spans="1:7" x14ac:dyDescent="0.25">
      <c r="B70" s="45" t="s">
        <v>321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01d66T5vLJ1lvw0NT2OoryepHMvLNKi06xfwP1vqUfLw9Zc4oAEY2cDC97GGNRlG8uaGqmBeLpD++A5SCVoxKA==" saltValue="0YNT1ii/YE8KbR6XfwkG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192</v>
      </c>
      <c r="B1" s="29"/>
      <c r="C1" s="29" t="s">
        <v>71</v>
      </c>
      <c r="D1" s="29" t="s">
        <v>78</v>
      </c>
      <c r="E1" s="29" t="s">
        <v>70</v>
      </c>
      <c r="F1" s="41" t="s">
        <v>77</v>
      </c>
    </row>
    <row r="2" spans="1:6" ht="15.75" customHeight="1" x14ac:dyDescent="0.25">
      <c r="A2" s="72" t="s">
        <v>194</v>
      </c>
      <c r="B2" s="72" t="s">
        <v>353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352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195</v>
      </c>
      <c r="B4" s="72" t="s">
        <v>353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352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207</v>
      </c>
      <c r="B6" s="72" t="s">
        <v>353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352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208</v>
      </c>
      <c r="B8" s="72" t="s">
        <v>353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352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209</v>
      </c>
      <c r="B10" s="72" t="s">
        <v>353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352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214</v>
      </c>
      <c r="B12" s="72" t="s">
        <v>353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352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220</v>
      </c>
      <c r="B14" s="72" t="s">
        <v>353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352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266</v>
      </c>
    </row>
    <row r="18" spans="1:6" ht="15.75" customHeight="1" x14ac:dyDescent="0.3">
      <c r="A18" s="41" t="s">
        <v>192</v>
      </c>
      <c r="B18" s="29"/>
      <c r="C18" s="29" t="s">
        <v>71</v>
      </c>
      <c r="D18" s="29" t="s">
        <v>78</v>
      </c>
      <c r="E18" s="29" t="s">
        <v>70</v>
      </c>
      <c r="F18" s="41" t="s">
        <v>77</v>
      </c>
    </row>
    <row r="19" spans="1:6" ht="15.75" customHeight="1" x14ac:dyDescent="0.25">
      <c r="A19" s="72" t="s">
        <v>194</v>
      </c>
      <c r="B19" s="72" t="s">
        <v>353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352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195</v>
      </c>
      <c r="B21" s="72" t="s">
        <v>353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352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207</v>
      </c>
      <c r="B23" s="72" t="s">
        <v>353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352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208</v>
      </c>
      <c r="B25" s="72" t="s">
        <v>353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352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209</v>
      </c>
      <c r="B27" s="72" t="s">
        <v>353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352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214</v>
      </c>
      <c r="B29" s="72" t="s">
        <v>353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352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220</v>
      </c>
      <c r="B31" s="72" t="s">
        <v>353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352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276</v>
      </c>
    </row>
    <row r="35" spans="1:6" ht="15.75" customHeight="1" x14ac:dyDescent="0.3">
      <c r="A35" s="41" t="s">
        <v>192</v>
      </c>
      <c r="B35" s="29"/>
      <c r="C35" s="29" t="s">
        <v>71</v>
      </c>
      <c r="D35" s="29" t="s">
        <v>78</v>
      </c>
      <c r="E35" s="29" t="s">
        <v>70</v>
      </c>
      <c r="F35" s="41" t="s">
        <v>77</v>
      </c>
    </row>
    <row r="36" spans="1:6" ht="15.75" customHeight="1" x14ac:dyDescent="0.25">
      <c r="A36" s="72" t="s">
        <v>194</v>
      </c>
      <c r="B36" s="72" t="s">
        <v>353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352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195</v>
      </c>
      <c r="B38" s="72" t="s">
        <v>353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352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207</v>
      </c>
      <c r="B40" s="72" t="s">
        <v>353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352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208</v>
      </c>
      <c r="B42" s="72" t="s">
        <v>353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352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209</v>
      </c>
      <c r="B44" s="72" t="s">
        <v>353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352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214</v>
      </c>
      <c r="B46" s="72" t="s">
        <v>353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352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220</v>
      </c>
      <c r="B48" s="72" t="s">
        <v>353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352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kOM+4Wg/EFJPvGYdSGDK9mNslzu09R5qPE9rnR948qqC3Wzy/S55zpPCilG8ifXUuYSPhxW4ZBUEqjp2K0QeBg==" saltValue="NIGkDkicP6dVb7jlzzJr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51"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97</v>
      </c>
      <c r="D1" s="122" t="s">
        <v>93</v>
      </c>
      <c r="E1" s="122" t="s">
        <v>96</v>
      </c>
      <c r="F1" s="122" t="s">
        <v>94</v>
      </c>
      <c r="G1" s="122" t="s">
        <v>95</v>
      </c>
      <c r="H1" s="122" t="s">
        <v>87</v>
      </c>
      <c r="I1" s="122" t="s">
        <v>88</v>
      </c>
      <c r="J1" s="122" t="s">
        <v>89</v>
      </c>
      <c r="K1" s="122" t="s">
        <v>90</v>
      </c>
      <c r="L1" s="122" t="s">
        <v>132</v>
      </c>
      <c r="M1" s="122" t="s">
        <v>133</v>
      </c>
      <c r="N1" s="122" t="s">
        <v>134</v>
      </c>
      <c r="O1" s="122" t="s">
        <v>135</v>
      </c>
    </row>
    <row r="2" spans="1:15" ht="13" x14ac:dyDescent="0.3">
      <c r="A2" s="29" t="s">
        <v>357</v>
      </c>
    </row>
    <row r="3" spans="1:15" x14ac:dyDescent="0.25">
      <c r="B3" s="45" t="s">
        <v>198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203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204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205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206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207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208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209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213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214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219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220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233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354</v>
      </c>
      <c r="B17" s="45"/>
    </row>
    <row r="18" spans="1:15" x14ac:dyDescent="0.25">
      <c r="B18" s="72" t="s">
        <v>200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201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202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210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266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97</v>
      </c>
      <c r="D24" s="122" t="s">
        <v>93</v>
      </c>
      <c r="E24" s="122" t="s">
        <v>96</v>
      </c>
      <c r="F24" s="122" t="s">
        <v>94</v>
      </c>
      <c r="G24" s="122" t="s">
        <v>95</v>
      </c>
      <c r="H24" s="122" t="s">
        <v>87</v>
      </c>
      <c r="I24" s="122" t="s">
        <v>88</v>
      </c>
      <c r="J24" s="122" t="s">
        <v>89</v>
      </c>
      <c r="K24" s="122" t="s">
        <v>90</v>
      </c>
      <c r="L24" s="122" t="s">
        <v>132</v>
      </c>
      <c r="M24" s="122" t="s">
        <v>133</v>
      </c>
      <c r="N24" s="122" t="s">
        <v>134</v>
      </c>
      <c r="O24" s="122" t="s">
        <v>135</v>
      </c>
    </row>
    <row r="25" spans="1:15" ht="13" x14ac:dyDescent="0.3">
      <c r="A25" s="29" t="s">
        <v>358</v>
      </c>
    </row>
    <row r="26" spans="1:15" x14ac:dyDescent="0.25">
      <c r="B26" s="45" t="s">
        <v>198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203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204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205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206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207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208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209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213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214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219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220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233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355</v>
      </c>
      <c r="B40" s="45"/>
    </row>
    <row r="41" spans="1:15" x14ac:dyDescent="0.25">
      <c r="B41" s="72" t="s">
        <v>200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201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202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210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276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97</v>
      </c>
      <c r="D47" s="122" t="s">
        <v>93</v>
      </c>
      <c r="E47" s="122" t="s">
        <v>96</v>
      </c>
      <c r="F47" s="122" t="s">
        <v>94</v>
      </c>
      <c r="G47" s="122" t="s">
        <v>95</v>
      </c>
      <c r="H47" s="122" t="s">
        <v>87</v>
      </c>
      <c r="I47" s="122" t="s">
        <v>88</v>
      </c>
      <c r="J47" s="122" t="s">
        <v>89</v>
      </c>
      <c r="K47" s="122" t="s">
        <v>90</v>
      </c>
      <c r="L47" s="122" t="s">
        <v>132</v>
      </c>
      <c r="M47" s="122" t="s">
        <v>133</v>
      </c>
      <c r="N47" s="122" t="s">
        <v>134</v>
      </c>
      <c r="O47" s="122" t="s">
        <v>135</v>
      </c>
    </row>
    <row r="48" spans="1:15" ht="13" x14ac:dyDescent="0.3">
      <c r="A48" s="29" t="s">
        <v>359</v>
      </c>
    </row>
    <row r="49" spans="1:15" x14ac:dyDescent="0.25">
      <c r="B49" s="45" t="s">
        <v>198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203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204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205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206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207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208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209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213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214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219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220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233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356</v>
      </c>
      <c r="B63" s="45"/>
    </row>
    <row r="64" spans="1:15" x14ac:dyDescent="0.25">
      <c r="B64" s="72" t="s">
        <v>200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201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202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210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AoZGsEtLAiWyu7dPV8YPEpm2fiaQAaaV0+V4KfYze+0bdbvVQdEecST9DLekyz7CGde6FGEoWUV+KkPwi//aaw==" saltValue="sb9d+wUudJCQgTSvgxR1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29" t="s">
        <v>364</v>
      </c>
    </row>
    <row r="3" spans="1:7" x14ac:dyDescent="0.25">
      <c r="B3" s="45" t="s">
        <v>193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361</v>
      </c>
      <c r="B4" s="45"/>
      <c r="C4" s="123"/>
      <c r="D4" s="123"/>
      <c r="E4" s="123"/>
      <c r="F4" s="123"/>
      <c r="G4" s="123"/>
    </row>
    <row r="5" spans="1:7" x14ac:dyDescent="0.25">
      <c r="B5" s="72" t="s">
        <v>191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360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29" t="s">
        <v>365</v>
      </c>
    </row>
    <row r="10" spans="1:7" x14ac:dyDescent="0.25">
      <c r="B10" s="45" t="s">
        <v>193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362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191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367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29" t="s">
        <v>366</v>
      </c>
    </row>
    <row r="17" spans="1:7" x14ac:dyDescent="0.25">
      <c r="B17" s="45" t="s">
        <v>193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363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191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ierCdiJfWrQ88aZCuvGdRX5IjdqUooVQkIzkHRvphykkaVTsERnogcuvcQ00vn0OjVlHB4UE9J7wfG16sK80MQ==" saltValue="uufORw0Q/5yLL0wcr65E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9"/>
  <sheetViews>
    <sheetView zoomScale="70" zoomScaleNormal="70" workbookViewId="0">
      <selection activeCell="H14" sqref="H14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192</v>
      </c>
      <c r="B1" s="29" t="s">
        <v>371</v>
      </c>
      <c r="C1" s="96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39" t="s">
        <v>225</v>
      </c>
      <c r="B2" s="39" t="s">
        <v>103</v>
      </c>
      <c r="C2" s="39" t="s">
        <v>368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370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369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222</v>
      </c>
      <c r="B5" s="39" t="s">
        <v>236</v>
      </c>
      <c r="C5" s="39" t="s">
        <v>368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369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3</v>
      </c>
      <c r="C7" s="39" t="s">
        <v>368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369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213</v>
      </c>
      <c r="B9" s="39" t="s">
        <v>236</v>
      </c>
      <c r="C9" s="39" t="s">
        <v>368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369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3</v>
      </c>
      <c r="C11" s="39" t="s">
        <v>368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369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233</v>
      </c>
      <c r="B13" s="39" t="s">
        <v>236</v>
      </c>
      <c r="C13" s="39" t="s">
        <v>368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369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3</v>
      </c>
      <c r="C15" s="39" t="s">
        <v>368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369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B17" s="39" t="s">
        <v>372</v>
      </c>
      <c r="C17" s="39" t="s">
        <v>368</v>
      </c>
      <c r="D17" s="120">
        <v>0</v>
      </c>
      <c r="E17" s="120">
        <v>0</v>
      </c>
      <c r="F17" s="120">
        <v>1</v>
      </c>
      <c r="G17" s="120">
        <v>1</v>
      </c>
      <c r="H17" s="120">
        <v>0</v>
      </c>
    </row>
    <row r="18" spans="1:8" x14ac:dyDescent="0.25">
      <c r="C18" s="39" t="s">
        <v>370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A19" s="39" t="s">
        <v>196</v>
      </c>
      <c r="B19" s="39" t="s">
        <v>236</v>
      </c>
      <c r="C19" s="39" t="s">
        <v>368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369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B21" s="39" t="s">
        <v>3</v>
      </c>
      <c r="C21" s="39" t="s">
        <v>368</v>
      </c>
      <c r="D21" s="120">
        <v>0</v>
      </c>
      <c r="E21" s="120">
        <v>0</v>
      </c>
      <c r="F21" s="120">
        <v>1</v>
      </c>
      <c r="G21" s="120">
        <v>1</v>
      </c>
      <c r="H21" s="120">
        <v>1</v>
      </c>
    </row>
    <row r="22" spans="1:8" x14ac:dyDescent="0.25">
      <c r="C22" s="39" t="s">
        <v>369</v>
      </c>
      <c r="D22" s="120">
        <v>0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202</v>
      </c>
      <c r="B23" s="39" t="s">
        <v>111</v>
      </c>
      <c r="C23" s="39" t="s">
        <v>368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370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200</v>
      </c>
      <c r="B25" s="39" t="s">
        <v>111</v>
      </c>
      <c r="C25" s="39" t="s">
        <v>368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370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201</v>
      </c>
      <c r="B27" s="39" t="s">
        <v>111</v>
      </c>
      <c r="C27" s="39" t="s">
        <v>368</v>
      </c>
      <c r="D27" s="120">
        <v>1</v>
      </c>
      <c r="E27" s="120">
        <v>0</v>
      </c>
      <c r="F27" s="120">
        <v>0</v>
      </c>
      <c r="G27" s="120">
        <v>0</v>
      </c>
      <c r="H27" s="120">
        <v>0</v>
      </c>
    </row>
    <row r="28" spans="1:8" x14ac:dyDescent="0.25">
      <c r="C28" s="39" t="s">
        <v>370</v>
      </c>
      <c r="D28" s="120">
        <v>0.13</v>
      </c>
      <c r="E28" s="120">
        <v>0</v>
      </c>
      <c r="F28" s="120">
        <v>0</v>
      </c>
      <c r="G28" s="120">
        <v>0</v>
      </c>
      <c r="H28" s="120">
        <v>0</v>
      </c>
    </row>
    <row r="29" spans="1:8" x14ac:dyDescent="0.25">
      <c r="A29" s="39" t="s">
        <v>229</v>
      </c>
      <c r="B29" s="39" t="s">
        <v>103</v>
      </c>
      <c r="C29" s="39" t="s">
        <v>368</v>
      </c>
      <c r="D29" s="120">
        <v>1</v>
      </c>
      <c r="E29" s="120">
        <v>1</v>
      </c>
      <c r="F29" s="120">
        <v>1</v>
      </c>
      <c r="G29" s="120">
        <v>1</v>
      </c>
      <c r="H29" s="120">
        <v>1</v>
      </c>
    </row>
    <row r="30" spans="1:8" x14ac:dyDescent="0.25">
      <c r="C30" s="39" t="s">
        <v>370</v>
      </c>
      <c r="D30" s="120">
        <v>0.3</v>
      </c>
      <c r="E30" s="120">
        <v>0.3</v>
      </c>
      <c r="F30" s="120">
        <v>0.3</v>
      </c>
      <c r="G30" s="120">
        <v>0.3</v>
      </c>
      <c r="H30" s="120">
        <v>0.3</v>
      </c>
    </row>
    <row r="31" spans="1:8" x14ac:dyDescent="0.25">
      <c r="C31" s="39" t="s">
        <v>369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A32" s="39" t="s">
        <v>230</v>
      </c>
      <c r="B32" s="39" t="s">
        <v>103</v>
      </c>
      <c r="C32" s="39" t="s">
        <v>368</v>
      </c>
      <c r="D32" s="120">
        <v>1</v>
      </c>
      <c r="E32" s="120">
        <v>1</v>
      </c>
      <c r="F32" s="120">
        <v>1</v>
      </c>
      <c r="G32" s="120">
        <v>1</v>
      </c>
      <c r="H32" s="120">
        <v>1</v>
      </c>
    </row>
    <row r="33" spans="1:8" x14ac:dyDescent="0.25">
      <c r="C33" s="39" t="s">
        <v>370</v>
      </c>
      <c r="D33" s="120">
        <v>0</v>
      </c>
      <c r="E33" s="120">
        <v>0</v>
      </c>
      <c r="F33" s="120">
        <v>0</v>
      </c>
      <c r="G33" s="120">
        <v>0</v>
      </c>
      <c r="H33" s="120">
        <v>0</v>
      </c>
    </row>
    <row r="34" spans="1:8" x14ac:dyDescent="0.25">
      <c r="C34" s="39" t="s">
        <v>369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A35" s="39" t="s">
        <v>228</v>
      </c>
      <c r="B35" s="39" t="s">
        <v>103</v>
      </c>
      <c r="C35" s="39" t="s">
        <v>368</v>
      </c>
      <c r="D35" s="120">
        <v>1</v>
      </c>
      <c r="E35" s="120">
        <v>1</v>
      </c>
      <c r="F35" s="120">
        <v>1</v>
      </c>
      <c r="G35" s="120">
        <v>1</v>
      </c>
      <c r="H35" s="120">
        <v>1</v>
      </c>
    </row>
    <row r="36" spans="1:8" x14ac:dyDescent="0.25">
      <c r="C36" s="39" t="s">
        <v>370</v>
      </c>
      <c r="D36" s="120">
        <v>0</v>
      </c>
      <c r="E36" s="120">
        <v>0</v>
      </c>
      <c r="F36" s="120">
        <v>0</v>
      </c>
      <c r="G36" s="120">
        <v>0</v>
      </c>
      <c r="H36" s="120">
        <v>0</v>
      </c>
    </row>
    <row r="37" spans="1:8" x14ac:dyDescent="0.25">
      <c r="C37" s="39" t="s">
        <v>369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A38" s="39" t="s">
        <v>227</v>
      </c>
      <c r="B38" s="39" t="s">
        <v>103</v>
      </c>
      <c r="C38" s="39" t="s">
        <v>368</v>
      </c>
      <c r="D38" s="120">
        <v>1</v>
      </c>
      <c r="E38" s="120">
        <v>1</v>
      </c>
      <c r="F38" s="120">
        <v>1</v>
      </c>
      <c r="G38" s="120">
        <v>1</v>
      </c>
      <c r="H38" s="120">
        <v>1</v>
      </c>
    </row>
    <row r="39" spans="1:8" x14ac:dyDescent="0.25">
      <c r="C39" s="39" t="s">
        <v>370</v>
      </c>
      <c r="D39" s="120">
        <v>0</v>
      </c>
      <c r="E39" s="120">
        <v>0</v>
      </c>
      <c r="F39" s="120">
        <v>0</v>
      </c>
      <c r="G39" s="120">
        <v>0</v>
      </c>
      <c r="H39" s="120">
        <v>0</v>
      </c>
    </row>
    <row r="40" spans="1:8" x14ac:dyDescent="0.25">
      <c r="C40" s="39" t="s">
        <v>369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A41" s="39" t="s">
        <v>226</v>
      </c>
      <c r="B41" s="39" t="s">
        <v>103</v>
      </c>
      <c r="C41" s="39" t="s">
        <v>368</v>
      </c>
      <c r="D41" s="120">
        <v>1</v>
      </c>
      <c r="E41" s="120">
        <v>1</v>
      </c>
      <c r="F41" s="120">
        <v>1</v>
      </c>
      <c r="G41" s="120">
        <v>1</v>
      </c>
      <c r="H41" s="120">
        <v>1</v>
      </c>
    </row>
    <row r="42" spans="1:8" x14ac:dyDescent="0.25">
      <c r="C42" s="39" t="s">
        <v>370</v>
      </c>
      <c r="D42" s="120">
        <v>0</v>
      </c>
      <c r="E42" s="120">
        <v>0</v>
      </c>
      <c r="F42" s="120">
        <v>0</v>
      </c>
      <c r="G42" s="120">
        <v>0</v>
      </c>
      <c r="H42" s="120">
        <v>0</v>
      </c>
    </row>
    <row r="43" spans="1:8" x14ac:dyDescent="0.25">
      <c r="C43" s="39" t="s">
        <v>369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A44" s="39" t="s">
        <v>232</v>
      </c>
      <c r="B44" s="39" t="s">
        <v>103</v>
      </c>
      <c r="C44" s="39" t="s">
        <v>368</v>
      </c>
      <c r="D44" s="120">
        <v>0</v>
      </c>
      <c r="E44" s="120">
        <v>1</v>
      </c>
      <c r="F44" s="120">
        <v>1</v>
      </c>
      <c r="G44" s="120">
        <v>1</v>
      </c>
      <c r="H44" s="120">
        <v>1</v>
      </c>
    </row>
    <row r="45" spans="1:8" x14ac:dyDescent="0.25">
      <c r="C45" s="39" t="s">
        <v>370</v>
      </c>
      <c r="D45" s="120">
        <v>0</v>
      </c>
      <c r="E45" s="120">
        <v>0</v>
      </c>
      <c r="F45" s="120">
        <v>0</v>
      </c>
      <c r="G45" s="120">
        <v>0</v>
      </c>
      <c r="H45" s="120">
        <v>0</v>
      </c>
    </row>
    <row r="46" spans="1:8" x14ac:dyDescent="0.25">
      <c r="C46" s="39" t="s">
        <v>369</v>
      </c>
      <c r="D46" s="120">
        <v>0.09</v>
      </c>
      <c r="E46" s="120">
        <v>0.09</v>
      </c>
      <c r="F46" s="120">
        <v>0.09</v>
      </c>
      <c r="G46" s="120">
        <v>0.09</v>
      </c>
      <c r="H46" s="120">
        <v>0.09</v>
      </c>
    </row>
    <row r="47" spans="1:8" x14ac:dyDescent="0.25">
      <c r="B47" s="39" t="s">
        <v>121</v>
      </c>
      <c r="C47" s="39" t="s">
        <v>368</v>
      </c>
      <c r="D47" s="120">
        <v>0</v>
      </c>
      <c r="E47" s="120">
        <v>1</v>
      </c>
      <c r="F47" s="120">
        <v>1</v>
      </c>
      <c r="G47" s="120">
        <v>1</v>
      </c>
      <c r="H47" s="120">
        <v>1</v>
      </c>
    </row>
    <row r="48" spans="1:8" x14ac:dyDescent="0.25">
      <c r="C48" s="39" t="s">
        <v>370</v>
      </c>
      <c r="D48" s="120">
        <v>0</v>
      </c>
      <c r="E48" s="120">
        <v>0</v>
      </c>
      <c r="F48" s="120">
        <v>0</v>
      </c>
      <c r="G48" s="120">
        <v>0</v>
      </c>
      <c r="H48" s="120">
        <v>0</v>
      </c>
    </row>
    <row r="49" spans="1:8" x14ac:dyDescent="0.25">
      <c r="C49" s="39" t="s">
        <v>369</v>
      </c>
      <c r="D49" s="120">
        <v>0</v>
      </c>
      <c r="E49" s="120">
        <v>0</v>
      </c>
      <c r="F49" s="120">
        <v>0</v>
      </c>
      <c r="G49" s="120">
        <v>0</v>
      </c>
      <c r="H49" s="120">
        <v>0</v>
      </c>
    </row>
    <row r="50" spans="1:8" x14ac:dyDescent="0.25">
      <c r="A50" s="39" t="s">
        <v>221</v>
      </c>
      <c r="B50" s="39" t="s">
        <v>103</v>
      </c>
      <c r="C50" s="39" t="s">
        <v>368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370</v>
      </c>
      <c r="D51" s="120">
        <v>0.69</v>
      </c>
      <c r="E51" s="120">
        <v>0.69</v>
      </c>
      <c r="F51" s="120">
        <v>0.69</v>
      </c>
      <c r="G51" s="120">
        <v>0.69</v>
      </c>
      <c r="H51" s="120">
        <v>0.69</v>
      </c>
    </row>
    <row r="52" spans="1:8" x14ac:dyDescent="0.25">
      <c r="A52" s="39" t="s">
        <v>231</v>
      </c>
      <c r="B52" s="39" t="s">
        <v>103</v>
      </c>
      <c r="C52" s="39" t="s">
        <v>368</v>
      </c>
      <c r="D52" s="120">
        <v>1</v>
      </c>
      <c r="E52" s="120">
        <v>1</v>
      </c>
      <c r="F52" s="120">
        <v>1</v>
      </c>
      <c r="G52" s="120">
        <v>1</v>
      </c>
      <c r="H52" s="120">
        <v>1</v>
      </c>
    </row>
    <row r="53" spans="1:8" x14ac:dyDescent="0.25">
      <c r="C53" s="39" t="s">
        <v>370</v>
      </c>
      <c r="D53" s="120">
        <v>0.76</v>
      </c>
      <c r="E53" s="120">
        <v>0.76</v>
      </c>
      <c r="F53" s="120">
        <v>0.76</v>
      </c>
      <c r="G53" s="120">
        <v>0.76</v>
      </c>
      <c r="H53" s="120">
        <v>0.76</v>
      </c>
    </row>
    <row r="54" spans="1:8" x14ac:dyDescent="0.25">
      <c r="A54" s="39" t="s">
        <v>211</v>
      </c>
      <c r="B54" s="39" t="s">
        <v>115</v>
      </c>
      <c r="C54" s="39" t="s">
        <v>368</v>
      </c>
      <c r="D54" s="120">
        <v>1</v>
      </c>
      <c r="E54" s="120">
        <v>0</v>
      </c>
      <c r="F54" s="120">
        <v>0</v>
      </c>
      <c r="G54" s="120">
        <v>0</v>
      </c>
      <c r="H54" s="120">
        <v>0</v>
      </c>
    </row>
    <row r="55" spans="1:8" x14ac:dyDescent="0.25">
      <c r="C55" s="39" t="s">
        <v>370</v>
      </c>
      <c r="D55" s="120">
        <v>0.32</v>
      </c>
      <c r="E55" s="120">
        <v>0</v>
      </c>
      <c r="F55" s="120">
        <v>0</v>
      </c>
      <c r="G55" s="120">
        <v>0</v>
      </c>
      <c r="H55" s="120">
        <v>0</v>
      </c>
    </row>
    <row r="57" spans="1:8" s="106" customFormat="1" ht="13" x14ac:dyDescent="0.3">
      <c r="A57" s="109" t="s">
        <v>360</v>
      </c>
      <c r="B57" s="110"/>
      <c r="C57" s="110"/>
      <c r="D57" s="124"/>
      <c r="E57" s="124"/>
      <c r="F57" s="124"/>
      <c r="G57" s="124"/>
      <c r="H57" s="124"/>
    </row>
    <row r="58" spans="1:8" ht="13" x14ac:dyDescent="0.3">
      <c r="A58" s="29" t="s">
        <v>192</v>
      </c>
      <c r="B58" s="29" t="s">
        <v>371</v>
      </c>
      <c r="C58" s="96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39" t="s">
        <v>225</v>
      </c>
      <c r="B59" s="39" t="s">
        <v>103</v>
      </c>
      <c r="C59" s="39" t="s">
        <v>368</v>
      </c>
      <c r="D59" s="120">
        <f>IF($C2="Affected fraction",D2,IF(D2=1,1,D2*0.9))</f>
        <v>0</v>
      </c>
      <c r="E59" s="120">
        <f>IF($C2="Affected fraction",E2,IF(E2=1,1,E2*0.9))</f>
        <v>0</v>
      </c>
      <c r="F59" s="120">
        <f>IF($C2="Affected fraction",F2,IF(F2=1,1,F2*0.9))</f>
        <v>1</v>
      </c>
      <c r="G59" s="120">
        <f>IF($C2="Affected fraction",G2,IF(G2=1,1,G2*0.9))</f>
        <v>1</v>
      </c>
      <c r="H59" s="120">
        <f>IF($C2="Affected fraction",H2,IF(H2=1,1,H2*0.9))</f>
        <v>1</v>
      </c>
    </row>
    <row r="60" spans="1:8" x14ac:dyDescent="0.25">
      <c r="C60" s="39" t="s">
        <v>370</v>
      </c>
      <c r="D60" s="120">
        <f>IF($C3="Affected fraction",D3,IF(D3=1,1,D3*0.9))</f>
        <v>0</v>
      </c>
      <c r="E60" s="120">
        <f>IF($C3="Affected fraction",E3,IF(E3=1,1,E3*0.9))</f>
        <v>0</v>
      </c>
      <c r="F60" s="120">
        <v>0.02</v>
      </c>
      <c r="G60" s="120">
        <v>0.02</v>
      </c>
      <c r="H60" s="120">
        <v>0.02</v>
      </c>
    </row>
    <row r="61" spans="1:8" x14ac:dyDescent="0.25">
      <c r="C61" s="39" t="s">
        <v>369</v>
      </c>
      <c r="D61" s="120">
        <f>IF($C4="Affected fraction",D4,IF(D4=1,1,D4*0.9))</f>
        <v>0</v>
      </c>
      <c r="E61" s="120">
        <f>IF($C4="Affected fraction",E4,IF(E4=1,1,E4*0.9))</f>
        <v>0</v>
      </c>
      <c r="F61" s="120">
        <v>0.13</v>
      </c>
      <c r="G61" s="120">
        <v>0.13</v>
      </c>
      <c r="H61" s="120">
        <v>0.13</v>
      </c>
    </row>
    <row r="62" spans="1:8" x14ac:dyDescent="0.25">
      <c r="A62" s="39" t="s">
        <v>222</v>
      </c>
      <c r="B62" s="39" t="s">
        <v>236</v>
      </c>
      <c r="C62" s="39" t="s">
        <v>368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369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B64" s="39" t="s">
        <v>3</v>
      </c>
      <c r="C64" s="39" t="s">
        <v>368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369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A66" s="39" t="s">
        <v>213</v>
      </c>
      <c r="B66" s="39" t="s">
        <v>236</v>
      </c>
      <c r="C66" s="39" t="s">
        <v>368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369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B68" s="39" t="s">
        <v>3</v>
      </c>
      <c r="C68" s="39" t="s">
        <v>368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369</v>
      </c>
      <c r="D69" s="120">
        <v>0</v>
      </c>
      <c r="E69" s="120">
        <v>0</v>
      </c>
      <c r="F69" s="120">
        <v>0</v>
      </c>
      <c r="G69" s="120">
        <v>0</v>
      </c>
      <c r="H69" s="120">
        <v>0</v>
      </c>
    </row>
    <row r="70" spans="1:8" x14ac:dyDescent="0.25">
      <c r="A70" s="39" t="s">
        <v>233</v>
      </c>
      <c r="B70" s="39" t="s">
        <v>236</v>
      </c>
      <c r="C70" s="39" t="s">
        <v>368</v>
      </c>
      <c r="D70" s="120">
        <v>0</v>
      </c>
      <c r="E70" s="120">
        <v>0</v>
      </c>
      <c r="F70" s="120">
        <v>1</v>
      </c>
      <c r="G70" s="120">
        <v>1</v>
      </c>
      <c r="H70" s="120">
        <v>0</v>
      </c>
    </row>
    <row r="71" spans="1:8" x14ac:dyDescent="0.25">
      <c r="C71" s="39" t="s">
        <v>369</v>
      </c>
      <c r="D71" s="120">
        <f t="shared" ref="D71:E73" si="0">IF($C14="Affected fraction",D14,IF(D14=1,1,D14*0.9))</f>
        <v>0</v>
      </c>
      <c r="E71" s="120">
        <f t="shared" si="0"/>
        <v>0</v>
      </c>
      <c r="F71" s="120">
        <v>0.14000000000000001</v>
      </c>
      <c r="G71" s="120">
        <v>0.14000000000000001</v>
      </c>
      <c r="H71" s="120">
        <f>IF($C14="Affected fraction",H14,IF(H14=1,1,H14*0.9))</f>
        <v>0</v>
      </c>
    </row>
    <row r="72" spans="1:8" x14ac:dyDescent="0.25">
      <c r="B72" s="39" t="s">
        <v>3</v>
      </c>
      <c r="C72" s="39" t="s">
        <v>368</v>
      </c>
      <c r="D72" s="120">
        <f t="shared" si="0"/>
        <v>0</v>
      </c>
      <c r="E72" s="120">
        <f t="shared" si="0"/>
        <v>0</v>
      </c>
      <c r="F72" s="120">
        <f>IF($C15="Affected fraction",F15,IF(F15=1,1,F15*0.9))</f>
        <v>1</v>
      </c>
      <c r="G72" s="120">
        <f>IF($C15="Affected fraction",G15,IF(G15=1,1,G15*0.9))</f>
        <v>1</v>
      </c>
      <c r="H72" s="120">
        <f>IF($C15="Affected fraction",H15,IF(H15=1,1,H15*0.9))</f>
        <v>0</v>
      </c>
    </row>
    <row r="73" spans="1:8" x14ac:dyDescent="0.25">
      <c r="C73" s="39" t="s">
        <v>369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f>IF($C16="Affected fraction",H16,IF(H16=1,1,H16*0.9))</f>
        <v>0</v>
      </c>
    </row>
    <row r="74" spans="1:8" x14ac:dyDescent="0.25">
      <c r="B74" s="39" t="s">
        <v>372</v>
      </c>
      <c r="C74" s="39" t="s">
        <v>368</v>
      </c>
      <c r="D74" s="120">
        <v>0</v>
      </c>
      <c r="E74" s="120">
        <v>0</v>
      </c>
      <c r="F74" s="120">
        <v>1</v>
      </c>
      <c r="G74" s="120">
        <v>1</v>
      </c>
      <c r="H74" s="120">
        <v>0</v>
      </c>
    </row>
    <row r="75" spans="1:8" x14ac:dyDescent="0.25">
      <c r="C75" s="39" t="s">
        <v>370</v>
      </c>
      <c r="D75" s="120">
        <v>0</v>
      </c>
      <c r="E75" s="120"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196</v>
      </c>
      <c r="B76" s="39" t="s">
        <v>236</v>
      </c>
      <c r="C76" s="39" t="s">
        <v>368</v>
      </c>
      <c r="D76" s="120">
        <f>IF($C19="Affected fraction",D19,IF(D19=1,1,D19*0.9))</f>
        <v>0</v>
      </c>
      <c r="E76" s="120">
        <f>IF($C19="Affected fraction",E19,IF(E19=1,1,E19*0.9))</f>
        <v>0</v>
      </c>
      <c r="F76" s="120">
        <f>IF($C19="Affected fraction",F19,IF(F19=1,1,F19*0.9))</f>
        <v>1</v>
      </c>
      <c r="G76" s="120">
        <f>IF($C19="Affected fraction",G19,IF(G19=1,1,G19*0.9))</f>
        <v>1</v>
      </c>
      <c r="H76" s="120">
        <f>IF($C19="Affected fraction",H19,IF(H19=1,1,H19*0.9))</f>
        <v>1</v>
      </c>
    </row>
    <row r="77" spans="1:8" x14ac:dyDescent="0.25">
      <c r="C77" s="39" t="s">
        <v>369</v>
      </c>
      <c r="D77" s="120">
        <f t="shared" ref="D77:H85" si="1">IF($C20="Affected fraction",D20,IF(D20=1,1,D20*0.9))</f>
        <v>0</v>
      </c>
      <c r="E77" s="120">
        <f t="shared" si="1"/>
        <v>0</v>
      </c>
      <c r="F77" s="120">
        <v>0</v>
      </c>
      <c r="G77" s="120">
        <v>0</v>
      </c>
      <c r="H77" s="120">
        <v>0</v>
      </c>
    </row>
    <row r="78" spans="1:8" x14ac:dyDescent="0.25">
      <c r="B78" s="39" t="s">
        <v>3</v>
      </c>
      <c r="C78" s="39" t="s">
        <v>368</v>
      </c>
      <c r="D78" s="120">
        <f t="shared" si="1"/>
        <v>0</v>
      </c>
      <c r="E78" s="120">
        <f t="shared" si="1"/>
        <v>0</v>
      </c>
      <c r="F78" s="120">
        <v>1</v>
      </c>
      <c r="G78" s="120">
        <v>1</v>
      </c>
      <c r="H78" s="120">
        <v>1</v>
      </c>
    </row>
    <row r="79" spans="1:8" x14ac:dyDescent="0.25">
      <c r="C79" s="39" t="s">
        <v>369</v>
      </c>
      <c r="D79" s="120">
        <f t="shared" si="1"/>
        <v>0</v>
      </c>
      <c r="E79" s="120">
        <f t="shared" si="1"/>
        <v>0</v>
      </c>
      <c r="F79" s="120">
        <v>0</v>
      </c>
      <c r="G79" s="120">
        <v>0</v>
      </c>
      <c r="H79" s="120">
        <v>0</v>
      </c>
    </row>
    <row r="80" spans="1:8" x14ac:dyDescent="0.25">
      <c r="A80" s="39" t="s">
        <v>202</v>
      </c>
      <c r="B80" s="39" t="s">
        <v>111</v>
      </c>
      <c r="C80" s="39" t="s">
        <v>368</v>
      </c>
      <c r="D80" s="120">
        <f t="shared" si="1"/>
        <v>1</v>
      </c>
      <c r="E80" s="120">
        <f t="shared" si="1"/>
        <v>0</v>
      </c>
      <c r="F80" s="120">
        <f t="shared" si="1"/>
        <v>0</v>
      </c>
      <c r="G80" s="120">
        <f t="shared" si="1"/>
        <v>0</v>
      </c>
      <c r="H80" s="120">
        <f t="shared" si="1"/>
        <v>0</v>
      </c>
    </row>
    <row r="81" spans="1:8" x14ac:dyDescent="0.25">
      <c r="C81" s="39" t="s">
        <v>370</v>
      </c>
      <c r="D81" s="120">
        <v>0.11</v>
      </c>
      <c r="E81" s="120">
        <f>IF($C24="Affected fraction",E24,IF(E24=1,1,E24*0.9))</f>
        <v>0</v>
      </c>
      <c r="F81" s="120">
        <f t="shared" si="1"/>
        <v>0</v>
      </c>
      <c r="G81" s="120">
        <f t="shared" si="1"/>
        <v>0</v>
      </c>
      <c r="H81" s="120">
        <f t="shared" si="1"/>
        <v>0</v>
      </c>
    </row>
    <row r="82" spans="1:8" x14ac:dyDescent="0.25">
      <c r="A82" s="39" t="s">
        <v>200</v>
      </c>
      <c r="B82" s="39" t="s">
        <v>111</v>
      </c>
      <c r="C82" s="39" t="s">
        <v>368</v>
      </c>
      <c r="D82" s="120">
        <f>IF($C25="Affected fraction",D25,IF(D25=1,1,D25*0.9))</f>
        <v>1</v>
      </c>
      <c r="E82" s="120">
        <f>IF($C25="Affected fraction",E25,IF(E25=1,1,E25*0.9))</f>
        <v>0</v>
      </c>
      <c r="F82" s="120">
        <f t="shared" si="1"/>
        <v>0</v>
      </c>
      <c r="G82" s="120">
        <f t="shared" si="1"/>
        <v>0</v>
      </c>
      <c r="H82" s="120">
        <f t="shared" si="1"/>
        <v>0</v>
      </c>
    </row>
    <row r="83" spans="1:8" x14ac:dyDescent="0.25">
      <c r="C83" s="39" t="s">
        <v>370</v>
      </c>
      <c r="D83" s="120">
        <v>0.11</v>
      </c>
      <c r="E83" s="120">
        <f>IF($C26="Affected fraction",E26,IF(E26=1,1,E26*0.9))</f>
        <v>0</v>
      </c>
      <c r="F83" s="120">
        <f t="shared" si="1"/>
        <v>0</v>
      </c>
      <c r="G83" s="120">
        <f t="shared" si="1"/>
        <v>0</v>
      </c>
      <c r="H83" s="120">
        <f t="shared" si="1"/>
        <v>0</v>
      </c>
    </row>
    <row r="84" spans="1:8" x14ac:dyDescent="0.25">
      <c r="A84" s="39" t="s">
        <v>201</v>
      </c>
      <c r="B84" s="39" t="s">
        <v>111</v>
      </c>
      <c r="C84" s="39" t="s">
        <v>368</v>
      </c>
      <c r="D84" s="120">
        <f>IF($C27="Affected fraction",D27,IF(D27=1,1,D27*0.9))</f>
        <v>1</v>
      </c>
      <c r="E84" s="120">
        <f>IF($C27="Affected fraction",E27,IF(E27=1,1,E27*0.9))</f>
        <v>0</v>
      </c>
      <c r="F84" s="120">
        <f t="shared" si="1"/>
        <v>0</v>
      </c>
      <c r="G84" s="120">
        <f t="shared" si="1"/>
        <v>0</v>
      </c>
      <c r="H84" s="120">
        <f t="shared" si="1"/>
        <v>0</v>
      </c>
    </row>
    <row r="85" spans="1:8" x14ac:dyDescent="0.25">
      <c r="C85" s="39" t="s">
        <v>370</v>
      </c>
      <c r="D85" s="120">
        <v>0.11</v>
      </c>
      <c r="E85" s="120">
        <f>IF($C28="Affected fraction",E28,IF(E28=1,1,E28*0.9))</f>
        <v>0</v>
      </c>
      <c r="F85" s="120">
        <f t="shared" si="1"/>
        <v>0</v>
      </c>
      <c r="G85" s="120">
        <f t="shared" si="1"/>
        <v>0</v>
      </c>
      <c r="H85" s="120">
        <f t="shared" si="1"/>
        <v>0</v>
      </c>
    </row>
    <row r="86" spans="1:8" x14ac:dyDescent="0.25">
      <c r="A86" s="39" t="s">
        <v>229</v>
      </c>
      <c r="B86" s="39" t="s">
        <v>103</v>
      </c>
      <c r="C86" s="39" t="s">
        <v>368</v>
      </c>
      <c r="D86" s="120">
        <v>1</v>
      </c>
      <c r="E86" s="120">
        <v>1</v>
      </c>
      <c r="F86" s="120">
        <v>1</v>
      </c>
      <c r="G86" s="120">
        <v>1</v>
      </c>
      <c r="H86" s="120">
        <v>1</v>
      </c>
    </row>
    <row r="87" spans="1:8" x14ac:dyDescent="0.25">
      <c r="C87" s="39" t="s">
        <v>370</v>
      </c>
      <c r="D87" s="120">
        <v>7.0000000000000007E-2</v>
      </c>
      <c r="E87" s="120">
        <v>7.0000000000000007E-2</v>
      </c>
      <c r="F87" s="120">
        <v>7.0000000000000007E-2</v>
      </c>
      <c r="G87" s="120">
        <v>7.0000000000000007E-2</v>
      </c>
      <c r="H87" s="120">
        <v>7.0000000000000007E-2</v>
      </c>
    </row>
    <row r="88" spans="1:8" x14ac:dyDescent="0.25">
      <c r="C88" s="39" t="s">
        <v>369</v>
      </c>
      <c r="D88" s="120">
        <v>0</v>
      </c>
      <c r="E88" s="120">
        <v>0</v>
      </c>
      <c r="F88" s="120">
        <v>0</v>
      </c>
      <c r="G88" s="120">
        <v>0</v>
      </c>
      <c r="H88" s="120">
        <v>0</v>
      </c>
    </row>
    <row r="89" spans="1:8" x14ac:dyDescent="0.25">
      <c r="A89" s="39" t="s">
        <v>230</v>
      </c>
      <c r="B89" s="39" t="s">
        <v>103</v>
      </c>
      <c r="C89" s="39" t="s">
        <v>368</v>
      </c>
      <c r="D89" s="120">
        <v>1</v>
      </c>
      <c r="E89" s="120">
        <v>1</v>
      </c>
      <c r="F89" s="120">
        <v>1</v>
      </c>
      <c r="G89" s="120">
        <v>1</v>
      </c>
      <c r="H89" s="120">
        <v>1</v>
      </c>
    </row>
    <row r="90" spans="1:8" x14ac:dyDescent="0.25">
      <c r="C90" s="39" t="s">
        <v>370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C91" s="39" t="s">
        <v>369</v>
      </c>
      <c r="D91" s="120">
        <v>0</v>
      </c>
      <c r="E91" s="120">
        <v>0</v>
      </c>
      <c r="F91" s="120">
        <v>0</v>
      </c>
      <c r="G91" s="120">
        <v>0</v>
      </c>
      <c r="H91" s="120">
        <v>0</v>
      </c>
    </row>
    <row r="92" spans="1:8" x14ac:dyDescent="0.25">
      <c r="A92" s="39" t="s">
        <v>228</v>
      </c>
      <c r="B92" s="39" t="s">
        <v>103</v>
      </c>
      <c r="C92" s="39" t="s">
        <v>368</v>
      </c>
      <c r="D92" s="120">
        <v>1</v>
      </c>
      <c r="E92" s="120">
        <v>1</v>
      </c>
      <c r="F92" s="120">
        <v>1</v>
      </c>
      <c r="G92" s="120">
        <v>1</v>
      </c>
      <c r="H92" s="120">
        <v>1</v>
      </c>
    </row>
    <row r="93" spans="1:8" x14ac:dyDescent="0.25">
      <c r="C93" s="39" t="s">
        <v>370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C94" s="39" t="s">
        <v>369</v>
      </c>
      <c r="D94" s="120">
        <v>0</v>
      </c>
      <c r="E94" s="120">
        <v>0</v>
      </c>
      <c r="F94" s="120">
        <v>0</v>
      </c>
      <c r="G94" s="120">
        <v>0</v>
      </c>
      <c r="H94" s="120">
        <v>0</v>
      </c>
    </row>
    <row r="95" spans="1:8" x14ac:dyDescent="0.25">
      <c r="A95" s="39" t="s">
        <v>227</v>
      </c>
      <c r="B95" s="39" t="s">
        <v>103</v>
      </c>
      <c r="C95" s="39" t="s">
        <v>368</v>
      </c>
      <c r="D95" s="120">
        <v>1</v>
      </c>
      <c r="E95" s="120">
        <v>1</v>
      </c>
      <c r="F95" s="120">
        <v>1</v>
      </c>
      <c r="G95" s="120">
        <v>1</v>
      </c>
      <c r="H95" s="120">
        <v>1</v>
      </c>
    </row>
    <row r="96" spans="1:8" x14ac:dyDescent="0.25">
      <c r="C96" s="39" t="s">
        <v>370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C97" s="39" t="s">
        <v>369</v>
      </c>
      <c r="D97" s="120">
        <v>0</v>
      </c>
      <c r="E97" s="120">
        <v>0</v>
      </c>
      <c r="F97" s="120">
        <v>0</v>
      </c>
      <c r="G97" s="120">
        <v>0</v>
      </c>
      <c r="H97" s="120">
        <v>0</v>
      </c>
    </row>
    <row r="98" spans="1:8" x14ac:dyDescent="0.25">
      <c r="A98" s="39" t="s">
        <v>226</v>
      </c>
      <c r="B98" s="39" t="s">
        <v>103</v>
      </c>
      <c r="C98" s="39" t="s">
        <v>368</v>
      </c>
      <c r="D98" s="120">
        <v>1</v>
      </c>
      <c r="E98" s="120">
        <v>1</v>
      </c>
      <c r="F98" s="120">
        <v>1</v>
      </c>
      <c r="G98" s="120">
        <v>1</v>
      </c>
      <c r="H98" s="120">
        <v>1</v>
      </c>
    </row>
    <row r="99" spans="1:8" x14ac:dyDescent="0.25">
      <c r="C99" s="39" t="s">
        <v>370</v>
      </c>
      <c r="D99" s="120">
        <v>0</v>
      </c>
      <c r="E99" s="120">
        <v>0</v>
      </c>
      <c r="F99" s="120">
        <v>0</v>
      </c>
      <c r="G99" s="120">
        <v>0</v>
      </c>
      <c r="H99" s="120">
        <v>0</v>
      </c>
    </row>
    <row r="100" spans="1:8" x14ac:dyDescent="0.25">
      <c r="C100" s="39" t="s">
        <v>369</v>
      </c>
      <c r="D100" s="120">
        <v>0</v>
      </c>
      <c r="E100" s="120">
        <v>0</v>
      </c>
      <c r="F100" s="120">
        <v>0</v>
      </c>
      <c r="G100" s="120">
        <v>0</v>
      </c>
      <c r="H100" s="120">
        <v>0</v>
      </c>
    </row>
    <row r="101" spans="1:8" x14ac:dyDescent="0.25">
      <c r="A101" s="39" t="s">
        <v>232</v>
      </c>
      <c r="B101" s="39" t="s">
        <v>103</v>
      </c>
      <c r="C101" s="39" t="s">
        <v>368</v>
      </c>
      <c r="D101" s="120">
        <f>IF($C44="Affected fraction",D44,IF(D44=1,1,D44*0.9))</f>
        <v>0</v>
      </c>
      <c r="E101" s="120">
        <f>IF($C44="Affected fraction",E44,IF(E44=1,1,E44*0.9))</f>
        <v>1</v>
      </c>
      <c r="F101" s="120">
        <f>IF($C44="Affected fraction",F44,IF(F44=1,1,F44*0.9))</f>
        <v>1</v>
      </c>
      <c r="G101" s="120">
        <f>IF($C44="Affected fraction",G44,IF(G44=1,1,G44*0.9))</f>
        <v>1</v>
      </c>
      <c r="H101" s="120">
        <f>IF($C44="Affected fraction",H44,IF(H44=1,1,H44*0.9))</f>
        <v>1</v>
      </c>
    </row>
    <row r="102" spans="1:8" x14ac:dyDescent="0.25">
      <c r="C102" s="39" t="s">
        <v>370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C103" s="39" t="s">
        <v>369</v>
      </c>
      <c r="D103" s="120">
        <v>7.0000000000000007E-2</v>
      </c>
      <c r="E103" s="120">
        <v>7.0000000000000007E-2</v>
      </c>
      <c r="F103" s="120">
        <v>7.0000000000000007E-2</v>
      </c>
      <c r="G103" s="120">
        <v>7.0000000000000007E-2</v>
      </c>
      <c r="H103" s="120">
        <v>7.0000000000000007E-2</v>
      </c>
    </row>
    <row r="104" spans="1:8" x14ac:dyDescent="0.25">
      <c r="B104" s="39" t="s">
        <v>121</v>
      </c>
      <c r="C104" s="39" t="s">
        <v>368</v>
      </c>
      <c r="D104" s="120">
        <v>0</v>
      </c>
      <c r="E104" s="120">
        <v>1</v>
      </c>
      <c r="F104" s="120">
        <v>1</v>
      </c>
      <c r="G104" s="120">
        <v>1</v>
      </c>
      <c r="H104" s="120">
        <v>1</v>
      </c>
    </row>
    <row r="105" spans="1:8" x14ac:dyDescent="0.25">
      <c r="C105" s="39" t="s">
        <v>370</v>
      </c>
      <c r="D105" s="120">
        <v>0</v>
      </c>
      <c r="E105" s="120">
        <v>0</v>
      </c>
      <c r="F105" s="120">
        <v>0</v>
      </c>
      <c r="G105" s="120">
        <v>0</v>
      </c>
      <c r="H105" s="120">
        <v>0</v>
      </c>
    </row>
    <row r="106" spans="1:8" x14ac:dyDescent="0.25">
      <c r="C106" s="39" t="s">
        <v>369</v>
      </c>
      <c r="D106" s="120">
        <v>0</v>
      </c>
      <c r="E106" s="120">
        <v>0</v>
      </c>
      <c r="F106" s="120">
        <v>0</v>
      </c>
      <c r="G106" s="120">
        <v>0</v>
      </c>
      <c r="H106" s="120">
        <v>0</v>
      </c>
    </row>
    <row r="107" spans="1:8" x14ac:dyDescent="0.25">
      <c r="A107" s="39" t="s">
        <v>221</v>
      </c>
      <c r="B107" s="39" t="s">
        <v>103</v>
      </c>
      <c r="C107" s="39" t="s">
        <v>368</v>
      </c>
      <c r="D107" s="120">
        <v>1</v>
      </c>
      <c r="E107" s="120">
        <v>1</v>
      </c>
      <c r="F107" s="120">
        <v>1</v>
      </c>
      <c r="G107" s="120">
        <v>1</v>
      </c>
      <c r="H107" s="120">
        <v>1</v>
      </c>
    </row>
    <row r="108" spans="1:8" x14ac:dyDescent="0.25">
      <c r="C108" s="39" t="s">
        <v>370</v>
      </c>
      <c r="D108" s="120">
        <v>0.51</v>
      </c>
      <c r="E108" s="120">
        <v>0.51</v>
      </c>
      <c r="F108" s="120">
        <v>0.51</v>
      </c>
      <c r="G108" s="120">
        <v>0.51</v>
      </c>
      <c r="H108" s="120">
        <v>0.51</v>
      </c>
    </row>
    <row r="109" spans="1:8" x14ac:dyDescent="0.25">
      <c r="A109" s="39" t="s">
        <v>231</v>
      </c>
      <c r="B109" s="39" t="s">
        <v>103</v>
      </c>
      <c r="C109" s="39" t="s">
        <v>368</v>
      </c>
      <c r="D109" s="120">
        <v>1</v>
      </c>
      <c r="E109" s="120">
        <v>1</v>
      </c>
      <c r="F109" s="120">
        <v>1</v>
      </c>
      <c r="G109" s="120">
        <v>1</v>
      </c>
      <c r="H109" s="120">
        <v>1</v>
      </c>
    </row>
    <row r="110" spans="1:8" x14ac:dyDescent="0.25">
      <c r="C110" s="39" t="s">
        <v>370</v>
      </c>
      <c r="D110" s="120">
        <v>0.62</v>
      </c>
      <c r="E110" s="120">
        <v>0.62</v>
      </c>
      <c r="F110" s="120">
        <v>0.62</v>
      </c>
      <c r="G110" s="120">
        <v>0.62</v>
      </c>
      <c r="H110" s="120">
        <v>0.62</v>
      </c>
    </row>
    <row r="111" spans="1:8" x14ac:dyDescent="0.25">
      <c r="A111" s="39" t="s">
        <v>211</v>
      </c>
      <c r="B111" s="39" t="s">
        <v>115</v>
      </c>
      <c r="C111" s="39" t="s">
        <v>368</v>
      </c>
      <c r="D111" s="120">
        <v>1</v>
      </c>
      <c r="E111" s="120">
        <v>0</v>
      </c>
      <c r="F111" s="120">
        <v>0</v>
      </c>
      <c r="G111" s="120">
        <v>0</v>
      </c>
      <c r="H111" s="120">
        <v>0</v>
      </c>
    </row>
    <row r="112" spans="1:8" x14ac:dyDescent="0.25">
      <c r="C112" s="39" t="s">
        <v>370</v>
      </c>
      <c r="D112" s="120">
        <v>0.14000000000000001</v>
      </c>
      <c r="E112" s="120">
        <v>0</v>
      </c>
      <c r="F112" s="120">
        <v>0</v>
      </c>
      <c r="G112" s="120">
        <v>0</v>
      </c>
      <c r="H112" s="120">
        <v>0</v>
      </c>
    </row>
    <row r="114" spans="1:8" s="106" customFormat="1" ht="13" x14ac:dyDescent="0.3">
      <c r="A114" s="109" t="s">
        <v>367</v>
      </c>
      <c r="B114" s="110"/>
      <c r="C114" s="110"/>
      <c r="D114" s="124"/>
      <c r="E114" s="124"/>
      <c r="F114" s="124"/>
      <c r="G114" s="124"/>
      <c r="H114" s="124"/>
    </row>
    <row r="115" spans="1:8" ht="13" x14ac:dyDescent="0.3">
      <c r="A115" s="29" t="s">
        <v>192</v>
      </c>
      <c r="B115" s="29" t="s">
        <v>371</v>
      </c>
      <c r="C115" s="96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39" t="s">
        <v>225</v>
      </c>
      <c r="B116" s="39" t="s">
        <v>103</v>
      </c>
      <c r="C116" s="39" t="s">
        <v>368</v>
      </c>
      <c r="D116" s="120">
        <f t="shared" ref="D116:E118" si="2">IF($C2="Affected fraction",D2,IF(D2=1,1,D2*1.05))</f>
        <v>0</v>
      </c>
      <c r="E116" s="120">
        <f t="shared" si="2"/>
        <v>0</v>
      </c>
      <c r="F116" s="120">
        <f>IF($C59="Affected fraction",F59,IF(F59=1,1,F59*0.9))</f>
        <v>1</v>
      </c>
      <c r="G116" s="120">
        <f>IF($C59="Affected fraction",G59,IF(G59=1,1,G59*0.9))</f>
        <v>1</v>
      </c>
      <c r="H116" s="120">
        <f>IF($C59="Affected fraction",H59,IF(H59=1,1,H59*0.9))</f>
        <v>1</v>
      </c>
    </row>
    <row r="117" spans="1:8" x14ac:dyDescent="0.25">
      <c r="C117" s="39" t="s">
        <v>370</v>
      </c>
      <c r="D117" s="120">
        <f t="shared" si="2"/>
        <v>0</v>
      </c>
      <c r="E117" s="120">
        <f t="shared" si="2"/>
        <v>0</v>
      </c>
      <c r="F117" s="120">
        <v>0.21</v>
      </c>
      <c r="G117" s="120">
        <v>0.21</v>
      </c>
      <c r="H117" s="120">
        <v>0.21</v>
      </c>
    </row>
    <row r="118" spans="1:8" x14ac:dyDescent="0.25">
      <c r="C118" s="39" t="s">
        <v>369</v>
      </c>
      <c r="D118" s="120">
        <f t="shared" si="2"/>
        <v>0</v>
      </c>
      <c r="E118" s="120">
        <f t="shared" si="2"/>
        <v>0</v>
      </c>
      <c r="F118" s="120">
        <v>0.18</v>
      </c>
      <c r="G118" s="120">
        <v>0.18</v>
      </c>
      <c r="H118" s="120">
        <v>0.18</v>
      </c>
    </row>
    <row r="119" spans="1:8" x14ac:dyDescent="0.25">
      <c r="A119" s="39" t="s">
        <v>222</v>
      </c>
      <c r="B119" s="39" t="s">
        <v>236</v>
      </c>
      <c r="C119" s="39" t="s">
        <v>368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369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3</v>
      </c>
      <c r="C121" s="39" t="s">
        <v>368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369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213</v>
      </c>
      <c r="B123" s="39" t="s">
        <v>236</v>
      </c>
      <c r="C123" s="39" t="s">
        <v>368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369</v>
      </c>
      <c r="D124" s="120">
        <v>0</v>
      </c>
      <c r="E124" s="120">
        <v>0</v>
      </c>
      <c r="F124" s="120">
        <v>0</v>
      </c>
      <c r="G124" s="120">
        <v>0</v>
      </c>
      <c r="H124" s="120">
        <v>0</v>
      </c>
    </row>
    <row r="125" spans="1:8" x14ac:dyDescent="0.25">
      <c r="B125" s="39" t="s">
        <v>3</v>
      </c>
      <c r="C125" s="39" t="s">
        <v>368</v>
      </c>
      <c r="D125" s="120">
        <v>0</v>
      </c>
      <c r="E125" s="120">
        <v>0</v>
      </c>
      <c r="F125" s="120">
        <v>1</v>
      </c>
      <c r="G125" s="120">
        <v>1</v>
      </c>
      <c r="H125" s="120">
        <v>0</v>
      </c>
    </row>
    <row r="126" spans="1:8" x14ac:dyDescent="0.25">
      <c r="C126" s="39" t="s">
        <v>369</v>
      </c>
      <c r="D126" s="120">
        <v>0</v>
      </c>
      <c r="E126" s="120">
        <v>0</v>
      </c>
      <c r="F126" s="120">
        <v>0</v>
      </c>
      <c r="G126" s="120">
        <v>0</v>
      </c>
      <c r="H126" s="120">
        <v>0</v>
      </c>
    </row>
    <row r="127" spans="1:8" x14ac:dyDescent="0.25">
      <c r="A127" s="39" t="s">
        <v>233</v>
      </c>
      <c r="B127" s="39" t="s">
        <v>236</v>
      </c>
      <c r="C127" s="39" t="s">
        <v>368</v>
      </c>
      <c r="D127" s="120">
        <v>0</v>
      </c>
      <c r="E127" s="120">
        <v>0</v>
      </c>
      <c r="F127" s="120">
        <v>1</v>
      </c>
      <c r="G127" s="120">
        <v>1</v>
      </c>
      <c r="H127" s="120">
        <v>0</v>
      </c>
    </row>
    <row r="128" spans="1:8" x14ac:dyDescent="0.25">
      <c r="C128" s="39" t="s">
        <v>369</v>
      </c>
      <c r="D128" s="120">
        <f t="shared" ref="D128:E130" si="3">IF($C14="Affected fraction",D14,IF(D14=1,1,D14*1.05))</f>
        <v>0</v>
      </c>
      <c r="E128" s="120">
        <f t="shared" si="3"/>
        <v>0</v>
      </c>
      <c r="F128" s="120">
        <v>0.45</v>
      </c>
      <c r="G128" s="120">
        <v>0.45</v>
      </c>
      <c r="H128" s="120">
        <f>IF($C14="Affected fraction",H14,IF(H14=1,1,H14*1.05))</f>
        <v>0</v>
      </c>
    </row>
    <row r="129" spans="1:8" x14ac:dyDescent="0.25">
      <c r="B129" s="39" t="s">
        <v>3</v>
      </c>
      <c r="C129" s="39" t="s">
        <v>368</v>
      </c>
      <c r="D129" s="120">
        <f t="shared" si="3"/>
        <v>0</v>
      </c>
      <c r="E129" s="120">
        <f t="shared" si="3"/>
        <v>0</v>
      </c>
      <c r="F129" s="120">
        <f>IF($C15="Affected fraction",F15,IF(F15=1,1,F15*1.05))</f>
        <v>1</v>
      </c>
      <c r="G129" s="120">
        <f>IF($C15="Affected fraction",G15,IF(G15=1,1,G15*1.05))</f>
        <v>1</v>
      </c>
      <c r="H129" s="120">
        <f>IF($C15="Affected fraction",H15,IF(H15=1,1,H15*1.05))</f>
        <v>0</v>
      </c>
    </row>
    <row r="130" spans="1:8" x14ac:dyDescent="0.25">
      <c r="C130" s="39" t="s">
        <v>369</v>
      </c>
      <c r="D130" s="120">
        <f t="shared" si="3"/>
        <v>0</v>
      </c>
      <c r="E130" s="120">
        <f t="shared" si="3"/>
        <v>0</v>
      </c>
      <c r="F130" s="120">
        <v>0.2</v>
      </c>
      <c r="G130" s="120">
        <v>0.2</v>
      </c>
      <c r="H130" s="120">
        <f>IF($C16="Affected fraction",H16,IF(H16=1,1,H16*1.05))</f>
        <v>0</v>
      </c>
    </row>
    <row r="131" spans="1:8" x14ac:dyDescent="0.25">
      <c r="B131" s="39" t="s">
        <v>372</v>
      </c>
      <c r="C131" s="39" t="s">
        <v>368</v>
      </c>
      <c r="D131" s="120">
        <v>0</v>
      </c>
      <c r="E131" s="120">
        <v>0</v>
      </c>
      <c r="F131" s="120">
        <v>1</v>
      </c>
      <c r="G131" s="120">
        <v>1</v>
      </c>
      <c r="H131" s="120">
        <v>0</v>
      </c>
    </row>
    <row r="132" spans="1:8" x14ac:dyDescent="0.25">
      <c r="C132" s="39" t="s">
        <v>370</v>
      </c>
      <c r="D132" s="120">
        <v>0</v>
      </c>
      <c r="E132" s="120">
        <v>0</v>
      </c>
      <c r="F132" s="120">
        <v>0</v>
      </c>
      <c r="G132" s="120">
        <v>0</v>
      </c>
      <c r="H132" s="120">
        <v>0</v>
      </c>
    </row>
    <row r="133" spans="1:8" x14ac:dyDescent="0.25">
      <c r="A133" s="39" t="s">
        <v>196</v>
      </c>
      <c r="B133" s="39" t="s">
        <v>236</v>
      </c>
      <c r="C133" s="39" t="s">
        <v>368</v>
      </c>
      <c r="D133" s="120">
        <f>IF($C19="Affected fraction",D19,IF(D19=1,1,D19*1.05))</f>
        <v>0</v>
      </c>
      <c r="E133" s="120">
        <f>IF($C19="Affected fraction",E19,IF(E19=1,1,E19*1.05))</f>
        <v>0</v>
      </c>
      <c r="F133" s="120">
        <f>IF($C19="Affected fraction",F19,IF(F19=1,1,F19*1.05))</f>
        <v>1</v>
      </c>
      <c r="G133" s="120">
        <f>IF($C19="Affected fraction",G19,IF(G19=1,1,G19*1.05))</f>
        <v>1</v>
      </c>
      <c r="H133" s="120">
        <f>IF($C19="Affected fraction",H19,IF(H19=1,1,H19*1.05))</f>
        <v>1</v>
      </c>
    </row>
    <row r="134" spans="1:8" x14ac:dyDescent="0.25">
      <c r="C134" s="39" t="s">
        <v>369</v>
      </c>
      <c r="D134" s="120">
        <f t="shared" ref="D134:H142" si="4">IF($C20="Affected fraction",D20,IF(D20=1,1,D20*1.05))</f>
        <v>0</v>
      </c>
      <c r="E134" s="120">
        <f t="shared" si="4"/>
        <v>0</v>
      </c>
      <c r="F134" s="120">
        <v>0</v>
      </c>
      <c r="G134" s="120">
        <v>0</v>
      </c>
      <c r="H134" s="120">
        <v>0</v>
      </c>
    </row>
    <row r="135" spans="1:8" x14ac:dyDescent="0.25">
      <c r="B135" s="39" t="s">
        <v>3</v>
      </c>
      <c r="C135" s="39" t="s">
        <v>368</v>
      </c>
      <c r="D135" s="120">
        <f t="shared" si="4"/>
        <v>0</v>
      </c>
      <c r="E135" s="120">
        <f t="shared" si="4"/>
        <v>0</v>
      </c>
      <c r="F135" s="120">
        <v>1</v>
      </c>
      <c r="G135" s="120">
        <v>1</v>
      </c>
      <c r="H135" s="120">
        <v>1</v>
      </c>
    </row>
    <row r="136" spans="1:8" x14ac:dyDescent="0.25">
      <c r="C136" s="39" t="s">
        <v>369</v>
      </c>
      <c r="D136" s="120">
        <f t="shared" si="4"/>
        <v>0</v>
      </c>
      <c r="E136" s="120">
        <f t="shared" si="4"/>
        <v>0</v>
      </c>
      <c r="F136" s="120">
        <v>0</v>
      </c>
      <c r="G136" s="120">
        <v>0</v>
      </c>
      <c r="H136" s="120">
        <v>0</v>
      </c>
    </row>
    <row r="137" spans="1:8" x14ac:dyDescent="0.25">
      <c r="A137" s="39" t="s">
        <v>202</v>
      </c>
      <c r="B137" s="39" t="s">
        <v>111</v>
      </c>
      <c r="C137" s="39" t="s">
        <v>368</v>
      </c>
      <c r="D137" s="120">
        <f>IF($C80="Affected fraction",D80,IF(D80=1,1,D80*0.9))</f>
        <v>1</v>
      </c>
      <c r="E137" s="120">
        <f t="shared" si="4"/>
        <v>0</v>
      </c>
      <c r="F137" s="120">
        <f t="shared" si="4"/>
        <v>0</v>
      </c>
      <c r="G137" s="120">
        <f t="shared" si="4"/>
        <v>0</v>
      </c>
      <c r="H137" s="120">
        <f t="shared" si="4"/>
        <v>0</v>
      </c>
    </row>
    <row r="138" spans="1:8" x14ac:dyDescent="0.25">
      <c r="C138" s="39" t="s">
        <v>370</v>
      </c>
      <c r="D138" s="120">
        <v>0.16</v>
      </c>
      <c r="E138" s="120">
        <f t="shared" si="4"/>
        <v>0</v>
      </c>
      <c r="F138" s="120">
        <f t="shared" si="4"/>
        <v>0</v>
      </c>
      <c r="G138" s="120">
        <f t="shared" si="4"/>
        <v>0</v>
      </c>
      <c r="H138" s="120">
        <f t="shared" si="4"/>
        <v>0</v>
      </c>
    </row>
    <row r="139" spans="1:8" x14ac:dyDescent="0.25">
      <c r="A139" s="39" t="s">
        <v>200</v>
      </c>
      <c r="B139" s="39" t="s">
        <v>111</v>
      </c>
      <c r="C139" s="39" t="s">
        <v>368</v>
      </c>
      <c r="D139" s="120">
        <f>IF($C82="Affected fraction",D82,IF(D82=1,1,D82*0.9))</f>
        <v>1</v>
      </c>
      <c r="E139" s="120">
        <f t="shared" si="4"/>
        <v>0</v>
      </c>
      <c r="F139" s="120">
        <f t="shared" si="4"/>
        <v>0</v>
      </c>
      <c r="G139" s="120">
        <f t="shared" si="4"/>
        <v>0</v>
      </c>
      <c r="H139" s="120">
        <f t="shared" si="4"/>
        <v>0</v>
      </c>
    </row>
    <row r="140" spans="1:8" x14ac:dyDescent="0.25">
      <c r="C140" s="39" t="s">
        <v>370</v>
      </c>
      <c r="D140" s="120">
        <v>0.16</v>
      </c>
      <c r="E140" s="120">
        <f t="shared" si="4"/>
        <v>0</v>
      </c>
      <c r="F140" s="120">
        <f t="shared" si="4"/>
        <v>0</v>
      </c>
      <c r="G140" s="120">
        <f t="shared" si="4"/>
        <v>0</v>
      </c>
      <c r="H140" s="120">
        <f t="shared" si="4"/>
        <v>0</v>
      </c>
    </row>
    <row r="141" spans="1:8" x14ac:dyDescent="0.25">
      <c r="A141" s="39" t="s">
        <v>201</v>
      </c>
      <c r="B141" s="39" t="s">
        <v>111</v>
      </c>
      <c r="C141" s="39" t="s">
        <v>368</v>
      </c>
      <c r="D141" s="120">
        <f>IF($C84="Affected fraction",D84,IF(D84=1,1,D84*0.9))</f>
        <v>1</v>
      </c>
      <c r="E141" s="120">
        <f t="shared" si="4"/>
        <v>0</v>
      </c>
      <c r="F141" s="120">
        <f t="shared" si="4"/>
        <v>0</v>
      </c>
      <c r="G141" s="120">
        <f t="shared" si="4"/>
        <v>0</v>
      </c>
      <c r="H141" s="120">
        <f t="shared" si="4"/>
        <v>0</v>
      </c>
    </row>
    <row r="142" spans="1:8" x14ac:dyDescent="0.25">
      <c r="C142" s="39" t="s">
        <v>370</v>
      </c>
      <c r="D142" s="120">
        <v>0.16</v>
      </c>
      <c r="E142" s="120">
        <f t="shared" si="4"/>
        <v>0</v>
      </c>
      <c r="F142" s="120">
        <f t="shared" si="4"/>
        <v>0</v>
      </c>
      <c r="G142" s="120">
        <f t="shared" si="4"/>
        <v>0</v>
      </c>
      <c r="H142" s="120">
        <f t="shared" si="4"/>
        <v>0</v>
      </c>
    </row>
    <row r="143" spans="1:8" x14ac:dyDescent="0.25">
      <c r="A143" s="39" t="s">
        <v>229</v>
      </c>
      <c r="B143" s="39" t="s">
        <v>103</v>
      </c>
      <c r="C143" s="39" t="s">
        <v>368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370</v>
      </c>
      <c r="D144" s="120">
        <v>0.51</v>
      </c>
      <c r="E144" s="120">
        <v>0.51</v>
      </c>
      <c r="F144" s="120">
        <v>0.51</v>
      </c>
      <c r="G144" s="120">
        <v>0.51</v>
      </c>
      <c r="H144" s="120">
        <v>0.51</v>
      </c>
    </row>
    <row r="145" spans="1:8" x14ac:dyDescent="0.25">
      <c r="C145" s="39" t="s">
        <v>369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230</v>
      </c>
      <c r="B146" s="39" t="s">
        <v>103</v>
      </c>
      <c r="C146" s="39" t="s">
        <v>368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370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369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228</v>
      </c>
      <c r="B149" s="39" t="s">
        <v>103</v>
      </c>
      <c r="C149" s="39" t="s">
        <v>368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370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369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227</v>
      </c>
      <c r="B152" s="39" t="s">
        <v>103</v>
      </c>
      <c r="C152" s="39" t="s">
        <v>368</v>
      </c>
      <c r="D152" s="120">
        <v>1</v>
      </c>
      <c r="E152" s="120">
        <v>1</v>
      </c>
      <c r="F152" s="120">
        <v>1</v>
      </c>
      <c r="G152" s="120">
        <v>1</v>
      </c>
      <c r="H152" s="120">
        <v>1</v>
      </c>
    </row>
    <row r="153" spans="1:8" x14ac:dyDescent="0.25">
      <c r="C153" s="39" t="s">
        <v>370</v>
      </c>
      <c r="D153" s="120">
        <v>0</v>
      </c>
      <c r="E153" s="120">
        <v>0</v>
      </c>
      <c r="F153" s="120">
        <v>0</v>
      </c>
      <c r="G153" s="120">
        <v>0</v>
      </c>
      <c r="H153" s="120">
        <v>0</v>
      </c>
    </row>
    <row r="154" spans="1:8" x14ac:dyDescent="0.25">
      <c r="C154" s="39" t="s">
        <v>369</v>
      </c>
      <c r="D154" s="120">
        <v>0</v>
      </c>
      <c r="E154" s="120">
        <v>0</v>
      </c>
      <c r="F154" s="120">
        <v>0</v>
      </c>
      <c r="G154" s="120">
        <v>0</v>
      </c>
      <c r="H154" s="120">
        <v>0</v>
      </c>
    </row>
    <row r="155" spans="1:8" x14ac:dyDescent="0.25">
      <c r="A155" s="39" t="s">
        <v>226</v>
      </c>
      <c r="B155" s="39" t="s">
        <v>103</v>
      </c>
      <c r="C155" s="39" t="s">
        <v>368</v>
      </c>
      <c r="D155" s="120">
        <v>1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370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369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232</v>
      </c>
      <c r="B158" s="39" t="s">
        <v>103</v>
      </c>
      <c r="C158" s="39" t="s">
        <v>368</v>
      </c>
      <c r="D158" s="120">
        <f t="shared" ref="D158:H159" si="5">IF($C101="Affected fraction",D101,IF(D101=1,1,D101*0.9))</f>
        <v>0</v>
      </c>
      <c r="E158" s="120">
        <f t="shared" si="5"/>
        <v>1</v>
      </c>
      <c r="F158" s="120">
        <f t="shared" si="5"/>
        <v>1</v>
      </c>
      <c r="G158" s="120">
        <f t="shared" si="5"/>
        <v>1</v>
      </c>
      <c r="H158" s="120">
        <f t="shared" si="5"/>
        <v>1</v>
      </c>
    </row>
    <row r="159" spans="1:8" x14ac:dyDescent="0.25">
      <c r="C159" s="39" t="s">
        <v>370</v>
      </c>
      <c r="D159" s="120">
        <f t="shared" si="5"/>
        <v>0</v>
      </c>
      <c r="E159" s="120">
        <f t="shared" si="5"/>
        <v>0</v>
      </c>
      <c r="F159" s="120">
        <f t="shared" si="5"/>
        <v>0</v>
      </c>
      <c r="G159" s="120">
        <f t="shared" si="5"/>
        <v>0</v>
      </c>
      <c r="H159" s="120">
        <f t="shared" si="5"/>
        <v>0</v>
      </c>
    </row>
    <row r="160" spans="1:8" x14ac:dyDescent="0.25">
      <c r="C160" s="39" t="s">
        <v>369</v>
      </c>
      <c r="D160" s="120">
        <v>0.1</v>
      </c>
      <c r="E160" s="120">
        <v>0.1</v>
      </c>
      <c r="F160" s="120">
        <v>0.1</v>
      </c>
      <c r="G160" s="120">
        <v>0.1</v>
      </c>
      <c r="H160" s="120">
        <v>0.1</v>
      </c>
    </row>
    <row r="161" spans="1:8" x14ac:dyDescent="0.25">
      <c r="B161" s="39" t="s">
        <v>121</v>
      </c>
      <c r="C161" s="39" t="s">
        <v>368</v>
      </c>
      <c r="D161" s="120">
        <v>0</v>
      </c>
      <c r="E161" s="120">
        <v>1</v>
      </c>
      <c r="F161" s="120">
        <v>1</v>
      </c>
      <c r="G161" s="120">
        <v>1</v>
      </c>
      <c r="H161" s="120">
        <v>1</v>
      </c>
    </row>
    <row r="162" spans="1:8" x14ac:dyDescent="0.25">
      <c r="C162" s="39" t="s">
        <v>370</v>
      </c>
      <c r="D162" s="120">
        <v>0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369</v>
      </c>
      <c r="D163" s="120">
        <v>0</v>
      </c>
      <c r="E163" s="120">
        <v>0</v>
      </c>
      <c r="F163" s="120">
        <v>0</v>
      </c>
      <c r="G163" s="120">
        <v>0</v>
      </c>
      <c r="H163" s="120">
        <v>0</v>
      </c>
    </row>
    <row r="164" spans="1:8" x14ac:dyDescent="0.25">
      <c r="A164" s="39" t="s">
        <v>221</v>
      </c>
      <c r="B164" s="39" t="s">
        <v>103</v>
      </c>
      <c r="C164" s="39" t="s">
        <v>368</v>
      </c>
      <c r="D164" s="120">
        <v>1</v>
      </c>
      <c r="E164" s="120">
        <v>1</v>
      </c>
      <c r="F164" s="120">
        <v>1</v>
      </c>
      <c r="G164" s="120">
        <v>1</v>
      </c>
      <c r="H164" s="120">
        <v>1</v>
      </c>
    </row>
    <row r="165" spans="1:8" x14ac:dyDescent="0.25">
      <c r="C165" s="39" t="s">
        <v>370</v>
      </c>
      <c r="D165" s="120">
        <v>0.8</v>
      </c>
      <c r="E165" s="120">
        <v>0.8</v>
      </c>
      <c r="F165" s="120">
        <v>0.8</v>
      </c>
      <c r="G165" s="120">
        <v>0.8</v>
      </c>
      <c r="H165" s="120">
        <v>0.8</v>
      </c>
    </row>
    <row r="166" spans="1:8" x14ac:dyDescent="0.25">
      <c r="A166" s="39" t="s">
        <v>231</v>
      </c>
      <c r="B166" s="39" t="s">
        <v>103</v>
      </c>
      <c r="C166" s="39" t="s">
        <v>368</v>
      </c>
      <c r="D166" s="120">
        <v>1</v>
      </c>
      <c r="E166" s="120">
        <v>1</v>
      </c>
      <c r="F166" s="120">
        <v>1</v>
      </c>
      <c r="G166" s="120">
        <v>1</v>
      </c>
      <c r="H166" s="120">
        <v>1</v>
      </c>
    </row>
    <row r="167" spans="1:8" x14ac:dyDescent="0.25">
      <c r="C167" s="39" t="s">
        <v>370</v>
      </c>
      <c r="D167" s="120">
        <v>0.85</v>
      </c>
      <c r="E167" s="120">
        <v>0.85</v>
      </c>
      <c r="F167" s="120">
        <v>0.85</v>
      </c>
      <c r="G167" s="120">
        <v>0.85</v>
      </c>
      <c r="H167" s="120">
        <v>0.85</v>
      </c>
    </row>
    <row r="168" spans="1:8" x14ac:dyDescent="0.25">
      <c r="A168" s="39" t="s">
        <v>211</v>
      </c>
      <c r="B168" s="39" t="s">
        <v>115</v>
      </c>
      <c r="C168" s="39" t="s">
        <v>368</v>
      </c>
      <c r="D168" s="120">
        <v>1</v>
      </c>
      <c r="E168" s="120">
        <v>0</v>
      </c>
      <c r="F168" s="120">
        <v>0</v>
      </c>
      <c r="G168" s="120">
        <v>0</v>
      </c>
      <c r="H168" s="120">
        <v>0</v>
      </c>
    </row>
    <row r="169" spans="1:8" x14ac:dyDescent="0.25">
      <c r="C169" s="39" t="s">
        <v>370</v>
      </c>
      <c r="D169" s="120">
        <v>0.47</v>
      </c>
      <c r="E169" s="120">
        <v>0</v>
      </c>
      <c r="F169" s="120">
        <v>0</v>
      </c>
      <c r="G169" s="120">
        <v>0</v>
      </c>
      <c r="H169" s="120">
        <v>0</v>
      </c>
    </row>
  </sheetData>
  <sheetProtection algorithmName="SHA-512" hashValue="QxJ1OrNMM20N4xLdOAs6V6Sz5s0c0vX11q2Qkfsc83/gk0eeaSwGOkeL6K7KKZbUjDYbUHjUebjZbr8EMBuOAQ==" saltValue="egG39ICMnMhbMPZH9W9X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topLeftCell="A2"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192</v>
      </c>
      <c r="B1" s="41" t="s">
        <v>371</v>
      </c>
      <c r="C1" s="41"/>
      <c r="D1" s="4" t="s">
        <v>132</v>
      </c>
      <c r="E1" s="4" t="s">
        <v>133</v>
      </c>
      <c r="F1" s="4" t="s">
        <v>134</v>
      </c>
      <c r="G1" s="4" t="s">
        <v>135</v>
      </c>
      <c r="H1" s="29"/>
    </row>
    <row r="2" spans="1:8" x14ac:dyDescent="0.25">
      <c r="A2" s="31" t="s">
        <v>195</v>
      </c>
      <c r="B2" s="27" t="s">
        <v>105</v>
      </c>
      <c r="C2" s="31" t="s">
        <v>368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370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218</v>
      </c>
      <c r="B4" s="27" t="s">
        <v>105</v>
      </c>
      <c r="C4" s="31" t="s">
        <v>368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370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217</v>
      </c>
      <c r="B6" s="27" t="s">
        <v>105</v>
      </c>
      <c r="C6" s="31" t="s">
        <v>368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370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220</v>
      </c>
      <c r="B8" s="27" t="s">
        <v>263</v>
      </c>
      <c r="C8" s="31" t="s">
        <v>368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246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360</v>
      </c>
      <c r="D11" s="121"/>
      <c r="E11" s="121"/>
      <c r="F11" s="121"/>
      <c r="G11" s="121"/>
    </row>
    <row r="12" spans="1:8" ht="13" x14ac:dyDescent="0.3">
      <c r="A12" s="41" t="s">
        <v>192</v>
      </c>
      <c r="B12" s="41" t="s">
        <v>371</v>
      </c>
      <c r="C12" s="4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1" t="s">
        <v>195</v>
      </c>
      <c r="B13" s="27" t="s">
        <v>105</v>
      </c>
      <c r="C13" s="31" t="s">
        <v>368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370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218</v>
      </c>
      <c r="B15" s="27" t="s">
        <v>105</v>
      </c>
      <c r="C15" s="31" t="s">
        <v>368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370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217</v>
      </c>
      <c r="B17" s="27" t="s">
        <v>105</v>
      </c>
      <c r="C17" s="31" t="s">
        <v>368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370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220</v>
      </c>
      <c r="B19" s="27" t="s">
        <v>263</v>
      </c>
      <c r="C19" s="31" t="s">
        <v>368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246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367</v>
      </c>
      <c r="D22" s="121"/>
      <c r="E22" s="121"/>
      <c r="F22" s="121"/>
      <c r="G22" s="121"/>
    </row>
    <row r="23" spans="1:7" ht="13" x14ac:dyDescent="0.3">
      <c r="A23" s="41" t="s">
        <v>192</v>
      </c>
      <c r="B23" s="41" t="s">
        <v>371</v>
      </c>
      <c r="C23" s="4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1" t="s">
        <v>195</v>
      </c>
      <c r="B24" s="27" t="s">
        <v>105</v>
      </c>
      <c r="C24" s="31" t="s">
        <v>368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370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218</v>
      </c>
      <c r="B26" s="27" t="s">
        <v>105</v>
      </c>
      <c r="C26" s="31" t="s">
        <v>368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370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217</v>
      </c>
      <c r="B28" s="27" t="s">
        <v>105</v>
      </c>
      <c r="C28" s="31" t="s">
        <v>368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370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220</v>
      </c>
      <c r="B30" s="27" t="s">
        <v>263</v>
      </c>
      <c r="C30" s="31" t="s">
        <v>368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246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4iijuxScj+ZRuVh0U6vSJg+J2uhhZpInPlYj0MkjigrqPGPNNzjempA7LstOZC+NZySTj5uoaPlwFEbAkhvqYw==" saltValue="xW3UL+JtwsO8zhQAGccM4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2026-04-29T01:16:46Z</dcterms:modified>
</cp:coreProperties>
</file>