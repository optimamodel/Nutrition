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F4C40D62-B2E8-48D1-9EF4-A2705D6635EE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2" i="2" l="1"/>
  <c r="I6" i="2"/>
  <c r="A25" i="2"/>
  <c r="A31" i="2"/>
  <c r="I11" i="2"/>
  <c r="A35" i="2"/>
  <c r="A26" i="2"/>
  <c r="I39" i="2"/>
  <c r="A34" i="2"/>
  <c r="A40" i="2"/>
  <c r="A19" i="2"/>
  <c r="A22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<sst xmlns="http://schemas.openxmlformats.org/spreadsheetml/2006/main" count="2159" uniqueCount="372">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</sst>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47520141.5</v>
      </c>
    </row>
    <row r="8" spans="1:3" ht="15" customHeight="1" x14ac:dyDescent="0.25">
      <c r="B8" s="5" t="s">
        <v>63</v>
      </c>
      <c r="C8" s="44">
        <v>5.0000000000000001E-3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7.980000000000001E-2</v>
      </c>
    </row>
    <row r="24" spans="1:3" ht="15" customHeight="1" x14ac:dyDescent="0.25">
      <c r="B24" s="15" t="s">
        <v>65</v>
      </c>
      <c r="C24" s="45">
        <v>0.68840000000000001</v>
      </c>
    </row>
    <row r="25" spans="1:3" ht="15" customHeight="1" x14ac:dyDescent="0.25">
      <c r="B25" s="15" t="s">
        <v>66</v>
      </c>
      <c r="C25" s="45">
        <v>0.20130000000000001</v>
      </c>
    </row>
    <row r="26" spans="1:3" ht="15" customHeight="1" x14ac:dyDescent="0.25">
      <c r="B26" s="15" t="s">
        <v>67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0.40385805873750502</v>
      </c>
    </row>
    <row r="30" spans="1:3" ht="14.25" customHeight="1" x14ac:dyDescent="0.25">
      <c r="B30" s="25" t="s">
        <v>82</v>
      </c>
      <c r="C30" s="99">
        <v>3.4597339605538499E-2</v>
      </c>
    </row>
    <row r="31" spans="1:3" ht="14.25" customHeight="1" x14ac:dyDescent="0.25">
      <c r="B31" s="25" t="s">
        <v>29</v>
      </c>
      <c r="C31" s="99">
        <v>5.9568417955223898E-2</v>
      </c>
    </row>
    <row r="32" spans="1:3" ht="14.25" customHeight="1" x14ac:dyDescent="0.25">
      <c r="B32" s="25" t="s">
        <v>30</v>
      </c>
      <c r="C32" s="99">
        <v>0.50197618370173303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3.1912600000000002</v>
      </c>
    </row>
    <row r="38" spans="1:5" ht="15" customHeight="1" x14ac:dyDescent="0.25">
      <c r="B38" s="11" t="s">
        <v>54</v>
      </c>
      <c r="C38" s="43">
        <v>5.0500699999999998</v>
      </c>
      <c r="D38" s="12"/>
      <c r="E38" s="13"/>
    </row>
    <row r="39" spans="1:5" ht="15" customHeight="1" x14ac:dyDescent="0.25">
      <c r="B39" s="11" t="s">
        <v>80</v>
      </c>
      <c r="C39" s="43">
        <v>6.93459</v>
      </c>
      <c r="D39" s="12"/>
      <c r="E39" s="12"/>
    </row>
    <row r="40" spans="1:5" ht="15" customHeight="1" x14ac:dyDescent="0.25">
      <c r="B40" s="11" t="s">
        <v>55</v>
      </c>
      <c r="C40" s="100">
        <v>0.23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5.2434999999999999E-3</v>
      </c>
      <c r="D45" s="12"/>
    </row>
    <row r="46" spans="1:5" ht="15.75" customHeight="1" x14ac:dyDescent="0.25">
      <c r="B46" s="11" t="s">
        <v>70</v>
      </c>
      <c r="C46" s="45">
        <v>5.6247199999999997E-2</v>
      </c>
      <c r="D46" s="12"/>
    </row>
    <row r="47" spans="1:5" ht="15.75" customHeight="1" x14ac:dyDescent="0.25">
      <c r="B47" s="11" t="s">
        <v>78</v>
      </c>
      <c r="C47" s="45">
        <v>6.706680000000001E-2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0.65754500000000005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4.9735185770000002E-2</v>
      </c>
    </row>
    <row r="63" spans="1:4" ht="15.75" customHeight="1" x14ac:dyDescent="0.3">
      <c r="A63" s="4"/>
    </row>
  </sheetData>
  <sheetProtection algorithmName="SHA-512" hashValue="hD23J0EYv/evRKuXlxmGPajLagGD6he5RBc8qGGBFonPTYa6s+MzagZ7MWwdd86whxZIc96ACiGoNceW3a98xg==" saltValue="5O8VIJV0j2xxsfQCpwhG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cTHrt4b/SttEJ/OjV41t864Y8dBpobic26DaWOYnCsZW0s9vD9Vrwc0lOLpRxJw8VaIBLi7EUCJT7H/HY5cyQ==" saltValue="OTg3CG7dyrTpTJWm/r5/C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4.9413000000000009E-3</v>
      </c>
    </row>
    <row r="4" spans="1:8" ht="15.75" customHeight="1" x14ac:dyDescent="0.25">
      <c r="B4" s="19" t="s">
        <v>116</v>
      </c>
      <c r="C4" s="101">
        <v>2.3830000000000101E-2</v>
      </c>
    </row>
    <row r="5" spans="1:8" ht="15.75" customHeight="1" x14ac:dyDescent="0.25">
      <c r="B5" s="19" t="s">
        <v>114</v>
      </c>
      <c r="C5" s="101">
        <v>5.7832200000000118E-2</v>
      </c>
    </row>
    <row r="6" spans="1:8" ht="15.75" customHeight="1" x14ac:dyDescent="0.25">
      <c r="B6" s="19" t="s">
        <v>110</v>
      </c>
      <c r="C6" s="101">
        <v>0.27551590000000031</v>
      </c>
    </row>
    <row r="7" spans="1:8" ht="15.75" customHeight="1" x14ac:dyDescent="0.25">
      <c r="B7" s="19" t="s">
        <v>115</v>
      </c>
      <c r="C7" s="101">
        <v>0.31112999999999941</v>
      </c>
    </row>
    <row r="8" spans="1:8" ht="15.75" customHeight="1" x14ac:dyDescent="0.25">
      <c r="B8" s="19" t="s">
        <v>117</v>
      </c>
      <c r="C8" s="101">
        <v>4.9439999999999998E-4</v>
      </c>
    </row>
    <row r="9" spans="1:8" ht="15.75" customHeight="1" x14ac:dyDescent="0.25">
      <c r="B9" s="19" t="s">
        <v>111</v>
      </c>
      <c r="C9" s="101">
        <v>0.17996240000000011</v>
      </c>
    </row>
    <row r="10" spans="1:8" ht="15.75" customHeight="1" x14ac:dyDescent="0.25">
      <c r="B10" s="19" t="s">
        <v>113</v>
      </c>
      <c r="C10" s="101">
        <v>0.1462938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121</v>
      </c>
      <c r="C15" s="101">
        <v>0.16932976336606129</v>
      </c>
      <c r="D15" s="101">
        <v>0.16932976336606129</v>
      </c>
      <c r="E15" s="101">
        <v>0.16932976336606129</v>
      </c>
      <c r="F15" s="101">
        <v>0.16932976336606129</v>
      </c>
    </row>
    <row r="16" spans="1:8" ht="15.75" customHeight="1" x14ac:dyDescent="0.25">
      <c r="B16" s="19" t="s">
        <v>2</v>
      </c>
      <c r="C16" s="101">
        <v>4.0391351019369762E-2</v>
      </c>
      <c r="D16" s="101">
        <v>4.0391351019369762E-2</v>
      </c>
      <c r="E16" s="101">
        <v>4.0391351019369762E-2</v>
      </c>
      <c r="F16" s="101">
        <v>4.0391351019369762E-2</v>
      </c>
    </row>
    <row r="17" spans="1:8" ht="15.75" customHeight="1" x14ac:dyDescent="0.25">
      <c r="B17" s="19" t="s">
        <v>109</v>
      </c>
      <c r="C17" s="101">
        <v>4.6859604326945706E-3</v>
      </c>
      <c r="D17" s="101">
        <v>4.6859604326945706E-3</v>
      </c>
      <c r="E17" s="101">
        <v>4.6859604326945706E-3</v>
      </c>
      <c r="F17" s="101">
        <v>4.6859604326945706E-3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5.8536834753466688E-2</v>
      </c>
      <c r="D19" s="101">
        <v>5.8536834753466688E-2</v>
      </c>
      <c r="E19" s="101">
        <v>5.8536834753466688E-2</v>
      </c>
      <c r="F19" s="101">
        <v>5.8536834753466688E-2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0.42620646579798821</v>
      </c>
      <c r="D21" s="101">
        <v>0.42620646579798821</v>
      </c>
      <c r="E21" s="101">
        <v>0.42620646579798821</v>
      </c>
      <c r="F21" s="101">
        <v>0.42620646579798821</v>
      </c>
    </row>
    <row r="22" spans="1:8" ht="15.75" customHeight="1" x14ac:dyDescent="0.25">
      <c r="B22" s="19" t="s">
        <v>118</v>
      </c>
      <c r="C22" s="101">
        <v>0.20723401027837079</v>
      </c>
      <c r="D22" s="101">
        <v>0.20723401027837079</v>
      </c>
      <c r="E22" s="101">
        <v>0.20723401027837079</v>
      </c>
      <c r="F22" s="101">
        <v>0.20723401027837079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6.7517338999999996E-2</v>
      </c>
    </row>
    <row r="27" spans="1:8" ht="15.75" customHeight="1" x14ac:dyDescent="0.25">
      <c r="B27" s="19" t="s">
        <v>108</v>
      </c>
      <c r="C27" s="101">
        <v>2.6177430000000001E-3</v>
      </c>
    </row>
    <row r="28" spans="1:8" ht="15.75" customHeight="1" x14ac:dyDescent="0.25">
      <c r="B28" s="19" t="s">
        <v>122</v>
      </c>
      <c r="C28" s="101">
        <v>0.29081648100000002</v>
      </c>
    </row>
    <row r="29" spans="1:8" ht="15.75" customHeight="1" x14ac:dyDescent="0.25">
      <c r="B29" s="19" t="s">
        <v>105</v>
      </c>
      <c r="C29" s="101">
        <v>0.10208263099999999</v>
      </c>
    </row>
    <row r="30" spans="1:8" ht="15.75" customHeight="1" x14ac:dyDescent="0.25">
      <c r="B30" s="19" t="s">
        <v>4</v>
      </c>
      <c r="C30" s="101">
        <v>2.4702686000000001E-2</v>
      </c>
    </row>
    <row r="31" spans="1:8" ht="15.75" customHeight="1" x14ac:dyDescent="0.25">
      <c r="B31" s="19" t="s">
        <v>99</v>
      </c>
      <c r="C31" s="101">
        <v>4.3597729999999999E-3</v>
      </c>
    </row>
    <row r="32" spans="1:8" ht="15.75" customHeight="1" x14ac:dyDescent="0.25">
      <c r="B32" s="19" t="s">
        <v>104</v>
      </c>
      <c r="C32" s="101">
        <v>0.112627305</v>
      </c>
    </row>
    <row r="33" spans="2:3" ht="15.75" customHeight="1" x14ac:dyDescent="0.25">
      <c r="B33" s="19" t="s">
        <v>119</v>
      </c>
      <c r="C33" s="101">
        <v>0.14088149799999999</v>
      </c>
    </row>
    <row r="34" spans="2:3" ht="15.75" customHeight="1" x14ac:dyDescent="0.25">
      <c r="B34" s="19" t="s">
        <v>106</v>
      </c>
      <c r="C34" s="101">
        <v>0.254394544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JeNQR5QzNF/Jp9bG16lGsCS1bzput219l4yBk0kWJNsJx3bjcY3PQGPOhjBjNPqt4q+hUazVPXpd8dJaQZk/6g==" saltValue="bkrzLJZgsxpLPMlxafL36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iw5yblgx9ZjF9+ywCkJ8wIS+lXycDH3lMt+WJbEVxtSE85lA98ZcCwEOmskSr2sHqhevkedJchHvndSAalmsA==" saltValue="0tTDwVXAks1GE+LNTC08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MVFJ7V6QBA0HvrQoozexIDL5y2iE1Fmt7E+2AbSAfyUHVUDsspH/sRa1G28U42/xX+RqE7/PW4AwWER0MJO02w==" saltValue="7DiVyFraOSDS4pfjZmMJ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8tz+/fUiQzBcWtJFAqbyDlT4W8khAB5b8IQkqq4DT104vj2ojLdXvApvjqnoQVARqOGdsxjtfjZ0mHDhHFLrQ==" saltValue="kzX9yDxlTHKJRTExzIsA2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12720.2163182363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0.51402000000000003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0.70909000000000011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1.5439618538584325E-2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99209.966799999995</v>
      </c>
      <c r="C22" s="109">
        <v>99118.246459999995</v>
      </c>
      <c r="D22" s="109">
        <v>99022.101850000006</v>
      </c>
      <c r="E22" s="109">
        <v>98844.161110000001</v>
      </c>
      <c r="F22" s="109">
        <v>98566.329459999994</v>
      </c>
      <c r="G22" s="109">
        <v>98265.431519999998</v>
      </c>
      <c r="H22" s="109">
        <v>97848.814899999998</v>
      </c>
      <c r="I22" s="109">
        <v>97243.326990000001</v>
      </c>
      <c r="J22" s="109">
        <v>96337.457240000003</v>
      </c>
      <c r="K22" s="109">
        <v>95149.884640000004</v>
      </c>
      <c r="L22" s="109">
        <v>93288.180110000001</v>
      </c>
      <c r="M22" s="109">
        <v>90442.844150000004</v>
      </c>
      <c r="N22" s="109">
        <v>86031.172070000001</v>
      </c>
      <c r="O22" s="109">
        <v>79308.786040000006</v>
      </c>
    </row>
  </sheetData>
  <sheetProtection algorithmName="SHA-512" hashValue="qcnBd8pDL5l1WwuO/ky/4KpaoJxklYTMjnNJbV/5UsCT+EBwhgN6T489OOhXJD87FOklXwBIb4TK4rjGJbU08w==" saltValue="d1qNI+yLs6x+TFiWTyD4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0fYyT2l5mcg+M4wIi9iK0/BoKlekPX8RHCRn0773hESqkX4x7k8ePOKuJRyVlpXhpySA8I1eEVbv3NHaffJSQ==" saltValue="YykwAQzXRnr1yDOmN1omQ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LEUwdhS7VCmHmGQMbkIbSrGL/SzlHhwCy28Iqz7eHuKJuChPUaZySn4X0RQfUTUvBRKFgHM3XW2SALRUKvfsSw==" saltValue="4E1q6rFrxXIfhW+JxCCTu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3.1156800607451971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2.1597550386681101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0.25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13.58131551799676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13.58131551799676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13.58131551799676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13.58131551799676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13.58131551799676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13.58131551799676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1.7000977777777799E-3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18.60707793325918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4.6350477086017117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0.70933694079999998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0.40699999999999997</v>
      </c>
      <c r="C29" s="98">
        <v>0.95</v>
      </c>
      <c r="D29" s="56">
        <v>33.321934882307978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0.97206789999999998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0.85931000000000002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1meHZHN+G2nMC/JY0JjRm1SUlOaWKu6bStOH2/sASoZIUgOCgHtOFp/B1+2Jt/iiSgciM1QKstm8vKl3JG12fQ==" saltValue="PF9mY2Lrrq4lOBVGu/T9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F7YMlpRV365fHGYL0hj1J6nZuB9OyQOOhZnkwlMAjhFeJkC1CIaAa0OjMl21jmVz0s3cnkHrvhYZLfcE2PSWg==" saltValue="Wof6nx9BDqDt0ZAkKvmB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VDkHoM85HRCcZKGkFV4o3XIbEBDZXAqOQRqoFOkuV3cXxhVlPra6iaeNxvW0oY70/vtm0SuiMeaeT6Nu8gWig==" saltValue="RbIvm1a9Zj79SY+a8hgc7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W81pGzZIykWkSYK7lMLmRIzL4p0zyjljQ7o7qDFl8Ux/muYtBRV+CLz4HAA23eiOBcCfAmq435GXM67Jj90/wg==" saltValue="9brK+bJpm+9lpoePXIMoj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5.0000000000000001E-3</v>
      </c>
      <c r="F2" s="60">
        <f>food_insecure</f>
        <v>5.0000000000000001E-3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5.0000000000000001E-3</v>
      </c>
      <c r="I15" s="60">
        <f t="shared" si="0"/>
        <v>5.0000000000000001E-3</v>
      </c>
      <c r="J15" s="60">
        <f t="shared" si="0"/>
        <v>5.0000000000000001E-3</v>
      </c>
      <c r="K15" s="60">
        <f t="shared" si="0"/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5.0000000000000001E-3</v>
      </c>
      <c r="I16" s="60">
        <f t="shared" si="0"/>
        <v>5.0000000000000001E-3</v>
      </c>
      <c r="J16" s="60">
        <f t="shared" si="0"/>
        <v>5.0000000000000001E-3</v>
      </c>
      <c r="K16" s="60">
        <f t="shared" si="0"/>
        <v>5.0000000000000001E-3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Ak4+OovMdgFv2XOMRwiZ3eqMlBC7bQaIyt5yrUZWZzhp+TPULLUlN8fi99JAcIIR0Yg66SQjILbCprVvzUQeQ==" saltValue="F/dDwViv/5eL9OZLIuciT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6cqH5UM1N87YkrAKTLaE4YdlIZNfv6onJSkwzEY59+/zV3+DkDjEKsRf2G5sqpnG1hVS+cq6ZJxh9yEB+e1OA==" saltValue="s7t/xg10T2GVZe9ahrNyi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HfyuNL/H+sFUkIrohAn8Zy7ZD8qYe23LbS24m9GdxIoivxeKPuWvvhvPBn434T2Kix0K6laelp4D28JzkTngA==" saltValue="q36ETOu3BV6E0Wqsq6oX0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uoqfkLg8epH+QwNqERwp9HAperopc78viE7mC4fkEEWEOI1c17pBS91vxhnDEc8BZyI3hExYXmPVdbjfSlbAg==" saltValue="0DI6T57Jf9lEycqISAFt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RbPFrYFOCmut5zcwVj6wMUaRJZ+EBJtun3HyFTrzhGRmdgSVwrnhMO9lRWtvV+Kmt9GgdVHN/9IWk3SZ+3NcGw==" saltValue="iSLliUQ+oXTeRQ7oSQ2e1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wF0A9yOg5WnAUH1Fv8+a+xfVZjBFG+FcxsWd7mL1WO4qc8r4zWSNe3v6xS6VdezBIIyR+kiI9ZxJfUGefMENoQ==" saltValue="GRuUkrI5esitf/piz8kzI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LLDp+cla/8RwxYx/KNW4NUaf1EWtZdRxcHOQGDPzeO1UBBlMn3YohOwlWNeqPXDOan9a31sWjQL12+C6m2daw==" saltValue="IEiS4XsJsiDYYUAIYvrO1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kDb/5W4BPVqYWngL/JvEL3k1nwHxyfXC9+vJMcg7239rlBtNIbimAplr6uTiBe2htGO1qiuVuFmcc4mDWyA8ww==" saltValue="p7hcGVqFxvbAGkXQ+blV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tPFzLJznU4B5n09pRhZRSv+ZWDm36s5hXnhbbEwSNGlmAnsZXYcoJb6ObaJxzCohldiepfJ6BU8NmBVxEv9CA==" saltValue="tAjnCzFoRiE4JomcA8+B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NAZM1iAJN6lJEc8eIX+4eCERMCoMDv731BoV6pK+m1Nyo0xcbxHLFsDGYqaLavMrV3/hDiHfYmuIP+RIqtmJQ==" saltValue="vfbXvu2TS9JtYysZ2vre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E/D6hzggx/sWRoFCNyGjEurxbTjRoWYZ2choPNy4oYD82HhImDtbLvsvsWLvyFbpHQhdqQnnqtg2QLgf32AmA==" saltValue="kSkg4ybyD1YaEGwAdnKb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JPQmvwCPKoOnnOAPAVcJ5blNbse/PxkLwGRO/wmv3hsnVMm6ziRvB60j7Gns7ILd+kUo4YOz6rTPH1PT1eTwQ==" saltValue="q9nMFEWBQf/GhVtJsS/V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Sek9EgjB3NjeC93vRJ25ge5+j1RaC5Gb6bj1I6XdyQLfYwBF/e4W7Y2dLnlRvAfeCf1z2R1XZ12r/vfTgt9UQ==" saltValue="7jZDYCcADc2Rhc/zisXE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Lm5o7PRYAOKIXxSqoOAXBSIRxX1/FAbjkcoY1LAWHjnPz24Gs8+BJMAzWi9X48QKW2mPXGCnG4DhxR3TVhMmA==" saltValue="rJaWhqqQHa/rGQwRkmn4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eP3fsPS0JZ8HU0Ii+0KSCaT9YAbhiGH45MGx1kyp3vrRYGJr5K3gfqCfJV0uzd6AyLxIrPJHgYD+zwycH5/+Q==" saltValue="uWUNtQmLFXnBeY1Xr4hQ/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