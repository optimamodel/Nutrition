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871C9F09-3CCD-4033-B464-2CB691CBB495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3" i="2"/>
  <c r="A24" i="2"/>
  <c r="A25" i="2"/>
  <c r="I4" i="2"/>
  <c r="I8" i="2"/>
  <c r="I12" i="2"/>
  <c r="A36" i="2"/>
  <c r="A37" i="2"/>
  <c r="A26" i="2"/>
  <c r="I39" i="2"/>
  <c r="A31" i="2"/>
  <c r="A34" i="2"/>
  <c r="A40" i="2"/>
  <c r="I3" i="2"/>
  <c r="I7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<sst xmlns="http://schemas.openxmlformats.org/spreadsheetml/2006/main" count="2169" uniqueCount="373">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</sst>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47520141.5</v>
      </c>
    </row>
    <row r="8" spans="1:3" ht="15" customHeight="1" x14ac:dyDescent="0.25">
      <c r="B8" s="5" t="s">
        <v>63</v>
      </c>
      <c r="C8" s="44">
        <v>5.0000000000000001E-3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7.980000000000001E-2</v>
      </c>
    </row>
    <row r="24" spans="1:3" ht="15" customHeight="1" x14ac:dyDescent="0.25">
      <c r="B24" s="15" t="s">
        <v>65</v>
      </c>
      <c r="C24" s="45">
        <v>0.68840000000000001</v>
      </c>
    </row>
    <row r="25" spans="1:3" ht="15" customHeight="1" x14ac:dyDescent="0.25">
      <c r="B25" s="15" t="s">
        <v>66</v>
      </c>
      <c r="C25" s="45">
        <v>0.20130000000000001</v>
      </c>
    </row>
    <row r="26" spans="1:3" ht="15" customHeight="1" x14ac:dyDescent="0.25">
      <c r="B26" s="15" t="s">
        <v>67</v>
      </c>
      <c r="C26" s="45">
        <v>3.0499999999999999E-2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0.40385805873750502</v>
      </c>
    </row>
    <row r="30" spans="1:3" ht="14.25" customHeight="1" x14ac:dyDescent="0.25">
      <c r="B30" s="25" t="s">
        <v>82</v>
      </c>
      <c r="C30" s="97">
        <v>3.4597339605538499E-2</v>
      </c>
    </row>
    <row r="31" spans="1:3" ht="14.25" customHeight="1" x14ac:dyDescent="0.25">
      <c r="B31" s="25" t="s">
        <v>29</v>
      </c>
      <c r="C31" s="97">
        <v>5.9568417955223898E-2</v>
      </c>
    </row>
    <row r="32" spans="1:3" ht="14.25" customHeight="1" x14ac:dyDescent="0.25">
      <c r="B32" s="25" t="s">
        <v>30</v>
      </c>
      <c r="C32" s="97">
        <v>0.50197618370173303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3.1912600000000002</v>
      </c>
    </row>
    <row r="38" spans="1:5" ht="15" customHeight="1" x14ac:dyDescent="0.25">
      <c r="B38" s="11" t="s">
        <v>54</v>
      </c>
      <c r="C38" s="43">
        <v>5.0500699999999998</v>
      </c>
      <c r="D38" s="12"/>
      <c r="E38" s="13"/>
    </row>
    <row r="39" spans="1:5" ht="15" customHeight="1" x14ac:dyDescent="0.25">
      <c r="B39" s="11" t="s">
        <v>80</v>
      </c>
      <c r="C39" s="43">
        <v>6.93459</v>
      </c>
      <c r="D39" s="12"/>
      <c r="E39" s="12"/>
    </row>
    <row r="40" spans="1:5" ht="15" customHeight="1" x14ac:dyDescent="0.25">
      <c r="B40" s="11" t="s">
        <v>55</v>
      </c>
      <c r="C40" s="98">
        <v>0.23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4.8971999999999998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5.2434999999999999E-3</v>
      </c>
      <c r="D45" s="12"/>
    </row>
    <row r="46" spans="1:5" ht="15.75" customHeight="1" x14ac:dyDescent="0.25">
      <c r="B46" s="11" t="s">
        <v>70</v>
      </c>
      <c r="C46" s="45">
        <v>5.6247199999999997E-2</v>
      </c>
      <c r="D46" s="12"/>
    </row>
    <row r="47" spans="1:5" ht="15.75" customHeight="1" x14ac:dyDescent="0.25">
      <c r="B47" s="11" t="s">
        <v>78</v>
      </c>
      <c r="C47" s="45">
        <v>6.706680000000001E-2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2.2000000000000002</v>
      </c>
      <c r="D51" s="12"/>
    </row>
    <row r="52" spans="1:4" ht="15" customHeight="1" x14ac:dyDescent="0.25">
      <c r="B52" s="11" t="s">
        <v>32</v>
      </c>
      <c r="C52" s="98">
        <v>2.2000000000000002</v>
      </c>
    </row>
    <row r="53" spans="1:4" ht="15.75" customHeight="1" x14ac:dyDescent="0.25">
      <c r="B53" s="11" t="s">
        <v>35</v>
      </c>
      <c r="C53" s="98">
        <v>2.2000000000000002</v>
      </c>
    </row>
    <row r="54" spans="1:4" ht="15.75" customHeight="1" x14ac:dyDescent="0.25">
      <c r="B54" s="11" t="s">
        <v>33</v>
      </c>
      <c r="C54" s="98">
        <v>2.2000000000000002</v>
      </c>
    </row>
    <row r="55" spans="1:4" ht="15.75" customHeight="1" x14ac:dyDescent="0.25">
      <c r="B55" s="11" t="s">
        <v>34</v>
      </c>
      <c r="C55" s="98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0.65754500000000005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4.9735185770000002E-2</v>
      </c>
    </row>
    <row r="63" spans="1:4" ht="15.75" customHeight="1" x14ac:dyDescent="0.3">
      <c r="A63" s="4"/>
    </row>
  </sheetData>
  <sheetProtection algorithmName="SHA-512" hashValue="M53evNxOLEYT4h4+OEpV+jYknE37UbA43HBV+hGZLKPey5B6sQMAKcj6+dgMIUxpSJLx6Gtd2/5CKgdeW5LJ9w==" saltValue="fP79ytQWpCNE+P1fcfl4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10577046</v>
      </c>
      <c r="C2" s="49">
        <v>46617241.5</v>
      </c>
      <c r="D2" s="49">
        <v>75475910.5</v>
      </c>
      <c r="E2" s="49">
        <v>106915917</v>
      </c>
      <c r="F2" s="49">
        <v>85663749.5</v>
      </c>
      <c r="G2" s="17">
        <f t="shared" ref="G2:G13" si="0">C2+D2+E2+F2</f>
        <v>314672818.5</v>
      </c>
      <c r="H2" s="17">
        <f t="shared" ref="H2:H13" si="1">(B2 + stillbirth*B2/(1000-stillbirth))/(1-abortion)</f>
        <v>12078521.389494086</v>
      </c>
      <c r="I2" s="17">
        <f t="shared" ref="I2:I13" si="2">G2-H2</f>
        <v>302594297.11050594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10441801</v>
      </c>
      <c r="C3" s="50">
        <v>47320188.500000007</v>
      </c>
      <c r="D3" s="50">
        <v>74442793</v>
      </c>
      <c r="E3" s="50">
        <v>104783531.5</v>
      </c>
      <c r="F3" s="50">
        <v>85204412</v>
      </c>
      <c r="G3" s="17">
        <f t="shared" si="0"/>
        <v>311750925</v>
      </c>
      <c r="H3" s="17">
        <f t="shared" si="1"/>
        <v>11924077.547109157</v>
      </c>
      <c r="I3" s="17">
        <f t="shared" si="2"/>
        <v>299826847.45289087</v>
      </c>
    </row>
    <row r="4" spans="1:9" ht="15.75" customHeight="1" x14ac:dyDescent="0.25">
      <c r="A4" s="5">
        <f t="shared" si="3"/>
        <v>2026</v>
      </c>
      <c r="B4" s="49">
        <v>10326067</v>
      </c>
      <c r="C4" s="50">
        <v>48221500.499999993</v>
      </c>
      <c r="D4" s="50">
        <v>73818610.5</v>
      </c>
      <c r="E4" s="50">
        <v>101684567.5</v>
      </c>
      <c r="F4" s="50">
        <v>85995019.5</v>
      </c>
      <c r="G4" s="17">
        <f t="shared" si="0"/>
        <v>309719698</v>
      </c>
      <c r="H4" s="17">
        <f t="shared" si="1"/>
        <v>11791914.408696815</v>
      </c>
      <c r="I4" s="17">
        <f t="shared" si="2"/>
        <v>297927783.59130317</v>
      </c>
    </row>
    <row r="5" spans="1:9" ht="15.75" customHeight="1" x14ac:dyDescent="0.25">
      <c r="A5" s="5">
        <f t="shared" si="3"/>
        <v>2027</v>
      </c>
      <c r="B5" s="49">
        <v>10232622</v>
      </c>
      <c r="C5" s="50">
        <v>49085713.5</v>
      </c>
      <c r="D5" s="50">
        <v>73648810.5</v>
      </c>
      <c r="E5" s="50">
        <v>97559103</v>
      </c>
      <c r="F5" s="50">
        <v>87993306</v>
      </c>
      <c r="G5" s="17">
        <f t="shared" si="0"/>
        <v>308286933</v>
      </c>
      <c r="H5" s="17">
        <f t="shared" si="1"/>
        <v>11685204.328090068</v>
      </c>
      <c r="I5" s="17">
        <f t="shared" si="2"/>
        <v>296601728.67190993</v>
      </c>
    </row>
    <row r="6" spans="1:9" ht="15.75" customHeight="1" x14ac:dyDescent="0.25">
      <c r="A6" s="5">
        <f t="shared" si="3"/>
        <v>2028</v>
      </c>
      <c r="B6" s="49">
        <v>10142147</v>
      </c>
      <c r="C6" s="50">
        <v>49645384.500000007</v>
      </c>
      <c r="D6" s="50">
        <v>73932032</v>
      </c>
      <c r="E6" s="50">
        <v>93168448.5</v>
      </c>
      <c r="F6" s="50">
        <v>91044223.5</v>
      </c>
      <c r="G6" s="17">
        <f t="shared" si="0"/>
        <v>307790088.5</v>
      </c>
      <c r="H6" s="17">
        <f t="shared" si="1"/>
        <v>11581885.856872823</v>
      </c>
      <c r="I6" s="17">
        <f t="shared" si="2"/>
        <v>296208202.6431272</v>
      </c>
    </row>
    <row r="7" spans="1:9" ht="15.75" customHeight="1" x14ac:dyDescent="0.25">
      <c r="A7" s="5">
        <f t="shared" si="3"/>
        <v>2029</v>
      </c>
      <c r="B7" s="49">
        <v>10083803</v>
      </c>
      <c r="C7" s="50">
        <v>49846024.5</v>
      </c>
      <c r="D7" s="50">
        <v>74584499.5</v>
      </c>
      <c r="E7" s="50">
        <v>88738340</v>
      </c>
      <c r="F7" s="50">
        <v>93859745.5</v>
      </c>
      <c r="G7" s="17">
        <f t="shared" si="0"/>
        <v>307028609.5</v>
      </c>
      <c r="H7" s="17">
        <f t="shared" si="1"/>
        <v>11515259.574643489</v>
      </c>
      <c r="I7" s="17">
        <f t="shared" si="2"/>
        <v>295513349.92535651</v>
      </c>
    </row>
    <row r="8" spans="1:9" ht="15.75" customHeight="1" x14ac:dyDescent="0.25">
      <c r="A8" s="5">
        <f t="shared" si="3"/>
        <v>2030</v>
      </c>
      <c r="B8" s="49">
        <v>10016146</v>
      </c>
      <c r="C8" s="50">
        <v>49919150</v>
      </c>
      <c r="D8" s="50">
        <v>75193551</v>
      </c>
      <c r="E8" s="50">
        <v>84038843.5</v>
      </c>
      <c r="F8" s="50">
        <v>96128193.5</v>
      </c>
      <c r="G8" s="17">
        <f t="shared" si="0"/>
        <v>305279738</v>
      </c>
      <c r="H8" s="17">
        <f t="shared" si="1"/>
        <v>11437998.255968219</v>
      </c>
      <c r="I8" s="17">
        <f t="shared" si="2"/>
        <v>293841739.74403179</v>
      </c>
    </row>
    <row r="9" spans="1:9" ht="15.75" customHeight="1" x14ac:dyDescent="0.25">
      <c r="A9" s="5">
        <f t="shared" si="3"/>
        <v>2031</v>
      </c>
      <c r="B9" s="49">
        <v>9983340</v>
      </c>
      <c r="C9" s="50">
        <v>50282071</v>
      </c>
      <c r="D9" s="50">
        <v>75802915.5</v>
      </c>
      <c r="E9" s="50">
        <v>80303426</v>
      </c>
      <c r="F9" s="50">
        <v>98386347</v>
      </c>
      <c r="G9" s="17">
        <f t="shared" si="0"/>
        <v>304774759.5</v>
      </c>
      <c r="H9" s="17">
        <f t="shared" si="1"/>
        <v>11400535.246664509</v>
      </c>
      <c r="I9" s="17">
        <f t="shared" si="2"/>
        <v>293374224.25333548</v>
      </c>
    </row>
    <row r="10" spans="1:9" ht="15.75" customHeight="1" x14ac:dyDescent="0.25">
      <c r="A10" s="5">
        <f t="shared" si="3"/>
        <v>2032</v>
      </c>
      <c r="B10" s="49">
        <v>9975985</v>
      </c>
      <c r="C10" s="50">
        <v>49711249.5</v>
      </c>
      <c r="D10" s="50">
        <v>76952876.5</v>
      </c>
      <c r="E10" s="50">
        <v>77919514.5</v>
      </c>
      <c r="F10" s="50">
        <v>99028005.5</v>
      </c>
      <c r="G10" s="17">
        <f t="shared" si="0"/>
        <v>303611646</v>
      </c>
      <c r="H10" s="17">
        <f t="shared" si="1"/>
        <v>11392136.160112392</v>
      </c>
      <c r="I10" s="17">
        <f t="shared" si="2"/>
        <v>292219509.83988762</v>
      </c>
    </row>
    <row r="11" spans="1:9" ht="15.75" customHeight="1" x14ac:dyDescent="0.25">
      <c r="A11" s="5">
        <f t="shared" si="3"/>
        <v>2033</v>
      </c>
      <c r="B11" s="49">
        <v>9975509</v>
      </c>
      <c r="C11" s="50">
        <v>48164067</v>
      </c>
      <c r="D11" s="50">
        <v>78265715</v>
      </c>
      <c r="E11" s="50">
        <v>76069799</v>
      </c>
      <c r="F11" s="50">
        <v>98301972</v>
      </c>
      <c r="G11" s="17">
        <f t="shared" si="0"/>
        <v>300801553</v>
      </c>
      <c r="H11" s="17">
        <f t="shared" si="1"/>
        <v>11391592.589045255</v>
      </c>
      <c r="I11" s="17">
        <f t="shared" si="2"/>
        <v>289409960.41095477</v>
      </c>
    </row>
    <row r="12" spans="1:9" ht="15.75" customHeight="1" x14ac:dyDescent="0.25">
      <c r="A12" s="5">
        <f t="shared" si="3"/>
        <v>2034</v>
      </c>
      <c r="B12" s="49">
        <v>9945347</v>
      </c>
      <c r="C12" s="50">
        <v>45971958.999999993</v>
      </c>
      <c r="D12" s="50">
        <v>79430886.5</v>
      </c>
      <c r="E12" s="50">
        <v>74644569</v>
      </c>
      <c r="F12" s="50">
        <v>97359475</v>
      </c>
      <c r="G12" s="17">
        <f t="shared" si="0"/>
        <v>297406889.5</v>
      </c>
      <c r="H12" s="17">
        <f t="shared" si="1"/>
        <v>11357148.911467422</v>
      </c>
      <c r="I12" s="17">
        <f t="shared" si="2"/>
        <v>286049740.58853257</v>
      </c>
    </row>
    <row r="13" spans="1:9" ht="15.75" customHeight="1" x14ac:dyDescent="0.25">
      <c r="A13" s="5">
        <f t="shared" si="3"/>
        <v>2035</v>
      </c>
      <c r="B13" s="49">
        <v>9999279</v>
      </c>
      <c r="C13" s="50">
        <v>43080504.499999993</v>
      </c>
      <c r="D13" s="50">
        <v>80318549</v>
      </c>
      <c r="E13" s="50">
        <v>73624062.5</v>
      </c>
      <c r="F13" s="50">
        <v>95535864.5</v>
      </c>
      <c r="G13" s="17">
        <f t="shared" si="0"/>
        <v>292558980.5</v>
      </c>
      <c r="H13" s="17">
        <f t="shared" si="1"/>
        <v>11418736.883721506</v>
      </c>
      <c r="I13" s="17">
        <f t="shared" si="2"/>
        <v>281140243.61627847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ZHPDjQ6lYfWzc7wFy8XnX6KdAwuhBiynle8cpvO0s3X1Rsb3Tu4PLm7+taunh1PuRnNTo2iYu8ausEYTnJRBQ==" saltValue="XabfVo3uglIAr/vnY6eJI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4.9413000000000009E-3</v>
      </c>
    </row>
    <row r="4" spans="1:8" ht="15.75" customHeight="1" x14ac:dyDescent="0.25">
      <c r="B4" s="19" t="s">
        <v>116</v>
      </c>
      <c r="C4" s="99">
        <v>2.3830000000000101E-2</v>
      </c>
    </row>
    <row r="5" spans="1:8" ht="15.75" customHeight="1" x14ac:dyDescent="0.25">
      <c r="B5" s="19" t="s">
        <v>114</v>
      </c>
      <c r="C5" s="99">
        <v>5.7832200000000118E-2</v>
      </c>
    </row>
    <row r="6" spans="1:8" ht="15.75" customHeight="1" x14ac:dyDescent="0.25">
      <c r="B6" s="19" t="s">
        <v>110</v>
      </c>
      <c r="C6" s="99">
        <v>0.27551590000000031</v>
      </c>
    </row>
    <row r="7" spans="1:8" ht="15.75" customHeight="1" x14ac:dyDescent="0.25">
      <c r="B7" s="19" t="s">
        <v>115</v>
      </c>
      <c r="C7" s="99">
        <v>0.31112999999999941</v>
      </c>
    </row>
    <row r="8" spans="1:8" ht="15.75" customHeight="1" x14ac:dyDescent="0.25">
      <c r="B8" s="19" t="s">
        <v>117</v>
      </c>
      <c r="C8" s="99">
        <v>4.9439999999999998E-4</v>
      </c>
    </row>
    <row r="9" spans="1:8" ht="15.75" customHeight="1" x14ac:dyDescent="0.25">
      <c r="B9" s="19" t="s">
        <v>111</v>
      </c>
      <c r="C9" s="99">
        <v>0.17996240000000011</v>
      </c>
    </row>
    <row r="10" spans="1:8" ht="15.75" customHeight="1" x14ac:dyDescent="0.25">
      <c r="B10" s="19" t="s">
        <v>113</v>
      </c>
      <c r="C10" s="99">
        <v>0.1462938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9.3615614352048612E-2</v>
      </c>
      <c r="D14" s="55">
        <v>9.3615614352048612E-2</v>
      </c>
      <c r="E14" s="55">
        <v>9.3615614352048612E-2</v>
      </c>
      <c r="F14" s="55">
        <v>9.3615614352048612E-2</v>
      </c>
    </row>
    <row r="15" spans="1:8" ht="15.75" customHeight="1" x14ac:dyDescent="0.25">
      <c r="B15" s="19" t="s">
        <v>121</v>
      </c>
      <c r="C15" s="99">
        <v>0.16932976336606129</v>
      </c>
      <c r="D15" s="99">
        <v>0.16932976336606129</v>
      </c>
      <c r="E15" s="99">
        <v>0.16932976336606129</v>
      </c>
      <c r="F15" s="99">
        <v>0.16932976336606129</v>
      </c>
    </row>
    <row r="16" spans="1:8" ht="15.75" customHeight="1" x14ac:dyDescent="0.25">
      <c r="B16" s="19" t="s">
        <v>2</v>
      </c>
      <c r="C16" s="99">
        <v>4.0391351019369762E-2</v>
      </c>
      <c r="D16" s="99">
        <v>4.0391351019369762E-2</v>
      </c>
      <c r="E16" s="99">
        <v>4.0391351019369762E-2</v>
      </c>
      <c r="F16" s="99">
        <v>4.0391351019369762E-2</v>
      </c>
    </row>
    <row r="17" spans="1:8" ht="15.75" customHeight="1" x14ac:dyDescent="0.25">
      <c r="B17" s="19" t="s">
        <v>109</v>
      </c>
      <c r="C17" s="99">
        <v>4.6859604326945706E-3</v>
      </c>
      <c r="D17" s="99">
        <v>4.6859604326945706E-3</v>
      </c>
      <c r="E17" s="99">
        <v>4.6859604326945706E-3</v>
      </c>
      <c r="F17" s="99">
        <v>4.6859604326945706E-3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5.8536834753466688E-2</v>
      </c>
      <c r="D19" s="99">
        <v>5.8536834753466688E-2</v>
      </c>
      <c r="E19" s="99">
        <v>5.8536834753466688E-2</v>
      </c>
      <c r="F19" s="99">
        <v>5.8536834753466688E-2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0.42620646579798821</v>
      </c>
      <c r="D21" s="99">
        <v>0.42620646579798821</v>
      </c>
      <c r="E21" s="99">
        <v>0.42620646579798821</v>
      </c>
      <c r="F21" s="99">
        <v>0.42620646579798821</v>
      </c>
    </row>
    <row r="22" spans="1:8" ht="15.75" customHeight="1" x14ac:dyDescent="0.25">
      <c r="B22" s="19" t="s">
        <v>118</v>
      </c>
      <c r="C22" s="99">
        <v>0.20723401027837079</v>
      </c>
      <c r="D22" s="99">
        <v>0.20723401027837079</v>
      </c>
      <c r="E22" s="99">
        <v>0.20723401027837079</v>
      </c>
      <c r="F22" s="99">
        <v>0.20723401027837079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6.7517338999999996E-2</v>
      </c>
    </row>
    <row r="27" spans="1:8" ht="15.75" customHeight="1" x14ac:dyDescent="0.25">
      <c r="B27" s="19" t="s">
        <v>108</v>
      </c>
      <c r="C27" s="99">
        <v>2.6177430000000001E-3</v>
      </c>
    </row>
    <row r="28" spans="1:8" ht="15.75" customHeight="1" x14ac:dyDescent="0.25">
      <c r="B28" s="19" t="s">
        <v>122</v>
      </c>
      <c r="C28" s="99">
        <v>0.29081648100000002</v>
      </c>
    </row>
    <row r="29" spans="1:8" ht="15.75" customHeight="1" x14ac:dyDescent="0.25">
      <c r="B29" s="19" t="s">
        <v>105</v>
      </c>
      <c r="C29" s="99">
        <v>0.10208263099999999</v>
      </c>
    </row>
    <row r="30" spans="1:8" ht="15.75" customHeight="1" x14ac:dyDescent="0.25">
      <c r="B30" s="19" t="s">
        <v>4</v>
      </c>
      <c r="C30" s="99">
        <v>2.4702686000000001E-2</v>
      </c>
    </row>
    <row r="31" spans="1:8" ht="15.75" customHeight="1" x14ac:dyDescent="0.25">
      <c r="B31" s="19" t="s">
        <v>99</v>
      </c>
      <c r="C31" s="99">
        <v>4.3597729999999999E-3</v>
      </c>
    </row>
    <row r="32" spans="1:8" ht="15.75" customHeight="1" x14ac:dyDescent="0.25">
      <c r="B32" s="19" t="s">
        <v>104</v>
      </c>
      <c r="C32" s="99">
        <v>0.112627305</v>
      </c>
    </row>
    <row r="33" spans="2:3" ht="15.75" customHeight="1" x14ac:dyDescent="0.25">
      <c r="B33" s="19" t="s">
        <v>119</v>
      </c>
      <c r="C33" s="99">
        <v>0.14088149799999999</v>
      </c>
    </row>
    <row r="34" spans="2:3" ht="15.75" customHeight="1" x14ac:dyDescent="0.25">
      <c r="B34" s="19" t="s">
        <v>106</v>
      </c>
      <c r="C34" s="99">
        <v>0.254394544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yXPh5XFzgjhrPTt2Cq7D+bBkiI6KexIY8amGjg+utiwPu2xoBk1Xd3+r4QrzHM3E2dqpoCpfJIsNCnZiq4LMWg==" saltValue="TwcaLGhBc/lm/dQuonnql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129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125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126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0.24106760525000001</v>
      </c>
      <c r="D14" s="54">
        <v>0.22647946759500001</v>
      </c>
      <c r="E14" s="54">
        <v>0.22647946759500001</v>
      </c>
      <c r="F14" s="54">
        <v>8.3043017710499989E-2</v>
      </c>
      <c r="G14" s="54">
        <v>8.3043017710499989E-2</v>
      </c>
      <c r="H14" s="45">
        <v>0.32400000000000001</v>
      </c>
      <c r="I14" s="55">
        <v>0.32400000000000001</v>
      </c>
      <c r="J14" s="55">
        <v>0.32400000000000001</v>
      </c>
      <c r="K14" s="55">
        <v>0.32400000000000001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0.15851279849411126</v>
      </c>
      <c r="D15" s="52">
        <f t="shared" si="0"/>
        <v>0.14892044151975428</v>
      </c>
      <c r="E15" s="52">
        <f t="shared" si="0"/>
        <v>0.14892044151975428</v>
      </c>
      <c r="F15" s="52">
        <f t="shared" si="0"/>
        <v>5.4604521080450719E-2</v>
      </c>
      <c r="G15" s="52">
        <f t="shared" si="0"/>
        <v>5.4604521080450719E-2</v>
      </c>
      <c r="H15" s="52">
        <f t="shared" si="0"/>
        <v>0.21304458000000001</v>
      </c>
      <c r="I15" s="52">
        <f t="shared" si="0"/>
        <v>0.21304458000000001</v>
      </c>
      <c r="J15" s="52">
        <f t="shared" si="0"/>
        <v>0.21304458000000001</v>
      </c>
      <c r="K15" s="52">
        <f t="shared" si="0"/>
        <v>0.21304458000000001</v>
      </c>
      <c r="L15" s="52">
        <f t="shared" si="0"/>
        <v>0.17227679000000001</v>
      </c>
      <c r="M15" s="52">
        <f t="shared" si="0"/>
        <v>0.17227679000000001</v>
      </c>
      <c r="N15" s="52">
        <f t="shared" si="0"/>
        <v>0.17227679000000001</v>
      </c>
      <c r="O15" s="52">
        <f t="shared" si="0"/>
        <v>0.17227679000000001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ZalOeHJyJ2aiU8TQmCQJOk60UvcH6JYmRL0azfOApNDHBnlXPiITnYQflCLGD6sfWHzCG5OT/tcI9uSU94ZJQ==" saltValue="pbkI1B8onc8HEgtniDG+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emAoPYQL8T/JwSRLIqjqRiLTeWF8X0XjciMs0yDo5ne33XLiBSbYN7SiajhV3YqqD03gWo0y4gLqUQ2+ZoBmA==" saltValue="sqZ8n2bhl5PbEKPLYv4Ja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rATThvGeqIfS01CzHkG4K2wn5LRfkVeNkgU31LCpny1k2SA8FbBA8rlVN+mkjfn9YUf0FjH1acBPRtbWlpyVw==" saltValue="OzIAgY3qLWNuWtk222V+1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12720.2163182363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0.51402000000000003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0.70909000000000011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1.5439618538584325E-2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99209.966799999995</v>
      </c>
      <c r="C22" s="107">
        <v>99118.246459999995</v>
      </c>
      <c r="D22" s="107">
        <v>99022.101850000006</v>
      </c>
      <c r="E22" s="107">
        <v>98844.161110000001</v>
      </c>
      <c r="F22" s="107">
        <v>98566.329459999994</v>
      </c>
      <c r="G22" s="107">
        <v>98265.431519999998</v>
      </c>
      <c r="H22" s="107">
        <v>97848.814899999998</v>
      </c>
      <c r="I22" s="107">
        <v>97243.326990000001</v>
      </c>
      <c r="J22" s="107">
        <v>96337.457240000003</v>
      </c>
      <c r="K22" s="107">
        <v>95149.884640000004</v>
      </c>
      <c r="L22" s="107">
        <v>93288.180110000001</v>
      </c>
      <c r="M22" s="107">
        <v>90442.844150000004</v>
      </c>
      <c r="N22" s="107">
        <v>86031.172070000001</v>
      </c>
      <c r="O22" s="107">
        <v>79308.786040000006</v>
      </c>
    </row>
  </sheetData>
  <sheetProtection algorithmName="SHA-512" hashValue="Dyr0HSz/auO9rYByZkX0pUcpR8b3LVPf3lA754z2PskN/qTGI4BfC9Nf3z+VQyaKcAl6ei2KwSpTMQAkSQjScw==" saltValue="SFPPRuK9lMjPk4bSeqkH1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zoa7LVvI28tTLJg1Grh5WqtPbZ4DOla4MYHy7EMsKTFrWWJo86ym8y5WgQGaf/BHUW5OVi1u11G7wqhUq1APqg==" saltValue="Qn1F2zrbfWG39dYRAIfVa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9vmzapa1u+ckUxCMn1WNHRzHiQyv5ASNRh9gIRsB3IlELX22G7/wzIHFKLdTIA8Xe2JHC7EO1NElD+sasV4w6w==" saltValue="GhmpzPyfnVmLfWNMKHVZh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23.266651740020471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23.266651740020471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3.1156800607451971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2.1597550386681101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0.25</v>
      </c>
      <c r="C9" s="96">
        <v>0.95</v>
      </c>
      <c r="D9" s="56">
        <v>0.33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13.58131551799676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13.58131551799676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13.58131551799676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13.58131551799676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13.58131551799676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13.58131551799676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1.7000977777777799E-3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</v>
      </c>
      <c r="C19" s="96">
        <v>0.95</v>
      </c>
      <c r="D19" s="56">
        <v>18.60707793325918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4.6350477086017117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0.70933694079999998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8.469314227226203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0.40699999999999997</v>
      </c>
      <c r="C29" s="96">
        <v>0.95</v>
      </c>
      <c r="D29" s="56">
        <v>33.321934882307978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53.05041964170676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0.97206789999999998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0.85931000000000002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3.07</v>
      </c>
      <c r="E39" s="56" t="s">
        <v>212</v>
      </c>
      <c r="F39" s="96">
        <v>1</v>
      </c>
      <c r="G39" s="96">
        <v>1</v>
      </c>
    </row>
  </sheetData>
  <sheetProtection algorithmName="SHA-512" hashValue="pAVSQKZ0hve+lr9Q41I7gdMUeQ+S+kUr0VFyqNJsZQ5AGaOSEqd/+hGlURIf7w9ExEwphKFri/qe7EMfB50+QQ==" saltValue="JGQI85tuARL2CnQiHNgL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9Tfein7dqpMdxDR9ix0rFMFWd+COL4cqsP7tethhSnm1D6J2U/EMv53K4+8xRB4/UeY7B+vNdJ6UlqCTg+LFcQ==" saltValue="F5cTecgAiwV3PVRVEhlr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4vg2EfIuDKAeXiszZgZFuPDqz8JcjGLxzzMyjqoUvktsw1KNuVAyYFLAPNvl0jsYPzTKCTfyoJv+FJHb5bvqA==" saltValue="gEIyXdqpY5Dsq5iFfc3U5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236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KcWRX/EB6qQR09gNWuiGqPfyZKZyq7/xOAYbA1/tB0NdmGze82069H7PItXCgktz/eDSsSHn/DgIntOMFVjg4g==" saltValue="Kw5ux/kHvKOTqHpG1AKJO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5.0000000000000001E-3</v>
      </c>
      <c r="F2" s="60">
        <f>food_insecure</f>
        <v>5.0000000000000001E-3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5.0000000000000001E-3</v>
      </c>
      <c r="F5" s="60">
        <f>food_insecure</f>
        <v>5.0000000000000001E-3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5.0000000000000001E-3</v>
      </c>
      <c r="F8" s="60">
        <f>food_insecure</f>
        <v>5.0000000000000001E-3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5.0000000000000001E-3</v>
      </c>
      <c r="F9" s="60">
        <f>food_insecure</f>
        <v>5.0000000000000001E-3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5.0000000000000001E-3</v>
      </c>
      <c r="I15" s="60">
        <f t="shared" si="0"/>
        <v>5.0000000000000001E-3</v>
      </c>
      <c r="J15" s="60">
        <f t="shared" si="0"/>
        <v>5.0000000000000001E-3</v>
      </c>
      <c r="K15" s="60">
        <f t="shared" si="0"/>
        <v>5.0000000000000001E-3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5.0000000000000001E-3</v>
      </c>
      <c r="I16" s="60">
        <f t="shared" si="0"/>
        <v>5.0000000000000001E-3</v>
      </c>
      <c r="J16" s="60">
        <f t="shared" si="0"/>
        <v>5.0000000000000001E-3</v>
      </c>
      <c r="K16" s="60">
        <f t="shared" si="0"/>
        <v>5.0000000000000001E-3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9.1292583364080013E-2</v>
      </c>
      <c r="M25" s="60">
        <f>(1-food_insecure)*(0.49)+food_insecure*(0.7)</f>
        <v>0.49104999999999999</v>
      </c>
      <c r="N25" s="60">
        <f>(1-food_insecure)*(0.49)+food_insecure*(0.7)</f>
        <v>0.49104999999999999</v>
      </c>
      <c r="O25" s="60">
        <f>(1-food_insecure)*(0.49)+food_insecure*(0.7)</f>
        <v>0.49104999999999999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3.9125392870320005E-2</v>
      </c>
      <c r="M26" s="60">
        <f>(1-food_insecure)*(0.21)+food_insecure*(0.3)</f>
        <v>0.21045</v>
      </c>
      <c r="N26" s="60">
        <f>(1-food_insecure)*(0.21)+food_insecure*(0.3)</f>
        <v>0.21045</v>
      </c>
      <c r="O26" s="60">
        <f>(1-food_insecure)*(0.21)+food_insecure*(0.3)</f>
        <v>0.21045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5.5495033365600001E-2</v>
      </c>
      <c r="M27" s="60">
        <f>(1-food_insecure)*(0.3)</f>
        <v>0.29849999999999999</v>
      </c>
      <c r="N27" s="60">
        <f>(1-food_insecure)*(0.3)</f>
        <v>0.29849999999999999</v>
      </c>
      <c r="O27" s="60">
        <f>(1-food_insecure)*(0.3)</f>
        <v>0.29849999999999999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X1NNtKhuWVxZcyjR+p6U+Q7lEgBSABcF1PKyywYTf1F5s6kyhmzootzeuMdfzGNS+e9fRpobe8sZy4dTMF9+w==" saltValue="l18lZLz0sbXIbiqtMQtLd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bqAkxeaIJwm82hl2mOoi5jJmWMRoG1qt61fxgSs7EtTAcPYt3z7Oq4xdRNNxpVuJZRhCv0M98EY7MMF6FxhvQ==" saltValue="fs3EP6Jlh27z/4YNY1yPG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JGtRVNW8TSJw3l2+ktzAg4h/H/cWEwgMIbWDWMDhAU0oXPxlCjZvCEY1PMzUI/2uQfY7ah8fVWT6K17apABIQ==" saltValue="gv3Lqh7JgX4vyRf2xgurC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46JWZFfxvgDm2dHEDly7eFuPVw3UaiFSHuj3q310s1uX0GqJ9U3ml6Los2G/G0psiBfLEKyEvhAcBosPzJspWg==" saltValue="s3XCjdy9J7VD/qzVT8I3O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mUYDt59wnsrXnwqpFV/nZYOWvpmLyipGZ1Dq7CQV3XAtOOoRpA/u/Zui3pDgmglbiu6RrbNJSOU6+tInvVJ2Fw==" saltValue="HC9dH+/wQyRl7mmEVJHI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7yPu+eHtp6U+P1S17fvbwIIsgurOhZ6C9tMVUWpO17Ek4AQ5qfPsl2qmAvsct913RtMhsooOlbLf2TMxzSM7pw==" saltValue="a3UoaF1nFZQdec0PGZ/xB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KkfdI2ErTBbkmoXdmMV1CzNs4VLH5k4/+WOnuNcCjSum3LVgMpiWfhJ/jwWW+rRUOJPvwYRz/VSqdi5PeKgag==" saltValue="/ixGYN7CmxOHtr6hMk2OT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XrMa6OmJlhFMX8ezH5l9cI1xqFDPIu/1J6jBTFBPTZ7jDzCVY2ducAwj8LM8ioRN50f0mb+ZmGgL0p12y68XSQ==" saltValue="jeXYrFPwTX0/vbfjX1vs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3k+aXEM5cFjacrpXdjFHPFjHGeR4dJL3c2yHy/y5rz+YvyBAKwZsoPTbf5PIaO5kHyuxeA9McQLWPpLK1ABlBw==" saltValue="zgEVZ0tNB9uimCTBow8q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qh1DZ3tKBBVNQaWtRd+rVAetLBpLbfm3e0e9AJtP3YoFfByqSxeJUw5VCmbWqi1rDbHm31VvnxGbabG8cIB+A==" saltValue="UoFTiATQRvMosy155du2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+rqVxVNYg/VgQBbN2stiLjwE3iUL+naWgQiamlMau/qTS3fX+inCoBAP77ybHeZKu35Y7ikeTec68qazJmyLg==" saltValue="x9qrGlQxjQu7fmgyY9H6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OGVfuzqdnMki1+NaWW3NFu0BZemoAyQ7ANeyA86P8gKsUai0VgLfA5XVPg6i3CEV6p+oksT2t21Et05x4ZdGA==" saltValue="qIa/x0v22aaHkImEwE1W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fvzT6/wJjCY5mCLa54jSl4klEQl2GkInRhWiibT3VVtiIenjE94IoK56O7+iRwFAAIS0FTsC8D85sXe1lKjAA==" saltValue="0RT2qkIjRr/ZCMHqW9ZfK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t2a8B7jrUo2ystsJwe9nYXmhr3gF7qtv22Nt+aVmnomh3ZnX/bg4SERB3wEjPvQChMglITUmgQ93zlZ/kKeH3A==" saltValue="6+GbWs80R/kRlcVdOfI9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GF2u4wC9LcvoQo15iD8dCstK081uiSrVxV4EgE1oR73t39k8rCxo5edbUQy3OIzLqVLEfGDMvUmgawrRLrs2A==" saltValue="huvbFus380r3W0oLP5gWM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