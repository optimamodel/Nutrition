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74A3662-162D-4D2A-84C0-6E8F9B6F19C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8" i="2" l="1"/>
  <c r="I12" i="2"/>
  <c r="A31" i="2"/>
  <c r="A26" i="2"/>
  <c r="I39" i="2"/>
  <c r="A40" i="2"/>
  <c r="A34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<sst xmlns="http://schemas.openxmlformats.org/spreadsheetml/2006/main" count="2169" uniqueCount="373">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</sst>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6358277</v>
      </c>
    </row>
    <row r="8" spans="1:3" ht="15" customHeight="1" x14ac:dyDescent="0.25">
      <c r="B8" s="5" t="s">
        <v>63</v>
      </c>
      <c r="C8" s="44">
        <v>0.32300000000000001</v>
      </c>
    </row>
    <row r="9" spans="1:3" ht="15" customHeight="1" x14ac:dyDescent="0.25">
      <c r="B9" s="5" t="s">
        <v>62</v>
      </c>
      <c r="C9" s="45">
        <v>0.53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0.13639999999999999</v>
      </c>
    </row>
    <row r="24" spans="1:3" ht="15" customHeight="1" x14ac:dyDescent="0.25">
      <c r="B24" s="15" t="s">
        <v>65</v>
      </c>
      <c r="C24" s="45">
        <v>0.43980000000000002</v>
      </c>
    </row>
    <row r="25" spans="1:3" ht="15" customHeight="1" x14ac:dyDescent="0.25">
      <c r="B25" s="15" t="s">
        <v>66</v>
      </c>
      <c r="C25" s="45">
        <v>0.34289999999999998</v>
      </c>
    </row>
    <row r="26" spans="1:3" ht="15" customHeight="1" x14ac:dyDescent="0.25">
      <c r="B26" s="15" t="s">
        <v>67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0.215581961112711</v>
      </c>
    </row>
    <row r="30" spans="1:3" ht="14.25" customHeight="1" x14ac:dyDescent="0.25">
      <c r="B30" s="25" t="s">
        <v>82</v>
      </c>
      <c r="C30" s="97">
        <v>7.7267303357062389E-2</v>
      </c>
    </row>
    <row r="31" spans="1:3" ht="14.25" customHeight="1" x14ac:dyDescent="0.25">
      <c r="B31" s="25" t="s">
        <v>29</v>
      </c>
      <c r="C31" s="97">
        <v>0.12020907122765701</v>
      </c>
    </row>
    <row r="32" spans="1:3" ht="14.25" customHeight="1" x14ac:dyDescent="0.25">
      <c r="B32" s="25" t="s">
        <v>30</v>
      </c>
      <c r="C32" s="97">
        <v>0.58694166430257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26.647300000000001</v>
      </c>
    </row>
    <row r="38" spans="1:5" ht="15" customHeight="1" x14ac:dyDescent="0.25">
      <c r="B38" s="11" t="s">
        <v>54</v>
      </c>
      <c r="C38" s="43">
        <v>47.163319999999999</v>
      </c>
      <c r="D38" s="12"/>
      <c r="E38" s="13"/>
    </row>
    <row r="39" spans="1:5" ht="15" customHeight="1" x14ac:dyDescent="0.25">
      <c r="B39" s="11" t="s">
        <v>80</v>
      </c>
      <c r="C39" s="43">
        <v>69.421329999999998</v>
      </c>
      <c r="D39" s="12"/>
      <c r="E39" s="12"/>
    </row>
    <row r="40" spans="1:5" ht="15" customHeight="1" x14ac:dyDescent="0.25">
      <c r="B40" s="11" t="s">
        <v>55</v>
      </c>
      <c r="C40" s="98">
        <v>2.2200000000000002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7.9281999999999998E-3</v>
      </c>
      <c r="D45" s="12"/>
    </row>
    <row r="46" spans="1:5" ht="15.75" customHeight="1" x14ac:dyDescent="0.25">
      <c r="B46" s="11" t="s">
        <v>70</v>
      </c>
      <c r="C46" s="45">
        <v>8.5187299999999994E-2</v>
      </c>
      <c r="D46" s="12"/>
    </row>
    <row r="47" spans="1:5" ht="15.75" customHeight="1" x14ac:dyDescent="0.25">
      <c r="B47" s="11" t="s">
        <v>78</v>
      </c>
      <c r="C47" s="45">
        <v>7.3461100000000001E-2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2.782</v>
      </c>
      <c r="D51" s="12"/>
    </row>
    <row r="52" spans="1:4" ht="15" customHeight="1" x14ac:dyDescent="0.25">
      <c r="B52" s="11" t="s">
        <v>32</v>
      </c>
      <c r="C52" s="98">
        <v>2.782</v>
      </c>
    </row>
    <row r="53" spans="1:4" ht="15.75" customHeight="1" x14ac:dyDescent="0.25">
      <c r="B53" s="11" t="s">
        <v>35</v>
      </c>
      <c r="C53" s="98">
        <v>6.9160000000000004</v>
      </c>
    </row>
    <row r="54" spans="1:4" ht="15.75" customHeight="1" x14ac:dyDescent="0.25">
      <c r="B54" s="11" t="s">
        <v>33</v>
      </c>
      <c r="C54" s="98">
        <v>6.9420000000000002</v>
      </c>
    </row>
    <row r="55" spans="1:4" ht="15.75" customHeight="1" x14ac:dyDescent="0.25">
      <c r="B55" s="11" t="s">
        <v>34</v>
      </c>
      <c r="C55" s="98">
        <v>2.7126666666666668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0.47012900000000002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aCfkdPxiSnPjHUac7hxdWZyZPLOPjF+UTmPG+QR9kVI2RFW+NXng2VSH4ACY/e+DMwrd08Mbn5lywLbCcs2AgQ==" saltValue="e5uyYFn3LIIthXm6k19C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6476088</v>
      </c>
      <c r="C2" s="49">
        <v>1699564</v>
      </c>
      <c r="D2" s="49">
        <v>2827595.5</v>
      </c>
      <c r="E2" s="49">
        <v>4564307.5</v>
      </c>
      <c r="F2" s="49">
        <v>3011570.5</v>
      </c>
      <c r="G2" s="17">
        <f t="shared" ref="G2:G13" si="0">C2+D2+E2+F2</f>
        <v>12103037.5</v>
      </c>
      <c r="H2" s="17">
        <f t="shared" ref="H2:H13" si="1">(B2 + stillbirth*B2/(1000-stillbirth))/(1-abortion)</f>
        <v>7504041.9562554453</v>
      </c>
      <c r="I2" s="17">
        <f t="shared" ref="I2:I13" si="2">G2-H2</f>
        <v>4598995.5437445547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1407760</v>
      </c>
      <c r="C3" s="50">
        <v>2006778</v>
      </c>
      <c r="D3" s="50">
        <v>2981406</v>
      </c>
      <c r="E3" s="50">
        <v>2240899.5</v>
      </c>
      <c r="F3" s="50">
        <v>1544644.4999999998</v>
      </c>
      <c r="G3" s="17">
        <f t="shared" si="0"/>
        <v>8773728</v>
      </c>
      <c r="H3" s="17">
        <f t="shared" si="1"/>
        <v>1631214.7247440377</v>
      </c>
      <c r="I3" s="17">
        <f t="shared" si="2"/>
        <v>7142513.2752559623</v>
      </c>
    </row>
    <row r="4" spans="1:9" ht="15.75" customHeight="1" x14ac:dyDescent="0.25">
      <c r="A4" s="5">
        <f t="shared" si="3"/>
        <v>2026</v>
      </c>
      <c r="B4" s="49">
        <v>1429803</v>
      </c>
      <c r="C4" s="50">
        <v>2089502.5</v>
      </c>
      <c r="D4" s="50">
        <v>3086837</v>
      </c>
      <c r="E4" s="50">
        <v>2297813.5</v>
      </c>
      <c r="F4" s="50">
        <v>1602480.5000000002</v>
      </c>
      <c r="G4" s="17">
        <f t="shared" si="0"/>
        <v>9076633.5</v>
      </c>
      <c r="H4" s="17">
        <f t="shared" si="1"/>
        <v>1656756.625478206</v>
      </c>
      <c r="I4" s="17">
        <f t="shared" si="2"/>
        <v>7419876.8745217938</v>
      </c>
    </row>
    <row r="5" spans="1:9" ht="15.75" customHeight="1" x14ac:dyDescent="0.25">
      <c r="A5" s="5">
        <f t="shared" si="3"/>
        <v>2027</v>
      </c>
      <c r="B5" s="49">
        <v>1461075</v>
      </c>
      <c r="C5" s="50">
        <v>2171620.5</v>
      </c>
      <c r="D5" s="50">
        <v>3202875.5</v>
      </c>
      <c r="E5" s="50">
        <v>2353413.9999999995</v>
      </c>
      <c r="F5" s="50">
        <v>1662369</v>
      </c>
      <c r="G5" s="17">
        <f t="shared" si="0"/>
        <v>9390279</v>
      </c>
      <c r="H5" s="17">
        <f t="shared" si="1"/>
        <v>1692992.4518066964</v>
      </c>
      <c r="I5" s="17">
        <f t="shared" si="2"/>
        <v>7697286.5481933039</v>
      </c>
    </row>
    <row r="6" spans="1:9" ht="15.75" customHeight="1" x14ac:dyDescent="0.25">
      <c r="A6" s="5">
        <f t="shared" si="3"/>
        <v>2028</v>
      </c>
      <c r="B6" s="49">
        <v>1487955</v>
      </c>
      <c r="C6" s="50">
        <v>2253134</v>
      </c>
      <c r="D6" s="50">
        <v>3329483.5</v>
      </c>
      <c r="E6" s="50">
        <v>2408687</v>
      </c>
      <c r="F6" s="50">
        <v>1723806.5000000002</v>
      </c>
      <c r="G6" s="17">
        <f t="shared" si="0"/>
        <v>9715111</v>
      </c>
      <c r="H6" s="17">
        <f t="shared" si="1"/>
        <v>1724139.132917908</v>
      </c>
      <c r="I6" s="17">
        <f t="shared" si="2"/>
        <v>7990971.867082092</v>
      </c>
    </row>
    <row r="7" spans="1:9" ht="15.75" customHeight="1" x14ac:dyDescent="0.25">
      <c r="A7" s="5">
        <f t="shared" si="3"/>
        <v>2029</v>
      </c>
      <c r="B7" s="49">
        <v>1519386</v>
      </c>
      <c r="C7" s="50">
        <v>2333811.5</v>
      </c>
      <c r="D7" s="50">
        <v>3466402</v>
      </c>
      <c r="E7" s="50">
        <v>2464654.9999999995</v>
      </c>
      <c r="F7" s="50">
        <v>1786361.5</v>
      </c>
      <c r="G7" s="17">
        <f t="shared" si="0"/>
        <v>10051230</v>
      </c>
      <c r="H7" s="17">
        <f t="shared" si="1"/>
        <v>1760559.1974270786</v>
      </c>
      <c r="I7" s="17">
        <f t="shared" si="2"/>
        <v>8290670.8025729209</v>
      </c>
    </row>
    <row r="8" spans="1:9" ht="15.75" customHeight="1" x14ac:dyDescent="0.25">
      <c r="A8" s="5">
        <f t="shared" si="3"/>
        <v>2030</v>
      </c>
      <c r="B8" s="49">
        <v>1549301</v>
      </c>
      <c r="C8" s="50">
        <v>2412546</v>
      </c>
      <c r="D8" s="50">
        <v>3611713.5</v>
      </c>
      <c r="E8" s="50">
        <v>2522408.5</v>
      </c>
      <c r="F8" s="50">
        <v>1849399</v>
      </c>
      <c r="G8" s="17">
        <f t="shared" si="0"/>
        <v>10396067</v>
      </c>
      <c r="H8" s="17">
        <f t="shared" si="1"/>
        <v>1795222.6262009591</v>
      </c>
      <c r="I8" s="17">
        <f t="shared" si="2"/>
        <v>8600844.3737990409</v>
      </c>
    </row>
    <row r="9" spans="1:9" ht="15.75" customHeight="1" x14ac:dyDescent="0.25">
      <c r="A9" s="5">
        <f t="shared" si="3"/>
        <v>2031</v>
      </c>
      <c r="B9" s="49">
        <v>1569907</v>
      </c>
      <c r="C9" s="50">
        <v>2488386.5</v>
      </c>
      <c r="D9" s="50">
        <v>3763377</v>
      </c>
      <c r="E9" s="50">
        <v>2583910</v>
      </c>
      <c r="F9" s="50">
        <v>1912346.5</v>
      </c>
      <c r="G9" s="17">
        <f t="shared" si="0"/>
        <v>10748020</v>
      </c>
      <c r="H9" s="17">
        <f t="shared" si="1"/>
        <v>1819099.4309248293</v>
      </c>
      <c r="I9" s="17">
        <f t="shared" si="2"/>
        <v>8928920.5690751709</v>
      </c>
    </row>
    <row r="10" spans="1:9" ht="15.75" customHeight="1" x14ac:dyDescent="0.25">
      <c r="A10" s="5">
        <f t="shared" si="3"/>
        <v>2032</v>
      </c>
      <c r="B10" s="49">
        <v>1595377</v>
      </c>
      <c r="C10" s="50">
        <v>2561005.5</v>
      </c>
      <c r="D10" s="50">
        <v>3920026</v>
      </c>
      <c r="E10" s="50">
        <v>2651374</v>
      </c>
      <c r="F10" s="50">
        <v>1974883</v>
      </c>
      <c r="G10" s="17">
        <f t="shared" si="0"/>
        <v>11107288.5</v>
      </c>
      <c r="H10" s="17">
        <f t="shared" si="1"/>
        <v>1848612.301754538</v>
      </c>
      <c r="I10" s="17">
        <f t="shared" si="2"/>
        <v>9258676.198245462</v>
      </c>
    </row>
    <row r="11" spans="1:9" ht="15.75" customHeight="1" x14ac:dyDescent="0.25">
      <c r="A11" s="5">
        <f t="shared" si="3"/>
        <v>2033</v>
      </c>
      <c r="B11" s="49">
        <v>1618620</v>
      </c>
      <c r="C11" s="50">
        <v>2630375</v>
      </c>
      <c r="D11" s="50">
        <v>4079999</v>
      </c>
      <c r="E11" s="50">
        <v>2726706.5</v>
      </c>
      <c r="F11" s="50">
        <v>2036088.5</v>
      </c>
      <c r="G11" s="17">
        <f t="shared" si="0"/>
        <v>11473169</v>
      </c>
      <c r="H11" s="17">
        <f t="shared" si="1"/>
        <v>1875544.6793240283</v>
      </c>
      <c r="I11" s="17">
        <f t="shared" si="2"/>
        <v>9597624.320675971</v>
      </c>
    </row>
    <row r="12" spans="1:9" ht="15.75" customHeight="1" x14ac:dyDescent="0.25">
      <c r="A12" s="5">
        <f t="shared" si="3"/>
        <v>2034</v>
      </c>
      <c r="B12" s="49">
        <v>1645852</v>
      </c>
      <c r="C12" s="50">
        <v>2697188</v>
      </c>
      <c r="D12" s="50">
        <v>4242193.9999999991</v>
      </c>
      <c r="E12" s="50">
        <v>2811486</v>
      </c>
      <c r="F12" s="50">
        <v>2095592.5000000002</v>
      </c>
      <c r="G12" s="17">
        <f t="shared" si="0"/>
        <v>11846460.5</v>
      </c>
      <c r="H12" s="17">
        <f t="shared" si="1"/>
        <v>1907099.2336402682</v>
      </c>
      <c r="I12" s="17">
        <f t="shared" si="2"/>
        <v>9939361.2663597316</v>
      </c>
    </row>
    <row r="13" spans="1:9" ht="15.75" customHeight="1" x14ac:dyDescent="0.25">
      <c r="A13" s="5">
        <f t="shared" si="3"/>
        <v>2035</v>
      </c>
      <c r="B13" s="49">
        <v>1672818</v>
      </c>
      <c r="C13" s="50">
        <v>2762347.5</v>
      </c>
      <c r="D13" s="50">
        <v>4404666</v>
      </c>
      <c r="E13" s="50">
        <v>2906392.5</v>
      </c>
      <c r="F13" s="50">
        <v>2153498.5</v>
      </c>
      <c r="G13" s="17">
        <f t="shared" si="0"/>
        <v>12226904.5</v>
      </c>
      <c r="H13" s="17">
        <f t="shared" si="1"/>
        <v>1938345.5655913448</v>
      </c>
      <c r="I13" s="17">
        <f t="shared" si="2"/>
        <v>10288558.934408655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S+sDXrP9j8pvyPgjp8yDwF4hjXdshaaG5kO9TQNS6QqxgXid/Qp7pLuelIgWLHfdrVb7kw6ZL9dma2iQPE1CA==" saltValue="TiZdurYsGLDQfJUvCxY4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1.5094498490550161E-2</v>
      </c>
    </row>
    <row r="4" spans="1:8" ht="15.75" customHeight="1" x14ac:dyDescent="0.25">
      <c r="B4" s="19" t="s">
        <v>116</v>
      </c>
      <c r="C4" s="99">
        <v>6.6847793315220602E-2</v>
      </c>
    </row>
    <row r="5" spans="1:8" ht="15.75" customHeight="1" x14ac:dyDescent="0.25">
      <c r="B5" s="19" t="s">
        <v>114</v>
      </c>
      <c r="C5" s="99">
        <v>9.2715790728420996E-2</v>
      </c>
    </row>
    <row r="6" spans="1:8" ht="15.75" customHeight="1" x14ac:dyDescent="0.25">
      <c r="B6" s="19" t="s">
        <v>110</v>
      </c>
      <c r="C6" s="99">
        <v>0.25066637493336241</v>
      </c>
    </row>
    <row r="7" spans="1:8" ht="15.75" customHeight="1" x14ac:dyDescent="0.25">
      <c r="B7" s="19" t="s">
        <v>115</v>
      </c>
      <c r="C7" s="99">
        <v>0.39523896047610407</v>
      </c>
    </row>
    <row r="8" spans="1:8" ht="15.75" customHeight="1" x14ac:dyDescent="0.25">
      <c r="B8" s="19" t="s">
        <v>117</v>
      </c>
      <c r="C8" s="99">
        <v>5.692699430730053E-3</v>
      </c>
    </row>
    <row r="9" spans="1:8" ht="15.75" customHeight="1" x14ac:dyDescent="0.25">
      <c r="B9" s="19" t="s">
        <v>111</v>
      </c>
      <c r="C9" s="99">
        <v>6.0334693966530663E-2</v>
      </c>
    </row>
    <row r="10" spans="1:8" ht="15.75" customHeight="1" x14ac:dyDescent="0.25">
      <c r="B10" s="19" t="s">
        <v>113</v>
      </c>
      <c r="C10" s="99">
        <v>0.11340918865908101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121</v>
      </c>
      <c r="C15" s="99">
        <v>0.2862876225477291</v>
      </c>
      <c r="D15" s="99">
        <v>0.2862876225477291</v>
      </c>
      <c r="E15" s="99">
        <v>0.2862876225477291</v>
      </c>
      <c r="F15" s="99">
        <v>0.2862876225477291</v>
      </c>
    </row>
    <row r="16" spans="1:8" ht="15.75" customHeight="1" x14ac:dyDescent="0.25">
      <c r="B16" s="19" t="s">
        <v>2</v>
      </c>
      <c r="C16" s="99">
        <v>3.2976769226665932E-2</v>
      </c>
      <c r="D16" s="99">
        <v>3.2976769226665932E-2</v>
      </c>
      <c r="E16" s="99">
        <v>3.2976769226665932E-2</v>
      </c>
      <c r="F16" s="99">
        <v>3.2976769226665932E-2</v>
      </c>
    </row>
    <row r="17" spans="1:8" ht="15.75" customHeight="1" x14ac:dyDescent="0.25">
      <c r="B17" s="19" t="s">
        <v>109</v>
      </c>
      <c r="C17" s="99">
        <v>1.608358052509628E-3</v>
      </c>
      <c r="D17" s="99">
        <v>1.608358052509628E-3</v>
      </c>
      <c r="E17" s="99">
        <v>1.608358052509628E-3</v>
      </c>
      <c r="F17" s="99">
        <v>1.608358052509628E-3</v>
      </c>
    </row>
    <row r="18" spans="1:8" ht="15.75" customHeight="1" x14ac:dyDescent="0.25">
      <c r="B18" s="19" t="s">
        <v>3</v>
      </c>
      <c r="C18" s="99">
        <v>0.16206113121560209</v>
      </c>
      <c r="D18" s="99">
        <v>0.16206113121560209</v>
      </c>
      <c r="E18" s="99">
        <v>0.16206113121560209</v>
      </c>
      <c r="F18" s="99">
        <v>0.16206113121560209</v>
      </c>
    </row>
    <row r="19" spans="1:8" ht="15.75" customHeight="1" x14ac:dyDescent="0.25">
      <c r="B19" s="19" t="s">
        <v>120</v>
      </c>
      <c r="C19" s="99">
        <v>7.9440655586136156E-3</v>
      </c>
      <c r="D19" s="99">
        <v>7.9440655586136156E-3</v>
      </c>
      <c r="E19" s="99">
        <v>7.9440655586136156E-3</v>
      </c>
      <c r="F19" s="99">
        <v>7.9440655586136156E-3</v>
      </c>
    </row>
    <row r="20" spans="1:8" ht="15.75" customHeight="1" x14ac:dyDescent="0.25">
      <c r="B20" s="19" t="s">
        <v>98</v>
      </c>
      <c r="C20" s="99">
        <v>5.3512309813619451E-2</v>
      </c>
      <c r="D20" s="99">
        <v>5.3512309813619451E-2</v>
      </c>
      <c r="E20" s="99">
        <v>5.3512309813619451E-2</v>
      </c>
      <c r="F20" s="99">
        <v>5.3512309813619451E-2</v>
      </c>
    </row>
    <row r="21" spans="1:8" ht="15.75" customHeight="1" x14ac:dyDescent="0.25">
      <c r="B21" s="19" t="s">
        <v>107</v>
      </c>
      <c r="C21" s="99">
        <v>7.3544155252817336E-2</v>
      </c>
      <c r="D21" s="99">
        <v>7.3544155252817336E-2</v>
      </c>
      <c r="E21" s="99">
        <v>7.3544155252817336E-2</v>
      </c>
      <c r="F21" s="99">
        <v>7.3544155252817336E-2</v>
      </c>
    </row>
    <row r="22" spans="1:8" ht="15.75" customHeight="1" x14ac:dyDescent="0.25">
      <c r="B22" s="19" t="s">
        <v>118</v>
      </c>
      <c r="C22" s="99">
        <v>0.1828267444098152</v>
      </c>
      <c r="D22" s="99">
        <v>0.1828267444098152</v>
      </c>
      <c r="E22" s="99">
        <v>0.1828267444098152</v>
      </c>
      <c r="F22" s="99">
        <v>0.1828267444098152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8.6962663999999995E-2</v>
      </c>
    </row>
    <row r="27" spans="1:8" ht="15.75" customHeight="1" x14ac:dyDescent="0.25">
      <c r="B27" s="19" t="s">
        <v>108</v>
      </c>
      <c r="C27" s="99">
        <v>8.4363389999999993E-3</v>
      </c>
    </row>
    <row r="28" spans="1:8" ht="15.75" customHeight="1" x14ac:dyDescent="0.25">
      <c r="B28" s="19" t="s">
        <v>122</v>
      </c>
      <c r="C28" s="99">
        <v>0.15636133799999999</v>
      </c>
    </row>
    <row r="29" spans="1:8" ht="15.75" customHeight="1" x14ac:dyDescent="0.25">
      <c r="B29" s="19" t="s">
        <v>105</v>
      </c>
      <c r="C29" s="99">
        <v>0.16846973500000001</v>
      </c>
    </row>
    <row r="30" spans="1:8" ht="15.75" customHeight="1" x14ac:dyDescent="0.25">
      <c r="B30" s="19" t="s">
        <v>4</v>
      </c>
      <c r="C30" s="99">
        <v>0.10552550099999999</v>
      </c>
    </row>
    <row r="31" spans="1:8" ht="15.75" customHeight="1" x14ac:dyDescent="0.25">
      <c r="B31" s="19" t="s">
        <v>99</v>
      </c>
      <c r="C31" s="99">
        <v>0.10934719399999999</v>
      </c>
    </row>
    <row r="32" spans="1:8" ht="15.75" customHeight="1" x14ac:dyDescent="0.25">
      <c r="B32" s="19" t="s">
        <v>104</v>
      </c>
      <c r="C32" s="99">
        <v>1.8589852E-2</v>
      </c>
    </row>
    <row r="33" spans="2:3" ht="15.75" customHeight="1" x14ac:dyDescent="0.25">
      <c r="B33" s="19" t="s">
        <v>119</v>
      </c>
      <c r="C33" s="99">
        <v>8.3803687999999987E-2</v>
      </c>
    </row>
    <row r="34" spans="2:3" ht="15.75" customHeight="1" x14ac:dyDescent="0.25">
      <c r="B34" s="19" t="s">
        <v>106</v>
      </c>
      <c r="C34" s="99">
        <v>0.26250368800000001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bOkkDDqyxxTUm+T7IqZRSKDEKs6Xs3zKJDGXPRYg+pE5lFzQL7iwq3bE0yq4AOQqweZ4uhFlkRpHtG5GhmGsxg==" saltValue="Rv/I7zrzcCEe7hgJo/j9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129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125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126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138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igzbT1ye7HIW+o8vRnez6FjsoArIof8mj++xmTEk1KlgRtEyDt0uwy4IQOW373E0bhYOxKo8FTegqVKI+Yjvg==" saltValue="HtJKAXBBvqWBCCcgpqS1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TNGyW3VfFhsM8Y7mn7T19vF6P4JWEUu/YUAwT9q0k+BQN92oJI78WEGjH/XK5Bb9Xk/wOx/jphZwf39WwxXBjQ==" saltValue="/Xvcpbxt+fxFFKt3efS0W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UwVJNXLhjZbONNShBAWxcjiA3cujINDBcMRSvieh++aU2x8YoJiE4QPKG16xRErdlxcgWggIFFoLOLFYhxW4w==" saltValue="LAMoPjAXIpd9J9cPOyYZ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3000.4442305317302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0.43146000000000001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0.73801000000000005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1.7007240890392787E-2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92460.709610000005</v>
      </c>
      <c r="C22" s="107">
        <v>91504.823699999994</v>
      </c>
      <c r="D22" s="107">
        <v>90937.885410000003</v>
      </c>
      <c r="E22" s="107">
        <v>90352.386079999997</v>
      </c>
      <c r="F22" s="107">
        <v>89478.5389</v>
      </c>
      <c r="G22" s="107">
        <v>88327.748179999995</v>
      </c>
      <c r="H22" s="107">
        <v>86746.025800000003</v>
      </c>
      <c r="I22" s="107">
        <v>84661.973859999998</v>
      </c>
      <c r="J22" s="107">
        <v>81909.613649999999</v>
      </c>
      <c r="K22" s="107">
        <v>78428.636740000002</v>
      </c>
      <c r="L22" s="107">
        <v>73850.477100000004</v>
      </c>
      <c r="M22" s="107">
        <v>67946.564880000005</v>
      </c>
      <c r="N22" s="107">
        <v>60097.639969999997</v>
      </c>
      <c r="O22" s="107">
        <v>50430.668440000001</v>
      </c>
    </row>
  </sheetData>
  <sheetProtection algorithmName="SHA-512" hashValue="ciRNcFmSqCggyrwmULb/rQsIoIhUixS4280DPohVr+ZlXP47pB3DpxbUdVgUwjuK4C0ZpUKcYxzY4p032g6RMQ==" saltValue="Y2cb13dZ1X/50TQuLg536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+Ji+g2KSxKS+QOufeXwFGK/MZdZjgD5LE6AT23h719c0xZPvcSUurP99MLMwc7ipHm0gTqXErOuxL79MO3jHg==" saltValue="3Bf05Ejj7+u34oLsE+qS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WlyBo29zWd/Qdtd2tGQbpjg67lhtTtqYZB5ApWqjhhpcw7G2C6yDOTs0BBtY1OV0hVAllWsK1+MRIWPfYRFnw==" saltValue="eBctulBN0PgnbYiyeyP7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0.320544</v>
      </c>
      <c r="C10" s="96">
        <v>0.95</v>
      </c>
      <c r="D10" s="56">
        <v>12.89300726034795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12.89300726034795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12.89300726034795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12.89300726034795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12.89300726034795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0.38400000000000001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0.126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0.3176196</v>
      </c>
      <c r="C19" s="96">
        <v>0.95</v>
      </c>
      <c r="D19" s="56">
        <v>7.6528811752546302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0.2907748</v>
      </c>
      <c r="C23" s="96">
        <v>0.95</v>
      </c>
      <c r="D23" s="56">
        <v>4.204855047571205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0.419615503536932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0.11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0.42607790000000001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0.29069230000000001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1.3599999999999999E-2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0.05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0.27094190000000001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0.27505049999999998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2.0582999999999999E-3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0.43093199999999998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wdebRg1twfFtOxSnyos7G3Y942J8FBkXvi9kZd620zEoS6WY/j0faHDWllZEE0MZYXelCHZiyzxAV8TUfnfIBw==" saltValue="Pybmiv5fHJNWWpv0dxb2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OuinKNU54IfXZyQzGDCZVzdzXrfZVAj/RWDy0PRpL7rORk2m4+oggv6QswhmqtzEe2xhF210Ii48Kczk1s+dw==" saltValue="amr+Gm5f/2RimZdntdZk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firsp7QIq/GVWNO2Ya4puKGm6kzGWCZk0wWhDeqo+7COxodIupobXLTqV1kBEOedVPTmgw+5v80pdHeZYCLcA==" saltValue="S0zeWDV2m/7ATGax7p8i3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2.782</v>
      </c>
      <c r="C2" s="21">
        <f>'Entradas de población-año base'!C52</f>
        <v>2.782</v>
      </c>
      <c r="D2" s="21">
        <f>'Entradas de población-año base'!C53</f>
        <v>6.9160000000000004</v>
      </c>
      <c r="E2" s="21">
        <f>'Entradas de población-año base'!C54</f>
        <v>6.9420000000000002</v>
      </c>
      <c r="F2" s="21">
        <f>'Entradas de población-año base'!C55</f>
        <v>2.7126666666666668</v>
      </c>
    </row>
    <row r="3" spans="1:6" ht="15.75" customHeight="1" x14ac:dyDescent="0.25">
      <c r="A3" s="3" t="s">
        <v>6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236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otG+ImYlUVWHyueskwz3s1qHKBy4aSXpg7JmBaY/nwJmuHnmatt+5JW30vS2B1C5JG4ypUk42JmUUXI/jrcqlg==" saltValue="LnvDD2wzFz63rbLwf+zW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W+QHiTXk3JJIInwDIWTPVhDiuSLPkSgm151xV6qnnHQdufo33i54fy0wxHXMDwot12X/1+IXxxdSqaWzW7wQQ==" saltValue="bdDBczvO8OVBuAVeWdQj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uiqVCOub4osRznCCk/xJZXIRdce3Ny+xBl1fTmdix2QgPycuq9Fw0P0wj+mCkgQwLIVrCqWHfsQ5c0hySOShw==" saltValue="M2awHAQJ7KGGwa2JkfKi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45z9Qu9jcF6Ny6IX43wEycii7TUR5YiwBHZO0Rlqb1cJGmfXcnw9Ug/Szu2kV0kUMoU/YLVAqud3+z8lleYCA==" saltValue="AXpsp3RCobfPJZvCOQ07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ysLcrTj6FbDTB5uqit9hi+ubRW1/YbJ4dWwMSElqnBWv0hs5tysjNNZMzyoZbqLUiGF9ZTbYZ36s6VbwgRd5w==" saltValue="G/YX5nCICv0w9EJ3H42r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6mJ4WA1ZxW6EeAs+Zz38hry2NlSp1qxMHxKkYEQz24kaOfOEyjyCIpQNNPsh8nUR5oUHDu0UrP3i2+7BkYK0jA==" saltValue="9ahorbNBAS9Ne7uXjI/y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owPa3RAb6aSZGZh26aWnBRhvMl0rXB+0kQHjQ9+FzNg7wchzcAz39ZaKnBQ69ZkUln55aV/a4Le3A21ac/P7Q==" saltValue="99crd5KDM0h+4MrUmoCk1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p5h2IPSoVNnnnDIvzxSfmmSrpzIJlQIkryjEg1qUa2Ycy6zSTkPkogradfvRMHgyIpLgwVZdXEhmqeSElph7A==" saltValue="ziVJWdDejvYcfY1qYuO3l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A2cuLipL6bkO6bG7eGzJUyYD4kXJRkvTzNF1QOWPz9ntcesuROUR/otBg4734cw5yMGEwioaoorulORQAehaA==" saltValue="bfvwyVB+tnOi4qWo3QM/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8lqfb9CmpyH4HLhJR4L9ydYTOSDcOVAqWZY4mX3tgtESDXq3nmQQOnXJjUrYBzBoD5lnZLtXwU1euZCvTUiXLg==" saltValue="E9Q7CYh6r5HCf+P5kKzY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Y8f54IAGtm4gcFWqy0TlvrLZewOZIiUPccVxSIyOwS1HwTGc8WlKMnjYMB4NpEckZDGbNB0uPlpyu+nWfUnGA==" saltValue="M2AK+98iSJDxaThL7vGr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j1kBzX8fq9B07HgW3+R2f6OAJGiBy/PraUBDtxPmGhFRqiK3tiZjSfemwCKqGjxfNqjditcNlpKN2MXiROqIg==" saltValue="jyUUMD+CCKmWNW5dnVC3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XzjOT6jvjm4yRrXK710/kUYrxpEyx8f4nZPO1Cs7EOGO7il3CRpf/xR9+Hxf/5JPD5Ax8s/b03d6BsTazaKOQ==" saltValue="fi5qUrZ7xBxd09DOAzJV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yfZTSQosRfJ3f4oVtliiVfwPN/Y1yQBRbLsFLPeuLyq+WBm4lETVrN4SYTugHPk8SEtrxvUwFvV/5/shmrwOw==" saltValue="f/a9n67k7FOmu8z6ypdP+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XcbN9RSSTLrJWbsaAqlY2FHZO6Yh6g0t3CoY7SYZNX5qwsygRfk1qggP1OEvFVXEgEa8htQaYK7svJHZVWo2g==" saltValue="B9ytK0IN63nh97/N9VwU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tvy4O8sSiqCXPbiSDOPirSSr9ERUJFxUc86zHLxzJApLMEc/S3UG06bQt6fYG5EYI9Lnr2blqrlGZ/H1CA7Gw==" saltValue="UZHFPqcDRB6tZEAaU4jF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