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F00FCE1-7A9D-4B40-8ADC-1873D9A9206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5" i="2" l="1"/>
  <c r="A36" i="2"/>
  <c r="A37" i="2"/>
  <c r="A23" i="2"/>
  <c r="A22" i="2"/>
  <c r="A24" i="2"/>
  <c r="A40" i="2"/>
  <c r="A19" i="2"/>
  <c r="I4" i="2"/>
  <c r="A25" i="2"/>
  <c r="I7" i="2"/>
  <c r="I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<sst xmlns="http://schemas.openxmlformats.org/spreadsheetml/2006/main" count="2169" uniqueCount="373">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</sst>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6358277</v>
      </c>
    </row>
    <row r="8" spans="1:3" ht="15" customHeight="1" x14ac:dyDescent="0.25">
      <c r="B8" s="5" t="s">
        <v>63</v>
      </c>
      <c r="C8" s="44">
        <v>0.32300000000000001</v>
      </c>
    </row>
    <row r="9" spans="1:3" ht="15" customHeight="1" x14ac:dyDescent="0.25">
      <c r="B9" s="5" t="s">
        <v>62</v>
      </c>
      <c r="C9" s="45">
        <v>0.53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0.13639999999999999</v>
      </c>
    </row>
    <row r="24" spans="1:3" ht="15" customHeight="1" x14ac:dyDescent="0.25">
      <c r="B24" s="15" t="s">
        <v>65</v>
      </c>
      <c r="C24" s="45">
        <v>0.43980000000000002</v>
      </c>
    </row>
    <row r="25" spans="1:3" ht="15" customHeight="1" x14ac:dyDescent="0.25">
      <c r="B25" s="15" t="s">
        <v>66</v>
      </c>
      <c r="C25" s="45">
        <v>0.34289999999999998</v>
      </c>
    </row>
    <row r="26" spans="1:3" ht="15" customHeight="1" x14ac:dyDescent="0.25">
      <c r="B26" s="15" t="s">
        <v>67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0.215581961112711</v>
      </c>
    </row>
    <row r="30" spans="1:3" ht="14.25" customHeight="1" x14ac:dyDescent="0.25">
      <c r="B30" s="25" t="s">
        <v>82</v>
      </c>
      <c r="C30" s="97">
        <v>7.7267303357062389E-2</v>
      </c>
    </row>
    <row r="31" spans="1:3" ht="14.25" customHeight="1" x14ac:dyDescent="0.25">
      <c r="B31" s="25" t="s">
        <v>29</v>
      </c>
      <c r="C31" s="97">
        <v>0.12020907122765701</v>
      </c>
    </row>
    <row r="32" spans="1:3" ht="14.25" customHeight="1" x14ac:dyDescent="0.25">
      <c r="B32" s="25" t="s">
        <v>30</v>
      </c>
      <c r="C32" s="97">
        <v>0.58694166430257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26.647300000000001</v>
      </c>
    </row>
    <row r="38" spans="1:5" ht="15" customHeight="1" x14ac:dyDescent="0.25">
      <c r="B38" s="11" t="s">
        <v>54</v>
      </c>
      <c r="C38" s="43">
        <v>47.163319999999999</v>
      </c>
      <c r="D38" s="12"/>
      <c r="E38" s="13"/>
    </row>
    <row r="39" spans="1:5" ht="15" customHeight="1" x14ac:dyDescent="0.25">
      <c r="B39" s="11" t="s">
        <v>80</v>
      </c>
      <c r="C39" s="43">
        <v>69.421329999999998</v>
      </c>
      <c r="D39" s="12"/>
      <c r="E39" s="12"/>
    </row>
    <row r="40" spans="1:5" ht="15" customHeight="1" x14ac:dyDescent="0.25">
      <c r="B40" s="11" t="s">
        <v>55</v>
      </c>
      <c r="C40" s="98">
        <v>2.2200000000000002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7.9281999999999998E-3</v>
      </c>
      <c r="D45" s="12"/>
    </row>
    <row r="46" spans="1:5" ht="15.75" customHeight="1" x14ac:dyDescent="0.25">
      <c r="B46" s="11" t="s">
        <v>70</v>
      </c>
      <c r="C46" s="45">
        <v>8.5187299999999994E-2</v>
      </c>
      <c r="D46" s="12"/>
    </row>
    <row r="47" spans="1:5" ht="15.75" customHeight="1" x14ac:dyDescent="0.25">
      <c r="B47" s="11" t="s">
        <v>78</v>
      </c>
      <c r="C47" s="45">
        <v>7.3461100000000001E-2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2.782</v>
      </c>
      <c r="D51" s="12"/>
    </row>
    <row r="52" spans="1:4" ht="15" customHeight="1" x14ac:dyDescent="0.25">
      <c r="B52" s="11" t="s">
        <v>32</v>
      </c>
      <c r="C52" s="98">
        <v>2.782</v>
      </c>
    </row>
    <row r="53" spans="1:4" ht="15.75" customHeight="1" x14ac:dyDescent="0.25">
      <c r="B53" s="11" t="s">
        <v>35</v>
      </c>
      <c r="C53" s="98">
        <v>6.9160000000000004</v>
      </c>
    </row>
    <row r="54" spans="1:4" ht="15.75" customHeight="1" x14ac:dyDescent="0.25">
      <c r="B54" s="11" t="s">
        <v>33</v>
      </c>
      <c r="C54" s="98">
        <v>6.9420000000000002</v>
      </c>
    </row>
    <row r="55" spans="1:4" ht="15.75" customHeight="1" x14ac:dyDescent="0.25">
      <c r="B55" s="11" t="s">
        <v>34</v>
      </c>
      <c r="C55" s="98">
        <v>2.7126666666666668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0.47012900000000002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WMql90eYGO5BA4c5HtHNS48sYEPwLF/lykvR8xZBMQ+1dzsKFI06Yb09loSlzqeMyBe07NG5q63KNnQ/Z5HSDw==" saltValue="9J4dJqBbXZykdq8aLqLa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c8s2c/NAzuty1AatxNKk384Ic1SEyR4CF06kcSk6EGtzb+wVwxYCizUkCFy8mbUg3o2Oih5xOhcm5TMrR93Vw==" saltValue="BwS5w4eVo4xiXWvcCKBA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1.5094498490550161E-2</v>
      </c>
    </row>
    <row r="4" spans="1:8" ht="15.75" customHeight="1" x14ac:dyDescent="0.25">
      <c r="B4" s="19" t="s">
        <v>116</v>
      </c>
      <c r="C4" s="99">
        <v>6.6847793315220602E-2</v>
      </c>
    </row>
    <row r="5" spans="1:8" ht="15.75" customHeight="1" x14ac:dyDescent="0.25">
      <c r="B5" s="19" t="s">
        <v>114</v>
      </c>
      <c r="C5" s="99">
        <v>9.2715790728420996E-2</v>
      </c>
    </row>
    <row r="6" spans="1:8" ht="15.75" customHeight="1" x14ac:dyDescent="0.25">
      <c r="B6" s="19" t="s">
        <v>110</v>
      </c>
      <c r="C6" s="99">
        <v>0.25066637493336241</v>
      </c>
    </row>
    <row r="7" spans="1:8" ht="15.75" customHeight="1" x14ac:dyDescent="0.25">
      <c r="B7" s="19" t="s">
        <v>115</v>
      </c>
      <c r="C7" s="99">
        <v>0.39523896047610407</v>
      </c>
    </row>
    <row r="8" spans="1:8" ht="15.75" customHeight="1" x14ac:dyDescent="0.25">
      <c r="B8" s="19" t="s">
        <v>117</v>
      </c>
      <c r="C8" s="99">
        <v>5.692699430730053E-3</v>
      </c>
    </row>
    <row r="9" spans="1:8" ht="15.75" customHeight="1" x14ac:dyDescent="0.25">
      <c r="B9" s="19" t="s">
        <v>111</v>
      </c>
      <c r="C9" s="99">
        <v>6.0334693966530663E-2</v>
      </c>
    </row>
    <row r="10" spans="1:8" ht="15.75" customHeight="1" x14ac:dyDescent="0.25">
      <c r="B10" s="19" t="s">
        <v>113</v>
      </c>
      <c r="C10" s="99">
        <v>0.11340918865908101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121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2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109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3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120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98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107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118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8.6962663999999995E-2</v>
      </c>
    </row>
    <row r="27" spans="1:8" ht="15.75" customHeight="1" x14ac:dyDescent="0.25">
      <c r="B27" s="19" t="s">
        <v>108</v>
      </c>
      <c r="C27" s="99">
        <v>8.4363389999999993E-3</v>
      </c>
    </row>
    <row r="28" spans="1:8" ht="15.75" customHeight="1" x14ac:dyDescent="0.25">
      <c r="B28" s="19" t="s">
        <v>122</v>
      </c>
      <c r="C28" s="99">
        <v>0.15636133799999999</v>
      </c>
    </row>
    <row r="29" spans="1:8" ht="15.75" customHeight="1" x14ac:dyDescent="0.25">
      <c r="B29" s="19" t="s">
        <v>105</v>
      </c>
      <c r="C29" s="99">
        <v>0.16846973500000001</v>
      </c>
    </row>
    <row r="30" spans="1:8" ht="15.75" customHeight="1" x14ac:dyDescent="0.25">
      <c r="B30" s="19" t="s">
        <v>4</v>
      </c>
      <c r="C30" s="99">
        <v>0.10552550099999999</v>
      </c>
    </row>
    <row r="31" spans="1:8" ht="15.75" customHeight="1" x14ac:dyDescent="0.25">
      <c r="B31" s="19" t="s">
        <v>99</v>
      </c>
      <c r="C31" s="99">
        <v>0.10934719399999999</v>
      </c>
    </row>
    <row r="32" spans="1:8" ht="15.75" customHeight="1" x14ac:dyDescent="0.25">
      <c r="B32" s="19" t="s">
        <v>104</v>
      </c>
      <c r="C32" s="99">
        <v>1.8589852E-2</v>
      </c>
    </row>
    <row r="33" spans="2:3" ht="15.75" customHeight="1" x14ac:dyDescent="0.25">
      <c r="B33" s="19" t="s">
        <v>119</v>
      </c>
      <c r="C33" s="99">
        <v>8.3803687999999987E-2</v>
      </c>
    </row>
    <row r="34" spans="2:3" ht="15.75" customHeight="1" x14ac:dyDescent="0.25">
      <c r="B34" s="19" t="s">
        <v>106</v>
      </c>
      <c r="C34" s="99">
        <v>0.26250368800000001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oVNTuoAiZTNGCUA/kNJ30LbZf99f8RARMM68QYtoN4C2BFLhbRGqxlGQE63DDT0FmwY5ZvNkInz2MRKJr4fXBQ==" saltValue="uKCwKw/VIOQpPLuEIsBv1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129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125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126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138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JTV/CYW5fu2XOtVqy4fnd5t3neJm7uG+FgVhrDIuNwoQlu4HF1qT12/xZL1y0ijiy3ghgiCWvWIkJY2pQ8XaA==" saltValue="eFZb2m/Y2wT7koqsN8LG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TLGyx2XXuHqh9Bs+rN+RNjHafkb8Bah1vagOWZZ4HlFv04TAOwzB5wdBBsC737cMUzc3wtCwu8ah3GmBsfF4Uw==" saltValue="uypVF+ujlKq4xMzxcwtj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Ou2Up0vIfSNrl3xFE+h8wGffbd9dV31BVmk1gzsnl1IGQW9XIzxoQvuG41JJ4O/XgDvUrt+RhR7/ScF4fFXFw==" saltValue="fDb5/Cc+ZJvQB4//4L2m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algorithmName="SHA-512" hashValue="1DyWrQVRD/mgJnm/r2nJ4jUiTGv2l+JdBi8pLPsZdQI6TksLYqYXNtk7DuzLrB5DybYDUU2t/oBArqm6avk4WQ==" saltValue="hYdAlSdIvWuB5hAmW9vj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QLhBstBXkvEt+RMSSFV5/EJa7YUHqo9b0ym/QkOtpcrEKpH4RqATMGiqXto63jX1IJP18Ag2suwaQbrnrYUmQ==" saltValue="aEAeMYT7MUdmuNVRs61H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MXgH3OVLLpWLoTu/Cl0KsUmJDtz4vggVkXQVQWSqgyKwA1p7kwoyAJ/nwHoBNtDLEL669NIhNya/8jI2h3AUw==" saltValue="wwM3VD7EE6I/4io3i2LS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0.320544</v>
      </c>
      <c r="C10" s="96">
        <v>0.95</v>
      </c>
      <c r="D10" s="56">
        <v>12.89300726034795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12.89300726034795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12.89300726034795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12.89300726034795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12.89300726034795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0.38400000000000001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0.126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0.3176196</v>
      </c>
      <c r="C19" s="96">
        <v>0.95</v>
      </c>
      <c r="D19" s="56">
        <v>7.6528811752546302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0.2907748</v>
      </c>
      <c r="C23" s="96">
        <v>0.95</v>
      </c>
      <c r="D23" s="56">
        <v>4.204855047571205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0.419615503536932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0.11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0.42607790000000001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0.29069230000000001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1.3599999999999999E-2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0.05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0.27094190000000001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0.27505049999999998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2.0582999999999999E-3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0.43093199999999998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ALBNIJ5/287gCbuU5DVAAV5It1a+wKFsgR4CAH0KF8PEgMn4uQtfic7b+QXd7zxK9qU9VX26o0yMY8TE9oGDrA==" saltValue="r8LK/Lqmma+PaLqQGdlb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C15" sqref="C15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08HGjmtVZOp2nzshwV1BzBsjx4zBOn9/dZb271WLiNLQmwA7mx4UuoP31xqt0A6rFaFVo1PbfgiKVya48MAnw==" saltValue="I0uL1Y0PsOrarTbc4XOU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wX5T5ouI+AF40D8/CbE6cBXS6Z3jyaa1M2KXYP9Y9NBJiuM6LFz5HUcuIjhZeU85xA6QuQJ1c6haCFgQ4luyQ==" saltValue="vXgf0LTwHYB64TnOS2fv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H12" sqref="H12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2.782</v>
      </c>
      <c r="C2" s="21">
        <f>'Entradas de población-año base'!C52</f>
        <v>2.782</v>
      </c>
      <c r="D2" s="21">
        <f>'Entradas de población-año base'!C53</f>
        <v>6.9160000000000004</v>
      </c>
      <c r="E2" s="21">
        <f>'Entradas de población-año base'!C54</f>
        <v>6.9420000000000002</v>
      </c>
      <c r="F2" s="21">
        <f>'Entradas de población-año base'!C55</f>
        <v>2.7126666666666668</v>
      </c>
    </row>
    <row r="3" spans="1:6" ht="15.75" customHeight="1" x14ac:dyDescent="0.25">
      <c r="A3" s="3" t="s">
        <v>6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236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nt1ru7LR0Bs2gnkmvgGsR3weIhkHj6/8GxcJDdkwIJKTminnyQsE7yRtJhs6/TOgyS9g9D7ByU/71u8MWXW2Hw==" saltValue="09GggMatI06nf7KEqh1HV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topLeftCell="A13" zoomScale="85" zoomScaleNormal="118" workbookViewId="0">
      <selection activeCell="H12" sqref="H12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k16lfeyg4pzx7e+Rsajm42hiLXdMVdulznPHb+8mTHfCUxOn1g/zxWsgrTakaWA0agYFBHnPwD8BcbM5/lXBQ==" saltValue="Ifulk9LQ+1tLOeCAU3ea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4MCclPuxqB+UwMnhlbHnXQHR93RkJhXM1gKhAvSDxiUChXskDSwvgJ6xe71V6kKAUtGmjamHyKlCIDoY3Cntw==" saltValue="mRz5/elDtxLbKHYyBCW0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Ih7mulkzX7WdzBWA16X7FcZuv1mR4Cf6srdI5t3aWOsxzNvyW6649BcKHPhZ8aaVd0HLZ1G4yFhja3qTTgXxA==" saltValue="xwHRGN/6bPPnCEKpUEaY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4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Lz/R6SRBf+sWUkuziuGir0Pbb1L+h9JChdJtUtTZcYJm6MXHFcMl257i672bB0qBZFj1ml7O6wTqRZs16PnVA==" saltValue="B1gcK0cu+l7nb3om584U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2" sqref="H1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av6S2TLrkZJ86fK/utrLW7kfi6rZL0oQBb0qd4bG3OBqn7X+fiNj8X6uHUfPfb2MHA3jwAtApTDBwO1ZGt8YA==" saltValue="CFHll5I6bDB1J3dFKUCh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2" sqref="H1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lEgxKsRRR3nJyfw4MBqGVOm16C7fAuoeT9VCuO/WpoEA6QoyfUQXeMmhvtliWsJ6DdeglV/e3WpKBMmA2GDWw==" saltValue="fPDEJeelj9WWnENHraU4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3t+9whRqmmZi8pcI+v6bQN872rzTbZ4w+JH7n3sTxcgBKoDHLRDhrMPcOGNvuoB34EyKzRvKjH1WKUJQWTRog==" saltValue="hp00Nf28H2w9vImQAYlkX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3" sqref="C13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B/82QACAjenMSBbhQxXfE+JiUJVygYCdK04pXLXLLk5YNw7suylca7Ir01YWKrzv1BgMz6GMzamJ3vZ1R173A==" saltValue="ru0SsdE2P9atBI5D9B1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Ct5MHTmujmCd1nCTDdTzBRMH0u5FFz0U3n01sFd1LlYU5nz3CALlk7j6scxX/7Fy9Ra63MWP6b39urDdeUBeg==" saltValue="YotLiSKKDEPUOUdEfLjR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vjw+BGnfXd6IKXl52aOBhsheCTYz73aN5wLcQIq3VBfOwdar+BO6IXdmlKMas8+v163JhNP61cHM4pbQuQESw==" saltValue="6sw8beWACA7OMphxa4c8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H12" sqref="H12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qA7329pT1pqvBruUhFX44HivP/6HfBsg7uE/GU/YhIcnbSEHxK5BwEXIPq6Vi3EZZtEXaNIk6r5jmp9+d9nBw==" saltValue="sZ42ENNdLOWQbs53II8G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/YKvRF+LgO55sLfZ511ZU8y4FePHx5I6oNwRGkCS4ErSxP/oXAUFk6Px0d+YbUVbzT7JvXir7YHDnnbxgd81A==" saltValue="AHS9xWtqHqveQx30d5ud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FtdW94TX2Ay1gYYM4WRWaRcn31EIySu2Wyo8htHTAAbOhMPMLRejjCzR3O/AbzmBk/6Jsjui1orwlFYbizuUw==" saltValue="7U4uld0/4uJPyESwve+4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5" sqref="D15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rcmYNgI4VsvvUURs2c/fi4P8B8eMYVn59MXJiBmYVM2Msb0bYYcmXRKSZLKYL2oSOQhUBwiEC1fytAqQbYgLA==" saltValue="1PyDm66DhDGII2cOTEu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WqHXbk6sokHX8NCbhHTxtpaExDJl2RfCkMs/2LY/LPvjaaUR7wtYzVy47yxt4uQYPjjV5ZKrh9OY98u8ecr3g==" saltValue="UWVWpK7Zx6AYGZmFWJhW7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