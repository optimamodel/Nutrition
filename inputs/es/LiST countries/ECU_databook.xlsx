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8_{52DE1DE5-A490-4822-9B63-7956B68BAEB8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   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I38" i="2" s="1"/>
  <c r="H13" i="2"/>
  <c r="G13" i="2"/>
  <c r="I13" i="2" s="1"/>
  <c r="H12" i="2"/>
  <c r="G12" i="2"/>
  <c r="I12" i="2" s="1"/>
  <c r="H11" i="2"/>
  <c r="G11" i="2"/>
  <c r="H10" i="2"/>
  <c r="G10" i="2"/>
  <c r="H9" i="2"/>
  <c r="G9" i="2"/>
  <c r="I9" i="2" s="1"/>
  <c r="H8" i="2"/>
  <c r="G8" i="2"/>
  <c r="I8" i="2" s="1"/>
  <c r="H7" i="2"/>
  <c r="G7" i="2"/>
  <c r="H6" i="2"/>
  <c r="G6" i="2"/>
  <c r="I6" i="2" s="1"/>
  <c r="H5" i="2"/>
  <c r="G5" i="2"/>
  <c r="H4" i="2"/>
  <c r="G4" i="2"/>
  <c r="I4" i="2" s="1"/>
  <c r="H3" i="2"/>
  <c r="G3" i="2"/>
  <c r="H2" i="2"/>
  <c r="G2" i="2"/>
  <c r="I2" i="2" s="1"/>
  <c r="A2" i="2"/>
  <c r="A39" i="2" s="1"/>
  <c r="C33" i="1"/>
  <c r="C20" i="1"/>
  <c r="A24" i="2" l="1"/>
  <c r="A19" i="2"/>
  <c r="A35" i="2"/>
  <c r="A25" i="2"/>
  <c r="A26" i="2"/>
  <c r="I39" i="2"/>
  <c r="A31" i="2"/>
  <c r="A34" i="2"/>
  <c r="A40" i="2"/>
  <c r="A22" i="2"/>
  <c r="A36" i="2"/>
  <c r="I3" i="2"/>
  <c r="I7" i="2"/>
  <c r="I11" i="2"/>
  <c r="A23" i="2"/>
  <c r="A37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<sst xmlns="http://schemas.openxmlformats.org/spreadsheetml/2006/main" count="2159" uniqueCount="372">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</sst>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1352402</v>
      </c>
    </row>
    <row r="8" spans="1:3" ht="15" customHeight="1" x14ac:dyDescent="0.25">
      <c r="B8" s="5" t="s">
        <v>63</v>
      </c>
      <c r="C8" s="44">
        <v>3.3000000000000002E-2</v>
      </c>
    </row>
    <row r="9" spans="1:3" ht="15" customHeight="1" x14ac:dyDescent="0.25">
      <c r="B9" s="5" t="s">
        <v>62</v>
      </c>
      <c r="C9" s="45">
        <v>0.01</v>
      </c>
    </row>
    <row r="10" spans="1:3" ht="15" customHeight="1" x14ac:dyDescent="0.25">
      <c r="B10" s="5" t="s">
        <v>75</v>
      </c>
      <c r="C10" s="45">
        <v>0.89274291992187504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0.193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0.151</v>
      </c>
    </row>
    <row r="24" spans="1:3" ht="15" customHeight="1" x14ac:dyDescent="0.25">
      <c r="B24" s="15" t="s">
        <v>65</v>
      </c>
      <c r="C24" s="45">
        <v>0.51359999999999995</v>
      </c>
    </row>
    <row r="25" spans="1:3" ht="15" customHeight="1" x14ac:dyDescent="0.25">
      <c r="B25" s="15" t="s">
        <v>66</v>
      </c>
      <c r="C25" s="45">
        <v>0.27929999999999999</v>
      </c>
    </row>
    <row r="26" spans="1:3" ht="15" customHeight="1" x14ac:dyDescent="0.25">
      <c r="B26" s="15" t="s">
        <v>67</v>
      </c>
      <c r="C26" s="45">
        <v>5.6099999999999997E-2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0.24516550000000001</v>
      </c>
    </row>
    <row r="30" spans="1:3" ht="14.25" customHeight="1" x14ac:dyDescent="0.25">
      <c r="B30" s="25" t="s">
        <v>82</v>
      </c>
      <c r="C30" s="99">
        <v>0.14159289999999999</v>
      </c>
    </row>
    <row r="31" spans="1:3" ht="14.25" customHeight="1" x14ac:dyDescent="0.25">
      <c r="B31" s="25" t="s">
        <v>29</v>
      </c>
      <c r="C31" s="99">
        <v>0.1189774</v>
      </c>
    </row>
    <row r="32" spans="1:3" ht="14.25" customHeight="1" x14ac:dyDescent="0.25">
      <c r="B32" s="25" t="s">
        <v>30</v>
      </c>
      <c r="C32" s="99">
        <v>0.49426419999999999</v>
      </c>
    </row>
    <row r="33" spans="1:5" ht="13.25" customHeight="1" x14ac:dyDescent="0.25">
      <c r="B33" s="27" t="s">
        <v>79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6.6514800000000003</v>
      </c>
    </row>
    <row r="38" spans="1:5" ht="15" customHeight="1" x14ac:dyDescent="0.25">
      <c r="B38" s="11" t="s">
        <v>54</v>
      </c>
      <c r="C38" s="43">
        <v>10.72316</v>
      </c>
      <c r="D38" s="12"/>
      <c r="E38" s="13"/>
    </row>
    <row r="39" spans="1:5" ht="15" customHeight="1" x14ac:dyDescent="0.25">
      <c r="B39" s="11" t="s">
        <v>80</v>
      </c>
      <c r="C39" s="43">
        <v>12.46062</v>
      </c>
      <c r="D39" s="12"/>
      <c r="E39" s="12"/>
    </row>
    <row r="40" spans="1:5" ht="15" customHeight="1" x14ac:dyDescent="0.25">
      <c r="B40" s="11" t="s">
        <v>55</v>
      </c>
      <c r="C40" s="100">
        <v>0.66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8.8524999999999991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6.0990999999999997E-3</v>
      </c>
      <c r="D45" s="12"/>
    </row>
    <row r="46" spans="1:5" ht="15.75" customHeight="1" x14ac:dyDescent="0.25">
      <c r="B46" s="11" t="s">
        <v>70</v>
      </c>
      <c r="C46" s="45">
        <v>6.5533999999999995E-2</v>
      </c>
      <c r="D46" s="12"/>
    </row>
    <row r="47" spans="1:5" ht="15.75" customHeight="1" x14ac:dyDescent="0.25">
      <c r="B47" s="11" t="s">
        <v>78</v>
      </c>
      <c r="C47" s="45">
        <v>7.520120000000001E-2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100">
        <v>3.2</v>
      </c>
      <c r="D51" s="12"/>
    </row>
    <row r="52" spans="1:4" ht="15" customHeight="1" x14ac:dyDescent="0.25">
      <c r="B52" s="11" t="s">
        <v>32</v>
      </c>
      <c r="C52" s="100">
        <v>3.2</v>
      </c>
    </row>
    <row r="53" spans="1:4" ht="15.75" customHeight="1" x14ac:dyDescent="0.25">
      <c r="B53" s="11" t="s">
        <v>35</v>
      </c>
      <c r="C53" s="100">
        <v>3.2</v>
      </c>
    </row>
    <row r="54" spans="1:4" ht="15.75" customHeight="1" x14ac:dyDescent="0.25">
      <c r="B54" s="11" t="s">
        <v>33</v>
      </c>
      <c r="C54" s="100">
        <v>3.2</v>
      </c>
    </row>
    <row r="55" spans="1:4" ht="15.75" customHeight="1" x14ac:dyDescent="0.25">
      <c r="B55" s="11" t="s">
        <v>34</v>
      </c>
      <c r="C55" s="100">
        <v>3.2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1.9375E-2</v>
      </c>
    </row>
    <row r="59" spans="1:4" ht="15.75" customHeight="1" x14ac:dyDescent="0.25">
      <c r="B59" s="11" t="s">
        <v>59</v>
      </c>
      <c r="C59" s="45">
        <v>0.55768200000000001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0.11180640999999999</v>
      </c>
    </row>
    <row r="63" spans="1:4" ht="15.75" customHeight="1" x14ac:dyDescent="0.3">
      <c r="A63" s="4"/>
    </row>
  </sheetData>
  <sheetProtection algorithmName="SHA-512" hashValue="IU42NbVdLGt0YTA0T6IvDyswfMmUw1j09LXdsqm+jLQ/wAFAphTozNtIzAtGNYKpTP52tkAgMtZjDzl7IuLI9g==" saltValue="hQH9gzkqAOlklFMdhk2Eq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268769</v>
      </c>
      <c r="C2" s="49">
        <v>773041</v>
      </c>
      <c r="D2" s="49">
        <v>1529546</v>
      </c>
      <c r="E2" s="49">
        <v>1405010.5</v>
      </c>
      <c r="F2" s="49">
        <v>1156356.4999999998</v>
      </c>
      <c r="G2" s="17">
        <f t="shared" ref="G2:G13" si="0">C2+D2+E2+F2</f>
        <v>4863954</v>
      </c>
      <c r="H2" s="17">
        <f t="shared" ref="H2:H13" si="1">(B2 + stillbirth*B2/(1000-stillbirth))/(1-abortion)</f>
        <v>308147.191191844</v>
      </c>
      <c r="I2" s="17">
        <f t="shared" ref="I2:I13" si="2">G2-H2</f>
        <v>4555806.8088081563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267665</v>
      </c>
      <c r="C3" s="50">
        <v>777827</v>
      </c>
      <c r="D3" s="50">
        <v>1527887.0000000002</v>
      </c>
      <c r="E3" s="50">
        <v>1420577.4999999998</v>
      </c>
      <c r="F3" s="50">
        <v>1182642</v>
      </c>
      <c r="G3" s="17">
        <f t="shared" si="0"/>
        <v>4908933.5</v>
      </c>
      <c r="H3" s="17">
        <f t="shared" si="1"/>
        <v>306881.44068090041</v>
      </c>
      <c r="I3" s="17">
        <f t="shared" si="2"/>
        <v>4602052.0593190994</v>
      </c>
    </row>
    <row r="4" spans="1:9" ht="15.75" customHeight="1" x14ac:dyDescent="0.25">
      <c r="A4" s="5">
        <f t="shared" si="3"/>
        <v>2026</v>
      </c>
      <c r="B4" s="49">
        <v>267031</v>
      </c>
      <c r="C4" s="50">
        <v>783126.5</v>
      </c>
      <c r="D4" s="50">
        <v>1525328.5</v>
      </c>
      <c r="E4" s="50">
        <v>1437137.4999999998</v>
      </c>
      <c r="F4" s="50">
        <v>1207564.5</v>
      </c>
      <c r="G4" s="17">
        <f t="shared" si="0"/>
        <v>4953157</v>
      </c>
      <c r="H4" s="17">
        <f t="shared" si="1"/>
        <v>306154.551347623</v>
      </c>
      <c r="I4" s="17">
        <f t="shared" si="2"/>
        <v>4647002.4486523774</v>
      </c>
    </row>
    <row r="5" spans="1:9" ht="15.75" customHeight="1" x14ac:dyDescent="0.25">
      <c r="A5" s="5">
        <f t="shared" si="3"/>
        <v>2027</v>
      </c>
      <c r="B5" s="49">
        <v>266500</v>
      </c>
      <c r="C5" s="50">
        <v>787501</v>
      </c>
      <c r="D5" s="50">
        <v>1523123</v>
      </c>
      <c r="E5" s="50">
        <v>1453826.5</v>
      </c>
      <c r="F5" s="50">
        <v>1231114</v>
      </c>
      <c r="G5" s="17">
        <f t="shared" si="0"/>
        <v>4995564.5</v>
      </c>
      <c r="H5" s="17">
        <f t="shared" si="1"/>
        <v>305545.75286817463</v>
      </c>
      <c r="I5" s="17">
        <f t="shared" si="2"/>
        <v>4690018.7471318254</v>
      </c>
    </row>
    <row r="6" spans="1:9" ht="15.75" customHeight="1" x14ac:dyDescent="0.25">
      <c r="A6" s="5">
        <f t="shared" si="3"/>
        <v>2028</v>
      </c>
      <c r="B6" s="49">
        <v>266158</v>
      </c>
      <c r="C6" s="50">
        <v>785422.5</v>
      </c>
      <c r="D6" s="50">
        <v>1522994</v>
      </c>
      <c r="E6" s="50">
        <v>1469146.4999999998</v>
      </c>
      <c r="F6" s="50">
        <v>1253829.5</v>
      </c>
      <c r="G6" s="17">
        <f t="shared" si="0"/>
        <v>5031392.5</v>
      </c>
      <c r="H6" s="17">
        <f t="shared" si="1"/>
        <v>305153.64537293662</v>
      </c>
      <c r="I6" s="17">
        <f t="shared" si="2"/>
        <v>4726238.8546270635</v>
      </c>
    </row>
    <row r="7" spans="1:9" ht="15.75" customHeight="1" x14ac:dyDescent="0.25">
      <c r="A7" s="5">
        <f t="shared" si="3"/>
        <v>2029</v>
      </c>
      <c r="B7" s="49">
        <v>265457</v>
      </c>
      <c r="C7" s="50">
        <v>775764.5</v>
      </c>
      <c r="D7" s="50">
        <v>1525801.5</v>
      </c>
      <c r="E7" s="50">
        <v>1481941.5</v>
      </c>
      <c r="F7" s="50">
        <v>1276659.5</v>
      </c>
      <c r="G7" s="17">
        <f t="shared" si="0"/>
        <v>5060167</v>
      </c>
      <c r="H7" s="17">
        <f t="shared" si="1"/>
        <v>304349.93965901324</v>
      </c>
      <c r="I7" s="17">
        <f t="shared" si="2"/>
        <v>4755817.0603409866</v>
      </c>
    </row>
    <row r="8" spans="1:9" ht="15.75" customHeight="1" x14ac:dyDescent="0.25">
      <c r="A8" s="5">
        <f t="shared" si="3"/>
        <v>2030</v>
      </c>
      <c r="B8" s="49">
        <v>264848</v>
      </c>
      <c r="C8" s="50">
        <v>762646.5</v>
      </c>
      <c r="D8" s="50">
        <v>1530032</v>
      </c>
      <c r="E8" s="50">
        <v>1491766</v>
      </c>
      <c r="F8" s="50">
        <v>1299558.5</v>
      </c>
      <c r="G8" s="17">
        <f t="shared" si="0"/>
        <v>5084003</v>
      </c>
      <c r="H8" s="17">
        <f t="shared" si="1"/>
        <v>303651.7131543351</v>
      </c>
      <c r="I8" s="17">
        <f t="shared" si="2"/>
        <v>4780351.2868456645</v>
      </c>
    </row>
    <row r="9" spans="1:9" ht="15.75" customHeight="1" x14ac:dyDescent="0.25">
      <c r="A9" s="5">
        <f t="shared" si="3"/>
        <v>2031</v>
      </c>
      <c r="B9" s="49">
        <v>263893</v>
      </c>
      <c r="C9" s="50">
        <v>746116</v>
      </c>
      <c r="D9" s="50">
        <v>1535483</v>
      </c>
      <c r="E9" s="50">
        <v>1498593</v>
      </c>
      <c r="F9" s="50">
        <v>1322163.5</v>
      </c>
      <c r="G9" s="17">
        <f t="shared" si="0"/>
        <v>5102355.5</v>
      </c>
      <c r="H9" s="17">
        <f t="shared" si="1"/>
        <v>302556.79310184316</v>
      </c>
      <c r="I9" s="17">
        <f t="shared" si="2"/>
        <v>4799798.7068981566</v>
      </c>
    </row>
    <row r="10" spans="1:9" ht="15.75" customHeight="1" x14ac:dyDescent="0.25">
      <c r="A10" s="5">
        <f t="shared" si="3"/>
        <v>2032</v>
      </c>
      <c r="B10" s="49">
        <v>262592</v>
      </c>
      <c r="C10" s="50">
        <v>729631.5</v>
      </c>
      <c r="D10" s="50">
        <v>1540805.5</v>
      </c>
      <c r="E10" s="50">
        <v>1502809</v>
      </c>
      <c r="F10" s="50">
        <v>1344120</v>
      </c>
      <c r="G10" s="17">
        <f t="shared" si="0"/>
        <v>5117366</v>
      </c>
      <c r="H10" s="17">
        <f t="shared" si="1"/>
        <v>301065.17950153735</v>
      </c>
      <c r="I10" s="17">
        <f t="shared" si="2"/>
        <v>4816300.8204984628</v>
      </c>
    </row>
    <row r="11" spans="1:9" ht="15.75" customHeight="1" x14ac:dyDescent="0.25">
      <c r="A11" s="5">
        <f t="shared" si="3"/>
        <v>2033</v>
      </c>
      <c r="B11" s="49">
        <v>261452.99999999997</v>
      </c>
      <c r="C11" s="50">
        <v>720093</v>
      </c>
      <c r="D11" s="50">
        <v>1541290.5</v>
      </c>
      <c r="E11" s="50">
        <v>1505592.5</v>
      </c>
      <c r="F11" s="50">
        <v>1364389.9999999998</v>
      </c>
      <c r="G11" s="17">
        <f t="shared" si="0"/>
        <v>5131366</v>
      </c>
      <c r="H11" s="17">
        <f t="shared" si="1"/>
        <v>299759.30103055475</v>
      </c>
      <c r="I11" s="17">
        <f t="shared" si="2"/>
        <v>4831606.6989694452</v>
      </c>
    </row>
    <row r="12" spans="1:9" ht="15.75" customHeight="1" x14ac:dyDescent="0.25">
      <c r="A12" s="5">
        <f t="shared" si="3"/>
        <v>2034</v>
      </c>
      <c r="B12" s="49">
        <v>259986</v>
      </c>
      <c r="C12" s="50">
        <v>714634.5</v>
      </c>
      <c r="D12" s="50">
        <v>1536759.5</v>
      </c>
      <c r="E12" s="50">
        <v>1507619.0000000002</v>
      </c>
      <c r="F12" s="50">
        <v>1382187.5</v>
      </c>
      <c r="G12" s="17">
        <f t="shared" si="0"/>
        <v>5141200.5</v>
      </c>
      <c r="H12" s="17">
        <f t="shared" si="1"/>
        <v>298077.36624834989</v>
      </c>
      <c r="I12" s="17">
        <f t="shared" si="2"/>
        <v>4843123.1337516503</v>
      </c>
    </row>
    <row r="13" spans="1:9" ht="15.75" customHeight="1" x14ac:dyDescent="0.25">
      <c r="A13" s="5">
        <f t="shared" si="3"/>
        <v>2035</v>
      </c>
      <c r="B13" s="49">
        <v>258658.00000000003</v>
      </c>
      <c r="C13" s="50">
        <v>708534.5</v>
      </c>
      <c r="D13" s="50">
        <v>1529568.4999999998</v>
      </c>
      <c r="E13" s="50">
        <v>1508565</v>
      </c>
      <c r="F13" s="50">
        <v>1399054.5</v>
      </c>
      <c r="G13" s="17">
        <f t="shared" si="0"/>
        <v>5145722.5</v>
      </c>
      <c r="H13" s="17">
        <f t="shared" si="1"/>
        <v>296554.79679315694</v>
      </c>
      <c r="I13" s="17">
        <f t="shared" si="2"/>
        <v>4849167.7032068428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goSZoDYkh3qt1cB+ixhH6XlKNgLRBrBHH8fPAaTMySViRE/P/FE7n+RqRbIpvW7/z+lHCs0DJ5s8jLdH4tATg==" saltValue="L4POFDrtIu8AeZ9UGwEuP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0</v>
      </c>
    </row>
    <row r="4" spans="1:8" ht="15.75" customHeight="1" x14ac:dyDescent="0.25">
      <c r="B4" s="19" t="s">
        <v>116</v>
      </c>
      <c r="C4" s="101">
        <v>9.4421100000000091E-2</v>
      </c>
    </row>
    <row r="5" spans="1:8" ht="15.75" customHeight="1" x14ac:dyDescent="0.25">
      <c r="B5" s="19" t="s">
        <v>114</v>
      </c>
      <c r="C5" s="101">
        <v>3.2750199999999993E-2</v>
      </c>
    </row>
    <row r="6" spans="1:8" ht="15.75" customHeight="1" x14ac:dyDescent="0.25">
      <c r="B6" s="19" t="s">
        <v>110</v>
      </c>
      <c r="C6" s="101">
        <v>0.1179866</v>
      </c>
    </row>
    <row r="7" spans="1:8" ht="15.75" customHeight="1" x14ac:dyDescent="0.25">
      <c r="B7" s="19" t="s">
        <v>115</v>
      </c>
      <c r="C7" s="101">
        <v>0.40071889999999949</v>
      </c>
    </row>
    <row r="8" spans="1:8" ht="15.75" customHeight="1" x14ac:dyDescent="0.25">
      <c r="B8" s="19" t="s">
        <v>117</v>
      </c>
      <c r="C8" s="101">
        <v>0</v>
      </c>
    </row>
    <row r="9" spans="1:8" ht="15.75" customHeight="1" x14ac:dyDescent="0.25">
      <c r="B9" s="19" t="s">
        <v>111</v>
      </c>
      <c r="C9" s="101">
        <v>0.2526860000000003</v>
      </c>
    </row>
    <row r="10" spans="1:8" ht="15.75" customHeight="1" x14ac:dyDescent="0.25">
      <c r="B10" s="19" t="s">
        <v>113</v>
      </c>
      <c r="C10" s="101">
        <v>0.1014372000000001</v>
      </c>
    </row>
    <row r="11" spans="1:8" ht="15.75" customHeight="1" x14ac:dyDescent="0.25">
      <c r="B11" s="27" t="s">
        <v>79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2" t="s">
        <v>93</v>
      </c>
      <c r="D13" s="102" t="s">
        <v>96</v>
      </c>
      <c r="E13" s="102" t="s">
        <v>94</v>
      </c>
      <c r="F13" s="102" t="s">
        <v>95</v>
      </c>
      <c r="G13" s="19"/>
    </row>
    <row r="14" spans="1:8" ht="15.75" customHeight="1" x14ac:dyDescent="0.25">
      <c r="B14" s="19" t="s">
        <v>103</v>
      </c>
      <c r="C14" s="55">
        <v>5.9475555032479699E-2</v>
      </c>
      <c r="D14" s="55">
        <v>5.9475555032479699E-2</v>
      </c>
      <c r="E14" s="55">
        <v>5.9475555032479699E-2</v>
      </c>
      <c r="F14" s="55">
        <v>5.9475555032479699E-2</v>
      </c>
    </row>
    <row r="15" spans="1:8" ht="15.75" customHeight="1" x14ac:dyDescent="0.25">
      <c r="B15" s="19" t="s">
        <v>121</v>
      </c>
      <c r="C15" s="101">
        <v>0.41431394664587951</v>
      </c>
      <c r="D15" s="101">
        <v>0.41431394664587951</v>
      </c>
      <c r="E15" s="101">
        <v>0.41431394664587951</v>
      </c>
      <c r="F15" s="101">
        <v>0.41431394664587951</v>
      </c>
    </row>
    <row r="16" spans="1:8" ht="15.75" customHeight="1" x14ac:dyDescent="0.25">
      <c r="B16" s="19" t="s">
        <v>2</v>
      </c>
      <c r="C16" s="101">
        <v>2.9739062085462981E-2</v>
      </c>
      <c r="D16" s="101">
        <v>2.9739062085462981E-2</v>
      </c>
      <c r="E16" s="101">
        <v>2.9739062085462981E-2</v>
      </c>
      <c r="F16" s="101">
        <v>2.9739062085462981E-2</v>
      </c>
    </row>
    <row r="17" spans="1:8" ht="15.75" customHeight="1" x14ac:dyDescent="0.25">
      <c r="B17" s="19" t="s">
        <v>109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3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120</v>
      </c>
      <c r="C19" s="101">
        <v>1.6893002834047849E-2</v>
      </c>
      <c r="D19" s="101">
        <v>1.6893002834047849E-2</v>
      </c>
      <c r="E19" s="101">
        <v>1.6893002834047849E-2</v>
      </c>
      <c r="F19" s="101">
        <v>1.6893002834047849E-2</v>
      </c>
    </row>
    <row r="20" spans="1:8" ht="15.75" customHeight="1" x14ac:dyDescent="0.25">
      <c r="B20" s="19" t="s">
        <v>98</v>
      </c>
      <c r="C20" s="101">
        <v>4.3700973736667592E-2</v>
      </c>
      <c r="D20" s="101">
        <v>4.3700973736667592E-2</v>
      </c>
      <c r="E20" s="101">
        <v>4.3700973736667592E-2</v>
      </c>
      <c r="F20" s="101">
        <v>4.3700973736667592E-2</v>
      </c>
    </row>
    <row r="21" spans="1:8" ht="15.75" customHeight="1" x14ac:dyDescent="0.25">
      <c r="B21" s="19" t="s">
        <v>107</v>
      </c>
      <c r="C21" s="101">
        <v>0.330193747557116</v>
      </c>
      <c r="D21" s="101">
        <v>0.330193747557116</v>
      </c>
      <c r="E21" s="101">
        <v>0.330193747557116</v>
      </c>
      <c r="F21" s="101">
        <v>0.330193747557116</v>
      </c>
    </row>
    <row r="22" spans="1:8" ht="15.75" customHeight="1" x14ac:dyDescent="0.25">
      <c r="B22" s="19" t="s">
        <v>118</v>
      </c>
      <c r="C22" s="101">
        <v>0.1056837121083463</v>
      </c>
      <c r="D22" s="101">
        <v>0.1056837121083463</v>
      </c>
      <c r="E22" s="101">
        <v>0.1056837121083463</v>
      </c>
      <c r="F22" s="101">
        <v>0.1056837121083463</v>
      </c>
    </row>
    <row r="23" spans="1:8" ht="15.75" customHeight="1" x14ac:dyDescent="0.25">
      <c r="B23" s="27" t="s">
        <v>79</v>
      </c>
      <c r="C23" s="48">
        <f>SUM(C14:C22)</f>
        <v>0.99999999999999978</v>
      </c>
      <c r="D23" s="48">
        <f>SUM(D14:D22)</f>
        <v>0.99999999999999978</v>
      </c>
      <c r="E23" s="48">
        <f>SUM(E14:E22)</f>
        <v>0.99999999999999978</v>
      </c>
      <c r="F23" s="48">
        <f>SUM(F14:F22)</f>
        <v>0.99999999999999978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6.7922542000000002E-2</v>
      </c>
    </row>
    <row r="27" spans="1:8" ht="15.75" customHeight="1" x14ac:dyDescent="0.25">
      <c r="B27" s="19" t="s">
        <v>108</v>
      </c>
      <c r="C27" s="101">
        <v>3.9153998000000002E-2</v>
      </c>
    </row>
    <row r="28" spans="1:8" ht="15.75" customHeight="1" x14ac:dyDescent="0.25">
      <c r="B28" s="19" t="s">
        <v>122</v>
      </c>
      <c r="C28" s="101">
        <v>0.14092202700000001</v>
      </c>
    </row>
    <row r="29" spans="1:8" ht="15.75" customHeight="1" x14ac:dyDescent="0.25">
      <c r="B29" s="19" t="s">
        <v>105</v>
      </c>
      <c r="C29" s="101">
        <v>0.29517143400000001</v>
      </c>
    </row>
    <row r="30" spans="1:8" ht="15.75" customHeight="1" x14ac:dyDescent="0.25">
      <c r="B30" s="19" t="s">
        <v>4</v>
      </c>
      <c r="C30" s="101">
        <v>4.8052300999999999E-2</v>
      </c>
    </row>
    <row r="31" spans="1:8" ht="15.75" customHeight="1" x14ac:dyDescent="0.25">
      <c r="B31" s="19" t="s">
        <v>99</v>
      </c>
      <c r="C31" s="101">
        <v>8.049626E-2</v>
      </c>
    </row>
    <row r="32" spans="1:8" ht="15.75" customHeight="1" x14ac:dyDescent="0.25">
      <c r="B32" s="19" t="s">
        <v>104</v>
      </c>
      <c r="C32" s="101">
        <v>1.1478149E-2</v>
      </c>
    </row>
    <row r="33" spans="2:3" ht="15.75" customHeight="1" x14ac:dyDescent="0.25">
      <c r="B33" s="19" t="s">
        <v>119</v>
      </c>
      <c r="C33" s="101">
        <v>0.18240295500000001</v>
      </c>
    </row>
    <row r="34" spans="2:3" ht="15.75" customHeight="1" x14ac:dyDescent="0.25">
      <c r="B34" s="19" t="s">
        <v>106</v>
      </c>
      <c r="C34" s="101">
        <v>0.13440033400000001</v>
      </c>
    </row>
    <row r="35" spans="2:3" ht="15.75" customHeight="1" x14ac:dyDescent="0.25">
      <c r="B35" s="27" t="s">
        <v>79</v>
      </c>
      <c r="C35" s="48">
        <f>SUM(C26:C34)</f>
        <v>1</v>
      </c>
    </row>
  </sheetData>
  <sheetProtection algorithmName="SHA-512" hashValue="KvPhqpiwwxuzCXhBj2px9W73aBL0uEJ4IJVqOBYL4KMe5uC/kXWk9lyvfVBk3ZY2AOfCOQ4nlLzGc3MANxcZBw==" saltValue="qMRoWOTx9Q+k0Beq9E5+T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0.40112313220861096</v>
      </c>
      <c r="D2" s="52">
        <f>IFERROR(1-_xlfn.NORM.DIST(_xlfn.NORM.INV(SUM(D4:D5), 0, 1) + 1, 0, 1, TRUE), "")</f>
        <v>0.40112313220861096</v>
      </c>
      <c r="E2" s="52">
        <f>IFERROR(1-_xlfn.NORM.DIST(_xlfn.NORM.INV(SUM(E4:E5), 0, 1) + 1, 0, 1, TRUE), "")</f>
        <v>0.39973960379490125</v>
      </c>
      <c r="F2" s="52">
        <f>IFERROR(1-_xlfn.NORM.DIST(_xlfn.NORM.INV(SUM(F4:F5), 0, 1) + 1, 0, 1, TRUE), "")</f>
        <v>0.30250579448511505</v>
      </c>
      <c r="G2" s="52">
        <f>IFERROR(1-_xlfn.NORM.DIST(_xlfn.NORM.INV(SUM(G4:G5), 0, 1) + 1, 0, 1, TRUE), "")</f>
        <v>0.43331125327208508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0.37211666779138902</v>
      </c>
      <c r="D3" s="52">
        <f>IFERROR(_xlfn.NORM.DIST(_xlfn.NORM.INV(SUM(D4:D5), 0, 1) + 1, 0, 1, TRUE) - SUM(D4:D5), "")</f>
        <v>0.37211666779138902</v>
      </c>
      <c r="E3" s="52">
        <f>IFERROR(_xlfn.NORM.DIST(_xlfn.NORM.INV(SUM(E4:E5), 0, 1) + 1, 0, 1, TRUE) - SUM(E4:E5), "")</f>
        <v>0.37242029620509876</v>
      </c>
      <c r="F3" s="52">
        <f>IFERROR(_xlfn.NORM.DIST(_xlfn.NORM.INV(SUM(F4:F5), 0, 1) + 1, 0, 1, TRUE) - SUM(F4:F5), "")</f>
        <v>0.38287280551488495</v>
      </c>
      <c r="G3" s="52">
        <f>IFERROR(_xlfn.NORM.DIST(_xlfn.NORM.INV(SUM(G4:G5), 0, 1) + 1, 0, 1, TRUE) - SUM(G4:G5), "")</f>
        <v>0.36399834672791487</v>
      </c>
    </row>
    <row r="4" spans="1:15" ht="15.75" customHeight="1" x14ac:dyDescent="0.25">
      <c r="B4" s="5" t="s">
        <v>129</v>
      </c>
      <c r="C4" s="45">
        <v>0.1208487</v>
      </c>
      <c r="D4" s="53">
        <v>0.1208487</v>
      </c>
      <c r="E4" s="53">
        <v>0.1336842</v>
      </c>
      <c r="F4" s="53">
        <v>0.19221740000000001</v>
      </c>
      <c r="G4" s="53">
        <v>0.14890880000000001</v>
      </c>
    </row>
    <row r="5" spans="1:15" ht="15.75" customHeight="1" x14ac:dyDescent="0.25">
      <c r="B5" s="5" t="s">
        <v>125</v>
      </c>
      <c r="C5" s="45">
        <v>0.10591150000000001</v>
      </c>
      <c r="D5" s="53">
        <v>0.10591150000000001</v>
      </c>
      <c r="E5" s="53">
        <v>9.4155900000000001E-2</v>
      </c>
      <c r="F5" s="53">
        <v>0.122404</v>
      </c>
      <c r="G5" s="53">
        <v>5.3781600000000013E-2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0.63826758365359426</v>
      </c>
      <c r="D8" s="52">
        <f>IFERROR(1-_xlfn.NORM.DIST(_xlfn.NORM.INV(SUM(D10:D11), 0, 1) + 1, 0, 1, TRUE), "")</f>
        <v>0.63826758365359426</v>
      </c>
      <c r="E8" s="52">
        <f>IFERROR(1-_xlfn.NORM.DIST(_xlfn.NORM.INV(SUM(E10:E11), 0, 1) + 1, 0, 1, TRUE), "")</f>
        <v>0.6851177116211753</v>
      </c>
      <c r="F8" s="52">
        <f>IFERROR(1-_xlfn.NORM.DIST(_xlfn.NORM.INV(SUM(F10:F11), 0, 1) + 1, 0, 1, TRUE), "")</f>
        <v>0.81752555802658022</v>
      </c>
      <c r="G8" s="52">
        <f>IFERROR(1-_xlfn.NORM.DIST(_xlfn.NORM.INV(SUM(G10:G11), 0, 1) + 1, 0, 1, TRUE), "")</f>
        <v>0.82506237856284637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0.27383741634640568</v>
      </c>
      <c r="D9" s="52">
        <f>IFERROR(_xlfn.NORM.DIST(_xlfn.NORM.INV(SUM(D10:D11), 0, 1) + 1, 0, 1, TRUE) - SUM(D10:D11), "")</f>
        <v>0.27383741634640568</v>
      </c>
      <c r="E9" s="52">
        <f>IFERROR(_xlfn.NORM.DIST(_xlfn.NORM.INV(SUM(E10:E11), 0, 1) + 1, 0, 1, TRUE) - SUM(E10:E11), "")</f>
        <v>0.24571988837882469</v>
      </c>
      <c r="F9" s="52">
        <f>IFERROR(_xlfn.NORM.DIST(_xlfn.NORM.INV(SUM(F10:F11), 0, 1) + 1, 0, 1, TRUE) - SUM(F10:F11), "")</f>
        <v>0.15414774197341979</v>
      </c>
      <c r="G9" s="52">
        <f>IFERROR(_xlfn.NORM.DIST(_xlfn.NORM.INV(SUM(G10:G11), 0, 1) + 1, 0, 1, TRUE) - SUM(G10:G11), "")</f>
        <v>0.14843212143715362</v>
      </c>
    </row>
    <row r="10" spans="1:15" ht="15.75" customHeight="1" x14ac:dyDescent="0.25">
      <c r="B10" s="5" t="s">
        <v>126</v>
      </c>
      <c r="C10" s="45">
        <v>6.1974400000000013E-2</v>
      </c>
      <c r="D10" s="53">
        <v>6.1974400000000013E-2</v>
      </c>
      <c r="E10" s="53">
        <v>4.8004100000000001E-2</v>
      </c>
      <c r="F10" s="53">
        <v>1.4466E-2</v>
      </c>
      <c r="G10" s="53">
        <v>1.6286100000000001E-2</v>
      </c>
    </row>
    <row r="11" spans="1:15" ht="15.75" customHeight="1" x14ac:dyDescent="0.25">
      <c r="B11" s="5" t="s">
        <v>138</v>
      </c>
      <c r="C11" s="45">
        <v>2.5920599999999999E-2</v>
      </c>
      <c r="D11" s="53">
        <v>2.5920599999999999E-2</v>
      </c>
      <c r="E11" s="53">
        <v>2.1158300000000001E-2</v>
      </c>
      <c r="F11" s="53">
        <v>1.38607E-2</v>
      </c>
      <c r="G11" s="53">
        <v>1.02194E-2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0.18063501800000001</v>
      </c>
      <c r="D14" s="54">
        <v>0.170571809943</v>
      </c>
      <c r="E14" s="54">
        <v>0.170571809943</v>
      </c>
      <c r="F14" s="54">
        <v>0.121825787856</v>
      </c>
      <c r="G14" s="54">
        <v>0.121825787856</v>
      </c>
      <c r="H14" s="45">
        <v>0.26400000000000001</v>
      </c>
      <c r="I14" s="55">
        <v>0.26400000000000001</v>
      </c>
      <c r="J14" s="55">
        <v>0.26400000000000001</v>
      </c>
      <c r="K14" s="55">
        <v>0.26400000000000001</v>
      </c>
      <c r="L14" s="45">
        <v>0.184</v>
      </c>
      <c r="M14" s="55">
        <v>0.184</v>
      </c>
      <c r="N14" s="55">
        <v>0.184</v>
      </c>
      <c r="O14" s="55">
        <v>0.184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0.100736898108276</v>
      </c>
      <c r="D15" s="52">
        <f t="shared" si="0"/>
        <v>9.5124828112632134E-2</v>
      </c>
      <c r="E15" s="52">
        <f t="shared" si="0"/>
        <v>9.5124828112632134E-2</v>
      </c>
      <c r="F15" s="52">
        <f t="shared" si="0"/>
        <v>6.7940049023109794E-2</v>
      </c>
      <c r="G15" s="52">
        <f t="shared" si="0"/>
        <v>6.7940049023109794E-2</v>
      </c>
      <c r="H15" s="52">
        <f t="shared" si="0"/>
        <v>0.147228048</v>
      </c>
      <c r="I15" s="52">
        <f t="shared" si="0"/>
        <v>0.147228048</v>
      </c>
      <c r="J15" s="52">
        <f t="shared" si="0"/>
        <v>0.147228048</v>
      </c>
      <c r="K15" s="52">
        <f t="shared" si="0"/>
        <v>0.147228048</v>
      </c>
      <c r="L15" s="52">
        <f t="shared" si="0"/>
        <v>0.102613488</v>
      </c>
      <c r="M15" s="52">
        <f t="shared" si="0"/>
        <v>0.102613488</v>
      </c>
      <c r="N15" s="52">
        <f t="shared" si="0"/>
        <v>0.102613488</v>
      </c>
      <c r="O15" s="52">
        <f t="shared" si="0"/>
        <v>0.102613488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qIWh6W6cR/QK1m3kV2y4zM78z78Zvh4dQcPHtaVT/pqXKvCkf0N5NdAsoP1votc/AZYdEISmED6L+64m9KFVpg==" saltValue="saqeL41vQS1dnc6oLxrVN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0.76540940000000002</v>
      </c>
      <c r="D2" s="53">
        <v>0.57190620000000003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2.4179699999999998E-2</v>
      </c>
      <c r="D3" s="53">
        <v>8.36731E-2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0.14975620000000001</v>
      </c>
      <c r="D4" s="53">
        <v>0.27914949999999999</v>
      </c>
      <c r="E4" s="53">
        <v>0.85490650000000001</v>
      </c>
      <c r="F4" s="53">
        <v>0.5301382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6.065469999999995E-2</v>
      </c>
      <c r="D5" s="52">
        <f t="shared" si="0"/>
        <v>6.5271199999999974E-2</v>
      </c>
      <c r="E5" s="52">
        <f>1-SUM(E2:E4)</f>
        <v>0.14509349999999999</v>
      </c>
      <c r="F5" s="52">
        <f>1-SUM(F2:F4)</f>
        <v>0.4698618</v>
      </c>
      <c r="G5" s="52">
        <f>1-SUM(G2:G4)</f>
        <v>1</v>
      </c>
    </row>
  </sheetData>
  <sheetProtection algorithmName="SHA-512" hashValue="+uIPgDpZtLpR2i1XzoPqF3+cvhr+JCWuVpSEL5s8kIyTcRb96ddhxHXBUJfi448hy8klVmrpIPKDJNURuUqqEA==" saltValue="1uZlHopaYGp688hc1PKVj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P7zNE2+EZT1edwaGVul9HDaZ5PnXQL8qmMK8IVlDcpBoVNbgjUww1DYqbxN/q57z1rY1S1phoxpD0lT8+puitw==" saltValue="hVJ8ty54HyIVBFXxGp6e9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10</v>
      </c>
      <c r="B1" s="105" t="s">
        <v>11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160</v>
      </c>
      <c r="B2" s="109">
        <v>6391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159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170</v>
      </c>
      <c r="B4" s="110">
        <v>0.54978000000000005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161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162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165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164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166</v>
      </c>
      <c r="B9" s="110">
        <v>0.57489999999999997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163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171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172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173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174</v>
      </c>
      <c r="B14" s="112">
        <v>1.7098553792749306E-2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167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168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169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175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12</v>
      </c>
      <c r="B21" s="108" t="s">
        <v>13</v>
      </c>
      <c r="C21" s="108" t="s">
        <v>14</v>
      </c>
      <c r="D21" s="108" t="s">
        <v>15</v>
      </c>
      <c r="E21" s="108" t="s">
        <v>16</v>
      </c>
      <c r="F21" s="108" t="s">
        <v>17</v>
      </c>
      <c r="G21" s="108" t="s">
        <v>18</v>
      </c>
      <c r="H21" s="108" t="s">
        <v>19</v>
      </c>
      <c r="I21" s="108" t="s">
        <v>20</v>
      </c>
      <c r="J21" s="108" t="s">
        <v>21</v>
      </c>
      <c r="K21" s="108" t="s">
        <v>22</v>
      </c>
      <c r="L21" s="108" t="s">
        <v>23</v>
      </c>
      <c r="M21" s="108" t="s">
        <v>24</v>
      </c>
      <c r="N21" s="108" t="s">
        <v>25</v>
      </c>
      <c r="O21" s="108" t="s">
        <v>26</v>
      </c>
    </row>
    <row r="22" spans="1:15" x14ac:dyDescent="0.25">
      <c r="A22" s="108" t="s">
        <v>176</v>
      </c>
      <c r="B22" s="109">
        <v>98612.38192</v>
      </c>
      <c r="C22" s="109">
        <v>98471.543890000001</v>
      </c>
      <c r="D22" s="109">
        <v>98287.624890000006</v>
      </c>
      <c r="E22" s="109">
        <v>97953.012220000004</v>
      </c>
      <c r="F22" s="109">
        <v>97454.361680000002</v>
      </c>
      <c r="G22" s="109">
        <v>96961.6734</v>
      </c>
      <c r="H22" s="109">
        <v>96380.391199999998</v>
      </c>
      <c r="I22" s="109">
        <v>95641.088480000006</v>
      </c>
      <c r="J22" s="109">
        <v>94822.714500000002</v>
      </c>
      <c r="K22" s="109">
        <v>93678.981750000006</v>
      </c>
      <c r="L22" s="109">
        <v>91955.330029999997</v>
      </c>
      <c r="M22" s="109">
        <v>89340.673030000005</v>
      </c>
      <c r="N22" s="109">
        <v>85605.360969999994</v>
      </c>
      <c r="O22" s="109">
        <v>79528.155599999998</v>
      </c>
    </row>
  </sheetData>
  <sheetProtection algorithmName="SHA-512" hashValue="ec0YOVocBNWWR1IJApnX3cxoXS85wiLzoLzkCul63XDJRt8ez2DgSm1b/CLTOr98iB7l7e44xStYyjHuQ0Hk4w==" saltValue="/3IWrcHew5XLMRKn9mCbi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jf69jVOEGVtZYKEVNTL3X7LK9lgEfg8P5Xse1iLBIQqflnanV/xxCpJopI9Y/V+XRy9UTP285+IsHF2CL8M6VA==" saltValue="SGVU8VbOC2yrh8qCwfRSq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H+K8IKE5GKEjHeBHcY69ZoAYIfiNYf7Vr62W4jy1jHAW/2s7oySlWTly0IOPj0B0z9NysWUcR04x0vAPrEB4lA==" saltValue="msbweIrF9PVbei26sXg5r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8">
        <v>0.95</v>
      </c>
      <c r="D2" s="56">
        <v>19.75</v>
      </c>
      <c r="E2" s="56" t="s">
        <v>212</v>
      </c>
      <c r="F2" s="98">
        <v>1</v>
      </c>
      <c r="G2" s="98">
        <v>1</v>
      </c>
    </row>
    <row r="3" spans="1:7" ht="15.75" customHeight="1" x14ac:dyDescent="0.25">
      <c r="A3" s="5" t="s">
        <v>195</v>
      </c>
      <c r="B3" s="45">
        <v>0</v>
      </c>
      <c r="C3" s="98">
        <v>0.95</v>
      </c>
      <c r="D3" s="56">
        <v>19.75</v>
      </c>
      <c r="E3" s="56" t="s">
        <v>212</v>
      </c>
      <c r="F3" s="98">
        <v>1</v>
      </c>
      <c r="G3" s="98">
        <v>1</v>
      </c>
    </row>
    <row r="4" spans="1:7" ht="15.75" customHeight="1" x14ac:dyDescent="0.25">
      <c r="A4" s="5" t="s">
        <v>196</v>
      </c>
      <c r="B4" s="98">
        <v>0</v>
      </c>
      <c r="C4" s="98">
        <v>0.95</v>
      </c>
      <c r="D4" s="56">
        <v>21.195</v>
      </c>
      <c r="E4" s="56" t="s">
        <v>212</v>
      </c>
      <c r="F4" s="98">
        <v>1</v>
      </c>
      <c r="G4" s="98">
        <v>1</v>
      </c>
    </row>
    <row r="5" spans="1:7" ht="15.75" customHeight="1" x14ac:dyDescent="0.25">
      <c r="A5" s="5" t="s">
        <v>198</v>
      </c>
      <c r="B5" s="98">
        <v>0</v>
      </c>
      <c r="C5" s="98">
        <v>0.95</v>
      </c>
      <c r="D5" s="56">
        <v>0.48</v>
      </c>
      <c r="E5" s="56" t="s">
        <v>212</v>
      </c>
      <c r="F5" s="98">
        <v>1</v>
      </c>
      <c r="G5" s="98">
        <v>1</v>
      </c>
    </row>
    <row r="6" spans="1:7" ht="15.75" customHeight="1" x14ac:dyDescent="0.25">
      <c r="A6" s="5" t="s">
        <v>199</v>
      </c>
      <c r="B6" s="98">
        <v>0</v>
      </c>
      <c r="C6" s="98">
        <v>0.95</v>
      </c>
      <c r="D6" s="56">
        <v>99.99</v>
      </c>
      <c r="E6" s="56" t="s">
        <v>212</v>
      </c>
      <c r="F6" s="98">
        <v>1</v>
      </c>
      <c r="G6" s="98">
        <v>1</v>
      </c>
    </row>
    <row r="7" spans="1:7" ht="15.75" customHeight="1" x14ac:dyDescent="0.25">
      <c r="A7" s="5" t="s">
        <v>200</v>
      </c>
      <c r="B7" s="98">
        <v>0</v>
      </c>
      <c r="C7" s="98">
        <v>0.95</v>
      </c>
      <c r="D7" s="56">
        <v>0.19</v>
      </c>
      <c r="E7" s="56" t="s">
        <v>212</v>
      </c>
      <c r="F7" s="98">
        <v>1</v>
      </c>
      <c r="G7" s="98">
        <v>1</v>
      </c>
    </row>
    <row r="8" spans="1:7" ht="15.75" customHeight="1" x14ac:dyDescent="0.25">
      <c r="A8" s="5" t="s">
        <v>201</v>
      </c>
      <c r="B8" s="98">
        <v>0</v>
      </c>
      <c r="C8" s="98">
        <v>0.95</v>
      </c>
      <c r="D8" s="56">
        <v>0.79</v>
      </c>
      <c r="E8" s="56" t="s">
        <v>212</v>
      </c>
      <c r="F8" s="98">
        <v>1</v>
      </c>
      <c r="G8" s="98">
        <v>1</v>
      </c>
    </row>
    <row r="9" spans="1:7" ht="15.75" customHeight="1" x14ac:dyDescent="0.25">
      <c r="A9" s="5" t="s">
        <v>202</v>
      </c>
      <c r="B9" s="98">
        <v>0.5</v>
      </c>
      <c r="C9" s="98">
        <v>0.95</v>
      </c>
      <c r="D9" s="56">
        <v>0.32855565777368906</v>
      </c>
      <c r="E9" s="56" t="s">
        <v>212</v>
      </c>
      <c r="F9" s="98">
        <v>1</v>
      </c>
      <c r="G9" s="98">
        <v>1</v>
      </c>
    </row>
    <row r="10" spans="1:7" ht="15.75" customHeight="1" x14ac:dyDescent="0.25">
      <c r="A10" s="11" t="s">
        <v>203</v>
      </c>
      <c r="B10" s="45">
        <v>0</v>
      </c>
      <c r="C10" s="98">
        <v>0.95</v>
      </c>
      <c r="D10" s="56">
        <v>13.28042102096974</v>
      </c>
      <c r="E10" s="56" t="s">
        <v>212</v>
      </c>
      <c r="F10" s="98">
        <v>1</v>
      </c>
      <c r="G10" s="98">
        <v>1</v>
      </c>
    </row>
    <row r="11" spans="1:7" ht="15.75" customHeight="1" x14ac:dyDescent="0.25">
      <c r="A11" s="11" t="s">
        <v>204</v>
      </c>
      <c r="B11" s="98">
        <v>0</v>
      </c>
      <c r="C11" s="98">
        <v>0.95</v>
      </c>
      <c r="D11" s="56">
        <v>13.28042102096974</v>
      </c>
      <c r="E11" s="56" t="s">
        <v>212</v>
      </c>
      <c r="F11" s="98">
        <v>1</v>
      </c>
      <c r="G11" s="98">
        <v>1</v>
      </c>
    </row>
    <row r="12" spans="1:7" ht="15.75" customHeight="1" x14ac:dyDescent="0.25">
      <c r="A12" s="11" t="s">
        <v>205</v>
      </c>
      <c r="B12" s="98">
        <v>0</v>
      </c>
      <c r="C12" s="98">
        <v>0.95</v>
      </c>
      <c r="D12" s="56">
        <v>13.28042102096974</v>
      </c>
      <c r="E12" s="56" t="s">
        <v>212</v>
      </c>
      <c r="F12" s="98">
        <v>1</v>
      </c>
      <c r="G12" s="98">
        <v>1</v>
      </c>
    </row>
    <row r="13" spans="1:7" ht="15.75" customHeight="1" x14ac:dyDescent="0.25">
      <c r="A13" s="11" t="s">
        <v>206</v>
      </c>
      <c r="B13" s="98">
        <v>0</v>
      </c>
      <c r="C13" s="98">
        <v>0.95</v>
      </c>
      <c r="D13" s="56">
        <v>13.28042102096974</v>
      </c>
      <c r="E13" s="56" t="s">
        <v>212</v>
      </c>
      <c r="F13" s="98">
        <v>1</v>
      </c>
      <c r="G13" s="98">
        <v>1</v>
      </c>
    </row>
    <row r="14" spans="1:7" ht="15.75" customHeight="1" x14ac:dyDescent="0.25">
      <c r="A14" s="5" t="s">
        <v>207</v>
      </c>
      <c r="B14" s="45">
        <v>0</v>
      </c>
      <c r="C14" s="98">
        <v>0.95</v>
      </c>
      <c r="D14" s="56">
        <v>13.28042102096974</v>
      </c>
      <c r="E14" s="56" t="s">
        <v>212</v>
      </c>
      <c r="F14" s="98">
        <v>1</v>
      </c>
      <c r="G14" s="98">
        <v>1</v>
      </c>
    </row>
    <row r="15" spans="1:7" ht="15.75" customHeight="1" x14ac:dyDescent="0.25">
      <c r="A15" s="5" t="s">
        <v>208</v>
      </c>
      <c r="B15" s="98">
        <v>0</v>
      </c>
      <c r="C15" s="98">
        <v>0.95</v>
      </c>
      <c r="D15" s="56">
        <v>13.28042102096974</v>
      </c>
      <c r="E15" s="56" t="s">
        <v>212</v>
      </c>
      <c r="F15" s="98">
        <v>1</v>
      </c>
      <c r="G15" s="98">
        <v>1</v>
      </c>
    </row>
    <row r="16" spans="1:7" ht="15.75" customHeight="1" x14ac:dyDescent="0.25">
      <c r="A16" s="5" t="s">
        <v>209</v>
      </c>
      <c r="B16" s="45">
        <v>0</v>
      </c>
      <c r="C16" s="98">
        <v>0.95</v>
      </c>
      <c r="D16" s="56">
        <v>2.5</v>
      </c>
      <c r="E16" s="56" t="s">
        <v>212</v>
      </c>
      <c r="F16" s="98">
        <v>1</v>
      </c>
      <c r="G16" s="98">
        <v>1</v>
      </c>
    </row>
    <row r="17" spans="1:7" ht="15.75" customHeight="1" x14ac:dyDescent="0.25">
      <c r="A17" s="5" t="s">
        <v>210</v>
      </c>
      <c r="B17" s="98">
        <v>0.52564722222222204</v>
      </c>
      <c r="C17" s="98">
        <v>0.95</v>
      </c>
      <c r="D17" s="56">
        <v>0.14000000000000001</v>
      </c>
      <c r="E17" s="56" t="s">
        <v>212</v>
      </c>
      <c r="F17" s="98">
        <v>1</v>
      </c>
      <c r="G17" s="98">
        <v>1</v>
      </c>
    </row>
    <row r="18" spans="1:7" ht="15.9" customHeight="1" x14ac:dyDescent="0.25">
      <c r="A18" s="5" t="s">
        <v>180</v>
      </c>
      <c r="B18" s="98">
        <v>0.57190620000000003</v>
      </c>
      <c r="C18" s="98">
        <v>0.95</v>
      </c>
      <c r="D18" s="56">
        <v>21.195</v>
      </c>
      <c r="E18" s="56" t="s">
        <v>212</v>
      </c>
      <c r="F18" s="98">
        <v>1</v>
      </c>
      <c r="G18" s="98">
        <v>1</v>
      </c>
    </row>
    <row r="19" spans="1:7" ht="15.75" customHeight="1" x14ac:dyDescent="0.25">
      <c r="A19" s="5" t="s">
        <v>181</v>
      </c>
      <c r="B19" s="98">
        <v>0.57190620000000003</v>
      </c>
      <c r="C19" s="98">
        <v>0.95</v>
      </c>
      <c r="D19" s="56">
        <v>13.818442191631251</v>
      </c>
      <c r="E19" s="56" t="s">
        <v>212</v>
      </c>
      <c r="F19" s="98">
        <v>1</v>
      </c>
      <c r="G19" s="98">
        <v>1</v>
      </c>
    </row>
    <row r="20" spans="1:7" ht="15.75" customHeight="1" x14ac:dyDescent="0.25">
      <c r="A20" s="5" t="s">
        <v>182</v>
      </c>
      <c r="B20" s="98">
        <v>0</v>
      </c>
      <c r="C20" s="98">
        <v>0.95</v>
      </c>
      <c r="D20" s="56">
        <v>99.99</v>
      </c>
      <c r="E20" s="56" t="s">
        <v>212</v>
      </c>
      <c r="F20" s="98">
        <v>1</v>
      </c>
      <c r="G20" s="98">
        <v>1</v>
      </c>
    </row>
    <row r="21" spans="1:7" ht="15.75" customHeight="1" x14ac:dyDescent="0.25">
      <c r="A21" s="5" t="s">
        <v>211</v>
      </c>
      <c r="B21" s="45">
        <v>0</v>
      </c>
      <c r="C21" s="98">
        <v>0.95</v>
      </c>
      <c r="D21" s="56">
        <v>7.48</v>
      </c>
      <c r="E21" s="56" t="s">
        <v>212</v>
      </c>
      <c r="F21" s="98">
        <v>1</v>
      </c>
      <c r="G21" s="98">
        <v>1</v>
      </c>
    </row>
    <row r="22" spans="1:7" ht="15.75" customHeight="1" x14ac:dyDescent="0.25">
      <c r="A22" s="5" t="s">
        <v>213</v>
      </c>
      <c r="B22" s="98">
        <v>0</v>
      </c>
      <c r="C22" s="98">
        <v>0.95</v>
      </c>
      <c r="D22" s="56">
        <v>21.195</v>
      </c>
      <c r="E22" s="56" t="s">
        <v>212</v>
      </c>
      <c r="F22" s="98">
        <v>1</v>
      </c>
      <c r="G22" s="98">
        <v>1</v>
      </c>
    </row>
    <row r="23" spans="1:7" ht="15.75" customHeight="1" x14ac:dyDescent="0.25">
      <c r="A23" s="5" t="s">
        <v>214</v>
      </c>
      <c r="B23" s="98">
        <v>0</v>
      </c>
      <c r="C23" s="98">
        <v>0.95</v>
      </c>
      <c r="D23" s="56">
        <v>4.4469886479598264</v>
      </c>
      <c r="E23" s="56" t="s">
        <v>212</v>
      </c>
      <c r="F23" s="98">
        <v>1</v>
      </c>
      <c r="G23" s="98">
        <v>1</v>
      </c>
    </row>
    <row r="24" spans="1:7" ht="15.75" customHeight="1" x14ac:dyDescent="0.25">
      <c r="A24" s="5" t="s">
        <v>217</v>
      </c>
      <c r="B24" s="45">
        <v>0.68347109796406003</v>
      </c>
      <c r="C24" s="98">
        <v>0.95</v>
      </c>
      <c r="D24" s="56">
        <v>99.99</v>
      </c>
      <c r="E24" s="56" t="s">
        <v>212</v>
      </c>
      <c r="F24" s="98">
        <v>1</v>
      </c>
      <c r="G24" s="98">
        <v>1</v>
      </c>
    </row>
    <row r="25" spans="1:7" ht="15.75" customHeight="1" x14ac:dyDescent="0.25">
      <c r="A25" s="5" t="s">
        <v>218</v>
      </c>
      <c r="B25" s="98">
        <v>0</v>
      </c>
      <c r="C25" s="98">
        <v>0.95</v>
      </c>
      <c r="D25" s="56">
        <v>99.99</v>
      </c>
      <c r="E25" s="56" t="s">
        <v>212</v>
      </c>
      <c r="F25" s="98">
        <v>1</v>
      </c>
      <c r="G25" s="98">
        <v>1</v>
      </c>
    </row>
    <row r="26" spans="1:7" ht="15.75" customHeight="1" x14ac:dyDescent="0.25">
      <c r="A26" s="5" t="s">
        <v>219</v>
      </c>
      <c r="B26" s="45">
        <v>0</v>
      </c>
      <c r="C26" s="98">
        <v>0.95</v>
      </c>
      <c r="D26" s="56">
        <v>4.4421306161984946</v>
      </c>
      <c r="E26" s="56" t="s">
        <v>212</v>
      </c>
      <c r="F26" s="98">
        <v>1</v>
      </c>
      <c r="G26" s="98">
        <v>1</v>
      </c>
    </row>
    <row r="27" spans="1:7" ht="15.75" customHeight="1" x14ac:dyDescent="0.25">
      <c r="A27" s="5" t="s">
        <v>220</v>
      </c>
      <c r="B27" s="45">
        <v>0</v>
      </c>
      <c r="C27" s="98">
        <v>0.95</v>
      </c>
      <c r="D27" s="56">
        <v>9.2958524157825622</v>
      </c>
      <c r="E27" s="56" t="s">
        <v>212</v>
      </c>
      <c r="F27" s="98">
        <v>1</v>
      </c>
      <c r="G27" s="98">
        <v>1</v>
      </c>
    </row>
    <row r="28" spans="1:7" ht="15.75" customHeight="1" x14ac:dyDescent="0.25">
      <c r="A28" s="5" t="s">
        <v>221</v>
      </c>
      <c r="B28" s="45">
        <v>0.44999919999999999</v>
      </c>
      <c r="C28" s="98">
        <v>0.95</v>
      </c>
      <c r="D28" s="56">
        <v>99.99</v>
      </c>
      <c r="E28" s="56" t="s">
        <v>212</v>
      </c>
      <c r="F28" s="98">
        <v>1</v>
      </c>
      <c r="G28" s="98">
        <v>1</v>
      </c>
    </row>
    <row r="29" spans="1:7" ht="15.75" customHeight="1" x14ac:dyDescent="0.25">
      <c r="A29" s="5" t="s">
        <v>222</v>
      </c>
      <c r="B29" s="45">
        <v>0.58568469999999995</v>
      </c>
      <c r="C29" s="98">
        <v>0.95</v>
      </c>
      <c r="D29" s="56">
        <v>140.93703453269751</v>
      </c>
      <c r="E29" s="56" t="s">
        <v>212</v>
      </c>
      <c r="F29" s="98">
        <v>1</v>
      </c>
      <c r="G29" s="98">
        <v>1</v>
      </c>
    </row>
    <row r="30" spans="1:7" ht="15.75" customHeight="1" x14ac:dyDescent="0.25">
      <c r="A30" s="5" t="s">
        <v>233</v>
      </c>
      <c r="B30" s="98">
        <v>0</v>
      </c>
      <c r="C30" s="98">
        <v>0.95</v>
      </c>
      <c r="D30" s="56">
        <v>53.05</v>
      </c>
      <c r="E30" s="56" t="s">
        <v>212</v>
      </c>
      <c r="F30" s="98">
        <v>1</v>
      </c>
      <c r="G30" s="98">
        <v>1</v>
      </c>
    </row>
    <row r="31" spans="1:7" ht="15.75" customHeight="1" x14ac:dyDescent="0.25">
      <c r="A31" s="5" t="s">
        <v>193</v>
      </c>
      <c r="B31" s="45">
        <v>0</v>
      </c>
      <c r="C31" s="98">
        <v>0.95</v>
      </c>
      <c r="D31" s="56">
        <v>123.05968780269725</v>
      </c>
      <c r="E31" s="56" t="s">
        <v>212</v>
      </c>
      <c r="F31" s="98">
        <v>1</v>
      </c>
      <c r="G31" s="98">
        <v>1</v>
      </c>
    </row>
    <row r="32" spans="1:7" ht="15.75" customHeight="1" x14ac:dyDescent="0.25">
      <c r="A32" s="5" t="s">
        <v>225</v>
      </c>
      <c r="B32" s="45">
        <v>0</v>
      </c>
      <c r="C32" s="98">
        <v>0.95</v>
      </c>
      <c r="D32" s="56">
        <v>1.5917274986535743</v>
      </c>
      <c r="E32" s="56" t="s">
        <v>212</v>
      </c>
      <c r="F32" s="98">
        <v>1</v>
      </c>
      <c r="G32" s="98">
        <v>1</v>
      </c>
    </row>
    <row r="33" spans="1:7" ht="15.75" customHeight="1" x14ac:dyDescent="0.25">
      <c r="A33" s="5" t="s">
        <v>226</v>
      </c>
      <c r="B33" s="45">
        <v>0.8722955</v>
      </c>
      <c r="C33" s="98">
        <v>0.95</v>
      </c>
      <c r="D33" s="56">
        <v>99.99</v>
      </c>
      <c r="E33" s="56" t="s">
        <v>212</v>
      </c>
      <c r="F33" s="98">
        <v>1</v>
      </c>
      <c r="G33" s="98">
        <v>1</v>
      </c>
    </row>
    <row r="34" spans="1:7" ht="15.75" customHeight="1" x14ac:dyDescent="0.25">
      <c r="A34" s="5" t="s">
        <v>227</v>
      </c>
      <c r="B34" s="45">
        <v>0</v>
      </c>
      <c r="C34" s="98">
        <v>0.95</v>
      </c>
      <c r="D34" s="56">
        <v>99.99</v>
      </c>
      <c r="E34" s="56" t="s">
        <v>212</v>
      </c>
      <c r="F34" s="98">
        <v>1</v>
      </c>
      <c r="G34" s="98">
        <v>1</v>
      </c>
    </row>
    <row r="35" spans="1:7" ht="15.75" customHeight="1" x14ac:dyDescent="0.25">
      <c r="A35" s="5" t="s">
        <v>228</v>
      </c>
      <c r="B35" s="98">
        <v>0</v>
      </c>
      <c r="C35" s="98">
        <v>0.95</v>
      </c>
      <c r="D35" s="56">
        <v>99.99</v>
      </c>
      <c r="E35" s="56" t="s">
        <v>212</v>
      </c>
      <c r="F35" s="98">
        <v>1</v>
      </c>
      <c r="G35" s="98">
        <v>1</v>
      </c>
    </row>
    <row r="36" spans="1:7" ht="15.75" customHeight="1" x14ac:dyDescent="0.25">
      <c r="A36" s="5" t="s">
        <v>229</v>
      </c>
      <c r="B36" s="45">
        <v>0</v>
      </c>
      <c r="C36" s="98">
        <v>0.95</v>
      </c>
      <c r="D36" s="56">
        <v>99.99</v>
      </c>
      <c r="E36" s="56" t="s">
        <v>212</v>
      </c>
      <c r="F36" s="98">
        <v>1</v>
      </c>
      <c r="G36" s="98">
        <v>1</v>
      </c>
    </row>
    <row r="37" spans="1:7" ht="15.75" customHeight="1" x14ac:dyDescent="0.25">
      <c r="A37" s="5" t="s">
        <v>230</v>
      </c>
      <c r="B37" s="45">
        <v>0.91284360000000009</v>
      </c>
      <c r="C37" s="98">
        <v>0.95</v>
      </c>
      <c r="D37" s="56">
        <v>99.99</v>
      </c>
      <c r="E37" s="56" t="s">
        <v>212</v>
      </c>
      <c r="F37" s="98">
        <v>1</v>
      </c>
      <c r="G37" s="98">
        <v>1</v>
      </c>
    </row>
    <row r="38" spans="1:7" ht="15.75" customHeight="1" x14ac:dyDescent="0.25">
      <c r="A38" s="5" t="s">
        <v>231</v>
      </c>
      <c r="B38" s="45">
        <v>0</v>
      </c>
      <c r="C38" s="98">
        <v>0.95</v>
      </c>
      <c r="D38" s="56">
        <v>2.4500000000000002</v>
      </c>
      <c r="E38" s="56" t="s">
        <v>212</v>
      </c>
      <c r="F38" s="98">
        <v>1</v>
      </c>
      <c r="G38" s="98">
        <v>1</v>
      </c>
    </row>
    <row r="39" spans="1:7" ht="15.75" customHeight="1" x14ac:dyDescent="0.25">
      <c r="A39" s="5" t="s">
        <v>232</v>
      </c>
      <c r="B39" s="45">
        <v>0</v>
      </c>
      <c r="C39" s="98">
        <v>0.95</v>
      </c>
      <c r="D39" s="56">
        <v>3.43</v>
      </c>
      <c r="E39" s="56" t="s">
        <v>212</v>
      </c>
      <c r="F39" s="98">
        <v>1</v>
      </c>
      <c r="G39" s="98">
        <v>1</v>
      </c>
    </row>
  </sheetData>
  <sheetProtection algorithmName="SHA-512" hashValue="S8YY7vdF50/oJftkLOQO0rTGmXfasXJRLGJTTmm3z95JhqBBL4nOAGbLPmtFuODP4Hts8NyPkzD3pWz1rxiryw==" saltValue="m5md3cVwOh9uxPKT9vQ8U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XQXzBbDqKj/tXhkxn4jw1u5g8dgCTSRU2cOfQgGUhAy7eyEyqzT5XuFR7RixSgcxTb5qu/bIpQjWeyfYQkkMPA==" saltValue="tVA/EY7eiHjUW45qkUhyE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mag8VopORl/q3J5LN85Mdb9vtg+1HsBENnwro6pC63Y1/SSVNAzFJ6I8WB2bEUdTA8WKDjOZvEE3ZZqm79TLVw==" saltValue="9LtkAD+TN6xVCrVK7g+m9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3.2</v>
      </c>
      <c r="C2" s="21">
        <f>'Entradas de población-año base'!C52</f>
        <v>3.2</v>
      </c>
      <c r="D2" s="21">
        <f>'Entradas de población-año base'!C53</f>
        <v>3.2</v>
      </c>
      <c r="E2" s="21">
        <f>'Entradas de población-año base'!C54</f>
        <v>3.2</v>
      </c>
      <c r="F2" s="21">
        <f>'Entradas de población-año base'!C55</f>
        <v>3.2</v>
      </c>
    </row>
    <row r="3" spans="1:6" ht="15.75" customHeight="1" x14ac:dyDescent="0.25">
      <c r="A3" s="3" t="s">
        <v>6</v>
      </c>
      <c r="B3" s="21">
        <f>frac_mam_1month * 2.6</f>
        <v>0.16113344000000004</v>
      </c>
      <c r="C3" s="21">
        <f>frac_mam_1_5months * 2.6</f>
        <v>0.16113344000000004</v>
      </c>
      <c r="D3" s="21">
        <f>frac_mam_6_11months * 2.6</f>
        <v>0.12481066</v>
      </c>
      <c r="E3" s="21">
        <f>frac_mam_12_23months * 2.6</f>
        <v>3.7611600000000002E-2</v>
      </c>
      <c r="F3" s="21">
        <f>frac_mam_24_59months * 2.6</f>
        <v>4.2343860000000004E-2</v>
      </c>
    </row>
    <row r="4" spans="1:6" ht="15.75" customHeight="1" x14ac:dyDescent="0.25">
      <c r="A4" s="3" t="s">
        <v>236</v>
      </c>
      <c r="B4" s="21">
        <f>frac_sam_1month * 2.6</f>
        <v>6.7393560000000005E-2</v>
      </c>
      <c r="C4" s="21">
        <f>frac_sam_1_5months * 2.6</f>
        <v>6.7393560000000005E-2</v>
      </c>
      <c r="D4" s="21">
        <f>frac_sam_6_11months * 2.6</f>
        <v>5.5011580000000004E-2</v>
      </c>
      <c r="E4" s="21">
        <f>frac_sam_12_23months * 2.6</f>
        <v>3.6037819999999998E-2</v>
      </c>
      <c r="F4" s="21">
        <f>frac_sam_24_59months * 2.6</f>
        <v>2.6570440000000001E-2</v>
      </c>
    </row>
  </sheetData>
  <sheetProtection algorithmName="SHA-512" hashValue="ZKayV/uKWeriOWznOSlvRi31ixRqj199kX/Xu7fbnAAWHGEQiQ3bC9EC8Ho0794UIqmehQRKy0N29lA6ooDfIQ==" saltValue="y2nHKrnPR41J+GTNYnu6I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3.3000000000000002E-2</v>
      </c>
      <c r="F2" s="60">
        <f>food_insecure</f>
        <v>3.3000000000000002E-2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3.3000000000000002E-2</v>
      </c>
      <c r="F5" s="60">
        <f>food_insecure</f>
        <v>3.3000000000000002E-2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3.3000000000000002E-2</v>
      </c>
      <c r="F8" s="60">
        <f>food_insecure</f>
        <v>3.3000000000000002E-2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3.3000000000000002E-2</v>
      </c>
      <c r="F9" s="60">
        <f>food_insecure</f>
        <v>3.3000000000000002E-2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3.3000000000000002E-2</v>
      </c>
      <c r="I15" s="60">
        <f t="shared" si="0"/>
        <v>3.3000000000000002E-2</v>
      </c>
      <c r="J15" s="60">
        <f t="shared" si="0"/>
        <v>3.3000000000000002E-2</v>
      </c>
      <c r="K15" s="60">
        <f t="shared" si="0"/>
        <v>3.3000000000000002E-2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3.3000000000000002E-2</v>
      </c>
      <c r="I16" s="60">
        <f t="shared" si="0"/>
        <v>3.3000000000000002E-2</v>
      </c>
      <c r="J16" s="60">
        <f t="shared" si="0"/>
        <v>3.3000000000000002E-2</v>
      </c>
      <c r="K16" s="60">
        <f t="shared" si="0"/>
        <v>3.3000000000000002E-2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0.193</v>
      </c>
      <c r="M24" s="60">
        <f>famplan_unmet_need</f>
        <v>0.193</v>
      </c>
      <c r="N24" s="60">
        <f>famplan_unmet_need</f>
        <v>0.193</v>
      </c>
      <c r="O24" s="60">
        <f>famplan_unmet_need</f>
        <v>0.193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5.3299260803222628E-2</v>
      </c>
      <c r="M25" s="60">
        <f>(1-food_insecure)*(0.49)+food_insecure*(0.7)</f>
        <v>0.49692999999999998</v>
      </c>
      <c r="N25" s="60">
        <f>(1-food_insecure)*(0.49)+food_insecure*(0.7)</f>
        <v>0.49692999999999998</v>
      </c>
      <c r="O25" s="60">
        <f>(1-food_insecure)*(0.49)+food_insecure*(0.7)</f>
        <v>0.49692999999999998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2.2842540344238268E-2</v>
      </c>
      <c r="M26" s="60">
        <f>(1-food_insecure)*(0.21)+food_insecure*(0.3)</f>
        <v>0.21296999999999996</v>
      </c>
      <c r="N26" s="60">
        <f>(1-food_insecure)*(0.21)+food_insecure*(0.3)</f>
        <v>0.21296999999999996</v>
      </c>
      <c r="O26" s="60">
        <f>(1-food_insecure)*(0.21)+food_insecure*(0.3)</f>
        <v>0.21296999999999996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3.1115278930664046E-2</v>
      </c>
      <c r="M27" s="60">
        <f>(1-food_insecure)*(0.3)</f>
        <v>0.29009999999999997</v>
      </c>
      <c r="N27" s="60">
        <f>(1-food_insecure)*(0.3)</f>
        <v>0.29009999999999997</v>
      </c>
      <c r="O27" s="60">
        <f>(1-food_insecure)*(0.3)</f>
        <v>0.29009999999999997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0.89274291992187504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n2CUUxUmYqJEXaMzciPcEPzmFJuqC/ppeVKlHgI83FVPnT3qmNGnMJUyhe3utpMDGcAFwRmH8Evxwv6SDSPtEg==" saltValue="OL4/0yAn/NS66l7Jc5JQ8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7/cmX/kOv+sZ0V238POLyilTqpCcbiuSVCU/kkoENiLPw2Pfcu+7uPhENK4cffmbGqeTlqve4UGMfaK9xkV1fA==" saltValue="1rMbkH41aZ0yMhvZSZ5Kz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vHEA1g7J9r5iD2mA6ADDrLczzTq52cbwWkjOXKCnC95rFkcMUCajoJklCvOdP+ufGZAAolCL8ioI7y/5nLnc8A==" saltValue="IfMa5RPS71bzbX2vuVt1O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mB/H9wogsWrUupp0JnDZOP07Dy/2GeW9pxosINSXxQlfja+cPIXRMq6BALXwb10MHab4TldqkehZG77WP4dcng==" saltValue="jjDKRK9A+quAz/3kpxQ8b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192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15" t="s">
        <v>194</v>
      </c>
      <c r="B2" s="116"/>
      <c r="C2" s="116"/>
      <c r="D2" s="116"/>
      <c r="E2" s="116"/>
      <c r="F2" s="116"/>
      <c r="G2" s="116"/>
      <c r="H2" s="116"/>
      <c r="I2" s="116" t="s">
        <v>5</v>
      </c>
      <c r="J2" s="116"/>
      <c r="K2" s="116"/>
      <c r="L2" s="116"/>
    </row>
    <row r="3" spans="1:12" x14ac:dyDescent="0.25">
      <c r="A3" s="115" t="s">
        <v>195</v>
      </c>
      <c r="B3" s="116"/>
      <c r="C3" s="116"/>
      <c r="D3" s="116"/>
      <c r="E3" s="116"/>
      <c r="F3" s="116"/>
      <c r="G3" s="116"/>
      <c r="H3" s="116" t="s">
        <v>5</v>
      </c>
      <c r="I3" s="116" t="s">
        <v>5</v>
      </c>
      <c r="J3" s="116"/>
      <c r="K3" s="116"/>
      <c r="L3" s="116"/>
    </row>
    <row r="4" spans="1:12" x14ac:dyDescent="0.25">
      <c r="A4" s="115" t="s">
        <v>196</v>
      </c>
      <c r="B4" s="116" t="s">
        <v>5</v>
      </c>
      <c r="C4" s="116"/>
      <c r="D4" s="116" t="s">
        <v>5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198</v>
      </c>
      <c r="B5" s="116"/>
      <c r="C5" s="116" t="s">
        <v>5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199</v>
      </c>
      <c r="B6" s="116"/>
      <c r="C6" s="116"/>
      <c r="D6" s="116"/>
      <c r="E6" s="116"/>
      <c r="F6" s="116"/>
      <c r="G6" s="116"/>
      <c r="H6" s="116"/>
      <c r="I6" s="116"/>
      <c r="J6" s="116" t="s">
        <v>5</v>
      </c>
      <c r="K6" s="116" t="s">
        <v>5</v>
      </c>
      <c r="L6" s="116"/>
    </row>
    <row r="7" spans="1:12" x14ac:dyDescent="0.25">
      <c r="A7" s="115" t="s">
        <v>200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/>
      <c r="J7" s="116"/>
      <c r="K7" s="116"/>
      <c r="L7" s="116"/>
    </row>
    <row r="8" spans="1:12" x14ac:dyDescent="0.25">
      <c r="A8" s="115" t="s">
        <v>201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/>
      <c r="J8" s="116"/>
      <c r="K8" s="116"/>
      <c r="L8" s="116"/>
    </row>
    <row r="9" spans="1:12" x14ac:dyDescent="0.25">
      <c r="A9" s="115" t="s">
        <v>202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/>
      <c r="J9" s="116"/>
      <c r="K9" s="116"/>
      <c r="L9" s="116"/>
    </row>
    <row r="10" spans="1:12" x14ac:dyDescent="0.25">
      <c r="A10" s="115" t="s">
        <v>203</v>
      </c>
      <c r="B10" s="116"/>
      <c r="C10" s="116" t="s">
        <v>5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204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205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206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207</v>
      </c>
      <c r="B14" s="116"/>
      <c r="C14" s="116" t="s">
        <v>5</v>
      </c>
      <c r="D14" s="116"/>
      <c r="E14" s="116"/>
      <c r="F14" s="116"/>
      <c r="G14" s="116"/>
      <c r="H14" s="116"/>
      <c r="I14" s="116" t="s">
        <v>5</v>
      </c>
      <c r="J14" s="116"/>
      <c r="K14" s="116"/>
      <c r="L14" s="116"/>
    </row>
    <row r="15" spans="1:12" x14ac:dyDescent="0.25">
      <c r="A15" s="117" t="s">
        <v>208</v>
      </c>
      <c r="B15" s="116"/>
      <c r="C15" s="116" t="s">
        <v>5</v>
      </c>
      <c r="D15" s="116"/>
      <c r="E15" s="116"/>
      <c r="F15" s="116"/>
      <c r="G15" s="116"/>
      <c r="H15" s="116"/>
      <c r="I15" s="116" t="s">
        <v>5</v>
      </c>
      <c r="J15" s="116"/>
      <c r="K15" s="116"/>
      <c r="L15" s="116"/>
    </row>
    <row r="16" spans="1:12" x14ac:dyDescent="0.25">
      <c r="A16" s="115" t="s">
        <v>209</v>
      </c>
      <c r="B16" s="116"/>
      <c r="C16" s="116" t="s">
        <v>5</v>
      </c>
      <c r="D16" s="116"/>
      <c r="E16" s="116"/>
      <c r="F16" s="116"/>
      <c r="G16" s="116"/>
      <c r="H16" s="116" t="s">
        <v>5</v>
      </c>
      <c r="I16" s="116" t="s">
        <v>5</v>
      </c>
      <c r="J16" s="116"/>
      <c r="K16" s="116"/>
      <c r="L16" s="116"/>
    </row>
    <row r="17" spans="1:12" x14ac:dyDescent="0.25">
      <c r="A17" s="115" t="s">
        <v>210</v>
      </c>
      <c r="B17" s="116"/>
      <c r="C17" s="116" t="s">
        <v>5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180</v>
      </c>
      <c r="B18" s="116" t="s">
        <v>5</v>
      </c>
      <c r="C18" s="116"/>
      <c r="D18" s="116"/>
      <c r="E18" s="116"/>
      <c r="F18" s="116" t="s">
        <v>5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181</v>
      </c>
      <c r="B19" s="116" t="s">
        <v>5</v>
      </c>
      <c r="C19" s="116"/>
      <c r="D19" s="116"/>
      <c r="E19" s="116"/>
      <c r="F19" s="116" t="s">
        <v>5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182</v>
      </c>
      <c r="B20" s="116" t="s">
        <v>5</v>
      </c>
      <c r="C20" s="116"/>
      <c r="D20" s="116"/>
      <c r="E20" s="116"/>
      <c r="F20" s="116" t="s">
        <v>5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211</v>
      </c>
      <c r="B21" s="116"/>
      <c r="C21" s="116"/>
      <c r="D21" s="116"/>
      <c r="E21" s="116"/>
      <c r="F21" s="116"/>
      <c r="G21" s="116"/>
      <c r="H21" s="116" t="s">
        <v>5</v>
      </c>
      <c r="I21" s="116" t="s">
        <v>5</v>
      </c>
      <c r="J21" s="116"/>
      <c r="K21" s="116"/>
      <c r="L21" s="116"/>
    </row>
    <row r="22" spans="1:12" x14ac:dyDescent="0.25">
      <c r="A22" s="115" t="s">
        <v>213</v>
      </c>
      <c r="B22" s="116" t="s">
        <v>5</v>
      </c>
      <c r="C22" s="116" t="s">
        <v>5</v>
      </c>
      <c r="D22" s="116" t="s">
        <v>5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214</v>
      </c>
      <c r="B23" s="116"/>
      <c r="C23" s="116" t="s">
        <v>5</v>
      </c>
      <c r="D23" s="116"/>
      <c r="E23" s="116"/>
      <c r="F23" s="116"/>
      <c r="G23" s="116"/>
      <c r="H23" s="116"/>
      <c r="I23" s="116" t="s">
        <v>5</v>
      </c>
      <c r="J23" s="116"/>
      <c r="K23" s="116"/>
      <c r="L23" s="116"/>
    </row>
    <row r="24" spans="1:12" x14ac:dyDescent="0.25">
      <c r="A24" s="115" t="s">
        <v>217</v>
      </c>
      <c r="B24" s="116"/>
      <c r="C24" s="116"/>
      <c r="D24" s="116"/>
      <c r="E24" s="116"/>
      <c r="F24" s="116"/>
      <c r="G24" s="116"/>
      <c r="H24" s="116" t="s">
        <v>5</v>
      </c>
      <c r="I24" s="116"/>
      <c r="J24" s="116"/>
      <c r="K24" s="116"/>
      <c r="L24" s="116"/>
    </row>
    <row r="25" spans="1:12" x14ac:dyDescent="0.25">
      <c r="A25" s="115" t="s">
        <v>218</v>
      </c>
      <c r="B25" s="116"/>
      <c r="C25" s="116"/>
      <c r="D25" s="116"/>
      <c r="E25" s="116"/>
      <c r="F25" s="116"/>
      <c r="G25" s="116"/>
      <c r="H25" s="116" t="s">
        <v>5</v>
      </c>
      <c r="I25" s="116"/>
      <c r="J25" s="116"/>
      <c r="K25" s="116"/>
      <c r="L25" s="116"/>
    </row>
    <row r="26" spans="1:12" x14ac:dyDescent="0.25">
      <c r="A26" s="115" t="s">
        <v>219</v>
      </c>
      <c r="B26" s="116"/>
      <c r="C26" s="116" t="s">
        <v>5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220</v>
      </c>
      <c r="B27" s="116"/>
      <c r="C27" s="116" t="s">
        <v>5</v>
      </c>
      <c r="D27" s="116"/>
      <c r="E27" s="116"/>
      <c r="F27" s="116"/>
      <c r="G27" s="116"/>
      <c r="H27" s="116"/>
      <c r="I27" s="116" t="s">
        <v>5</v>
      </c>
      <c r="J27" s="116"/>
      <c r="K27" s="116"/>
      <c r="L27" s="116" t="s">
        <v>5</v>
      </c>
    </row>
    <row r="28" spans="1:12" x14ac:dyDescent="0.25">
      <c r="A28" s="115" t="s">
        <v>221</v>
      </c>
      <c r="B28" s="116"/>
      <c r="C28" s="116"/>
      <c r="D28" s="116"/>
      <c r="E28" s="116"/>
      <c r="F28" s="116"/>
      <c r="G28" s="116"/>
      <c r="H28" s="116" t="s">
        <v>5</v>
      </c>
      <c r="I28" s="116"/>
      <c r="J28" s="116"/>
      <c r="K28" s="116"/>
      <c r="L28" s="116"/>
    </row>
    <row r="29" spans="1:12" x14ac:dyDescent="0.25">
      <c r="A29" s="115" t="s">
        <v>222</v>
      </c>
      <c r="B29" s="116" t="s">
        <v>5</v>
      </c>
      <c r="C29" s="116"/>
      <c r="D29" s="116" t="s">
        <v>5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233</v>
      </c>
      <c r="B30" s="116" t="s">
        <v>5</v>
      </c>
      <c r="C30" s="116" t="s">
        <v>5</v>
      </c>
      <c r="D30" s="116" t="s">
        <v>5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193</v>
      </c>
      <c r="B31" s="116"/>
      <c r="C31" s="116"/>
      <c r="D31" s="116"/>
      <c r="E31" s="116" t="s">
        <v>5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225</v>
      </c>
      <c r="B32" s="116"/>
      <c r="C32" s="116"/>
      <c r="D32" s="116"/>
      <c r="E32" s="116"/>
      <c r="F32" s="116"/>
      <c r="G32" s="116" t="s">
        <v>5</v>
      </c>
      <c r="H32" s="116" t="s">
        <v>5</v>
      </c>
      <c r="I32" s="116"/>
      <c r="J32" s="116"/>
      <c r="K32" s="116"/>
      <c r="L32" s="116"/>
    </row>
    <row r="33" spans="1:12" x14ac:dyDescent="0.25">
      <c r="A33" s="115" t="s">
        <v>226</v>
      </c>
      <c r="B33" s="116"/>
      <c r="C33" s="116"/>
      <c r="D33" s="116"/>
      <c r="E33" s="116"/>
      <c r="F33" s="116"/>
      <c r="G33" s="116" t="s">
        <v>5</v>
      </c>
      <c r="H33" s="116" t="s">
        <v>5</v>
      </c>
      <c r="I33" s="116"/>
      <c r="J33" s="116"/>
      <c r="K33" s="116"/>
      <c r="L33" s="116"/>
    </row>
    <row r="34" spans="1:12" x14ac:dyDescent="0.25">
      <c r="A34" s="115" t="s">
        <v>227</v>
      </c>
      <c r="B34" s="116"/>
      <c r="C34" s="116"/>
      <c r="D34" s="116"/>
      <c r="E34" s="116"/>
      <c r="F34" s="116"/>
      <c r="G34" s="116" t="s">
        <v>5</v>
      </c>
      <c r="H34" s="116" t="s">
        <v>5</v>
      </c>
      <c r="I34" s="116"/>
      <c r="J34" s="116"/>
      <c r="K34" s="116"/>
      <c r="L34" s="116"/>
    </row>
    <row r="35" spans="1:12" x14ac:dyDescent="0.25">
      <c r="A35" s="115" t="s">
        <v>228</v>
      </c>
      <c r="B35" s="116"/>
      <c r="C35" s="116"/>
      <c r="D35" s="116"/>
      <c r="E35" s="116"/>
      <c r="F35" s="116"/>
      <c r="G35" s="116" t="s">
        <v>5</v>
      </c>
      <c r="H35" s="116" t="s">
        <v>5</v>
      </c>
      <c r="I35" s="116"/>
      <c r="J35" s="116"/>
      <c r="K35" s="116"/>
      <c r="L35" s="116"/>
    </row>
    <row r="36" spans="1:12" x14ac:dyDescent="0.25">
      <c r="A36" s="115" t="s">
        <v>229</v>
      </c>
      <c r="B36" s="116"/>
      <c r="C36" s="116"/>
      <c r="D36" s="116"/>
      <c r="E36" s="116"/>
      <c r="F36" s="116"/>
      <c r="G36" s="116" t="s">
        <v>5</v>
      </c>
      <c r="H36" s="116" t="s">
        <v>5</v>
      </c>
      <c r="I36" s="116"/>
      <c r="J36" s="116"/>
      <c r="K36" s="116"/>
      <c r="L36" s="116"/>
    </row>
    <row r="37" spans="1:12" x14ac:dyDescent="0.25">
      <c r="A37" s="115" t="s">
        <v>230</v>
      </c>
      <c r="B37" s="116"/>
      <c r="C37" s="116"/>
      <c r="D37" s="116"/>
      <c r="E37" s="116"/>
      <c r="F37" s="116"/>
      <c r="G37" s="116" t="s">
        <v>5</v>
      </c>
      <c r="H37" s="116" t="s">
        <v>5</v>
      </c>
      <c r="I37" s="116"/>
      <c r="J37" s="116"/>
      <c r="K37" s="116"/>
      <c r="L37" s="116"/>
    </row>
    <row r="38" spans="1:12" x14ac:dyDescent="0.25">
      <c r="A38" s="115" t="s">
        <v>231</v>
      </c>
      <c r="B38" s="116"/>
      <c r="C38" s="116"/>
      <c r="D38" s="116"/>
      <c r="E38" s="116"/>
      <c r="F38" s="116"/>
      <c r="G38" s="116"/>
      <c r="H38" s="116" t="s">
        <v>5</v>
      </c>
      <c r="I38" s="116"/>
      <c r="J38" s="116"/>
      <c r="K38" s="116"/>
      <c r="L38" s="116"/>
    </row>
    <row r="39" spans="1:12" x14ac:dyDescent="0.25">
      <c r="A39" s="115" t="s">
        <v>232</v>
      </c>
      <c r="B39" s="116" t="s">
        <v>5</v>
      </c>
      <c r="C39" s="116"/>
      <c r="D39" s="116"/>
      <c r="E39" s="116"/>
      <c r="F39" s="116"/>
      <c r="G39" s="116" t="s">
        <v>5</v>
      </c>
      <c r="H39" s="116" t="s">
        <v>5</v>
      </c>
      <c r="I39" s="116"/>
      <c r="J39" s="116"/>
      <c r="K39" s="116"/>
      <c r="L39" s="116"/>
    </row>
  </sheetData>
  <sheetProtection algorithmName="SHA-512" hashValue="ZzFWpPqRLk4lZ352Elez+3XR9Z3CqZf2ievoG2DgLqI+htKF4IhtZxEtqe6QLeJl3hOS64ciKB3HOJNukjaLww==" saltValue="zXBZ/MFJ/DoCSfhoAinyU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264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08" t="s">
        <v>97</v>
      </c>
      <c r="B2" s="116" t="s">
        <v>5</v>
      </c>
      <c r="C2" s="116" t="s">
        <v>5</v>
      </c>
      <c r="D2" s="116" t="s">
        <v>5</v>
      </c>
      <c r="E2" s="116" t="s">
        <v>5</v>
      </c>
      <c r="F2" s="116" t="s">
        <v>5</v>
      </c>
      <c r="G2" s="116" t="s">
        <v>5</v>
      </c>
      <c r="H2" s="116" t="s">
        <v>5</v>
      </c>
      <c r="I2" s="116"/>
      <c r="J2" s="116"/>
      <c r="K2" s="116"/>
      <c r="L2" s="116"/>
    </row>
    <row r="3" spans="1:12" x14ac:dyDescent="0.25">
      <c r="A3" s="108" t="s">
        <v>93</v>
      </c>
      <c r="B3" s="116" t="s">
        <v>5</v>
      </c>
      <c r="C3" s="116" t="s">
        <v>5</v>
      </c>
      <c r="D3" s="116" t="s">
        <v>5</v>
      </c>
      <c r="E3" s="116" t="s">
        <v>5</v>
      </c>
      <c r="F3" s="116" t="s">
        <v>5</v>
      </c>
      <c r="G3" s="116" t="s">
        <v>5</v>
      </c>
      <c r="H3" s="116" t="s">
        <v>5</v>
      </c>
      <c r="I3" s="116"/>
      <c r="J3" s="116"/>
      <c r="K3" s="116"/>
      <c r="L3" s="116"/>
    </row>
    <row r="4" spans="1:12" x14ac:dyDescent="0.25">
      <c r="A4" s="108" t="s">
        <v>96</v>
      </c>
      <c r="B4" s="116" t="s">
        <v>5</v>
      </c>
      <c r="C4" s="116" t="s">
        <v>5</v>
      </c>
      <c r="D4" s="116" t="s">
        <v>5</v>
      </c>
      <c r="E4" s="116" t="s">
        <v>5</v>
      </c>
      <c r="F4" s="116" t="s">
        <v>5</v>
      </c>
      <c r="G4" s="116" t="s">
        <v>5</v>
      </c>
      <c r="H4" s="116" t="s">
        <v>5</v>
      </c>
      <c r="I4" s="116"/>
      <c r="J4" s="116"/>
      <c r="K4" s="116"/>
      <c r="L4" s="116"/>
    </row>
    <row r="5" spans="1:12" x14ac:dyDescent="0.25">
      <c r="A5" s="108" t="s">
        <v>94</v>
      </c>
      <c r="B5" s="116" t="s">
        <v>5</v>
      </c>
      <c r="C5" s="116" t="s">
        <v>5</v>
      </c>
      <c r="D5" s="116" t="s">
        <v>5</v>
      </c>
      <c r="E5" s="116" t="s">
        <v>5</v>
      </c>
      <c r="F5" s="116" t="s">
        <v>5</v>
      </c>
      <c r="G5" s="116" t="s">
        <v>5</v>
      </c>
      <c r="H5" s="116" t="s">
        <v>5</v>
      </c>
      <c r="I5" s="116"/>
      <c r="J5" s="116"/>
      <c r="K5" s="116"/>
      <c r="L5" s="116"/>
    </row>
    <row r="6" spans="1:12" x14ac:dyDescent="0.25">
      <c r="A6" s="108" t="s">
        <v>95</v>
      </c>
      <c r="B6" s="116" t="s">
        <v>5</v>
      </c>
      <c r="C6" s="116" t="s">
        <v>5</v>
      </c>
      <c r="D6" s="116" t="s">
        <v>5</v>
      </c>
      <c r="E6" s="116" t="s">
        <v>5</v>
      </c>
      <c r="F6" s="116" t="s">
        <v>5</v>
      </c>
      <c r="G6" s="116" t="s">
        <v>5</v>
      </c>
      <c r="H6" s="116" t="s">
        <v>5</v>
      </c>
      <c r="I6" s="116"/>
      <c r="J6" s="116"/>
      <c r="K6" s="116"/>
      <c r="L6" s="116"/>
    </row>
    <row r="7" spans="1:12" x14ac:dyDescent="0.25">
      <c r="A7" s="108" t="s">
        <v>132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 t="s">
        <v>5</v>
      </c>
      <c r="J7" s="116"/>
      <c r="K7" s="116"/>
      <c r="L7" s="116" t="s">
        <v>5</v>
      </c>
    </row>
    <row r="8" spans="1:12" x14ac:dyDescent="0.25">
      <c r="A8" s="108" t="s">
        <v>133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 t="s">
        <v>5</v>
      </c>
      <c r="J8" s="116"/>
      <c r="K8" s="116"/>
      <c r="L8" s="116" t="s">
        <v>5</v>
      </c>
    </row>
    <row r="9" spans="1:12" x14ac:dyDescent="0.25">
      <c r="A9" s="108" t="s">
        <v>134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 t="s">
        <v>5</v>
      </c>
      <c r="J9" s="116"/>
      <c r="K9" s="116"/>
      <c r="L9" s="116" t="s">
        <v>5</v>
      </c>
    </row>
    <row r="10" spans="1:12" x14ac:dyDescent="0.25">
      <c r="A10" s="108" t="s">
        <v>135</v>
      </c>
      <c r="B10" s="116"/>
      <c r="C10" s="116" t="s">
        <v>5</v>
      </c>
      <c r="D10" s="116"/>
      <c r="E10" s="116"/>
      <c r="F10" s="116"/>
      <c r="G10" s="116"/>
      <c r="H10" s="116" t="s">
        <v>5</v>
      </c>
      <c r="I10" s="116" t="s">
        <v>5</v>
      </c>
      <c r="J10" s="116"/>
      <c r="K10" s="116"/>
      <c r="L10" s="116" t="s">
        <v>5</v>
      </c>
    </row>
    <row r="11" spans="1:12" x14ac:dyDescent="0.25">
      <c r="A11" s="108" t="s">
        <v>87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 t="s">
        <v>5</v>
      </c>
      <c r="K11" s="116" t="s">
        <v>5</v>
      </c>
      <c r="L11" s="116"/>
    </row>
    <row r="12" spans="1:12" x14ac:dyDescent="0.25">
      <c r="A12" s="108" t="s">
        <v>88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 t="s">
        <v>5</v>
      </c>
      <c r="L12" s="116"/>
    </row>
    <row r="13" spans="1:12" x14ac:dyDescent="0.25">
      <c r="A13" s="108" t="s">
        <v>89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 t="s">
        <v>5</v>
      </c>
      <c r="L13" s="116"/>
    </row>
    <row r="14" spans="1:12" x14ac:dyDescent="0.25">
      <c r="A14" s="108" t="s">
        <v>90</v>
      </c>
      <c r="B14" s="116"/>
      <c r="C14" s="116" t="s">
        <v>5</v>
      </c>
      <c r="D14" s="116"/>
      <c r="E14" s="116"/>
      <c r="F14" s="116"/>
      <c r="G14" s="116"/>
      <c r="H14" s="116"/>
      <c r="I14" s="116"/>
      <c r="J14" s="116"/>
      <c r="K14" s="116" t="s">
        <v>5</v>
      </c>
      <c r="L14" s="116"/>
    </row>
  </sheetData>
  <sheetProtection algorithmName="SHA-512" hashValue="bRXiqkd7SeJh+3f7rutzVmaNbR1J8wM6ygXW6KFfFeuqIQAPLWzMXJkCMnHtRAFsa0nr4Q4BBtat6Q/98hdNDA==" saltValue="I+u5UfHDiyORCg/fIcQO6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5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5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5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5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5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5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5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5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5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gS0tdgut4A8RgyGxNXNl1E8t2TEBeJuc9YDUJhHAk0Sk8mLK3wl5OicO2vlOwGbleiTxZpye4T5YiUfRKHzs5A==" saltValue="2VxbdhVAsdHtPlWJOHl0Ag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307</v>
      </c>
    </row>
    <row r="2" spans="1:7" ht="14.25" customHeight="1" x14ac:dyDescent="0.3">
      <c r="A2" s="122" t="s">
        <v>237</v>
      </c>
      <c r="B2" s="107"/>
      <c r="C2" s="105" t="s">
        <v>97</v>
      </c>
      <c r="D2" s="105" t="s">
        <v>93</v>
      </c>
      <c r="E2" s="105" t="s">
        <v>96</v>
      </c>
      <c r="F2" s="105" t="s">
        <v>94</v>
      </c>
      <c r="G2" s="105" t="s">
        <v>95</v>
      </c>
    </row>
    <row r="3" spans="1:7" ht="14.25" customHeight="1" x14ac:dyDescent="0.25">
      <c r="B3" s="117" t="s">
        <v>294</v>
      </c>
      <c r="C3" s="118" t="s">
        <v>8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280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277</v>
      </c>
    </row>
    <row r="6" spans="1:7" ht="14.25" customHeight="1" x14ac:dyDescent="0.25">
      <c r="B6" s="117" t="s">
        <v>222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213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196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233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232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301</v>
      </c>
    </row>
    <row r="13" spans="1:7" ht="14.25" customHeight="1" x14ac:dyDescent="0.3">
      <c r="A13" s="123"/>
      <c r="B13" s="117" t="s">
        <v>211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308</v>
      </c>
    </row>
    <row r="16" spans="1:7" ht="14.25" customHeight="1" x14ac:dyDescent="0.3">
      <c r="A16" s="122" t="s">
        <v>311</v>
      </c>
      <c r="B16" s="117" t="s">
        <v>288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285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124</v>
      </c>
      <c r="B18" s="117" t="s">
        <v>291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304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199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307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237</v>
      </c>
      <c r="B26" s="107"/>
      <c r="C26" s="105" t="s">
        <v>97</v>
      </c>
      <c r="D26" s="105" t="s">
        <v>93</v>
      </c>
      <c r="E26" s="105" t="s">
        <v>96</v>
      </c>
      <c r="F26" s="105" t="s">
        <v>94</v>
      </c>
      <c r="G26" s="105" t="s">
        <v>95</v>
      </c>
    </row>
    <row r="27" spans="1:7" x14ac:dyDescent="0.25">
      <c r="B27" s="117" t="s">
        <v>295</v>
      </c>
      <c r="C27" s="118" t="s">
        <v>8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281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278</v>
      </c>
    </row>
    <row r="30" spans="1:7" x14ac:dyDescent="0.25">
      <c r="B30" s="117" t="s">
        <v>309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299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27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314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312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302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297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308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311</v>
      </c>
      <c r="B40" s="117" t="s">
        <v>289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286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124</v>
      </c>
      <c r="B42" s="117" t="s">
        <v>292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305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283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276</v>
      </c>
    </row>
    <row r="49" spans="1:7" ht="13" x14ac:dyDescent="0.3">
      <c r="A49" s="120" t="s">
        <v>307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237</v>
      </c>
      <c r="B50" s="107"/>
      <c r="C50" s="105" t="s">
        <v>97</v>
      </c>
      <c r="D50" s="105" t="s">
        <v>93</v>
      </c>
      <c r="E50" s="105" t="s">
        <v>96</v>
      </c>
      <c r="F50" s="105" t="s">
        <v>94</v>
      </c>
      <c r="G50" s="105" t="s">
        <v>95</v>
      </c>
    </row>
    <row r="51" spans="1:7" x14ac:dyDescent="0.25">
      <c r="B51" s="117" t="s">
        <v>296</v>
      </c>
      <c r="C51" s="118" t="s">
        <v>8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282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279</v>
      </c>
    </row>
    <row r="54" spans="1:7" x14ac:dyDescent="0.25">
      <c r="B54" s="117" t="s">
        <v>310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300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28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315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313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298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308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311</v>
      </c>
      <c r="B64" s="117" t="s">
        <v>290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287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124</v>
      </c>
      <c r="B66" s="117" t="s">
        <v>293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306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284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o1QU9NhvD/jLdbnkHK7xjETfPn3cHmbmmkyRrbh9u00Q6RLjBIXNTWn3ur79G9cP5nBJKckMLDTpMGTA1fonUg==" saltValue="D/zXQUAv7xxbvXHkcvfJ1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192</v>
      </c>
      <c r="B1" s="105"/>
      <c r="C1" s="105" t="s">
        <v>71</v>
      </c>
      <c r="D1" s="105" t="s">
        <v>78</v>
      </c>
      <c r="E1" s="105" t="s">
        <v>70</v>
      </c>
      <c r="F1" s="107" t="s">
        <v>77</v>
      </c>
    </row>
    <row r="2" spans="1:6" ht="15.75" customHeight="1" x14ac:dyDescent="0.25">
      <c r="A2" s="117" t="s">
        <v>194</v>
      </c>
      <c r="B2" s="117" t="s">
        <v>317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316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195</v>
      </c>
      <c r="B4" s="117" t="s">
        <v>317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207</v>
      </c>
      <c r="B6" s="117" t="s">
        <v>317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316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208</v>
      </c>
      <c r="B8" s="117" t="s">
        <v>317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316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209</v>
      </c>
      <c r="B10" s="117" t="s">
        <v>317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316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214</v>
      </c>
      <c r="B12" s="117" t="s">
        <v>317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316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220</v>
      </c>
      <c r="B14" s="117" t="s">
        <v>317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316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192</v>
      </c>
      <c r="B18" s="105"/>
      <c r="C18" s="105" t="s">
        <v>71</v>
      </c>
      <c r="D18" s="105" t="s">
        <v>78</v>
      </c>
      <c r="E18" s="105" t="s">
        <v>70</v>
      </c>
      <c r="F18" s="107" t="s">
        <v>77</v>
      </c>
    </row>
    <row r="19" spans="1:6" ht="15.75" customHeight="1" x14ac:dyDescent="0.25">
      <c r="A19" s="117" t="s">
        <v>194</v>
      </c>
      <c r="B19" s="117" t="s">
        <v>317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316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195</v>
      </c>
      <c r="B21" s="117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207</v>
      </c>
      <c r="B23" s="117" t="s">
        <v>317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316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208</v>
      </c>
      <c r="B25" s="117" t="s">
        <v>317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316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209</v>
      </c>
      <c r="B27" s="117" t="s">
        <v>317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316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214</v>
      </c>
      <c r="B29" s="117" t="s">
        <v>317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316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220</v>
      </c>
      <c r="B31" s="117" t="s">
        <v>317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316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276</v>
      </c>
    </row>
    <row r="35" spans="1:6" ht="15.75" customHeight="1" x14ac:dyDescent="0.3">
      <c r="A35" s="107" t="s">
        <v>192</v>
      </c>
      <c r="B35" s="105"/>
      <c r="C35" s="105" t="s">
        <v>71</v>
      </c>
      <c r="D35" s="105" t="s">
        <v>78</v>
      </c>
      <c r="E35" s="105" t="s">
        <v>70</v>
      </c>
      <c r="F35" s="107" t="s">
        <v>77</v>
      </c>
    </row>
    <row r="36" spans="1:6" ht="15.75" customHeight="1" x14ac:dyDescent="0.25">
      <c r="A36" s="117" t="s">
        <v>194</v>
      </c>
      <c r="B36" s="117" t="s">
        <v>317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316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195</v>
      </c>
      <c r="B38" s="117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207</v>
      </c>
      <c r="B40" s="117" t="s">
        <v>317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316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208</v>
      </c>
      <c r="B42" s="117" t="s">
        <v>317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316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209</v>
      </c>
      <c r="B44" s="117" t="s">
        <v>317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316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214</v>
      </c>
      <c r="B46" s="117" t="s">
        <v>317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316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220</v>
      </c>
      <c r="B48" s="117" t="s">
        <v>317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316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WLwC8oHGtP6bAFG1TMd2Bhgb6hJ1lYL3fohznqlNIlkiaPZx2gKUOT5MkGPXffFd41LXHNQpLExitH44aG5j3g==" saltValue="xHLnDcsZXhNlADfFTXLk/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6ZtPjqhwIbGUo1OTm1lBvCUguz3ZQ+7lLjos8Je3d1XE+EKGA1hzK4zNAmv0ti9FTj5W+U3f5zu/TA2ssE2/kA==" saltValue="4TWvzBaa2uZxwfzfTIXhK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CDfoasYDIpfa117hRXhHX5fcM83Zjim8pgeobEuYELbMMFBy9adwZWBZwNsyzqzf2CvsDkV7z1PvBFK0F9+8IQ==" saltValue="Co7+QDy+0l1MnJ9KWylbs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213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iD6xOInfGNSOpOUjmFQvTGigA0x0FbWPDNDAl/siIA7U1lL2+TGEo+2NHJS+cejD88wdT5K4VtksSbwIY6OMoA==" saltValue="+q7fox6XVjNuUY8LSANo0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MACe0f53atBG9PmAkT5hTCWJMlDttTpUlUEHn4ulwJ/6IK1W6x6jOb8BwUXroCE2PPOjS8WzyHU/PStVF9IGHQ==" saltValue="ip58cHVJegLgXRfr5HJvW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192</v>
      </c>
      <c r="B1" s="4" t="s">
        <v>371</v>
      </c>
      <c r="C1" s="82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5" t="s">
        <v>225</v>
      </c>
      <c r="B2" s="5" t="s">
        <v>103</v>
      </c>
      <c r="C2" s="5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222</v>
      </c>
      <c r="B5" s="5" t="s">
        <v>236</v>
      </c>
      <c r="C5" s="5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213</v>
      </c>
      <c r="B9" s="5" t="s">
        <v>236</v>
      </c>
      <c r="C9" s="5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233</v>
      </c>
      <c r="B13" s="5" t="s">
        <v>236</v>
      </c>
      <c r="C13" s="5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196</v>
      </c>
      <c r="B17" s="5" t="s">
        <v>236</v>
      </c>
      <c r="C17" s="5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369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6</v>
      </c>
      <c r="C19" s="5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202</v>
      </c>
      <c r="B21" s="5" t="s">
        <v>111</v>
      </c>
      <c r="C21" s="5" t="s">
        <v>368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370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200</v>
      </c>
      <c r="B23" s="5" t="s">
        <v>111</v>
      </c>
      <c r="C23" s="5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201</v>
      </c>
      <c r="B25" s="5" t="s">
        <v>111</v>
      </c>
      <c r="C25" s="5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229</v>
      </c>
      <c r="B27" s="5" t="s">
        <v>103</v>
      </c>
      <c r="C27" s="5" t="s">
        <v>368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370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369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230</v>
      </c>
      <c r="B30" s="5" t="s">
        <v>103</v>
      </c>
      <c r="C30" s="5" t="s">
        <v>368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370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369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228</v>
      </c>
      <c r="B33" s="5" t="s">
        <v>103</v>
      </c>
      <c r="C33" s="5" t="s">
        <v>368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370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369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227</v>
      </c>
      <c r="B36" s="5" t="s">
        <v>103</v>
      </c>
      <c r="C36" s="5" t="s">
        <v>368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370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369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226</v>
      </c>
      <c r="B39" s="5" t="s">
        <v>103</v>
      </c>
      <c r="C39" s="5" t="s">
        <v>368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370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369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232</v>
      </c>
      <c r="B42" s="5" t="s">
        <v>103</v>
      </c>
      <c r="C42" s="5" t="s">
        <v>368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370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369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121</v>
      </c>
      <c r="C45" s="5" t="s">
        <v>368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370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369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221</v>
      </c>
      <c r="B48" s="5" t="s">
        <v>103</v>
      </c>
      <c r="C48" s="5" t="s">
        <v>368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370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231</v>
      </c>
      <c r="B50" s="5" t="s">
        <v>103</v>
      </c>
      <c r="C50" s="5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370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211</v>
      </c>
      <c r="B52" s="5" t="s">
        <v>115</v>
      </c>
      <c r="C52" s="5" t="s">
        <v>368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370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360</v>
      </c>
      <c r="B55" s="97"/>
      <c r="C55" s="97"/>
    </row>
    <row r="56" spans="1:8" ht="13" x14ac:dyDescent="0.3">
      <c r="A56" s="4" t="s">
        <v>192</v>
      </c>
      <c r="B56" s="4" t="s">
        <v>371</v>
      </c>
      <c r="C56" s="82" t="s">
        <v>9</v>
      </c>
      <c r="D56" s="4" t="s">
        <v>97</v>
      </c>
      <c r="E56" s="4" t="s">
        <v>93</v>
      </c>
      <c r="F56" s="4" t="s">
        <v>96</v>
      </c>
      <c r="G56" s="4" t="s">
        <v>94</v>
      </c>
      <c r="H56" s="4" t="s">
        <v>95</v>
      </c>
    </row>
    <row r="57" spans="1:8" x14ac:dyDescent="0.25">
      <c r="A57" s="5" t="s">
        <v>225</v>
      </c>
      <c r="B57" s="5" t="s">
        <v>103</v>
      </c>
      <c r="C57" s="5" t="s">
        <v>368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370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369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222</v>
      </c>
      <c r="B60" s="5" t="s">
        <v>236</v>
      </c>
      <c r="C60" s="5" t="s">
        <v>368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369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213</v>
      </c>
      <c r="B64" s="5" t="s">
        <v>236</v>
      </c>
      <c r="C64" s="5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233</v>
      </c>
      <c r="B68" s="5" t="s">
        <v>236</v>
      </c>
      <c r="C68" s="5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369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368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369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196</v>
      </c>
      <c r="B72" s="5" t="s">
        <v>236</v>
      </c>
      <c r="C72" s="5" t="s">
        <v>368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6</v>
      </c>
      <c r="C74" s="5" t="s">
        <v>368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369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202</v>
      </c>
      <c r="B76" s="5" t="s">
        <v>111</v>
      </c>
      <c r="C76" s="5" t="s">
        <v>368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370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200</v>
      </c>
      <c r="B78" s="5" t="s">
        <v>111</v>
      </c>
      <c r="C78" s="5" t="s">
        <v>368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370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201</v>
      </c>
      <c r="B80" s="5" t="s">
        <v>111</v>
      </c>
      <c r="C80" s="5" t="s">
        <v>368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370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229</v>
      </c>
      <c r="B82" s="5" t="s">
        <v>103</v>
      </c>
      <c r="C82" s="5" t="s">
        <v>368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370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369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230</v>
      </c>
      <c r="B85" s="5" t="s">
        <v>103</v>
      </c>
      <c r="C85" s="5" t="s">
        <v>368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370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369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228</v>
      </c>
      <c r="B88" s="5" t="s">
        <v>103</v>
      </c>
      <c r="C88" s="5" t="s">
        <v>368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370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369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227</v>
      </c>
      <c r="B91" s="5" t="s">
        <v>103</v>
      </c>
      <c r="C91" s="5" t="s">
        <v>368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370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369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226</v>
      </c>
      <c r="B94" s="5" t="s">
        <v>103</v>
      </c>
      <c r="C94" s="5" t="s">
        <v>368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370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369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232</v>
      </c>
      <c r="B97" s="5" t="s">
        <v>103</v>
      </c>
      <c r="C97" s="5" t="s">
        <v>368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370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369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121</v>
      </c>
      <c r="C100" s="5" t="s">
        <v>368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370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369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221</v>
      </c>
      <c r="B103" s="5" t="s">
        <v>103</v>
      </c>
      <c r="C103" s="5" t="s">
        <v>368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370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231</v>
      </c>
      <c r="B105" s="5" t="s">
        <v>103</v>
      </c>
      <c r="C105" s="5" t="s">
        <v>368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370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211</v>
      </c>
      <c r="B107" s="5" t="s">
        <v>115</v>
      </c>
      <c r="C107" s="5" t="s">
        <v>368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370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367</v>
      </c>
      <c r="B110" s="97"/>
      <c r="C110" s="97"/>
    </row>
    <row r="111" spans="1:8" ht="13" x14ac:dyDescent="0.3">
      <c r="A111" s="4" t="s">
        <v>192</v>
      </c>
      <c r="B111" s="4" t="s">
        <v>371</v>
      </c>
      <c r="C111" s="82" t="s">
        <v>9</v>
      </c>
      <c r="D111" s="4" t="s">
        <v>97</v>
      </c>
      <c r="E111" s="4" t="s">
        <v>93</v>
      </c>
      <c r="F111" s="4" t="s">
        <v>96</v>
      </c>
      <c r="G111" s="4" t="s">
        <v>94</v>
      </c>
      <c r="H111" s="4" t="s">
        <v>95</v>
      </c>
    </row>
    <row r="112" spans="1:8" x14ac:dyDescent="0.25">
      <c r="A112" s="5" t="s">
        <v>225</v>
      </c>
      <c r="B112" s="5" t="s">
        <v>103</v>
      </c>
      <c r="C112" s="5" t="s">
        <v>368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370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369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222</v>
      </c>
      <c r="B115" s="5" t="s">
        <v>236</v>
      </c>
      <c r="C115" s="5" t="s">
        <v>368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369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368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369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213</v>
      </c>
      <c r="B119" s="5" t="s">
        <v>236</v>
      </c>
      <c r="C119" s="5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233</v>
      </c>
      <c r="B123" s="5" t="s">
        <v>236</v>
      </c>
      <c r="C123" s="5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369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368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369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196</v>
      </c>
      <c r="B127" s="5" t="s">
        <v>236</v>
      </c>
      <c r="C127" s="5" t="s">
        <v>368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369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6</v>
      </c>
      <c r="C129" s="5" t="s">
        <v>368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369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202</v>
      </c>
      <c r="B131" s="5" t="s">
        <v>111</v>
      </c>
      <c r="C131" s="5" t="s">
        <v>368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370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200</v>
      </c>
      <c r="B133" s="5" t="s">
        <v>111</v>
      </c>
      <c r="C133" s="5" t="s">
        <v>368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370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201</v>
      </c>
      <c r="B135" s="5" t="s">
        <v>111</v>
      </c>
      <c r="C135" s="5" t="s">
        <v>368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370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229</v>
      </c>
      <c r="B137" s="5" t="s">
        <v>103</v>
      </c>
      <c r="C137" s="5" t="s">
        <v>368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370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369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230</v>
      </c>
      <c r="B140" s="5" t="s">
        <v>103</v>
      </c>
      <c r="C140" s="5" t="s">
        <v>368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370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369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228</v>
      </c>
      <c r="B143" s="5" t="s">
        <v>103</v>
      </c>
      <c r="C143" s="5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370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227</v>
      </c>
      <c r="B146" s="5" t="s">
        <v>103</v>
      </c>
      <c r="C146" s="5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226</v>
      </c>
      <c r="B149" s="5" t="s">
        <v>103</v>
      </c>
      <c r="C149" s="5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232</v>
      </c>
      <c r="B152" s="5" t="s">
        <v>103</v>
      </c>
      <c r="C152" s="5" t="s">
        <v>368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370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369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121</v>
      </c>
      <c r="C155" s="5" t="s">
        <v>368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221</v>
      </c>
      <c r="B158" s="5" t="s">
        <v>103</v>
      </c>
      <c r="C158" s="5" t="s">
        <v>368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370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231</v>
      </c>
      <c r="B160" s="5" t="s">
        <v>103</v>
      </c>
      <c r="C160" s="5" t="s">
        <v>368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370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211</v>
      </c>
      <c r="B162" s="5" t="s">
        <v>115</v>
      </c>
      <c r="C162" s="5" t="s">
        <v>368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370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vs/ZRqrwGzU/RUH11Lu9uf+R+81VCTr+wN35vVAP0qAwKZlvyjciwSusb3KiDb6j6UsaKe4KB22TNRhw8MniZg==" saltValue="BDdWs5YKffBdJ/XHVZINa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KMM8i65ZToqAnq9jXogICNnxYOWH8jaqS8iOhK1iEizAJDZYLlpAHsV7LqAV0wgQTI9VdjNJ/mam4wdKhw1iHQ==" saltValue="q9+3Q7eUH//dTYYYMXcbRg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   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2025-07-04T01:07:11Z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