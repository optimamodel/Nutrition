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436DC61-963D-4EB4-9D09-C969C26CCDE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9" i="2" l="1"/>
  <c r="A28" i="2"/>
  <c r="A29" i="2"/>
  <c r="A15" i="2"/>
  <c r="A3" i="2"/>
  <c r="A18" i="2"/>
  <c r="A34" i="2"/>
  <c r="I40" i="2"/>
  <c r="A31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<sst xmlns="http://schemas.openxmlformats.org/spreadsheetml/2006/main" count="2101" uniqueCount="341">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</sst>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1469901.34375</v>
      </c>
    </row>
    <row r="8" spans="1:3" ht="15" customHeight="1" x14ac:dyDescent="0.25">
      <c r="B8" s="5" t="s">
        <v>44</v>
      </c>
      <c r="C8" s="44">
        <v>3.3000000000000002E-2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0.89274291992187504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0.151</v>
      </c>
    </row>
    <row r="24" spans="1:3" ht="15" customHeight="1" x14ac:dyDescent="0.25">
      <c r="B24" s="15" t="s">
        <v>46</v>
      </c>
      <c r="C24" s="45">
        <v>0.51359999999999995</v>
      </c>
    </row>
    <row r="25" spans="1:3" ht="15" customHeight="1" x14ac:dyDescent="0.25">
      <c r="B25" s="15" t="s">
        <v>47</v>
      </c>
      <c r="C25" s="45">
        <v>0.27929999999999999</v>
      </c>
    </row>
    <row r="26" spans="1:3" ht="15" customHeight="1" x14ac:dyDescent="0.25">
      <c r="B26" s="15" t="s">
        <v>48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0.24516550000000001</v>
      </c>
    </row>
    <row r="30" spans="1:3" ht="14.25" customHeight="1" x14ac:dyDescent="0.25">
      <c r="B30" s="25" t="s">
        <v>63</v>
      </c>
      <c r="C30" s="99">
        <v>0.14159289999999999</v>
      </c>
    </row>
    <row r="31" spans="1:3" ht="14.25" customHeight="1" x14ac:dyDescent="0.25">
      <c r="B31" s="25" t="s">
        <v>10</v>
      </c>
      <c r="C31" s="99">
        <v>0.1189774</v>
      </c>
    </row>
    <row r="32" spans="1:3" ht="14.25" customHeight="1" x14ac:dyDescent="0.25">
      <c r="B32" s="25" t="s">
        <v>11</v>
      </c>
      <c r="C32" s="99">
        <v>0.49426419999999999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6.6514800000000003</v>
      </c>
    </row>
    <row r="38" spans="1:5" ht="15" customHeight="1" x14ac:dyDescent="0.25">
      <c r="B38" s="11" t="s">
        <v>35</v>
      </c>
      <c r="C38" s="43">
        <v>10.72316</v>
      </c>
      <c r="D38" s="12"/>
      <c r="E38" s="13"/>
    </row>
    <row r="39" spans="1:5" ht="15" customHeight="1" x14ac:dyDescent="0.25">
      <c r="B39" s="11" t="s">
        <v>61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6.0990999999999997E-3</v>
      </c>
      <c r="D45" s="12"/>
    </row>
    <row r="46" spans="1:5" ht="15.75" customHeight="1" x14ac:dyDescent="0.25">
      <c r="B46" s="11" t="s">
        <v>51</v>
      </c>
      <c r="C46" s="45">
        <v>6.5533999999999995E-2</v>
      </c>
      <c r="D46" s="12"/>
    </row>
    <row r="47" spans="1:5" ht="15.75" customHeight="1" x14ac:dyDescent="0.25">
      <c r="B47" s="11" t="s">
        <v>59</v>
      </c>
      <c r="C47" s="45">
        <v>7.520120000000001E-2</v>
      </c>
      <c r="D47" s="12"/>
      <c r="E47" s="13"/>
    </row>
    <row r="48" spans="1:5" ht="15" customHeight="1" x14ac:dyDescent="0.25">
      <c r="B48" s="11" t="s">
        <v>58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0.55768200000000001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wWxKjaxx/aYjTQbIru5+blofd9iT+iR4mIce/3EGrQuTicFtZ5xu8bARu8WoqFDH57aRlQx8YWZrjOP3B2NpTg==" saltValue="yVwpztZJKUV7Oak0uOXR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Uf0pFqYTb9A5MeX97d0yQZpbDsjvcAeohfnn8DODPnFULq6IHAyVeEkVS2igoo1p/iNymd/g6hRxvK+7kBjRQ==" saltValue="7Zgkf9XFXRQjM2pJRmT7z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9.4421100000000091E-2</v>
      </c>
    </row>
    <row r="5" spans="1:8" ht="15.75" customHeight="1" x14ac:dyDescent="0.25">
      <c r="B5" s="19" t="s">
        <v>95</v>
      </c>
      <c r="C5" s="101">
        <v>3.2750199999999993E-2</v>
      </c>
    </row>
    <row r="6" spans="1:8" ht="15.75" customHeight="1" x14ac:dyDescent="0.25">
      <c r="B6" s="19" t="s">
        <v>91</v>
      </c>
      <c r="C6" s="101">
        <v>0.1179866</v>
      </c>
    </row>
    <row r="7" spans="1:8" ht="15.75" customHeight="1" x14ac:dyDescent="0.25">
      <c r="B7" s="19" t="s">
        <v>96</v>
      </c>
      <c r="C7" s="101">
        <v>0.40071889999999949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0.2526860000000003</v>
      </c>
    </row>
    <row r="10" spans="1:8" ht="15.75" customHeight="1" x14ac:dyDescent="0.25">
      <c r="B10" s="19" t="s">
        <v>94</v>
      </c>
      <c r="C10" s="101">
        <v>0.1014372000000001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102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2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79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99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6.7922542000000002E-2</v>
      </c>
    </row>
    <row r="27" spans="1:8" ht="15.75" customHeight="1" x14ac:dyDescent="0.25">
      <c r="B27" s="19" t="s">
        <v>89</v>
      </c>
      <c r="C27" s="101">
        <v>3.9153998000000002E-2</v>
      </c>
    </row>
    <row r="28" spans="1:8" ht="15.75" customHeight="1" x14ac:dyDescent="0.25">
      <c r="B28" s="19" t="s">
        <v>103</v>
      </c>
      <c r="C28" s="101">
        <v>0.14092202700000001</v>
      </c>
    </row>
    <row r="29" spans="1:8" ht="15.75" customHeight="1" x14ac:dyDescent="0.25">
      <c r="B29" s="19" t="s">
        <v>86</v>
      </c>
      <c r="C29" s="101">
        <v>0.29517143400000001</v>
      </c>
    </row>
    <row r="30" spans="1:8" ht="15.75" customHeight="1" x14ac:dyDescent="0.25">
      <c r="B30" s="19" t="s">
        <v>4</v>
      </c>
      <c r="C30" s="101">
        <v>4.8052300999999999E-2</v>
      </c>
    </row>
    <row r="31" spans="1:8" ht="15.75" customHeight="1" x14ac:dyDescent="0.25">
      <c r="B31" s="19" t="s">
        <v>80</v>
      </c>
      <c r="C31" s="101">
        <v>8.049626E-2</v>
      </c>
    </row>
    <row r="32" spans="1:8" ht="15.75" customHeight="1" x14ac:dyDescent="0.25">
      <c r="B32" s="19" t="s">
        <v>85</v>
      </c>
      <c r="C32" s="101">
        <v>1.1478149E-2</v>
      </c>
    </row>
    <row r="33" spans="2:3" ht="15.75" customHeight="1" x14ac:dyDescent="0.25">
      <c r="B33" s="19" t="s">
        <v>100</v>
      </c>
      <c r="C33" s="101">
        <v>0.18240295500000001</v>
      </c>
    </row>
    <row r="34" spans="2:3" ht="15.75" customHeight="1" x14ac:dyDescent="0.25">
      <c r="B34" s="19" t="s">
        <v>87</v>
      </c>
      <c r="C34" s="101">
        <v>0.13440033400000001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dzj5ThpKEElrzB3ozaWTQ8+Kc0/i9Ev1CFT0cqryr+kkC1v+Esb+1kZ/ont+AqnhxS/jQVRWfjwwRRH0lRYZ2g==" saltValue="BhI1HvZ0C0Jy9i5d1a2I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110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106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107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119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9J/eX4FtblGHq2jKF9C2vDwOvyUEYJV8xDJooNIcyC4cV0hWnMJhM/wDgFJ3//6jZ4AA8+qHCPY/xG4qFAh8A==" saltValue="/XU9ZHUEm2t6imrhV5wr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125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TzwnihJ0Fjxt6tXfjn3RHC1HwsXfGVz8p3t1K9tWHIxWjITMk/ZOkYPeITF6N54p8JpQU0mK3sTkvTYV6vctAw==" saltValue="CofNJwjh5UM7fEoSqEhf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TPNEo34ybifJsmrOYDW9E3bR81vSJ/m4Qh4NqjjOK/oazipqHvODh5WU/EAsprq+pWaUV+vqaSdZXGt7wlQOQ==" saltValue="+i6C59rrpXmueD80SDn6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C1pHVKnE606kYx3vhTDV88B6q4knZhqXVbJ60CB8PVkEhRITMypKqwFmVM+bfC9t+6LiDVjGXNiOkPNe5FNVzg==" saltValue="OlJBpceclIe+9XTmqTr8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c9l5fZlU56k9FhaTCTEtJsmeRrbKeEtdFTYCK8EZcDjK+igh4Er0yb5EsxloKLcs++YKMaE7FWkKJXzz/bQVg==" saltValue="7C7EhPKrOzm5PHnmQ88W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v9E9XuKvWz4fxFABkJ9LgRdXfBEsNWgogWkAFlsjkDyjvhfaov27cRV8DXVKt6KO2zNyUDkG/ncPHk3CO/Pmw==" saltValue="e7dnjnGDBsFaEuJH29PX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69.98595024529601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40.148121577173832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601.85268684878201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1.888708090027355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13.28042102096974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13.28042102096974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13.28042102096974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13.28042102096974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13.28042102096974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13.28042102096974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0.98718682086509035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0.52564722222222204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0.57190620000000003</v>
      </c>
      <c r="C18" s="98">
        <v>0.95</v>
      </c>
      <c r="D18" s="56">
        <v>13.818442191631251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0.57190620000000003</v>
      </c>
      <c r="C19" s="98">
        <v>0.95</v>
      </c>
      <c r="D19" s="56">
        <v>13.818442191631251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30.960439902477539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0.68347109796406003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18.844293755198361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0.44999919999999999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0.58568469999999995</v>
      </c>
      <c r="C29" s="98">
        <v>0.95</v>
      </c>
      <c r="D29" s="56">
        <v>140.93703453269751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0.69989222611764845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2.147228290957607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0.8722955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0.91284360000000009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3.4506874250287209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ig4jco9DA9NcdoNogM3OaVuZurdM7NMcmGAW2ZJHL+R8NW2X4vqg0FI5zSNSkq1Zwj5IY1aVZaccHej3sszlw==" saltValue="g823GHa4jzbwObGXlvqI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q3IDJrdJBy8FpKRG06L2r3hTqylk+ulXaBt4i6aisDdSt9AsceY09TH1y/vRvZJQYILh+24D+JFI7nnbCquow==" saltValue="wccFmskPkVm8/YdA4nX/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EW4k1yXy9d2S0+LGiXuWbfoaHIN6SLTmFV03/SsefYr2eTG3JMgSQC39XEeVRtXYH1jJxtWKSYbZfEovcNISQ==" saltValue="JDmT7HiC8bQaD9bgl8nj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207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IfdHudusoe/rmkgdo0wJtlznGmcxkbDdAVxo1qUVwabi2p8bjMkSnf189Uz7wmSBMkhg33a30EEPPMNwmzO+tA==" saltValue="K6k03dVmc49fJrWcf/L1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0l+VQ1PfLTxxoRTI2LQf2yaz1eWvop+Lz8k0Cldqgt30RVjH2rKjAgmk/J/pCbU7laGfEqi1jiRGm+g8Umuwg==" saltValue="apelD2/oB+JgqQuhdfKf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KzdWenVkCybEDP9cTDA5IiykaQZpLLdGjKAAPfkfKos3WvLtiya1cvySXk4JSNkkF1Ci/3P/o51IbvGUTXeig==" saltValue="4VFI2G3BYZvCs254Bze8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ULbHAzG/cLj2qFwWPckU2kjIyV+JbxFnNPfn1MixyoF4blqmqBObDYpgGEgTOD15XEK7ePe+RqdGMeeHMB71w==" saltValue="c2vyWa/0Unf1QQUQlxLE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S3M2iBIOZaldGV7J7MHYyT+zKgZWwm3yfkxSyzT+4O1saW5qencHfjG0xYyNxyIMZH5mGGyLjT1gdRJsH1CjQ==" saltValue="8UJWWo61JI3XFkH4eras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4n8CexSbrdoqtKK2PIFhBFcC/UYYHkACSdx6wr/xbOym1rBwv44HWCkRHnhAVeg1Ku8M2V2hNS4GpilxtYIYrQ==" saltValue="r6oj2z0KWxBMbGBfGBFf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2vyGXqZRThL55+SOprLsZbP0uqQqRrjuIBaPw6mN7K/Nl+jyxXM9nY88vdsVlYqP44MK2V4YCeAbUThJRdSzfA==" saltValue="liV9kcOsBuGl4WiX8+Q2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QxWL88aAJxAXnmbSoPFrAW8jvxx5j/p6az5D5VEIp1c93zKJc6HP9go/xHG259bVSoVcKq/i0Q3m8XDkFPB5Q==" saltValue="sAsr7oIDk1kHLFGD1Aw5u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J5cQf7NgXvR6oTpFZ7O1/2NGIPdqe+zK6jhNlR+tZOMssFLabYXFJ1+ar+2SruTnFN+/+QmQuibHP+8jUVfjA==" saltValue="N9gcXCCm3ngUWe9/Q/BO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oKW26Rq+OxxaPBTZ23fA4CuKjZ+sncBiYo7grNzs8W5Zo/hGqXoX83mFH/wj55Ce0w1lzicnO0V/ob3oP9HHA==" saltValue="airbU61dyaL1UJMKLUY3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tZ4JAB4cLKIyLWe5c7jyasyV3NhwLq68HJStiCwhUnvi6Jz7oOC8aD+3U4sqstph9mvrjFw/mvdU/hHi8jETw==" saltValue="wLJ1FV+/ICWWABgeM+4+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H3KCgw/vvYQOCqeqn8Pei0trb9ESdQ2/8v6ZK2iFBDnbw59VsljU2GBecRcbUKt3zPqQwe9+vVHL332Y+ubGw==" saltValue="6q8lSjYY0SR0sZLkq+Kz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IDRwhH6py5WFaplIRaFk6PCQOjMmj5dizxJwW/AZ1MFrJtcmPhdGsg9JZxCjHhCNGMbND7JZSebytrzMLD4Eg==" saltValue="gvFeqKZril8WD+H+GRvY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rgwx8wjwgjC7qDq83+vJUpC8e8xDHHBaO3KBEBfT0esihLzAs1qoiMl3z1uo4UqovAW1WAG2S60zoNTWYcP2g==" saltValue="3V52IhrgiEf3qxK12yss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0.10792377018573929</v>
      </c>
      <c r="G18" s="90">
        <f>MIN(MAX(1-0.89/(1-frac_sam_12_23months+(frac_sam_12_23months*0.89)),0),1)</f>
        <v>0.10864096538117451</v>
      </c>
      <c r="H18" s="90">
        <f>MIN(MAX(1-0.89/(1-frac_sam_24_59months+(frac_sam_24_59months*0.89)),0),1)</f>
        <v>0.10899839480154183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0.10527545085976797</v>
      </c>
      <c r="G20" s="90">
        <f>MIN(MAX(1-0.89/(1-frac_mam_12_23months+(frac_mam_12_23months*0.89)),0),1)</f>
        <v>0.10858152143179356</v>
      </c>
      <c r="H20" s="90">
        <f>MIN(MAX(1-0.89/(1-frac_mam_24_59months+(frac_mam_24_59months*0.89)),0),1)</f>
        <v>0.10840272934594408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9.7904885009284515E-3</v>
      </c>
      <c r="G73" s="90">
        <f>MIN(MAX(1-0.99/(1-frac_sam_12_23months+(frac_sam_12_23months*0.99)),0),1)</f>
        <v>9.8627600475820199E-3</v>
      </c>
      <c r="H73" s="90">
        <f>MIN(MAX(1-0.99/(1-frac_sam_24_59months+(frac_sam_24_59months*0.99)),0),1)</f>
        <v>9.8988175997658523E-3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9.5245311654652554E-3</v>
      </c>
      <c r="G75" s="90">
        <f>MIN(MAX(1-0.99/(1-frac_mam_12_23months+(frac_mam_12_23months*0.99)),0),1)</f>
        <v>9.8567658797521496E-3</v>
      </c>
      <c r="H75" s="90">
        <f>MIN(MAX(1-0.99/(1-frac_mam_24_59months+(frac_mam_24_59months*0.99)),0),1)</f>
        <v>9.8387413472545981E-3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0.19660028556441145</v>
      </c>
      <c r="G128" s="90">
        <f>MIN(MAX(1-0.8/(1-frac_sam_12_23months+(frac_sam_12_23months*0.8)),0),1)</f>
        <v>0.19777612310189574</v>
      </c>
      <c r="H128" s="90">
        <f>MIN(MAX(1-0.8/(1-frac_sam_24_59months+(frac_sam_24_59months*0.8)),0),1)</f>
        <v>0.19836154719908927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0.19224488857109112</v>
      </c>
      <c r="G130" s="90">
        <f>MIN(MAX(1-0.8/(1-frac_mam_12_23months+(frac_mam_12_23months*0.8)),0),1)</f>
        <v>0.19767872408452136</v>
      </c>
      <c r="H130" s="90">
        <f>MIN(MAX(1-0.8/(1-frac_mam_24_59months+(frac_mam_24_59months*0.8)),0),1)</f>
        <v>0.19738570867802019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LsbtwWJ9hI+8V1s5ldZiVUka+UCwkPlp4z6HLHaUswvyA19uBvXd2/O76UirM82BdzafxHurTg88kKmEVmCwg==" saltValue="LYkkjVnVpEUtwTZqUxZ5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69jU4ANFsJinD9Ac6aA9+9K4vi4dH3qBjDTl1GuRt8nzClLq660oHVA4V72L7aKYG8SI7fipbUY30gAVIAsSDg==" saltValue="TPNojOUujrLvfVGRWpwc9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2024-08-06T07:33:59Z</dcterms:modified>
</cp:coreProperties>
</file>