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56A7E9D3-C589-479D-98A2-A57A06644753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<sst xmlns="http://schemas.openxmlformats.org/spreadsheetml/2006/main" count="2102" uniqueCount="341">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</sst>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1469901.34375</v>
      </c>
    </row>
    <row r="8" spans="1:3" ht="15" customHeight="1" x14ac:dyDescent="0.25">
      <c r="B8" s="5" t="s">
        <v>44</v>
      </c>
      <c r="C8" s="44">
        <v>3.3000000000000002E-2</v>
      </c>
    </row>
    <row r="9" spans="1:3" ht="15" customHeight="1" x14ac:dyDescent="0.25">
      <c r="B9" s="5" t="s">
        <v>43</v>
      </c>
      <c r="C9" s="45">
        <v>0.01</v>
      </c>
    </row>
    <row r="10" spans="1:3" ht="15" customHeight="1" x14ac:dyDescent="0.25">
      <c r="B10" s="5" t="s">
        <v>56</v>
      </c>
      <c r="C10" s="45">
        <v>0.89274291992187504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0.193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0.151</v>
      </c>
    </row>
    <row r="24" spans="1:3" ht="15" customHeight="1" x14ac:dyDescent="0.25">
      <c r="B24" s="15" t="s">
        <v>46</v>
      </c>
      <c r="C24" s="45">
        <v>0.51359999999999995</v>
      </c>
    </row>
    <row r="25" spans="1:3" ht="15" customHeight="1" x14ac:dyDescent="0.25">
      <c r="B25" s="15" t="s">
        <v>47</v>
      </c>
      <c r="C25" s="45">
        <v>0.27929999999999999</v>
      </c>
    </row>
    <row r="26" spans="1:3" ht="15" customHeight="1" x14ac:dyDescent="0.25">
      <c r="B26" s="15" t="s">
        <v>48</v>
      </c>
      <c r="C26" s="45">
        <v>5.6099999999999997E-2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0.24516550000000001</v>
      </c>
    </row>
    <row r="30" spans="1:3" ht="14.25" customHeight="1" x14ac:dyDescent="0.25">
      <c r="B30" s="25" t="s">
        <v>63</v>
      </c>
      <c r="C30" s="99">
        <v>0.14159289999999999</v>
      </c>
    </row>
    <row r="31" spans="1:3" ht="14.25" customHeight="1" x14ac:dyDescent="0.25">
      <c r="B31" s="25" t="s">
        <v>10</v>
      </c>
      <c r="C31" s="99">
        <v>0.1189774</v>
      </c>
    </row>
    <row r="32" spans="1:3" ht="14.25" customHeight="1" x14ac:dyDescent="0.25">
      <c r="B32" s="25" t="s">
        <v>11</v>
      </c>
      <c r="C32" s="99">
        <v>0.49426419999999999</v>
      </c>
    </row>
    <row r="33" spans="1:5" ht="13" customHeight="1" x14ac:dyDescent="0.25">
      <c r="B33" s="27" t="s">
        <v>60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6.6514800000000003</v>
      </c>
    </row>
    <row r="38" spans="1:5" ht="15" customHeight="1" x14ac:dyDescent="0.25">
      <c r="B38" s="11" t="s">
        <v>35</v>
      </c>
      <c r="C38" s="43">
        <v>10.72316</v>
      </c>
      <c r="D38" s="12"/>
      <c r="E38" s="13"/>
    </row>
    <row r="39" spans="1:5" ht="15" customHeight="1" x14ac:dyDescent="0.25">
      <c r="B39" s="11" t="s">
        <v>61</v>
      </c>
      <c r="C39" s="43">
        <v>12.46062</v>
      </c>
      <c r="D39" s="12"/>
      <c r="E39" s="12"/>
    </row>
    <row r="40" spans="1:5" ht="15" customHeight="1" x14ac:dyDescent="0.25">
      <c r="B40" s="11" t="s">
        <v>36</v>
      </c>
      <c r="C40" s="100">
        <v>0.66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8.8524999999999991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6.0990999999999997E-3</v>
      </c>
      <c r="D45" s="12"/>
    </row>
    <row r="46" spans="1:5" ht="15.75" customHeight="1" x14ac:dyDescent="0.25">
      <c r="B46" s="11" t="s">
        <v>51</v>
      </c>
      <c r="C46" s="45">
        <v>6.5533999999999995E-2</v>
      </c>
      <c r="D46" s="12"/>
    </row>
    <row r="47" spans="1:5" ht="15.75" customHeight="1" x14ac:dyDescent="0.25">
      <c r="B47" s="11" t="s">
        <v>59</v>
      </c>
      <c r="C47" s="45">
        <v>7.520120000000001E-2</v>
      </c>
      <c r="D47" s="12"/>
      <c r="E47" s="13"/>
    </row>
    <row r="48" spans="1:5" ht="15" customHeight="1" x14ac:dyDescent="0.25">
      <c r="B48" s="11" t="s">
        <v>58</v>
      </c>
      <c r="C48" s="46">
        <v>0.85316570000000003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3.2</v>
      </c>
      <c r="D51" s="12"/>
    </row>
    <row r="52" spans="1:4" ht="15" customHeight="1" x14ac:dyDescent="0.25">
      <c r="B52" s="11" t="s">
        <v>13</v>
      </c>
      <c r="C52" s="100">
        <v>3.2</v>
      </c>
    </row>
    <row r="53" spans="1:4" ht="15.75" customHeight="1" x14ac:dyDescent="0.25">
      <c r="B53" s="11" t="s">
        <v>16</v>
      </c>
      <c r="C53" s="100">
        <v>3.2</v>
      </c>
    </row>
    <row r="54" spans="1:4" ht="15.75" customHeight="1" x14ac:dyDescent="0.25">
      <c r="B54" s="11" t="s">
        <v>14</v>
      </c>
      <c r="C54" s="100">
        <v>3.2</v>
      </c>
    </row>
    <row r="55" spans="1:4" ht="15.75" customHeight="1" x14ac:dyDescent="0.25">
      <c r="B55" s="11" t="s">
        <v>15</v>
      </c>
      <c r="C55" s="100">
        <v>3.2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1.9375E-2</v>
      </c>
    </row>
    <row r="59" spans="1:4" ht="15.75" customHeight="1" x14ac:dyDescent="0.25">
      <c r="B59" s="11" t="s">
        <v>40</v>
      </c>
      <c r="C59" s="45">
        <v>0.55768200000000001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0.11180640999999999</v>
      </c>
    </row>
    <row r="63" spans="1:4" ht="15.75" customHeight="1" x14ac:dyDescent="0.3">
      <c r="A63" s="4"/>
    </row>
  </sheetData>
  <sheetProtection algorithmName="SHA-512" hashValue="ZWTI2FZG+cxHIBfKfEwCmsSnATd4WyIc5u7RAIlKnIkg7qURdKyXGYjmsRF1coHo9J3T6aZgXCBxLKg8D82Qfg==" saltValue="SbONyJg+JRaDC9HskldgS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296231</v>
      </c>
      <c r="C2" s="49">
        <v>926692.5</v>
      </c>
      <c r="D2" s="49">
        <v>1542379</v>
      </c>
      <c r="E2" s="49">
        <v>1433766.5</v>
      </c>
      <c r="F2" s="49">
        <v>1023518</v>
      </c>
      <c r="G2" s="17">
        <f t="shared" ref="G2:G13" si="0">C2+D2+E2+F2</f>
        <v>4926356</v>
      </c>
      <c r="H2" s="17">
        <f t="shared" ref="H2:H13" si="1">(B2 + stillbirth*B2/(1000-stillbirth))/(1-abortion)</f>
        <v>339632.73515156563</v>
      </c>
      <c r="I2" s="17">
        <f t="shared" ref="I2:I13" si="2">G2-H2</f>
        <v>4586723.2648484344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294956</v>
      </c>
      <c r="C3" s="50">
        <v>931280.00000000012</v>
      </c>
      <c r="D3" s="50">
        <v>1537333</v>
      </c>
      <c r="E3" s="50">
        <v>1450916</v>
      </c>
      <c r="F3" s="50">
        <v>1049008</v>
      </c>
      <c r="G3" s="17">
        <f t="shared" si="0"/>
        <v>4968537</v>
      </c>
      <c r="H3" s="17">
        <f t="shared" si="1"/>
        <v>338170.93089300307</v>
      </c>
      <c r="I3" s="17">
        <f t="shared" si="2"/>
        <v>4630366.069106997</v>
      </c>
    </row>
    <row r="4" spans="1:9" ht="15.75" customHeight="1" x14ac:dyDescent="0.25">
      <c r="A4" s="5">
        <f t="shared" si="3"/>
        <v>2026</v>
      </c>
      <c r="B4" s="49">
        <v>294146</v>
      </c>
      <c r="C4" s="50">
        <v>935775.50000000012</v>
      </c>
      <c r="D4" s="50">
        <v>1532273.5</v>
      </c>
      <c r="E4" s="50">
        <v>1466379</v>
      </c>
      <c r="F4" s="50">
        <v>1074945.5</v>
      </c>
      <c r="G4" s="17">
        <f t="shared" si="0"/>
        <v>5009373.5</v>
      </c>
      <c r="H4" s="17">
        <f t="shared" si="1"/>
        <v>337242.25524638686</v>
      </c>
      <c r="I4" s="17">
        <f t="shared" si="2"/>
        <v>4672131.2447536131</v>
      </c>
    </row>
    <row r="5" spans="1:9" ht="15.75" customHeight="1" x14ac:dyDescent="0.25">
      <c r="A5" s="5">
        <f t="shared" si="3"/>
        <v>2027</v>
      </c>
      <c r="B5" s="49">
        <v>292903</v>
      </c>
      <c r="C5" s="50">
        <v>936716.99999999988</v>
      </c>
      <c r="D5" s="50">
        <v>1528107</v>
      </c>
      <c r="E5" s="50">
        <v>1480080.5</v>
      </c>
      <c r="F5" s="50">
        <v>1101180.5</v>
      </c>
      <c r="G5" s="17">
        <f t="shared" si="0"/>
        <v>5046085</v>
      </c>
      <c r="H5" s="17">
        <f t="shared" si="1"/>
        <v>335817.13940843131</v>
      </c>
      <c r="I5" s="17">
        <f t="shared" si="2"/>
        <v>4710267.860591569</v>
      </c>
    </row>
    <row r="6" spans="1:9" ht="15.75" customHeight="1" x14ac:dyDescent="0.25">
      <c r="A6" s="5">
        <f t="shared" si="3"/>
        <v>2028</v>
      </c>
      <c r="B6" s="49">
        <v>291859</v>
      </c>
      <c r="C6" s="50">
        <v>933218</v>
      </c>
      <c r="D6" s="50">
        <v>1525083</v>
      </c>
      <c r="E6" s="50">
        <v>1492102.5</v>
      </c>
      <c r="F6" s="50">
        <v>1127265</v>
      </c>
      <c r="G6" s="17">
        <f t="shared" si="0"/>
        <v>5077668.5</v>
      </c>
      <c r="H6" s="17">
        <f t="shared" si="1"/>
        <v>334620.17968612595</v>
      </c>
      <c r="I6" s="17">
        <f t="shared" si="2"/>
        <v>4743048.3203138737</v>
      </c>
    </row>
    <row r="7" spans="1:9" ht="15.75" customHeight="1" x14ac:dyDescent="0.25">
      <c r="A7" s="5">
        <f t="shared" si="3"/>
        <v>2029</v>
      </c>
      <c r="B7" s="49">
        <v>290915</v>
      </c>
      <c r="C7" s="50">
        <v>925958</v>
      </c>
      <c r="D7" s="50">
        <v>1523522.5</v>
      </c>
      <c r="E7" s="50">
        <v>1502197.5</v>
      </c>
      <c r="F7" s="50">
        <v>1152593</v>
      </c>
      <c r="G7" s="17">
        <f t="shared" si="0"/>
        <v>5104271</v>
      </c>
      <c r="H7" s="17">
        <f t="shared" si="1"/>
        <v>333537.8712782177</v>
      </c>
      <c r="I7" s="17">
        <f t="shared" si="2"/>
        <v>4770733.128721782</v>
      </c>
    </row>
    <row r="8" spans="1:9" ht="15.75" customHeight="1" x14ac:dyDescent="0.25">
      <c r="A8" s="5">
        <f t="shared" si="3"/>
        <v>2030</v>
      </c>
      <c r="B8" s="49">
        <v>289830</v>
      </c>
      <c r="C8" s="50">
        <v>915607.50000000012</v>
      </c>
      <c r="D8" s="50">
        <v>1524139</v>
      </c>
      <c r="E8" s="50">
        <v>1509876.5</v>
      </c>
      <c r="F8" s="50">
        <v>1176881.5</v>
      </c>
      <c r="G8" s="17">
        <f t="shared" si="0"/>
        <v>5126504.5</v>
      </c>
      <c r="H8" s="17">
        <f t="shared" si="1"/>
        <v>332293.90451700956</v>
      </c>
      <c r="I8" s="17">
        <f t="shared" si="2"/>
        <v>4794210.5954829901</v>
      </c>
    </row>
    <row r="9" spans="1:9" ht="15.75" customHeight="1" x14ac:dyDescent="0.25">
      <c r="A9" s="5">
        <f t="shared" si="3"/>
        <v>2031</v>
      </c>
      <c r="B9" s="49">
        <v>288378</v>
      </c>
      <c r="C9" s="50">
        <v>903297.5</v>
      </c>
      <c r="D9" s="50">
        <v>1527319</v>
      </c>
      <c r="E9" s="50">
        <v>1515003.5</v>
      </c>
      <c r="F9" s="50">
        <v>1199926.5</v>
      </c>
      <c r="G9" s="17">
        <f t="shared" si="0"/>
        <v>5145546.5</v>
      </c>
      <c r="H9" s="17">
        <f t="shared" si="1"/>
        <v>330629.16743196419</v>
      </c>
      <c r="I9" s="17">
        <f t="shared" si="2"/>
        <v>4814917.3325680355</v>
      </c>
    </row>
    <row r="10" spans="1:9" ht="15.75" customHeight="1" x14ac:dyDescent="0.25">
      <c r="A10" s="5">
        <f t="shared" si="3"/>
        <v>2032</v>
      </c>
      <c r="B10" s="49">
        <v>286493</v>
      </c>
      <c r="C10" s="50">
        <v>891346</v>
      </c>
      <c r="D10" s="50">
        <v>1531204</v>
      </c>
      <c r="E10" s="50">
        <v>1517886.5</v>
      </c>
      <c r="F10" s="50">
        <v>1221673</v>
      </c>
      <c r="G10" s="17">
        <f t="shared" si="0"/>
        <v>5162109.5</v>
      </c>
      <c r="H10" s="17">
        <f t="shared" si="1"/>
        <v>328467.99015557958</v>
      </c>
      <c r="I10" s="17">
        <f t="shared" si="2"/>
        <v>4833641.5098444205</v>
      </c>
    </row>
    <row r="11" spans="1:9" ht="15.75" customHeight="1" x14ac:dyDescent="0.25">
      <c r="A11" s="5">
        <f t="shared" si="3"/>
        <v>2033</v>
      </c>
      <c r="B11" s="49">
        <v>284242</v>
      </c>
      <c r="C11" s="50">
        <v>882037.49999999988</v>
      </c>
      <c r="D11" s="50">
        <v>1532831</v>
      </c>
      <c r="E11" s="50">
        <v>1518802</v>
      </c>
      <c r="F11" s="50">
        <v>1241947.5</v>
      </c>
      <c r="G11" s="17">
        <f t="shared" si="0"/>
        <v>5175618</v>
      </c>
      <c r="H11" s="17">
        <f t="shared" si="1"/>
        <v>325887.18906850164</v>
      </c>
      <c r="I11" s="17">
        <f t="shared" si="2"/>
        <v>4849730.8109314982</v>
      </c>
    </row>
    <row r="12" spans="1:9" ht="15.75" customHeight="1" x14ac:dyDescent="0.25">
      <c r="A12" s="5">
        <f t="shared" si="3"/>
        <v>2034</v>
      </c>
      <c r="B12" s="49">
        <v>281809</v>
      </c>
      <c r="C12" s="50">
        <v>875655.5</v>
      </c>
      <c r="D12" s="50">
        <v>1531551.5</v>
      </c>
      <c r="E12" s="50">
        <v>1517810.5</v>
      </c>
      <c r="F12" s="50">
        <v>1260618.5</v>
      </c>
      <c r="G12" s="17">
        <f t="shared" si="0"/>
        <v>5185636</v>
      </c>
      <c r="H12" s="17">
        <f t="shared" si="1"/>
        <v>323097.72258922108</v>
      </c>
      <c r="I12" s="17">
        <f t="shared" si="2"/>
        <v>4862538.2774107791</v>
      </c>
    </row>
    <row r="13" spans="1:9" ht="15.75" customHeight="1" x14ac:dyDescent="0.25">
      <c r="A13" s="5">
        <f t="shared" si="3"/>
        <v>2035</v>
      </c>
      <c r="B13" s="49">
        <v>280280</v>
      </c>
      <c r="C13" s="50">
        <v>871304.5</v>
      </c>
      <c r="D13" s="50">
        <v>1528052.5</v>
      </c>
      <c r="E13" s="50">
        <v>1515411</v>
      </c>
      <c r="F13" s="50">
        <v>1277903.5</v>
      </c>
      <c r="G13" s="17">
        <f t="shared" si="0"/>
        <v>5192671.5</v>
      </c>
      <c r="H13" s="17">
        <f t="shared" si="1"/>
        <v>321344.70399208996</v>
      </c>
      <c r="I13" s="17">
        <f t="shared" si="2"/>
        <v>4871326.7960079098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xWm6SoNhfSZu0W/Pd1WQ8nLLCJa+gNEr6hm6IPlLXCwQzv0IO9fYHBoYaTDFoZm9dmzHqPlhpLV+jnvFUtVOcA==" saltValue="mIJ7tei9itq8J6KhZe2Wp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0</v>
      </c>
    </row>
    <row r="4" spans="1:8" ht="15.75" customHeight="1" x14ac:dyDescent="0.25">
      <c r="B4" s="19" t="s">
        <v>97</v>
      </c>
      <c r="C4" s="101">
        <v>9.4421100000000091E-2</v>
      </c>
    </row>
    <row r="5" spans="1:8" ht="15.75" customHeight="1" x14ac:dyDescent="0.25">
      <c r="B5" s="19" t="s">
        <v>95</v>
      </c>
      <c r="C5" s="101">
        <v>3.2750199999999993E-2</v>
      </c>
    </row>
    <row r="6" spans="1:8" ht="15.75" customHeight="1" x14ac:dyDescent="0.25">
      <c r="B6" s="19" t="s">
        <v>91</v>
      </c>
      <c r="C6" s="101">
        <v>0.1179866</v>
      </c>
    </row>
    <row r="7" spans="1:8" ht="15.75" customHeight="1" x14ac:dyDescent="0.25">
      <c r="B7" s="19" t="s">
        <v>96</v>
      </c>
      <c r="C7" s="101">
        <v>0.40071889999999949</v>
      </c>
    </row>
    <row r="8" spans="1:8" ht="15.75" customHeight="1" x14ac:dyDescent="0.25">
      <c r="B8" s="19" t="s">
        <v>98</v>
      </c>
      <c r="C8" s="101">
        <v>0</v>
      </c>
    </row>
    <row r="9" spans="1:8" ht="15.75" customHeight="1" x14ac:dyDescent="0.25">
      <c r="B9" s="19" t="s">
        <v>92</v>
      </c>
      <c r="C9" s="101">
        <v>0.2526860000000003</v>
      </c>
    </row>
    <row r="10" spans="1:8" ht="15.75" customHeight="1" x14ac:dyDescent="0.25">
      <c r="B10" s="19" t="s">
        <v>94</v>
      </c>
      <c r="C10" s="101">
        <v>0.1014372000000001</v>
      </c>
    </row>
    <row r="11" spans="1:8" ht="15.75" customHeight="1" x14ac:dyDescent="0.25">
      <c r="B11" s="27" t="s">
        <v>60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5.9475555032479699E-2</v>
      </c>
      <c r="D14" s="55">
        <v>5.9475555032479699E-2</v>
      </c>
      <c r="E14" s="55">
        <v>5.9475555032479699E-2</v>
      </c>
      <c r="F14" s="55">
        <v>5.9475555032479699E-2</v>
      </c>
    </row>
    <row r="15" spans="1:8" ht="15.75" customHeight="1" x14ac:dyDescent="0.25">
      <c r="B15" s="19" t="s">
        <v>102</v>
      </c>
      <c r="C15" s="101">
        <v>0.41431394664587951</v>
      </c>
      <c r="D15" s="101">
        <v>0.41431394664587951</v>
      </c>
      <c r="E15" s="101">
        <v>0.41431394664587951</v>
      </c>
      <c r="F15" s="101">
        <v>0.41431394664587951</v>
      </c>
    </row>
    <row r="16" spans="1:8" ht="15.75" customHeight="1" x14ac:dyDescent="0.25">
      <c r="B16" s="19" t="s">
        <v>2</v>
      </c>
      <c r="C16" s="101">
        <v>2.9739062085462981E-2</v>
      </c>
      <c r="D16" s="101">
        <v>2.9739062085462981E-2</v>
      </c>
      <c r="E16" s="101">
        <v>2.9739062085462981E-2</v>
      </c>
      <c r="F16" s="101">
        <v>2.9739062085462981E-2</v>
      </c>
    </row>
    <row r="17" spans="1:8" ht="15.75" customHeight="1" x14ac:dyDescent="0.25">
      <c r="B17" s="19" t="s">
        <v>90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3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101</v>
      </c>
      <c r="C19" s="101">
        <v>1.6893002834047849E-2</v>
      </c>
      <c r="D19" s="101">
        <v>1.6893002834047849E-2</v>
      </c>
      <c r="E19" s="101">
        <v>1.6893002834047849E-2</v>
      </c>
      <c r="F19" s="101">
        <v>1.6893002834047849E-2</v>
      </c>
    </row>
    <row r="20" spans="1:8" ht="15.75" customHeight="1" x14ac:dyDescent="0.25">
      <c r="B20" s="19" t="s">
        <v>79</v>
      </c>
      <c r="C20" s="101">
        <v>4.3700973736667592E-2</v>
      </c>
      <c r="D20" s="101">
        <v>4.3700973736667592E-2</v>
      </c>
      <c r="E20" s="101">
        <v>4.3700973736667592E-2</v>
      </c>
      <c r="F20" s="101">
        <v>4.3700973736667592E-2</v>
      </c>
    </row>
    <row r="21" spans="1:8" ht="15.75" customHeight="1" x14ac:dyDescent="0.25">
      <c r="B21" s="19" t="s">
        <v>88</v>
      </c>
      <c r="C21" s="101">
        <v>0.330193747557116</v>
      </c>
      <c r="D21" s="101">
        <v>0.330193747557116</v>
      </c>
      <c r="E21" s="101">
        <v>0.330193747557116</v>
      </c>
      <c r="F21" s="101">
        <v>0.330193747557116</v>
      </c>
    </row>
    <row r="22" spans="1:8" ht="15.75" customHeight="1" x14ac:dyDescent="0.25">
      <c r="B22" s="19" t="s">
        <v>99</v>
      </c>
      <c r="C22" s="101">
        <v>0.1056837121083463</v>
      </c>
      <c r="D22" s="101">
        <v>0.1056837121083463</v>
      </c>
      <c r="E22" s="101">
        <v>0.1056837121083463</v>
      </c>
      <c r="F22" s="101">
        <v>0.1056837121083463</v>
      </c>
    </row>
    <row r="23" spans="1:8" ht="15.75" customHeight="1" x14ac:dyDescent="0.25">
      <c r="B23" s="27" t="s">
        <v>60</v>
      </c>
      <c r="C23" s="48">
        <f>SUM(C14:C22)</f>
        <v>0.99999999999999978</v>
      </c>
      <c r="D23" s="48">
        <f>SUM(D14:D22)</f>
        <v>0.99999999999999978</v>
      </c>
      <c r="E23" s="48">
        <f>SUM(E14:E22)</f>
        <v>0.99999999999999978</v>
      </c>
      <c r="F23" s="48">
        <f>SUM(F14:F22)</f>
        <v>0.99999999999999978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6.7922542000000002E-2</v>
      </c>
    </row>
    <row r="27" spans="1:8" ht="15.75" customHeight="1" x14ac:dyDescent="0.25">
      <c r="B27" s="19" t="s">
        <v>89</v>
      </c>
      <c r="C27" s="101">
        <v>3.9153998000000002E-2</v>
      </c>
    </row>
    <row r="28" spans="1:8" ht="15.75" customHeight="1" x14ac:dyDescent="0.25">
      <c r="B28" s="19" t="s">
        <v>103</v>
      </c>
      <c r="C28" s="101">
        <v>0.14092202700000001</v>
      </c>
    </row>
    <row r="29" spans="1:8" ht="15.75" customHeight="1" x14ac:dyDescent="0.25">
      <c r="B29" s="19" t="s">
        <v>86</v>
      </c>
      <c r="C29" s="101">
        <v>0.29517143400000001</v>
      </c>
    </row>
    <row r="30" spans="1:8" ht="15.75" customHeight="1" x14ac:dyDescent="0.25">
      <c r="B30" s="19" t="s">
        <v>4</v>
      </c>
      <c r="C30" s="101">
        <v>4.8052300999999999E-2</v>
      </c>
    </row>
    <row r="31" spans="1:8" ht="15.75" customHeight="1" x14ac:dyDescent="0.25">
      <c r="B31" s="19" t="s">
        <v>80</v>
      </c>
      <c r="C31" s="101">
        <v>8.049626E-2</v>
      </c>
    </row>
    <row r="32" spans="1:8" ht="15.75" customHeight="1" x14ac:dyDescent="0.25">
      <c r="B32" s="19" t="s">
        <v>85</v>
      </c>
      <c r="C32" s="101">
        <v>1.1478149E-2</v>
      </c>
    </row>
    <row r="33" spans="2:3" ht="15.75" customHeight="1" x14ac:dyDescent="0.25">
      <c r="B33" s="19" t="s">
        <v>100</v>
      </c>
      <c r="C33" s="101">
        <v>0.18240295500000001</v>
      </c>
    </row>
    <row r="34" spans="2:3" ht="15.75" customHeight="1" x14ac:dyDescent="0.25">
      <c r="B34" s="19" t="s">
        <v>87</v>
      </c>
      <c r="C34" s="101">
        <v>0.13440033400000001</v>
      </c>
    </row>
    <row r="35" spans="2:3" ht="15.75" customHeight="1" x14ac:dyDescent="0.25">
      <c r="B35" s="27" t="s">
        <v>60</v>
      </c>
      <c r="C35" s="48">
        <f>SUM(C26:C34)</f>
        <v>1</v>
      </c>
    </row>
  </sheetData>
  <sheetProtection algorithmName="SHA-512" hashValue="0T+hBpN9YP8VxvvYLrq8WPCmkmEwBHfL+qJU4hQ+XhBfAk2twziaLUiQxj+drGdrYbhUkXYfBVliaujDKMDVHA==" saltValue="mGucvZv9HMy4UWLFIpDnP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0.40112313220861096</v>
      </c>
      <c r="D2" s="52">
        <f>IFERROR(1-_xlfn.NORM.DIST(_xlfn.NORM.INV(SUM(D4:D5), 0, 1) + 1, 0, 1, TRUE), "")</f>
        <v>0.40112313220861096</v>
      </c>
      <c r="E2" s="52">
        <f>IFERROR(1-_xlfn.NORM.DIST(_xlfn.NORM.INV(SUM(E4:E5), 0, 1) + 1, 0, 1, TRUE), "")</f>
        <v>0.39973960379490125</v>
      </c>
      <c r="F2" s="52">
        <f>IFERROR(1-_xlfn.NORM.DIST(_xlfn.NORM.INV(SUM(F4:F5), 0, 1) + 1, 0, 1, TRUE), "")</f>
        <v>0.30250579448511505</v>
      </c>
      <c r="G2" s="52">
        <f>IFERROR(1-_xlfn.NORM.DIST(_xlfn.NORM.INV(SUM(G4:G5), 0, 1) + 1, 0, 1, TRUE), "")</f>
        <v>0.43331125327208508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0.37211666779138902</v>
      </c>
      <c r="D3" s="52">
        <f>IFERROR(_xlfn.NORM.DIST(_xlfn.NORM.INV(SUM(D4:D5), 0, 1) + 1, 0, 1, TRUE) - SUM(D4:D5), "")</f>
        <v>0.37211666779138902</v>
      </c>
      <c r="E3" s="52">
        <f>IFERROR(_xlfn.NORM.DIST(_xlfn.NORM.INV(SUM(E4:E5), 0, 1) + 1, 0, 1, TRUE) - SUM(E4:E5), "")</f>
        <v>0.37242029620509876</v>
      </c>
      <c r="F3" s="52">
        <f>IFERROR(_xlfn.NORM.DIST(_xlfn.NORM.INV(SUM(F4:F5), 0, 1) + 1, 0, 1, TRUE) - SUM(F4:F5), "")</f>
        <v>0.38287280551488495</v>
      </c>
      <c r="G3" s="52">
        <f>IFERROR(_xlfn.NORM.DIST(_xlfn.NORM.INV(SUM(G4:G5), 0, 1) + 1, 0, 1, TRUE) - SUM(G4:G5), "")</f>
        <v>0.36399834672791487</v>
      </c>
    </row>
    <row r="4" spans="1:15" ht="15.75" customHeight="1" x14ac:dyDescent="0.25">
      <c r="B4" s="5" t="s">
        <v>110</v>
      </c>
      <c r="C4" s="45">
        <v>0.1208487</v>
      </c>
      <c r="D4" s="53">
        <v>0.1208487</v>
      </c>
      <c r="E4" s="53">
        <v>0.1336842</v>
      </c>
      <c r="F4" s="53">
        <v>0.19221740000000001</v>
      </c>
      <c r="G4" s="53">
        <v>0.14890880000000001</v>
      </c>
    </row>
    <row r="5" spans="1:15" ht="15.75" customHeight="1" x14ac:dyDescent="0.25">
      <c r="B5" s="5" t="s">
        <v>106</v>
      </c>
      <c r="C5" s="45">
        <v>0.10591150000000001</v>
      </c>
      <c r="D5" s="53">
        <v>0.10591150000000001</v>
      </c>
      <c r="E5" s="53">
        <v>9.4155900000000001E-2</v>
      </c>
      <c r="F5" s="53">
        <v>0.122404</v>
      </c>
      <c r="G5" s="53">
        <v>5.3781600000000013E-2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0.63826758365359426</v>
      </c>
      <c r="D8" s="52">
        <f>IFERROR(1-_xlfn.NORM.DIST(_xlfn.NORM.INV(SUM(D10:D11), 0, 1) + 1, 0, 1, TRUE), "")</f>
        <v>0.63826758365359426</v>
      </c>
      <c r="E8" s="52">
        <f>IFERROR(1-_xlfn.NORM.DIST(_xlfn.NORM.INV(SUM(E10:E11), 0, 1) + 1, 0, 1, TRUE), "")</f>
        <v>0.6851177116211753</v>
      </c>
      <c r="F8" s="52">
        <f>IFERROR(1-_xlfn.NORM.DIST(_xlfn.NORM.INV(SUM(F10:F11), 0, 1) + 1, 0, 1, TRUE), "")</f>
        <v>0.81752555802658022</v>
      </c>
      <c r="G8" s="52">
        <f>IFERROR(1-_xlfn.NORM.DIST(_xlfn.NORM.INV(SUM(G10:G11), 0, 1) + 1, 0, 1, TRUE), "")</f>
        <v>0.82506237856284637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0.27383741634640568</v>
      </c>
      <c r="D9" s="52">
        <f>IFERROR(_xlfn.NORM.DIST(_xlfn.NORM.INV(SUM(D10:D11), 0, 1) + 1, 0, 1, TRUE) - SUM(D10:D11), "")</f>
        <v>0.27383741634640568</v>
      </c>
      <c r="E9" s="52">
        <f>IFERROR(_xlfn.NORM.DIST(_xlfn.NORM.INV(SUM(E10:E11), 0, 1) + 1, 0, 1, TRUE) - SUM(E10:E11), "")</f>
        <v>0.24571988837882469</v>
      </c>
      <c r="F9" s="52">
        <f>IFERROR(_xlfn.NORM.DIST(_xlfn.NORM.INV(SUM(F10:F11), 0, 1) + 1, 0, 1, TRUE) - SUM(F10:F11), "")</f>
        <v>0.15414774197341979</v>
      </c>
      <c r="G9" s="52">
        <f>IFERROR(_xlfn.NORM.DIST(_xlfn.NORM.INV(SUM(G10:G11), 0, 1) + 1, 0, 1, TRUE) - SUM(G10:G11), "")</f>
        <v>0.14843212143715362</v>
      </c>
    </row>
    <row r="10" spans="1:15" ht="15.75" customHeight="1" x14ac:dyDescent="0.25">
      <c r="B10" s="5" t="s">
        <v>107</v>
      </c>
      <c r="C10" s="45">
        <v>6.1974400000000013E-2</v>
      </c>
      <c r="D10" s="53">
        <v>6.1974400000000013E-2</v>
      </c>
      <c r="E10" s="53">
        <v>4.8004100000000001E-2</v>
      </c>
      <c r="F10" s="53">
        <v>1.4466E-2</v>
      </c>
      <c r="G10" s="53">
        <v>1.6286100000000001E-2</v>
      </c>
    </row>
    <row r="11" spans="1:15" ht="15.75" customHeight="1" x14ac:dyDescent="0.25">
      <c r="B11" s="5" t="s">
        <v>119</v>
      </c>
      <c r="C11" s="45">
        <v>2.5920599999999999E-2</v>
      </c>
      <c r="D11" s="53">
        <v>2.5920599999999999E-2</v>
      </c>
      <c r="E11" s="53">
        <v>2.1158300000000001E-2</v>
      </c>
      <c r="F11" s="53">
        <v>1.38607E-2</v>
      </c>
      <c r="G11" s="53">
        <v>1.02194E-2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0.18063501800000001</v>
      </c>
      <c r="D14" s="54">
        <v>0.170571809943</v>
      </c>
      <c r="E14" s="54">
        <v>0.170571809943</v>
      </c>
      <c r="F14" s="54">
        <v>0.121825787856</v>
      </c>
      <c r="G14" s="54">
        <v>0.121825787856</v>
      </c>
      <c r="H14" s="45">
        <v>0.26400000000000001</v>
      </c>
      <c r="I14" s="55">
        <v>0.26400000000000001</v>
      </c>
      <c r="J14" s="55">
        <v>0.26400000000000001</v>
      </c>
      <c r="K14" s="55">
        <v>0.26400000000000001</v>
      </c>
      <c r="L14" s="45">
        <v>0.184</v>
      </c>
      <c r="M14" s="55">
        <v>0.184</v>
      </c>
      <c r="N14" s="55">
        <v>0.184</v>
      </c>
      <c r="O14" s="55">
        <v>0.184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0.100736898108276</v>
      </c>
      <c r="D15" s="52">
        <f t="shared" si="0"/>
        <v>9.5124828112632134E-2</v>
      </c>
      <c r="E15" s="52">
        <f t="shared" si="0"/>
        <v>9.5124828112632134E-2</v>
      </c>
      <c r="F15" s="52">
        <f t="shared" si="0"/>
        <v>6.7940049023109794E-2</v>
      </c>
      <c r="G15" s="52">
        <f t="shared" si="0"/>
        <v>6.7940049023109794E-2</v>
      </c>
      <c r="H15" s="52">
        <f t="shared" si="0"/>
        <v>0.147228048</v>
      </c>
      <c r="I15" s="52">
        <f t="shared" si="0"/>
        <v>0.147228048</v>
      </c>
      <c r="J15" s="52">
        <f t="shared" si="0"/>
        <v>0.147228048</v>
      </c>
      <c r="K15" s="52">
        <f t="shared" si="0"/>
        <v>0.147228048</v>
      </c>
      <c r="L15" s="52">
        <f t="shared" si="0"/>
        <v>0.102613488</v>
      </c>
      <c r="M15" s="52">
        <f t="shared" si="0"/>
        <v>0.102613488</v>
      </c>
      <c r="N15" s="52">
        <f t="shared" si="0"/>
        <v>0.102613488</v>
      </c>
      <c r="O15" s="52">
        <f t="shared" si="0"/>
        <v>0.102613488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D6thvPAfrrrmKIXMORMxcEGgKoaFjFunggPDbpbwlaQ0OuBdbT6f2B9FGEkDNSvr9bIyR+RuKtf+JM6dchjK3A==" saltValue="gFF1uGnn7fMuITAWN961Q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0.76540940000000002</v>
      </c>
      <c r="D2" s="53">
        <v>0.57190620000000003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2.4179699999999998E-2</v>
      </c>
      <c r="D3" s="53">
        <v>8.36731E-2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0.14975620000000001</v>
      </c>
      <c r="D4" s="53">
        <v>0.27914949999999999</v>
      </c>
      <c r="E4" s="53">
        <v>0.85490650000000001</v>
      </c>
      <c r="F4" s="53">
        <v>0.5301382</v>
      </c>
      <c r="G4" s="53">
        <v>0</v>
      </c>
    </row>
    <row r="5" spans="1:7" x14ac:dyDescent="0.25">
      <c r="B5" s="3" t="s">
        <v>125</v>
      </c>
      <c r="C5" s="52">
        <v>6.0654600000000003E-2</v>
      </c>
      <c r="D5" s="52">
        <v>6.5271200000000001E-2</v>
      </c>
      <c r="E5" s="52">
        <f>1-SUM(E2:E4)</f>
        <v>0.14509349999999999</v>
      </c>
      <c r="F5" s="52">
        <f>1-SUM(F2:F4)</f>
        <v>0.4698618</v>
      </c>
      <c r="G5" s="52">
        <f>1-SUM(G2:G4)</f>
        <v>1</v>
      </c>
    </row>
  </sheetData>
  <sheetProtection algorithmName="SHA-512" hashValue="9054M9+b9XgBOoTUHxAkpeohD2fLOU6JN7VE6xevkyrFi3VoKEzotsJhSiaujOTaa/BMvnswiVQvi0WUKMXNKA==" saltValue="mm+6wqI5nfDm0/OH62SOi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nTvop8fozOz4JvVtOKklgp2kpNzEf+tJ3Hmq9xKoYAZUbNVCY3SJvUzSvhwh2qoilIO2SiQi2//9+KPLdpyXjg==" saltValue="ci1PxT+Abo0MSgQibSFx2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x14ac:dyDescent="0.25">
      <c r="A2" s="8" t="s">
        <v>144</v>
      </c>
      <c r="B2" s="41">
        <v>10</v>
      </c>
    </row>
    <row r="3" spans="1:2" x14ac:dyDescent="0.25">
      <c r="A3" s="8" t="s">
        <v>143</v>
      </c>
      <c r="B3" s="41">
        <v>10</v>
      </c>
    </row>
    <row r="4" spans="1:2" x14ac:dyDescent="0.25">
      <c r="A4" s="8" t="s">
        <v>142</v>
      </c>
      <c r="B4" s="41">
        <v>10</v>
      </c>
    </row>
    <row r="5" spans="1:2" x14ac:dyDescent="0.25">
      <c r="A5" s="8" t="s">
        <v>146</v>
      </c>
      <c r="B5" s="41">
        <v>10</v>
      </c>
    </row>
    <row r="6" spans="1:2" x14ac:dyDescent="0.25">
      <c r="A6" s="8" t="s">
        <v>140</v>
      </c>
      <c r="B6" s="41">
        <v>10</v>
      </c>
    </row>
    <row r="7" spans="1:2" x14ac:dyDescent="0.25">
      <c r="A7" s="8" t="s">
        <v>141</v>
      </c>
      <c r="B7" s="41">
        <v>10</v>
      </c>
    </row>
  </sheetData>
  <sheetProtection algorithmName="SHA-512" hashValue="cOoezqxyDe875OR3UrNI6/nnGh3CscgP7TbL2qhQFbZGsvAu1xao1tjSBoPCc1ZL2dXa41+879kx8KOVD7Tr8Q==" saltValue="y3cbU+JTis1cMN6qlGfjv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x14ac:dyDescent="0.25">
      <c r="B10" s="32" t="s">
        <v>78</v>
      </c>
      <c r="C10" s="47"/>
      <c r="D10" s="47"/>
      <c r="E10" s="38" t="str">
        <f>IF(E$7="","",E$7)</f>
        <v/>
      </c>
    </row>
    <row r="11" spans="1:5" x14ac:dyDescent="0.25">
      <c r="B11" s="32" t="s">
        <v>74</v>
      </c>
      <c r="C11" s="47"/>
      <c r="D11" s="47"/>
      <c r="E11" s="38" t="str">
        <f>IF(E$7="","",E$7)</f>
        <v/>
      </c>
    </row>
    <row r="12" spans="1:5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nPVL+wEZFpRZJOEJHrMN7R/XaERFjbYnU/8rDdevkanm8h5m8dIXLoRHBIi/xQsWetbBzASfRA2XLETao2A50w==" saltValue="HY1spMlrUtgNgfsAYmzD9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/poLd4B+CoVBgSKg9QyHHpHG6ltm5bGUNniWCTnpVFtVhUYsR0BRzGUowT/XNtKvM46iiY2fBFh07ECBVdJEwg==" saltValue="aOBqfNMA1TKgOAecfkBkn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69.98595024529601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0.237921896716</v>
      </c>
      <c r="C3" s="98">
        <v>0.95</v>
      </c>
      <c r="D3" s="56">
        <v>40.148121577173832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601.85268684878201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1.888708090027355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99.99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99.99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</v>
      </c>
      <c r="C9" s="98">
        <v>0.95</v>
      </c>
      <c r="D9" s="56">
        <v>99.99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0</v>
      </c>
      <c r="C10" s="98">
        <v>0.95</v>
      </c>
      <c r="D10" s="56">
        <v>13.28042102096974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</v>
      </c>
      <c r="C11" s="98">
        <v>0.95</v>
      </c>
      <c r="D11" s="56">
        <v>13.28042102096974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</v>
      </c>
      <c r="C12" s="98">
        <v>0.95</v>
      </c>
      <c r="D12" s="56">
        <v>13.28042102096974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</v>
      </c>
      <c r="C13" s="98">
        <v>0.95</v>
      </c>
      <c r="D13" s="56">
        <v>13.28042102096974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0</v>
      </c>
      <c r="C14" s="98">
        <v>0.95</v>
      </c>
      <c r="D14" s="56">
        <v>13.28042102096974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</v>
      </c>
      <c r="C15" s="98">
        <v>0.95</v>
      </c>
      <c r="D15" s="56">
        <v>13.28042102096974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0.9</v>
      </c>
      <c r="C16" s="98">
        <v>0.95</v>
      </c>
      <c r="D16" s="56">
        <v>0.98718682086509035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0.52564722222222204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0.12036642127279</v>
      </c>
      <c r="C18" s="98">
        <v>0.95</v>
      </c>
      <c r="D18" s="56">
        <v>13.818442191631251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0.92272499999999991</v>
      </c>
      <c r="C19" s="98">
        <v>0.95</v>
      </c>
      <c r="D19" s="56">
        <v>13.818442191631251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0.91284360000000009</v>
      </c>
      <c r="C21" s="98">
        <v>0.95</v>
      </c>
      <c r="D21" s="56">
        <v>30.960439902477539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23.05841012764267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4.4469886479598264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0.91209705466348001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0</v>
      </c>
      <c r="C26" s="98">
        <v>0.95</v>
      </c>
      <c r="D26" s="56">
        <v>99.99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18.844293755198361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0.71526448139068999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</v>
      </c>
      <c r="C29" s="98">
        <v>0.95</v>
      </c>
      <c r="D29" s="56">
        <v>140.93703453269751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0</v>
      </c>
      <c r="C31" s="98">
        <v>0.95</v>
      </c>
      <c r="D31" s="56">
        <v>0.69989222611764845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</v>
      </c>
      <c r="C32" s="98">
        <v>0.95</v>
      </c>
      <c r="D32" s="56">
        <v>2.147228290957607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0.58568469999999995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0.44999919999999999</v>
      </c>
      <c r="C38" s="98">
        <v>0.95</v>
      </c>
      <c r="D38" s="56">
        <v>3.4506874250287209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99.99</v>
      </c>
      <c r="E39" s="56" t="s">
        <v>183</v>
      </c>
      <c r="F39" s="98">
        <v>1</v>
      </c>
      <c r="G39" s="98">
        <v>1</v>
      </c>
    </row>
  </sheetData>
  <sheetProtection algorithmName="SHA-512" hashValue="NSXO5z9jeN7zKdCGGglZ3R52ZxBmeE6yrOZmFAGcSsmy8iDb+48v0kyVU/IOqJ0c/LkfdqMls0OnNe8VdBKthw==" saltValue="OefATdlgD7/TrYpN0sU/0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x14ac:dyDescent="0.25">
      <c r="A2" s="57" t="s">
        <v>178</v>
      </c>
      <c r="B2" s="47" t="s">
        <v>191</v>
      </c>
      <c r="C2" s="47"/>
    </row>
    <row r="3" spans="1:3" x14ac:dyDescent="0.25">
      <c r="A3" s="57" t="s">
        <v>179</v>
      </c>
      <c r="B3" s="47" t="s">
        <v>191</v>
      </c>
      <c r="C3" s="47"/>
    </row>
    <row r="4" spans="1:3" x14ac:dyDescent="0.25">
      <c r="A4" s="57" t="s">
        <v>193</v>
      </c>
      <c r="B4" s="47" t="s">
        <v>184</v>
      </c>
      <c r="C4" s="47"/>
    </row>
    <row r="5" spans="1:3" x14ac:dyDescent="0.25">
      <c r="A5" s="57" t="s">
        <v>190</v>
      </c>
      <c r="B5" s="47" t="s">
        <v>184</v>
      </c>
      <c r="C5" s="47"/>
    </row>
    <row r="6" spans="1:3" x14ac:dyDescent="0.25">
      <c r="A6" s="57" t="s">
        <v>193</v>
      </c>
      <c r="B6" s="58" t="s">
        <v>204</v>
      </c>
      <c r="C6" s="58"/>
    </row>
    <row r="7" spans="1:3" x14ac:dyDescent="0.25">
      <c r="A7" s="57" t="s">
        <v>190</v>
      </c>
      <c r="B7" s="58" t="s">
        <v>204</v>
      </c>
      <c r="C7" s="58"/>
    </row>
    <row r="8" spans="1:3" x14ac:dyDescent="0.25">
      <c r="A8" s="57" t="s">
        <v>203</v>
      </c>
      <c r="B8" s="58" t="s">
        <v>204</v>
      </c>
      <c r="C8" s="58"/>
    </row>
    <row r="9" spans="1:3" x14ac:dyDescent="0.25">
      <c r="A9" s="57" t="s">
        <v>196</v>
      </c>
      <c r="B9" s="58" t="s">
        <v>204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iShUx7Cnm/GWt7w1gjUDgzZKyAImTnUlHwugNyKk50rJnvZg+HygVXzGqYOGL9ibqx4ZSfn17ml2vt7ZcfClQg==" saltValue="lBwLDKwDgqwjvsCfWa9Xl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x14ac:dyDescent="0.25">
      <c r="A2" s="33" t="s">
        <v>170</v>
      </c>
    </row>
    <row r="3" spans="1:1" x14ac:dyDescent="0.25">
      <c r="A3" s="33" t="s">
        <v>180</v>
      </c>
    </row>
    <row r="4" spans="1:1" x14ac:dyDescent="0.25">
      <c r="A4" s="33" t="s">
        <v>185</v>
      </c>
    </row>
    <row r="5" spans="1:1" x14ac:dyDescent="0.25">
      <c r="A5" s="33" t="s">
        <v>197</v>
      </c>
    </row>
    <row r="6" spans="1:1" x14ac:dyDescent="0.25">
      <c r="A6" s="33" t="s">
        <v>198</v>
      </c>
    </row>
    <row r="7" spans="1:1" x14ac:dyDescent="0.25">
      <c r="A7" s="33" t="s">
        <v>199</v>
      </c>
    </row>
    <row r="8" spans="1:1" x14ac:dyDescent="0.25">
      <c r="A8" s="33" t="s">
        <v>200</v>
      </c>
    </row>
    <row r="9" spans="1:1" x14ac:dyDescent="0.25">
      <c r="A9" s="33" t="s">
        <v>201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DZa5lOjHY2XAXu8uGJdqN3R+jclwnQBGI/Dd6Emy090lqhaEe2odlje76slnnfgu0ugNdmwQmo4Ans0/qQuuQg==" saltValue="FvJDRqoRYh+y3bTMFk97q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3.2</v>
      </c>
      <c r="C2" s="21">
        <f>'Entradas de población-año base'!C52</f>
        <v>3.2</v>
      </c>
      <c r="D2" s="21">
        <f>'Entradas de población-año base'!C53</f>
        <v>3.2</v>
      </c>
      <c r="E2" s="21">
        <f>'Entradas de población-año base'!C54</f>
        <v>3.2</v>
      </c>
      <c r="F2" s="21">
        <f>'Entradas de población-año base'!C55</f>
        <v>3.2</v>
      </c>
    </row>
    <row r="3" spans="1:6" ht="15.75" customHeight="1" x14ac:dyDescent="0.25">
      <c r="A3" s="3" t="s">
        <v>6</v>
      </c>
      <c r="B3" s="21">
        <f>frac_mam_1month * 2.6</f>
        <v>0.16113344000000004</v>
      </c>
      <c r="C3" s="21">
        <f>frac_mam_1_5months * 2.6</f>
        <v>0.16113344000000004</v>
      </c>
      <c r="D3" s="21">
        <f>frac_mam_6_11months * 2.6</f>
        <v>0.12481066</v>
      </c>
      <c r="E3" s="21">
        <f>frac_mam_12_23months * 2.6</f>
        <v>3.7611600000000002E-2</v>
      </c>
      <c r="F3" s="21">
        <f>frac_mam_24_59months * 2.6</f>
        <v>4.2343860000000004E-2</v>
      </c>
    </row>
    <row r="4" spans="1:6" ht="15.75" customHeight="1" x14ac:dyDescent="0.25">
      <c r="A4" s="3" t="s">
        <v>207</v>
      </c>
      <c r="B4" s="21">
        <f>frac_sam_1month * 2.6</f>
        <v>6.7393560000000005E-2</v>
      </c>
      <c r="C4" s="21">
        <f>frac_sam_1_5months * 2.6</f>
        <v>6.7393560000000005E-2</v>
      </c>
      <c r="D4" s="21">
        <f>frac_sam_6_11months * 2.6</f>
        <v>5.5011580000000004E-2</v>
      </c>
      <c r="E4" s="21">
        <f>frac_sam_12_23months * 2.6</f>
        <v>3.6037819999999998E-2</v>
      </c>
      <c r="F4" s="21">
        <f>frac_sam_24_59months * 2.6</f>
        <v>2.6570440000000001E-2</v>
      </c>
    </row>
  </sheetData>
  <sheetProtection algorithmName="SHA-512" hashValue="S/+dFEHD+1s4iBQNwaZE7Dr9B+zepi4HOLSnADsHFTPJjhkh0XPze5bh1uzZ1a5CJpRQXi0ooisEfn+wdmXq2A==" saltValue="6dVIkyWkJA267u9lKwNu5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3.3000000000000002E-2</v>
      </c>
      <c r="E2" s="60">
        <f>food_insecure</f>
        <v>3.3000000000000002E-2</v>
      </c>
      <c r="F2" s="60">
        <f>food_insecure</f>
        <v>3.3000000000000002E-2</v>
      </c>
      <c r="G2" s="60">
        <f>food_insecure</f>
        <v>3.3000000000000002E-2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3.3000000000000002E-2</v>
      </c>
      <c r="F5" s="60">
        <f>food_insecure</f>
        <v>3.3000000000000002E-2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3.3000000000000002E-2</v>
      </c>
      <c r="F8" s="60">
        <f>food_insecure</f>
        <v>3.3000000000000002E-2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3.3000000000000002E-2</v>
      </c>
      <c r="F9" s="60">
        <f>food_insecure</f>
        <v>3.3000000000000002E-2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3.3000000000000002E-2</v>
      </c>
      <c r="I15" s="60">
        <f>food_insecure</f>
        <v>3.3000000000000002E-2</v>
      </c>
      <c r="J15" s="60">
        <f>food_insecure</f>
        <v>3.3000000000000002E-2</v>
      </c>
      <c r="K15" s="60">
        <f>food_insecure</f>
        <v>3.3000000000000002E-2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0.193</v>
      </c>
      <c r="M24" s="60">
        <f>famplan_unmet_need</f>
        <v>0.193</v>
      </c>
      <c r="N24" s="60">
        <f>famplan_unmet_need</f>
        <v>0.193</v>
      </c>
      <c r="O24" s="60">
        <f>famplan_unmet_need</f>
        <v>0.193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5.3299260803222628E-2</v>
      </c>
      <c r="M25" s="60">
        <f>(1-food_insecure)*(0.49)+food_insecure*(0.7)</f>
        <v>0.49692999999999998</v>
      </c>
      <c r="N25" s="60">
        <f>(1-food_insecure)*(0.49)+food_insecure*(0.7)</f>
        <v>0.49692999999999998</v>
      </c>
      <c r="O25" s="60">
        <f>(1-food_insecure)*(0.49)+food_insecure*(0.7)</f>
        <v>0.49692999999999998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2.2842540344238268E-2</v>
      </c>
      <c r="M26" s="60">
        <f>(1-food_insecure)*(0.21)+food_insecure*(0.3)</f>
        <v>0.21296999999999996</v>
      </c>
      <c r="N26" s="60">
        <f>(1-food_insecure)*(0.21)+food_insecure*(0.3)</f>
        <v>0.21296999999999996</v>
      </c>
      <c r="O26" s="60">
        <f>(1-food_insecure)*(0.21)+food_insecure*(0.3)</f>
        <v>0.21296999999999996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3.1115278930664046E-2</v>
      </c>
      <c r="M27" s="60">
        <f>(1-food_insecure)*(0.3)</f>
        <v>0.29009999999999997</v>
      </c>
      <c r="N27" s="60">
        <f>(1-food_insecure)*(0.3)</f>
        <v>0.29009999999999997</v>
      </c>
      <c r="O27" s="60">
        <f>(1-food_insecure)*(0.3)</f>
        <v>0.29009999999999997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0.89274291992187504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05RjA98Jiot0reWlC/G/oWzcrdFIqwlgU2WU8NESU1rw4eFe67J9oM2tx9NxALKPAQPc3zbJyULNc5KhOK8f4g==" saltValue="0OeTRz0hRzyuRejIhP50G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U+qZWltpjxggBkHw/GAErT4kOTBDEB4sr6JLUs5j2YWtPNW7AZcatVMvXuP/ShTwUiZXQCwbGmnh3w1TneP3RA==" saltValue="Y0cDgJDkOH9LSz9HU/NG2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UgB6sTZLlXmCz4Swh5fp4RJpw3aAwH5M5kRss5VsVV/HkQV6vsk0kLY+xlo4Z/saXae+UfmF9rR9Aj1uraKtYg==" saltValue="WUy9E/f+dkboPabL++LEr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sDY1N8PGCpgZPT6+FJSszHZdUl1BYkm+JcMt9LN48dtjwL6QiA+bCh6v7H4T+0aq2m7CCVMCYZfKJiHKZlg1qw==" saltValue="qi+EeiemppcjukbGcK538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iK7WyTg/8xXhC3Wja/VRLMHSafdoRy5dg/m0CVQBYSFV0yGgPzNmhw+HhkjffOBs8OvJ9V6rTmH2kuMFftpzDg==" saltValue="f1kjwQ2U9vGnwfir9vM4c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+dzIcBW/stBKiD4HYcXWkkkZy5B0vQAThLTifGw6UXHSpBWnk0uv4wyu/nDb/v28+BtYXGcL+A//RHTT+fdhlg==" saltValue="eYsQV/PTtg74lo4E0Eu8A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78</v>
      </c>
      <c r="C5" s="8" t="s">
        <v>150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149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74</v>
      </c>
      <c r="C8" s="8" t="s">
        <v>150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149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149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78</v>
      </c>
      <c r="C58" s="8" t="s">
        <v>150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149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74</v>
      </c>
      <c r="C61" s="8" t="s">
        <v>150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149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78</v>
      </c>
      <c r="C111" s="8" t="s">
        <v>150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149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74</v>
      </c>
      <c r="C114" s="8" t="s">
        <v>150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149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77</v>
      </c>
      <c r="C117" s="8" t="s">
        <v>150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149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75</v>
      </c>
      <c r="C120" s="8" t="s">
        <v>150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149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149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78</v>
      </c>
      <c r="C128" s="8" t="s">
        <v>150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149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74</v>
      </c>
      <c r="C131" s="8" t="s">
        <v>150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149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77</v>
      </c>
      <c r="C134" s="8" t="s">
        <v>150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149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75</v>
      </c>
      <c r="C137" s="8" t="s">
        <v>150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149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149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78</v>
      </c>
      <c r="C145" s="8" t="s">
        <v>150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149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74</v>
      </c>
      <c r="C148" s="8" t="s">
        <v>150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149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77</v>
      </c>
      <c r="C151" s="8" t="s">
        <v>150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149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75</v>
      </c>
      <c r="C154" s="8" t="s">
        <v>150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149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cZX5J7tbYlJ1uDAb5C1SvHrSmZgCdlHBsBP6aR6G7jw4mQH5QE2pvUvbabGH0YMYytJH2nAzpVWE4TzESL9ltw==" saltValue="qGCnOUy7fcBGkyOKZFvbvw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6qaZRYBvk0hthFROFlU2k67VH5CKqKk2LrFYr3vSnzMdRuGKOas93eXqe8IKVmfFOLhEYIcKu/8s0Vh/fB1y9A==" saltValue="WHrUAMkslC/ZsP//rjzzr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c+4yQAa2RFKzNNdmQW39IQ1iHyvAxRGy5T+3RM0r0Nik+3GUz83zWOafqrcMDJwEMQTAwmHbH7j9dqP68NUXNA==" saltValue="EA4jiUbJUiKZPIuKyeAS4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291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105</v>
      </c>
      <c r="B40" s="11" t="s">
        <v>298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288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293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105</v>
      </c>
      <c r="B63" s="11" t="s">
        <v>299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dji9AfpryGtrDExjT8RELByDhXMuyChj7Dlp3GMlhgeexe2oCcvzwiT7HWhPcSEYoD8b0Y6IMSOqrnSXMhNk9g==" saltValue="vFcis8bS6jGMY6jOjiypU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vZNnlaw9J/oKFooTVWSwEMJ3Rtqx1L4XhNFc45DviR05qpp557Umqn1E54vJYd5p9QHhdM2D27wPFn9Mc/L9pw==" saltValue="ehYkpXDywHWkjU0xzChDC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174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175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176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177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178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191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172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181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174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175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176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177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178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191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172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181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FICqQoNxn74eSMjM8WaMPTG4xENeUecNawevu0I+aw1xDkLVbSdpsc57hsgoO+pdsGg5aXYTIKiRUmGgBFQzFQ==" saltValue="noP2wTvPV1idN/vPQN56m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JNarqI216QGMjyx09yFbKnZcR63kGGCJ1+Sq57CcOqDkI9+N1jYmgl3Rm8pELUTjUsNnH3yVO5TREEP39aVpHQ==" saltValue="YwpdkKvsGLnAXWb0InA3F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338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338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DobSvATlnjEjIfIwImFaoLbus8XztUbP/XDdtvafsdsoqOVdTsqm5sN51MXjH1mTXQCRHXMgftbnpkRvNtjQqg==" saltValue="Fz/Ja8rzWGMRm9ZQRzD7X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tfpTlz2oYVoUn0yAjGBoXoza+Xrl5PhEU9z+KF1gThqDEm9fYD1cDr4jRSJmd8kRRk3wlMLBbxPtDIFWyqvHpw==" saltValue="tS6XGIFcKJIdF14ZvuCRmg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2024-05-16T23:30:32Z</dcterms:modified>
</cp:coreProperties>
</file>