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2638153D-EF35-4F87-8C52-51E80B99AD42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A36" i="2"/>
  <c r="A34" i="2"/>
  <c r="A31" i="2"/>
  <c r="H13" i="2"/>
  <c r="G13" i="2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40" i="2" l="1"/>
  <c r="A24" i="2"/>
  <c r="A25" i="2"/>
  <c r="I11" i="2"/>
  <c r="A26" i="2"/>
  <c r="I6" i="2"/>
  <c r="I12" i="2"/>
  <c r="A35" i="2"/>
  <c r="I7" i="2"/>
  <c r="I13" i="2"/>
  <c r="A37" i="2"/>
  <c r="I2" i="2"/>
  <c r="I8" i="2"/>
  <c r="A19" i="2"/>
  <c r="A22" i="2"/>
  <c r="I39" i="2"/>
  <c r="I3" i="2"/>
  <c r="I9" i="2"/>
  <c r="A23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<sst xmlns="http://schemas.openxmlformats.org/spreadsheetml/2006/main" count="2169" uniqueCount="373">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</sst>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866620</v>
      </c>
    </row>
    <row r="8" spans="1:3" ht="15" customHeight="1" x14ac:dyDescent="0.25">
      <c r="B8" s="5" t="s">
        <v>63</v>
      </c>
      <c r="C8" s="44">
        <v>0.01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0.68451698300000008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0.26800000000000002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1.77E-2</v>
      </c>
    </row>
    <row r="24" spans="1:3" ht="15" customHeight="1" x14ac:dyDescent="0.25">
      <c r="B24" s="15" t="s">
        <v>65</v>
      </c>
      <c r="C24" s="45">
        <v>0.43480000000000002</v>
      </c>
    </row>
    <row r="25" spans="1:3" ht="15" customHeight="1" x14ac:dyDescent="0.25">
      <c r="B25" s="15" t="s">
        <v>66</v>
      </c>
      <c r="C25" s="45">
        <v>0.49220000000000003</v>
      </c>
    </row>
    <row r="26" spans="1:3" ht="15" customHeight="1" x14ac:dyDescent="0.25">
      <c r="B26" s="15" t="s">
        <v>67</v>
      </c>
      <c r="C26" s="45">
        <v>5.5300000000000002E-2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0.20661160000000001</v>
      </c>
    </row>
    <row r="30" spans="1:3" ht="14.25" customHeight="1" x14ac:dyDescent="0.25">
      <c r="B30" s="25" t="s">
        <v>82</v>
      </c>
      <c r="C30" s="97">
        <v>0.1507706</v>
      </c>
    </row>
    <row r="31" spans="1:3" ht="14.25" customHeight="1" x14ac:dyDescent="0.25">
      <c r="B31" s="25" t="s">
        <v>29</v>
      </c>
      <c r="C31" s="97">
        <v>0.1398258</v>
      </c>
    </row>
    <row r="32" spans="1:3" ht="14.25" customHeight="1" x14ac:dyDescent="0.25">
      <c r="B32" s="25" t="s">
        <v>30</v>
      </c>
      <c r="C32" s="97">
        <v>0.50279200000000002</v>
      </c>
    </row>
    <row r="33" spans="1:5" ht="13.25" customHeight="1" x14ac:dyDescent="0.25">
      <c r="B33" s="27" t="s">
        <v>79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11.53551</v>
      </c>
    </row>
    <row r="38" spans="1:5" ht="15" customHeight="1" x14ac:dyDescent="0.25">
      <c r="B38" s="11" t="s">
        <v>54</v>
      </c>
      <c r="C38" s="43">
        <v>14.034380000000001</v>
      </c>
      <c r="D38" s="12"/>
      <c r="E38" s="13"/>
    </row>
    <row r="39" spans="1:5" ht="15" customHeight="1" x14ac:dyDescent="0.25">
      <c r="B39" s="11" t="s">
        <v>80</v>
      </c>
      <c r="C39" s="43">
        <v>16.321339999999999</v>
      </c>
      <c r="D39" s="12"/>
      <c r="E39" s="12"/>
    </row>
    <row r="40" spans="1:5" ht="15" customHeight="1" x14ac:dyDescent="0.25">
      <c r="B40" s="11" t="s">
        <v>55</v>
      </c>
      <c r="C40" s="98">
        <v>0.37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10.51253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7.4015000000000001E-3</v>
      </c>
      <c r="D45" s="12"/>
    </row>
    <row r="46" spans="1:5" ht="15.75" customHeight="1" x14ac:dyDescent="0.25">
      <c r="B46" s="11" t="s">
        <v>70</v>
      </c>
      <c r="C46" s="45">
        <v>7.9528500000000002E-2</v>
      </c>
      <c r="D46" s="12"/>
    </row>
    <row r="47" spans="1:5" ht="15.75" customHeight="1" x14ac:dyDescent="0.25">
      <c r="B47" s="11" t="s">
        <v>78</v>
      </c>
      <c r="C47" s="45">
        <v>7.3962100000000003E-2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2.9</v>
      </c>
      <c r="D51" s="12"/>
    </row>
    <row r="52" spans="1:4" ht="15" customHeight="1" x14ac:dyDescent="0.25">
      <c r="B52" s="11" t="s">
        <v>32</v>
      </c>
      <c r="C52" s="98">
        <v>2.9</v>
      </c>
    </row>
    <row r="53" spans="1:4" ht="15.75" customHeight="1" x14ac:dyDescent="0.25">
      <c r="B53" s="11" t="s">
        <v>35</v>
      </c>
      <c r="C53" s="98">
        <v>2.9</v>
      </c>
    </row>
    <row r="54" spans="1:4" ht="15.75" customHeight="1" x14ac:dyDescent="0.25">
      <c r="B54" s="11" t="s">
        <v>33</v>
      </c>
      <c r="C54" s="98">
        <v>2.9</v>
      </c>
    </row>
    <row r="55" spans="1:4" ht="15.75" customHeight="1" x14ac:dyDescent="0.25">
      <c r="B55" s="11" t="s">
        <v>34</v>
      </c>
      <c r="C55" s="98">
        <v>2.9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2.0689655172413789E-2</v>
      </c>
    </row>
    <row r="59" spans="1:4" ht="15.75" customHeight="1" x14ac:dyDescent="0.25">
      <c r="B59" s="11" t="s">
        <v>59</v>
      </c>
      <c r="C59" s="45">
        <v>0.58013599999999999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7.4720325000000004E-2</v>
      </c>
    </row>
    <row r="63" spans="1:4" ht="15.75" customHeight="1" x14ac:dyDescent="0.3">
      <c r="A63" s="4"/>
    </row>
  </sheetData>
  <sheetProtection algorithmName="SHA-512" hashValue="O4V+p+tleL4zrqq5CIXW3S/O4rF0HWQtmTX09EHCKHtGYQ/C60VyqdbGfJxo94YI5r9HDGEYwfkav9bmEwpEfA==" saltValue="rD4W/lwOu8LipkYqRt/TF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164145</v>
      </c>
      <c r="C2" s="49">
        <v>426984.5</v>
      </c>
      <c r="D2" s="49">
        <v>809330.5</v>
      </c>
      <c r="E2" s="49">
        <v>968381</v>
      </c>
      <c r="F2" s="49">
        <v>903653</v>
      </c>
      <c r="G2" s="17">
        <f t="shared" ref="G2:G13" si="0">C2+D2+E2+F2</f>
        <v>3108349</v>
      </c>
      <c r="H2" s="17">
        <f t="shared" ref="H2:H13" si="1">(B2 + stillbirth*B2/(1000-stillbirth))/(1-abortion)</f>
        <v>188510.12746114822</v>
      </c>
      <c r="I2" s="17">
        <f t="shared" ref="I2:I13" si="2">G2-H2</f>
        <v>2919838.8725388516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160508</v>
      </c>
      <c r="C3" s="50">
        <v>441386.5</v>
      </c>
      <c r="D3" s="50">
        <v>796434</v>
      </c>
      <c r="E3" s="50">
        <v>955843.5</v>
      </c>
      <c r="F3" s="50">
        <v>920040</v>
      </c>
      <c r="G3" s="17">
        <f t="shared" si="0"/>
        <v>3113704</v>
      </c>
      <c r="H3" s="17">
        <f t="shared" si="1"/>
        <v>184333.26350808115</v>
      </c>
      <c r="I3" s="17">
        <f t="shared" si="2"/>
        <v>2929370.736491919</v>
      </c>
    </row>
    <row r="4" spans="1:9" ht="15.75" customHeight="1" x14ac:dyDescent="0.25">
      <c r="A4" s="5">
        <f t="shared" si="3"/>
        <v>2026</v>
      </c>
      <c r="B4" s="49">
        <v>156979</v>
      </c>
      <c r="C4" s="50">
        <v>456576</v>
      </c>
      <c r="D4" s="50">
        <v>788849.5</v>
      </c>
      <c r="E4" s="50">
        <v>939103.00000000012</v>
      </c>
      <c r="F4" s="50">
        <v>935476</v>
      </c>
      <c r="G4" s="17">
        <f t="shared" si="0"/>
        <v>3120004.5</v>
      </c>
      <c r="H4" s="17">
        <f t="shared" si="1"/>
        <v>180280.43070896823</v>
      </c>
      <c r="I4" s="17">
        <f t="shared" si="2"/>
        <v>2939724.0692910319</v>
      </c>
    </row>
    <row r="5" spans="1:9" ht="15.75" customHeight="1" x14ac:dyDescent="0.25">
      <c r="A5" s="5">
        <f t="shared" si="3"/>
        <v>2027</v>
      </c>
      <c r="B5" s="49">
        <v>153664</v>
      </c>
      <c r="C5" s="50">
        <v>471040</v>
      </c>
      <c r="D5" s="50">
        <v>787015</v>
      </c>
      <c r="E5" s="50">
        <v>919739.5</v>
      </c>
      <c r="F5" s="50">
        <v>950147.5</v>
      </c>
      <c r="G5" s="17">
        <f t="shared" si="0"/>
        <v>3127942</v>
      </c>
      <c r="H5" s="17">
        <f t="shared" si="1"/>
        <v>176473.36334454222</v>
      </c>
      <c r="I5" s="17">
        <f t="shared" si="2"/>
        <v>2951468.6366554578</v>
      </c>
    </row>
    <row r="6" spans="1:9" ht="15.75" customHeight="1" x14ac:dyDescent="0.25">
      <c r="A6" s="5">
        <f t="shared" si="3"/>
        <v>2028</v>
      </c>
      <c r="B6" s="49">
        <v>150853</v>
      </c>
      <c r="C6" s="50">
        <v>486421</v>
      </c>
      <c r="D6" s="50">
        <v>791515.5</v>
      </c>
      <c r="E6" s="50">
        <v>901134</v>
      </c>
      <c r="F6" s="50">
        <v>960459.00000000012</v>
      </c>
      <c r="G6" s="17">
        <f t="shared" si="0"/>
        <v>3139529.5</v>
      </c>
      <c r="H6" s="17">
        <f t="shared" si="1"/>
        <v>173245.10803190226</v>
      </c>
      <c r="I6" s="17">
        <f t="shared" si="2"/>
        <v>2966284.3919680975</v>
      </c>
    </row>
    <row r="7" spans="1:9" ht="15.75" customHeight="1" x14ac:dyDescent="0.25">
      <c r="A7" s="5">
        <f t="shared" si="3"/>
        <v>2029</v>
      </c>
      <c r="B7" s="49">
        <v>148349</v>
      </c>
      <c r="C7" s="50">
        <v>499978</v>
      </c>
      <c r="D7" s="50">
        <v>801695.5</v>
      </c>
      <c r="E7" s="50">
        <v>883877.5</v>
      </c>
      <c r="F7" s="50">
        <v>963379.5</v>
      </c>
      <c r="G7" s="17">
        <f t="shared" si="0"/>
        <v>3148930.5</v>
      </c>
      <c r="H7" s="17">
        <f t="shared" si="1"/>
        <v>170369.42275874308</v>
      </c>
      <c r="I7" s="17">
        <f t="shared" si="2"/>
        <v>2978561.0772412568</v>
      </c>
    </row>
    <row r="8" spans="1:9" ht="15.75" customHeight="1" x14ac:dyDescent="0.25">
      <c r="A8" s="5">
        <f t="shared" si="3"/>
        <v>2030</v>
      </c>
      <c r="B8" s="49">
        <v>146219</v>
      </c>
      <c r="C8" s="50">
        <v>508871</v>
      </c>
      <c r="D8" s="50">
        <v>816117</v>
      </c>
      <c r="E8" s="50">
        <v>865308.5</v>
      </c>
      <c r="F8" s="50">
        <v>960903.5</v>
      </c>
      <c r="G8" s="17">
        <f t="shared" si="0"/>
        <v>3151200</v>
      </c>
      <c r="H8" s="17">
        <f t="shared" si="1"/>
        <v>167923.25277798064</v>
      </c>
      <c r="I8" s="17">
        <f t="shared" si="2"/>
        <v>2983276.7472220194</v>
      </c>
    </row>
    <row r="9" spans="1:9" ht="15.75" customHeight="1" x14ac:dyDescent="0.25">
      <c r="A9" s="5">
        <f t="shared" si="3"/>
        <v>2031</v>
      </c>
      <c r="B9" s="49">
        <v>144516</v>
      </c>
      <c r="C9" s="50">
        <v>515148.5</v>
      </c>
      <c r="D9" s="50">
        <v>833463</v>
      </c>
      <c r="E9" s="50">
        <v>845603.49999999988</v>
      </c>
      <c r="F9" s="50">
        <v>958559</v>
      </c>
      <c r="G9" s="17">
        <f t="shared" si="0"/>
        <v>3152774</v>
      </c>
      <c r="H9" s="17">
        <f t="shared" si="1"/>
        <v>165967.4652299814</v>
      </c>
      <c r="I9" s="17">
        <f t="shared" si="2"/>
        <v>2986806.5347700184</v>
      </c>
    </row>
    <row r="10" spans="1:9" ht="15.75" customHeight="1" x14ac:dyDescent="0.25">
      <c r="A10" s="5">
        <f t="shared" si="3"/>
        <v>2032</v>
      </c>
      <c r="B10" s="49">
        <v>143446</v>
      </c>
      <c r="C10" s="50">
        <v>517604.00000000006</v>
      </c>
      <c r="D10" s="50">
        <v>853245</v>
      </c>
      <c r="E10" s="50">
        <v>825194.99999999988</v>
      </c>
      <c r="F10" s="50">
        <v>959182.5</v>
      </c>
      <c r="G10" s="17">
        <f t="shared" si="0"/>
        <v>3155226.5</v>
      </c>
      <c r="H10" s="17">
        <f t="shared" si="1"/>
        <v>164738.63805654677</v>
      </c>
      <c r="I10" s="17">
        <f t="shared" si="2"/>
        <v>2990487.8619434531</v>
      </c>
    </row>
    <row r="11" spans="1:9" ht="15.75" customHeight="1" x14ac:dyDescent="0.25">
      <c r="A11" s="5">
        <f t="shared" si="3"/>
        <v>2033</v>
      </c>
      <c r="B11" s="49">
        <v>142909</v>
      </c>
      <c r="C11" s="50">
        <v>512363.50000000006</v>
      </c>
      <c r="D11" s="50">
        <v>877284</v>
      </c>
      <c r="E11" s="50">
        <v>805451</v>
      </c>
      <c r="F11" s="50">
        <v>959036.49999999988</v>
      </c>
      <c r="G11" s="17">
        <f t="shared" si="0"/>
        <v>3154135</v>
      </c>
      <c r="H11" s="17">
        <f t="shared" si="1"/>
        <v>164121.92759660809</v>
      </c>
      <c r="I11" s="17">
        <f t="shared" si="2"/>
        <v>2990013.0724033918</v>
      </c>
    </row>
    <row r="12" spans="1:9" ht="15.75" customHeight="1" x14ac:dyDescent="0.25">
      <c r="A12" s="5">
        <f t="shared" si="3"/>
        <v>2034</v>
      </c>
      <c r="B12" s="49">
        <v>142965</v>
      </c>
      <c r="C12" s="50">
        <v>502183.5</v>
      </c>
      <c r="D12" s="50">
        <v>902510.5</v>
      </c>
      <c r="E12" s="50">
        <v>788322.5</v>
      </c>
      <c r="F12" s="50">
        <v>953033.5</v>
      </c>
      <c r="G12" s="17">
        <f t="shared" si="0"/>
        <v>3146050</v>
      </c>
      <c r="H12" s="17">
        <f t="shared" si="1"/>
        <v>164186.24004680652</v>
      </c>
      <c r="I12" s="17">
        <f t="shared" si="2"/>
        <v>2981863.7599531934</v>
      </c>
    </row>
    <row r="13" spans="1:9" ht="15.75" customHeight="1" x14ac:dyDescent="0.25">
      <c r="A13" s="5">
        <f t="shared" si="3"/>
        <v>2035</v>
      </c>
      <c r="B13" s="49">
        <v>143410</v>
      </c>
      <c r="C13" s="50">
        <v>489555.5</v>
      </c>
      <c r="D13" s="50">
        <v>925538</v>
      </c>
      <c r="E13" s="50">
        <v>775181.5</v>
      </c>
      <c r="F13" s="50">
        <v>940575</v>
      </c>
      <c r="G13" s="17">
        <f t="shared" si="0"/>
        <v>3130850</v>
      </c>
      <c r="H13" s="17">
        <f t="shared" si="1"/>
        <v>164697.29433856206</v>
      </c>
      <c r="I13" s="17">
        <f t="shared" si="2"/>
        <v>2966152.7056614379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kiVgtgmcfkX114mP1bcGItnR6y4huDg/xSVCxsiwLtShvJ976GlFEwHmuYq2PG4TrTZY/5kzBHTdrOGp6VFWuQ==" saltValue="OgSgUvkPHA+DO0JtUa8Ud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1.914086240591206E-3</v>
      </c>
    </row>
    <row r="4" spans="1:8" ht="15.75" customHeight="1" x14ac:dyDescent="0.25">
      <c r="B4" s="19" t="s">
        <v>116</v>
      </c>
      <c r="C4" s="99">
        <v>4.6976770839802673E-2</v>
      </c>
    </row>
    <row r="5" spans="1:8" ht="15.75" customHeight="1" x14ac:dyDescent="0.25">
      <c r="B5" s="19" t="s">
        <v>114</v>
      </c>
      <c r="C5" s="99">
        <v>2.6624890601855591E-2</v>
      </c>
    </row>
    <row r="6" spans="1:8" ht="15.75" customHeight="1" x14ac:dyDescent="0.25">
      <c r="B6" s="19" t="s">
        <v>110</v>
      </c>
      <c r="C6" s="99">
        <v>0.18347795240476961</v>
      </c>
    </row>
    <row r="7" spans="1:8" ht="15.75" customHeight="1" x14ac:dyDescent="0.25">
      <c r="B7" s="19" t="s">
        <v>115</v>
      </c>
      <c r="C7" s="99">
        <v>0.43461038759071241</v>
      </c>
    </row>
    <row r="8" spans="1:8" ht="15.75" customHeight="1" x14ac:dyDescent="0.25">
      <c r="B8" s="19" t="s">
        <v>117</v>
      </c>
      <c r="C8" s="99">
        <v>2.0131958839595101E-4</v>
      </c>
    </row>
    <row r="9" spans="1:8" ht="15.75" customHeight="1" x14ac:dyDescent="0.25">
      <c r="B9" s="19" t="s">
        <v>111</v>
      </c>
      <c r="C9" s="99">
        <v>0.23871112659261709</v>
      </c>
    </row>
    <row r="10" spans="1:8" ht="15.75" customHeight="1" x14ac:dyDescent="0.25">
      <c r="B10" s="19" t="s">
        <v>113</v>
      </c>
      <c r="C10" s="99">
        <v>6.7483466141255583E-2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2.5603958714800729E-2</v>
      </c>
      <c r="D14" s="55">
        <v>2.5603958714800729E-2</v>
      </c>
      <c r="E14" s="55">
        <v>2.5603958714800729E-2</v>
      </c>
      <c r="F14" s="55">
        <v>2.5603958714800729E-2</v>
      </c>
    </row>
    <row r="15" spans="1:8" ht="15.75" customHeight="1" x14ac:dyDescent="0.25">
      <c r="B15" s="19" t="s">
        <v>121</v>
      </c>
      <c r="C15" s="99">
        <v>0.58137618456432938</v>
      </c>
      <c r="D15" s="99">
        <v>0.58137618456432938</v>
      </c>
      <c r="E15" s="99">
        <v>0.58137618456432938</v>
      </c>
      <c r="F15" s="99">
        <v>0.58137618456432938</v>
      </c>
    </row>
    <row r="16" spans="1:8" ht="15.75" customHeight="1" x14ac:dyDescent="0.25">
      <c r="B16" s="19" t="s">
        <v>2</v>
      </c>
      <c r="C16" s="99">
        <v>8.1283587680677227E-3</v>
      </c>
      <c r="D16" s="99">
        <v>8.1283587680677227E-3</v>
      </c>
      <c r="E16" s="99">
        <v>8.1283587680677227E-3</v>
      </c>
      <c r="F16" s="99">
        <v>8.1283587680677227E-3</v>
      </c>
    </row>
    <row r="17" spans="1:8" ht="15.75" customHeight="1" x14ac:dyDescent="0.25">
      <c r="B17" s="19" t="s">
        <v>109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3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120</v>
      </c>
      <c r="C19" s="99">
        <v>3.4718565549725869E-2</v>
      </c>
      <c r="D19" s="99">
        <v>3.4718565549725869E-2</v>
      </c>
      <c r="E19" s="99">
        <v>3.4718565549725869E-2</v>
      </c>
      <c r="F19" s="99">
        <v>3.4718565549725869E-2</v>
      </c>
    </row>
    <row r="20" spans="1:8" ht="15.75" customHeight="1" x14ac:dyDescent="0.25">
      <c r="B20" s="19" t="s">
        <v>98</v>
      </c>
      <c r="C20" s="99">
        <v>3.6470078017099047E-2</v>
      </c>
      <c r="D20" s="99">
        <v>3.6470078017099047E-2</v>
      </c>
      <c r="E20" s="99">
        <v>3.6470078017099047E-2</v>
      </c>
      <c r="F20" s="99">
        <v>3.6470078017099047E-2</v>
      </c>
    </row>
    <row r="21" spans="1:8" ht="15.75" customHeight="1" x14ac:dyDescent="0.25">
      <c r="B21" s="19" t="s">
        <v>107</v>
      </c>
      <c r="C21" s="99">
        <v>0.1358152387529164</v>
      </c>
      <c r="D21" s="99">
        <v>0.1358152387529164</v>
      </c>
      <c r="E21" s="99">
        <v>0.1358152387529164</v>
      </c>
      <c r="F21" s="99">
        <v>0.1358152387529164</v>
      </c>
    </row>
    <row r="22" spans="1:8" ht="15.75" customHeight="1" x14ac:dyDescent="0.25">
      <c r="B22" s="19" t="s">
        <v>118</v>
      </c>
      <c r="C22" s="99">
        <v>0.17788761563306091</v>
      </c>
      <c r="D22" s="99">
        <v>0.17788761563306091</v>
      </c>
      <c r="E22" s="99">
        <v>0.17788761563306091</v>
      </c>
      <c r="F22" s="99">
        <v>0.17788761563306091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1.1136350999999999E-2</v>
      </c>
    </row>
    <row r="27" spans="1:8" ht="15.75" customHeight="1" x14ac:dyDescent="0.25">
      <c r="B27" s="19" t="s">
        <v>108</v>
      </c>
      <c r="C27" s="99">
        <v>3.6968140000000001E-3</v>
      </c>
    </row>
    <row r="28" spans="1:8" ht="15.75" customHeight="1" x14ac:dyDescent="0.25">
      <c r="B28" s="19" t="s">
        <v>122</v>
      </c>
      <c r="C28" s="99">
        <v>0.34672293799999998</v>
      </c>
    </row>
    <row r="29" spans="1:8" ht="15.75" customHeight="1" x14ac:dyDescent="0.25">
      <c r="B29" s="19" t="s">
        <v>105</v>
      </c>
      <c r="C29" s="99">
        <v>0.10583593600000001</v>
      </c>
    </row>
    <row r="30" spans="1:8" ht="15.75" customHeight="1" x14ac:dyDescent="0.25">
      <c r="B30" s="19" t="s">
        <v>4</v>
      </c>
      <c r="C30" s="99">
        <v>4.4921836E-2</v>
      </c>
    </row>
    <row r="31" spans="1:8" ht="15.75" customHeight="1" x14ac:dyDescent="0.25">
      <c r="B31" s="19" t="s">
        <v>99</v>
      </c>
      <c r="C31" s="99">
        <v>3.5084725999999997E-2</v>
      </c>
    </row>
    <row r="32" spans="1:8" ht="15.75" customHeight="1" x14ac:dyDescent="0.25">
      <c r="B32" s="19" t="s">
        <v>104</v>
      </c>
      <c r="C32" s="99">
        <v>8.1190229000000003E-2</v>
      </c>
    </row>
    <row r="33" spans="2:3" ht="15.75" customHeight="1" x14ac:dyDescent="0.25">
      <c r="B33" s="19" t="s">
        <v>119</v>
      </c>
      <c r="C33" s="99">
        <v>9.2724770999999998E-2</v>
      </c>
    </row>
    <row r="34" spans="2:3" ht="15.75" customHeight="1" x14ac:dyDescent="0.25">
      <c r="B34" s="19" t="s">
        <v>106</v>
      </c>
      <c r="C34" s="99">
        <v>0.2786864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pLwX/we4CwjNfp7mV65V8FcAnaUTVXL5sk+VzNFK/lzlIVmbFqmUBmefCwmrdTpYakfZKtRmJrkR4o7KRT3ddA==" saltValue="r96L0yMwFjsDWqR0P4PBf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0.5909519413469555</v>
      </c>
      <c r="D2" s="52">
        <f>IFERROR(1-_xlfn.NORM.DIST(_xlfn.NORM.INV(SUM(D4:D5), 0, 1) + 1, 0, 1, TRUE), "")</f>
        <v>0.5909519413469555</v>
      </c>
      <c r="E2" s="52">
        <f>IFERROR(1-_xlfn.NORM.DIST(_xlfn.NORM.INV(SUM(E4:E5), 0, 1) + 1, 0, 1, TRUE), "")</f>
        <v>0.6691447296870342</v>
      </c>
      <c r="F2" s="52">
        <f>IFERROR(1-_xlfn.NORM.DIST(_xlfn.NORM.INV(SUM(F4:F5), 0, 1) + 1, 0, 1, TRUE), "")</f>
        <v>0.64837009358975939</v>
      </c>
      <c r="G2" s="52">
        <f>IFERROR(1-_xlfn.NORM.DIST(_xlfn.NORM.INV(SUM(G4:G5), 0, 1) + 1, 0, 1, TRUE), "")</f>
        <v>0.65759322444050805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0.29969845865304451</v>
      </c>
      <c r="D3" s="52">
        <f>IFERROR(_xlfn.NORM.DIST(_xlfn.NORM.INV(SUM(D4:D5), 0, 1) + 1, 0, 1, TRUE) - SUM(D4:D5), "")</f>
        <v>0.29969845865304451</v>
      </c>
      <c r="E3" s="52">
        <f>IFERROR(_xlfn.NORM.DIST(_xlfn.NORM.INV(SUM(E4:E5), 0, 1) + 1, 0, 1, TRUE) - SUM(E4:E5), "")</f>
        <v>0.25557477031296583</v>
      </c>
      <c r="F3" s="52">
        <f>IFERROR(_xlfn.NORM.DIST(_xlfn.NORM.INV(SUM(F4:F5), 0, 1) + 1, 0, 1, TRUE) - SUM(F4:F5), "")</f>
        <v>0.26797870641024057</v>
      </c>
      <c r="G3" s="52">
        <f>IFERROR(_xlfn.NORM.DIST(_xlfn.NORM.INV(SUM(G4:G5), 0, 1) + 1, 0, 1, TRUE) - SUM(G4:G5), "")</f>
        <v>0.26253037555949194</v>
      </c>
    </row>
    <row r="4" spans="1:15" ht="15.75" customHeight="1" x14ac:dyDescent="0.25">
      <c r="B4" s="5" t="s">
        <v>129</v>
      </c>
      <c r="C4" s="45">
        <v>5.6270800000000003E-2</v>
      </c>
      <c r="D4" s="53">
        <v>5.6270800000000003E-2</v>
      </c>
      <c r="E4" s="53">
        <v>4.65934E-2</v>
      </c>
      <c r="F4" s="53">
        <v>4.2573699999999999E-2</v>
      </c>
      <c r="G4" s="53">
        <v>4.4179000000000003E-2</v>
      </c>
    </row>
    <row r="5" spans="1:15" ht="15.75" customHeight="1" x14ac:dyDescent="0.25">
      <c r="B5" s="5" t="s">
        <v>125</v>
      </c>
      <c r="C5" s="45">
        <v>5.3078800000000002E-2</v>
      </c>
      <c r="D5" s="53">
        <v>5.3078800000000002E-2</v>
      </c>
      <c r="E5" s="53">
        <v>2.86871E-2</v>
      </c>
      <c r="F5" s="53">
        <v>4.1077500000000003E-2</v>
      </c>
      <c r="G5" s="53">
        <v>3.5697399999999997E-2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0.64842149677379735</v>
      </c>
      <c r="D8" s="52">
        <f>IFERROR(1-_xlfn.NORM.DIST(_xlfn.NORM.INV(SUM(D10:D11), 0, 1) + 1, 0, 1, TRUE), "")</f>
        <v>0.64842149677379735</v>
      </c>
      <c r="E8" s="52">
        <f>IFERROR(1-_xlfn.NORM.DIST(_xlfn.NORM.INV(SUM(E10:E11), 0, 1) + 1, 0, 1, TRUE), "")</f>
        <v>0.8024087311626954</v>
      </c>
      <c r="F8" s="52">
        <f>IFERROR(1-_xlfn.NORM.DIST(_xlfn.NORM.INV(SUM(F10:F11), 0, 1) + 1, 0, 1, TRUE), "")</f>
        <v>0.91271333160802515</v>
      </c>
      <c r="G8" s="52">
        <f>IFERROR(1-_xlfn.NORM.DIST(_xlfn.NORM.INV(SUM(G10:G11), 0, 1) + 1, 0, 1, TRUE), "")</f>
        <v>0.88261305125734701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0.26794860322620273</v>
      </c>
      <c r="D9" s="52">
        <f>IFERROR(_xlfn.NORM.DIST(_xlfn.NORM.INV(SUM(D10:D11), 0, 1) + 1, 0, 1, TRUE) - SUM(D10:D11), "")</f>
        <v>0.26794860322620273</v>
      </c>
      <c r="E9" s="52">
        <f>IFERROR(_xlfn.NORM.DIST(_xlfn.NORM.INV(SUM(E10:E11), 0, 1) + 1, 0, 1, TRUE) - SUM(E10:E11), "")</f>
        <v>0.16545296883730462</v>
      </c>
      <c r="F9" s="52">
        <f>IFERROR(_xlfn.NORM.DIST(_xlfn.NORM.INV(SUM(F10:F11), 0, 1) + 1, 0, 1, TRUE) - SUM(F10:F11), "")</f>
        <v>7.8091268391974916E-2</v>
      </c>
      <c r="G9" s="52">
        <f>IFERROR(_xlfn.NORM.DIST(_xlfn.NORM.INV(SUM(G10:G11), 0, 1) + 1, 0, 1, TRUE) - SUM(G10:G11), "")</f>
        <v>0.10305764874265294</v>
      </c>
    </row>
    <row r="10" spans="1:15" ht="15.75" customHeight="1" x14ac:dyDescent="0.25">
      <c r="B10" s="5" t="s">
        <v>126</v>
      </c>
      <c r="C10" s="45">
        <v>3.7676099999999997E-2</v>
      </c>
      <c r="D10" s="53">
        <v>3.7676099999999997E-2</v>
      </c>
      <c r="E10" s="53">
        <v>1.6717900000000001E-2</v>
      </c>
      <c r="F10" s="53">
        <v>6.9428999999999992E-3</v>
      </c>
      <c r="G10" s="53">
        <v>8.4702000000000006E-3</v>
      </c>
    </row>
    <row r="11" spans="1:15" ht="15.75" customHeight="1" x14ac:dyDescent="0.25">
      <c r="B11" s="5" t="s">
        <v>138</v>
      </c>
      <c r="C11" s="45">
        <v>4.5953800000000003E-2</v>
      </c>
      <c r="D11" s="53">
        <v>4.5953800000000003E-2</v>
      </c>
      <c r="E11" s="53">
        <v>1.5420400000000001E-2</v>
      </c>
      <c r="F11" s="53">
        <v>2.2525000000000002E-3</v>
      </c>
      <c r="G11" s="53">
        <v>5.8591000000000008E-3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0.42884647224999989</v>
      </c>
      <c r="D14" s="54">
        <v>0.41391502033799987</v>
      </c>
      <c r="E14" s="54">
        <v>0.41391502033799987</v>
      </c>
      <c r="F14" s="54">
        <v>0.18722120341099999</v>
      </c>
      <c r="G14" s="54">
        <v>0.18722120341099999</v>
      </c>
      <c r="H14" s="45">
        <v>0.36699999999999999</v>
      </c>
      <c r="I14" s="55">
        <v>0.36699999999999999</v>
      </c>
      <c r="J14" s="55">
        <v>0.36699999999999999</v>
      </c>
      <c r="K14" s="55">
        <v>0.36699999999999999</v>
      </c>
      <c r="L14" s="45">
        <v>0.31</v>
      </c>
      <c r="M14" s="55">
        <v>0.31</v>
      </c>
      <c r="N14" s="55">
        <v>0.31</v>
      </c>
      <c r="O14" s="55">
        <v>0.31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0.24878927702522594</v>
      </c>
      <c r="D15" s="52">
        <f t="shared" si="0"/>
        <v>0.2401270042388059</v>
      </c>
      <c r="E15" s="52">
        <f t="shared" si="0"/>
        <v>0.2401270042388059</v>
      </c>
      <c r="F15" s="52">
        <f t="shared" si="0"/>
        <v>0.10861376006204389</v>
      </c>
      <c r="G15" s="52">
        <f t="shared" si="0"/>
        <v>0.10861376006204389</v>
      </c>
      <c r="H15" s="52">
        <f t="shared" si="0"/>
        <v>0.21290991199999998</v>
      </c>
      <c r="I15" s="52">
        <f t="shared" si="0"/>
        <v>0.21290991199999998</v>
      </c>
      <c r="J15" s="52">
        <f t="shared" si="0"/>
        <v>0.21290991199999998</v>
      </c>
      <c r="K15" s="52">
        <f t="shared" si="0"/>
        <v>0.21290991199999998</v>
      </c>
      <c r="L15" s="52">
        <f t="shared" si="0"/>
        <v>0.17984216</v>
      </c>
      <c r="M15" s="52">
        <f t="shared" si="0"/>
        <v>0.17984216</v>
      </c>
      <c r="N15" s="52">
        <f t="shared" si="0"/>
        <v>0.17984216</v>
      </c>
      <c r="O15" s="52">
        <f t="shared" si="0"/>
        <v>0.17984216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FL4De5LTTJ907iy4fy2U5G3w22By8FPGXdLIGQjmUjuEe2SF4aRNFP5Z4RQNLoV8dGKVAZF0L796F5Apayk2Bg==" saltValue="/VOn2Xj7iPmAC78pcd5Ly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0.22651660000000001</v>
      </c>
      <c r="D2" s="53">
        <v>0.1186436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0.34792010000000001</v>
      </c>
      <c r="D3" s="53">
        <v>0.13020860000000001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0.36197590000000002</v>
      </c>
      <c r="D4" s="53">
        <v>0.54891789999999996</v>
      </c>
      <c r="E4" s="53">
        <v>0.62959169999999998</v>
      </c>
      <c r="F4" s="53">
        <v>0.30276890000000001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6.3587399999999961E-2</v>
      </c>
      <c r="D5" s="52">
        <f t="shared" si="0"/>
        <v>0.20222990000000007</v>
      </c>
      <c r="E5" s="52">
        <f>1-SUM(E2:E4)</f>
        <v>0.37040830000000002</v>
      </c>
      <c r="F5" s="52">
        <f>1-SUM(F2:F4)</f>
        <v>0.69723109999999999</v>
      </c>
      <c r="G5" s="52">
        <f>1-SUM(G2:G4)</f>
        <v>1</v>
      </c>
    </row>
  </sheetData>
  <sheetProtection algorithmName="SHA-512" hashValue="tRNITCWl0ypIjnKJDyGCLcUwj8Bvor+oSk+mykV9esvBlVPm53C58hWIqAGppitJczllTrB0hN1cCPCBakEQTw==" saltValue="dbPJp9YED9LjrzEscaa9S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rIk/AejBhhQbchLXkkw+pAAgcNFijaRhX8f7pWmOH+w3xPcGKo/jfBEvmOqs0Rn1O/4LD2ZFM+K4FPprCaTk2Q==" saltValue="4leSofIWPF0UDS5LErFXB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3747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0.4879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0.2994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1.7950099797451307E-2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98255.676430000007</v>
      </c>
      <c r="C22" s="107">
        <v>98098.083589999995</v>
      </c>
      <c r="D22" s="107">
        <v>97938.194300000003</v>
      </c>
      <c r="E22" s="107">
        <v>97732.514110000004</v>
      </c>
      <c r="F22" s="107">
        <v>97413.369139999995</v>
      </c>
      <c r="G22" s="107">
        <v>97048.272330000007</v>
      </c>
      <c r="H22" s="107">
        <v>96594.537389999998</v>
      </c>
      <c r="I22" s="107">
        <v>96045.307279999994</v>
      </c>
      <c r="J22" s="107">
        <v>95276.965379999994</v>
      </c>
      <c r="K22" s="107">
        <v>94144.267460000003</v>
      </c>
      <c r="L22" s="107">
        <v>92431.98848</v>
      </c>
      <c r="M22" s="107">
        <v>89551.867610000001</v>
      </c>
      <c r="N22" s="107">
        <v>85033.998640000005</v>
      </c>
      <c r="O22" s="107">
        <v>78117.526010000001</v>
      </c>
    </row>
  </sheetData>
  <sheetProtection algorithmName="SHA-512" hashValue="qhPShYUFd4ybv6G+zJm7WqzO478wt5godDsgy/Wx2fdIG0Q/+lqm5XrE1IFZazytlOa1RHBnVRaraJyTut0cNw==" saltValue="4SBzE39oyXhOEwCVjaj3x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4TfVRLEmX7D2BM4q+kJTE4S5jNVVZrPv5Pb+gBVCo/ZOoo0u8IdBoEmvAJ3fMFi7fsEcoDkD/7RGCy8gKjdGIQ==" saltValue="WHJ8/z2swhFmckpBqWFI8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nNka6rjzc+vSESUM8PpTg5c+DlzFRJ6loVe95De68Pvlma6vPI+F4un7cEy8mAvLMBFp4fKRvkFQDbZbKcKu9g==" saltValue="PCrHQJjFXdXnNa9DDgNEG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7.4289688625382997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</v>
      </c>
      <c r="C9" s="96">
        <v>0.95</v>
      </c>
      <c r="D9" s="56">
        <v>0.4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</v>
      </c>
      <c r="C10" s="96">
        <v>0.95</v>
      </c>
      <c r="D10" s="56">
        <v>12.947326736605079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12.947326736605079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12.947326736605079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12.947326736605079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</v>
      </c>
      <c r="C14" s="96">
        <v>0.95</v>
      </c>
      <c r="D14" s="56">
        <v>12.947326736605079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12.947326736605079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2.5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</v>
      </c>
      <c r="C17" s="96">
        <v>0.95</v>
      </c>
      <c r="D17" s="56">
        <v>7.992352075384429E-2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0.1186436</v>
      </c>
      <c r="C18" s="96">
        <v>0.95</v>
      </c>
      <c r="D18" s="56">
        <v>7.4289688625382997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0.1186436</v>
      </c>
      <c r="C19" s="96">
        <v>0.95</v>
      </c>
      <c r="D19" s="56">
        <v>8.5173575549872886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7.4289688625382997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4.2388047202319106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0.7126937777643001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2.9567118730808599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17.846880984952122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0.39602369999999998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0.63161319999999999</v>
      </c>
      <c r="C29" s="96">
        <v>0.95</v>
      </c>
      <c r="D29" s="56">
        <v>107.01874447998669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173.50469037871034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</v>
      </c>
      <c r="C32" s="96">
        <v>0.95</v>
      </c>
      <c r="D32" s="56">
        <v>0.53033228587019021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0.84269210000000006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0.1490117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9.7786999999999995E-3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0.93248249999999999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</v>
      </c>
      <c r="C38" s="96">
        <v>0.95</v>
      </c>
      <c r="D38" s="56">
        <v>2.6612563971340846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ITfcQ93VgDAr5vnmX+0/uwybF6qOF46MOYAkg6O1HtrTsNkJ0l2K0gZDHiG2jHSeJDAUrlvF5BhFX3BHBZXXHA==" saltValue="qIwWc79aQROEq/d/A6JhD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h6y5MfdfVn37KYz7pbFAqjDGdx6x3YZfT5Aj6KSqVDL3yJReDMWif9kqn96PI+s3CFQeVVuTKFdYLReyC/1GZg==" saltValue="nWyLYlNtpLq6O9nUafD9b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+Junj8TI45mGyyVjXW4qp4RRk9xfdHyWUEqJM5nvTld2T/zXrZe362/iiS8rvu1IlhtOF9A4BnR20teLSurWbw==" saltValue="Vuv3KxnZAErzCHrry1IQY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2.9</v>
      </c>
      <c r="C2" s="21">
        <f>'Entradas de población-año base'!C52</f>
        <v>2.9</v>
      </c>
      <c r="D2" s="21">
        <f>'Entradas de población-año base'!C53</f>
        <v>2.9</v>
      </c>
      <c r="E2" s="21">
        <f>'Entradas de población-año base'!C54</f>
        <v>2.9</v>
      </c>
      <c r="F2" s="21">
        <f>'Entradas de población-año base'!C55</f>
        <v>2.9</v>
      </c>
    </row>
    <row r="3" spans="1:6" ht="15.75" customHeight="1" x14ac:dyDescent="0.25">
      <c r="A3" s="3" t="s">
        <v>6</v>
      </c>
      <c r="B3" s="21">
        <f>frac_mam_1month * 2.6</f>
        <v>9.7957859999999994E-2</v>
      </c>
      <c r="C3" s="21">
        <f>frac_mam_1_5months * 2.6</f>
        <v>9.7957859999999994E-2</v>
      </c>
      <c r="D3" s="21">
        <f>frac_mam_6_11months * 2.6</f>
        <v>4.3466540000000005E-2</v>
      </c>
      <c r="E3" s="21">
        <f>frac_mam_12_23months * 2.6</f>
        <v>1.8051539999999998E-2</v>
      </c>
      <c r="F3" s="21">
        <f>frac_mam_24_59months * 2.6</f>
        <v>2.2022520000000004E-2</v>
      </c>
    </row>
    <row r="4" spans="1:6" ht="15.75" customHeight="1" x14ac:dyDescent="0.25">
      <c r="A4" s="3" t="s">
        <v>236</v>
      </c>
      <c r="B4" s="21">
        <f>frac_sam_1month * 2.6</f>
        <v>0.11947988000000001</v>
      </c>
      <c r="C4" s="21">
        <f>frac_sam_1_5months * 2.6</f>
        <v>0.11947988000000001</v>
      </c>
      <c r="D4" s="21">
        <f>frac_sam_6_11months * 2.6</f>
        <v>4.0093040000000003E-2</v>
      </c>
      <c r="E4" s="21">
        <f>frac_sam_12_23months * 2.6</f>
        <v>5.8565000000000006E-3</v>
      </c>
      <c r="F4" s="21">
        <f>frac_sam_24_59months * 2.6</f>
        <v>1.5233660000000003E-2</v>
      </c>
    </row>
  </sheetData>
  <sheetProtection algorithmName="SHA-512" hashValue="R+6wDE3tvYtD5L5R85IF89q+m+reFLvW/k/EV4OUMV8zkoVGpKkPUP8Bjn/Msnhe124HeFqifEmqO2iAjNX+jg==" saltValue="M0R5WNcwLFt1Uq69goe0i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0.26800000000000002</v>
      </c>
      <c r="M24" s="60">
        <f>famplan_unmet_need</f>
        <v>0.26800000000000002</v>
      </c>
      <c r="N24" s="60">
        <f>famplan_unmet_need</f>
        <v>0.26800000000000002</v>
      </c>
      <c r="O24" s="60">
        <f>famplan_unmet_need</f>
        <v>0.26800000000000002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0.15524919266569995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6.6535368285299976E-2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9.369845604899997E-2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0.68451698300000008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lvusesE1Q5EoAxtywv1faTg0TVeCFbTUyABW8r/hHC85aqMZlZu7jQ7LVt9pdVGxEMN7HdoqaL8UpGHk9WVL7Q==" saltValue="LSZPh1L86Dq+kd9ALJrFQ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3Wluizh5eobguuQQKPI5eXQy+PbhmIX+b6lDbee0bP3ud05vlHQq/sTCGVrhH9txZhF3ATAkZDFEhsDf7yVg3A==" saltValue="/ngaVRw3O3vpdNqafa+SI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E5/kOJ7Ah4VeMUmXj2iRNrMbBGlvdGpO5fGy6t7jYlDupwWjLLTpJRKRB1NkajLzi+qv+AUWFF7oZ6/elufwbA==" saltValue="RmkDIA8G/y4sH1ZiaNWWL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p7+hgGNQcQhjp5OvIWCaCjUNOZUXvEQNaWSz9rftGLHvuuxErZKpnKybbVT0P7FnbB10Xf/10HHXcQ3rbPZ21Q==" saltValue="w4s571yL2bs772VePIvtS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RtudvnWAcE2YImsT2yUB2EqOd3aCA2xyZnzZShdXONIUEq4huuvFMBb/5XmRwTcIaKYEc1OcLxKej7HlffHvjw==" saltValue="irdnaw2Et0CnU309y2Vsb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qixuDw6a465vCcvMOjXwOBi4PTGQ7MJpcX/DoQlzIGmJeBmW990PAFRzMJHTUGQWaB/VFEOfLJ5Eltewq70XXw==" saltValue="GU3xZJpB517KwuCt0kg89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5ZUwPgzznIKD2q1mTh9uCgfWsycKU6znPpflL/K1df7lWBU6IskhhPp35FMmCdAREdXmpC4eoCkpNVphJU1+bg==" saltValue="wJVgcl09FX/JbjdifpnsEg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5CndA7TghIeCJ8zDjlwkt1y/b+NarQbHXqTGyuFmx8A44cXklE5iTmmDU0S+3zIIvSM/3pRAcKsVRhGHCqmElQ==" saltValue="glYUm9sriMSjOlAFYma0z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5T8+cArkQCQgVY8qQtqe3jZMxOu0Owf7Rf+xX1rEOZfzqWE6mRieS2TjOCsnAXepkotOWVvI/klgo10liWqUqg==" saltValue="r80NMybK4jnWO0GFV4+4+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KWu6hVjhEm3AamaXC/o5kihcIFzhXgJhnYs+OjVnLNAdTxpTsNy5aCZ4oXijxXtfqJuDBH/GxhHSwaWoVYgahg==" saltValue="uAgTk7QOwqZQqfSR8E1Ka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u4nIjH4MYSfCawvoeYZe3TU+wA88BcEVxqECd5O69gnl6uti3P30psD8omvPforoY1TJcWK0ynWo8LXQh1dmSw==" saltValue="BBgwpKIVkS+midrepql0X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r22QuoYvyqHTIYJcN48oxjg+u/mGVf2rmNpKU9YKYLVkX+IUaF8Bw/G5kfg2J0942e/zv2TLfLs8tc1ZUWxdpA==" saltValue="V5RXgUTxaAbL+sCGDiBF1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yzZYzEXjSyrPdYoqSaACMIZAYyRcO2rOCV2fQhPcDge1M3MSBPzlW3fDygha52qQ1rzpYydQte9t8PxQ8i0GNQ==" saltValue="NY+YnO9LqJx1E00hV0xZI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yb9dqKQ5E8zXRvel7ZC5k62a9iSeSbzDCrSItCGBZ2Yxr2GKkyzO5XjTpfPkQjYoGxAdskr51knt2xBAhus9ig==" saltValue="rJAzgX/GL8wm7CEariDur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38NV1dY3A4+aOfQNpWd9HJKj3p5JS5FKh0zUJ4u4J4dZfutMMqwnCD6U4RRk5h0hzbzP74i0K1YKrxyY0hOd6A==" saltValue="LpzJVPqw0c+3jaCUAyCYp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2026-04-29T04:02:50Z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