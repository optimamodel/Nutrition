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306D8BC8-D923-4B27-9762-5ED33817D81C}" xr6:coauthVersionLast="47" xr6:coauthVersionMax="47" xr10:uidLastSave="{00000000-0000-0000-0000-000000000000}"/>
  <bookViews>
    <workbookView xWindow="-110" yWindow="-110" windowWidth="19420" windowHeight="10420" tabRatio="961" firstSheet="3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A31" i="2"/>
  <c r="I4" i="2"/>
  <c r="I8" i="2"/>
  <c r="I12" i="2"/>
  <c r="A25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<sst xmlns="http://schemas.openxmlformats.org/spreadsheetml/2006/main" count="2159" uniqueCount="372">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</sst>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866620</v>
      </c>
    </row>
    <row r="8" spans="1:3" ht="15" customHeight="1" x14ac:dyDescent="0.25">
      <c r="B8" s="5" t="s">
        <v>63</v>
      </c>
      <c r="C8" s="44">
        <v>0.01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0.68451698300000008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0.26800000000000002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1.77E-2</v>
      </c>
    </row>
    <row r="24" spans="1:3" ht="15" customHeight="1" x14ac:dyDescent="0.25">
      <c r="B24" s="15" t="s">
        <v>65</v>
      </c>
      <c r="C24" s="45">
        <v>0.43480000000000002</v>
      </c>
    </row>
    <row r="25" spans="1:3" ht="15" customHeight="1" x14ac:dyDescent="0.25">
      <c r="B25" s="15" t="s">
        <v>66</v>
      </c>
      <c r="C25" s="45">
        <v>0.49220000000000003</v>
      </c>
    </row>
    <row r="26" spans="1:3" ht="15" customHeight="1" x14ac:dyDescent="0.25">
      <c r="B26" s="15" t="s">
        <v>67</v>
      </c>
      <c r="C26" s="45">
        <v>5.5300000000000002E-2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0.20661160000000001</v>
      </c>
    </row>
    <row r="30" spans="1:3" ht="14.25" customHeight="1" x14ac:dyDescent="0.25">
      <c r="B30" s="25" t="s">
        <v>82</v>
      </c>
      <c r="C30" s="99">
        <v>0.1507706</v>
      </c>
    </row>
    <row r="31" spans="1:3" ht="14.25" customHeight="1" x14ac:dyDescent="0.25">
      <c r="B31" s="25" t="s">
        <v>29</v>
      </c>
      <c r="C31" s="99">
        <v>0.1398258</v>
      </c>
    </row>
    <row r="32" spans="1:3" ht="14.25" customHeight="1" x14ac:dyDescent="0.25">
      <c r="B32" s="25" t="s">
        <v>30</v>
      </c>
      <c r="C32" s="99">
        <v>0.50279200000000002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11.53551</v>
      </c>
    </row>
    <row r="38" spans="1:5" ht="15" customHeight="1" x14ac:dyDescent="0.25">
      <c r="B38" s="11" t="s">
        <v>54</v>
      </c>
      <c r="C38" s="43">
        <v>14.034380000000001</v>
      </c>
      <c r="D38" s="12"/>
      <c r="E38" s="13"/>
    </row>
    <row r="39" spans="1:5" ht="15" customHeight="1" x14ac:dyDescent="0.25">
      <c r="B39" s="11" t="s">
        <v>80</v>
      </c>
      <c r="C39" s="43">
        <v>16.321339999999999</v>
      </c>
      <c r="D39" s="12"/>
      <c r="E39" s="12"/>
    </row>
    <row r="40" spans="1:5" ht="15" customHeight="1" x14ac:dyDescent="0.25">
      <c r="B40" s="11" t="s">
        <v>55</v>
      </c>
      <c r="C40" s="100">
        <v>0.37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10.51253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7.4015000000000001E-3</v>
      </c>
      <c r="D45" s="12"/>
    </row>
    <row r="46" spans="1:5" ht="15.75" customHeight="1" x14ac:dyDescent="0.25">
      <c r="B46" s="11" t="s">
        <v>70</v>
      </c>
      <c r="C46" s="45">
        <v>7.9528500000000002E-2</v>
      </c>
      <c r="D46" s="12"/>
    </row>
    <row r="47" spans="1:5" ht="15.75" customHeight="1" x14ac:dyDescent="0.25">
      <c r="B47" s="11" t="s">
        <v>78</v>
      </c>
      <c r="C47" s="45">
        <v>7.3962100000000003E-2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2.9</v>
      </c>
      <c r="D51" s="12"/>
    </row>
    <row r="52" spans="1:4" ht="15" customHeight="1" x14ac:dyDescent="0.25">
      <c r="B52" s="11" t="s">
        <v>32</v>
      </c>
      <c r="C52" s="100">
        <v>2.9</v>
      </c>
    </row>
    <row r="53" spans="1:4" ht="15.75" customHeight="1" x14ac:dyDescent="0.25">
      <c r="B53" s="11" t="s">
        <v>35</v>
      </c>
      <c r="C53" s="100">
        <v>2.9</v>
      </c>
    </row>
    <row r="54" spans="1:4" ht="15.75" customHeight="1" x14ac:dyDescent="0.25">
      <c r="B54" s="11" t="s">
        <v>33</v>
      </c>
      <c r="C54" s="100">
        <v>2.9</v>
      </c>
    </row>
    <row r="55" spans="1:4" ht="15.75" customHeight="1" x14ac:dyDescent="0.25">
      <c r="B55" s="11" t="s">
        <v>34</v>
      </c>
      <c r="C55" s="100">
        <v>2.9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2.0689655172413789E-2</v>
      </c>
    </row>
    <row r="59" spans="1:4" ht="15.75" customHeight="1" x14ac:dyDescent="0.25">
      <c r="B59" s="11" t="s">
        <v>59</v>
      </c>
      <c r="C59" s="45">
        <v>0.58013599999999999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7.4720325000000004E-2</v>
      </c>
    </row>
    <row r="63" spans="1:4" ht="15.75" customHeight="1" x14ac:dyDescent="0.3">
      <c r="A63" s="4"/>
    </row>
  </sheetData>
  <sheetProtection algorithmName="SHA-512" hashValue="xyypWTGIw/pb72On31Vz/IojtL/75rNxkWMt3ERXcwXeWpj+VFQphS4JpSTcLxO1wBsbv3CPjm8j5R2FE/qxZg==" saltValue="MQiUlKxycsNhko3ZK3tN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164145</v>
      </c>
      <c r="C2" s="49">
        <v>426984.5</v>
      </c>
      <c r="D2" s="49">
        <v>809330.5</v>
      </c>
      <c r="E2" s="49">
        <v>968381</v>
      </c>
      <c r="F2" s="49">
        <v>903653</v>
      </c>
      <c r="G2" s="17">
        <f t="shared" ref="G2:G13" si="0">C2+D2+E2+F2</f>
        <v>3108349</v>
      </c>
      <c r="H2" s="17">
        <f t="shared" ref="H2:H13" si="1">(B2 + stillbirth*B2/(1000-stillbirth))/(1-abortion)</f>
        <v>188510.12746114822</v>
      </c>
      <c r="I2" s="17">
        <f t="shared" ref="I2:I13" si="2">G2-H2</f>
        <v>2919838.8725388516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160508</v>
      </c>
      <c r="C3" s="50">
        <v>441386.5</v>
      </c>
      <c r="D3" s="50">
        <v>796434</v>
      </c>
      <c r="E3" s="50">
        <v>955843.5</v>
      </c>
      <c r="F3" s="50">
        <v>920040</v>
      </c>
      <c r="G3" s="17">
        <f t="shared" si="0"/>
        <v>3113704</v>
      </c>
      <c r="H3" s="17">
        <f t="shared" si="1"/>
        <v>184333.26350808115</v>
      </c>
      <c r="I3" s="17">
        <f t="shared" si="2"/>
        <v>2929370.736491919</v>
      </c>
    </row>
    <row r="4" spans="1:9" ht="15.75" customHeight="1" x14ac:dyDescent="0.25">
      <c r="A4" s="5">
        <f t="shared" si="3"/>
        <v>2026</v>
      </c>
      <c r="B4" s="49">
        <v>156979</v>
      </c>
      <c r="C4" s="50">
        <v>456576</v>
      </c>
      <c r="D4" s="50">
        <v>788849.5</v>
      </c>
      <c r="E4" s="50">
        <v>939103.00000000012</v>
      </c>
      <c r="F4" s="50">
        <v>935476</v>
      </c>
      <c r="G4" s="17">
        <f t="shared" si="0"/>
        <v>3120004.5</v>
      </c>
      <c r="H4" s="17">
        <f t="shared" si="1"/>
        <v>180280.43070896823</v>
      </c>
      <c r="I4" s="17">
        <f t="shared" si="2"/>
        <v>2939724.0692910319</v>
      </c>
    </row>
    <row r="5" spans="1:9" ht="15.75" customHeight="1" x14ac:dyDescent="0.25">
      <c r="A5" s="5">
        <f t="shared" si="3"/>
        <v>2027</v>
      </c>
      <c r="B5" s="49">
        <v>153664</v>
      </c>
      <c r="C5" s="50">
        <v>471040</v>
      </c>
      <c r="D5" s="50">
        <v>787015</v>
      </c>
      <c r="E5" s="50">
        <v>919739.5</v>
      </c>
      <c r="F5" s="50">
        <v>950147.5</v>
      </c>
      <c r="G5" s="17">
        <f t="shared" si="0"/>
        <v>3127942</v>
      </c>
      <c r="H5" s="17">
        <f t="shared" si="1"/>
        <v>176473.36334454222</v>
      </c>
      <c r="I5" s="17">
        <f t="shared" si="2"/>
        <v>2951468.6366554578</v>
      </c>
    </row>
    <row r="6" spans="1:9" ht="15.75" customHeight="1" x14ac:dyDescent="0.25">
      <c r="A6" s="5">
        <f t="shared" si="3"/>
        <v>2028</v>
      </c>
      <c r="B6" s="49">
        <v>150853</v>
      </c>
      <c r="C6" s="50">
        <v>486421</v>
      </c>
      <c r="D6" s="50">
        <v>791515.5</v>
      </c>
      <c r="E6" s="50">
        <v>901134</v>
      </c>
      <c r="F6" s="50">
        <v>960459.00000000012</v>
      </c>
      <c r="G6" s="17">
        <f t="shared" si="0"/>
        <v>3139529.5</v>
      </c>
      <c r="H6" s="17">
        <f t="shared" si="1"/>
        <v>173245.10803190226</v>
      </c>
      <c r="I6" s="17">
        <f t="shared" si="2"/>
        <v>2966284.3919680975</v>
      </c>
    </row>
    <row r="7" spans="1:9" ht="15.75" customHeight="1" x14ac:dyDescent="0.25">
      <c r="A7" s="5">
        <f t="shared" si="3"/>
        <v>2029</v>
      </c>
      <c r="B7" s="49">
        <v>148349</v>
      </c>
      <c r="C7" s="50">
        <v>499978</v>
      </c>
      <c r="D7" s="50">
        <v>801695.5</v>
      </c>
      <c r="E7" s="50">
        <v>883877.5</v>
      </c>
      <c r="F7" s="50">
        <v>963379.5</v>
      </c>
      <c r="G7" s="17">
        <f t="shared" si="0"/>
        <v>3148930.5</v>
      </c>
      <c r="H7" s="17">
        <f t="shared" si="1"/>
        <v>170369.42275874308</v>
      </c>
      <c r="I7" s="17">
        <f t="shared" si="2"/>
        <v>2978561.0772412568</v>
      </c>
    </row>
    <row r="8" spans="1:9" ht="15.75" customHeight="1" x14ac:dyDescent="0.25">
      <c r="A8" s="5">
        <f t="shared" si="3"/>
        <v>2030</v>
      </c>
      <c r="B8" s="49">
        <v>146219</v>
      </c>
      <c r="C8" s="50">
        <v>508871</v>
      </c>
      <c r="D8" s="50">
        <v>816117</v>
      </c>
      <c r="E8" s="50">
        <v>865308.5</v>
      </c>
      <c r="F8" s="50">
        <v>960903.5</v>
      </c>
      <c r="G8" s="17">
        <f t="shared" si="0"/>
        <v>3151200</v>
      </c>
      <c r="H8" s="17">
        <f t="shared" si="1"/>
        <v>167923.25277798064</v>
      </c>
      <c r="I8" s="17">
        <f t="shared" si="2"/>
        <v>2983276.7472220194</v>
      </c>
    </row>
    <row r="9" spans="1:9" ht="15.75" customHeight="1" x14ac:dyDescent="0.25">
      <c r="A9" s="5">
        <f t="shared" si="3"/>
        <v>2031</v>
      </c>
      <c r="B9" s="49">
        <v>144516</v>
      </c>
      <c r="C9" s="50">
        <v>515148.5</v>
      </c>
      <c r="D9" s="50">
        <v>833463</v>
      </c>
      <c r="E9" s="50">
        <v>845603.49999999988</v>
      </c>
      <c r="F9" s="50">
        <v>958559</v>
      </c>
      <c r="G9" s="17">
        <f t="shared" si="0"/>
        <v>3152774</v>
      </c>
      <c r="H9" s="17">
        <f t="shared" si="1"/>
        <v>165967.4652299814</v>
      </c>
      <c r="I9" s="17">
        <f t="shared" si="2"/>
        <v>2986806.5347700184</v>
      </c>
    </row>
    <row r="10" spans="1:9" ht="15.75" customHeight="1" x14ac:dyDescent="0.25">
      <c r="A10" s="5">
        <f t="shared" si="3"/>
        <v>2032</v>
      </c>
      <c r="B10" s="49">
        <v>143446</v>
      </c>
      <c r="C10" s="50">
        <v>517604.00000000006</v>
      </c>
      <c r="D10" s="50">
        <v>853245</v>
      </c>
      <c r="E10" s="50">
        <v>825194.99999999988</v>
      </c>
      <c r="F10" s="50">
        <v>959182.5</v>
      </c>
      <c r="G10" s="17">
        <f t="shared" si="0"/>
        <v>3155226.5</v>
      </c>
      <c r="H10" s="17">
        <f t="shared" si="1"/>
        <v>164738.63805654677</v>
      </c>
      <c r="I10" s="17">
        <f t="shared" si="2"/>
        <v>2990487.8619434531</v>
      </c>
    </row>
    <row r="11" spans="1:9" ht="15.75" customHeight="1" x14ac:dyDescent="0.25">
      <c r="A11" s="5">
        <f t="shared" si="3"/>
        <v>2033</v>
      </c>
      <c r="B11" s="49">
        <v>142909</v>
      </c>
      <c r="C11" s="50">
        <v>512363.50000000006</v>
      </c>
      <c r="D11" s="50">
        <v>877284</v>
      </c>
      <c r="E11" s="50">
        <v>805451</v>
      </c>
      <c r="F11" s="50">
        <v>959036.49999999988</v>
      </c>
      <c r="G11" s="17">
        <f t="shared" si="0"/>
        <v>3154135</v>
      </c>
      <c r="H11" s="17">
        <f t="shared" si="1"/>
        <v>164121.92759660809</v>
      </c>
      <c r="I11" s="17">
        <f t="shared" si="2"/>
        <v>2990013.0724033918</v>
      </c>
    </row>
    <row r="12" spans="1:9" ht="15.75" customHeight="1" x14ac:dyDescent="0.25">
      <c r="A12" s="5">
        <f t="shared" si="3"/>
        <v>2034</v>
      </c>
      <c r="B12" s="49">
        <v>142965</v>
      </c>
      <c r="C12" s="50">
        <v>502183.5</v>
      </c>
      <c r="D12" s="50">
        <v>902510.5</v>
      </c>
      <c r="E12" s="50">
        <v>788322.5</v>
      </c>
      <c r="F12" s="50">
        <v>953033.5</v>
      </c>
      <c r="G12" s="17">
        <f t="shared" si="0"/>
        <v>3146050</v>
      </c>
      <c r="H12" s="17">
        <f t="shared" si="1"/>
        <v>164186.24004680652</v>
      </c>
      <c r="I12" s="17">
        <f t="shared" si="2"/>
        <v>2981863.7599531934</v>
      </c>
    </row>
    <row r="13" spans="1:9" ht="15.75" customHeight="1" x14ac:dyDescent="0.25">
      <c r="A13" s="5">
        <f t="shared" si="3"/>
        <v>2035</v>
      </c>
      <c r="B13" s="49">
        <v>143410</v>
      </c>
      <c r="C13" s="50">
        <v>489555.5</v>
      </c>
      <c r="D13" s="50">
        <v>925538</v>
      </c>
      <c r="E13" s="50">
        <v>775181.5</v>
      </c>
      <c r="F13" s="50">
        <v>940575</v>
      </c>
      <c r="G13" s="17">
        <f t="shared" si="0"/>
        <v>3130850</v>
      </c>
      <c r="H13" s="17">
        <f t="shared" si="1"/>
        <v>164697.29433856206</v>
      </c>
      <c r="I13" s="17">
        <f t="shared" si="2"/>
        <v>2966152.7056614379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AspYx6jLtxzc+l2yGu0yJBg4qOizjj3PuhRBwc/5Rdu1c9PtB/S62buQpIHPdWGBVtydTWtB32GLZyJ57t1hw==" saltValue="43E3Osc1KPVW1pGDfpnDR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1.914086240591206E-3</v>
      </c>
    </row>
    <row r="4" spans="1:8" ht="15.75" customHeight="1" x14ac:dyDescent="0.25">
      <c r="B4" s="19" t="s">
        <v>116</v>
      </c>
      <c r="C4" s="101">
        <v>4.6976770839802673E-2</v>
      </c>
    </row>
    <row r="5" spans="1:8" ht="15.75" customHeight="1" x14ac:dyDescent="0.25">
      <c r="B5" s="19" t="s">
        <v>114</v>
      </c>
      <c r="C5" s="101">
        <v>2.6624890601855591E-2</v>
      </c>
    </row>
    <row r="6" spans="1:8" ht="15.75" customHeight="1" x14ac:dyDescent="0.25">
      <c r="B6" s="19" t="s">
        <v>110</v>
      </c>
      <c r="C6" s="101">
        <v>0.18347795240476961</v>
      </c>
    </row>
    <row r="7" spans="1:8" ht="15.75" customHeight="1" x14ac:dyDescent="0.25">
      <c r="B7" s="19" t="s">
        <v>115</v>
      </c>
      <c r="C7" s="101">
        <v>0.43461038759071241</v>
      </c>
    </row>
    <row r="8" spans="1:8" ht="15.75" customHeight="1" x14ac:dyDescent="0.25">
      <c r="B8" s="19" t="s">
        <v>117</v>
      </c>
      <c r="C8" s="101">
        <v>2.0131958839595101E-4</v>
      </c>
    </row>
    <row r="9" spans="1:8" ht="15.75" customHeight="1" x14ac:dyDescent="0.25">
      <c r="B9" s="19" t="s">
        <v>111</v>
      </c>
      <c r="C9" s="101">
        <v>0.23871112659261709</v>
      </c>
    </row>
    <row r="10" spans="1:8" ht="15.75" customHeight="1" x14ac:dyDescent="0.25">
      <c r="B10" s="19" t="s">
        <v>113</v>
      </c>
      <c r="C10" s="101">
        <v>6.7483466141255583E-2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2.5603958714800729E-2</v>
      </c>
      <c r="D14" s="55">
        <v>2.5603958714800729E-2</v>
      </c>
      <c r="E14" s="55">
        <v>2.5603958714800729E-2</v>
      </c>
      <c r="F14" s="55">
        <v>2.5603958714800729E-2</v>
      </c>
    </row>
    <row r="15" spans="1:8" ht="15.75" customHeight="1" x14ac:dyDescent="0.25">
      <c r="B15" s="19" t="s">
        <v>121</v>
      </c>
      <c r="C15" s="101">
        <v>0.58137618456432938</v>
      </c>
      <c r="D15" s="101">
        <v>0.58137618456432938</v>
      </c>
      <c r="E15" s="101">
        <v>0.58137618456432938</v>
      </c>
      <c r="F15" s="101">
        <v>0.58137618456432938</v>
      </c>
    </row>
    <row r="16" spans="1:8" ht="15.75" customHeight="1" x14ac:dyDescent="0.25">
      <c r="B16" s="19" t="s">
        <v>2</v>
      </c>
      <c r="C16" s="101">
        <v>8.1283587680677227E-3</v>
      </c>
      <c r="D16" s="101">
        <v>8.1283587680677227E-3</v>
      </c>
      <c r="E16" s="101">
        <v>8.1283587680677227E-3</v>
      </c>
      <c r="F16" s="101">
        <v>8.1283587680677227E-3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3.4718565549725869E-2</v>
      </c>
      <c r="D19" s="101">
        <v>3.4718565549725869E-2</v>
      </c>
      <c r="E19" s="101">
        <v>3.4718565549725869E-2</v>
      </c>
      <c r="F19" s="101">
        <v>3.4718565549725869E-2</v>
      </c>
    </row>
    <row r="20" spans="1:8" ht="15.75" customHeight="1" x14ac:dyDescent="0.25">
      <c r="B20" s="19" t="s">
        <v>98</v>
      </c>
      <c r="C20" s="101">
        <v>3.6470078017099047E-2</v>
      </c>
      <c r="D20" s="101">
        <v>3.6470078017099047E-2</v>
      </c>
      <c r="E20" s="101">
        <v>3.6470078017099047E-2</v>
      </c>
      <c r="F20" s="101">
        <v>3.6470078017099047E-2</v>
      </c>
    </row>
    <row r="21" spans="1:8" ht="15.75" customHeight="1" x14ac:dyDescent="0.25">
      <c r="B21" s="19" t="s">
        <v>107</v>
      </c>
      <c r="C21" s="101">
        <v>0.1358152387529164</v>
      </c>
      <c r="D21" s="101">
        <v>0.1358152387529164</v>
      </c>
      <c r="E21" s="101">
        <v>0.1358152387529164</v>
      </c>
      <c r="F21" s="101">
        <v>0.1358152387529164</v>
      </c>
    </row>
    <row r="22" spans="1:8" ht="15.75" customHeight="1" x14ac:dyDescent="0.25">
      <c r="B22" s="19" t="s">
        <v>118</v>
      </c>
      <c r="C22" s="101">
        <v>0.17788761563306091</v>
      </c>
      <c r="D22" s="101">
        <v>0.17788761563306091</v>
      </c>
      <c r="E22" s="101">
        <v>0.17788761563306091</v>
      </c>
      <c r="F22" s="101">
        <v>0.17788761563306091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1.1136350999999999E-2</v>
      </c>
    </row>
    <row r="27" spans="1:8" ht="15.75" customHeight="1" x14ac:dyDescent="0.25">
      <c r="B27" s="19" t="s">
        <v>108</v>
      </c>
      <c r="C27" s="101">
        <v>3.6968140000000001E-3</v>
      </c>
    </row>
    <row r="28" spans="1:8" ht="15.75" customHeight="1" x14ac:dyDescent="0.25">
      <c r="B28" s="19" t="s">
        <v>122</v>
      </c>
      <c r="C28" s="101">
        <v>0.34672293799999998</v>
      </c>
    </row>
    <row r="29" spans="1:8" ht="15.75" customHeight="1" x14ac:dyDescent="0.25">
      <c r="B29" s="19" t="s">
        <v>105</v>
      </c>
      <c r="C29" s="101">
        <v>0.10583593600000001</v>
      </c>
    </row>
    <row r="30" spans="1:8" ht="15.75" customHeight="1" x14ac:dyDescent="0.25">
      <c r="B30" s="19" t="s">
        <v>4</v>
      </c>
      <c r="C30" s="101">
        <v>4.4921836E-2</v>
      </c>
    </row>
    <row r="31" spans="1:8" ht="15.75" customHeight="1" x14ac:dyDescent="0.25">
      <c r="B31" s="19" t="s">
        <v>99</v>
      </c>
      <c r="C31" s="101">
        <v>3.5084725999999997E-2</v>
      </c>
    </row>
    <row r="32" spans="1:8" ht="15.75" customHeight="1" x14ac:dyDescent="0.25">
      <c r="B32" s="19" t="s">
        <v>104</v>
      </c>
      <c r="C32" s="101">
        <v>8.1190229000000003E-2</v>
      </c>
    </row>
    <row r="33" spans="2:3" ht="15.75" customHeight="1" x14ac:dyDescent="0.25">
      <c r="B33" s="19" t="s">
        <v>119</v>
      </c>
      <c r="C33" s="101">
        <v>9.2724770999999998E-2</v>
      </c>
    </row>
    <row r="34" spans="2:3" ht="15.75" customHeight="1" x14ac:dyDescent="0.25">
      <c r="B34" s="19" t="s">
        <v>106</v>
      </c>
      <c r="C34" s="101">
        <v>0.2786864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EwB+SP59w67WId2DgCq1qUvCZqFVNbLPrge4kpj+hYFW/4fqCtar6PZsdRMmUFUS94Ep/DyyFiAz1ULviW4HAQ==" saltValue="UpieCafb3eJbygwW6VfEy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0.5909519413469555</v>
      </c>
      <c r="D2" s="52">
        <f>IFERROR(1-_xlfn.NORM.DIST(_xlfn.NORM.INV(SUM(D4:D5), 0, 1) + 1, 0, 1, TRUE), "")</f>
        <v>0.5909519413469555</v>
      </c>
      <c r="E2" s="52">
        <f>IFERROR(1-_xlfn.NORM.DIST(_xlfn.NORM.INV(SUM(E4:E5), 0, 1) + 1, 0, 1, TRUE), "")</f>
        <v>0.6691447296870342</v>
      </c>
      <c r="F2" s="52">
        <f>IFERROR(1-_xlfn.NORM.DIST(_xlfn.NORM.INV(SUM(F4:F5), 0, 1) + 1, 0, 1, TRUE), "")</f>
        <v>0.64837009358975939</v>
      </c>
      <c r="G2" s="52">
        <f>IFERROR(1-_xlfn.NORM.DIST(_xlfn.NORM.INV(SUM(G4:G5), 0, 1) + 1, 0, 1, TRUE), "")</f>
        <v>0.65759322444050805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0.29969845865304451</v>
      </c>
      <c r="D3" s="52">
        <f>IFERROR(_xlfn.NORM.DIST(_xlfn.NORM.INV(SUM(D4:D5), 0, 1) + 1, 0, 1, TRUE) - SUM(D4:D5), "")</f>
        <v>0.29969845865304451</v>
      </c>
      <c r="E3" s="52">
        <f>IFERROR(_xlfn.NORM.DIST(_xlfn.NORM.INV(SUM(E4:E5), 0, 1) + 1, 0, 1, TRUE) - SUM(E4:E5), "")</f>
        <v>0.25557477031296583</v>
      </c>
      <c r="F3" s="52">
        <f>IFERROR(_xlfn.NORM.DIST(_xlfn.NORM.INV(SUM(F4:F5), 0, 1) + 1, 0, 1, TRUE) - SUM(F4:F5), "")</f>
        <v>0.26797870641024057</v>
      </c>
      <c r="G3" s="52">
        <f>IFERROR(_xlfn.NORM.DIST(_xlfn.NORM.INV(SUM(G4:G5), 0, 1) + 1, 0, 1, TRUE) - SUM(G4:G5), "")</f>
        <v>0.26253037555949194</v>
      </c>
    </row>
    <row r="4" spans="1:15" ht="15.75" customHeight="1" x14ac:dyDescent="0.25">
      <c r="B4" s="5" t="s">
        <v>129</v>
      </c>
      <c r="C4" s="45">
        <v>5.6270800000000003E-2</v>
      </c>
      <c r="D4" s="53">
        <v>5.6270800000000003E-2</v>
      </c>
      <c r="E4" s="53">
        <v>4.65934E-2</v>
      </c>
      <c r="F4" s="53">
        <v>4.2573699999999999E-2</v>
      </c>
      <c r="G4" s="53">
        <v>4.4179000000000003E-2</v>
      </c>
    </row>
    <row r="5" spans="1:15" ht="15.75" customHeight="1" x14ac:dyDescent="0.25">
      <c r="B5" s="5" t="s">
        <v>125</v>
      </c>
      <c r="C5" s="45">
        <v>5.3078800000000002E-2</v>
      </c>
      <c r="D5" s="53">
        <v>5.3078800000000002E-2</v>
      </c>
      <c r="E5" s="53">
        <v>2.86871E-2</v>
      </c>
      <c r="F5" s="53">
        <v>4.1077500000000003E-2</v>
      </c>
      <c r="G5" s="53">
        <v>3.5697399999999997E-2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0.64842149677379735</v>
      </c>
      <c r="D8" s="52">
        <f>IFERROR(1-_xlfn.NORM.DIST(_xlfn.NORM.INV(SUM(D10:D11), 0, 1) + 1, 0, 1, TRUE), "")</f>
        <v>0.64842149677379735</v>
      </c>
      <c r="E8" s="52">
        <f>IFERROR(1-_xlfn.NORM.DIST(_xlfn.NORM.INV(SUM(E10:E11), 0, 1) + 1, 0, 1, TRUE), "")</f>
        <v>0.8024087311626954</v>
      </c>
      <c r="F8" s="52">
        <f>IFERROR(1-_xlfn.NORM.DIST(_xlfn.NORM.INV(SUM(F10:F11), 0, 1) + 1, 0, 1, TRUE), "")</f>
        <v>0.91271333160802515</v>
      </c>
      <c r="G8" s="52">
        <f>IFERROR(1-_xlfn.NORM.DIST(_xlfn.NORM.INV(SUM(G10:G11), 0, 1) + 1, 0, 1, TRUE), "")</f>
        <v>0.88261305125734701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0.26794860322620273</v>
      </c>
      <c r="D9" s="52">
        <f>IFERROR(_xlfn.NORM.DIST(_xlfn.NORM.INV(SUM(D10:D11), 0, 1) + 1, 0, 1, TRUE) - SUM(D10:D11), "")</f>
        <v>0.26794860322620273</v>
      </c>
      <c r="E9" s="52">
        <f>IFERROR(_xlfn.NORM.DIST(_xlfn.NORM.INV(SUM(E10:E11), 0, 1) + 1, 0, 1, TRUE) - SUM(E10:E11), "")</f>
        <v>0.16545296883730462</v>
      </c>
      <c r="F9" s="52">
        <f>IFERROR(_xlfn.NORM.DIST(_xlfn.NORM.INV(SUM(F10:F11), 0, 1) + 1, 0, 1, TRUE) - SUM(F10:F11), "")</f>
        <v>7.8091268391974916E-2</v>
      </c>
      <c r="G9" s="52">
        <f>IFERROR(_xlfn.NORM.DIST(_xlfn.NORM.INV(SUM(G10:G11), 0, 1) + 1, 0, 1, TRUE) - SUM(G10:G11), "")</f>
        <v>0.10305764874265294</v>
      </c>
    </row>
    <row r="10" spans="1:15" ht="15.75" customHeight="1" x14ac:dyDescent="0.25">
      <c r="B10" s="5" t="s">
        <v>126</v>
      </c>
      <c r="C10" s="45">
        <v>3.7676099999999997E-2</v>
      </c>
      <c r="D10" s="53">
        <v>3.7676099999999997E-2</v>
      </c>
      <c r="E10" s="53">
        <v>1.6717900000000001E-2</v>
      </c>
      <c r="F10" s="53">
        <v>6.9428999999999992E-3</v>
      </c>
      <c r="G10" s="53">
        <v>8.4702000000000006E-3</v>
      </c>
    </row>
    <row r="11" spans="1:15" ht="15.75" customHeight="1" x14ac:dyDescent="0.25">
      <c r="B11" s="5" t="s">
        <v>138</v>
      </c>
      <c r="C11" s="45">
        <v>4.5953800000000003E-2</v>
      </c>
      <c r="D11" s="53">
        <v>4.5953800000000003E-2</v>
      </c>
      <c r="E11" s="53">
        <v>1.5420400000000001E-2</v>
      </c>
      <c r="F11" s="53">
        <v>2.2525000000000002E-3</v>
      </c>
      <c r="G11" s="53">
        <v>5.8591000000000008E-3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0.42884647224999989</v>
      </c>
      <c r="D14" s="54">
        <v>0.41391502033799987</v>
      </c>
      <c r="E14" s="54">
        <v>0.41391502033799987</v>
      </c>
      <c r="F14" s="54">
        <v>0.18722120341099999</v>
      </c>
      <c r="G14" s="54">
        <v>0.18722120341099999</v>
      </c>
      <c r="H14" s="45">
        <v>0.36699999999999999</v>
      </c>
      <c r="I14" s="55">
        <v>0.36699999999999999</v>
      </c>
      <c r="J14" s="55">
        <v>0.36699999999999999</v>
      </c>
      <c r="K14" s="55">
        <v>0.36699999999999999</v>
      </c>
      <c r="L14" s="45">
        <v>0.31</v>
      </c>
      <c r="M14" s="55">
        <v>0.31</v>
      </c>
      <c r="N14" s="55">
        <v>0.31</v>
      </c>
      <c r="O14" s="55">
        <v>0.31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0.24878927702522594</v>
      </c>
      <c r="D15" s="52">
        <f t="shared" si="0"/>
        <v>0.2401270042388059</v>
      </c>
      <c r="E15" s="52">
        <f t="shared" si="0"/>
        <v>0.2401270042388059</v>
      </c>
      <c r="F15" s="52">
        <f t="shared" si="0"/>
        <v>0.10861376006204389</v>
      </c>
      <c r="G15" s="52">
        <f t="shared" si="0"/>
        <v>0.10861376006204389</v>
      </c>
      <c r="H15" s="52">
        <f t="shared" si="0"/>
        <v>0.21290991199999998</v>
      </c>
      <c r="I15" s="52">
        <f t="shared" si="0"/>
        <v>0.21290991199999998</v>
      </c>
      <c r="J15" s="52">
        <f t="shared" si="0"/>
        <v>0.21290991199999998</v>
      </c>
      <c r="K15" s="52">
        <f t="shared" si="0"/>
        <v>0.21290991199999998</v>
      </c>
      <c r="L15" s="52">
        <f t="shared" si="0"/>
        <v>0.17984216</v>
      </c>
      <c r="M15" s="52">
        <f t="shared" si="0"/>
        <v>0.17984216</v>
      </c>
      <c r="N15" s="52">
        <f t="shared" si="0"/>
        <v>0.17984216</v>
      </c>
      <c r="O15" s="52">
        <f t="shared" si="0"/>
        <v>0.17984216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2QmTPWu1MP+ZbNrYjLRenZbOUqoEEjabQB6tJHEOXDWMVzX4TdvMq5TtO9Nv7b7sgw2Zy/Uw3Qti8ndXzstD1A==" saltValue="JcD6CJ8YbIlqVcF1E0hp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0.22651660000000001</v>
      </c>
      <c r="D2" s="53">
        <v>0.1186436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0.34792010000000001</v>
      </c>
      <c r="D3" s="53">
        <v>0.13020860000000001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0.36197590000000002</v>
      </c>
      <c r="D4" s="53">
        <v>0.54891789999999996</v>
      </c>
      <c r="E4" s="53">
        <v>0.62959169999999998</v>
      </c>
      <c r="F4" s="53">
        <v>0.30276890000000001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6.3587399999999961E-2</v>
      </c>
      <c r="D5" s="52">
        <f t="shared" si="0"/>
        <v>0.20222990000000007</v>
      </c>
      <c r="E5" s="52">
        <f>1-SUM(E2:E4)</f>
        <v>0.37040830000000002</v>
      </c>
      <c r="F5" s="52">
        <f>1-SUM(F2:F4)</f>
        <v>0.69723109999999999</v>
      </c>
      <c r="G5" s="52">
        <f>1-SUM(G2:G4)</f>
        <v>1</v>
      </c>
    </row>
  </sheetData>
  <sheetProtection algorithmName="SHA-512" hashValue="Ze87KLCnVt0/UcM6c0RJqMVdel3HOYTIVjApFydruDNN3Fs3ezLt2BTTtwr6G9ND44uSOVYM7VxejKbt5Zy+yA==" saltValue="sHWkXsnwPovknyCova2+t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14UZ+pt8DMoCwtcFZq+bnPsN2E9DsB67KLnh9t+s7P0jfnizm+rA83ITe+neyYiBGHhpvOkWmdClHsapTgDPg==" saltValue="nxHwshN937FNvASWder3R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3747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0.4879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0.2994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1.7950099797451307E-2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98255.676430000007</v>
      </c>
      <c r="C22" s="109">
        <v>98098.083589999995</v>
      </c>
      <c r="D22" s="109">
        <v>97938.194300000003</v>
      </c>
      <c r="E22" s="109">
        <v>97732.514110000004</v>
      </c>
      <c r="F22" s="109">
        <v>97413.369139999995</v>
      </c>
      <c r="G22" s="109">
        <v>97048.272330000007</v>
      </c>
      <c r="H22" s="109">
        <v>96594.537389999998</v>
      </c>
      <c r="I22" s="109">
        <v>96045.307279999994</v>
      </c>
      <c r="J22" s="109">
        <v>95276.965379999994</v>
      </c>
      <c r="K22" s="109">
        <v>94144.267460000003</v>
      </c>
      <c r="L22" s="109">
        <v>92431.98848</v>
      </c>
      <c r="M22" s="109">
        <v>89551.867610000001</v>
      </c>
      <c r="N22" s="109">
        <v>85033.998640000005</v>
      </c>
      <c r="O22" s="109">
        <v>78117.526010000001</v>
      </c>
    </row>
  </sheetData>
  <sheetProtection algorithmName="SHA-512" hashValue="bZjtAcfJByqKEFoLju2c3Yr6iu+TESv23JHYxLA5Kagdqcx8o5B8AoioN+iwh8uADm1i2v68E92GCrLT+qimPw==" saltValue="Md9p4myRmXxIDrk5adMsJ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wPzBsBudHy/FNg/kRhCXjLYkOeyeWM+V7xHtxMUlDck7pkWVnoozURLRVhlDcplTHI97qBNatakNm/Stsa5aiQ==" saltValue="yObhu/olLpc2kyksczMht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ASmNCB3jBYWwbPCoSXH45lqZL4zpSclDbfd5F7aOOXPGsg/wpUP+oh95aQStcOdfiP/4931RVFwzLt8owSb+ag==" saltValue="n8mIJYd0DbSNa/hUluu0i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7.4289688625382997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12.947326736605079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12.947326736605079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12.947326736605079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12.947326736605079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12.947326736605079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12.947326736605079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7.992352075384429E-2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0.1186436</v>
      </c>
      <c r="C18" s="98">
        <v>0.95</v>
      </c>
      <c r="D18" s="56">
        <v>7.4289688625382997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0.1186436</v>
      </c>
      <c r="C19" s="98">
        <v>0.95</v>
      </c>
      <c r="D19" s="56">
        <v>8.5173575549872886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7.4289688625382997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4.2388047202319106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0.7126937777643001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2.9567118730808599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0.39602369999999998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0.63161319999999999</v>
      </c>
      <c r="C29" s="98">
        <v>0.95</v>
      </c>
      <c r="D29" s="56">
        <v>107.01874447998669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173.50469037871034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0.53033228587019021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0.84269210000000006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0.1490117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9.7786999999999995E-3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0.93248249999999999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2.6612563971340846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Z1PcirKyysnrboLqulC1lCVtvbwSQnDSl9KfKIhKvnW096rTpNR+AXvGzcauDCBkuuHPoynY0WJo1l4rWTfPwQ==" saltValue="MHRh8hBPGZl6FCaP5d7C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EgPYMHHRU8uD78ZiYdO62xzH4PL+fQqBkS9fR+3Pt+9AqpylkZYF/nCBVdlFoiqFGdL7OMCMfyNGaPE+8HGEw==" saltValue="Fp05hTBV5881W79v4O6xx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ZWswvMVCXbfwr3jl5LDy2IHCNZBeurIaiV2j1gNClr1A97g1UtOF6/YIQU2QjXMnWu9sQZtRBNYrCV85IjRjA==" saltValue="v7jtlsNkcWu3uHvq4zX25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9.7957859999999994E-2</v>
      </c>
      <c r="C3" s="21">
        <f>frac_mam_1_5months * 2.6</f>
        <v>9.7957859999999994E-2</v>
      </c>
      <c r="D3" s="21">
        <f>frac_mam_6_11months * 2.6</f>
        <v>4.3466540000000005E-2</v>
      </c>
      <c r="E3" s="21">
        <f>frac_mam_12_23months * 2.6</f>
        <v>1.8051539999999998E-2</v>
      </c>
      <c r="F3" s="21">
        <f>frac_mam_24_59months * 2.6</f>
        <v>2.2022520000000004E-2</v>
      </c>
    </row>
    <row r="4" spans="1:6" ht="15.75" customHeight="1" x14ac:dyDescent="0.25">
      <c r="A4" s="3" t="s">
        <v>236</v>
      </c>
      <c r="B4" s="21">
        <f>frac_sam_1month * 2.6</f>
        <v>0.11947988000000001</v>
      </c>
      <c r="C4" s="21">
        <f>frac_sam_1_5months * 2.6</f>
        <v>0.11947988000000001</v>
      </c>
      <c r="D4" s="21">
        <f>frac_sam_6_11months * 2.6</f>
        <v>4.0093040000000003E-2</v>
      </c>
      <c r="E4" s="21">
        <f>frac_sam_12_23months * 2.6</f>
        <v>5.8565000000000006E-3</v>
      </c>
      <c r="F4" s="21">
        <f>frac_sam_24_59months * 2.6</f>
        <v>1.5233660000000003E-2</v>
      </c>
    </row>
  </sheetData>
  <sheetProtection algorithmName="SHA-512" hashValue="7ObS6I0evgx+xIppb+RS0gKC7IFP7noyiFcjaq/MgH6dL9z/kfURYsgoCjShrz5rTRJpbhlmSRXdWmbtLBy93w==" saltValue="1lCkFXKDxB9mA/+vBSkGt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0.26800000000000002</v>
      </c>
      <c r="M24" s="60">
        <f>famplan_unmet_need</f>
        <v>0.26800000000000002</v>
      </c>
      <c r="N24" s="60">
        <f>famplan_unmet_need</f>
        <v>0.26800000000000002</v>
      </c>
      <c r="O24" s="60">
        <f>famplan_unmet_need</f>
        <v>0.26800000000000002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0.15524919266569995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6.6535368285299976E-2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9.369845604899997E-2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Sghpv467o+3NZGlY64WnjjBsVM50orgYIUvroxURD9pwFx+EMlZZJtrob7M3eKFy7XScxFXBnsGzdEpPBzlFQ==" saltValue="WCUI8jGmkF7bUQ/PCMOIs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XPVFB/GNTV8+x6/yCJ8FFdNlGVlmT5nSvQuFtJrgN3mlY1cEnDHHrudfpJ+vKOSAUHDR7jF0nxfwBxf9jMxdJg==" saltValue="X05gBtLs32ayn33x5YgB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aLQCqJbJFxWOqoYlQqr+XhBYBK4XIL1GZGkv4kzvAhOFcAonRfzrd1sN0JGJNGWGC4L6Z2j6SRWV2KcNkDgLQ==" saltValue="TpByy0Yan5X6rnSCp67NX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8fZf6izFqSpgusADYXq6JIYhsrFNhT5mrDDF68ymJl46sCr9Pu+sOQysmUd+Nri/JW5IIC+EdhgRek8vB7+YA==" saltValue="USBf1S6TyI824NN7Xffp8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NgdmGwPvTi6zKEKl9YTx+cW4YAWj+K/NQSGAr4JhNqwSwSdvOi1aBsbWI9WxkCtqV4i6iy2+Fw0B+6TYqGEVnA==" saltValue="04o6ohNqB/GdslvdINqOR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Zy3cIMkhaIPVpciPY5kYyFug8jov6QaxwelM1P1TLJi+prkzcdiXAszWUCTeQKzjsHMQOlc+njWQxD73waC+QA==" saltValue="WBa3vE8k4eppYrDCdtrNd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8gwCp2jrAoVd/ON4hyWtUfHCwNDnxM+1zhTRV3QMPEePgFz9Se/yPoNcAf6z59vsofF5XAo7VLALyA5wyYv6g==" saltValue="T+XmbpT3CnyHcmCv0xJ0x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+Kn0+HeuVnQ/z2rIuho8FRglnaltvIT2/7jDFGw2oDSKeSq6aE8Ef+Nlkug13N0m02rtw72kQzeABBIkHjwtbg==" saltValue="NrGcFnC9mb/Wb1PgJOC/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DkO1j0WA2MIWze45zGPNoXMq0hvfCO2Q6i8/qHEGzc/gWVs+14XJCOn35AFlTgyVul8o6RiLiCvRYpBt6A4BQw==" saltValue="tE+jXnSJCUJY3wkmLg3d0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/Bk74TDPV9Guv3jpEfkVxEkuQ8GJjUTPeWeuWxv1IGm32+gUQ6w89cbVkmKxc2LnXo7SHBdspy3KKNBkObfqIA==" saltValue="hNxQ48+WC64DvOHN2qeQ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KBL/5T5RZ/MsTNFzCL9eAsLvSU9VcV+f/zw74ynkTNVn0ivCj/kKXEqo3rziQEqtrpWa6hVbIb/MuoFbArPGA==" saltValue="/DWlPahJ59QssyYCjD9L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x/zG0Np4ETeTBgafsze4VK8Lo73y4jTleF4L9jFvy26lSePoNTggCAbbMbW+qrtFJcJakSpG1fwRciUrqUC9uQ==" saltValue="3ngMunwBbvxy6nOcs5Zw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mqqcJoOCfq5YDTtiKXIQpbeFh0xKgAnSSHE087nRd/F347fES4NvF6DncC/VGEm1pKj+Smvr4LISNRIqtuvpg==" saltValue="4sA5RcJy9Mf+qMJgR0q/x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ivlx65hBrTjQHdIpsNhg5UW4WvQ9IAKLldme7WLeTUdwDgNwUwcx/6uTUYotXa2Nhrx6u0HOHZ9LUtPg7QhbA==" saltValue="fu0gYAZJHFxPhJcxgkEd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wEWTxHNW86mfuPruJ0zyA8eoqrU2vPB0Ug4GovMe4CbRt9vNQoX3Xo8nKaV/wEbVouqhs54trp+JFGhm/Adusg==" saltValue="FKZh6DKP9V02lhjmuJkvn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