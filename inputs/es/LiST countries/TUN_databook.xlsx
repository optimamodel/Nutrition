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B04D97F-EC7A-4D95-8AEE-CD35A0B391C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26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28" i="2" l="1"/>
  <c r="A29" i="2"/>
  <c r="A15" i="2"/>
  <c r="A31" i="2"/>
  <c r="A3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4" i="2"/>
  <c r="A20" i="2"/>
  <c r="A36" i="2"/>
  <c r="A21" i="2"/>
  <c r="A37" i="2"/>
  <c r="I4" i="2"/>
  <c r="I8" i="2"/>
  <c r="I12" i="2"/>
  <c r="A23" i="2"/>
  <c r="I38" i="2"/>
  <c r="A16" i="2"/>
  <c r="A24" i="2"/>
  <c r="A32" i="2"/>
  <c r="A17" i="2"/>
  <c r="A25" i="2"/>
  <c r="A33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<sst xmlns="http://schemas.openxmlformats.org/spreadsheetml/2006/main" count="2101" uniqueCount="341">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</sst>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949613.859375</v>
      </c>
    </row>
    <row r="8" spans="1:3" ht="15" customHeight="1" x14ac:dyDescent="0.25">
      <c r="B8" s="5" t="s">
        <v>44</v>
      </c>
      <c r="C8" s="44">
        <v>2E-3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0.68451698300000008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1.77E-2</v>
      </c>
    </row>
    <row r="24" spans="1:3" ht="15" customHeight="1" x14ac:dyDescent="0.25">
      <c r="B24" s="15" t="s">
        <v>46</v>
      </c>
      <c r="C24" s="45">
        <v>0.43480000000000002</v>
      </c>
    </row>
    <row r="25" spans="1:3" ht="15" customHeight="1" x14ac:dyDescent="0.25">
      <c r="B25" s="15" t="s">
        <v>47</v>
      </c>
      <c r="C25" s="45">
        <v>0.49220000000000003</v>
      </c>
    </row>
    <row r="26" spans="1:3" ht="15" customHeight="1" x14ac:dyDescent="0.25">
      <c r="B26" s="15" t="s">
        <v>48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0.20661160000000001</v>
      </c>
    </row>
    <row r="30" spans="1:3" ht="14.25" customHeight="1" x14ac:dyDescent="0.25">
      <c r="B30" s="25" t="s">
        <v>63</v>
      </c>
      <c r="C30" s="99">
        <v>0.1507706</v>
      </c>
    </row>
    <row r="31" spans="1:3" ht="14.25" customHeight="1" x14ac:dyDescent="0.25">
      <c r="B31" s="25" t="s">
        <v>10</v>
      </c>
      <c r="C31" s="99">
        <v>0.1398258</v>
      </c>
    </row>
    <row r="32" spans="1:3" ht="14.25" customHeight="1" x14ac:dyDescent="0.25">
      <c r="B32" s="25" t="s">
        <v>11</v>
      </c>
      <c r="C32" s="99">
        <v>0.50279200000000002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11.53551</v>
      </c>
    </row>
    <row r="38" spans="1:5" ht="15" customHeight="1" x14ac:dyDescent="0.25">
      <c r="B38" s="11" t="s">
        <v>35</v>
      </c>
      <c r="C38" s="43">
        <v>14.034380000000001</v>
      </c>
      <c r="D38" s="12"/>
      <c r="E38" s="13"/>
    </row>
    <row r="39" spans="1:5" ht="15" customHeight="1" x14ac:dyDescent="0.25">
      <c r="B39" s="11" t="s">
        <v>61</v>
      </c>
      <c r="C39" s="43">
        <v>16.321339999999999</v>
      </c>
      <c r="D39" s="12"/>
      <c r="E39" s="12"/>
    </row>
    <row r="40" spans="1:5" ht="15" customHeight="1" x14ac:dyDescent="0.25">
      <c r="B40" s="11" t="s">
        <v>36</v>
      </c>
      <c r="C40" s="100">
        <v>0.37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7.4015000000000001E-3</v>
      </c>
      <c r="D45" s="12"/>
    </row>
    <row r="46" spans="1:5" ht="15.75" customHeight="1" x14ac:dyDescent="0.25">
      <c r="B46" s="11" t="s">
        <v>51</v>
      </c>
      <c r="C46" s="45">
        <v>7.9528500000000002E-2</v>
      </c>
      <c r="D46" s="12"/>
    </row>
    <row r="47" spans="1:5" ht="15.75" customHeight="1" x14ac:dyDescent="0.25">
      <c r="B47" s="11" t="s">
        <v>59</v>
      </c>
      <c r="C47" s="45">
        <v>7.3962100000000003E-2</v>
      </c>
      <c r="D47" s="12"/>
      <c r="E47" s="13"/>
    </row>
    <row r="48" spans="1:5" ht="15" customHeight="1" x14ac:dyDescent="0.25">
      <c r="B48" s="11" t="s">
        <v>58</v>
      </c>
      <c r="C48" s="46">
        <v>0.83910790000000002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0.58013599999999999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atkV/XwsrdQ9QHZrFOxfI4ErBErf3tELeZ3H5Uk9Aw8G9G/Qmfu/UJSPt/L281aWEE/Evu/W1u5PaA3Azh7zNA==" saltValue="+XfSrfpaBRVP+ZHa0KUr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183782</v>
      </c>
      <c r="C2" s="49">
        <v>526641</v>
      </c>
      <c r="D2" s="49">
        <v>816250.5</v>
      </c>
      <c r="E2" s="49">
        <v>989409</v>
      </c>
      <c r="F2" s="49">
        <v>812234</v>
      </c>
      <c r="G2" s="17">
        <f t="shared" ref="G2:G13" si="0">C2+D2+E2+F2</f>
        <v>3144534.5</v>
      </c>
      <c r="H2" s="17">
        <f t="shared" ref="H2:H13" si="1">(B2 + stillbirth*B2/(1000-stillbirth))/(1-abortion)</f>
        <v>211061.97718520055</v>
      </c>
      <c r="I2" s="17">
        <f t="shared" ref="I2:I13" si="2">G2-H2</f>
        <v>2933472.5228147996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180215</v>
      </c>
      <c r="C3" s="50">
        <v>539864.49999999988</v>
      </c>
      <c r="D3" s="50">
        <v>809255.5</v>
      </c>
      <c r="E3" s="50">
        <v>976421.5</v>
      </c>
      <c r="F3" s="50">
        <v>828422</v>
      </c>
      <c r="G3" s="17">
        <f t="shared" si="0"/>
        <v>3153963.5</v>
      </c>
      <c r="H3" s="17">
        <f t="shared" si="1"/>
        <v>206965.50379488154</v>
      </c>
      <c r="I3" s="17">
        <f t="shared" si="2"/>
        <v>2946997.9962051185</v>
      </c>
    </row>
    <row r="4" spans="1:9" ht="15.75" customHeight="1" x14ac:dyDescent="0.25">
      <c r="A4" s="5">
        <f t="shared" si="3"/>
        <v>2026</v>
      </c>
      <c r="B4" s="49">
        <v>176588</v>
      </c>
      <c r="C4" s="50">
        <v>556178.5</v>
      </c>
      <c r="D4" s="50">
        <v>806712.5</v>
      </c>
      <c r="E4" s="50">
        <v>958693</v>
      </c>
      <c r="F4" s="50">
        <v>843618.99999999988</v>
      </c>
      <c r="G4" s="17">
        <f t="shared" si="0"/>
        <v>3165203</v>
      </c>
      <c r="H4" s="17">
        <f t="shared" si="1"/>
        <v>202800.12420792133</v>
      </c>
      <c r="I4" s="17">
        <f t="shared" si="2"/>
        <v>2962402.8757920787</v>
      </c>
    </row>
    <row r="5" spans="1:9" ht="15.75" customHeight="1" x14ac:dyDescent="0.25">
      <c r="A5" s="5">
        <f t="shared" si="3"/>
        <v>2027</v>
      </c>
      <c r="B5" s="49">
        <v>173485</v>
      </c>
      <c r="C5" s="50">
        <v>573895.5</v>
      </c>
      <c r="D5" s="50">
        <v>808349</v>
      </c>
      <c r="E5" s="50">
        <v>938065</v>
      </c>
      <c r="F5" s="50">
        <v>857948.5</v>
      </c>
      <c r="G5" s="17">
        <f t="shared" si="0"/>
        <v>3178258</v>
      </c>
      <c r="H5" s="17">
        <f t="shared" si="1"/>
        <v>199236.52540496088</v>
      </c>
      <c r="I5" s="17">
        <f t="shared" si="2"/>
        <v>2979021.4745950392</v>
      </c>
    </row>
    <row r="6" spans="1:9" ht="15.75" customHeight="1" x14ac:dyDescent="0.25">
      <c r="A6" s="5">
        <f t="shared" si="3"/>
        <v>2028</v>
      </c>
      <c r="B6" s="49">
        <v>170630</v>
      </c>
      <c r="C6" s="50">
        <v>591630</v>
      </c>
      <c r="D6" s="50">
        <v>814369.5</v>
      </c>
      <c r="E6" s="50">
        <v>916594.5</v>
      </c>
      <c r="F6" s="50">
        <v>871448</v>
      </c>
      <c r="G6" s="17">
        <f t="shared" si="0"/>
        <v>3194042</v>
      </c>
      <c r="H6" s="17">
        <f t="shared" si="1"/>
        <v>195957.7388814507</v>
      </c>
      <c r="I6" s="17">
        <f t="shared" si="2"/>
        <v>2998084.2611185494</v>
      </c>
    </row>
    <row r="7" spans="1:9" ht="15.75" customHeight="1" x14ac:dyDescent="0.25">
      <c r="A7" s="5">
        <f t="shared" si="3"/>
        <v>2029</v>
      </c>
      <c r="B7" s="49">
        <v>167958</v>
      </c>
      <c r="C7" s="50">
        <v>607900.00000000012</v>
      </c>
      <c r="D7" s="50">
        <v>825093.5</v>
      </c>
      <c r="E7" s="50">
        <v>895438.5</v>
      </c>
      <c r="F7" s="50">
        <v>882619.5</v>
      </c>
      <c r="G7" s="17">
        <f t="shared" si="0"/>
        <v>3211051.5</v>
      </c>
      <c r="H7" s="17">
        <f t="shared" si="1"/>
        <v>192889.11625769615</v>
      </c>
      <c r="I7" s="17">
        <f t="shared" si="2"/>
        <v>3018162.3837423041</v>
      </c>
    </row>
    <row r="8" spans="1:9" ht="15.75" customHeight="1" x14ac:dyDescent="0.25">
      <c r="A8" s="5">
        <f t="shared" si="3"/>
        <v>2030</v>
      </c>
      <c r="B8" s="49">
        <v>165780</v>
      </c>
      <c r="C8" s="50">
        <v>620779.5</v>
      </c>
      <c r="D8" s="50">
        <v>840050.5</v>
      </c>
      <c r="E8" s="50">
        <v>874575</v>
      </c>
      <c r="F8" s="50">
        <v>889984.5</v>
      </c>
      <c r="G8" s="17">
        <f t="shared" si="0"/>
        <v>3225389.5</v>
      </c>
      <c r="H8" s="17">
        <f t="shared" si="1"/>
        <v>190387.82131962077</v>
      </c>
      <c r="I8" s="17">
        <f t="shared" si="2"/>
        <v>3035001.6786803794</v>
      </c>
    </row>
    <row r="9" spans="1:9" ht="15.75" customHeight="1" x14ac:dyDescent="0.25">
      <c r="A9" s="5">
        <f t="shared" si="3"/>
        <v>2031</v>
      </c>
      <c r="B9" s="49">
        <v>164094</v>
      </c>
      <c r="C9" s="50">
        <v>628115.5</v>
      </c>
      <c r="D9" s="50">
        <v>859397</v>
      </c>
      <c r="E9" s="50">
        <v>854096</v>
      </c>
      <c r="F9" s="50">
        <v>893645</v>
      </c>
      <c r="G9" s="17">
        <f t="shared" si="0"/>
        <v>3235253.5</v>
      </c>
      <c r="H9" s="17">
        <f t="shared" si="1"/>
        <v>188451.55719400322</v>
      </c>
      <c r="I9" s="17">
        <f t="shared" si="2"/>
        <v>3046801.9428059966</v>
      </c>
    </row>
    <row r="10" spans="1:9" ht="15.75" customHeight="1" x14ac:dyDescent="0.25">
      <c r="A10" s="5">
        <f t="shared" si="3"/>
        <v>2032</v>
      </c>
      <c r="B10" s="49">
        <v>163452</v>
      </c>
      <c r="C10" s="50">
        <v>629284.5</v>
      </c>
      <c r="D10" s="50">
        <v>882349.50000000012</v>
      </c>
      <c r="E10" s="50">
        <v>835234.5</v>
      </c>
      <c r="F10" s="50">
        <v>894286.49999999988</v>
      </c>
      <c r="G10" s="17">
        <f t="shared" si="0"/>
        <v>3241155</v>
      </c>
      <c r="H10" s="17">
        <f t="shared" si="1"/>
        <v>187714.26088994244</v>
      </c>
      <c r="I10" s="17">
        <f t="shared" si="2"/>
        <v>3053440.7391100577</v>
      </c>
    </row>
    <row r="11" spans="1:9" ht="15.75" customHeight="1" x14ac:dyDescent="0.25">
      <c r="A11" s="5">
        <f t="shared" si="3"/>
        <v>2033</v>
      </c>
      <c r="B11" s="49">
        <v>163002</v>
      </c>
      <c r="C11" s="50">
        <v>625509</v>
      </c>
      <c r="D11" s="50">
        <v>906132</v>
      </c>
      <c r="E11" s="50">
        <v>819490.5</v>
      </c>
      <c r="F11" s="50">
        <v>891857</v>
      </c>
      <c r="G11" s="17">
        <f t="shared" si="0"/>
        <v>3242988.5</v>
      </c>
      <c r="H11" s="17">
        <f t="shared" si="1"/>
        <v>187197.46441513347</v>
      </c>
      <c r="I11" s="17">
        <f t="shared" si="2"/>
        <v>3055791.0355848665</v>
      </c>
    </row>
    <row r="12" spans="1:9" ht="15.75" customHeight="1" x14ac:dyDescent="0.25">
      <c r="A12" s="5">
        <f t="shared" si="3"/>
        <v>2034</v>
      </c>
      <c r="B12" s="49">
        <v>162951</v>
      </c>
      <c r="C12" s="50">
        <v>617838.50000000012</v>
      </c>
      <c r="D12" s="50">
        <v>929214</v>
      </c>
      <c r="E12" s="50">
        <v>808016.5</v>
      </c>
      <c r="F12" s="50">
        <v>885887</v>
      </c>
      <c r="G12" s="17">
        <f t="shared" si="0"/>
        <v>3240956</v>
      </c>
      <c r="H12" s="17">
        <f t="shared" si="1"/>
        <v>187138.89414798847</v>
      </c>
      <c r="I12" s="17">
        <f t="shared" si="2"/>
        <v>3053817.1058520116</v>
      </c>
    </row>
    <row r="13" spans="1:9" ht="15.75" customHeight="1" x14ac:dyDescent="0.25">
      <c r="A13" s="5">
        <f t="shared" si="3"/>
        <v>2035</v>
      </c>
      <c r="B13" s="49">
        <v>163427</v>
      </c>
      <c r="C13" s="50">
        <v>607124</v>
      </c>
      <c r="D13" s="50">
        <v>951162.5</v>
      </c>
      <c r="E13" s="50">
        <v>801146</v>
      </c>
      <c r="F13" s="50">
        <v>876025.5</v>
      </c>
      <c r="G13" s="17">
        <f t="shared" si="0"/>
        <v>3235458</v>
      </c>
      <c r="H13" s="17">
        <f t="shared" si="1"/>
        <v>187685.54997467529</v>
      </c>
      <c r="I13" s="17">
        <f t="shared" si="2"/>
        <v>3047772.4500253247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MODwo/LW1cfcN60GwgIS+8r2ZZ2I6oTDX68b+nixALnbGQR6O7iUtt9C4H9vQioBKcl304Xc/60XXuHLrsldQ==" saltValue="smKxXn+qoTYIbXHGyvfgV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1.914086240591206E-3</v>
      </c>
    </row>
    <row r="4" spans="1:8" ht="15.75" customHeight="1" x14ac:dyDescent="0.25">
      <c r="B4" s="19" t="s">
        <v>97</v>
      </c>
      <c r="C4" s="101">
        <v>4.6976770839802673E-2</v>
      </c>
    </row>
    <row r="5" spans="1:8" ht="15.75" customHeight="1" x14ac:dyDescent="0.25">
      <c r="B5" s="19" t="s">
        <v>95</v>
      </c>
      <c r="C5" s="101">
        <v>2.6624890601855591E-2</v>
      </c>
    </row>
    <row r="6" spans="1:8" ht="15.75" customHeight="1" x14ac:dyDescent="0.25">
      <c r="B6" s="19" t="s">
        <v>91</v>
      </c>
      <c r="C6" s="101">
        <v>0.18347795240476961</v>
      </c>
    </row>
    <row r="7" spans="1:8" ht="15.75" customHeight="1" x14ac:dyDescent="0.25">
      <c r="B7" s="19" t="s">
        <v>96</v>
      </c>
      <c r="C7" s="101">
        <v>0.43461038759071241</v>
      </c>
    </row>
    <row r="8" spans="1:8" ht="15.75" customHeight="1" x14ac:dyDescent="0.25">
      <c r="B8" s="19" t="s">
        <v>98</v>
      </c>
      <c r="C8" s="101">
        <v>2.0131958839595101E-4</v>
      </c>
    </row>
    <row r="9" spans="1:8" ht="15.75" customHeight="1" x14ac:dyDescent="0.25">
      <c r="B9" s="19" t="s">
        <v>92</v>
      </c>
      <c r="C9" s="101">
        <v>0.23871112659261709</v>
      </c>
    </row>
    <row r="10" spans="1:8" ht="15.75" customHeight="1" x14ac:dyDescent="0.25">
      <c r="B10" s="19" t="s">
        <v>94</v>
      </c>
      <c r="C10" s="101">
        <v>6.7483466141255583E-2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102</v>
      </c>
      <c r="C15" s="101">
        <v>0.58137618456432938</v>
      </c>
      <c r="D15" s="101">
        <v>0.58137618456432938</v>
      </c>
      <c r="E15" s="101">
        <v>0.58137618456432938</v>
      </c>
      <c r="F15" s="101">
        <v>0.58137618456432938</v>
      </c>
    </row>
    <row r="16" spans="1:8" ht="15.75" customHeight="1" x14ac:dyDescent="0.25">
      <c r="B16" s="19" t="s">
        <v>2</v>
      </c>
      <c r="C16" s="101">
        <v>8.1283587680677227E-3</v>
      </c>
      <c r="D16" s="101">
        <v>8.1283587680677227E-3</v>
      </c>
      <c r="E16" s="101">
        <v>8.1283587680677227E-3</v>
      </c>
      <c r="F16" s="101">
        <v>8.1283587680677227E-3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3.4718565549725869E-2</v>
      </c>
      <c r="D19" s="101">
        <v>3.4718565549725869E-2</v>
      </c>
      <c r="E19" s="101">
        <v>3.4718565549725869E-2</v>
      </c>
      <c r="F19" s="101">
        <v>3.4718565549725869E-2</v>
      </c>
    </row>
    <row r="20" spans="1:8" ht="15.75" customHeight="1" x14ac:dyDescent="0.25">
      <c r="B20" s="19" t="s">
        <v>79</v>
      </c>
      <c r="C20" s="101">
        <v>3.6470078017099047E-2</v>
      </c>
      <c r="D20" s="101">
        <v>3.6470078017099047E-2</v>
      </c>
      <c r="E20" s="101">
        <v>3.6470078017099047E-2</v>
      </c>
      <c r="F20" s="101">
        <v>3.6470078017099047E-2</v>
      </c>
    </row>
    <row r="21" spans="1:8" ht="15.75" customHeight="1" x14ac:dyDescent="0.25">
      <c r="B21" s="19" t="s">
        <v>88</v>
      </c>
      <c r="C21" s="101">
        <v>0.1358152387529164</v>
      </c>
      <c r="D21" s="101">
        <v>0.1358152387529164</v>
      </c>
      <c r="E21" s="101">
        <v>0.1358152387529164</v>
      </c>
      <c r="F21" s="101">
        <v>0.1358152387529164</v>
      </c>
    </row>
    <row r="22" spans="1:8" ht="15.75" customHeight="1" x14ac:dyDescent="0.25">
      <c r="B22" s="19" t="s">
        <v>99</v>
      </c>
      <c r="C22" s="101">
        <v>0.17788761563306091</v>
      </c>
      <c r="D22" s="101">
        <v>0.17788761563306091</v>
      </c>
      <c r="E22" s="101">
        <v>0.17788761563306091</v>
      </c>
      <c r="F22" s="101">
        <v>0.17788761563306091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1.1136350999999999E-2</v>
      </c>
    </row>
    <row r="27" spans="1:8" ht="15.75" customHeight="1" x14ac:dyDescent="0.25">
      <c r="B27" s="19" t="s">
        <v>89</v>
      </c>
      <c r="C27" s="101">
        <v>3.6968140000000001E-3</v>
      </c>
    </row>
    <row r="28" spans="1:8" ht="15.75" customHeight="1" x14ac:dyDescent="0.25">
      <c r="B28" s="19" t="s">
        <v>103</v>
      </c>
      <c r="C28" s="101">
        <v>0.34672293799999998</v>
      </c>
    </row>
    <row r="29" spans="1:8" ht="15.75" customHeight="1" x14ac:dyDescent="0.25">
      <c r="B29" s="19" t="s">
        <v>86</v>
      </c>
      <c r="C29" s="101">
        <v>0.10583593600000001</v>
      </c>
    </row>
    <row r="30" spans="1:8" ht="15.75" customHeight="1" x14ac:dyDescent="0.25">
      <c r="B30" s="19" t="s">
        <v>4</v>
      </c>
      <c r="C30" s="101">
        <v>4.4921836E-2</v>
      </c>
    </row>
    <row r="31" spans="1:8" ht="15.75" customHeight="1" x14ac:dyDescent="0.25">
      <c r="B31" s="19" t="s">
        <v>80</v>
      </c>
      <c r="C31" s="101">
        <v>3.5084725999999997E-2</v>
      </c>
    </row>
    <row r="32" spans="1:8" ht="15.75" customHeight="1" x14ac:dyDescent="0.25">
      <c r="B32" s="19" t="s">
        <v>85</v>
      </c>
      <c r="C32" s="101">
        <v>8.1190229000000003E-2</v>
      </c>
    </row>
    <row r="33" spans="2:3" ht="15.75" customHeight="1" x14ac:dyDescent="0.25">
      <c r="B33" s="19" t="s">
        <v>100</v>
      </c>
      <c r="C33" s="101">
        <v>9.2724770999999998E-2</v>
      </c>
    </row>
    <row r="34" spans="2:3" ht="15.75" customHeight="1" x14ac:dyDescent="0.25">
      <c r="B34" s="19" t="s">
        <v>87</v>
      </c>
      <c r="C34" s="101">
        <v>0.2786864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lJEH0kW3HpusFaWUcpaENCnJvW4Fq3G75rwjMbpWLUXXgLodui3W1cXY40H1WslT0q6ZsgR7z8rajK7JGOnemw==" saltValue="ziuzMm2EVyZeCF+FX1PEz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110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106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107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119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0BMmC+4LOW+Ln4+fZWbsRWaHVGc6nXB/dThZyIEuRfpVBvQsxZYBZzUaopAKcv4ZeQuHtRAjqX4z/cFHz2IRw==" saltValue="zTarcxvgWEA9vu4LT5TI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125</v>
      </c>
      <c r="C5" s="52">
        <v>6.3587499999999991E-2</v>
      </c>
      <c r="D5" s="52">
        <v>0.20222999999999999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hZdWD5OqkqyzVELX56c2A+ixUcsEX0ILZGuiENDLNgRad//U8IaQA4fvbvZ3XMyznZ+rTS6vT7renkc0tLU0wg==" saltValue="LH3/3Q9yWLtjCZJIP7/GA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iqVtvwiSVutU0uhlsqoo+PAwQ1Sje314Mhwm2wSi9BS3nFFQ+jzZfDyijm7tK1VBhYbZCL8P5kXdlmsc2oxvA==" saltValue="Bp2efyxZNeu2/NtNomj5b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2IMZVJefYSLdUzGMCiaHUdz1cQUxuryPx75NYrCIiDXUjcTo0eyM4dCJXsySgBR6dC0HjG+CAgXzaw2qB++h2Q==" saltValue="3yvxZkKh5UeBgpkFduXx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qDYR7Q9zf7sOB/+Kc8gqLBBH9OLExbGlaghBm/d0IOG5bAvt4a/7frB/6qh05I1tdieo8VimiNHUPP1qpxNq7A==" saltValue="C4C5DeN59ILJoHE0q7I4o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0hW+TdFdT2aquhxaSovXdhXhCBRKguGj4+Z4Ab/446RDMmcgCz5vSKL0Vflq+u9MoeTa2dlkKIIzT60dSs1GOw==" saltValue="LrD3nTKKoT+o+1akl/jOi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55.12482350799813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39.815027292809162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368.86463746807789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2.1750029685526528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12.947326736605079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12.947326736605079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12.947326736605079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12.947326736605079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12.947326736605079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12.947326736605079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0.65409253650042354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0.1186436</v>
      </c>
      <c r="C18" s="98">
        <v>0.95</v>
      </c>
      <c r="D18" s="56">
        <v>8.5173575549872886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0.1186436</v>
      </c>
      <c r="C19" s="98">
        <v>0.95</v>
      </c>
      <c r="D19" s="56">
        <v>8.5173575549872886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23.330746965205979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22.308947987822169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4.2388047202319106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0.7126937777643001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18.508269134264211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0.39602369999999998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0.63161319999999999</v>
      </c>
      <c r="C29" s="98">
        <v>0.95</v>
      </c>
      <c r="D29" s="56">
        <v>107.01874447998669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1.8336841254333389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1.3977661511371069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0.84269210000000006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0.1490117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9.7786999999999995E-3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0.93248249999999999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3.8737199999999999E-2</v>
      </c>
      <c r="C38" s="98">
        <v>0.95</v>
      </c>
      <c r="D38" s="56">
        <v>3.5105839673843442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uK6vorSH+WjWFW/XvPmMso6JjYhSclRSIumD1+wYd+YQuuo+WP+saQMawteMmL4nJSGNKumdDblM5Fo2z2Frpg==" saltValue="3vhvQiEPsJ7EyAPi4Koo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pG4lTmzKNnC79y2Hu2BqwnL9SgfPB/fAb2SM0mqGXB/v+tWkrV2Lk/uPH0QxClybN02duIuew3lBTJc9wR/j7Q==" saltValue="8xVPak4r7uWyTrPpkH700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PEhxSw59imHNyWQ103q1T8OoBG5dDZ1fZc5KFyzzbsufBNy/FElgj4QFI0MV6yGxCco+vGc7PWYHqc9ltCtuMg==" saltValue="cMebE5VqxaD0xgningWh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207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sheetProtection algorithmName="SHA-512" hashValue="+EiROiIH0Y1blwLbRnlX9tlgvc0eJiSUylxNyCAMX5l3POx781EMidH6SiVk5qGNLGcdEX7Se9BIpLE6FcpV1g==" saltValue="YeAHgL24qjHDJ58AaR2U8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0.15471918119713998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6.6308220513059984E-2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9.4455615289799982E-2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GqRszNNyzyKBn4levGJCXWMMP+mvSTGALPYuS7lgtMEQTvrT6QgIH2oyI40VgoMLNBMT0bAEw+8rLRYWJGmBA==" saltValue="/hZOPj6xmlXqLao/Q+Qw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gt7kcUbKuVadAYNE8oMUT0gxXnT5ILMFBZO5F5kpseIovugjkfpAn1ZDwQ4qq3qYOklULMrifLu7iv2TfpoKA==" saltValue="Lf1Lj57xXJItiuyTaRZdk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ciJ0+a4O6SkekN5dK7ICWpkL/UJbO8CW5E2fsNe4UinbqU0zGqIDJSZzLpei0dz54xWJrChM+9zWg5PoaFnnQ==" saltValue="sB4WXlzXtmXFFb6MMHjQ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yB10elqyCRCOHuY2lDyhwnx0+sIu/YOrDNUekAsRaID4fp94ds7UfyXWmnTtgqIsuaAZAXsAAtkAH0EeYSlYQ==" saltValue="lXZAMB1ud6E9LAt2QF/g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d8OtSy80xom+o8sMcGsL2atcr8ki6exq17NZsN3+0ihu60izTl4lEJTWqG1a584kaeOff/aslHSWBkrN3Ev6w==" saltValue="0XzA5Jd8S3xM2yScthf5X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r1KEn+nK7qEaxOklmpeiBr8Z2Piv5kcFVRbuXr1X2fWSU2N0M68NcOIpwFxoQC55tJD10ewBd7jxNHax0qrpQ==" saltValue="AIfXzvQRkYxI9To8ppo2R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kZj3M7yr1dKfk7P6iMuSW/7uFProFn40qU2BdhDdzuPXDDR4IQS8X2IOHBuhYckvcAEX5ynnmYkcszBpJpifA==" saltValue="+M9v5L5Ekg8KRCwxk0cNn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lCLcwltod7VglY6Rjt2I9U2wC1p50RcwLM5SF5ZcKgVjeLRwxefPdyhUDKgSC+wTFRED7vxNh66cbeupX5Esw==" saltValue="+ccvK9ly1KaluWnHzyRy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h7Fi/KlFvKNyaY9Z2+N3s3C7qwHwXt9OeZlC/qhZyzoe3JAMrobSaBZ2gmjnx51Z/RLQ0YgheWGtlVsnD+H+w==" saltValue="wmGzxjAh99FuRmCS+OX4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DEs7EEB6KjvgnsF1HSs1FH7LpOU2bLGYi0l0+aPGLM8dcC6erfedX9l1DpX9e6R3DNg+FLw6sty25RcD0cDFQ==" saltValue="9wB4frlWFzfuaH9cH0JF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JGzVPxBDHExy6NEYY4NcSm9au4C+5DaAOxeAx1pfUiFfc2y7HNu61qd0nO/6FO+BD5+Xr+NArM5IEZnN6yUvXw==" saltValue="Dy1tom62IYWM9l2i8QqT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fi42B6ry0JmN0b/F43KjGD/+wh59PU6ybur/KTguNzpKRg7nv8VpdOJWwpzlFFCDLA4oMmMFyEOBvTyW2loYA==" saltValue="u66sZND1/f+4K6cLzE98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yWDblORJI58zdaDLD/lhZtSItMhkNjV+oRtyTPmikdZoHLD15BVO9G5jkF2TIsYMlv/v5o6CyGAXgF3SGKZQw==" saltValue="RKSFs4L8b8CRwX3h3IH+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0.1084877777420683</v>
      </c>
      <c r="G18" s="90">
        <f>MIN(MAX(1-0.89/(1-frac_sam_12_23months+(frac_sam_12_23months*0.89)),0),1)</f>
        <v>0.10977942559717735</v>
      </c>
      <c r="H18" s="90">
        <f>MIN(MAX(1-0.89/(1-frac_sam_24_59months+(frac_sam_24_59months*0.89)),0),1)</f>
        <v>0.10942602418201131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0.10836030223664384</v>
      </c>
      <c r="G20" s="90">
        <f>MIN(MAX(1-0.89/(1-frac_mam_12_23months+(frac_mam_12_23months*0.89)),0),1)</f>
        <v>0.10931977058587206</v>
      </c>
      <c r="H20" s="90">
        <f>MIN(MAX(1-0.89/(1-frac_mam_24_59months+(frac_mam_24_59months*0.89)),0),1)</f>
        <v>0.10916999408522909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9.8473144952844205E-3</v>
      </c>
      <c r="G73" s="90">
        <f>MIN(MAX(1-0.99/(1-frac_sam_12_23months+(frac_sam_12_23months*0.99)),0),1)</f>
        <v>9.9776997476868079E-3</v>
      </c>
      <c r="H73" s="90">
        <f>MIN(MAX(1-0.99/(1-frac_sam_24_59months+(frac_sam_24_59months*0.99)),0),1)</f>
        <v>9.9419915112245461E-3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9.8344651160436891E-3</v>
      </c>
      <c r="G75" s="90">
        <f>MIN(MAX(1-0.99/(1-frac_mam_12_23months+(frac_mam_12_23months*0.99)),0),1)</f>
        <v>9.9312605174864954E-3</v>
      </c>
      <c r="H75" s="90">
        <f>MIN(MAX(1-0.99/(1-frac_mam_24_59months+(frac_mam_24_59months*0.99)),0),1)</f>
        <v>9.916137916713863E-3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0.19752510322033967</v>
      </c>
      <c r="G128" s="90">
        <f>MIN(MAX(1-0.8/(1-frac_sam_12_23months+(frac_sam_12_23months*0.8)),0),1)</f>
        <v>0.19963943756662372</v>
      </c>
      <c r="H128" s="90">
        <f>MIN(MAX(1-0.8/(1-frac_sam_24_59months+(frac_sam_24_59months*0.8)),0),1)</f>
        <v>0.19906144418152072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0.19731616237419114</v>
      </c>
      <c r="G130" s="90">
        <f>MIN(MAX(1-0.8/(1-frac_mam_12_23months+(frac_mam_12_23months*0.8)),0),1)</f>
        <v>0.19888759133157119</v>
      </c>
      <c r="H130" s="90">
        <f>MIN(MAX(1-0.8/(1-frac_mam_24_59months+(frac_mam_24_59months*0.8)),0),1)</f>
        <v>0.19864246828697685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QkI76Ue4N2xxp0bVeDijF0DyZFO3HW1YfcnruXjT228a69ygAcSvlrinpeTEouy/bEDGtiDWfe6nyWyQn+7+Q==" saltValue="hXn/aEdn1R0Um7CGvf41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ns4F5h7tyzYSjhELmOkd3Jat1azFcoLsxfEgJY0RS/Cwq5kDKH1Kt/yNb2Kfuv4cVG5QbE0kT5CcmEoAOGL+w==" saltValue="0t2CYlyGxTv3RbDwnznYh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2024-08-06T08:27:56Z</dcterms:modified>
</cp:coreProperties>
</file>