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6293A11-BB66-4F4A-A30E-17ADDBF9ECC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1" i="2"/>
  <c r="A23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40" i="2" s="1"/>
  <c r="C33" i="1"/>
  <c r="C20" i="1"/>
  <c r="I5" i="2" l="1"/>
  <c r="I9" i="2"/>
  <c r="I13" i="2"/>
  <c r="I2" i="2"/>
  <c r="I6" i="2"/>
  <c r="I10" i="2"/>
  <c r="A15" i="2"/>
  <c r="A16" i="2"/>
  <c r="A32" i="2"/>
  <c r="A24" i="2"/>
  <c r="A17" i="2"/>
  <c r="A25" i="2"/>
  <c r="A33" i="2"/>
  <c r="A3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6" i="2"/>
  <c r="A39" i="2"/>
  <c r="A19" i="2"/>
  <c r="A27" i="2"/>
  <c r="A35" i="2"/>
  <c r="A18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<sst xmlns="http://schemas.openxmlformats.org/spreadsheetml/2006/main" count="2101" uniqueCount="341">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</sst>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8263459.6875</v>
      </c>
    </row>
    <row r="8" spans="1:3" ht="15" customHeight="1" x14ac:dyDescent="0.25">
      <c r="B8" s="5" t="s">
        <v>44</v>
      </c>
      <c r="C8" s="44">
        <v>0.41699999999999998</v>
      </c>
    </row>
    <row r="9" spans="1:3" ht="15" customHeight="1" x14ac:dyDescent="0.25">
      <c r="B9" s="5" t="s">
        <v>43</v>
      </c>
      <c r="C9" s="45">
        <v>0.73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0.10879999999999999</v>
      </c>
    </row>
    <row r="24" spans="1:3" ht="15" customHeight="1" x14ac:dyDescent="0.25">
      <c r="B24" s="15" t="s">
        <v>46</v>
      </c>
      <c r="C24" s="45">
        <v>0.53739999999999999</v>
      </c>
    </row>
    <row r="25" spans="1:3" ht="15" customHeight="1" x14ac:dyDescent="0.25">
      <c r="B25" s="15" t="s">
        <v>47</v>
      </c>
      <c r="C25" s="45">
        <v>0.29330000000000001</v>
      </c>
    </row>
    <row r="26" spans="1:3" ht="15" customHeight="1" x14ac:dyDescent="0.25">
      <c r="B26" s="15" t="s">
        <v>48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0.22259625228416199</v>
      </c>
    </row>
    <row r="30" spans="1:3" ht="14.25" customHeight="1" x14ac:dyDescent="0.25">
      <c r="B30" s="25" t="s">
        <v>63</v>
      </c>
      <c r="C30" s="99">
        <v>6.9957740305893898E-2</v>
      </c>
    </row>
    <row r="31" spans="1:3" ht="14.25" customHeight="1" x14ac:dyDescent="0.25">
      <c r="B31" s="25" t="s">
        <v>10</v>
      </c>
      <c r="C31" s="99">
        <v>0.118524449608315</v>
      </c>
    </row>
    <row r="32" spans="1:3" ht="14.25" customHeight="1" x14ac:dyDescent="0.25">
      <c r="B32" s="25" t="s">
        <v>11</v>
      </c>
      <c r="C32" s="99">
        <v>0.58892155780162903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19.007650000000002</v>
      </c>
    </row>
    <row r="38" spans="1:5" ht="15" customHeight="1" x14ac:dyDescent="0.25">
      <c r="B38" s="11" t="s">
        <v>35</v>
      </c>
      <c r="C38" s="43">
        <v>31.167809999999999</v>
      </c>
      <c r="D38" s="12"/>
      <c r="E38" s="13"/>
    </row>
    <row r="39" spans="1:5" ht="15" customHeight="1" x14ac:dyDescent="0.25">
      <c r="B39" s="11" t="s">
        <v>61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100">
        <v>2.84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8.5860999999999993E-3</v>
      </c>
      <c r="D45" s="12"/>
    </row>
    <row r="46" spans="1:5" ht="15.75" customHeight="1" x14ac:dyDescent="0.25">
      <c r="B46" s="11" t="s">
        <v>51</v>
      </c>
      <c r="C46" s="45">
        <v>9.0953300000000001E-2</v>
      </c>
      <c r="D46" s="12"/>
    </row>
    <row r="47" spans="1:5" ht="15.75" customHeight="1" x14ac:dyDescent="0.25">
      <c r="B47" s="11" t="s">
        <v>59</v>
      </c>
      <c r="C47" s="45">
        <v>0.15892729999999999</v>
      </c>
      <c r="D47" s="12"/>
      <c r="E47" s="13"/>
    </row>
    <row r="48" spans="1:5" ht="15" customHeight="1" x14ac:dyDescent="0.25">
      <c r="B48" s="11" t="s">
        <v>58</v>
      </c>
      <c r="C48" s="46">
        <v>0.74153329999999995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0.50075199999999997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I/MtvtrsFQosLXtjuJnCZQXG+jmP2eLqvIOLQwHmCszZqcGf3/buQuRYWx6GIJ2EAn7aq/lJjU8k3udSjQ8XQw==" saltValue="ZkWgOFMByGHNz/BvpRbP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1737582</v>
      </c>
      <c r="C2" s="49">
        <v>3553211</v>
      </c>
      <c r="D2" s="49">
        <v>4693966.5</v>
      </c>
      <c r="E2" s="49">
        <v>3025619</v>
      </c>
      <c r="F2" s="49">
        <v>1473895.5</v>
      </c>
      <c r="G2" s="17">
        <f t="shared" ref="G2:G13" si="0">C2+D2+E2+F2</f>
        <v>12746692</v>
      </c>
      <c r="H2" s="17">
        <f t="shared" ref="H2:H13" si="1">(B2 + stillbirth*B2/(1000-stillbirth))/(1-abortion)</f>
        <v>2004790.3373761019</v>
      </c>
      <c r="I2" s="17">
        <f t="shared" ref="I2:I13" si="2">G2-H2</f>
        <v>10741901.662623897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1749115</v>
      </c>
      <c r="C3" s="50">
        <v>3629597</v>
      </c>
      <c r="D3" s="50">
        <v>4820530</v>
      </c>
      <c r="E3" s="50">
        <v>3177005</v>
      </c>
      <c r="F3" s="50">
        <v>1532516.5</v>
      </c>
      <c r="G3" s="17">
        <f t="shared" si="0"/>
        <v>13159648.5</v>
      </c>
      <c r="H3" s="17">
        <f t="shared" si="1"/>
        <v>2018096.9018783574</v>
      </c>
      <c r="I3" s="17">
        <f t="shared" si="2"/>
        <v>11141551.598121643</v>
      </c>
    </row>
    <row r="4" spans="1:9" ht="15.75" customHeight="1" x14ac:dyDescent="0.25">
      <c r="A4" s="5">
        <f t="shared" si="3"/>
        <v>2026</v>
      </c>
      <c r="B4" s="49">
        <v>1759703</v>
      </c>
      <c r="C4" s="50">
        <v>3707641</v>
      </c>
      <c r="D4" s="50">
        <v>4949977</v>
      </c>
      <c r="E4" s="50">
        <v>3327171.5</v>
      </c>
      <c r="F4" s="50">
        <v>1600432</v>
      </c>
      <c r="G4" s="17">
        <f t="shared" si="0"/>
        <v>13585221.5</v>
      </c>
      <c r="H4" s="17">
        <f t="shared" si="1"/>
        <v>2030313.142661318</v>
      </c>
      <c r="I4" s="17">
        <f t="shared" si="2"/>
        <v>11554908.357338682</v>
      </c>
    </row>
    <row r="5" spans="1:9" ht="15.75" customHeight="1" x14ac:dyDescent="0.25">
      <c r="A5" s="5">
        <f t="shared" si="3"/>
        <v>2027</v>
      </c>
      <c r="B5" s="49">
        <v>1768718</v>
      </c>
      <c r="C5" s="50">
        <v>3785655</v>
      </c>
      <c r="D5" s="50">
        <v>5083774</v>
      </c>
      <c r="E5" s="50">
        <v>3475196</v>
      </c>
      <c r="F5" s="50">
        <v>1679592</v>
      </c>
      <c r="G5" s="17">
        <f t="shared" si="0"/>
        <v>14024217</v>
      </c>
      <c r="H5" s="17">
        <f t="shared" si="1"/>
        <v>2040714.4848088804</v>
      </c>
      <c r="I5" s="17">
        <f t="shared" si="2"/>
        <v>11983502.515191119</v>
      </c>
    </row>
    <row r="6" spans="1:9" ht="15.75" customHeight="1" x14ac:dyDescent="0.25">
      <c r="A6" s="5">
        <f t="shared" si="3"/>
        <v>2028</v>
      </c>
      <c r="B6" s="49">
        <v>1783220</v>
      </c>
      <c r="C6" s="50">
        <v>3862387.5</v>
      </c>
      <c r="D6" s="50">
        <v>5219198</v>
      </c>
      <c r="E6" s="50">
        <v>3621839</v>
      </c>
      <c r="F6" s="50">
        <v>1769830</v>
      </c>
      <c r="G6" s="17">
        <f t="shared" si="0"/>
        <v>14473254.5</v>
      </c>
      <c r="H6" s="17">
        <f t="shared" si="1"/>
        <v>2057446.627218636</v>
      </c>
      <c r="I6" s="17">
        <f t="shared" si="2"/>
        <v>12415807.872781364</v>
      </c>
    </row>
    <row r="7" spans="1:9" ht="15.75" customHeight="1" x14ac:dyDescent="0.25">
      <c r="A7" s="5">
        <f t="shared" si="3"/>
        <v>2029</v>
      </c>
      <c r="B7" s="49">
        <v>1789966</v>
      </c>
      <c r="C7" s="50">
        <v>3935620.5</v>
      </c>
      <c r="D7" s="50">
        <v>5356225</v>
      </c>
      <c r="E7" s="50">
        <v>3767394</v>
      </c>
      <c r="F7" s="50">
        <v>1869604</v>
      </c>
      <c r="G7" s="17">
        <f t="shared" si="0"/>
        <v>14928843.5</v>
      </c>
      <c r="H7" s="17">
        <f t="shared" si="1"/>
        <v>2065230.0386581763</v>
      </c>
      <c r="I7" s="17">
        <f t="shared" si="2"/>
        <v>12863613.461341824</v>
      </c>
    </row>
    <row r="8" spans="1:9" ht="15.75" customHeight="1" x14ac:dyDescent="0.25">
      <c r="A8" s="5">
        <f t="shared" si="3"/>
        <v>2030</v>
      </c>
      <c r="B8" s="49">
        <v>1797092</v>
      </c>
      <c r="C8" s="50">
        <v>4003942</v>
      </c>
      <c r="D8" s="50">
        <v>5495358</v>
      </c>
      <c r="E8" s="50">
        <v>3912559</v>
      </c>
      <c r="F8" s="50">
        <v>1977956.5</v>
      </c>
      <c r="G8" s="17">
        <f t="shared" si="0"/>
        <v>15389815.5</v>
      </c>
      <c r="H8" s="17">
        <f t="shared" si="1"/>
        <v>2073451.8871488615</v>
      </c>
      <c r="I8" s="17">
        <f t="shared" si="2"/>
        <v>13316363.612851139</v>
      </c>
    </row>
    <row r="9" spans="1:9" ht="15.75" customHeight="1" x14ac:dyDescent="0.25">
      <c r="A9" s="5">
        <f t="shared" si="3"/>
        <v>2031</v>
      </c>
      <c r="B9" s="49">
        <v>1796738</v>
      </c>
      <c r="C9" s="50">
        <v>4072992.5</v>
      </c>
      <c r="D9" s="50">
        <v>5635081.4999999991</v>
      </c>
      <c r="E9" s="50">
        <v>4057325.5</v>
      </c>
      <c r="F9" s="50">
        <v>2094491</v>
      </c>
      <c r="G9" s="17">
        <f t="shared" si="0"/>
        <v>15859890.5</v>
      </c>
      <c r="H9" s="17">
        <f t="shared" si="1"/>
        <v>2073043.4484222685</v>
      </c>
      <c r="I9" s="17">
        <f t="shared" si="2"/>
        <v>13786847.051577732</v>
      </c>
    </row>
    <row r="10" spans="1:9" ht="15.75" customHeight="1" x14ac:dyDescent="0.25">
      <c r="A10" s="5">
        <f t="shared" si="3"/>
        <v>2032</v>
      </c>
      <c r="B10" s="49">
        <v>1813939</v>
      </c>
      <c r="C10" s="50">
        <v>4148952.5</v>
      </c>
      <c r="D10" s="50">
        <v>5773410</v>
      </c>
      <c r="E10" s="50">
        <v>4201227</v>
      </c>
      <c r="F10" s="50">
        <v>2217594.5</v>
      </c>
      <c r="G10" s="17">
        <f t="shared" si="0"/>
        <v>16341184</v>
      </c>
      <c r="H10" s="17">
        <f t="shared" si="1"/>
        <v>2092889.6476768684</v>
      </c>
      <c r="I10" s="17">
        <f t="shared" si="2"/>
        <v>14248294.352323132</v>
      </c>
    </row>
    <row r="11" spans="1:9" ht="15.75" customHeight="1" x14ac:dyDescent="0.25">
      <c r="A11" s="5">
        <f t="shared" si="3"/>
        <v>2033</v>
      </c>
      <c r="B11" s="49">
        <v>1815250</v>
      </c>
      <c r="C11" s="50">
        <v>4233026</v>
      </c>
      <c r="D11" s="50">
        <v>5909656</v>
      </c>
      <c r="E11" s="50">
        <v>4342379.5</v>
      </c>
      <c r="F11" s="50">
        <v>2347225</v>
      </c>
      <c r="G11" s="17">
        <f t="shared" si="0"/>
        <v>16832286.5</v>
      </c>
      <c r="H11" s="17">
        <f t="shared" si="1"/>
        <v>2094402.2555033192</v>
      </c>
      <c r="I11" s="17">
        <f t="shared" si="2"/>
        <v>14737884.244496681</v>
      </c>
    </row>
    <row r="12" spans="1:9" ht="15.75" customHeight="1" x14ac:dyDescent="0.25">
      <c r="A12" s="5">
        <f t="shared" si="3"/>
        <v>2034</v>
      </c>
      <c r="B12" s="49">
        <v>1824012</v>
      </c>
      <c r="C12" s="50">
        <v>4325458.5</v>
      </c>
      <c r="D12" s="50">
        <v>6041503</v>
      </c>
      <c r="E12" s="50">
        <v>4482670.5</v>
      </c>
      <c r="F12" s="50">
        <v>2482625.5</v>
      </c>
      <c r="G12" s="17">
        <f t="shared" si="0"/>
        <v>17332257.5</v>
      </c>
      <c r="H12" s="17">
        <f t="shared" si="1"/>
        <v>2104511.6908773561</v>
      </c>
      <c r="I12" s="17">
        <f t="shared" si="2"/>
        <v>15227745.809122644</v>
      </c>
    </row>
    <row r="13" spans="1:9" ht="15.75" customHeight="1" x14ac:dyDescent="0.25">
      <c r="A13" s="5">
        <f t="shared" si="3"/>
        <v>2035</v>
      </c>
      <c r="B13" s="49">
        <v>1839574</v>
      </c>
      <c r="C13" s="50">
        <v>4424637.5000000009</v>
      </c>
      <c r="D13" s="50">
        <v>6169714</v>
      </c>
      <c r="E13" s="50">
        <v>4621649.5</v>
      </c>
      <c r="F13" s="50">
        <v>2620269</v>
      </c>
      <c r="G13" s="17">
        <f t="shared" si="0"/>
        <v>17836270</v>
      </c>
      <c r="H13" s="17">
        <f t="shared" si="1"/>
        <v>2122466.8419034639</v>
      </c>
      <c r="I13" s="17">
        <f t="shared" si="2"/>
        <v>15713803.158096537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Qpik1LHb5VE7ic5+M2BaDDzkL74vd+QxLWb+h3r+1Jn55nbr3IcovdITWBojqSW1S5uqRRPz8y5XZ0Qdh9ejg==" saltValue="7oScJx/3YVR78RTFs0+H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1.0454372387745971E-2</v>
      </c>
    </row>
    <row r="4" spans="1:8" ht="15.75" customHeight="1" x14ac:dyDescent="0.25">
      <c r="B4" s="19" t="s">
        <v>97</v>
      </c>
      <c r="C4" s="101">
        <v>5.7447537664464247E-2</v>
      </c>
    </row>
    <row r="5" spans="1:8" ht="15.75" customHeight="1" x14ac:dyDescent="0.25">
      <c r="B5" s="19" t="s">
        <v>95</v>
      </c>
      <c r="C5" s="101">
        <v>7.8656835258910388E-2</v>
      </c>
    </row>
    <row r="6" spans="1:8" ht="15.75" customHeight="1" x14ac:dyDescent="0.25">
      <c r="B6" s="19" t="s">
        <v>91</v>
      </c>
      <c r="C6" s="101">
        <v>0.24881278132399531</v>
      </c>
    </row>
    <row r="7" spans="1:8" ht="15.75" customHeight="1" x14ac:dyDescent="0.25">
      <c r="B7" s="19" t="s">
        <v>96</v>
      </c>
      <c r="C7" s="101">
        <v>0.41129992498193729</v>
      </c>
    </row>
    <row r="8" spans="1:8" ht="15.75" customHeight="1" x14ac:dyDescent="0.25">
      <c r="B8" s="19" t="s">
        <v>98</v>
      </c>
      <c r="C8" s="101">
        <v>1.509972556784409E-3</v>
      </c>
    </row>
    <row r="9" spans="1:8" ht="15.75" customHeight="1" x14ac:dyDescent="0.25">
      <c r="B9" s="19" t="s">
        <v>92</v>
      </c>
      <c r="C9" s="101">
        <v>7.6515821923355931E-2</v>
      </c>
    </row>
    <row r="10" spans="1:8" ht="15.75" customHeight="1" x14ac:dyDescent="0.25">
      <c r="B10" s="19" t="s">
        <v>94</v>
      </c>
      <c r="C10" s="101">
        <v>0.11530275390280641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102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2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90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3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101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79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88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99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8.465819899999999E-2</v>
      </c>
    </row>
    <row r="27" spans="1:8" ht="15.75" customHeight="1" x14ac:dyDescent="0.25">
      <c r="B27" s="19" t="s">
        <v>89</v>
      </c>
      <c r="C27" s="101">
        <v>8.3993499999999999E-3</v>
      </c>
    </row>
    <row r="28" spans="1:8" ht="15.75" customHeight="1" x14ac:dyDescent="0.25">
      <c r="B28" s="19" t="s">
        <v>103</v>
      </c>
      <c r="C28" s="101">
        <v>0.14948149299999999</v>
      </c>
    </row>
    <row r="29" spans="1:8" ht="15.75" customHeight="1" x14ac:dyDescent="0.25">
      <c r="B29" s="19" t="s">
        <v>86</v>
      </c>
      <c r="C29" s="101">
        <v>0.16164467800000001</v>
      </c>
    </row>
    <row r="30" spans="1:8" ht="15.75" customHeight="1" x14ac:dyDescent="0.25">
      <c r="B30" s="19" t="s">
        <v>4</v>
      </c>
      <c r="C30" s="101">
        <v>0.100545357</v>
      </c>
    </row>
    <row r="31" spans="1:8" ht="15.75" customHeight="1" x14ac:dyDescent="0.25">
      <c r="B31" s="19" t="s">
        <v>80</v>
      </c>
      <c r="C31" s="101">
        <v>0.10497287399999999</v>
      </c>
    </row>
    <row r="32" spans="1:8" ht="15.75" customHeight="1" x14ac:dyDescent="0.25">
      <c r="B32" s="19" t="s">
        <v>85</v>
      </c>
      <c r="C32" s="101">
        <v>1.7941111999999999E-2</v>
      </c>
    </row>
    <row r="33" spans="2:3" ht="15.75" customHeight="1" x14ac:dyDescent="0.25">
      <c r="B33" s="19" t="s">
        <v>100</v>
      </c>
      <c r="C33" s="101">
        <v>8.1330947000000015E-2</v>
      </c>
    </row>
    <row r="34" spans="2:3" ht="15.75" customHeight="1" x14ac:dyDescent="0.25">
      <c r="B34" s="19" t="s">
        <v>87</v>
      </c>
      <c r="C34" s="101">
        <v>0.29102599000000001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983X8VEL+9vX7pN6yMKAo6fwdaeMv006pBzW9DhACpajmTUsKXSIL42lfNxj4TeBec31ynoIeBRxKuTO6CVrRw==" saltValue="zzb6ysbgPD2p/62SdSYi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110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106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107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119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zdWGRWy8EUyvyxBE2h61Y2QISya4TAkf2gCkyCI+L9RgmVGqKAGQ6LNkR0lPXviGVpG3z+rt9hVjd3emQmDZA==" saltValue="KesAA0AQ7Rfrii4J291Z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125</v>
      </c>
      <c r="C5" s="52">
        <v>1.75645E-2</v>
      </c>
      <c r="D5" s="52">
        <v>2.3862499999999998E-2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cKVcr5WI/SBC7hRz/f5EnCx4oTktAl90jl/Mh8AY36PxKngoPcK6LW7KGjMpZ85Zi5ME95DbZWlRZ1jH5oYwPw==" saltValue="zFsygJ07NslBpZ+pQCEGp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Oo675Exm/8LWMNklstftzuMVA2gwCGa7xDggsB67aW/fvGbmnd+Bz4DjzMjw61YeSzqUZv35PBqt2hZDtLxIQ==" saltValue="Ynuxeqvze9fX4S/XZJsOh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dbXs6Ju2Nnnt3IVITD9uDuOsHY9+bnhoZHgSAjEoIHWyrGg7r22w6HDAoPLTNf7lM2tn5pgxDK0I0O0YFCaskw==" saltValue="4z+Gs0/E5HsWi0x8q7LU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yFzox5DP6T2J+Fe2IrkB+CfrbJUMLqq/dRuM3xHu9enOiA61bSITBk/aCH0/if2HEa/PAGbAssaHlK3u//IcYw==" saltValue="3jKXut8l9fu18j1ATH1V8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Za60Xyhslx39nMSvhIQ4qbXmRvcvL8pCFtPrU+50Y7F4L9QXmTVoDiAqEfFvo/CbH2ktdCMXTgJRUvmYD/phzQ==" saltValue="5dyM9uf9zoaAU+9pH48E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8.7599089402191606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0.24096472301132851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0.13284207579109411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0.2257797</v>
      </c>
      <c r="C10" s="98">
        <v>0.95</v>
      </c>
      <c r="D10" s="56">
        <v>13.48044806079821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13.48044806079821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13.48044806079821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13.48044806079821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0.2257797</v>
      </c>
      <c r="C14" s="98">
        <v>0.95</v>
      </c>
      <c r="D14" s="56">
        <v>13.48044806079821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13.48044806079821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0.74299999999999999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3.8644699999999997E-2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6.0000000000000001E-3</v>
      </c>
      <c r="C18" s="98">
        <v>0.95</v>
      </c>
      <c r="D18" s="56">
        <v>8.7599089402191606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0.61310370000000003</v>
      </c>
      <c r="C19" s="98">
        <v>0.95</v>
      </c>
      <c r="D19" s="56">
        <v>8.7599089402191606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22.971512023357811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0.84200000000000008</v>
      </c>
      <c r="C23" s="98">
        <v>0.95</v>
      </c>
      <c r="D23" s="56">
        <v>4.4240020217934282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0.40880527835160002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0.2257797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0.46719699999999997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0.25735599999999997</v>
      </c>
      <c r="C29" s="98">
        <v>0.95</v>
      </c>
      <c r="D29" s="56">
        <v>85.490303613946011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2.75E-2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0.38</v>
      </c>
      <c r="C32" s="98">
        <v>0.95</v>
      </c>
      <c r="D32" s="56">
        <v>0.10284547803181469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0.30904199999999998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0.76286109999999996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6.5722000000000003E-3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0.23402229999999999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0.40267940000000002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Wc3zQlTp7O73Di1DgeY4lhXmrSg42CoNkZhzSYcqA8Qu5oCZzlz+FK1oDP0yZQd4lnBAY1m5kXZjh3yq89P1Lg==" saltValue="KHGSUeRX3lQM8sDHq446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ABV2hr6TtdWak25AObpWf2Fpc6Zpim3YqPaKzlbDXEmJ1VyMXOA/O9yMgJ/Zwey8VxGuownA45xujlnmJN0U3Q==" saltValue="WZKPOnLt67H9IiRa4jIa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KUVKkWyspeGlFzvkskZcbxZMahNjStuDV1j4IM0u3Q3/U3coNbbhq5AVLr/L0tyifSi/hKT9aWYfv0dXuPh7Q==" saltValue="xHYStr2eNEjk29YffyeH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207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C3UqJUQmDqEEpGziU3H+8zxcqZweGbToaeqF+ACnXRWFbg96IuucJtEszKeKf4N/GhixyinFGdpyGttko5l5yg==" saltValue="mCiaM9xV0Izba3AIDx+uI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0.41699999999999998</v>
      </c>
      <c r="E2" s="60">
        <f>food_insecure</f>
        <v>0.41699999999999998</v>
      </c>
      <c r="F2" s="60">
        <f>food_insecure</f>
        <v>0.41699999999999998</v>
      </c>
      <c r="G2" s="60">
        <f>food_insecure</f>
        <v>0.41699999999999998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0.41699999999999998</v>
      </c>
      <c r="F5" s="60">
        <f>food_insecure</f>
        <v>0.41699999999999998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0.41699999999999998</v>
      </c>
      <c r="F8" s="60">
        <f>food_insecure</f>
        <v>0.41699999999999998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0.41699999999999998</v>
      </c>
      <c r="F9" s="60">
        <f>food_insecure</f>
        <v>0.41699999999999998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0.41699999999999998</v>
      </c>
      <c r="I15" s="60">
        <f>food_insecure</f>
        <v>0.41699999999999998</v>
      </c>
      <c r="J15" s="60">
        <f>food_insecure</f>
        <v>0.41699999999999998</v>
      </c>
      <c r="K15" s="60">
        <f>food_insecure</f>
        <v>0.41699999999999998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0.501</v>
      </c>
      <c r="M24" s="60">
        <f>famplan_unmet_need</f>
        <v>0.501</v>
      </c>
      <c r="N24" s="60">
        <f>famplan_unmet_need</f>
        <v>0.501</v>
      </c>
      <c r="O24" s="60">
        <f>famplan_unmet_need</f>
        <v>0.501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0.38926299843824402</v>
      </c>
      <c r="M25" s="60">
        <f>(1-food_insecure)*(0.49)+food_insecure*(0.7)</f>
        <v>0.57756999999999992</v>
      </c>
      <c r="N25" s="60">
        <f>(1-food_insecure)*(0.49)+food_insecure*(0.7)</f>
        <v>0.57756999999999992</v>
      </c>
      <c r="O25" s="60">
        <f>(1-food_insecure)*(0.49)+food_insecure*(0.7)</f>
        <v>0.57756999999999992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0.16682699933067599</v>
      </c>
      <c r="M26" s="60">
        <f>(1-food_insecure)*(0.21)+food_insecure*(0.3)</f>
        <v>0.24752999999999997</v>
      </c>
      <c r="N26" s="60">
        <f>(1-food_insecure)*(0.21)+food_insecure*(0.3)</f>
        <v>0.24752999999999997</v>
      </c>
      <c r="O26" s="60">
        <f>(1-food_insecure)*(0.21)+food_insecure*(0.3)</f>
        <v>0.24752999999999997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0.11787679143108</v>
      </c>
      <c r="M27" s="60">
        <f>(1-food_insecure)*(0.3)</f>
        <v>0.17489999999999997</v>
      </c>
      <c r="N27" s="60">
        <f>(1-food_insecure)*(0.3)</f>
        <v>0.17489999999999997</v>
      </c>
      <c r="O27" s="60">
        <f>(1-food_insecure)*(0.3)</f>
        <v>0.17489999999999997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0.73</v>
      </c>
      <c r="D34" s="60">
        <f t="shared" si="3"/>
        <v>0.73</v>
      </c>
      <c r="E34" s="60">
        <f t="shared" si="3"/>
        <v>0.73</v>
      </c>
      <c r="F34" s="60">
        <f t="shared" si="3"/>
        <v>0.73</v>
      </c>
      <c r="G34" s="60">
        <f t="shared" si="3"/>
        <v>0.73</v>
      </c>
      <c r="H34" s="60">
        <f t="shared" si="3"/>
        <v>0.73</v>
      </c>
      <c r="I34" s="60">
        <f t="shared" si="3"/>
        <v>0.73</v>
      </c>
      <c r="J34" s="60">
        <f t="shared" si="3"/>
        <v>0.73</v>
      </c>
      <c r="K34" s="60">
        <f t="shared" si="3"/>
        <v>0.73</v>
      </c>
      <c r="L34" s="60">
        <f t="shared" si="3"/>
        <v>0.73</v>
      </c>
      <c r="M34" s="60">
        <f t="shared" si="3"/>
        <v>0.73</v>
      </c>
      <c r="N34" s="60">
        <f t="shared" si="3"/>
        <v>0.73</v>
      </c>
      <c r="O34" s="60">
        <f t="shared" si="3"/>
        <v>0.73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asxxfEEXtssz8f7a9TxzOEK1YMciRZmANxtSZf42mAMKiymCLdZ8S7BtUIevoJgp+nMP8YaDCGxY6dAtgeU2g==" saltValue="ZqXzxCUOeLfWC50dNRu/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qFOnWfomA6+eRsXwm1U8I5URN0WBdJd8fK2w7gri0zg3E/o5aolEJ5NAV5De01BtRegwIsEu3cQe2uh1icmRoA==" saltValue="qD96OoYDZ6MK9obf9fI5M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BI1ykr8y+oHbFmFjq58O3bT9BqYgkR63TATAUFHelhPlBI8ZU01IBaRyyCGHuviHeHqyHuCtEqk8HDAm4J3Hg==" saltValue="Kx2m3fHY3aFcbsOkchgBK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PAV5fhK7Vpj5pLjkRg/3Cfh87mdu2TEM+UCyf2O+V6GPyMCKyx5MT5asDrTjawa7SCP+A2i4eOwAxp3zWXbxg==" saltValue="nQY21ulVXgZqgtkQXocs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ZyZrcsjS+fdm1hdbNjU9Lk1l7kiz7iOlQEi6T0OO10eQ3waSANAv4exisOHeNFW4/mgNUVwMGHYeiVhcWkdXA==" saltValue="5ux5IIIAJ0aV0LcL1gW+c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inLCR6zZ8i/oE/no/oLpd/O1n251sZrpzEGf/TD77YT5SaI7Q/AULDlbi4dcSkkrdrVj/kn5f9S+no9mcH01w==" saltValue="CCIsZ0AEyqcsRLLTrw4r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mlS8azhVHYLOIT0oDzvs/SBqXSoMcRf79zfq1Drd76yIsoze3g+VRlDFEGNzHTj9YDNXXlqNiOH9pfKQLptzg==" saltValue="qPPNlPean99hp55FyQ7Ol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CrgQome9IvZ3zgJ7t1s8boJ1jCRKH1Dr1VMjHN7Ai5FxCYwGo9dKk/nt0aldxUwGH8Abt5Rd4+jk8Gy91GgTg==" saltValue="oVrFoDtpMVdVCZ/RN8RF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GZzELwQX2Q+iSsPZ45KffAIdauMiXiDqDbx9O6ute5O2IyYeIZ8eRYXAsYCd8tPeiSQB2xYy/11+9tV7rHPQw==" saltValue="SiSd+D5jzNntX4MZWw5O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Sbw8cijx9aPcuhd6UViESGDCkbyETMe46/qWcoHAQfR5DKVIYGTuKzuk5SSNX8EbxEizxdgenwDKNddlZKOWwA==" saltValue="Vc1utm86T93YjdPjWbBy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WDNEU1TUjvEFd7r00bcV3aEK5ahi3Mf+FHAA28veEt5yqaC2Bo+yVXsFhSMSXCcFQNzbFNXFciyEP3zXFwlMw==" saltValue="Br9FjQPLR0D1tnQatxte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KjbmPkbOix5QiTABFGHnoM8ycq/IDF6eTBffhZ+qJ/vQV6zs15xPOEMxLOwhhX0JwlBT4c+AJokJ0ETTLBfqQ==" saltValue="M5Qzs1yjWToqupmRj4jC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KDvFeaqSJRa3nvZ9gAYhBn4gKzYrL59lxQfXk33fS9JRKCrLAOFC5ev11RjdlVEBhF1wh3M+wEuCU+SXbGk4g==" saltValue="zlKai1iYPolf3yzrN9J1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0.10684792072846172</v>
      </c>
      <c r="G18" s="90">
        <f>MIN(MAX(1-0.89/(1-frac_sam_12_23months+(frac_sam_12_23months*0.89)),0),1)</f>
        <v>0.1087230523654158</v>
      </c>
      <c r="H18" s="90">
        <f>MIN(MAX(1-0.89/(1-frac_sam_24_59months+(frac_sam_24_59months*0.89)),0),1)</f>
        <v>0.10947370162924175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0.10452122264277375</v>
      </c>
      <c r="G20" s="90">
        <f>MIN(MAX(1-0.89/(1-frac_mam_12_23months+(frac_mam_12_23months*0.89)),0),1)</f>
        <v>0.10738137383043067</v>
      </c>
      <c r="H20" s="90">
        <f>MIN(MAX(1-0.89/(1-frac_mam_24_59months+(frac_mam_24_59months*0.89)),0),1)</f>
        <v>0.10868408257108986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9.6822733928193516E-3</v>
      </c>
      <c r="G73" s="90">
        <f>MIN(MAX(1-0.99/(1-frac_sam_12_23months+(frac_sam_12_23months*0.99)),0),1)</f>
        <v>9.8710386731740707E-3</v>
      </c>
      <c r="H73" s="90">
        <f>MIN(MAX(1-0.99/(1-frac_sam_24_59months+(frac_sam_24_59months*0.99)),0),1)</f>
        <v>9.9468074121217276E-3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9.4490496180917871E-3</v>
      </c>
      <c r="G75" s="90">
        <f>MIN(MAX(1-0.99/(1-frac_mam_12_23months+(frac_mam_12_23months*0.99)),0),1)</f>
        <v>9.735901516254919E-3</v>
      </c>
      <c r="H75" s="90">
        <f>MIN(MAX(1-0.99/(1-frac_mam_24_59months+(frac_mam_24_59months*0.99)),0),1)</f>
        <v>9.8671083238107693E-3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0.1948335204573779</v>
      </c>
      <c r="G128" s="90">
        <f>MIN(MAX(1-0.8/(1-frac_sam_12_23months+(frac_sam_12_23months*0.8)),0),1)</f>
        <v>0.19791060525204518</v>
      </c>
      <c r="H128" s="90">
        <f>MIN(MAX(1-0.8/(1-frac_sam_24_59months+(frac_sam_24_59months*0.8)),0),1)</f>
        <v>0.19913944329740074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0.1910005935224145</v>
      </c>
      <c r="G130" s="90">
        <f>MIN(MAX(1-0.8/(1-frac_mam_12_23months+(frac_mam_12_23months*0.8)),0),1)</f>
        <v>0.19570999755596374</v>
      </c>
      <c r="H130" s="90">
        <f>MIN(MAX(1-0.8/(1-frac_mam_24_59months+(frac_mam_24_59months*0.8)),0),1)</f>
        <v>0.19784676402560908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9RgUztQdRjR3cOYBnG0DStdSL9WE3+D5MNrEmgfz0slYERUigb6IMQOnYVY8ldgn+OTE1JQWmk8oQA8AZBb7w==" saltValue="5aod2+PWvEKEqFm8Ys9s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WVXz6N0rXV4Gq/+lPOBA/IA3VzWPunJKVf1mzI8uqZGyRLZQF6v1ud+oe5w/zLh5os6kNf3gLLPQscmFtTUsQ==" saltValue="vhAFZ3i/+xndVf/UugkqI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2024-08-06T08:29:48Z</dcterms:modified>
</cp:coreProperties>
</file>