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6532C47-585F-4DFB-BE91-864D4560727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31" i="2"/>
  <c r="A36" i="2"/>
  <c r="I9" i="2"/>
  <c r="I13" i="2"/>
  <c r="A37" i="2"/>
  <c r="A26" i="2"/>
  <c r="I39" i="2"/>
  <c r="I7" i="2"/>
  <c r="A34" i="2"/>
  <c r="A40" i="2"/>
  <c r="I2" i="2"/>
  <c r="I6" i="2"/>
  <c r="A19" i="2"/>
  <c r="A35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<sst xmlns="http://schemas.openxmlformats.org/spreadsheetml/2006/main" count="2169" uniqueCount="373">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</sst>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8152934.5</v>
      </c>
    </row>
    <row r="8" spans="1:3" ht="15" customHeight="1" x14ac:dyDescent="0.25">
      <c r="B8" s="5" t="s">
        <v>63</v>
      </c>
      <c r="C8" s="44">
        <v>0.20300000000000001</v>
      </c>
    </row>
    <row r="9" spans="1:3" ht="15" customHeight="1" x14ac:dyDescent="0.25">
      <c r="B9" s="5" t="s">
        <v>62</v>
      </c>
      <c r="C9" s="45">
        <v>0.73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0.10879999999999999</v>
      </c>
    </row>
    <row r="24" spans="1:3" ht="15" customHeight="1" x14ac:dyDescent="0.25">
      <c r="B24" s="15" t="s">
        <v>65</v>
      </c>
      <c r="C24" s="45">
        <v>0.53739999999999999</v>
      </c>
    </row>
    <row r="25" spans="1:3" ht="15" customHeight="1" x14ac:dyDescent="0.25">
      <c r="B25" s="15" t="s">
        <v>66</v>
      </c>
      <c r="C25" s="45">
        <v>0.29330000000000001</v>
      </c>
    </row>
    <row r="26" spans="1:3" ht="15" customHeight="1" x14ac:dyDescent="0.25">
      <c r="B26" s="15" t="s">
        <v>67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7">
        <v>6.9957740305893898E-2</v>
      </c>
    </row>
    <row r="31" spans="1:3" ht="14.25" customHeight="1" x14ac:dyDescent="0.25">
      <c r="B31" s="25" t="s">
        <v>29</v>
      </c>
      <c r="C31" s="97">
        <v>0.118524449608315</v>
      </c>
    </row>
    <row r="32" spans="1:3" ht="14.25" customHeight="1" x14ac:dyDescent="0.25">
      <c r="B32" s="25" t="s">
        <v>30</v>
      </c>
      <c r="C32" s="97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19.007650000000002</v>
      </c>
    </row>
    <row r="38" spans="1:5" ht="15" customHeight="1" x14ac:dyDescent="0.25">
      <c r="B38" s="11" t="s">
        <v>54</v>
      </c>
      <c r="C38" s="43">
        <v>31.167809999999999</v>
      </c>
      <c r="D38" s="12"/>
      <c r="E38" s="13"/>
    </row>
    <row r="39" spans="1:5" ht="15" customHeight="1" x14ac:dyDescent="0.25">
      <c r="B39" s="11" t="s">
        <v>80</v>
      </c>
      <c r="C39" s="43">
        <v>42.12818</v>
      </c>
      <c r="D39" s="12"/>
      <c r="E39" s="12"/>
    </row>
    <row r="40" spans="1:5" ht="15" customHeight="1" x14ac:dyDescent="0.25">
      <c r="B40" s="11" t="s">
        <v>55</v>
      </c>
      <c r="C40" s="98">
        <v>2.84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78</v>
      </c>
      <c r="C47" s="45">
        <v>0.15892729999999999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4.992</v>
      </c>
      <c r="D51" s="12"/>
    </row>
    <row r="52" spans="1:4" ht="15" customHeight="1" x14ac:dyDescent="0.25">
      <c r="B52" s="11" t="s">
        <v>32</v>
      </c>
      <c r="C52" s="98">
        <v>4.992</v>
      </c>
    </row>
    <row r="53" spans="1:4" ht="15.75" customHeight="1" x14ac:dyDescent="0.25">
      <c r="B53" s="11" t="s">
        <v>35</v>
      </c>
      <c r="C53" s="98">
        <v>10.218</v>
      </c>
    </row>
    <row r="54" spans="1:4" ht="15.75" customHeight="1" x14ac:dyDescent="0.25">
      <c r="B54" s="11" t="s">
        <v>33</v>
      </c>
      <c r="C54" s="98">
        <v>8.0340000000000007</v>
      </c>
    </row>
    <row r="55" spans="1:4" ht="15.75" customHeight="1" x14ac:dyDescent="0.25">
      <c r="B55" s="11" t="s">
        <v>34</v>
      </c>
      <c r="C55" s="98">
        <v>3.163333333333334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0.50075199999999997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yJczH5YMjvb8V0wba5JMIzWF8/2KI75wGiWtxHli/0i9aa5h6exvwuxWD2GflHWfnjqdB/TUf++OHr1FbugUw==" saltValue="8SxTrxGEhqc2KfdH1FhP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TB8p/Y+/NoCDbio23QW3bpkwOzEjI32ulAV7kyEblKaYZK4DGiWs0nAL5MM0Gy/O0/EdXgasaCqFxnJs2RG0A==" saltValue="e8utxe/6N/7sW9ks8clS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1.0454372387745971E-2</v>
      </c>
    </row>
    <row r="4" spans="1:8" ht="15.75" customHeight="1" x14ac:dyDescent="0.25">
      <c r="B4" s="19" t="s">
        <v>116</v>
      </c>
      <c r="C4" s="99">
        <v>5.7447537664464247E-2</v>
      </c>
    </row>
    <row r="5" spans="1:8" ht="15.75" customHeight="1" x14ac:dyDescent="0.25">
      <c r="B5" s="19" t="s">
        <v>114</v>
      </c>
      <c r="C5" s="99">
        <v>7.8656835258910388E-2</v>
      </c>
    </row>
    <row r="6" spans="1:8" ht="15.75" customHeight="1" x14ac:dyDescent="0.25">
      <c r="B6" s="19" t="s">
        <v>110</v>
      </c>
      <c r="C6" s="99">
        <v>0.24881278132399531</v>
      </c>
    </row>
    <row r="7" spans="1:8" ht="15.75" customHeight="1" x14ac:dyDescent="0.25">
      <c r="B7" s="19" t="s">
        <v>115</v>
      </c>
      <c r="C7" s="99">
        <v>0.41129992498193729</v>
      </c>
    </row>
    <row r="8" spans="1:8" ht="15.75" customHeight="1" x14ac:dyDescent="0.25">
      <c r="B8" s="19" t="s">
        <v>117</v>
      </c>
      <c r="C8" s="99">
        <v>1.509972556784409E-3</v>
      </c>
    </row>
    <row r="9" spans="1:8" ht="15.75" customHeight="1" x14ac:dyDescent="0.25">
      <c r="B9" s="19" t="s">
        <v>111</v>
      </c>
      <c r="C9" s="99">
        <v>7.6515821923355931E-2</v>
      </c>
    </row>
    <row r="10" spans="1:8" ht="15.75" customHeight="1" x14ac:dyDescent="0.25">
      <c r="B10" s="19" t="s">
        <v>113</v>
      </c>
      <c r="C10" s="99">
        <v>0.11530275390280641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121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2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109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3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120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98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107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118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8.465819899999999E-2</v>
      </c>
    </row>
    <row r="27" spans="1:8" ht="15.75" customHeight="1" x14ac:dyDescent="0.25">
      <c r="B27" s="19" t="s">
        <v>108</v>
      </c>
      <c r="C27" s="99">
        <v>8.3993499999999999E-3</v>
      </c>
    </row>
    <row r="28" spans="1:8" ht="15.75" customHeight="1" x14ac:dyDescent="0.25">
      <c r="B28" s="19" t="s">
        <v>122</v>
      </c>
      <c r="C28" s="99">
        <v>0.14948149299999999</v>
      </c>
    </row>
    <row r="29" spans="1:8" ht="15.75" customHeight="1" x14ac:dyDescent="0.25">
      <c r="B29" s="19" t="s">
        <v>105</v>
      </c>
      <c r="C29" s="99">
        <v>0.16164467800000001</v>
      </c>
    </row>
    <row r="30" spans="1:8" ht="15.75" customHeight="1" x14ac:dyDescent="0.25">
      <c r="B30" s="19" t="s">
        <v>4</v>
      </c>
      <c r="C30" s="99">
        <v>0.100545357</v>
      </c>
    </row>
    <row r="31" spans="1:8" ht="15.75" customHeight="1" x14ac:dyDescent="0.25">
      <c r="B31" s="19" t="s">
        <v>99</v>
      </c>
      <c r="C31" s="99">
        <v>0.10497287399999999</v>
      </c>
    </row>
    <row r="32" spans="1:8" ht="15.75" customHeight="1" x14ac:dyDescent="0.25">
      <c r="B32" s="19" t="s">
        <v>104</v>
      </c>
      <c r="C32" s="99">
        <v>1.7941111999999999E-2</v>
      </c>
    </row>
    <row r="33" spans="2:3" ht="15.75" customHeight="1" x14ac:dyDescent="0.25">
      <c r="B33" s="19" t="s">
        <v>119</v>
      </c>
      <c r="C33" s="99">
        <v>8.1330947000000015E-2</v>
      </c>
    </row>
    <row r="34" spans="2:3" ht="15.75" customHeight="1" x14ac:dyDescent="0.25">
      <c r="B34" s="19" t="s">
        <v>106</v>
      </c>
      <c r="C34" s="99">
        <v>0.29102599000000001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L6J5fVGzmWUpablgS9FgBI6XYd3d03cQouzoT5uqKr+0R/omzEI2+P6TNVacx5S+wqgOFN6Jj+xSwbe5UP8nzQ==" saltValue="sAVlHoAKJdorI2/5CRTd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129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125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126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DZrHx6K0IYtu7NOqRiBwwEoj5rwGU6r24/wToBywc3+sRL95SscyIPDM3g79H3Xmn74k8xVzzEQs95h61i2bg==" saltValue="b5PQyas+eutL4bBJ8gV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f19gnJ1xLe0y5wLdz9fgvH1PXl+DXayVNAlJ0+M+o3qHh24Qn8NCsr/JO6rbNgOW50/6BWLdMA4MIcts9OBEZA==" saltValue="QI5IWBmEkVNQuUrgqRVE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Bj/TXBLRkbDeicBtmZdwarnGGORDOa+B3lUCjELtlykK8QII2btiBtGwoxl/+74Emtr2z/oLc09rnEeKMrUdQ==" saltValue="aNSDD9QMQKdb9wJO0mh7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algorithmName="SHA-512" hashValue="ITR+ie9YjyyEes4vR27W68Hhx5i7yvEB4DUVX55vfYfmInNjUeMsiDVPRGw0fGpFU4jF9CriD6I5UotiyQR0MA==" saltValue="hWe95Pe0DRds7iy8Et2w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PyVm5ZoySgHsUk2ViFG2O2VTwrMKEKGVt70itGMzyIAB2xKiD6iHmjXuC5MtTVL02bBPjydD7rAZ0uSwv0+wg==" saltValue="x+txzPAZSGF+5dmGhNHs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tpot9/9lva2LncTXL+ujEi8qD4u2kcmqTfLeYHYS5TLz1532fmVl0sNi6Hqiwib4fnPw8/SNBHgE4rm+BbNvA==" saltValue="3HoiCwCzzgJ22byCw09A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8.76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0.20312891796129737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0.2257797</v>
      </c>
      <c r="C10" s="96">
        <v>0.95</v>
      </c>
      <c r="D10" s="56">
        <v>13.48044806079821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13.48044806079821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13.48044806079821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13.48044806079821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0.23350000000000001</v>
      </c>
      <c r="C14" s="96">
        <v>0.95</v>
      </c>
      <c r="D14" s="56">
        <v>2.678762605614609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13.48044806079821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0.74299999999999999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3.8644699999999997E-2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6.0000000000000001E-3</v>
      </c>
      <c r="C18" s="96">
        <v>0.95</v>
      </c>
      <c r="D18" s="56">
        <v>8.7599345870809486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0.61310370000000003</v>
      </c>
      <c r="C19" s="96">
        <v>0.95</v>
      </c>
      <c r="D19" s="56">
        <v>1.4452504614591219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8.76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0.84200000000000008</v>
      </c>
      <c r="C23" s="96">
        <v>0.95</v>
      </c>
      <c r="D23" s="56">
        <v>4.4240020217934282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0.40880527835160002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3.3008449168710823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0.46719699999999997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0.25735599999999997</v>
      </c>
      <c r="C29" s="96">
        <v>0.95</v>
      </c>
      <c r="D29" s="56">
        <v>85.490303613946011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61.846785225718193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2.75E-2</v>
      </c>
      <c r="C31" s="96">
        <v>0.95</v>
      </c>
      <c r="D31" s="56">
        <v>110.71795584627964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0.61599999999999999</v>
      </c>
      <c r="C32" s="96">
        <v>0.95</v>
      </c>
      <c r="D32" s="56">
        <v>0.20312891796129737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0.30904199999999998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0.76286109999999996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6.5722000000000003E-3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0.23402229999999999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0.40267940000000002</v>
      </c>
      <c r="C38" s="96">
        <v>0.95</v>
      </c>
      <c r="D38" s="56">
        <v>1.1426001635322978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Iw0FfnioP7QyDRDYfz5MzJDJL3wsSxZKzAaYvlKeHUmm6V46+8Q9Q8/6yLNLzevkxXFQIXmdsSs7EbkbMXS9iA==" saltValue="TedLmM06ZzBBJohRYzr7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IBwarOA3VjOHEXYcRn8VENOVVHQl94UtCs6xFsBOYaWKzYsZXpa5D/ROJIA5WRZm8UsX7RUnbIOp42OLiMy4g==" saltValue="qDXsfrgGLkYSI17HthcX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MWCIxqjIPhW4wV2y0hrkH8s9bbNG7f9wJXFPYT0L3kzWTR0XU8eM/l6cAyxku/TOKiG4X6w8lIT75kDMdiOgQ==" saltValue="aplT5Kq3bcxN+ebuRZ5p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4.992</v>
      </c>
      <c r="C2" s="21">
        <f>'Entradas de población-año base'!C52</f>
        <v>4.992</v>
      </c>
      <c r="D2" s="21">
        <f>'Entradas de población-año base'!C53</f>
        <v>10.218</v>
      </c>
      <c r="E2" s="21">
        <f>'Entradas de población-año base'!C54</f>
        <v>8.0340000000000007</v>
      </c>
      <c r="F2" s="21">
        <f>'Entradas de población-año base'!C55</f>
        <v>3.163333333333334</v>
      </c>
    </row>
    <row r="3" spans="1:6" ht="15.75" customHeight="1" x14ac:dyDescent="0.25">
      <c r="A3" s="3" t="s">
        <v>6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236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AJOLbRKIZr/d3DbCGRB1RnXmnW6TyBSmx+PYWcgyUkiLIbUFYCNKMGf+k+rqMqzjWnWvsI4hAGLU1NHEYBsX+Q==" saltValue="+UNI3Os6o/ExpVZIWMvZm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gQbFNx/TQdpNGHke7oQL5aJdppFNcuOMndXfF0HOQ6JwBh8NQM4i1MWT1LS8J6aY4JiQslQzRk6ZrDU1c86Ig==" saltValue="dfv+ApzG3/Wv3BHdEJVV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DtjhdSZ4h/PVciUQKUwhnwSVvv+JpxbJ7DoynymdZgwMNfekAlcTdVYjFZDbc8lRc3LbhswEIc3HFpNoaJdEw==" saltValue="wFPn7jXcbPuOilYFO4PQ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1hoQBsaUHkEUKXzMFbK2+GPyWLgp9AIDGvofX+GqO3wVqj0PXU9Jgl8hwT2AdCLVkcRaTuu3aNpEIQAIwqXkw==" saltValue="o/CWQw2/cQKbVe2x/136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msbOZsLdb6rWbzfHqp8iGLZ27PfRX05YgwT+YpwBfXPK5BMV1ZfjYh1Sq8Ce3WF2j2RLafnDRJU5plxBc+W4Q==" saltValue="MpfqmziypNAIwoAocuKJ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bUGA1jlNxrd/B4heG6hNM0nCj+IXRF8gioG2pCp747cjqwqQXS3ddAsz7SeP2o7Afwyk18guYO3mjeIrHR2zQ==" saltValue="E+j+b+tOjl/OaPFvZJot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EGK64zyWmTv79od3sIOEYE5k2bWA6Q1451m76lfwS4dE5+yvlV9D81Ca3dJHBjj04VGHrr0AwtCs3HKlhRkmA==" saltValue="kpHMeEbzCg8s1eK8FfSR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PIswNaL5JgtvRk7FGJgUpxIgzBS+aDVnVF2HbZAtL4R8kEbAXdESP8I3/+06Jt1KqgKnyPcCxV00cAS5LHbiQ==" saltValue="5w1qAu15mbHY5Kjba2b8v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IOoBuHqtWqoxuvYqB76FXcitYysCOeDWeU8fN8GqKRhC06RbQ+C+cD/9TteBbtV+/ngWxNIzGArbxTaLoVVhQ==" saltValue="bvPGQ1BZHZF/Az1QLF5p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lcLqD0ovdB5bs1g8LynGnFYnl4WDbpj3blFlrH4174VZ7yb49H7yooiDrN6P8TxVlAkA2a2m0ZaWYf1FtdhFg==" saltValue="ixpfWMSAkIFZvlGnXEJ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fAA667dOAsBUOZr6Tyx4fMKdSrZa1xYTjHzS66FZPs/e5HUSjRklSE9Dc3qvclNIWk33+wXAYYws4UIIbbF9w==" saltValue="xzNDKE8VXoGiUFIQXyn/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TNmGswGTinM8YU/kFjffmz7T0ZdG/Uu+XCkjj+P3Gf9Ms09jOBGXJD94c1Q/ZSL6Sl4ywpWWCBm8g+DkmOXng==" saltValue="AwiiPKmYPTRDKxxcQFQ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06uKcmWvYqRnWbjvuGJkBXL7ksWAgmJfjnqvEbTnWz+nhuDsXqe+sDroiUAUUeciCclDdB/ZHV4hGmQ8uZTVQ==" saltValue="Cv6AeYVqN3i1bwh1oLZW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GdckI7KeYnyDVZDAJ7HcuKR+U4549tmNT4/tZf/5dAXDkvhPN+Xx+2/2PUxt4nV6Cc2Jo1mNxb4plRjwUvOcQ==" saltValue="YVLqhIxdsX9biHV76ZX1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hOwVfT8z3HRLuKSRN9IdDS661mDhNlqTWflAGAe9DSVEFhROuDx8fYtj5sA6su+nVv/wR4/n2Gjrc39FvYv6Q==" saltValue="DACCwKrujBrtJisqRw5m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Z/j4/tNzTvi3iSwEWSCxYE57nY4GGHXHa/ujSG5WALujyGGHuWvtUwS4WKKgJbraSdWHDwPlC4MJRD40Mwwmw==" saltValue="oX1vFHQfhYojBwl0RkOR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