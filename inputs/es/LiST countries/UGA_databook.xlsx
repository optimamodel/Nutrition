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01F7BFE6-6B0C-4C7E-BCEE-396EE7C9847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<sst xmlns="http://schemas.openxmlformats.org/spreadsheetml/2006/main" count="2102" uniqueCount="341">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</sst>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8263459.6875</v>
      </c>
    </row>
    <row r="8" spans="1:3" ht="15" customHeight="1" x14ac:dyDescent="0.25">
      <c r="B8" s="5" t="s">
        <v>44</v>
      </c>
      <c r="C8" s="44">
        <v>0.41699999999999998</v>
      </c>
    </row>
    <row r="9" spans="1:3" ht="15" customHeight="1" x14ac:dyDescent="0.25">
      <c r="B9" s="5" t="s">
        <v>43</v>
      </c>
      <c r="C9" s="45">
        <v>0.73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0.10879999999999999</v>
      </c>
    </row>
    <row r="24" spans="1:3" ht="15" customHeight="1" x14ac:dyDescent="0.25">
      <c r="B24" s="15" t="s">
        <v>46</v>
      </c>
      <c r="C24" s="45">
        <v>0.53739999999999999</v>
      </c>
    </row>
    <row r="25" spans="1:3" ht="15" customHeight="1" x14ac:dyDescent="0.25">
      <c r="B25" s="15" t="s">
        <v>47</v>
      </c>
      <c r="C25" s="45">
        <v>0.29330000000000001</v>
      </c>
    </row>
    <row r="26" spans="1:3" ht="15" customHeight="1" x14ac:dyDescent="0.25">
      <c r="B26" s="15" t="s">
        <v>48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0.22259625228416199</v>
      </c>
    </row>
    <row r="30" spans="1:3" ht="14.25" customHeight="1" x14ac:dyDescent="0.25">
      <c r="B30" s="25" t="s">
        <v>63</v>
      </c>
      <c r="C30" s="99">
        <v>6.9957740305893898E-2</v>
      </c>
    </row>
    <row r="31" spans="1:3" ht="14.25" customHeight="1" x14ac:dyDescent="0.25">
      <c r="B31" s="25" t="s">
        <v>10</v>
      </c>
      <c r="C31" s="99">
        <v>0.118524449608315</v>
      </c>
    </row>
    <row r="32" spans="1:3" ht="14.25" customHeight="1" x14ac:dyDescent="0.25">
      <c r="B32" s="25" t="s">
        <v>11</v>
      </c>
      <c r="C32" s="99">
        <v>0.58892155780162903</v>
      </c>
    </row>
    <row r="33" spans="1:5" ht="13" customHeight="1" x14ac:dyDescent="0.25">
      <c r="B33" s="27" t="s">
        <v>60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19.007650000000002</v>
      </c>
    </row>
    <row r="38" spans="1:5" ht="15" customHeight="1" x14ac:dyDescent="0.25">
      <c r="B38" s="11" t="s">
        <v>35</v>
      </c>
      <c r="C38" s="43">
        <v>31.167809999999999</v>
      </c>
      <c r="D38" s="12"/>
      <c r="E38" s="13"/>
    </row>
    <row r="39" spans="1:5" ht="15" customHeight="1" x14ac:dyDescent="0.25">
      <c r="B39" s="11" t="s">
        <v>61</v>
      </c>
      <c r="C39" s="43">
        <v>42.12818</v>
      </c>
      <c r="D39" s="12"/>
      <c r="E39" s="12"/>
    </row>
    <row r="40" spans="1:5" ht="15" customHeight="1" x14ac:dyDescent="0.25">
      <c r="B40" s="11" t="s">
        <v>36</v>
      </c>
      <c r="C40" s="100">
        <v>2.84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8.5860999999999993E-3</v>
      </c>
      <c r="D45" s="12"/>
    </row>
    <row r="46" spans="1:5" ht="15.75" customHeight="1" x14ac:dyDescent="0.25">
      <c r="B46" s="11" t="s">
        <v>51</v>
      </c>
      <c r="C46" s="45">
        <v>9.0953300000000001E-2</v>
      </c>
      <c r="D46" s="12"/>
    </row>
    <row r="47" spans="1:5" ht="15.75" customHeight="1" x14ac:dyDescent="0.25">
      <c r="B47" s="11" t="s">
        <v>59</v>
      </c>
      <c r="C47" s="45">
        <v>0.15892729999999999</v>
      </c>
      <c r="D47" s="12"/>
      <c r="E47" s="13"/>
    </row>
    <row r="48" spans="1:5" ht="15" customHeight="1" x14ac:dyDescent="0.25">
      <c r="B48" s="11" t="s">
        <v>58</v>
      </c>
      <c r="C48" s="46">
        <v>0.74153329999999995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0.50075199999999997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bYD17usG5DR48UTyyL07quoUPojg9naCLBsbsekyII1VNFrighLWoN8tQqVaSP6p6hxUeX0gH8p0byEfoO/chw==" saltValue="TE75Ka0VsPIMPIqnCT58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1737582</v>
      </c>
      <c r="C2" s="49">
        <v>3553211</v>
      </c>
      <c r="D2" s="49">
        <v>4693966.5</v>
      </c>
      <c r="E2" s="49">
        <v>3025619</v>
      </c>
      <c r="F2" s="49">
        <v>1473895.5</v>
      </c>
      <c r="G2" s="17">
        <f t="shared" ref="G2:G13" si="0">C2+D2+E2+F2</f>
        <v>12746692</v>
      </c>
      <c r="H2" s="17">
        <f t="shared" ref="H2:H13" si="1">(B2 + stillbirth*B2/(1000-stillbirth))/(1-abortion)</f>
        <v>2004790.3373761019</v>
      </c>
      <c r="I2" s="17">
        <f t="shared" ref="I2:I13" si="2">G2-H2</f>
        <v>10741901.662623897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1749115</v>
      </c>
      <c r="C3" s="50">
        <v>3629597</v>
      </c>
      <c r="D3" s="50">
        <v>4820530</v>
      </c>
      <c r="E3" s="50">
        <v>3177005</v>
      </c>
      <c r="F3" s="50">
        <v>1532516.5</v>
      </c>
      <c r="G3" s="17">
        <f t="shared" si="0"/>
        <v>13159648.5</v>
      </c>
      <c r="H3" s="17">
        <f t="shared" si="1"/>
        <v>2018096.9018783574</v>
      </c>
      <c r="I3" s="17">
        <f t="shared" si="2"/>
        <v>11141551.598121643</v>
      </c>
    </row>
    <row r="4" spans="1:9" ht="15.75" customHeight="1" x14ac:dyDescent="0.25">
      <c r="A4" s="5">
        <f t="shared" si="3"/>
        <v>2026</v>
      </c>
      <c r="B4" s="49">
        <v>1759703</v>
      </c>
      <c r="C4" s="50">
        <v>3707641</v>
      </c>
      <c r="D4" s="50">
        <v>4949977</v>
      </c>
      <c r="E4" s="50">
        <v>3327171.5</v>
      </c>
      <c r="F4" s="50">
        <v>1600432</v>
      </c>
      <c r="G4" s="17">
        <f t="shared" si="0"/>
        <v>13585221.5</v>
      </c>
      <c r="H4" s="17">
        <f t="shared" si="1"/>
        <v>2030313.142661318</v>
      </c>
      <c r="I4" s="17">
        <f t="shared" si="2"/>
        <v>11554908.357338682</v>
      </c>
    </row>
    <row r="5" spans="1:9" ht="15.75" customHeight="1" x14ac:dyDescent="0.25">
      <c r="A5" s="5">
        <f t="shared" si="3"/>
        <v>2027</v>
      </c>
      <c r="B5" s="49">
        <v>1768718</v>
      </c>
      <c r="C5" s="50">
        <v>3785655</v>
      </c>
      <c r="D5" s="50">
        <v>5083774</v>
      </c>
      <c r="E5" s="50">
        <v>3475196</v>
      </c>
      <c r="F5" s="50">
        <v>1679592</v>
      </c>
      <c r="G5" s="17">
        <f t="shared" si="0"/>
        <v>14024217</v>
      </c>
      <c r="H5" s="17">
        <f t="shared" si="1"/>
        <v>2040714.4848088804</v>
      </c>
      <c r="I5" s="17">
        <f t="shared" si="2"/>
        <v>11983502.515191119</v>
      </c>
    </row>
    <row r="6" spans="1:9" ht="15.75" customHeight="1" x14ac:dyDescent="0.25">
      <c r="A6" s="5">
        <f t="shared" si="3"/>
        <v>2028</v>
      </c>
      <c r="B6" s="49">
        <v>1783220</v>
      </c>
      <c r="C6" s="50">
        <v>3862387.5</v>
      </c>
      <c r="D6" s="50">
        <v>5219198</v>
      </c>
      <c r="E6" s="50">
        <v>3621839</v>
      </c>
      <c r="F6" s="50">
        <v>1769830</v>
      </c>
      <c r="G6" s="17">
        <f t="shared" si="0"/>
        <v>14473254.5</v>
      </c>
      <c r="H6" s="17">
        <f t="shared" si="1"/>
        <v>2057446.627218636</v>
      </c>
      <c r="I6" s="17">
        <f t="shared" si="2"/>
        <v>12415807.872781364</v>
      </c>
    </row>
    <row r="7" spans="1:9" ht="15.75" customHeight="1" x14ac:dyDescent="0.25">
      <c r="A7" s="5">
        <f t="shared" si="3"/>
        <v>2029</v>
      </c>
      <c r="B7" s="49">
        <v>1789966</v>
      </c>
      <c r="C7" s="50">
        <v>3935620.5</v>
      </c>
      <c r="D7" s="50">
        <v>5356225</v>
      </c>
      <c r="E7" s="50">
        <v>3767394</v>
      </c>
      <c r="F7" s="50">
        <v>1869604</v>
      </c>
      <c r="G7" s="17">
        <f t="shared" si="0"/>
        <v>14928843.5</v>
      </c>
      <c r="H7" s="17">
        <f t="shared" si="1"/>
        <v>2065230.0386581763</v>
      </c>
      <c r="I7" s="17">
        <f t="shared" si="2"/>
        <v>12863613.461341824</v>
      </c>
    </row>
    <row r="8" spans="1:9" ht="15.75" customHeight="1" x14ac:dyDescent="0.25">
      <c r="A8" s="5">
        <f t="shared" si="3"/>
        <v>2030</v>
      </c>
      <c r="B8" s="49">
        <v>1797092</v>
      </c>
      <c r="C8" s="50">
        <v>4003942</v>
      </c>
      <c r="D8" s="50">
        <v>5495358</v>
      </c>
      <c r="E8" s="50">
        <v>3912559</v>
      </c>
      <c r="F8" s="50">
        <v>1977956.5</v>
      </c>
      <c r="G8" s="17">
        <f t="shared" si="0"/>
        <v>15389815.5</v>
      </c>
      <c r="H8" s="17">
        <f t="shared" si="1"/>
        <v>2073451.8871488615</v>
      </c>
      <c r="I8" s="17">
        <f t="shared" si="2"/>
        <v>13316363.612851139</v>
      </c>
    </row>
    <row r="9" spans="1:9" ht="15.75" customHeight="1" x14ac:dyDescent="0.25">
      <c r="A9" s="5">
        <f t="shared" si="3"/>
        <v>2031</v>
      </c>
      <c r="B9" s="49">
        <v>1796738</v>
      </c>
      <c r="C9" s="50">
        <v>4072992.5</v>
      </c>
      <c r="D9" s="50">
        <v>5635081.4999999991</v>
      </c>
      <c r="E9" s="50">
        <v>4057325.5</v>
      </c>
      <c r="F9" s="50">
        <v>2094491</v>
      </c>
      <c r="G9" s="17">
        <f t="shared" si="0"/>
        <v>15859890.5</v>
      </c>
      <c r="H9" s="17">
        <f t="shared" si="1"/>
        <v>2073043.4484222685</v>
      </c>
      <c r="I9" s="17">
        <f t="shared" si="2"/>
        <v>13786847.051577732</v>
      </c>
    </row>
    <row r="10" spans="1:9" ht="15.75" customHeight="1" x14ac:dyDescent="0.25">
      <c r="A10" s="5">
        <f t="shared" si="3"/>
        <v>2032</v>
      </c>
      <c r="B10" s="49">
        <v>1813939</v>
      </c>
      <c r="C10" s="50">
        <v>4148952.5</v>
      </c>
      <c r="D10" s="50">
        <v>5773410</v>
      </c>
      <c r="E10" s="50">
        <v>4201227</v>
      </c>
      <c r="F10" s="50">
        <v>2217594.5</v>
      </c>
      <c r="G10" s="17">
        <f t="shared" si="0"/>
        <v>16341184</v>
      </c>
      <c r="H10" s="17">
        <f t="shared" si="1"/>
        <v>2092889.6476768684</v>
      </c>
      <c r="I10" s="17">
        <f t="shared" si="2"/>
        <v>14248294.352323132</v>
      </c>
    </row>
    <row r="11" spans="1:9" ht="15.75" customHeight="1" x14ac:dyDescent="0.25">
      <c r="A11" s="5">
        <f t="shared" si="3"/>
        <v>2033</v>
      </c>
      <c r="B11" s="49">
        <v>1815250</v>
      </c>
      <c r="C11" s="50">
        <v>4233026</v>
      </c>
      <c r="D11" s="50">
        <v>5909656</v>
      </c>
      <c r="E11" s="50">
        <v>4342379.5</v>
      </c>
      <c r="F11" s="50">
        <v>2347225</v>
      </c>
      <c r="G11" s="17">
        <f t="shared" si="0"/>
        <v>16832286.5</v>
      </c>
      <c r="H11" s="17">
        <f t="shared" si="1"/>
        <v>2094402.2555033192</v>
      </c>
      <c r="I11" s="17">
        <f t="shared" si="2"/>
        <v>14737884.244496681</v>
      </c>
    </row>
    <row r="12" spans="1:9" ht="15.75" customHeight="1" x14ac:dyDescent="0.25">
      <c r="A12" s="5">
        <f t="shared" si="3"/>
        <v>2034</v>
      </c>
      <c r="B12" s="49">
        <v>1824012</v>
      </c>
      <c r="C12" s="50">
        <v>4325458.5</v>
      </c>
      <c r="D12" s="50">
        <v>6041503</v>
      </c>
      <c r="E12" s="50">
        <v>4482670.5</v>
      </c>
      <c r="F12" s="50">
        <v>2482625.5</v>
      </c>
      <c r="G12" s="17">
        <f t="shared" si="0"/>
        <v>17332257.5</v>
      </c>
      <c r="H12" s="17">
        <f t="shared" si="1"/>
        <v>2104511.6908773561</v>
      </c>
      <c r="I12" s="17">
        <f t="shared" si="2"/>
        <v>15227745.809122644</v>
      </c>
    </row>
    <row r="13" spans="1:9" ht="15.75" customHeight="1" x14ac:dyDescent="0.25">
      <c r="A13" s="5">
        <f t="shared" si="3"/>
        <v>2035</v>
      </c>
      <c r="B13" s="49">
        <v>1839574</v>
      </c>
      <c r="C13" s="50">
        <v>4424637.5000000009</v>
      </c>
      <c r="D13" s="50">
        <v>6169714</v>
      </c>
      <c r="E13" s="50">
        <v>4621649.5</v>
      </c>
      <c r="F13" s="50">
        <v>2620269</v>
      </c>
      <c r="G13" s="17">
        <f t="shared" si="0"/>
        <v>17836270</v>
      </c>
      <c r="H13" s="17">
        <f t="shared" si="1"/>
        <v>2122466.8419034639</v>
      </c>
      <c r="I13" s="17">
        <f t="shared" si="2"/>
        <v>15713803.158096537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UKIsku7f3p9F07WuRG9+rt517rVlGlli0SW4lbqTm3k+a+pZmE0IUyw3q+SG0iTDvKo5xe0h+JUtClJyAWm3A==" saltValue="5J+362a9pwIulX6llJSlI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1.0454372387745971E-2</v>
      </c>
    </row>
    <row r="4" spans="1:8" ht="15.75" customHeight="1" x14ac:dyDescent="0.25">
      <c r="B4" s="19" t="s">
        <v>97</v>
      </c>
      <c r="C4" s="101">
        <v>5.7447537664464247E-2</v>
      </c>
    </row>
    <row r="5" spans="1:8" ht="15.75" customHeight="1" x14ac:dyDescent="0.25">
      <c r="B5" s="19" t="s">
        <v>95</v>
      </c>
      <c r="C5" s="101">
        <v>7.8656835258910388E-2</v>
      </c>
    </row>
    <row r="6" spans="1:8" ht="15.75" customHeight="1" x14ac:dyDescent="0.25">
      <c r="B6" s="19" t="s">
        <v>91</v>
      </c>
      <c r="C6" s="101">
        <v>0.24881278132399531</v>
      </c>
    </row>
    <row r="7" spans="1:8" ht="15.75" customHeight="1" x14ac:dyDescent="0.25">
      <c r="B7" s="19" t="s">
        <v>96</v>
      </c>
      <c r="C7" s="101">
        <v>0.41129992498193729</v>
      </c>
    </row>
    <row r="8" spans="1:8" ht="15.75" customHeight="1" x14ac:dyDescent="0.25">
      <c r="B8" s="19" t="s">
        <v>98</v>
      </c>
      <c r="C8" s="101">
        <v>1.509972556784409E-3</v>
      </c>
    </row>
    <row r="9" spans="1:8" ht="15.75" customHeight="1" x14ac:dyDescent="0.25">
      <c r="B9" s="19" t="s">
        <v>92</v>
      </c>
      <c r="C9" s="101">
        <v>7.6515821923355931E-2</v>
      </c>
    </row>
    <row r="10" spans="1:8" ht="15.75" customHeight="1" x14ac:dyDescent="0.25">
      <c r="B10" s="19" t="s">
        <v>94</v>
      </c>
      <c r="C10" s="101">
        <v>0.11530275390280641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102</v>
      </c>
      <c r="C15" s="101">
        <v>0.15892959747947849</v>
      </c>
      <c r="D15" s="101">
        <v>0.15892959747947849</v>
      </c>
      <c r="E15" s="101">
        <v>0.15892959747947849</v>
      </c>
      <c r="F15" s="101">
        <v>0.15892959747947849</v>
      </c>
    </row>
    <row r="16" spans="1:8" ht="15.75" customHeight="1" x14ac:dyDescent="0.25">
      <c r="B16" s="19" t="s">
        <v>2</v>
      </c>
      <c r="C16" s="101">
        <v>3.1766896862756487E-2</v>
      </c>
      <c r="D16" s="101">
        <v>3.1766896862756487E-2</v>
      </c>
      <c r="E16" s="101">
        <v>3.1766896862756487E-2</v>
      </c>
      <c r="F16" s="101">
        <v>3.1766896862756487E-2</v>
      </c>
    </row>
    <row r="17" spans="1:8" ht="15.75" customHeight="1" x14ac:dyDescent="0.25">
      <c r="B17" s="19" t="s">
        <v>90</v>
      </c>
      <c r="C17" s="101">
        <v>7.9758861633680775E-3</v>
      </c>
      <c r="D17" s="101">
        <v>7.9758861633680775E-3</v>
      </c>
      <c r="E17" s="101">
        <v>7.9758861633680775E-3</v>
      </c>
      <c r="F17" s="101">
        <v>7.9758861633680775E-3</v>
      </c>
    </row>
    <row r="18" spans="1:8" ht="15.75" customHeight="1" x14ac:dyDescent="0.25">
      <c r="B18" s="19" t="s">
        <v>3</v>
      </c>
      <c r="C18" s="101">
        <v>0.2244074142638485</v>
      </c>
      <c r="D18" s="101">
        <v>0.2244074142638485</v>
      </c>
      <c r="E18" s="101">
        <v>0.2244074142638485</v>
      </c>
      <c r="F18" s="101">
        <v>0.2244074142638485</v>
      </c>
    </row>
    <row r="19" spans="1:8" ht="15.75" customHeight="1" x14ac:dyDescent="0.25">
      <c r="B19" s="19" t="s">
        <v>101</v>
      </c>
      <c r="C19" s="101">
        <v>4.7191213219728113E-2</v>
      </c>
      <c r="D19" s="101">
        <v>4.7191213219728113E-2</v>
      </c>
      <c r="E19" s="101">
        <v>4.7191213219728113E-2</v>
      </c>
      <c r="F19" s="101">
        <v>4.7191213219728113E-2</v>
      </c>
    </row>
    <row r="20" spans="1:8" ht="15.75" customHeight="1" x14ac:dyDescent="0.25">
      <c r="B20" s="19" t="s">
        <v>79</v>
      </c>
      <c r="C20" s="101">
        <v>0.10703010014399091</v>
      </c>
      <c r="D20" s="101">
        <v>0.10703010014399091</v>
      </c>
      <c r="E20" s="101">
        <v>0.10703010014399091</v>
      </c>
      <c r="F20" s="101">
        <v>0.10703010014399091</v>
      </c>
    </row>
    <row r="21" spans="1:8" ht="15.75" customHeight="1" x14ac:dyDescent="0.25">
      <c r="B21" s="19" t="s">
        <v>88</v>
      </c>
      <c r="C21" s="101">
        <v>0.104515186544913</v>
      </c>
      <c r="D21" s="101">
        <v>0.104515186544913</v>
      </c>
      <c r="E21" s="101">
        <v>0.104515186544913</v>
      </c>
      <c r="F21" s="101">
        <v>0.104515186544913</v>
      </c>
    </row>
    <row r="22" spans="1:8" ht="15.75" customHeight="1" x14ac:dyDescent="0.25">
      <c r="B22" s="19" t="s">
        <v>99</v>
      </c>
      <c r="C22" s="101">
        <v>0.21971343883680561</v>
      </c>
      <c r="D22" s="101">
        <v>0.21971343883680561</v>
      </c>
      <c r="E22" s="101">
        <v>0.21971343883680561</v>
      </c>
      <c r="F22" s="101">
        <v>0.21971343883680561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8.465819899999999E-2</v>
      </c>
    </row>
    <row r="27" spans="1:8" ht="15.75" customHeight="1" x14ac:dyDescent="0.25">
      <c r="B27" s="19" t="s">
        <v>89</v>
      </c>
      <c r="C27" s="101">
        <v>8.3993499999999999E-3</v>
      </c>
    </row>
    <row r="28" spans="1:8" ht="15.75" customHeight="1" x14ac:dyDescent="0.25">
      <c r="B28" s="19" t="s">
        <v>103</v>
      </c>
      <c r="C28" s="101">
        <v>0.14948149299999999</v>
      </c>
    </row>
    <row r="29" spans="1:8" ht="15.75" customHeight="1" x14ac:dyDescent="0.25">
      <c r="B29" s="19" t="s">
        <v>86</v>
      </c>
      <c r="C29" s="101">
        <v>0.16164467800000001</v>
      </c>
    </row>
    <row r="30" spans="1:8" ht="15.75" customHeight="1" x14ac:dyDescent="0.25">
      <c r="B30" s="19" t="s">
        <v>4</v>
      </c>
      <c r="C30" s="101">
        <v>0.100545357</v>
      </c>
    </row>
    <row r="31" spans="1:8" ht="15.75" customHeight="1" x14ac:dyDescent="0.25">
      <c r="B31" s="19" t="s">
        <v>80</v>
      </c>
      <c r="C31" s="101">
        <v>0.10497287399999999</v>
      </c>
    </row>
    <row r="32" spans="1:8" ht="15.75" customHeight="1" x14ac:dyDescent="0.25">
      <c r="B32" s="19" t="s">
        <v>85</v>
      </c>
      <c r="C32" s="101">
        <v>1.7941111999999999E-2</v>
      </c>
    </row>
    <row r="33" spans="2:3" ht="15.75" customHeight="1" x14ac:dyDescent="0.25">
      <c r="B33" s="19" t="s">
        <v>100</v>
      </c>
      <c r="C33" s="101">
        <v>8.1330947000000015E-2</v>
      </c>
    </row>
    <row r="34" spans="2:3" ht="15.75" customHeight="1" x14ac:dyDescent="0.25">
      <c r="B34" s="19" t="s">
        <v>87</v>
      </c>
      <c r="C34" s="101">
        <v>0.29102599000000001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HS3tSRZ8bbLLQMq8b3o7K/R1Av93bW4jcAHFCBL8ElxhOlgEN3izz4bQR/ocbL/mC9dRcB1t6hmfeK8zweMIqA==" saltValue="Jc0HOSxC00mVeDA4HhIPS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110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106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107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119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28teRO0UHGtNQ6KdlLXLEzt+D/EamuJoKG1VVx+E19RRW3QNsE5IDxgYfVa+GKgEtEpcQzh8zkvK7EzyBdbIQ==" saltValue="WVtd4hQJy4Exir0Cewvw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125</v>
      </c>
      <c r="C5" s="52">
        <v>1.75645E-2</v>
      </c>
      <c r="D5" s="52">
        <v>2.3862499999999998E-2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j6NEYxpaFHxWsViewhwh1T6UWJyUkW/BD7T7iqTi0zK0uIMk0xIyEx/Yq4FtqjlJbn4m8f4UzUfBvN6I/1tBkA==" saltValue="m3RVYxj6H1YDhVTeRGR4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QthfKKMtT0o3z6WYD6NW0wLwXxT8TPOPIGO7XQXEsuxsOuznhICzYrwJ3Q9snbReMqxUtwiYP5SgcP+6ldedg==" saltValue="5X71Q5qW333ecyFgzoCJd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qVvWxGEb2L0K7/KAXiffmUhtv+SG+c7/S0PhevbEIIFc9Qnn0ctmpa6YpAsQ8N0qjKMpefSa5bZBRtQX8Ynnrg==" saltValue="OzWIbWqhDuo/5CIRkxou4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u+UMky0QsJo1X1/eG9AZ+LE5P3UZTVq5jE2cRpwgtNWrPSBe08TaXKPQ3HeymgzhIU+C+aofkMuWQX17GNBUTA==" saltValue="bb3u/96e8K2/Rg51aQ1Ou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1ZdFXF03rRwhJh4TKD70DXEv88eA7MwP+ppLsGBxulrh54nT6wd/+SyAXY8LEB/uCjIG9rEMIk+vrf4Dye/GuQ==" saltValue="/SzcPZdzMxmXOQw6Ar2iq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35.298790342981107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0.28087631927824003</v>
      </c>
      <c r="C3" s="98">
        <v>0.95</v>
      </c>
      <c r="D3" s="56">
        <v>42.462736160777617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58.038353853841237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0.24096472301132851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0.2257797</v>
      </c>
      <c r="C10" s="98">
        <v>0.95</v>
      </c>
      <c r="D10" s="56">
        <v>13.48044806079821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0.2257797</v>
      </c>
      <c r="C11" s="98">
        <v>0.95</v>
      </c>
      <c r="D11" s="56">
        <v>13.48044806079821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0.2257797</v>
      </c>
      <c r="C12" s="98">
        <v>0.95</v>
      </c>
      <c r="D12" s="56">
        <v>13.48044806079821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0.2257797</v>
      </c>
      <c r="C13" s="98">
        <v>0.95</v>
      </c>
      <c r="D13" s="56">
        <v>13.48044806079821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0.2257797</v>
      </c>
      <c r="C14" s="98">
        <v>0.95</v>
      </c>
      <c r="D14" s="56">
        <v>13.48044806079821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0.2257797</v>
      </c>
      <c r="C15" s="98">
        <v>0.95</v>
      </c>
      <c r="D15" s="56">
        <v>13.48044806079821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0.81</v>
      </c>
      <c r="C16" s="98">
        <v>0.95</v>
      </c>
      <c r="D16" s="56">
        <v>0.21968425772577191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3.8644699999999997E-2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0.25303057369356002</v>
      </c>
      <c r="C18" s="98">
        <v>0.95</v>
      </c>
      <c r="D18" s="56">
        <v>1.4452504614591219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0.21012130000000001</v>
      </c>
      <c r="C19" s="98">
        <v>0.95</v>
      </c>
      <c r="D19" s="56">
        <v>1.4452504614591219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0.23402229999999999</v>
      </c>
      <c r="C21" s="98">
        <v>0.95</v>
      </c>
      <c r="D21" s="56">
        <v>1.9139343807497731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22.971512023357811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4.4240020217934282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0.63633209792412004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0.2257797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19.479513896614868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0.49957248795947989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61.768801095950799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0.38</v>
      </c>
      <c r="C31" s="98">
        <v>0.95</v>
      </c>
      <c r="D31" s="56">
        <v>0.95745752850980892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0.41454246308118348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0.25735599999999997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0.46719699999999997</v>
      </c>
      <c r="C38" s="98">
        <v>0.95</v>
      </c>
      <c r="D38" s="56">
        <v>3.9315280454264041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r/+cHwFIlpKIr//nnu7ihANPN8h0E1BrOoHVpvgKoyVbBnQQBgMyT2aaW5N0+KRJllgOFDQ9VoLn+ouE+i4A7g==" saltValue="48IKKEXbvR+f6mhnkWeO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sOEcXAPABir0npgu0LrOKRdTYQHV/UWpAB5DE9zr5rE0yn3A2nBnaBjXS96s+WjTsYA7dNVfFgRdAUgaNBW4Q==" saltValue="e3kVNPusH7/I0LZ4I48bp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HvF9CGZvqgJrGoweXOPxh5vdbgK9AIJFKuHuTEPrtrKCYyVX4/tF098phkeBcZcQRRK4c/8Hz+S/6iXPeDvkg==" saltValue="QPnMlOjuKLqIDR6+ezNC7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207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sheetProtection algorithmName="SHA-512" hashValue="7q1ypEeDdVc526YeOkhlR8UYaQ4HILypWL6pzw/RlItwAUyvyGif2d6NxFhvGWePSl4xuGgcP7UMkXA/AccUog==" saltValue="/tZn0qh7ME0e+X8mPpk+i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0.41699999999999998</v>
      </c>
      <c r="E2" s="60">
        <f>food_insecure</f>
        <v>0.41699999999999998</v>
      </c>
      <c r="F2" s="60">
        <f>food_insecure</f>
        <v>0.41699999999999998</v>
      </c>
      <c r="G2" s="60">
        <f>food_insecure</f>
        <v>0.41699999999999998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0.41699999999999998</v>
      </c>
      <c r="F5" s="60">
        <f>food_insecure</f>
        <v>0.41699999999999998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0.41699999999999998</v>
      </c>
      <c r="F8" s="60">
        <f>food_insecure</f>
        <v>0.41699999999999998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0.41699999999999998</v>
      </c>
      <c r="F9" s="60">
        <f>food_insecure</f>
        <v>0.41699999999999998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0.41699999999999998</v>
      </c>
      <c r="I15" s="60">
        <f>food_insecure</f>
        <v>0.41699999999999998</v>
      </c>
      <c r="J15" s="60">
        <f>food_insecure</f>
        <v>0.41699999999999998</v>
      </c>
      <c r="K15" s="60">
        <f>food_insecure</f>
        <v>0.41699999999999998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0.501</v>
      </c>
      <c r="M24" s="60">
        <f>famplan_unmet_need</f>
        <v>0.501</v>
      </c>
      <c r="N24" s="60">
        <f>famplan_unmet_need</f>
        <v>0.501</v>
      </c>
      <c r="O24" s="60">
        <f>famplan_unmet_need</f>
        <v>0.501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0.38926299843824402</v>
      </c>
      <c r="M25" s="60">
        <f>(1-food_insecure)*(0.49)+food_insecure*(0.7)</f>
        <v>0.57756999999999992</v>
      </c>
      <c r="N25" s="60">
        <f>(1-food_insecure)*(0.49)+food_insecure*(0.7)</f>
        <v>0.57756999999999992</v>
      </c>
      <c r="O25" s="60">
        <f>(1-food_insecure)*(0.49)+food_insecure*(0.7)</f>
        <v>0.57756999999999992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0.16682699933067599</v>
      </c>
      <c r="M26" s="60">
        <f>(1-food_insecure)*(0.21)+food_insecure*(0.3)</f>
        <v>0.24752999999999997</v>
      </c>
      <c r="N26" s="60">
        <f>(1-food_insecure)*(0.21)+food_insecure*(0.3)</f>
        <v>0.24752999999999997</v>
      </c>
      <c r="O26" s="60">
        <f>(1-food_insecure)*(0.21)+food_insecure*(0.3)</f>
        <v>0.24752999999999997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0.11787679143108</v>
      </c>
      <c r="M27" s="60">
        <f>(1-food_insecure)*(0.3)</f>
        <v>0.17489999999999997</v>
      </c>
      <c r="N27" s="60">
        <f>(1-food_insecure)*(0.3)</f>
        <v>0.17489999999999997</v>
      </c>
      <c r="O27" s="60">
        <f>(1-food_insecure)*(0.3)</f>
        <v>0.17489999999999997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0.73</v>
      </c>
      <c r="D34" s="60">
        <f t="shared" si="3"/>
        <v>0.73</v>
      </c>
      <c r="E34" s="60">
        <f t="shared" si="3"/>
        <v>0.73</v>
      </c>
      <c r="F34" s="60">
        <f t="shared" si="3"/>
        <v>0.73</v>
      </c>
      <c r="G34" s="60">
        <f t="shared" si="3"/>
        <v>0.73</v>
      </c>
      <c r="H34" s="60">
        <f t="shared" si="3"/>
        <v>0.73</v>
      </c>
      <c r="I34" s="60">
        <f t="shared" si="3"/>
        <v>0.73</v>
      </c>
      <c r="J34" s="60">
        <f t="shared" si="3"/>
        <v>0.73</v>
      </c>
      <c r="K34" s="60">
        <f t="shared" si="3"/>
        <v>0.73</v>
      </c>
      <c r="L34" s="60">
        <f t="shared" si="3"/>
        <v>0.73</v>
      </c>
      <c r="M34" s="60">
        <f t="shared" si="3"/>
        <v>0.73</v>
      </c>
      <c r="N34" s="60">
        <f t="shared" si="3"/>
        <v>0.73</v>
      </c>
      <c r="O34" s="60">
        <f t="shared" si="3"/>
        <v>0.73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bARPAfUP41dFf2TOUTj2u/r7KXU/FUNWvhdsHn5eMVihHPVaQeANpnmPC1iAZ7Qi+mzB8o0Uq8FNgBK3KCy6A==" saltValue="jy/XyXIDAuk8Z08l0L5A6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5HTOIPryZ4HTViczK6vyeNuzz1BVh3AKTGysylYM56ymtiTCHJ9ASG4G26l/6cPGDMUQrv+OuzL4EhfzA5kDFw==" saltValue="XyHe3wxQCegQLF/u8OGDn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z164mX0AsK5/DXD9U2IVF9n6wWyy9MU1bUDtBALfRLwDozRtepomdSGDjCczdgn0Mc2jj01IrMYNnGA/WiXxw==" saltValue="FHzJVoG56C2/hoaBSlzAy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NiB8niSpVFde9BrRRy9yDWJvFkyrvto//IrbzzLOh7032aoiBsn6Uy+tMZ01mqS9gLwAP+LqmQcbdOdMS6p2A==" saltValue="mClmvkWYUza7qq4/UAeAF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JFbd9k0kaBtXqMZpVLbtU6t5sKbwIQwMZk2RnkKYbKdqTBvEYF3qCJvHvAyu4rUed48WlGVRL8IOOCV/czQ5A==" saltValue="CiTCu5yO4zXnfHCeKfeM2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cKO+dQqeZzjIiRRQJt64DtpAo5etl514wsRKkw9aRiwSeiTIkuGtU1Jcput3JQUj7TO2W1UIw5QedwBqwSJS6g==" saltValue="AmBZprB+WyFjzAabr/yIb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7m42ClUNlvqOxl1HG2EnO5Z9TXY5ajjiKUzRDpk9vq0372cFXys0Zwue1thuh0OmQAqjMlknjq1lkINMd3vqCw==" saltValue="iDh4lDR7R1nzmupwozqkD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KQENRgUvqwz0Ys7bKGDPDGin3YFtvYshaTJxcgUcG93TjP0Z9pQswTPjKOQ7p2j/veqIYOt7jLfmvvmA+0AOw==" saltValue="75w/ACfGrDkTD+uIiYeI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otsDy/UTP3ZkGo61o/75vLxO5ft6IeMJHvIu7hL/9cNjLsGyV2zQEuyVay4Yt2T5XRnjP8Ui6ZGGM5SXvRT/g==" saltValue="2qvug8S7ICNWoPxvEWT7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qyu+jFAJLWN+SsS/uSVe3oQyLHMaCJR05tvLs2ObTpULNG+GpU93fMAEmYfaZ2j+bjJZzOtDFzUHG/b7Q/s6Hw==" saltValue="MhAnogCpP3oWD/ilZDex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uT16HS0VoDpznOW0byscCkzkBpEAMHDffGcYoATjlTCnl8iYKFmf6CzQzRg9ZLapxfLTWWVodsVqZwxMMouHA==" saltValue="GAY0BtVlCIamowk4U2Mg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8mhlocdd4a7Gi64qIkFXKrBTnQr1WLjlh+48TrRMhQf3BTno/loQ/IZSGR3YnMdE+cbnWXwf3o6RzB/CRjBhA==" saltValue="IzcdDXLgjm/sdk42/sRt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UCByAbHE30qIHAkQ4cgQz7n90ivK29GuZhFLgDRX1b//Ekl9fxWMnMh/kUls8YpQcHEIq2UHPNx7zpt0p4M/w==" saltValue="avw4W/GI9vM+bXKfdri9i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BCmIRB1i2WLuVRIUuV08AJuynSmJbpKrx0YjoG7cpnIxBa9q4zn8i5qWtNsKvP9DO65uhfLV+7IChwykvRDEQ==" saltValue="jdHRhIdqsrtv0jqYnEVt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m0FNll7FVp+bSagt3UNH6948hDvaUIVEwMtTSdKkEQW0Onucb61eXQ8jVN1agggYO/myWjGiEbpJTTnNIWywg==" saltValue="namFjGAldIMdu+rUxRQjE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2024-05-17T00:04:23Z</dcterms:modified>
</cp:coreProperties>
</file>