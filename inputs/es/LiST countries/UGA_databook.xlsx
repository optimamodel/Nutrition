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94DC459A-D3B8-4CC1-8991-8108EF79C7EC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6" i="2"/>
  <c r="A24" i="2"/>
  <c r="A31" i="2"/>
  <c r="A36" i="2"/>
  <c r="A23" i="2"/>
  <c r="I9" i="2"/>
  <c r="I13" i="2"/>
  <c r="A37" i="2"/>
  <c r="I4" i="2"/>
  <c r="I8" i="2"/>
  <c r="I12" i="2"/>
  <c r="A25" i="2"/>
  <c r="A34" i="2"/>
  <c r="A40" i="2"/>
  <c r="I2" i="2"/>
  <c r="I6" i="2"/>
  <c r="A19" i="2"/>
  <c r="A35" i="2"/>
  <c r="I3" i="2"/>
  <c r="I7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<sst xmlns="http://schemas.openxmlformats.org/spreadsheetml/2006/main" count="2159" uniqueCount="372">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</sst>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8152934.5</v>
      </c>
    </row>
    <row r="8" spans="1:3" ht="15" customHeight="1" x14ac:dyDescent="0.25">
      <c r="B8" s="5" t="s">
        <v>63</v>
      </c>
      <c r="C8" s="44">
        <v>0.20300000000000001</v>
      </c>
    </row>
    <row r="9" spans="1:3" ht="15" customHeight="1" x14ac:dyDescent="0.25">
      <c r="B9" s="5" t="s">
        <v>62</v>
      </c>
      <c r="C9" s="45">
        <v>0.73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0.15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0.10879999999999999</v>
      </c>
    </row>
    <row r="24" spans="1:3" ht="15" customHeight="1" x14ac:dyDescent="0.25">
      <c r="B24" s="15" t="s">
        <v>65</v>
      </c>
      <c r="C24" s="45">
        <v>0.53739999999999999</v>
      </c>
    </row>
    <row r="25" spans="1:3" ht="15" customHeight="1" x14ac:dyDescent="0.25">
      <c r="B25" s="15" t="s">
        <v>66</v>
      </c>
      <c r="C25" s="45">
        <v>0.29330000000000001</v>
      </c>
    </row>
    <row r="26" spans="1:3" ht="15" customHeight="1" x14ac:dyDescent="0.25">
      <c r="B26" s="15" t="s">
        <v>67</v>
      </c>
      <c r="C26" s="45">
        <v>6.0499999999999998E-2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0.22259625228416199</v>
      </c>
    </row>
    <row r="30" spans="1:3" ht="14.25" customHeight="1" x14ac:dyDescent="0.25">
      <c r="B30" s="25" t="s">
        <v>82</v>
      </c>
      <c r="C30" s="99">
        <v>6.9957740305893898E-2</v>
      </c>
    </row>
    <row r="31" spans="1:3" ht="14.25" customHeight="1" x14ac:dyDescent="0.25">
      <c r="B31" s="25" t="s">
        <v>29</v>
      </c>
      <c r="C31" s="99">
        <v>0.118524449608315</v>
      </c>
    </row>
    <row r="32" spans="1:3" ht="14.25" customHeight="1" x14ac:dyDescent="0.25">
      <c r="B32" s="25" t="s">
        <v>30</v>
      </c>
      <c r="C32" s="99">
        <v>0.58892155780162903</v>
      </c>
    </row>
    <row r="33" spans="1:5" ht="13.25" customHeight="1" x14ac:dyDescent="0.25">
      <c r="B33" s="27" t="s">
        <v>79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19.007650000000002</v>
      </c>
    </row>
    <row r="38" spans="1:5" ht="15" customHeight="1" x14ac:dyDescent="0.25">
      <c r="B38" s="11" t="s">
        <v>54</v>
      </c>
      <c r="C38" s="43">
        <v>31.167809999999999</v>
      </c>
      <c r="D38" s="12"/>
      <c r="E38" s="13"/>
    </row>
    <row r="39" spans="1:5" ht="15" customHeight="1" x14ac:dyDescent="0.25">
      <c r="B39" s="11" t="s">
        <v>80</v>
      </c>
      <c r="C39" s="43">
        <v>42.12818</v>
      </c>
      <c r="D39" s="12"/>
      <c r="E39" s="12"/>
    </row>
    <row r="40" spans="1:5" ht="15" customHeight="1" x14ac:dyDescent="0.25">
      <c r="B40" s="11" t="s">
        <v>55</v>
      </c>
      <c r="C40" s="100">
        <v>2.84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15.09651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8.5860999999999993E-3</v>
      </c>
      <c r="D45" s="12"/>
    </row>
    <row r="46" spans="1:5" ht="15.75" customHeight="1" x14ac:dyDescent="0.25">
      <c r="B46" s="11" t="s">
        <v>70</v>
      </c>
      <c r="C46" s="45">
        <v>9.0953300000000001E-2</v>
      </c>
      <c r="D46" s="12"/>
    </row>
    <row r="47" spans="1:5" ht="15.75" customHeight="1" x14ac:dyDescent="0.25">
      <c r="B47" s="11" t="s">
        <v>78</v>
      </c>
      <c r="C47" s="45">
        <v>0.15892729999999999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4.992</v>
      </c>
      <c r="D51" s="12"/>
    </row>
    <row r="52" spans="1:4" ht="15" customHeight="1" x14ac:dyDescent="0.25">
      <c r="B52" s="11" t="s">
        <v>32</v>
      </c>
      <c r="C52" s="100">
        <v>4.992</v>
      </c>
    </row>
    <row r="53" spans="1:4" ht="15.75" customHeight="1" x14ac:dyDescent="0.25">
      <c r="B53" s="11" t="s">
        <v>35</v>
      </c>
      <c r="C53" s="100">
        <v>10.218</v>
      </c>
    </row>
    <row r="54" spans="1:4" ht="15.75" customHeight="1" x14ac:dyDescent="0.25">
      <c r="B54" s="11" t="s">
        <v>33</v>
      </c>
      <c r="C54" s="100">
        <v>8.0340000000000007</v>
      </c>
    </row>
    <row r="55" spans="1:4" ht="15.75" customHeight="1" x14ac:dyDescent="0.25">
      <c r="B55" s="11" t="s">
        <v>34</v>
      </c>
      <c r="C55" s="100">
        <v>3.163333333333334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0.50075199999999997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Vl2eifWKE1XLlui8qmzPKt1G1Wp7kVoHQmW/Gfxem1mIHDAV+H9rvE3tm/cXJWRAJ+azNmHAKsBUX3moaLCW2Q==" saltValue="l9Jtuwq26E8omr9x3fOA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8173066</v>
      </c>
      <c r="C2" s="49">
        <v>1784547</v>
      </c>
      <c r="D2" s="49">
        <v>3559552.5</v>
      </c>
      <c r="E2" s="49">
        <v>5766959.0000000009</v>
      </c>
      <c r="F2" s="49">
        <v>4643116.5</v>
      </c>
      <c r="G2" s="17">
        <f t="shared" ref="G2:G13" si="0">C2+D2+E2+F2</f>
        <v>15754175</v>
      </c>
      <c r="H2" s="17">
        <f t="shared" ref="H2:H13" si="1">(B2 + stillbirth*B2/(1000-stillbirth))/(1-abortion)</f>
        <v>9429934.0943547674</v>
      </c>
      <c r="I2" s="17">
        <f t="shared" ref="I2:I13" si="2">G2-H2</f>
        <v>6324240.9056452326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1722321</v>
      </c>
      <c r="C3" s="50">
        <v>2904957</v>
      </c>
      <c r="D3" s="50">
        <v>4660165</v>
      </c>
      <c r="E3" s="50">
        <v>3025799.5</v>
      </c>
      <c r="F3" s="50">
        <v>1709647</v>
      </c>
      <c r="G3" s="17">
        <f t="shared" si="0"/>
        <v>12300568.5</v>
      </c>
      <c r="H3" s="17">
        <f t="shared" si="1"/>
        <v>1987182.474645769</v>
      </c>
      <c r="I3" s="17">
        <f t="shared" si="2"/>
        <v>10313386.025354231</v>
      </c>
    </row>
    <row r="4" spans="1:9" ht="15.75" customHeight="1" x14ac:dyDescent="0.25">
      <c r="A4" s="5">
        <f t="shared" si="3"/>
        <v>2026</v>
      </c>
      <c r="B4" s="49">
        <v>1734565</v>
      </c>
      <c r="C4" s="50">
        <v>2961247.5</v>
      </c>
      <c r="D4" s="50">
        <v>4771467.5</v>
      </c>
      <c r="E4" s="50">
        <v>3192593</v>
      </c>
      <c r="F4" s="50">
        <v>1788592.9999999998</v>
      </c>
      <c r="G4" s="17">
        <f t="shared" si="0"/>
        <v>12713901</v>
      </c>
      <c r="H4" s="17">
        <f t="shared" si="1"/>
        <v>2001309.3779463517</v>
      </c>
      <c r="I4" s="17">
        <f t="shared" si="2"/>
        <v>10712591.622053649</v>
      </c>
    </row>
    <row r="5" spans="1:9" ht="15.75" customHeight="1" x14ac:dyDescent="0.25">
      <c r="A5" s="5">
        <f t="shared" si="3"/>
        <v>2027</v>
      </c>
      <c r="B5" s="49">
        <v>1746979</v>
      </c>
      <c r="C5" s="50">
        <v>3022468</v>
      </c>
      <c r="D5" s="50">
        <v>4877207</v>
      </c>
      <c r="E5" s="50">
        <v>3356465.5000000005</v>
      </c>
      <c r="F5" s="50">
        <v>1878319</v>
      </c>
      <c r="G5" s="17">
        <f t="shared" si="0"/>
        <v>13134459.5</v>
      </c>
      <c r="H5" s="17">
        <f t="shared" si="1"/>
        <v>2015632.4241382361</v>
      </c>
      <c r="I5" s="17">
        <f t="shared" si="2"/>
        <v>11118827.075861763</v>
      </c>
    </row>
    <row r="6" spans="1:9" ht="15.75" customHeight="1" x14ac:dyDescent="0.25">
      <c r="A6" s="5">
        <f t="shared" si="3"/>
        <v>2028</v>
      </c>
      <c r="B6" s="49">
        <v>1755617</v>
      </c>
      <c r="C6" s="50">
        <v>3084683.5</v>
      </c>
      <c r="D6" s="50">
        <v>4979074.0000000009</v>
      </c>
      <c r="E6" s="50">
        <v>3516698.5000000005</v>
      </c>
      <c r="F6" s="50">
        <v>1979790.5</v>
      </c>
      <c r="G6" s="17">
        <f t="shared" si="0"/>
        <v>13560246.500000002</v>
      </c>
      <c r="H6" s="17">
        <f t="shared" si="1"/>
        <v>2025598.790579794</v>
      </c>
      <c r="I6" s="17">
        <f t="shared" si="2"/>
        <v>11534647.709420208</v>
      </c>
    </row>
    <row r="7" spans="1:9" ht="15.75" customHeight="1" x14ac:dyDescent="0.25">
      <c r="A7" s="5">
        <f t="shared" si="3"/>
        <v>2029</v>
      </c>
      <c r="B7" s="49">
        <v>1763999</v>
      </c>
      <c r="C7" s="50">
        <v>3145178</v>
      </c>
      <c r="D7" s="50">
        <v>5076901</v>
      </c>
      <c r="E7" s="50">
        <v>3674772</v>
      </c>
      <c r="F7" s="50">
        <v>2092215.5000000002</v>
      </c>
      <c r="G7" s="17">
        <f t="shared" si="0"/>
        <v>13989066.5</v>
      </c>
      <c r="H7" s="17">
        <f t="shared" si="1"/>
        <v>2035269.7889026855</v>
      </c>
      <c r="I7" s="17">
        <f t="shared" si="2"/>
        <v>11953796.711097315</v>
      </c>
    </row>
    <row r="8" spans="1:9" ht="15.75" customHeight="1" x14ac:dyDescent="0.25">
      <c r="A8" s="5">
        <f t="shared" si="3"/>
        <v>2030</v>
      </c>
      <c r="B8" s="49">
        <v>1768048</v>
      </c>
      <c r="C8" s="50">
        <v>3200709.5</v>
      </c>
      <c r="D8" s="50">
        <v>5174097</v>
      </c>
      <c r="E8" s="50">
        <v>3830609.5000000005</v>
      </c>
      <c r="F8" s="50">
        <v>2213551.5</v>
      </c>
      <c r="G8" s="17">
        <f t="shared" si="0"/>
        <v>14418967.5</v>
      </c>
      <c r="H8" s="17">
        <f t="shared" si="1"/>
        <v>2039941.4510608085</v>
      </c>
      <c r="I8" s="17">
        <f t="shared" si="2"/>
        <v>12379026.048939191</v>
      </c>
    </row>
    <row r="9" spans="1:9" ht="15.75" customHeight="1" x14ac:dyDescent="0.25">
      <c r="A9" s="5">
        <f t="shared" si="3"/>
        <v>2031</v>
      </c>
      <c r="B9" s="49">
        <v>1774307</v>
      </c>
      <c r="C9" s="50">
        <v>3250574.5</v>
      </c>
      <c r="D9" s="50">
        <v>5272361.5</v>
      </c>
      <c r="E9" s="50">
        <v>3983756.0000000005</v>
      </c>
      <c r="F9" s="50">
        <v>2344194.5</v>
      </c>
      <c r="G9" s="17">
        <f t="shared" si="0"/>
        <v>14850886.5</v>
      </c>
      <c r="H9" s="17">
        <f t="shared" si="1"/>
        <v>2047162.9708058548</v>
      </c>
      <c r="I9" s="17">
        <f t="shared" si="2"/>
        <v>12803723.529194145</v>
      </c>
    </row>
    <row r="10" spans="1:9" ht="15.75" customHeight="1" x14ac:dyDescent="0.25">
      <c r="A10" s="5">
        <f t="shared" si="3"/>
        <v>2032</v>
      </c>
      <c r="B10" s="49">
        <v>1777142</v>
      </c>
      <c r="C10" s="50">
        <v>3298205</v>
      </c>
      <c r="D10" s="50">
        <v>5372209.5</v>
      </c>
      <c r="E10" s="50">
        <v>4132426.9999999995</v>
      </c>
      <c r="F10" s="50">
        <v>2483043.5</v>
      </c>
      <c r="G10" s="17">
        <f t="shared" si="0"/>
        <v>15285885</v>
      </c>
      <c r="H10" s="17">
        <f t="shared" si="1"/>
        <v>2050433.9419637404</v>
      </c>
      <c r="I10" s="17">
        <f t="shared" si="2"/>
        <v>13235451.05803626</v>
      </c>
    </row>
    <row r="11" spans="1:9" ht="15.75" customHeight="1" x14ac:dyDescent="0.25">
      <c r="A11" s="5">
        <f t="shared" si="3"/>
        <v>2033</v>
      </c>
      <c r="B11" s="49">
        <v>1775279</v>
      </c>
      <c r="C11" s="50">
        <v>3349835.5</v>
      </c>
      <c r="D11" s="50">
        <v>5472117</v>
      </c>
      <c r="E11" s="50">
        <v>4274846</v>
      </c>
      <c r="F11" s="50">
        <v>2628769</v>
      </c>
      <c r="G11" s="17">
        <f t="shared" si="0"/>
        <v>15725567.5</v>
      </c>
      <c r="H11" s="17">
        <f t="shared" si="1"/>
        <v>2048284.4466314155</v>
      </c>
      <c r="I11" s="17">
        <f t="shared" si="2"/>
        <v>13677283.053368585</v>
      </c>
    </row>
    <row r="12" spans="1:9" ht="15.75" customHeight="1" x14ac:dyDescent="0.25">
      <c r="A12" s="5">
        <f t="shared" si="3"/>
        <v>2034</v>
      </c>
      <c r="B12" s="49">
        <v>1777616</v>
      </c>
      <c r="C12" s="50">
        <v>3411227</v>
      </c>
      <c r="D12" s="50">
        <v>5570642</v>
      </c>
      <c r="E12" s="50">
        <v>4407521</v>
      </c>
      <c r="F12" s="50">
        <v>2781966.0000000005</v>
      </c>
      <c r="G12" s="17">
        <f t="shared" si="0"/>
        <v>16171356</v>
      </c>
      <c r="H12" s="17">
        <f t="shared" si="1"/>
        <v>2050980.8344959584</v>
      </c>
      <c r="I12" s="17">
        <f t="shared" si="2"/>
        <v>14120375.165504042</v>
      </c>
    </row>
    <row r="13" spans="1:9" ht="15.75" customHeight="1" x14ac:dyDescent="0.25">
      <c r="A13" s="5">
        <f t="shared" si="3"/>
        <v>2035</v>
      </c>
      <c r="B13" s="49">
        <v>1781575</v>
      </c>
      <c r="C13" s="50">
        <v>3482031</v>
      </c>
      <c r="D13" s="50">
        <v>5667859.5000000009</v>
      </c>
      <c r="E13" s="50">
        <v>4530098.5</v>
      </c>
      <c r="F13" s="50">
        <v>2942194.9999999995</v>
      </c>
      <c r="G13" s="17">
        <f t="shared" si="0"/>
        <v>16622184</v>
      </c>
      <c r="H13" s="17">
        <f t="shared" si="1"/>
        <v>2055548.656299863</v>
      </c>
      <c r="I13" s="17">
        <f t="shared" si="2"/>
        <v>14566635.343700137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JcdiChwiLCveNvxZTScXig7ejrc/h6hKViPpdOVN7yYlScO0twHcnIbovyONSujhErhi7Z9f5SssBkX6ZygKQ==" saltValue="LfrwXemg7KcJfx1vXazpr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1.0454372387745971E-2</v>
      </c>
    </row>
    <row r="4" spans="1:8" ht="15.75" customHeight="1" x14ac:dyDescent="0.25">
      <c r="B4" s="19" t="s">
        <v>116</v>
      </c>
      <c r="C4" s="101">
        <v>5.7447537664464247E-2</v>
      </c>
    </row>
    <row r="5" spans="1:8" ht="15.75" customHeight="1" x14ac:dyDescent="0.25">
      <c r="B5" s="19" t="s">
        <v>114</v>
      </c>
      <c r="C5" s="101">
        <v>7.8656835258910388E-2</v>
      </c>
    </row>
    <row r="6" spans="1:8" ht="15.75" customHeight="1" x14ac:dyDescent="0.25">
      <c r="B6" s="19" t="s">
        <v>110</v>
      </c>
      <c r="C6" s="101">
        <v>0.24881278132399531</v>
      </c>
    </row>
    <row r="7" spans="1:8" ht="15.75" customHeight="1" x14ac:dyDescent="0.25">
      <c r="B7" s="19" t="s">
        <v>115</v>
      </c>
      <c r="C7" s="101">
        <v>0.41129992498193729</v>
      </c>
    </row>
    <row r="8" spans="1:8" ht="15.75" customHeight="1" x14ac:dyDescent="0.25">
      <c r="B8" s="19" t="s">
        <v>117</v>
      </c>
      <c r="C8" s="101">
        <v>1.509972556784409E-3</v>
      </c>
    </row>
    <row r="9" spans="1:8" ht="15.75" customHeight="1" x14ac:dyDescent="0.25">
      <c r="B9" s="19" t="s">
        <v>111</v>
      </c>
      <c r="C9" s="101">
        <v>7.6515821923355931E-2</v>
      </c>
    </row>
    <row r="10" spans="1:8" ht="15.75" customHeight="1" x14ac:dyDescent="0.25">
      <c r="B10" s="19" t="s">
        <v>113</v>
      </c>
      <c r="C10" s="101">
        <v>0.11530275390280641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9.8470266485110883E-2</v>
      </c>
      <c r="D14" s="55">
        <v>9.8470266485110883E-2</v>
      </c>
      <c r="E14" s="55">
        <v>9.8470266485110883E-2</v>
      </c>
      <c r="F14" s="55">
        <v>9.8470266485110883E-2</v>
      </c>
    </row>
    <row r="15" spans="1:8" ht="15.75" customHeight="1" x14ac:dyDescent="0.25">
      <c r="B15" s="19" t="s">
        <v>121</v>
      </c>
      <c r="C15" s="101">
        <v>0.15892959747947849</v>
      </c>
      <c r="D15" s="101">
        <v>0.15892959747947849</v>
      </c>
      <c r="E15" s="101">
        <v>0.15892959747947849</v>
      </c>
      <c r="F15" s="101">
        <v>0.15892959747947849</v>
      </c>
    </row>
    <row r="16" spans="1:8" ht="15.75" customHeight="1" x14ac:dyDescent="0.25">
      <c r="B16" s="19" t="s">
        <v>2</v>
      </c>
      <c r="C16" s="101">
        <v>3.1766896862756487E-2</v>
      </c>
      <c r="D16" s="101">
        <v>3.1766896862756487E-2</v>
      </c>
      <c r="E16" s="101">
        <v>3.1766896862756487E-2</v>
      </c>
      <c r="F16" s="101">
        <v>3.1766896862756487E-2</v>
      </c>
    </row>
    <row r="17" spans="1:8" ht="15.75" customHeight="1" x14ac:dyDescent="0.25">
      <c r="B17" s="19" t="s">
        <v>109</v>
      </c>
      <c r="C17" s="101">
        <v>7.9758861633680775E-3</v>
      </c>
      <c r="D17" s="101">
        <v>7.9758861633680775E-3</v>
      </c>
      <c r="E17" s="101">
        <v>7.9758861633680775E-3</v>
      </c>
      <c r="F17" s="101">
        <v>7.9758861633680775E-3</v>
      </c>
    </row>
    <row r="18" spans="1:8" ht="15.75" customHeight="1" x14ac:dyDescent="0.25">
      <c r="B18" s="19" t="s">
        <v>3</v>
      </c>
      <c r="C18" s="101">
        <v>0.2244074142638485</v>
      </c>
      <c r="D18" s="101">
        <v>0.2244074142638485</v>
      </c>
      <c r="E18" s="101">
        <v>0.2244074142638485</v>
      </c>
      <c r="F18" s="101">
        <v>0.2244074142638485</v>
      </c>
    </row>
    <row r="19" spans="1:8" ht="15.75" customHeight="1" x14ac:dyDescent="0.25">
      <c r="B19" s="19" t="s">
        <v>120</v>
      </c>
      <c r="C19" s="101">
        <v>4.7191213219728113E-2</v>
      </c>
      <c r="D19" s="101">
        <v>4.7191213219728113E-2</v>
      </c>
      <c r="E19" s="101">
        <v>4.7191213219728113E-2</v>
      </c>
      <c r="F19" s="101">
        <v>4.7191213219728113E-2</v>
      </c>
    </row>
    <row r="20" spans="1:8" ht="15.75" customHeight="1" x14ac:dyDescent="0.25">
      <c r="B20" s="19" t="s">
        <v>98</v>
      </c>
      <c r="C20" s="101">
        <v>0.10703010014399091</v>
      </c>
      <c r="D20" s="101">
        <v>0.10703010014399091</v>
      </c>
      <c r="E20" s="101">
        <v>0.10703010014399091</v>
      </c>
      <c r="F20" s="101">
        <v>0.10703010014399091</v>
      </c>
    </row>
    <row r="21" spans="1:8" ht="15.75" customHeight="1" x14ac:dyDescent="0.25">
      <c r="B21" s="19" t="s">
        <v>107</v>
      </c>
      <c r="C21" s="101">
        <v>0.104515186544913</v>
      </c>
      <c r="D21" s="101">
        <v>0.104515186544913</v>
      </c>
      <c r="E21" s="101">
        <v>0.104515186544913</v>
      </c>
      <c r="F21" s="101">
        <v>0.104515186544913</v>
      </c>
    </row>
    <row r="22" spans="1:8" ht="15.75" customHeight="1" x14ac:dyDescent="0.25">
      <c r="B22" s="19" t="s">
        <v>118</v>
      </c>
      <c r="C22" s="101">
        <v>0.21971343883680561</v>
      </c>
      <c r="D22" s="101">
        <v>0.21971343883680561</v>
      </c>
      <c r="E22" s="101">
        <v>0.21971343883680561</v>
      </c>
      <c r="F22" s="101">
        <v>0.21971343883680561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8.465819899999999E-2</v>
      </c>
    </row>
    <row r="27" spans="1:8" ht="15.75" customHeight="1" x14ac:dyDescent="0.25">
      <c r="B27" s="19" t="s">
        <v>108</v>
      </c>
      <c r="C27" s="101">
        <v>8.3993499999999999E-3</v>
      </c>
    </row>
    <row r="28" spans="1:8" ht="15.75" customHeight="1" x14ac:dyDescent="0.25">
      <c r="B28" s="19" t="s">
        <v>122</v>
      </c>
      <c r="C28" s="101">
        <v>0.14948149299999999</v>
      </c>
    </row>
    <row r="29" spans="1:8" ht="15.75" customHeight="1" x14ac:dyDescent="0.25">
      <c r="B29" s="19" t="s">
        <v>105</v>
      </c>
      <c r="C29" s="101">
        <v>0.16164467800000001</v>
      </c>
    </row>
    <row r="30" spans="1:8" ht="15.75" customHeight="1" x14ac:dyDescent="0.25">
      <c r="B30" s="19" t="s">
        <v>4</v>
      </c>
      <c r="C30" s="101">
        <v>0.100545357</v>
      </c>
    </row>
    <row r="31" spans="1:8" ht="15.75" customHeight="1" x14ac:dyDescent="0.25">
      <c r="B31" s="19" t="s">
        <v>99</v>
      </c>
      <c r="C31" s="101">
        <v>0.10497287399999999</v>
      </c>
    </row>
    <row r="32" spans="1:8" ht="15.75" customHeight="1" x14ac:dyDescent="0.25">
      <c r="B32" s="19" t="s">
        <v>104</v>
      </c>
      <c r="C32" s="101">
        <v>1.7941111999999999E-2</v>
      </c>
    </row>
    <row r="33" spans="2:3" ht="15.75" customHeight="1" x14ac:dyDescent="0.25">
      <c r="B33" s="19" t="s">
        <v>119</v>
      </c>
      <c r="C33" s="101">
        <v>8.1330947000000015E-2</v>
      </c>
    </row>
    <row r="34" spans="2:3" ht="15.75" customHeight="1" x14ac:dyDescent="0.25">
      <c r="B34" s="19" t="s">
        <v>106</v>
      </c>
      <c r="C34" s="101">
        <v>0.29102599000000001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7ZOkeNZvD40aPjY361R3Wml5Afj1qA4MyIgOQp19DvJqTGiE2h42nS85/XfQR1EnBmZ6N7MnekpuRwEjDdjZMA==" saltValue="LdC0zoTSaa5KSNJO38s70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0.57136451874849459</v>
      </c>
      <c r="D2" s="52">
        <f>IFERROR(1-_xlfn.NORM.DIST(_xlfn.NORM.INV(SUM(D4:D5), 0, 1) + 1, 0, 1, TRUE), "")</f>
        <v>0.57136451874849459</v>
      </c>
      <c r="E2" s="52">
        <f>IFERROR(1-_xlfn.NORM.DIST(_xlfn.NORM.INV(SUM(E4:E5), 0, 1) + 1, 0, 1, TRUE), "")</f>
        <v>0.49433250015080032</v>
      </c>
      <c r="F2" s="52">
        <f>IFERROR(1-_xlfn.NORM.DIST(_xlfn.NORM.INV(SUM(F4:F5), 0, 1) + 1, 0, 1, TRUE), "")</f>
        <v>0.26369695897581602</v>
      </c>
      <c r="G2" s="52">
        <f>IFERROR(1-_xlfn.NORM.DIST(_xlfn.NORM.INV(SUM(G4:G5), 0, 1) + 1, 0, 1, TRUE), "")</f>
        <v>0.30446012633115127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0.30960538125150538</v>
      </c>
      <c r="D3" s="52">
        <f>IFERROR(_xlfn.NORM.DIST(_xlfn.NORM.INV(SUM(D4:D5), 0, 1) + 1, 0, 1, TRUE) - SUM(D4:D5), "")</f>
        <v>0.30960538125150538</v>
      </c>
      <c r="E3" s="52">
        <f>IFERROR(_xlfn.NORM.DIST(_xlfn.NORM.INV(SUM(E4:E5), 0, 1) + 1, 0, 1, TRUE) - SUM(E4:E5), "")</f>
        <v>0.34355019984919966</v>
      </c>
      <c r="F3" s="52">
        <f>IFERROR(_xlfn.NORM.DIST(_xlfn.NORM.INV(SUM(F4:F5), 0, 1) + 1, 0, 1, TRUE) - SUM(F4:F5), "")</f>
        <v>0.37987044102418399</v>
      </c>
      <c r="G3" s="52">
        <f>IFERROR(_xlfn.NORM.DIST(_xlfn.NORM.INV(SUM(G4:G5), 0, 1) + 1, 0, 1, TRUE) - SUM(G4:G5), "")</f>
        <v>0.38290117366884874</v>
      </c>
    </row>
    <row r="4" spans="1:15" ht="15.75" customHeight="1" x14ac:dyDescent="0.25">
      <c r="B4" s="5" t="s">
        <v>129</v>
      </c>
      <c r="C4" s="45">
        <v>6.6479299999999991E-2</v>
      </c>
      <c r="D4" s="53">
        <v>6.6479299999999991E-2</v>
      </c>
      <c r="E4" s="53">
        <v>0.10856789999999999</v>
      </c>
      <c r="F4" s="53">
        <v>0.25645580000000001</v>
      </c>
      <c r="G4" s="53">
        <v>0.20781269999999999</v>
      </c>
    </row>
    <row r="5" spans="1:15" ht="15.75" customHeight="1" x14ac:dyDescent="0.25">
      <c r="B5" s="5" t="s">
        <v>125</v>
      </c>
      <c r="C5" s="45">
        <v>5.2550800000000002E-2</v>
      </c>
      <c r="D5" s="53">
        <v>5.2550800000000002E-2</v>
      </c>
      <c r="E5" s="53">
        <v>5.3549399999999997E-2</v>
      </c>
      <c r="F5" s="53">
        <v>9.9976800000000005E-2</v>
      </c>
      <c r="G5" s="53">
        <v>0.104826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0.66632997723076803</v>
      </c>
      <c r="D8" s="52">
        <f>IFERROR(1-_xlfn.NORM.DIST(_xlfn.NORM.INV(SUM(D10:D11), 0, 1) + 1, 0, 1, TRUE), "")</f>
        <v>0.66632997723076803</v>
      </c>
      <c r="E8" s="52">
        <f>IFERROR(1-_xlfn.NORM.DIST(_xlfn.NORM.INV(SUM(E10:E11), 0, 1) + 1, 0, 1, TRUE), "")</f>
        <v>0.63871667577331825</v>
      </c>
      <c r="F8" s="52">
        <f>IFERROR(1-_xlfn.NORM.DIST(_xlfn.NORM.INV(SUM(F10:F11), 0, 1) + 1, 0, 1, TRUE), "")</f>
        <v>0.77464917691048696</v>
      </c>
      <c r="G8" s="52">
        <f>IFERROR(1-_xlfn.NORM.DIST(_xlfn.NORM.INV(SUM(G10:G11), 0, 1) + 1, 0, 1, TRUE), "")</f>
        <v>0.85977586844204978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0.25728302276923198</v>
      </c>
      <c r="D9" s="52">
        <f>IFERROR(_xlfn.NORM.DIST(_xlfn.NORM.INV(SUM(D10:D11), 0, 1) + 1, 0, 1, TRUE) - SUM(D10:D11), "")</f>
        <v>0.25728302276923198</v>
      </c>
      <c r="E9" s="52">
        <f>IFERROR(_xlfn.NORM.DIST(_xlfn.NORM.INV(SUM(E10:E11), 0, 1) + 1, 0, 1, TRUE) - SUM(E10:E11), "")</f>
        <v>0.27357942422668174</v>
      </c>
      <c r="F9" s="52">
        <f>IFERROR(_xlfn.NORM.DIST(_xlfn.NORM.INV(SUM(F10:F11), 0, 1) + 1, 0, 1, TRUE) - SUM(F10:F11), "")</f>
        <v>0.18565662308951303</v>
      </c>
      <c r="G9" s="52">
        <f>IFERROR(_xlfn.NORM.DIST(_xlfn.NORM.INV(SUM(G10:G11), 0, 1) + 1, 0, 1, TRUE) - SUM(G10:G11), "")</f>
        <v>0.12142983155795027</v>
      </c>
    </row>
    <row r="10" spans="1:15" ht="15.75" customHeight="1" x14ac:dyDescent="0.25">
      <c r="B10" s="5" t="s">
        <v>126</v>
      </c>
      <c r="C10" s="45">
        <v>3.0151500000000001E-2</v>
      </c>
      <c r="D10" s="53">
        <v>3.0151500000000001E-2</v>
      </c>
      <c r="E10" s="53">
        <v>5.5620599999999999E-2</v>
      </c>
      <c r="F10" s="53">
        <v>2.6669499999999999E-2</v>
      </c>
      <c r="G10" s="53">
        <v>1.3421600000000001E-2</v>
      </c>
    </row>
    <row r="11" spans="1:15" ht="15.75" customHeight="1" x14ac:dyDescent="0.25">
      <c r="B11" s="5" t="s">
        <v>138</v>
      </c>
      <c r="C11" s="45">
        <v>4.6235499999999999E-2</v>
      </c>
      <c r="D11" s="53">
        <v>4.6235499999999999E-2</v>
      </c>
      <c r="E11" s="53">
        <v>3.2083300000000002E-2</v>
      </c>
      <c r="F11" s="53">
        <v>1.30247E-2</v>
      </c>
      <c r="G11" s="53">
        <v>5.3727000000000002E-3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0.61790281525000001</v>
      </c>
      <c r="D14" s="54">
        <v>0.60589571573699996</v>
      </c>
      <c r="E14" s="54">
        <v>0.60589571573699996</v>
      </c>
      <c r="F14" s="54">
        <v>0.48655756599299999</v>
      </c>
      <c r="G14" s="54">
        <v>0.48655756599299999</v>
      </c>
      <c r="H14" s="45">
        <v>0.34300000000000003</v>
      </c>
      <c r="I14" s="55">
        <v>0.34300000000000003</v>
      </c>
      <c r="J14" s="55">
        <v>0.34300000000000003</v>
      </c>
      <c r="K14" s="55">
        <v>0.34300000000000003</v>
      </c>
      <c r="L14" s="45">
        <v>0.27800000000000002</v>
      </c>
      <c r="M14" s="55">
        <v>0.27800000000000002</v>
      </c>
      <c r="N14" s="55">
        <v>0.27800000000000002</v>
      </c>
      <c r="O14" s="55">
        <v>0.27800000000000002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0.30941607054206799</v>
      </c>
      <c r="D15" s="52">
        <f t="shared" si="0"/>
        <v>0.30340349144673417</v>
      </c>
      <c r="E15" s="52">
        <f t="shared" si="0"/>
        <v>0.30340349144673417</v>
      </c>
      <c r="F15" s="52">
        <f t="shared" si="0"/>
        <v>0.24364467428612671</v>
      </c>
      <c r="G15" s="52">
        <f t="shared" si="0"/>
        <v>0.24364467428612671</v>
      </c>
      <c r="H15" s="52">
        <f t="shared" si="0"/>
        <v>0.171757936</v>
      </c>
      <c r="I15" s="52">
        <f t="shared" si="0"/>
        <v>0.171757936</v>
      </c>
      <c r="J15" s="52">
        <f t="shared" si="0"/>
        <v>0.171757936</v>
      </c>
      <c r="K15" s="52">
        <f t="shared" si="0"/>
        <v>0.171757936</v>
      </c>
      <c r="L15" s="52">
        <f t="shared" si="0"/>
        <v>0.139209056</v>
      </c>
      <c r="M15" s="52">
        <f t="shared" si="0"/>
        <v>0.139209056</v>
      </c>
      <c r="N15" s="52">
        <f t="shared" si="0"/>
        <v>0.139209056</v>
      </c>
      <c r="O15" s="52">
        <f t="shared" si="0"/>
        <v>0.139209056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LI1REuKCqBiv308z6s9Hrn9oVX0MJSwVF4E5IPNbyupQATPfKbI23S1Vhu5r2rBcZFEzNPlrOLjQs6MbQZ5jA==" saltValue="RSUmm3cTxQ3g6RNFrkOz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0.82565319999999998</v>
      </c>
      <c r="D2" s="53">
        <v>0.61310370000000003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0.1080069</v>
      </c>
      <c r="D3" s="53">
        <v>0.14213190000000001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4.8775399999999997E-2</v>
      </c>
      <c r="D4" s="53">
        <v>0.22090190000000001</v>
      </c>
      <c r="E4" s="53">
        <v>0.95953670000000002</v>
      </c>
      <c r="F4" s="53">
        <v>0.66894530000000008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1.7564499999999983E-2</v>
      </c>
      <c r="D5" s="52">
        <f t="shared" si="0"/>
        <v>2.3862500000000009E-2</v>
      </c>
      <c r="E5" s="52">
        <f>1-SUM(E2:E4)</f>
        <v>4.046329999999998E-2</v>
      </c>
      <c r="F5" s="52">
        <f>1-SUM(F2:F4)</f>
        <v>0.33105469999999992</v>
      </c>
      <c r="G5" s="52">
        <f>1-SUM(G2:G4)</f>
        <v>1</v>
      </c>
    </row>
  </sheetData>
  <sheetProtection algorithmName="SHA-512" hashValue="esqt/Zu3sKarDYDAoAsJOKPPRU6pclfwDNmExT2O5JbX3hQFxkQ7rfjNDYPNbuP8Gx0sf/O6VetzcYTfVwB/Vg==" saltValue="2x4E0H5n/wlZ4aMGeMgKT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WdfnI7qJg39IUeUK1PjGHXWNGaajBhYYe2+8d+lv4wy2IlxUS67Xlv0JnL0wAE2w/0pckr3UpTfeLj7EqyZNlg==" saltValue="eLJYDxsdVbdPgl0GVR3R7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964.39586947645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0.39256999999999997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0.68444999999999989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1.5094316499999998E-2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95463.978789999994</v>
      </c>
      <c r="C22" s="109">
        <v>94644.600479999994</v>
      </c>
      <c r="D22" s="109">
        <v>94127.057509999999</v>
      </c>
      <c r="E22" s="109">
        <v>93507.416930000007</v>
      </c>
      <c r="F22" s="109">
        <v>92720.027900000001</v>
      </c>
      <c r="G22" s="109">
        <v>91727.476999999999</v>
      </c>
      <c r="H22" s="109">
        <v>90398.948910000006</v>
      </c>
      <c r="I22" s="109">
        <v>88630.066300000006</v>
      </c>
      <c r="J22" s="109">
        <v>86228.513179999994</v>
      </c>
      <c r="K22" s="109">
        <v>83097.817949999997</v>
      </c>
      <c r="L22" s="109">
        <v>78799.270019999996</v>
      </c>
      <c r="M22" s="109">
        <v>73242.03211</v>
      </c>
      <c r="N22" s="109">
        <v>65760.368690000003</v>
      </c>
      <c r="O22" s="109">
        <v>56228.337090000001</v>
      </c>
    </row>
  </sheetData>
  <sheetProtection algorithmName="SHA-512" hashValue="EU2tzx9BrNjxObAbFUOckXQnMxXPArtCmOUd2zD1SW13KhRkKKgJpCaCS5O956tVy87magYaAjfe38qZKN361Q==" saltValue="F1bQaCvzTu+tkOAXtQS2W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ENdm2d8wYingYzij+FFh72jIaSoVKnYgiqmiZzXc4j7el8XlXMwvMCewi8CwQClO5XyGumgDX1KV31Fwfytnuw==" saltValue="YjEuDKmbWJIH5LIKUwCJi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9jjL74yGIhdTzi74OW/uRuBCrJLC0EPEMCsQ8wOBLVq3Xfqp3gtCaPnf08o3k/j9BT8yYYQqo9+8WDqQd4KCEw==" saltValue="PeiH3xSJKm6UIfFelniG3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8.76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0.20312891796129737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0.2257797</v>
      </c>
      <c r="C10" s="98">
        <v>0.95</v>
      </c>
      <c r="D10" s="56">
        <v>13.48044806079821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13.48044806079821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13.48044806079821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13.48044806079821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0.23350000000000001</v>
      </c>
      <c r="C14" s="98">
        <v>0.95</v>
      </c>
      <c r="D14" s="56">
        <v>2.678762605614609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13.48044806079821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0.74299999999999999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3.8644699999999997E-2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6.0000000000000001E-3</v>
      </c>
      <c r="C18" s="98">
        <v>0.95</v>
      </c>
      <c r="D18" s="56">
        <v>8.7599345870809486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0.61310370000000003</v>
      </c>
      <c r="C19" s="98">
        <v>0.95</v>
      </c>
      <c r="D19" s="56">
        <v>1.4452504614591219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8.76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0.84200000000000008</v>
      </c>
      <c r="C23" s="98">
        <v>0.95</v>
      </c>
      <c r="D23" s="56">
        <v>4.4240020217934282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0.40880527835160002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3.3008449168710823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0.46719699999999997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0.25735599999999997</v>
      </c>
      <c r="C29" s="98">
        <v>0.95</v>
      </c>
      <c r="D29" s="56">
        <v>85.490303613946011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61.846785225718193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2.75E-2</v>
      </c>
      <c r="C31" s="98">
        <v>0.95</v>
      </c>
      <c r="D31" s="56">
        <v>110.71795584627964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0.61599999999999999</v>
      </c>
      <c r="C32" s="98">
        <v>0.95</v>
      </c>
      <c r="D32" s="56">
        <v>0.20312891796129737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0.30904199999999998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0.76286109999999996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6.5722000000000003E-3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0.23402229999999999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0.40267940000000002</v>
      </c>
      <c r="C38" s="98">
        <v>0.95</v>
      </c>
      <c r="D38" s="56">
        <v>1.1426001635322978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fhy4JaINzGYWpw5dzxv9QMsSBMhCs3DU9PSAL2AMarE+rfQgaRyrJznw1/ZlhOeG66KuupGWXZJ+9jzjnFHAgg==" saltValue="Kd0ICPcHnxumLYZ/W2xA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EGoLocUHwXCjF4wkhuqP2/R2l4Lil9sYLzCAE3ZzoFVdxaSbQ+Y9zm6lJjLMaaU9Xi6M2UNiBivCX1/EuP6Qg==" saltValue="XZCJYvsGyhXpoKFQengsA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MFWWFDufEL8zj51vJ/p2xK4vmzVoAE6pO2KuhQw5VtuoyLaf97WaDPlqyaaEm/D7EAJNbqfr1S3W1DOSscAgnQ==" saltValue="411hSmHbsnRTRaewZaGXk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4.992</v>
      </c>
      <c r="C2" s="21">
        <f>'Entradas de población-año base'!C52</f>
        <v>4.992</v>
      </c>
      <c r="D2" s="21">
        <f>'Entradas de población-año base'!C53</f>
        <v>10.218</v>
      </c>
      <c r="E2" s="21">
        <f>'Entradas de población-año base'!C54</f>
        <v>8.0340000000000007</v>
      </c>
      <c r="F2" s="21">
        <f>'Entradas de población-año base'!C55</f>
        <v>3.163333333333334</v>
      </c>
    </row>
    <row r="3" spans="1:6" ht="15.75" customHeight="1" x14ac:dyDescent="0.25">
      <c r="A3" s="3" t="s">
        <v>6</v>
      </c>
      <c r="B3" s="21">
        <f>frac_mam_1month * 2.6</f>
        <v>7.8393900000000002E-2</v>
      </c>
      <c r="C3" s="21">
        <f>frac_mam_1_5months * 2.6</f>
        <v>7.8393900000000002E-2</v>
      </c>
      <c r="D3" s="21">
        <f>frac_mam_6_11months * 2.6</f>
        <v>0.14461356</v>
      </c>
      <c r="E3" s="21">
        <f>frac_mam_12_23months * 2.6</f>
        <v>6.9340700000000005E-2</v>
      </c>
      <c r="F3" s="21">
        <f>frac_mam_24_59months * 2.6</f>
        <v>3.4896160000000002E-2</v>
      </c>
    </row>
    <row r="4" spans="1:6" ht="15.75" customHeight="1" x14ac:dyDescent="0.25">
      <c r="A4" s="3" t="s">
        <v>236</v>
      </c>
      <c r="B4" s="21">
        <f>frac_sam_1month * 2.6</f>
        <v>0.12021229999999999</v>
      </c>
      <c r="C4" s="21">
        <f>frac_sam_1_5months * 2.6</f>
        <v>0.12021229999999999</v>
      </c>
      <c r="D4" s="21">
        <f>frac_sam_6_11months * 2.6</f>
        <v>8.3416580000000004E-2</v>
      </c>
      <c r="E4" s="21">
        <f>frac_sam_12_23months * 2.6</f>
        <v>3.386422E-2</v>
      </c>
      <c r="F4" s="21">
        <f>frac_sam_24_59months * 2.6</f>
        <v>1.396902E-2</v>
      </c>
    </row>
  </sheetData>
  <sheetProtection algorithmName="SHA-512" hashValue="Y/eR8uxruszjAvbDWGb35jk/VZpM7j5dDJvVOXdk/A0NF9jCk7aR0B1PupzHh6DP7CsTXUoYrLFQn1JnRlAaMw==" saltValue="IXKudPkIaiyTT89vxnSZE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0.20300000000000001</v>
      </c>
      <c r="F2" s="60">
        <f>food_insecure</f>
        <v>0.20300000000000001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0.20300000000000001</v>
      </c>
      <c r="F5" s="60">
        <f>food_insecure</f>
        <v>0.20300000000000001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0.10891636363636364</v>
      </c>
      <c r="D7" s="60">
        <f>diarrhoea_1_5mo*frac_diarrhea_severe</f>
        <v>0.10891636363636364</v>
      </c>
      <c r="E7" s="60">
        <f>diarrhoea_6_11mo*frac_diarrhea_severe</f>
        <v>0.22293818181818184</v>
      </c>
      <c r="F7" s="60">
        <f>diarrhoea_12_23mo*frac_diarrhea_severe</f>
        <v>0.17528727272727276</v>
      </c>
      <c r="G7" s="60">
        <f>diarrhoea_24_59mo*frac_diarrhea_severe</f>
        <v>6.901818181818184E-2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0.20300000000000001</v>
      </c>
      <c r="F8" s="60">
        <f>food_insecure</f>
        <v>0.20300000000000001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0.20300000000000001</v>
      </c>
      <c r="F9" s="60">
        <f>food_insecure</f>
        <v>0.20300000000000001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0.10891636363636364</v>
      </c>
      <c r="D12" s="60">
        <f>diarrhoea_1_5mo*frac_diarrhea_severe</f>
        <v>0.10891636363636364</v>
      </c>
      <c r="E12" s="60">
        <f>diarrhoea_6_11mo*frac_diarrhea_severe</f>
        <v>0.22293818181818184</v>
      </c>
      <c r="F12" s="60">
        <f>diarrhoea_12_23mo*frac_diarrhea_severe</f>
        <v>0.17528727272727276</v>
      </c>
      <c r="G12" s="60">
        <f>diarrhoea_24_59mo*frac_diarrhea_severe</f>
        <v>6.901818181818184E-2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0.20300000000000001</v>
      </c>
      <c r="I15" s="60">
        <f t="shared" si="0"/>
        <v>0.20300000000000001</v>
      </c>
      <c r="J15" s="60">
        <f t="shared" si="0"/>
        <v>0.20300000000000001</v>
      </c>
      <c r="K15" s="60">
        <f t="shared" si="0"/>
        <v>0.20300000000000001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0.20300000000000001</v>
      </c>
      <c r="I16" s="60">
        <f t="shared" si="0"/>
        <v>0.20300000000000001</v>
      </c>
      <c r="J16" s="60">
        <f t="shared" si="0"/>
        <v>0.20300000000000001</v>
      </c>
      <c r="K16" s="60">
        <f t="shared" si="0"/>
        <v>0.20300000000000001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0.73</v>
      </c>
      <c r="I19" s="60">
        <f>frac_malaria_risk</f>
        <v>0.73</v>
      </c>
      <c r="J19" s="60">
        <f>frac_malaria_risk</f>
        <v>0.73</v>
      </c>
      <c r="K19" s="60">
        <f>frac_malaria_risk</f>
        <v>0.73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</v>
      </c>
      <c r="M24" s="60">
        <f>famplan_unmet_need</f>
        <v>0.15</v>
      </c>
      <c r="N24" s="60">
        <f>famplan_unmet_need</f>
        <v>0.15</v>
      </c>
      <c r="O24" s="60">
        <f>famplan_unmet_need</f>
        <v>0.15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0.35897493093159599</v>
      </c>
      <c r="M25" s="60">
        <f>(1-food_insecure)*(0.49)+food_insecure*(0.7)</f>
        <v>0.53262999999999994</v>
      </c>
      <c r="N25" s="60">
        <f>(1-food_insecure)*(0.49)+food_insecure*(0.7)</f>
        <v>0.53262999999999994</v>
      </c>
      <c r="O25" s="60">
        <f>(1-food_insecure)*(0.49)+food_insecure*(0.7)</f>
        <v>0.53262999999999994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0.15384639897068403</v>
      </c>
      <c r="M26" s="60">
        <f>(1-food_insecure)*(0.21)+food_insecure*(0.3)</f>
        <v>0.22827</v>
      </c>
      <c r="N26" s="60">
        <f>(1-food_insecure)*(0.21)+food_insecure*(0.3)</f>
        <v>0.22827</v>
      </c>
      <c r="O26" s="60">
        <f>(1-food_insecure)*(0.21)+food_insecure*(0.3)</f>
        <v>0.22827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0.16114545929772001</v>
      </c>
      <c r="M27" s="60">
        <f>(1-food_insecure)*(0.3)</f>
        <v>0.23909999999999998</v>
      </c>
      <c r="N27" s="60">
        <f>(1-food_insecure)*(0.3)</f>
        <v>0.23909999999999998</v>
      </c>
      <c r="O27" s="60">
        <f>(1-food_insecure)*(0.3)</f>
        <v>0.23909999999999998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0.73</v>
      </c>
      <c r="D34" s="60">
        <f t="shared" si="4"/>
        <v>0.73</v>
      </c>
      <c r="E34" s="60">
        <f t="shared" si="4"/>
        <v>0.73</v>
      </c>
      <c r="F34" s="60">
        <f t="shared" si="4"/>
        <v>0.73</v>
      </c>
      <c r="G34" s="60">
        <f t="shared" si="4"/>
        <v>0.73</v>
      </c>
      <c r="H34" s="60">
        <f t="shared" si="4"/>
        <v>0.73</v>
      </c>
      <c r="I34" s="60">
        <f t="shared" si="4"/>
        <v>0.73</v>
      </c>
      <c r="J34" s="60">
        <f t="shared" si="4"/>
        <v>0.73</v>
      </c>
      <c r="K34" s="60">
        <f t="shared" si="4"/>
        <v>0.73</v>
      </c>
      <c r="L34" s="60">
        <f t="shared" si="4"/>
        <v>0.73</v>
      </c>
      <c r="M34" s="60">
        <f t="shared" si="4"/>
        <v>0.73</v>
      </c>
      <c r="N34" s="60">
        <f t="shared" si="4"/>
        <v>0.73</v>
      </c>
      <c r="O34" s="60">
        <f t="shared" si="4"/>
        <v>0.73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/dNWWxFRTMtfEWqGsKNGzUqq2kFxUjAdeaUgdiP5dt0GVy+iCNctRT3I8ATo+2ovGq0XgniD+K//rTwh7TFrhw==" saltValue="NbKsR8+vu+t9LcoNFBhdb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OpGO10I8HPIIUZ3bHZo7oafNqkhCxAeVSs98TrtpQNlkofmDcYCT6KVHTJJ0zkHCBCtj0UtjR35sD0xzG7EWDg==" saltValue="2JFchH7lAbaKAA6I3iyVj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/BFSdYSfQpreUprK85aMcLVhtw435qoCFbYFCx0+PLKDW7e5kq4+qmnMaU4G3zyQAOK7qi4Cj9tUaA9G8kZ1LQ==" saltValue="nibKMLLMEGItutmaR+x2r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9JX3zDq9OoJXGGZtjsUal2QP/6VPy6tWa6v5uuxHCk282+OvLI/K8OrUvCw3zXiGIsRMchIiIIJRZStQ9dx7A==" saltValue="ORIgNJNqPnGWyBIfsCEd0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z5hmkNgMrCnkj32A8EB0Swhkn0R4VCXFPn1eEh4lXKv/LND9hMO8cJT9cWeeh/nB1ztkD3zC+dVYAD0gWPkwdA==" saltValue="JqL4KtH6otZB/SKuOswbt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Vgh5qHTtcOLPhMHc0D3ty7v7fbJzbPoyYufNRyiE/oS43EitpwkLYYjADKNoqHx//1SEwHTTE7p1wXDwvJj7eg==" saltValue="Mq73p6kl7JcgnlV++v6ZC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25u1Q1Owu4I7sc2MMmFAWwdcAlU6u4MR4ahxIltS44om8Q3WApB4vPO1dsCgWIXbgwBD9sKauy37DtpyXx51Lg==" saltValue="qEdt0YcEG3K6tFUjCcc29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qGcj+4IyHyGJ/mEkaznG0S88ucAgbZ+MNMrsRa9P3VEcwKe/tQ1lp8+M6CthnyTsjrVXtFz55e56GYwpocdg4w==" saltValue="ftqhj1mgWk8Uxzl4Tct3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keMg58ZONeCQZinResl2UYYT2HkXfEAFfJrrO5CzZMUodVumybTKpJWqiUBWEeNrTnzaMOSEjPQpApTfPHqQJQ==" saltValue="QTk/pN2NtsRDyTAhgTAv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VxNyJFgvfbNmBLxzN/Q/mcL7btRPsfNtLgfleV97u8pJnifR9Sc8zs3caOXYFGpi/8puBVoLhl6NP8HW/l27A==" saltValue="qeKXuHSov6JkLcSFed3I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73ItMqvD4u+KRIwVEmays3bLnJqyxLyQqCcgJk0mv9NE9SWjbwjWoHEP1zXnqNg3Btbta5YHhYqCamrNWuHiA==" saltValue="agHEpaXm+3sw2QkIIDnm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3M5hUIyY7z9qrCJ2N6u02VkA9s1vmvoLkrkXdFrlGjA/bVBFFt6GPAt5jyRdx19JdPimmrM5vGjaRwf/VZFWvA==" saltValue="FeJW2R5KY8lNYxKBTC4i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btdNbCv4IOrjmzbsSQfGxdmQgydlFLYBDjWYbhbGoiKYWOGazDi2djvgk1j7hzJpZNYkqzcSHEm+/0FJZQ+xg==" saltValue="Lx/qS3o5B45uS0Q04F2V6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2E9cJ3XdN/MBK9deDJ1DSpS5z7QcrbN4lS0ERI1Ta0Fo6p+2uI8jnOG/8S5YObg/yc8t0sH7eCBnhJPvNrJgKA==" saltValue="CqI++bCxAIflelGaoAV+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v3Ke5ulDnDdkYMergcWPdhVOY2K8rNNLBG9FJje+WXVH5F52/X7dgilBy6XW9cG9GMp9KxuSqk2FVhHvUMQHQA==" saltValue="SMYgFIQgD6Sr2+2kwJiqV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