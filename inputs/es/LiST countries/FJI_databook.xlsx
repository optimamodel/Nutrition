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AA14895B-B4CB-41BF-B564-126E62EBD002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A39" i="2"/>
  <c r="H38" i="2"/>
  <c r="G38" i="2"/>
  <c r="A37" i="2"/>
  <c r="A36" i="2"/>
  <c r="A32" i="2"/>
  <c r="A28" i="2"/>
  <c r="A27" i="2"/>
  <c r="A23" i="2"/>
  <c r="A19" i="2"/>
  <c r="A18" i="2"/>
  <c r="I13" i="2"/>
  <c r="H13" i="2"/>
  <c r="G13" i="2"/>
  <c r="H12" i="2"/>
  <c r="G12" i="2"/>
  <c r="I12" i="2" s="1"/>
  <c r="H11" i="2"/>
  <c r="I11" i="2" s="1"/>
  <c r="G11" i="2"/>
  <c r="H10" i="2"/>
  <c r="G10" i="2"/>
  <c r="H9" i="2"/>
  <c r="I9" i="2" s="1"/>
  <c r="G9" i="2"/>
  <c r="H8" i="2"/>
  <c r="G8" i="2"/>
  <c r="I8" i="2" s="1"/>
  <c r="H7" i="2"/>
  <c r="I7" i="2" s="1"/>
  <c r="G7" i="2"/>
  <c r="H6" i="2"/>
  <c r="G6" i="2"/>
  <c r="I6" i="2" s="1"/>
  <c r="I5" i="2"/>
  <c r="H5" i="2"/>
  <c r="G5" i="2"/>
  <c r="H4" i="2"/>
  <c r="G4" i="2"/>
  <c r="I4" i="2" s="1"/>
  <c r="I3" i="2"/>
  <c r="H3" i="2"/>
  <c r="G3" i="2"/>
  <c r="A3" i="2"/>
  <c r="H2" i="2"/>
  <c r="G2" i="2"/>
  <c r="I2" i="2" s="1"/>
  <c r="A2" i="2"/>
  <c r="A40" i="2" s="1"/>
  <c r="C33" i="1"/>
  <c r="C20" i="1"/>
  <c r="A15" i="2" l="1"/>
  <c r="A24" i="2"/>
  <c r="A33" i="2"/>
  <c r="A16" i="2"/>
  <c r="A25" i="2"/>
  <c r="A34" i="2"/>
  <c r="A17" i="2"/>
  <c r="A26" i="2"/>
  <c r="A35" i="2"/>
  <c r="A20" i="2"/>
  <c r="A29" i="2"/>
  <c r="I38" i="2"/>
  <c r="I10" i="2"/>
  <c r="A21" i="2"/>
  <c r="A3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<sst xmlns="http://schemas.openxmlformats.org/spreadsheetml/2006/main" count="2101" uniqueCount="341">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</sst>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86570.662109375</v>
      </c>
    </row>
    <row r="8" spans="1:3" ht="15" customHeight="1" x14ac:dyDescent="0.25">
      <c r="B8" s="5" t="s">
        <v>44</v>
      </c>
      <c r="C8" s="44">
        <v>1.4E-2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0.87981307983398394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0.1032</v>
      </c>
    </row>
    <row r="24" spans="1:3" ht="15" customHeight="1" x14ac:dyDescent="0.25">
      <c r="B24" s="15" t="s">
        <v>46</v>
      </c>
      <c r="C24" s="45">
        <v>0.55130000000000001</v>
      </c>
    </row>
    <row r="25" spans="1:3" ht="15" customHeight="1" x14ac:dyDescent="0.25">
      <c r="B25" s="15" t="s">
        <v>47</v>
      </c>
      <c r="C25" s="45">
        <v>0.28949999999999998</v>
      </c>
    </row>
    <row r="26" spans="1:3" ht="15" customHeight="1" x14ac:dyDescent="0.25">
      <c r="B26" s="15" t="s">
        <v>48</v>
      </c>
      <c r="C26" s="45">
        <v>5.6000000000000008E-2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0.35185775257007201</v>
      </c>
    </row>
    <row r="30" spans="1:3" ht="14.25" customHeight="1" x14ac:dyDescent="0.25">
      <c r="B30" s="25" t="s">
        <v>63</v>
      </c>
      <c r="C30" s="99">
        <v>2.3858720907234902E-2</v>
      </c>
    </row>
    <row r="31" spans="1:3" ht="14.25" customHeight="1" x14ac:dyDescent="0.25">
      <c r="B31" s="25" t="s">
        <v>10</v>
      </c>
      <c r="C31" s="99">
        <v>3.4342930038455802E-2</v>
      </c>
    </row>
    <row r="32" spans="1:3" ht="14.25" customHeight="1" x14ac:dyDescent="0.25">
      <c r="B32" s="25" t="s">
        <v>11</v>
      </c>
      <c r="C32" s="99">
        <v>0.58994059648423802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13.74817</v>
      </c>
    </row>
    <row r="38" spans="1:5" ht="15" customHeight="1" x14ac:dyDescent="0.25">
      <c r="B38" s="11" t="s">
        <v>35</v>
      </c>
      <c r="C38" s="43">
        <v>23.256340000000002</v>
      </c>
      <c r="D38" s="12"/>
      <c r="E38" s="13"/>
    </row>
    <row r="39" spans="1:5" ht="15" customHeight="1" x14ac:dyDescent="0.25">
      <c r="B39" s="11" t="s">
        <v>61</v>
      </c>
      <c r="C39" s="43">
        <v>27.726030000000002</v>
      </c>
      <c r="D39" s="12"/>
      <c r="E39" s="12"/>
    </row>
    <row r="40" spans="1:5" ht="15" customHeight="1" x14ac:dyDescent="0.25">
      <c r="B40" s="11" t="s">
        <v>36</v>
      </c>
      <c r="C40" s="100">
        <v>0.38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9.1388800000000003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6.1751000000000002E-3</v>
      </c>
      <c r="D45" s="12"/>
    </row>
    <row r="46" spans="1:5" ht="15.75" customHeight="1" x14ac:dyDescent="0.25">
      <c r="B46" s="11" t="s">
        <v>51</v>
      </c>
      <c r="C46" s="45">
        <v>6.6350900000000004E-2</v>
      </c>
      <c r="D46" s="12"/>
    </row>
    <row r="47" spans="1:5" ht="15.75" customHeight="1" x14ac:dyDescent="0.25">
      <c r="B47" s="11" t="s">
        <v>59</v>
      </c>
      <c r="C47" s="45">
        <v>7.5128899999999998E-2</v>
      </c>
      <c r="D47" s="12"/>
      <c r="E47" s="13"/>
    </row>
    <row r="48" spans="1:5" ht="15" customHeight="1" x14ac:dyDescent="0.25">
      <c r="B48" s="11" t="s">
        <v>58</v>
      </c>
      <c r="C48" s="46">
        <v>0.85234509999999997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2.2000000000000002</v>
      </c>
      <c r="D51" s="12"/>
    </row>
    <row r="52" spans="1:4" ht="15" customHeight="1" x14ac:dyDescent="0.25">
      <c r="B52" s="11" t="s">
        <v>13</v>
      </c>
      <c r="C52" s="100">
        <v>2.2000000000000002</v>
      </c>
    </row>
    <row r="53" spans="1:4" ht="15.75" customHeight="1" x14ac:dyDescent="0.25">
      <c r="B53" s="11" t="s">
        <v>16</v>
      </c>
      <c r="C53" s="100">
        <v>2.2000000000000002</v>
      </c>
    </row>
    <row r="54" spans="1:4" ht="15.75" customHeight="1" x14ac:dyDescent="0.25">
      <c r="B54" s="11" t="s">
        <v>14</v>
      </c>
      <c r="C54" s="100">
        <v>2.2000000000000002</v>
      </c>
    </row>
    <row r="55" spans="1:4" ht="15.75" customHeight="1" x14ac:dyDescent="0.25">
      <c r="B55" s="11" t="s">
        <v>15</v>
      </c>
      <c r="C55" s="100">
        <v>2.2000000000000002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2.1363636363636359E-2</v>
      </c>
    </row>
    <row r="59" spans="1:4" ht="15.75" customHeight="1" x14ac:dyDescent="0.25">
      <c r="B59" s="11" t="s">
        <v>40</v>
      </c>
      <c r="C59" s="45">
        <v>0.48294500000000001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jl6jnBHHkEjLFJQg3mRLeZshqyktRxheUaF/56iDeadmd2xUabkidEio9ngyoS+/8Zbv4UxThL+hOauAu2L8Yw==" saltValue="mEjz3Bvb3L4GKXzHX4Yw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17547</v>
      </c>
      <c r="C2" s="49">
        <v>50350.5</v>
      </c>
      <c r="D2" s="49">
        <v>73658.5</v>
      </c>
      <c r="E2" s="49">
        <v>70610.5</v>
      </c>
      <c r="F2" s="49">
        <v>53865.5</v>
      </c>
      <c r="G2" s="17">
        <f t="shared" ref="G2:G13" si="0">C2+D2+E2+F2</f>
        <v>248485</v>
      </c>
      <c r="H2" s="17">
        <f t="shared" ref="H2:H13" si="1">(B2 + stillbirth*B2/(1000-stillbirth))/(1-abortion)</f>
        <v>20123.680629705934</v>
      </c>
      <c r="I2" s="17">
        <f t="shared" ref="I2:I13" si="2">G2-H2</f>
        <v>228361.31937029408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17498</v>
      </c>
      <c r="C3" s="50">
        <v>50805</v>
      </c>
      <c r="D3" s="50">
        <v>74085</v>
      </c>
      <c r="E3" s="50">
        <v>70629</v>
      </c>
      <c r="F3" s="50">
        <v>55615.5</v>
      </c>
      <c r="G3" s="17">
        <f t="shared" si="0"/>
        <v>251134.5</v>
      </c>
      <c r="H3" s="17">
        <f t="shared" si="1"/>
        <v>20067.485248680372</v>
      </c>
      <c r="I3" s="17">
        <f t="shared" si="2"/>
        <v>231067.01475131963</v>
      </c>
    </row>
    <row r="4" spans="1:9" ht="15.75" customHeight="1" x14ac:dyDescent="0.25">
      <c r="A4" s="5">
        <f t="shared" si="3"/>
        <v>2026</v>
      </c>
      <c r="B4" s="49">
        <v>17376</v>
      </c>
      <c r="C4" s="50">
        <v>51071.5</v>
      </c>
      <c r="D4" s="50">
        <v>74734.5</v>
      </c>
      <c r="E4" s="50">
        <v>70814.5</v>
      </c>
      <c r="F4" s="50">
        <v>56988.5</v>
      </c>
      <c r="G4" s="17">
        <f t="shared" si="0"/>
        <v>253609</v>
      </c>
      <c r="H4" s="17">
        <f t="shared" si="1"/>
        <v>19927.57021837182</v>
      </c>
      <c r="I4" s="17">
        <f t="shared" si="2"/>
        <v>233681.42978162819</v>
      </c>
    </row>
    <row r="5" spans="1:9" ht="15.75" customHeight="1" x14ac:dyDescent="0.25">
      <c r="A5" s="5">
        <f t="shared" si="3"/>
        <v>2027</v>
      </c>
      <c r="B5" s="49">
        <v>17363</v>
      </c>
      <c r="C5" s="50">
        <v>51193</v>
      </c>
      <c r="D5" s="50">
        <v>75717.999999999985</v>
      </c>
      <c r="E5" s="50">
        <v>70981.5</v>
      </c>
      <c r="F5" s="50">
        <v>57965</v>
      </c>
      <c r="G5" s="17">
        <f t="shared" si="0"/>
        <v>255857.5</v>
      </c>
      <c r="H5" s="17">
        <f t="shared" si="1"/>
        <v>19912.661239732381</v>
      </c>
      <c r="I5" s="17">
        <f t="shared" si="2"/>
        <v>235944.83876026762</v>
      </c>
    </row>
    <row r="6" spans="1:9" ht="15.75" customHeight="1" x14ac:dyDescent="0.25">
      <c r="A6" s="5">
        <f t="shared" si="3"/>
        <v>2028</v>
      </c>
      <c r="B6" s="49">
        <v>17344</v>
      </c>
      <c r="C6" s="50">
        <v>51289.999999999993</v>
      </c>
      <c r="D6" s="50">
        <v>76930</v>
      </c>
      <c r="E6" s="50">
        <v>70991</v>
      </c>
      <c r="F6" s="50">
        <v>58679.5</v>
      </c>
      <c r="G6" s="17">
        <f t="shared" si="0"/>
        <v>257890.5</v>
      </c>
      <c r="H6" s="17">
        <f t="shared" si="1"/>
        <v>19890.871194028594</v>
      </c>
      <c r="I6" s="17">
        <f t="shared" si="2"/>
        <v>237999.62880597141</v>
      </c>
    </row>
    <row r="7" spans="1:9" ht="15.75" customHeight="1" x14ac:dyDescent="0.25">
      <c r="A7" s="5">
        <f t="shared" si="3"/>
        <v>2029</v>
      </c>
      <c r="B7" s="49">
        <v>17344</v>
      </c>
      <c r="C7" s="50">
        <v>51410.000000000007</v>
      </c>
      <c r="D7" s="50">
        <v>78188</v>
      </c>
      <c r="E7" s="50">
        <v>70945.5</v>
      </c>
      <c r="F7" s="50">
        <v>59215.5</v>
      </c>
      <c r="G7" s="17">
        <f t="shared" si="0"/>
        <v>259759</v>
      </c>
      <c r="H7" s="17">
        <f t="shared" si="1"/>
        <v>19890.871194028594</v>
      </c>
      <c r="I7" s="17">
        <f t="shared" si="2"/>
        <v>239868.12880597141</v>
      </c>
    </row>
    <row r="8" spans="1:9" ht="15.75" customHeight="1" x14ac:dyDescent="0.25">
      <c r="A8" s="5">
        <f t="shared" si="3"/>
        <v>2030</v>
      </c>
      <c r="B8" s="49">
        <v>17328</v>
      </c>
      <c r="C8" s="50">
        <v>51538.5</v>
      </c>
      <c r="D8" s="50">
        <v>79361.5</v>
      </c>
      <c r="E8" s="50">
        <v>70863.5</v>
      </c>
      <c r="F8" s="50">
        <v>59576</v>
      </c>
      <c r="G8" s="17">
        <f t="shared" si="0"/>
        <v>261339.5</v>
      </c>
      <c r="H8" s="17">
        <f t="shared" si="1"/>
        <v>19872.521681856982</v>
      </c>
      <c r="I8" s="17">
        <f t="shared" si="2"/>
        <v>241466.97831814302</v>
      </c>
    </row>
    <row r="9" spans="1:9" ht="15.75" customHeight="1" x14ac:dyDescent="0.25">
      <c r="A9" s="5">
        <f t="shared" si="3"/>
        <v>2031</v>
      </c>
      <c r="B9" s="49">
        <v>17322</v>
      </c>
      <c r="C9" s="50">
        <v>51616.5</v>
      </c>
      <c r="D9" s="50">
        <v>80388</v>
      </c>
      <c r="E9" s="50">
        <v>70775.5</v>
      </c>
      <c r="F9" s="50">
        <v>59862.5</v>
      </c>
      <c r="G9" s="17">
        <f t="shared" si="0"/>
        <v>262642.5</v>
      </c>
      <c r="H9" s="17">
        <f t="shared" si="1"/>
        <v>19865.640614792625</v>
      </c>
      <c r="I9" s="17">
        <f t="shared" si="2"/>
        <v>242776.85938520738</v>
      </c>
    </row>
    <row r="10" spans="1:9" ht="15.75" customHeight="1" x14ac:dyDescent="0.25">
      <c r="A10" s="5">
        <f t="shared" si="3"/>
        <v>2032</v>
      </c>
      <c r="B10" s="49">
        <v>17314</v>
      </c>
      <c r="C10" s="50">
        <v>51571.5</v>
      </c>
      <c r="D10" s="50">
        <v>81283</v>
      </c>
      <c r="E10" s="50">
        <v>70801.5</v>
      </c>
      <c r="F10" s="50">
        <v>60143.5</v>
      </c>
      <c r="G10" s="17">
        <f t="shared" si="0"/>
        <v>263799.5</v>
      </c>
      <c r="H10" s="17">
        <f t="shared" si="1"/>
        <v>19856.465858706819</v>
      </c>
      <c r="I10" s="17">
        <f t="shared" si="2"/>
        <v>243943.03414129317</v>
      </c>
    </row>
    <row r="11" spans="1:9" ht="15.75" customHeight="1" x14ac:dyDescent="0.25">
      <c r="A11" s="5">
        <f t="shared" si="3"/>
        <v>2033</v>
      </c>
      <c r="B11" s="49">
        <v>17273</v>
      </c>
      <c r="C11" s="50">
        <v>51349.500000000007</v>
      </c>
      <c r="D11" s="50">
        <v>82121</v>
      </c>
      <c r="E11" s="50">
        <v>71020.5</v>
      </c>
      <c r="F11" s="50">
        <v>60388.5</v>
      </c>
      <c r="G11" s="17">
        <f t="shared" si="0"/>
        <v>264879.5</v>
      </c>
      <c r="H11" s="17">
        <f t="shared" si="1"/>
        <v>19809.445233767059</v>
      </c>
      <c r="I11" s="17">
        <f t="shared" si="2"/>
        <v>245070.05476623293</v>
      </c>
    </row>
    <row r="12" spans="1:9" ht="15.75" customHeight="1" x14ac:dyDescent="0.25">
      <c r="A12" s="5">
        <f t="shared" si="3"/>
        <v>2034</v>
      </c>
      <c r="B12" s="49">
        <v>17252</v>
      </c>
      <c r="C12" s="50">
        <v>50936.499999999993</v>
      </c>
      <c r="D12" s="50">
        <v>82914.5</v>
      </c>
      <c r="E12" s="50">
        <v>71426.5</v>
      </c>
      <c r="F12" s="50">
        <v>60552</v>
      </c>
      <c r="G12" s="17">
        <f t="shared" si="0"/>
        <v>265829.5</v>
      </c>
      <c r="H12" s="17">
        <f t="shared" si="1"/>
        <v>19785.361499041817</v>
      </c>
      <c r="I12" s="17">
        <f t="shared" si="2"/>
        <v>246044.13850095819</v>
      </c>
    </row>
    <row r="13" spans="1:9" ht="15.75" customHeight="1" x14ac:dyDescent="0.25">
      <c r="A13" s="5">
        <f t="shared" si="3"/>
        <v>2035</v>
      </c>
      <c r="B13" s="49">
        <v>17312</v>
      </c>
      <c r="C13" s="50">
        <v>50377.5</v>
      </c>
      <c r="D13" s="50">
        <v>83646.5</v>
      </c>
      <c r="E13" s="50">
        <v>71943</v>
      </c>
      <c r="F13" s="50">
        <v>60675.999999999993</v>
      </c>
      <c r="G13" s="17">
        <f t="shared" si="0"/>
        <v>266643</v>
      </c>
      <c r="H13" s="17">
        <f t="shared" si="1"/>
        <v>19854.172169685364</v>
      </c>
      <c r="I13" s="17">
        <f t="shared" si="2"/>
        <v>246788.82783031464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A4PBs0wD52bMY35gDnaiVXDPbckYtc1JVAAQFFooYvQZxZMFAqotw6yX9972rG3t+4ZoeeJ976TtKfvvmg7SQ==" saltValue="NT6crjE4kP3l5oKC7pqnR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3.9490007898001562E-4</v>
      </c>
    </row>
    <row r="4" spans="1:8" ht="15.75" customHeight="1" x14ac:dyDescent="0.25">
      <c r="B4" s="19" t="s">
        <v>97</v>
      </c>
      <c r="C4" s="101">
        <v>6.7987713597542757E-2</v>
      </c>
    </row>
    <row r="5" spans="1:8" ht="15.75" customHeight="1" x14ac:dyDescent="0.25">
      <c r="B5" s="19" t="s">
        <v>95</v>
      </c>
      <c r="C5" s="101">
        <v>4.5168509033701752E-2</v>
      </c>
    </row>
    <row r="6" spans="1:8" ht="15.75" customHeight="1" x14ac:dyDescent="0.25">
      <c r="B6" s="19" t="s">
        <v>91</v>
      </c>
      <c r="C6" s="101">
        <v>0.16706933341386659</v>
      </c>
    </row>
    <row r="7" spans="1:8" ht="15.75" customHeight="1" x14ac:dyDescent="0.25">
      <c r="B7" s="19" t="s">
        <v>96</v>
      </c>
      <c r="C7" s="101">
        <v>0.42742528548505748</v>
      </c>
    </row>
    <row r="8" spans="1:8" ht="15.75" customHeight="1" x14ac:dyDescent="0.25">
      <c r="B8" s="19" t="s">
        <v>98</v>
      </c>
      <c r="C8" s="101">
        <v>4.3700008740001817E-5</v>
      </c>
    </row>
    <row r="9" spans="1:8" ht="15.75" customHeight="1" x14ac:dyDescent="0.25">
      <c r="B9" s="19" t="s">
        <v>92</v>
      </c>
      <c r="C9" s="101">
        <v>0.19184183836836749</v>
      </c>
    </row>
    <row r="10" spans="1:8" ht="15.75" customHeight="1" x14ac:dyDescent="0.25">
      <c r="B10" s="19" t="s">
        <v>94</v>
      </c>
      <c r="C10" s="101">
        <v>0.10006872001374389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8.9962548660723382E-2</v>
      </c>
      <c r="D14" s="55">
        <v>8.9962548660723382E-2</v>
      </c>
      <c r="E14" s="55">
        <v>8.9962548660723382E-2</v>
      </c>
      <c r="F14" s="55">
        <v>8.9962548660723382E-2</v>
      </c>
    </row>
    <row r="15" spans="1:8" ht="15.75" customHeight="1" x14ac:dyDescent="0.25">
      <c r="B15" s="19" t="s">
        <v>102</v>
      </c>
      <c r="C15" s="101">
        <v>0.47128850428328262</v>
      </c>
      <c r="D15" s="101">
        <v>0.47128850428328262</v>
      </c>
      <c r="E15" s="101">
        <v>0.47128850428328262</v>
      </c>
      <c r="F15" s="101">
        <v>0.47128850428328262</v>
      </c>
    </row>
    <row r="16" spans="1:8" ht="15.75" customHeight="1" x14ac:dyDescent="0.25">
      <c r="B16" s="19" t="s">
        <v>2</v>
      </c>
      <c r="C16" s="101">
        <v>2.1451893525098679E-2</v>
      </c>
      <c r="D16" s="101">
        <v>2.1451893525098679E-2</v>
      </c>
      <c r="E16" s="101">
        <v>2.1451893525098679E-2</v>
      </c>
      <c r="F16" s="101">
        <v>2.1451893525098679E-2</v>
      </c>
    </row>
    <row r="17" spans="1:8" ht="15.75" customHeight="1" x14ac:dyDescent="0.25">
      <c r="B17" s="19" t="s">
        <v>90</v>
      </c>
      <c r="C17" s="101">
        <v>4.399615969642604E-3</v>
      </c>
      <c r="D17" s="101">
        <v>4.399615969642604E-3</v>
      </c>
      <c r="E17" s="101">
        <v>4.399615969642604E-3</v>
      </c>
      <c r="F17" s="101">
        <v>4.399615969642604E-3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8.5593931275366152E-3</v>
      </c>
      <c r="D19" s="101">
        <v>8.5593931275366152E-3</v>
      </c>
      <c r="E19" s="101">
        <v>8.5593931275366152E-3</v>
      </c>
      <c r="F19" s="101">
        <v>8.5593931275366152E-3</v>
      </c>
    </row>
    <row r="20" spans="1:8" ht="15.75" customHeight="1" x14ac:dyDescent="0.25">
      <c r="B20" s="19" t="s">
        <v>79</v>
      </c>
      <c r="C20" s="101">
        <v>2.388630710131014E-2</v>
      </c>
      <c r="D20" s="101">
        <v>2.388630710131014E-2</v>
      </c>
      <c r="E20" s="101">
        <v>2.388630710131014E-2</v>
      </c>
      <c r="F20" s="101">
        <v>2.388630710131014E-2</v>
      </c>
    </row>
    <row r="21" spans="1:8" ht="15.75" customHeight="1" x14ac:dyDescent="0.25">
      <c r="B21" s="19" t="s">
        <v>88</v>
      </c>
      <c r="C21" s="101">
        <v>0.32209522878253438</v>
      </c>
      <c r="D21" s="101">
        <v>0.32209522878253438</v>
      </c>
      <c r="E21" s="101">
        <v>0.32209522878253438</v>
      </c>
      <c r="F21" s="101">
        <v>0.32209522878253438</v>
      </c>
    </row>
    <row r="22" spans="1:8" ht="15.75" customHeight="1" x14ac:dyDescent="0.25">
      <c r="B22" s="19" t="s">
        <v>99</v>
      </c>
      <c r="C22" s="101">
        <v>5.8356508549871497E-2</v>
      </c>
      <c r="D22" s="101">
        <v>5.8356508549871497E-2</v>
      </c>
      <c r="E22" s="101">
        <v>5.8356508549871497E-2</v>
      </c>
      <c r="F22" s="101">
        <v>5.8356508549871497E-2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3.8186174000000003E-2</v>
      </c>
    </row>
    <row r="27" spans="1:8" ht="15.75" customHeight="1" x14ac:dyDescent="0.25">
      <c r="B27" s="19" t="s">
        <v>89</v>
      </c>
      <c r="C27" s="101">
        <v>3.5979345000000003E-2</v>
      </c>
    </row>
    <row r="28" spans="1:8" ht="15.75" customHeight="1" x14ac:dyDescent="0.25">
      <c r="B28" s="19" t="s">
        <v>103</v>
      </c>
      <c r="C28" s="101">
        <v>0.17918920699999999</v>
      </c>
    </row>
    <row r="29" spans="1:8" ht="15.75" customHeight="1" x14ac:dyDescent="0.25">
      <c r="B29" s="19" t="s">
        <v>86</v>
      </c>
      <c r="C29" s="101">
        <v>9.3383905000000003E-2</v>
      </c>
    </row>
    <row r="30" spans="1:8" ht="15.75" customHeight="1" x14ac:dyDescent="0.25">
      <c r="B30" s="19" t="s">
        <v>4</v>
      </c>
      <c r="C30" s="101">
        <v>4.2695289999999983E-2</v>
      </c>
    </row>
    <row r="31" spans="1:8" ht="15.75" customHeight="1" x14ac:dyDescent="0.25">
      <c r="B31" s="19" t="s">
        <v>80</v>
      </c>
      <c r="C31" s="101">
        <v>0.135273369</v>
      </c>
    </row>
    <row r="32" spans="1:8" ht="15.75" customHeight="1" x14ac:dyDescent="0.25">
      <c r="B32" s="19" t="s">
        <v>85</v>
      </c>
      <c r="C32" s="101">
        <v>0.18705686599999999</v>
      </c>
    </row>
    <row r="33" spans="2:3" ht="15.75" customHeight="1" x14ac:dyDescent="0.25">
      <c r="B33" s="19" t="s">
        <v>100</v>
      </c>
      <c r="C33" s="101">
        <v>0.13805392899999999</v>
      </c>
    </row>
    <row r="34" spans="2:3" ht="15.75" customHeight="1" x14ac:dyDescent="0.25">
      <c r="B34" s="19" t="s">
        <v>87</v>
      </c>
      <c r="C34" s="101">
        <v>0.150181916</v>
      </c>
    </row>
    <row r="35" spans="2:3" ht="15.75" customHeight="1" x14ac:dyDescent="0.25">
      <c r="B35" s="27" t="s">
        <v>60</v>
      </c>
      <c r="C35" s="48">
        <f>SUM(C26:C34)</f>
        <v>1.0000000009999999</v>
      </c>
    </row>
  </sheetData>
  <sheetProtection algorithmName="SHA-512" hashValue="pOD44qCCjbxsFQHq7vO2q5Oa8s1vO1ty1dm6usEKeBB7/8DAEFrIuJkyt4N6vE/3fHjXCWMBFjVtqOF/utdl7Q==" saltValue="C3JsiyDBasX8i2VW7nBNo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0.71991406732802443</v>
      </c>
      <c r="D2" s="52">
        <f>IFERROR(1-_xlfn.NORM.DIST(_xlfn.NORM.INV(SUM(D4:D5), 0, 1) + 1, 0, 1, TRUE), "")</f>
        <v>0.71991406732802443</v>
      </c>
      <c r="E2" s="52">
        <f>IFERROR(1-_xlfn.NORM.DIST(_xlfn.NORM.INV(SUM(E4:E5), 0, 1) + 1, 0, 1, TRUE), "")</f>
        <v>0.69603791482324251</v>
      </c>
      <c r="F2" s="52">
        <f>IFERROR(1-_xlfn.NORM.DIST(_xlfn.NORM.INV(SUM(F4:F5), 0, 1) + 1, 0, 1, TRUE), "")</f>
        <v>0.71878964149994229</v>
      </c>
      <c r="G2" s="52">
        <f>IFERROR(1-_xlfn.NORM.DIST(_xlfn.NORM.INV(SUM(G4:G5), 0, 1) + 1, 0, 1, TRUE), "")</f>
        <v>0.65385158335828997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0.22332803267197551</v>
      </c>
      <c r="D3" s="52">
        <f>IFERROR(_xlfn.NORM.DIST(_xlfn.NORM.INV(SUM(D4:D5), 0, 1) + 1, 0, 1, TRUE) - SUM(D4:D5), "")</f>
        <v>0.22332803267197551</v>
      </c>
      <c r="E3" s="52">
        <f>IFERROR(_xlfn.NORM.DIST(_xlfn.NORM.INV(SUM(E4:E5), 0, 1) + 1, 0, 1, TRUE) - SUM(E4:E5), "")</f>
        <v>0.23882718517675744</v>
      </c>
      <c r="F3" s="52">
        <f>IFERROR(_xlfn.NORM.DIST(_xlfn.NORM.INV(SUM(F4:F5), 0, 1) + 1, 0, 1, TRUE) - SUM(F4:F5), "")</f>
        <v>0.2240709585000577</v>
      </c>
      <c r="G3" s="52">
        <f>IFERROR(_xlfn.NORM.DIST(_xlfn.NORM.INV(SUM(G4:G5), 0, 1) + 1, 0, 1, TRUE) - SUM(G4:G5), "")</f>
        <v>0.26475201664171005</v>
      </c>
    </row>
    <row r="4" spans="1:15" ht="15.75" customHeight="1" x14ac:dyDescent="0.25">
      <c r="B4" s="5" t="s">
        <v>110</v>
      </c>
      <c r="C4" s="45">
        <v>3.2299599999999998E-2</v>
      </c>
      <c r="D4" s="53">
        <v>3.2299599999999998E-2</v>
      </c>
      <c r="E4" s="53">
        <v>2.3189100000000001E-2</v>
      </c>
      <c r="F4" s="53">
        <v>3.1199399999999999E-2</v>
      </c>
      <c r="G4" s="53">
        <v>4.7052899999999988E-2</v>
      </c>
    </row>
    <row r="5" spans="1:15" ht="15.75" customHeight="1" x14ac:dyDescent="0.25">
      <c r="B5" s="5" t="s">
        <v>106</v>
      </c>
      <c r="C5" s="45">
        <v>2.4458299999999999E-2</v>
      </c>
      <c r="D5" s="53">
        <v>2.4458299999999999E-2</v>
      </c>
      <c r="E5" s="53">
        <v>4.1945800000000012E-2</v>
      </c>
      <c r="F5" s="53">
        <v>2.5940000000000001E-2</v>
      </c>
      <c r="G5" s="53">
        <v>3.4343499999999999E-2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0.65561821603473891</v>
      </c>
      <c r="D8" s="52">
        <f>IFERROR(1-_xlfn.NORM.DIST(_xlfn.NORM.INV(SUM(D10:D11), 0, 1) + 1, 0, 1, TRUE), "")</f>
        <v>0.65561821603473891</v>
      </c>
      <c r="E8" s="52">
        <f>IFERROR(1-_xlfn.NORM.DIST(_xlfn.NORM.INV(SUM(E10:E11), 0, 1) + 1, 0, 1, TRUE), "")</f>
        <v>0.67788556299605163</v>
      </c>
      <c r="F8" s="52">
        <f>IFERROR(1-_xlfn.NORM.DIST(_xlfn.NORM.INV(SUM(F10:F11), 0, 1) + 1, 0, 1, TRUE), "")</f>
        <v>0.78090906818077377</v>
      </c>
      <c r="G8" s="52">
        <f>IFERROR(1-_xlfn.NORM.DIST(_xlfn.NORM.INV(SUM(G10:G11), 0, 1) + 1, 0, 1, TRUE), "")</f>
        <v>0.7805327279926525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0.2637049839652611</v>
      </c>
      <c r="D9" s="52">
        <f>IFERROR(_xlfn.NORM.DIST(_xlfn.NORM.INV(SUM(D10:D11), 0, 1) + 1, 0, 1, TRUE) - SUM(D10:D11), "")</f>
        <v>0.2637049839652611</v>
      </c>
      <c r="E9" s="52">
        <f>IFERROR(_xlfn.NORM.DIST(_xlfn.NORM.INV(SUM(E10:E11), 0, 1) + 1, 0, 1, TRUE) - SUM(E10:E11), "")</f>
        <v>0.25021563700394839</v>
      </c>
      <c r="F9" s="52">
        <f>IFERROR(_xlfn.NORM.DIST(_xlfn.NORM.INV(SUM(F10:F11), 0, 1) + 1, 0, 1, TRUE) - SUM(F10:F11), "")</f>
        <v>0.18116403181922625</v>
      </c>
      <c r="G9" s="52">
        <f>IFERROR(_xlfn.NORM.DIST(_xlfn.NORM.INV(SUM(G10:G11), 0, 1) + 1, 0, 1, TRUE) - SUM(G10:G11), "")</f>
        <v>0.18143517200734749</v>
      </c>
    </row>
    <row r="10" spans="1:15" ht="15.75" customHeight="1" x14ac:dyDescent="0.25">
      <c r="B10" s="5" t="s">
        <v>107</v>
      </c>
      <c r="C10" s="45">
        <v>3.7755499999999997E-2</v>
      </c>
      <c r="D10" s="53">
        <v>3.7755499999999997E-2</v>
      </c>
      <c r="E10" s="53">
        <v>5.1403200000000003E-2</v>
      </c>
      <c r="F10" s="53">
        <v>3.3150300000000001E-2</v>
      </c>
      <c r="G10" s="53">
        <v>3.0782299999999999E-2</v>
      </c>
    </row>
    <row r="11" spans="1:15" ht="15.75" customHeight="1" x14ac:dyDescent="0.25">
      <c r="B11" s="5" t="s">
        <v>119</v>
      </c>
      <c r="C11" s="45">
        <v>4.2921300000000003E-2</v>
      </c>
      <c r="D11" s="53">
        <v>4.2921300000000003E-2</v>
      </c>
      <c r="E11" s="53">
        <v>2.0495599999999999E-2</v>
      </c>
      <c r="F11" s="53">
        <v>4.7765999999999998E-3</v>
      </c>
      <c r="G11" s="53">
        <v>7.2497999999999998E-3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0.58198644774999997</v>
      </c>
      <c r="D14" s="54">
        <v>0.553427985096</v>
      </c>
      <c r="E14" s="54">
        <v>0.553427985096</v>
      </c>
      <c r="F14" s="54">
        <v>0.36485581126</v>
      </c>
      <c r="G14" s="54">
        <v>0.36485581126</v>
      </c>
      <c r="H14" s="45">
        <v>0.39</v>
      </c>
      <c r="I14" s="55">
        <v>0.39</v>
      </c>
      <c r="J14" s="55">
        <v>0.39</v>
      </c>
      <c r="K14" s="55">
        <v>0.39</v>
      </c>
      <c r="L14" s="45">
        <v>0.30599999999999999</v>
      </c>
      <c r="M14" s="55">
        <v>0.30599999999999999</v>
      </c>
      <c r="N14" s="55">
        <v>0.30599999999999999</v>
      </c>
      <c r="O14" s="55">
        <v>0.30599999999999999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0.28106744500862374</v>
      </c>
      <c r="D15" s="52">
        <f t="shared" si="0"/>
        <v>0.26727527826218772</v>
      </c>
      <c r="E15" s="52">
        <f t="shared" si="0"/>
        <v>0.26727527826218772</v>
      </c>
      <c r="F15" s="52">
        <f t="shared" si="0"/>
        <v>0.17620528976896072</v>
      </c>
      <c r="G15" s="52">
        <f t="shared" si="0"/>
        <v>0.17620528976896072</v>
      </c>
      <c r="H15" s="52">
        <f t="shared" si="0"/>
        <v>0.18834855</v>
      </c>
      <c r="I15" s="52">
        <f t="shared" si="0"/>
        <v>0.18834855</v>
      </c>
      <c r="J15" s="52">
        <f t="shared" si="0"/>
        <v>0.18834855</v>
      </c>
      <c r="K15" s="52">
        <f t="shared" si="0"/>
        <v>0.18834855</v>
      </c>
      <c r="L15" s="52">
        <f t="shared" si="0"/>
        <v>0.14778116999999999</v>
      </c>
      <c r="M15" s="52">
        <f t="shared" si="0"/>
        <v>0.14778116999999999</v>
      </c>
      <c r="N15" s="52">
        <f t="shared" si="0"/>
        <v>0.14778116999999999</v>
      </c>
      <c r="O15" s="52">
        <f t="shared" si="0"/>
        <v>0.14778116999999999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WO0719N+0TJsgxmHKRTimI61BIupWNtvkSGFk+/yuv7QsXIkZR1YgzDqT9gMQso8zlOQIj87Lb73d4xFAa8V1w==" saltValue="DXUeuJAO1+eTHpV3Bif9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0.63254330000000003</v>
      </c>
      <c r="D2" s="53">
        <v>0.39031369999999999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5.8057499999999998E-2</v>
      </c>
      <c r="D3" s="53">
        <v>0.14022200000000001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0.2716944</v>
      </c>
      <c r="D4" s="53">
        <v>0.33379629999999999</v>
      </c>
      <c r="E4" s="53">
        <v>0.65952209999999989</v>
      </c>
      <c r="F4" s="53">
        <v>0.45808939999999998</v>
      </c>
      <c r="G4" s="53">
        <v>0</v>
      </c>
    </row>
    <row r="5" spans="1:7" x14ac:dyDescent="0.25">
      <c r="B5" s="3" t="s">
        <v>125</v>
      </c>
      <c r="C5" s="52">
        <v>3.7704799999999997E-2</v>
      </c>
      <c r="D5" s="52">
        <v>0.13566800000000001</v>
      </c>
      <c r="E5" s="52">
        <f>1-SUM(E2:E4)</f>
        <v>0.34047790000000011</v>
      </c>
      <c r="F5" s="52">
        <f>1-SUM(F2:F4)</f>
        <v>0.54191060000000002</v>
      </c>
      <c r="G5" s="52">
        <f>1-SUM(G2:G4)</f>
        <v>1</v>
      </c>
    </row>
  </sheetData>
  <sheetProtection algorithmName="SHA-512" hashValue="QvQNK5HAvgaKehxRJyOV/mmiwe+QdOH7bQ0FQyn1o/E7gFNnmCcOYX8uVWFr+L34w+MmgyqrA3SPyPWYnjt5gQ==" saltValue="mYEZGYDbTkiQFh4Y7tbAv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9N63qUfAAsXcmsuVqhPoAHR6FOVVWcZXN6Hy1BCXpOkX/RwPxdlDI1deoa5HqC4ayvStnJqz+WisueAg9m5FBw==" saltValue="azfk7wTRqiq8sg6GvZqsj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n15B1LPFnDDyv6U2kC+ilbZBmMsJcSro1/vk4F7N6XSax/GR8jrdNsDFE/4C/srbdww3M2tPa+Z6pgcrkVPuwQ==" saltValue="H6Z5P2exmDYkL84gCLNsb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5kQVL/Q9iYdc5fO9yxLTNQRd8C5KT6D/JXpXz45Szby4EjLuCK+74l9lorjgrMq+UwFeU/kWaSMeRoSvvrP6lQ==" saltValue="BTXc3STVYolsSfS9yEAgN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5ORLphLYqXuaBR3gA4B3XybXrr5PyGOySdm/wn2VmeXy1iK0gAOp2h/J3srU74f3tN3jZSpM3UmK4DMZ+GHwHQ==" saltValue="Ot9aojiwNtAPIeend/YHP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64.978466716900769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40.035884855702882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523.3469422837544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2.3575314448863529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0.29817860000000002</v>
      </c>
      <c r="C10" s="98">
        <v>0.95</v>
      </c>
      <c r="D10" s="56">
        <v>13.16818429949879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13.16818429949879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13.16818429949879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13.16818429949879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0.29817860000000002</v>
      </c>
      <c r="C14" s="98">
        <v>0.95</v>
      </c>
      <c r="D14" s="56">
        <v>13.16818429949879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13.16818429949879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0.87495009939413526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0.5554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0.39031369999999999</v>
      </c>
      <c r="C18" s="98">
        <v>0.95</v>
      </c>
      <c r="D18" s="56">
        <v>12.03223213704624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0.39031369999999999</v>
      </c>
      <c r="C19" s="98">
        <v>0.95</v>
      </c>
      <c r="D19" s="56">
        <v>12.03223213704624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23.370362340463299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22.805877504333029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4.3768406970404801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0.71283421503765998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0.29817860000000002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18.714394010930931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0.53874940000000004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0.54248930000000006</v>
      </c>
      <c r="C29" s="98">
        <v>0.95</v>
      </c>
      <c r="D29" s="56">
        <v>129.5082053629678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2.7005701608607802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1.894695667647958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0.86528440000000006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0.119801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5.2214799999999999E-2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0.89245750000000001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0.1946205</v>
      </c>
      <c r="C38" s="98">
        <v>0.95</v>
      </c>
      <c r="D38" s="56">
        <v>6.0398139560416322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jcFRYMnM9jhRmHkDZ95NHhVYc/Nm8DQhZ9HGIbhLsXJ7isUvqJSv2BTFhwjfWM5yq37qSHhRQI1TGSNy/wynTQ==" saltValue="Pz+ICiWMhH0hnWN2XyL7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BzNBvQzaZXMIgn0N5FM3rWBqrj0ZKYK9rVGVwj9vrOK8sQDCxY4jggQwMu1yecNcnc2GZu9GYiSfjG9m+PUUvA==" saltValue="qgl912PPFSTuY4FiJt+oo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dvtd5wLrpcbpep42pBR4ICie3+my1Dn44JmCkpr4UJm+XWtMGckkqvbxzSOXgX0T/QPpDokrGi/tHYiNGimk7g==" saltValue="zsRKi2fBrTXUTS2sw3mSl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9.8164299999999996E-2</v>
      </c>
      <c r="C3" s="21">
        <f>frac_mam_1_5months * 2.6</f>
        <v>9.8164299999999996E-2</v>
      </c>
      <c r="D3" s="21">
        <f>frac_mam_6_11months * 2.6</f>
        <v>0.13364832000000001</v>
      </c>
      <c r="E3" s="21">
        <f>frac_mam_12_23months * 2.6</f>
        <v>8.6190780000000008E-2</v>
      </c>
      <c r="F3" s="21">
        <f>frac_mam_24_59months * 2.6</f>
        <v>8.0033980000000005E-2</v>
      </c>
    </row>
    <row r="4" spans="1:6" ht="15.75" customHeight="1" x14ac:dyDescent="0.25">
      <c r="A4" s="3" t="s">
        <v>207</v>
      </c>
      <c r="B4" s="21">
        <f>frac_sam_1month * 2.6</f>
        <v>0.11159538000000001</v>
      </c>
      <c r="C4" s="21">
        <f>frac_sam_1_5months * 2.6</f>
        <v>0.11159538000000001</v>
      </c>
      <c r="D4" s="21">
        <f>frac_sam_6_11months * 2.6</f>
        <v>5.3288559999999999E-2</v>
      </c>
      <c r="E4" s="21">
        <f>frac_sam_12_23months * 2.6</f>
        <v>1.241916E-2</v>
      </c>
      <c r="F4" s="21">
        <f>frac_sam_24_59months * 2.6</f>
        <v>1.8849480000000002E-2</v>
      </c>
    </row>
  </sheetData>
  <sheetProtection algorithmName="SHA-512" hashValue="2qEOy3HE5lB22FmMX6LrFxrp7LoTKfy5n+sJMjwzENChAgAFqSthHPjoDtTeRt8mSyrBNkNF97sDZWO7G+YURQ==" saltValue="p46TGIEL3ZZui4RnK9qKM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1.4E-2</v>
      </c>
      <c r="E2" s="60">
        <f>food_insecure</f>
        <v>1.4E-2</v>
      </c>
      <c r="F2" s="60">
        <f>food_insecure</f>
        <v>1.4E-2</v>
      </c>
      <c r="G2" s="60">
        <f>food_insecure</f>
        <v>1.4E-2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1.4E-2</v>
      </c>
      <c r="I15" s="60">
        <f>food_insecure</f>
        <v>1.4E-2</v>
      </c>
      <c r="J15" s="60">
        <f>food_insecure</f>
        <v>1.4E-2</v>
      </c>
      <c r="K15" s="60">
        <f>food_insecure</f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5.9244940426635952E-2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2.5390688754272556E-2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3.555129098510755E-2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0.87981307983398394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LKgSt/P+hBAy29gPKaIo2gu/qbAjPfv3p/YyPS2ecP2jyu7aiZIm/FJ+q6t+gQk3V4byMCrxWgv5Kn3xbu9ag==" saltValue="mgOfbCOXMUa29U1bfMayd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zLMVro/+SAvXzi3/1HJNB+KRN3zCTe9yBtXsulrPmw084y9Zxq64FzHKcKkq8fTXEP2Qus7xQ5BC+tBBpPS7sQ==" saltValue="7VehvjYWapdIpIc1yY5Yy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iXXaW+Wl6a6N/FIzQAl5k5btKK9gDirSRw+F/+os5ImNbzN3qzyQ+aLJBlyhshDb1UrgEw/EkdGliKv9KYts8g==" saltValue="4l57C8s9bxsTdaVRuferl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hXX4MKoy/C9SO1CN8NBSSuzVmfBcIm5d1sApyvdA/BVEMna47tOu3z6q2w0gw6UPuyA7gx41mYIEWWekCrL5g==" saltValue="NqHeXKiE9CNE4ddhjwsE6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aAaMw8/UMmKiQWZCTuZ9TuW11XqedJfdbalsCaFmT+uRxV/9F8oviZ4MGR1Krx6j23lO8PTRCg753MFQHscRUA==" saltValue="uYXLVBq7xpISw4rNeyWbG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nLn7O5Bmr1+yHgqaDTaYAmlap7b8zAOkcz39o+DGjUl8xsXgViHsVwfV+KiBOQGo0zCeRfn3vBmR64BUhi0QoQ==" saltValue="I2IxbAbEmV7RAFHb2kLa2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wUxDwQDjMJGA2wvi4XnVx0QmUCbEzOpQ5Za5bvb7yIhO8StEZrl2zwTh8TzNlqrm8vHHcPr/GgqydyOJPr2PDg==" saltValue="zMkHZNR0Ul98s2whhTUtB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X8UnfWSsmiwF9iAWeWO70TEO4HHLayxu3EG2KHGaKHMiIrRtq9FuNRRDhqhh4q/PC+AkmOfN/LjGYB5OLgZBA==" saltValue="FI5OHhosfZT4pf45vnb+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csk+YtP7huyG/aFq2XPJxz9dbPIcOtmtfF6o3Q5DTQVDx6P/0TJjjCbg1CrJfFHTM0rgRHwzTNOPQUog5RdsQ==" saltValue="us63i8qcsVw9BIokfUu6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lcmHM18C5W358TnBjczcsAFV1L7J9eYmOrn6xoPGnGS1TePtRTt9l9x7djQ/xcVYerB7X5WAIvqICdT37pC43w==" saltValue="iEXZubf/IqK3ZxRna8aC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uF33kajpS+F55GReHlZZz899gz+p5fwohWkBZJ+H8Qm+FXnzFXK3O3H9BXVvDpWaJ0faLcKbEvy7U0dXZsrbVw==" saltValue="do5U93FlkmafgAfyUtbd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aVWQ8qFZB/EpJxAeDbIHKGgQgY54hp+PtranJRbS9Husn1YmUJcZZJOUsENex4DjoJfgMWMLHkVlqGPXgSkpXQ==" saltValue="X4Ho4b1s7MD8ZwN/lk7F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oN9Cybub+uV0haO5fm9MLr7w0hIBKpBgn6agnZj1MHyvAeDw8ZZu8cElGBT+eOO1w1uATOJ/SYjek6pDms3gNA==" saltValue="+sfkXO0GIWKp7Jna7yjIw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0.10798894680840276</v>
      </c>
      <c r="G18" s="90">
        <f>MIN(MAX(1-0.89/(1-frac_sam_12_23months+(frac_sam_12_23months*0.89)),0),1)</f>
        <v>0.10953212502632403</v>
      </c>
      <c r="H18" s="90">
        <f>MIN(MAX(1-0.89/(1-frac_sam_24_59months+(frac_sam_24_59months*0.89)),0),1)</f>
        <v>0.10928967811392298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0.1049390101016463</v>
      </c>
      <c r="G20" s="90">
        <f>MIN(MAX(1-0.89/(1-frac_mam_12_23months+(frac_mam_12_23months*0.89)),0),1)</f>
        <v>0.10674270780652584</v>
      </c>
      <c r="H20" s="90">
        <f>MIN(MAX(1-0.89/(1-frac_mam_24_59months+(frac_mam_24_59months*0.89)),0),1)</f>
        <v>0.10697617399488379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9.7970519645825815E-3</v>
      </c>
      <c r="G73" s="90">
        <f>MIN(MAX(1-0.99/(1-frac_sam_12_23months+(frac_sam_12_23months*0.99)),0),1)</f>
        <v>9.9527094011172546E-3</v>
      </c>
      <c r="H73" s="90">
        <f>MIN(MAX(1-0.99/(1-frac_sam_24_59months+(frac_sam_24_59months*0.99)),0),1)</f>
        <v>9.9282217762223235E-3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9.4908465988589041E-3</v>
      </c>
      <c r="G75" s="90">
        <f>MIN(MAX(1-0.99/(1-frac_mam_12_23months+(frac_mam_12_23months*0.99)),0),1)</f>
        <v>9.6717031986255364E-3</v>
      </c>
      <c r="H75" s="90">
        <f>MIN(MAX(1-0.99/(1-frac_mam_24_59months+(frac_mam_24_59months*0.99)),0),1)</f>
        <v>9.6951613936656633E-3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0.19670720644407913</v>
      </c>
      <c r="G128" s="90">
        <f>MIN(MAX(1-0.8/(1-frac_sam_12_23months+(frac_sam_12_23months*0.8)),0),1)</f>
        <v>0.19923501319280335</v>
      </c>
      <c r="H128" s="90">
        <f>MIN(MAX(1-0.8/(1-frac_sam_24_59months+(frac_sam_24_59months*0.8)),0),1)</f>
        <v>0.19883834765055941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0.19169005646206616</v>
      </c>
      <c r="G130" s="90">
        <f>MIN(MAX(1-0.8/(1-frac_mam_12_23months+(frac_mam_12_23months*0.8)),0),1)</f>
        <v>0.19466055113364911</v>
      </c>
      <c r="H130" s="90">
        <f>MIN(MAX(1-0.8/(1-frac_mam_24_59months+(frac_mam_24_59months*0.8)),0),1)</f>
        <v>0.19504432257013005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2bfArqz/U2wA6NEeB1FWId4SBMZq42KJnrbCUNYbkEkb6eb3OCl4vcKsCwohPwpB9jo8qZ8AOxYwNaoM9xQAw==" saltValue="x15XKpLibvh/4ljU2WD3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CuDlUMcc+wf011OA/gXE9+3J+VzqfGu9WIDYT/T/VTbNoZ0nMu7spEGkijFWkXgg1Cvd1KmilUMie4iNqLW8w==" saltValue="WvYgmyixt0RZ2IjF78d3T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2024-08-06T07:34:50Z</dcterms:modified>
</cp:coreProperties>
</file>