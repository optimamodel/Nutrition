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220F8784-AB1A-40FE-9211-E21E22B489E3}" xr6:coauthVersionLast="47" xr6:coauthVersionMax="47" xr10:uidLastSave="{00000000-0000-0000-0000-000000000000}"/>
  <bookViews>
    <workbookView xWindow="-110" yWindow="-110" windowWidth="19420" windowHeight="1042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5" i="2" l="1"/>
  <c r="A26" i="2"/>
  <c r="A31" i="2"/>
  <c r="I4" i="2"/>
  <c r="I8" i="2"/>
  <c r="I12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<sst xmlns="http://schemas.openxmlformats.org/spreadsheetml/2006/main" count="2159" uniqueCount="372">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</sst>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6900235.5</v>
      </c>
    </row>
    <row r="8" spans="1:3" ht="15" customHeight="1" x14ac:dyDescent="0.25">
      <c r="B8" s="5" t="s">
        <v>63</v>
      </c>
      <c r="C8" s="44">
        <v>4.8000000000000001E-2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0.81408699039999999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0.10100000000000001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8.1799999999999998E-2</v>
      </c>
    </row>
    <row r="24" spans="1:3" ht="15" customHeight="1" x14ac:dyDescent="0.25">
      <c r="B24" s="15" t="s">
        <v>65</v>
      </c>
      <c r="C24" s="45">
        <v>0.59670000000000001</v>
      </c>
    </row>
    <row r="25" spans="1:3" ht="15" customHeight="1" x14ac:dyDescent="0.25">
      <c r="B25" s="15" t="s">
        <v>66</v>
      </c>
      <c r="C25" s="45">
        <v>0.30309999999999998</v>
      </c>
    </row>
    <row r="26" spans="1:3" ht="15" customHeight="1" x14ac:dyDescent="0.25">
      <c r="B26" s="15" t="s">
        <v>67</v>
      </c>
      <c r="C26" s="45">
        <v>1.84E-2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0.34994163924792399</v>
      </c>
    </row>
    <row r="30" spans="1:3" ht="14.25" customHeight="1" x14ac:dyDescent="0.25">
      <c r="B30" s="25" t="s">
        <v>82</v>
      </c>
      <c r="C30" s="99">
        <v>0.10516916316476101</v>
      </c>
    </row>
    <row r="31" spans="1:3" ht="14.25" customHeight="1" x14ac:dyDescent="0.25">
      <c r="B31" s="25" t="s">
        <v>29</v>
      </c>
      <c r="C31" s="99">
        <v>8.4505866375242988E-2</v>
      </c>
    </row>
    <row r="32" spans="1:3" ht="14.25" customHeight="1" x14ac:dyDescent="0.25">
      <c r="B32" s="25" t="s">
        <v>30</v>
      </c>
      <c r="C32" s="99">
        <v>0.46038333121207198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14.99222</v>
      </c>
    </row>
    <row r="38" spans="1:5" ht="15" customHeight="1" x14ac:dyDescent="0.25">
      <c r="B38" s="11" t="s">
        <v>54</v>
      </c>
      <c r="C38" s="43">
        <v>21.063030000000001</v>
      </c>
      <c r="D38" s="12"/>
      <c r="E38" s="13"/>
    </row>
    <row r="39" spans="1:5" ht="15" customHeight="1" x14ac:dyDescent="0.25">
      <c r="B39" s="11" t="s">
        <v>80</v>
      </c>
      <c r="C39" s="43">
        <v>24.22973</v>
      </c>
      <c r="D39" s="12"/>
      <c r="E39" s="12"/>
    </row>
    <row r="40" spans="1:5" ht="15" customHeight="1" x14ac:dyDescent="0.25">
      <c r="B40" s="11" t="s">
        <v>55</v>
      </c>
      <c r="C40" s="100">
        <v>2.59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10.689030000000001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7.0407000000000004E-3</v>
      </c>
      <c r="D45" s="12"/>
    </row>
    <row r="46" spans="1:5" ht="15.75" customHeight="1" x14ac:dyDescent="0.25">
      <c r="B46" s="11" t="s">
        <v>70</v>
      </c>
      <c r="C46" s="45">
        <v>7.5650899999999993E-2</v>
      </c>
      <c r="D46" s="12"/>
    </row>
    <row r="47" spans="1:5" ht="15.75" customHeight="1" x14ac:dyDescent="0.25">
      <c r="B47" s="11" t="s">
        <v>78</v>
      </c>
      <c r="C47" s="45">
        <v>7.4305499999999997E-2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0.58011699999999999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6.311217509E-2</v>
      </c>
    </row>
    <row r="63" spans="1:4" ht="15.75" customHeight="1" x14ac:dyDescent="0.3">
      <c r="A63" s="4"/>
    </row>
  </sheetData>
  <sheetProtection algorithmName="SHA-512" hashValue="07utkJHD9ns1f/ijNAkpqDS2WN6GLF2LDBlV1iGnx8INwn4l+hFN+z6Wg78GMLRn1F/tgmEICV1EhkfyJcOvuQ==" saltValue="5ETWedlJsG3jgXE75Ixi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1355563</v>
      </c>
      <c r="C2" s="49">
        <v>3617395.5</v>
      </c>
      <c r="D2" s="49">
        <v>6570464.5</v>
      </c>
      <c r="E2" s="49">
        <v>8487072.5</v>
      </c>
      <c r="F2" s="49">
        <v>7250662</v>
      </c>
      <c r="G2" s="17">
        <f t="shared" ref="G2:G13" si="0">C2+D2+E2+F2</f>
        <v>25925594.5</v>
      </c>
      <c r="H2" s="17">
        <f t="shared" ref="H2:H13" si="1">(B2 + stillbirth*B2/(1000-stillbirth))/(1-abortion)</f>
        <v>1557055.9174129041</v>
      </c>
      <c r="I2" s="17">
        <f t="shared" ref="I2:I13" si="2">G2-H2</f>
        <v>24368538.582587097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1328422</v>
      </c>
      <c r="C3" s="50">
        <v>3681317</v>
      </c>
      <c r="D3" s="50">
        <v>6484170.5</v>
      </c>
      <c r="E3" s="50">
        <v>8366224.5</v>
      </c>
      <c r="F3" s="50">
        <v>7451784.5</v>
      </c>
      <c r="G3" s="17">
        <f t="shared" si="0"/>
        <v>25983496.5</v>
      </c>
      <c r="H3" s="17">
        <f t="shared" si="1"/>
        <v>1525880.6384664415</v>
      </c>
      <c r="I3" s="17">
        <f t="shared" si="2"/>
        <v>24457615.86153356</v>
      </c>
    </row>
    <row r="4" spans="1:9" ht="15.75" customHeight="1" x14ac:dyDescent="0.25">
      <c r="A4" s="5">
        <f t="shared" si="3"/>
        <v>2026</v>
      </c>
      <c r="B4" s="49">
        <v>1307471</v>
      </c>
      <c r="C4" s="50">
        <v>3750530</v>
      </c>
      <c r="D4" s="50">
        <v>6450836.4999999991</v>
      </c>
      <c r="E4" s="50">
        <v>8231826.9999999991</v>
      </c>
      <c r="F4" s="50">
        <v>7602684.4999999991</v>
      </c>
      <c r="G4" s="17">
        <f t="shared" si="0"/>
        <v>26035878</v>
      </c>
      <c r="H4" s="17">
        <f t="shared" si="1"/>
        <v>1501815.45040383</v>
      </c>
      <c r="I4" s="17">
        <f t="shared" si="2"/>
        <v>24534062.549596168</v>
      </c>
    </row>
    <row r="5" spans="1:9" ht="15.75" customHeight="1" x14ac:dyDescent="0.25">
      <c r="A5" s="5">
        <f t="shared" si="3"/>
        <v>2027</v>
      </c>
      <c r="B5" s="49">
        <v>1290702</v>
      </c>
      <c r="C5" s="50">
        <v>3907084.5</v>
      </c>
      <c r="D5" s="50">
        <v>6493461</v>
      </c>
      <c r="E5" s="50">
        <v>8056513.0000000009</v>
      </c>
      <c r="F5" s="50">
        <v>7748243.5000000009</v>
      </c>
      <c r="G5" s="17">
        <f t="shared" si="0"/>
        <v>26205302</v>
      </c>
      <c r="H5" s="17">
        <f t="shared" si="1"/>
        <v>1482553.8810934424</v>
      </c>
      <c r="I5" s="17">
        <f t="shared" si="2"/>
        <v>24722748.118906558</v>
      </c>
    </row>
    <row r="6" spans="1:9" ht="15.75" customHeight="1" x14ac:dyDescent="0.25">
      <c r="A6" s="5">
        <f t="shared" si="3"/>
        <v>2028</v>
      </c>
      <c r="B6" s="49">
        <v>1280143</v>
      </c>
      <c r="C6" s="50">
        <v>4067401.5</v>
      </c>
      <c r="D6" s="50">
        <v>6604544</v>
      </c>
      <c r="E6" s="50">
        <v>7822756.4999999991</v>
      </c>
      <c r="F6" s="50">
        <v>7906886</v>
      </c>
      <c r="G6" s="17">
        <f t="shared" si="0"/>
        <v>26401588</v>
      </c>
      <c r="H6" s="17">
        <f t="shared" si="1"/>
        <v>1470425.3754969023</v>
      </c>
      <c r="I6" s="17">
        <f t="shared" si="2"/>
        <v>24931162.624503098</v>
      </c>
    </row>
    <row r="7" spans="1:9" ht="15.75" customHeight="1" x14ac:dyDescent="0.25">
      <c r="A7" s="5">
        <f t="shared" si="3"/>
        <v>2029</v>
      </c>
      <c r="B7" s="49">
        <v>1275327</v>
      </c>
      <c r="C7" s="50">
        <v>4151109.0000000005</v>
      </c>
      <c r="D7" s="50">
        <v>6746609.5000000009</v>
      </c>
      <c r="E7" s="50">
        <v>7550120</v>
      </c>
      <c r="F7" s="50">
        <v>8066781.5</v>
      </c>
      <c r="G7" s="17">
        <f t="shared" si="0"/>
        <v>26514620</v>
      </c>
      <c r="H7" s="17">
        <f t="shared" si="1"/>
        <v>1464893.518033796</v>
      </c>
      <c r="I7" s="17">
        <f t="shared" si="2"/>
        <v>25049726.481966205</v>
      </c>
    </row>
    <row r="8" spans="1:9" ht="15.75" customHeight="1" x14ac:dyDescent="0.25">
      <c r="A8" s="5">
        <f t="shared" si="3"/>
        <v>2030</v>
      </c>
      <c r="B8" s="49">
        <v>1275653</v>
      </c>
      <c r="C8" s="50">
        <v>4233806</v>
      </c>
      <c r="D8" s="50">
        <v>6849355.5</v>
      </c>
      <c r="E8" s="50">
        <v>7269343.5</v>
      </c>
      <c r="F8" s="50">
        <v>8247697.5</v>
      </c>
      <c r="G8" s="17">
        <f t="shared" si="0"/>
        <v>26600202.5</v>
      </c>
      <c r="H8" s="17">
        <f t="shared" si="1"/>
        <v>1465267.9751627357</v>
      </c>
      <c r="I8" s="17">
        <f t="shared" si="2"/>
        <v>25134934.524837263</v>
      </c>
    </row>
    <row r="9" spans="1:9" ht="15.75" customHeight="1" x14ac:dyDescent="0.25">
      <c r="A9" s="5">
        <f t="shared" si="3"/>
        <v>2031</v>
      </c>
      <c r="B9" s="49">
        <v>1277512</v>
      </c>
      <c r="C9" s="50">
        <v>4265530.5</v>
      </c>
      <c r="D9" s="50">
        <v>6968673.5</v>
      </c>
      <c r="E9" s="50">
        <v>7011120.5</v>
      </c>
      <c r="F9" s="50">
        <v>8401509.5</v>
      </c>
      <c r="G9" s="17">
        <f t="shared" si="0"/>
        <v>26646834</v>
      </c>
      <c r="H9" s="17">
        <f t="shared" si="1"/>
        <v>1467403.2997108905</v>
      </c>
      <c r="I9" s="17">
        <f t="shared" si="2"/>
        <v>25179430.700289108</v>
      </c>
    </row>
    <row r="10" spans="1:9" ht="15.75" customHeight="1" x14ac:dyDescent="0.25">
      <c r="A10" s="5">
        <f t="shared" si="3"/>
        <v>2032</v>
      </c>
      <c r="B10" s="49">
        <v>1282500</v>
      </c>
      <c r="C10" s="50">
        <v>4141381.9999999995</v>
      </c>
      <c r="D10" s="50">
        <v>7215709</v>
      </c>
      <c r="E10" s="50">
        <v>6781541.4999999991</v>
      </c>
      <c r="F10" s="50">
        <v>8466952.5</v>
      </c>
      <c r="G10" s="17">
        <f t="shared" si="0"/>
        <v>26605585</v>
      </c>
      <c r="H10" s="17">
        <f t="shared" si="1"/>
        <v>1473132.7235119648</v>
      </c>
      <c r="I10" s="17">
        <f t="shared" si="2"/>
        <v>25132452.276488036</v>
      </c>
    </row>
    <row r="11" spans="1:9" ht="15.75" customHeight="1" x14ac:dyDescent="0.25">
      <c r="A11" s="5">
        <f t="shared" si="3"/>
        <v>2033</v>
      </c>
      <c r="B11" s="49">
        <v>1290081</v>
      </c>
      <c r="C11" s="50">
        <v>3954697.5</v>
      </c>
      <c r="D11" s="50">
        <v>7462897.9999999991</v>
      </c>
      <c r="E11" s="50">
        <v>6605728</v>
      </c>
      <c r="F11" s="50">
        <v>8454573</v>
      </c>
      <c r="G11" s="17">
        <f t="shared" si="0"/>
        <v>26477896.5</v>
      </c>
      <c r="H11" s="17">
        <f t="shared" si="1"/>
        <v>1481840.5747220577</v>
      </c>
      <c r="I11" s="17">
        <f t="shared" si="2"/>
        <v>24996055.925277941</v>
      </c>
    </row>
    <row r="12" spans="1:9" ht="15.75" customHeight="1" x14ac:dyDescent="0.25">
      <c r="A12" s="5">
        <f t="shared" si="3"/>
        <v>2034</v>
      </c>
      <c r="B12" s="49">
        <v>1298215</v>
      </c>
      <c r="C12" s="50">
        <v>3798643.5</v>
      </c>
      <c r="D12" s="50">
        <v>7628657.9999999991</v>
      </c>
      <c r="E12" s="50">
        <v>6489644</v>
      </c>
      <c r="F12" s="50">
        <v>8377187</v>
      </c>
      <c r="G12" s="17">
        <f t="shared" si="0"/>
        <v>26294132.5</v>
      </c>
      <c r="H12" s="17">
        <f t="shared" si="1"/>
        <v>1491183.624681548</v>
      </c>
      <c r="I12" s="17">
        <f t="shared" si="2"/>
        <v>24802948.875318453</v>
      </c>
    </row>
    <row r="13" spans="1:9" ht="15.75" customHeight="1" x14ac:dyDescent="0.25">
      <c r="A13" s="5">
        <f t="shared" si="3"/>
        <v>2035</v>
      </c>
      <c r="B13" s="49">
        <v>1305800</v>
      </c>
      <c r="C13" s="50">
        <v>3657194</v>
      </c>
      <c r="D13" s="50">
        <v>7776391</v>
      </c>
      <c r="E13" s="50">
        <v>6408577.9999999991</v>
      </c>
      <c r="F13" s="50">
        <v>8260573</v>
      </c>
      <c r="G13" s="17">
        <f t="shared" si="0"/>
        <v>26102736</v>
      </c>
      <c r="H13" s="17">
        <f t="shared" si="1"/>
        <v>1499896.0704576401</v>
      </c>
      <c r="I13" s="17">
        <f t="shared" si="2"/>
        <v>24602839.929542359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PnNQy6TGbeHouhaUbJW+F5jDaOpE5JQ7PAwxYEW4yisixusAmX6WdHTz5eyzLrVKQpoB4hOJZCBujUEfMvoHJQ==" saltValue="Z4EUIoEpcVv049NMCm2vk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0.16119969142408941</v>
      </c>
    </row>
    <row r="5" spans="1:8" ht="15.75" customHeight="1" x14ac:dyDescent="0.25">
      <c r="B5" s="19" t="s">
        <v>114</v>
      </c>
      <c r="C5" s="101">
        <v>6.5832262834305141E-2</v>
      </c>
    </row>
    <row r="6" spans="1:8" ht="15.75" customHeight="1" x14ac:dyDescent="0.25">
      <c r="B6" s="19" t="s">
        <v>110</v>
      </c>
      <c r="C6" s="101">
        <v>0.14184394821056301</v>
      </c>
    </row>
    <row r="7" spans="1:8" ht="15.75" customHeight="1" x14ac:dyDescent="0.25">
      <c r="B7" s="19" t="s">
        <v>115</v>
      </c>
      <c r="C7" s="101">
        <v>0.39461551247407772</v>
      </c>
    </row>
    <row r="8" spans="1:8" ht="15.75" customHeight="1" x14ac:dyDescent="0.25">
      <c r="B8" s="19" t="s">
        <v>117</v>
      </c>
      <c r="C8" s="101">
        <v>7.4852374206232171E-5</v>
      </c>
    </row>
    <row r="9" spans="1:8" ht="15.75" customHeight="1" x14ac:dyDescent="0.25">
      <c r="B9" s="19" t="s">
        <v>111</v>
      </c>
      <c r="C9" s="101">
        <v>0.1777144467984253</v>
      </c>
    </row>
    <row r="10" spans="1:8" ht="15.75" customHeight="1" x14ac:dyDescent="0.25">
      <c r="B10" s="19" t="s">
        <v>113</v>
      </c>
      <c r="C10" s="101">
        <v>5.8719285884333283E-2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0.1802786786201154</v>
      </c>
      <c r="D14" s="55">
        <v>0.1802786786201154</v>
      </c>
      <c r="E14" s="55">
        <v>0.1802786786201154</v>
      </c>
      <c r="F14" s="55">
        <v>0.1802786786201154</v>
      </c>
    </row>
    <row r="15" spans="1:8" ht="15.75" customHeight="1" x14ac:dyDescent="0.25">
      <c r="B15" s="19" t="s">
        <v>121</v>
      </c>
      <c r="C15" s="101">
        <v>0.27581630038978422</v>
      </c>
      <c r="D15" s="101">
        <v>0.27581630038978422</v>
      </c>
      <c r="E15" s="101">
        <v>0.27581630038978422</v>
      </c>
      <c r="F15" s="101">
        <v>0.27581630038978422</v>
      </c>
    </row>
    <row r="16" spans="1:8" ht="15.75" customHeight="1" x14ac:dyDescent="0.25">
      <c r="B16" s="19" t="s">
        <v>2</v>
      </c>
      <c r="C16" s="101">
        <v>5.0478112893712693E-2</v>
      </c>
      <c r="D16" s="101">
        <v>5.0478112893712693E-2</v>
      </c>
      <c r="E16" s="101">
        <v>5.0478112893712693E-2</v>
      </c>
      <c r="F16" s="101">
        <v>5.0478112893712693E-2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3.0939452737560089E-2</v>
      </c>
      <c r="D18" s="101">
        <v>3.0939452737560089E-2</v>
      </c>
      <c r="E18" s="101">
        <v>3.0939452737560089E-2</v>
      </c>
      <c r="F18" s="101">
        <v>3.0939452737560089E-2</v>
      </c>
    </row>
    <row r="19" spans="1:8" ht="15.75" customHeight="1" x14ac:dyDescent="0.25">
      <c r="B19" s="19" t="s">
        <v>120</v>
      </c>
      <c r="C19" s="101">
        <v>1.026055393849703E-2</v>
      </c>
      <c r="D19" s="101">
        <v>1.026055393849703E-2</v>
      </c>
      <c r="E19" s="101">
        <v>1.026055393849703E-2</v>
      </c>
      <c r="F19" s="101">
        <v>1.026055393849703E-2</v>
      </c>
    </row>
    <row r="20" spans="1:8" ht="15.75" customHeight="1" x14ac:dyDescent="0.25">
      <c r="B20" s="19" t="s">
        <v>98</v>
      </c>
      <c r="C20" s="101">
        <v>3.5903363395069353E-2</v>
      </c>
      <c r="D20" s="101">
        <v>3.5903363395069353E-2</v>
      </c>
      <c r="E20" s="101">
        <v>3.5903363395069353E-2</v>
      </c>
      <c r="F20" s="101">
        <v>3.5903363395069353E-2</v>
      </c>
    </row>
    <row r="21" spans="1:8" ht="15.75" customHeight="1" x14ac:dyDescent="0.25">
      <c r="B21" s="19" t="s">
        <v>107</v>
      </c>
      <c r="C21" s="101">
        <v>0.31616327977805031</v>
      </c>
      <c r="D21" s="101">
        <v>0.31616327977805031</v>
      </c>
      <c r="E21" s="101">
        <v>0.31616327977805031</v>
      </c>
      <c r="F21" s="101">
        <v>0.31616327977805031</v>
      </c>
    </row>
    <row r="22" spans="1:8" ht="15.75" customHeight="1" x14ac:dyDescent="0.25">
      <c r="B22" s="19" t="s">
        <v>118</v>
      </c>
      <c r="C22" s="101">
        <v>0.1001602582472108</v>
      </c>
      <c r="D22" s="101">
        <v>0.1001602582472108</v>
      </c>
      <c r="E22" s="101">
        <v>0.1001602582472108</v>
      </c>
      <c r="F22" s="101">
        <v>0.1001602582472108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5.6534050000000002E-2</v>
      </c>
    </row>
    <row r="27" spans="1:8" ht="15.75" customHeight="1" x14ac:dyDescent="0.25">
      <c r="B27" s="19" t="s">
        <v>108</v>
      </c>
      <c r="C27" s="101">
        <v>3.5322311000000002E-2</v>
      </c>
    </row>
    <row r="28" spans="1:8" ht="15.75" customHeight="1" x14ac:dyDescent="0.25">
      <c r="B28" s="19" t="s">
        <v>122</v>
      </c>
      <c r="C28" s="101">
        <v>4.2593103E-2</v>
      </c>
    </row>
    <row r="29" spans="1:8" ht="15.75" customHeight="1" x14ac:dyDescent="0.25">
      <c r="B29" s="19" t="s">
        <v>105</v>
      </c>
      <c r="C29" s="101">
        <v>0.27419058800000001</v>
      </c>
    </row>
    <row r="30" spans="1:8" ht="15.75" customHeight="1" x14ac:dyDescent="0.25">
      <c r="B30" s="19" t="s">
        <v>4</v>
      </c>
      <c r="C30" s="101">
        <v>6.2699299999999999E-2</v>
      </c>
    </row>
    <row r="31" spans="1:8" ht="15.75" customHeight="1" x14ac:dyDescent="0.25">
      <c r="B31" s="19" t="s">
        <v>99</v>
      </c>
      <c r="C31" s="101">
        <v>0.140173941</v>
      </c>
    </row>
    <row r="32" spans="1:8" ht="15.75" customHeight="1" x14ac:dyDescent="0.25">
      <c r="B32" s="19" t="s">
        <v>104</v>
      </c>
      <c r="C32" s="101">
        <v>2.4544165999999999E-2</v>
      </c>
    </row>
    <row r="33" spans="2:3" ht="15.75" customHeight="1" x14ac:dyDescent="0.25">
      <c r="B33" s="19" t="s">
        <v>119</v>
      </c>
      <c r="C33" s="101">
        <v>0.119318915</v>
      </c>
    </row>
    <row r="34" spans="2:3" ht="15.75" customHeight="1" x14ac:dyDescent="0.25">
      <c r="B34" s="19" t="s">
        <v>106</v>
      </c>
      <c r="C34" s="101">
        <v>0.24462362800000001</v>
      </c>
    </row>
    <row r="35" spans="2:3" ht="15.75" customHeight="1" x14ac:dyDescent="0.25">
      <c r="B35" s="27" t="s">
        <v>79</v>
      </c>
      <c r="C35" s="48">
        <f>SUM(C26:C34)</f>
        <v>1.0000000019999999</v>
      </c>
    </row>
  </sheetData>
  <sheetProtection algorithmName="SHA-512" hashValue="w8znNywDFl0G5PwGFLpqrjbcdSo8YnLyBhvgqSmfq0/q9xvTP4KH2lEgjZhpEiRxJNZaXc9BJ8SAMk1I+Nw2UQ==" saltValue="sb81mpXYaLbgfTqeuq+dD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129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125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126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138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0.41148677075000001</v>
      </c>
      <c r="D14" s="54">
        <v>0.38665276676100002</v>
      </c>
      <c r="E14" s="54">
        <v>0.38665276676100002</v>
      </c>
      <c r="F14" s="54">
        <v>0.23521444346199999</v>
      </c>
      <c r="G14" s="54">
        <v>0.23521444346199999</v>
      </c>
      <c r="H14" s="45">
        <v>0.29099999999999998</v>
      </c>
      <c r="I14" s="55">
        <v>0.29099999999999998</v>
      </c>
      <c r="J14" s="55">
        <v>0.29099999999999998</v>
      </c>
      <c r="K14" s="55">
        <v>0.29099999999999998</v>
      </c>
      <c r="L14" s="45">
        <v>0.23599999999999999</v>
      </c>
      <c r="M14" s="55">
        <v>0.23599999999999999</v>
      </c>
      <c r="N14" s="55">
        <v>0.23599999999999999</v>
      </c>
      <c r="O14" s="55">
        <v>0.23599999999999999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0.23871047098717776</v>
      </c>
      <c r="D15" s="52">
        <f t="shared" si="0"/>
        <v>0.22430384309509105</v>
      </c>
      <c r="E15" s="52">
        <f t="shared" si="0"/>
        <v>0.22430384309509105</v>
      </c>
      <c r="F15" s="52">
        <f t="shared" si="0"/>
        <v>0.13645189729784504</v>
      </c>
      <c r="G15" s="52">
        <f t="shared" si="0"/>
        <v>0.13645189729784504</v>
      </c>
      <c r="H15" s="52">
        <f t="shared" si="0"/>
        <v>0.16881404699999999</v>
      </c>
      <c r="I15" s="52">
        <f t="shared" si="0"/>
        <v>0.16881404699999999</v>
      </c>
      <c r="J15" s="52">
        <f t="shared" si="0"/>
        <v>0.16881404699999999</v>
      </c>
      <c r="K15" s="52">
        <f t="shared" si="0"/>
        <v>0.16881404699999999</v>
      </c>
      <c r="L15" s="52">
        <f t="shared" si="0"/>
        <v>0.13690761199999998</v>
      </c>
      <c r="M15" s="52">
        <f t="shared" si="0"/>
        <v>0.13690761199999998</v>
      </c>
      <c r="N15" s="52">
        <f t="shared" si="0"/>
        <v>0.13690761199999998</v>
      </c>
      <c r="O15" s="52">
        <f t="shared" si="0"/>
        <v>0.13690761199999998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XS/buecGwQWXypXd/GLGM4iN36pUkS9KUJIPXPdWVmiJ6ZoDfUzk5Tdn4Q1SOmNp3kpx9dII8SZ59Yl9J7mc8w==" saltValue="gsjP8i7An9jCpunj5KBv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4.7142848888889088E-2</v>
      </c>
      <c r="D5" s="52">
        <f t="shared" si="0"/>
        <v>0.10430043258427002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Mee+sCKC8ad1NGXRHPcOC4snZMC1Bef+++A/kigQxYGvMIm2057YooEko2zsc4wqz85HHIPsp3N+DRsptvh/Zw==" saltValue="aHS59uCgKFVauc6zAPpLa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OVYZsRtcLD6HjdOUbe58Es45PMX3NJkpCHNARC51EU0lk9khfeYQZY+2sDftP+H2EFAV0+jjnqB8B5wLN515dg==" saltValue="1bCa5gfgHFNloOOAdiWZj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4163.51429874522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0.42521000000000003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0.74736999999999998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1.6240982895769779E-2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98027.941210000005</v>
      </c>
      <c r="C22" s="109">
        <v>97928.220270000005</v>
      </c>
      <c r="D22" s="109">
        <v>97781.597519999996</v>
      </c>
      <c r="E22" s="109">
        <v>97432.520189999996</v>
      </c>
      <c r="F22" s="109">
        <v>96963.115000000005</v>
      </c>
      <c r="G22" s="109">
        <v>96489.588149999996</v>
      </c>
      <c r="H22" s="109">
        <v>95931.055770000006</v>
      </c>
      <c r="I22" s="109">
        <v>95151.856369999994</v>
      </c>
      <c r="J22" s="109">
        <v>93945.804000000004</v>
      </c>
      <c r="K22" s="109">
        <v>92040.425470000002</v>
      </c>
      <c r="L22" s="109">
        <v>89096.366930000004</v>
      </c>
      <c r="M22" s="109">
        <v>84789.908230000001</v>
      </c>
      <c r="N22" s="109">
        <v>78581.379870000004</v>
      </c>
      <c r="O22" s="109">
        <v>69889.900070000003</v>
      </c>
    </row>
  </sheetData>
  <sheetProtection algorithmName="SHA-512" hashValue="Esa2eXXn9KDtFPm2GxywzQ7amXnDk1tUQlIzFIOv+VTSK0FF+woqC3leZSSLTnU2KLa8QH3KuGxzKaKMexHBWg==" saltValue="4ATGFA7Cfz83v8Eo1c+8A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K316U2vSRIA7XuaJi02laecEyGRAz9ihkrxLkrAjG6tLX8ZzUoqRvk1q0AEZnF/TJ/3loA8nA75SYi4IsTXg1Q==" saltValue="JmCE7UC6i9kfc9E8LxU7+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VH794Zh1dH7JQhDcr1/IfndtAlg+R0yms7J8UleZoMXJ4PTCCtzLUWn5t2ZI6joMKkqBMs8mfsU5u3KhhISJ9g==" saltValue="dtirG/4A3RhEW6I21H1SE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13.766606960081885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13.766606960081885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0.80999999999999994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1.2802900880707899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0.26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13.70780222005237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13.70780222005237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13.70780222005237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13.70780222005237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13.70780222005237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13.70780222005237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1.57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0.13023111111111099</v>
      </c>
      <c r="C17" s="98">
        <v>0.95</v>
      </c>
      <c r="D17" s="56">
        <v>0.1369044839662158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0.66700000000000004</v>
      </c>
      <c r="C18" s="98">
        <v>0.95</v>
      </c>
      <c r="D18" s="56">
        <v>8.0823886898669404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</v>
      </c>
      <c r="C19" s="98">
        <v>0.95</v>
      </c>
      <c r="D19" s="56">
        <v>5.0635162116449219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8.32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0.80999999999999994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4.5660983713272767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0.67930453000000002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13.47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14.964151740020471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</v>
      </c>
      <c r="C29" s="98">
        <v>0.95</v>
      </c>
      <c r="D29" s="56">
        <v>33.321934882307978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118.83755373592631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0.69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0.78326970000000007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3.45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2.72</v>
      </c>
      <c r="E39" s="56" t="s">
        <v>212</v>
      </c>
      <c r="F39" s="98">
        <v>1</v>
      </c>
      <c r="G39" s="98">
        <v>1</v>
      </c>
    </row>
  </sheetData>
  <sheetProtection algorithmName="SHA-512" hashValue="CfzkoWOFerddzfZ1lIo+jfkTEyaCKP4f/MPjNDt8Ny/IfDOYTglcDZU23Jz1geo0yauPcdXQdoWNfy8NpV5/Tg==" saltValue="ixo/Zq8xxTb9EINoU9Pb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+EscrPCIxy2OrGt+A9/Mg20qEaJLnWfmIOUa1JywfDIjV3R6ZnPj8wiWpV3HPnHalEajHaDUnTnimlM60JXOaQ==" saltValue="jqR+9oAJbB5Ap21hDxjfH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Nk4qlcRUAw/YnqvZgCebVbhqWzhzRV/yh35j4nayq3ESfEmX3ntBvQvBKNjLY3eem+b9Y/AH2W9fzunyTqEO4Q==" saltValue="cVjeYGx2sjofNSh+bz+7u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236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9ulI6ZOzZoqCjTPeYz4ocewp0G0taFnfD32HeB/N+qWdY1BEaoLUawFz9S+r6QhhrlTLtYqP1YoMmL3WJEapuQ==" saltValue="btZLA0aFRyhlCaNh4m35q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4.8000000000000001E-2</v>
      </c>
      <c r="F2" s="60">
        <f>food_insecure</f>
        <v>4.8000000000000001E-2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4.8000000000000001E-2</v>
      </c>
      <c r="F5" s="60">
        <f>food_insecure</f>
        <v>4.8000000000000001E-2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4.8000000000000001E-2</v>
      </c>
      <c r="F8" s="60">
        <f>food_insecure</f>
        <v>4.8000000000000001E-2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4.8000000000000001E-2</v>
      </c>
      <c r="F9" s="60">
        <f>food_insecure</f>
        <v>4.8000000000000001E-2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4.8000000000000001E-2</v>
      </c>
      <c r="I15" s="60">
        <f t="shared" si="0"/>
        <v>4.8000000000000001E-2</v>
      </c>
      <c r="J15" s="60">
        <f t="shared" si="0"/>
        <v>4.8000000000000001E-2</v>
      </c>
      <c r="K15" s="60">
        <f t="shared" si="0"/>
        <v>4.8000000000000001E-2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4.8000000000000001E-2</v>
      </c>
      <c r="I16" s="60">
        <f t="shared" si="0"/>
        <v>4.8000000000000001E-2</v>
      </c>
      <c r="J16" s="60">
        <f t="shared" si="0"/>
        <v>4.8000000000000001E-2</v>
      </c>
      <c r="K16" s="60">
        <f t="shared" si="0"/>
        <v>4.8000000000000001E-2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0.10100000000000001</v>
      </c>
      <c r="M24" s="60">
        <f>famplan_unmet_need</f>
        <v>0.10100000000000001</v>
      </c>
      <c r="N24" s="60">
        <f>famplan_unmet_need</f>
        <v>0.10100000000000001</v>
      </c>
      <c r="O24" s="60">
        <f>famplan_unmet_need</f>
        <v>0.10100000000000001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9.2971377840767991E-2</v>
      </c>
      <c r="M25" s="60">
        <f>(1-food_insecure)*(0.49)+food_insecure*(0.7)</f>
        <v>0.50007999999999997</v>
      </c>
      <c r="N25" s="60">
        <f>(1-food_insecure)*(0.49)+food_insecure*(0.7)</f>
        <v>0.50007999999999997</v>
      </c>
      <c r="O25" s="60">
        <f>(1-food_insecure)*(0.49)+food_insecure*(0.7)</f>
        <v>0.50007999999999997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3.9844876217472E-2</v>
      </c>
      <c r="M26" s="60">
        <f>(1-food_insecure)*(0.21)+food_insecure*(0.3)</f>
        <v>0.21431999999999998</v>
      </c>
      <c r="N26" s="60">
        <f>(1-food_insecure)*(0.21)+food_insecure*(0.3)</f>
        <v>0.21431999999999998</v>
      </c>
      <c r="O26" s="60">
        <f>(1-food_insecure)*(0.21)+food_insecure*(0.3)</f>
        <v>0.21431999999999998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5.309675554176E-2</v>
      </c>
      <c r="M27" s="60">
        <f>(1-food_insecure)*(0.3)</f>
        <v>0.28559999999999997</v>
      </c>
      <c r="N27" s="60">
        <f>(1-food_insecure)*(0.3)</f>
        <v>0.28559999999999997</v>
      </c>
      <c r="O27" s="60">
        <f>(1-food_insecure)*(0.3)</f>
        <v>0.28559999999999997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0.81408699039999988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MKerNURCdmevzwUTSOx4Fx6FLjnBHrqRes3kTVuDBotsK0XzweYyYFJYzd6UUttNfuhpRmXDpqicbHT3TEuHzA==" saltValue="zsrHnfDnmWwhIfRhNw8Bf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1nMC2BeqEP9UDhKochCVeY34GVzytqv6ImLzypbAZs+c2JztzA8oXS+C/U/BXfWYDw4gxVeQFHHFhBbDKdfUTQ==" saltValue="zqMf2NXoJAzZ0jv9nrQOh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y1HXeq59kTx843DREEWr3y79LK09wnfSxfaUnxR4bL4EoWE92cwnfKH9fGba1A72aFDnf+dq9DZFXfEncszAaw==" saltValue="zRBGMGboPFo3JFAPDqvfk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QF+4ezJxG4PGju60lkRPJUX3gkpJZoCLv+Q78Q3JcciabeGYl4p0iYUNABByaKBfiUo4KZKsycO7PFs/34y11w==" saltValue="Nmhfs499PtCcnzVl3T9pt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Z0qpXgdh4cTI1dBUTybAVTRKS2tDy/jQIs689UxqwTmGOlvbJa9pttAjHRh8qZOwAMqpEynZJ8z9oSSl3/RJiQ==" saltValue="j4k4a/WRF2WF8RPCHVGqy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YEjbC9gKjpzfl8lB2fqJOmk69fxQB5PcxlSvgDVgZwTQB4ZF65o3yCcdmXQNWpWnSnvFL8HonlJTAPOU8vx7QQ==" saltValue="0mkaflRB/rXk+RIXJyEoK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8RIhiGJuaGo5Nnpe6uOdwp+nn4f1OpJdq5QQJI2xyjkSWhcGJwbrYNYk9HUJ8ewaDxtHBqZ6F+jYxtXmY4GdfA==" saltValue="Suxvy8bG9eH0OMEG58n4L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gFTI75QYSv9HZuIej2/j6ppZfzxKzJvyyQN4EgQHQvp9EP8rJWmrnFnU6Qng7Iq3B5z3ObjL9gS8PwhJX0vY2w==" saltValue="xivEtOYCQ9NqpeGFR4bi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GfLre/EGfsjPlcHjlTx/P+TYaLkcBycD761AMT1g/e5q+DLe13ipyi8TdmKM5tcwYRZ3j6R/NaZezdUZ6lczEQ==" saltValue="zOEB9Lg8Jk9ryDtnj3H9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AcN4fc9O1Ie60lQ+y4CRb6LW44FLDFYBQRKn99V7BQ362QuXv1BGIIV/KI7JxijhwE9Z7QdrQhaYJvRwkZ8ww==" saltValue="6RH85Tr8Vdhwlux7lCc2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+x3Mo5U4XQT71VQ/qswlsPTCCMgcWnoh65JhUK0wnsJUN618pxxZ4XtTyc7tL1DrRpGunX2QOPEeZ0SynFcTvg==" saltValue="ZAgG1g7s7bFtLXZZlUPV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z39REmdW74LH9GtwJnl35HYuXs72GbnDx/xcuM1icuuKBP7JAgko+38mcvpF2/SDdcEZbzFnPx8qko5OnmcIw==" saltValue="z5ehUKm1yc7L33IyJ05F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fxjNamMkC14VOnyLfDHo7e6MRM8ao8HhkaJ4iD1jmcATtg5iQtWHabjtI+EtCAG6Pu4qETLH9jeCrGqrpmV8A==" saltValue="R8aK033JAKpod8p1RZuKW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c/y/ceVJa0VE5SicYfPf11ljlV8lXHrHoH9mawlTs6qXGAvAJrVjfikoOGAmGbLJ89XD+13eIKlh+csMt2Mf5w==" saltValue="dgPRdIVGldm4h9lO5P7h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5HhdgTvDGtKLbBMWALkJm/DOiiEn2YZNcOuPI3e7C9ZsUWxpIfMYIoN1lbnuH9eoeAij3ezqs/bb4dmos4smvA==" saltValue="lXNQKQfrE1Ef19R89D9Fb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2025-07-08T03:45:40Z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