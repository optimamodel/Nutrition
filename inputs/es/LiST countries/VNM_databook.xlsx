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3B5E66AF-237E-43E4-9CED-0ED1AC50F242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I4" i="2" l="1"/>
  <c r="A19" i="2"/>
  <c r="I6" i="2"/>
  <c r="I12" i="2"/>
  <c r="I38" i="2"/>
  <c r="A35" i="2"/>
  <c r="A36" i="2"/>
  <c r="I7" i="2"/>
  <c r="I13" i="2"/>
  <c r="A37" i="2"/>
  <c r="A22" i="2"/>
  <c r="I39" i="2"/>
  <c r="A23" i="2"/>
  <c r="A24" i="2"/>
  <c r="A40" i="2"/>
  <c r="A26" i="2"/>
  <c r="I11" i="2"/>
  <c r="A31" i="2"/>
  <c r="A25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<sst xmlns="http://schemas.openxmlformats.org/spreadsheetml/2006/main" count="2169" uniqueCount="373">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</sst>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6900235.5</v>
      </c>
    </row>
    <row r="8" spans="1:3" ht="15" customHeight="1" x14ac:dyDescent="0.25">
      <c r="B8" s="5" t="s">
        <v>63</v>
      </c>
      <c r="C8" s="44">
        <v>4.8000000000000001E-2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0.81408699039999999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0.10100000000000001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8.1799999999999998E-2</v>
      </c>
    </row>
    <row r="24" spans="1:3" ht="15" customHeight="1" x14ac:dyDescent="0.25">
      <c r="B24" s="15" t="s">
        <v>65</v>
      </c>
      <c r="C24" s="45">
        <v>0.59670000000000001</v>
      </c>
    </row>
    <row r="25" spans="1:3" ht="15" customHeight="1" x14ac:dyDescent="0.25">
      <c r="B25" s="15" t="s">
        <v>66</v>
      </c>
      <c r="C25" s="45">
        <v>0.30309999999999998</v>
      </c>
    </row>
    <row r="26" spans="1:3" ht="15" customHeight="1" x14ac:dyDescent="0.25">
      <c r="B26" s="15" t="s">
        <v>67</v>
      </c>
      <c r="C26" s="45">
        <v>1.84E-2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0.34994163924792399</v>
      </c>
    </row>
    <row r="30" spans="1:3" ht="14.25" customHeight="1" x14ac:dyDescent="0.25">
      <c r="B30" s="25" t="s">
        <v>82</v>
      </c>
      <c r="C30" s="97">
        <v>0.10516916316476101</v>
      </c>
    </row>
    <row r="31" spans="1:3" ht="14.25" customHeight="1" x14ac:dyDescent="0.25">
      <c r="B31" s="25" t="s">
        <v>29</v>
      </c>
      <c r="C31" s="97">
        <v>8.4505866375242988E-2</v>
      </c>
    </row>
    <row r="32" spans="1:3" ht="14.25" customHeight="1" x14ac:dyDescent="0.25">
      <c r="B32" s="25" t="s">
        <v>30</v>
      </c>
      <c r="C32" s="97">
        <v>0.46038333121207198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14.99222</v>
      </c>
    </row>
    <row r="38" spans="1:5" ht="15" customHeight="1" x14ac:dyDescent="0.25">
      <c r="B38" s="11" t="s">
        <v>54</v>
      </c>
      <c r="C38" s="43">
        <v>21.063030000000001</v>
      </c>
      <c r="D38" s="12"/>
      <c r="E38" s="13"/>
    </row>
    <row r="39" spans="1:5" ht="15" customHeight="1" x14ac:dyDescent="0.25">
      <c r="B39" s="11" t="s">
        <v>80</v>
      </c>
      <c r="C39" s="43">
        <v>24.22973</v>
      </c>
      <c r="D39" s="12"/>
      <c r="E39" s="12"/>
    </row>
    <row r="40" spans="1:5" ht="15" customHeight="1" x14ac:dyDescent="0.25">
      <c r="B40" s="11" t="s">
        <v>55</v>
      </c>
      <c r="C40" s="98">
        <v>2.59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10.689030000000001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7.0407000000000004E-3</v>
      </c>
      <c r="D45" s="12"/>
    </row>
    <row r="46" spans="1:5" ht="15.75" customHeight="1" x14ac:dyDescent="0.25">
      <c r="B46" s="11" t="s">
        <v>70</v>
      </c>
      <c r="C46" s="45">
        <v>7.5650899999999993E-2</v>
      </c>
      <c r="D46" s="12"/>
    </row>
    <row r="47" spans="1:5" ht="15.75" customHeight="1" x14ac:dyDescent="0.25">
      <c r="B47" s="11" t="s">
        <v>78</v>
      </c>
      <c r="C47" s="45">
        <v>7.4305499999999997E-2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3.2</v>
      </c>
      <c r="D51" s="12"/>
    </row>
    <row r="52" spans="1:4" ht="15" customHeight="1" x14ac:dyDescent="0.25">
      <c r="B52" s="11" t="s">
        <v>32</v>
      </c>
      <c r="C52" s="98">
        <v>3.2</v>
      </c>
    </row>
    <row r="53" spans="1:4" ht="15.75" customHeight="1" x14ac:dyDescent="0.25">
      <c r="B53" s="11" t="s">
        <v>35</v>
      </c>
      <c r="C53" s="98">
        <v>3.2</v>
      </c>
    </row>
    <row r="54" spans="1:4" ht="15.75" customHeight="1" x14ac:dyDescent="0.25">
      <c r="B54" s="11" t="s">
        <v>33</v>
      </c>
      <c r="C54" s="98">
        <v>3.2</v>
      </c>
    </row>
    <row r="55" spans="1:4" ht="15.75" customHeight="1" x14ac:dyDescent="0.25">
      <c r="B55" s="11" t="s">
        <v>34</v>
      </c>
      <c r="C55" s="98">
        <v>3.2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0.58011699999999999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6.311217509E-2</v>
      </c>
    </row>
    <row r="63" spans="1:4" ht="15.75" customHeight="1" x14ac:dyDescent="0.3">
      <c r="A63" s="4"/>
    </row>
  </sheetData>
  <sheetProtection algorithmName="SHA-512" hashValue="ZLijYnwFdugLwAZrecD6jt1g5i8kZa87EYiR5UYMc3Zmrel5hXhgQ5cniQR7OfXJ1MV7Yo/5ctstomfxBI2K6A==" saltValue="dnjdBBu+nES3w5he7uf7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1355563</v>
      </c>
      <c r="C2" s="49">
        <v>3617395.5</v>
      </c>
      <c r="D2" s="49">
        <v>6570464.5</v>
      </c>
      <c r="E2" s="49">
        <v>8487072.5</v>
      </c>
      <c r="F2" s="49">
        <v>7250662</v>
      </c>
      <c r="G2" s="17">
        <f t="shared" ref="G2:G13" si="0">C2+D2+E2+F2</f>
        <v>25925594.5</v>
      </c>
      <c r="H2" s="17">
        <f t="shared" ref="H2:H13" si="1">(B2 + stillbirth*B2/(1000-stillbirth))/(1-abortion)</f>
        <v>1557055.9174129041</v>
      </c>
      <c r="I2" s="17">
        <f t="shared" ref="I2:I13" si="2">G2-H2</f>
        <v>24368538.582587097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1328422</v>
      </c>
      <c r="C3" s="50">
        <v>3681317</v>
      </c>
      <c r="D3" s="50">
        <v>6484170.5</v>
      </c>
      <c r="E3" s="50">
        <v>8366224.5</v>
      </c>
      <c r="F3" s="50">
        <v>7451784.5</v>
      </c>
      <c r="G3" s="17">
        <f t="shared" si="0"/>
        <v>25983496.5</v>
      </c>
      <c r="H3" s="17">
        <f t="shared" si="1"/>
        <v>1525880.6384664415</v>
      </c>
      <c r="I3" s="17">
        <f t="shared" si="2"/>
        <v>24457615.86153356</v>
      </c>
    </row>
    <row r="4" spans="1:9" ht="15.75" customHeight="1" x14ac:dyDescent="0.25">
      <c r="A4" s="5">
        <f t="shared" si="3"/>
        <v>2026</v>
      </c>
      <c r="B4" s="49">
        <v>1307471</v>
      </c>
      <c r="C4" s="50">
        <v>3750530</v>
      </c>
      <c r="D4" s="50">
        <v>6450836.4999999991</v>
      </c>
      <c r="E4" s="50">
        <v>8231826.9999999991</v>
      </c>
      <c r="F4" s="50">
        <v>7602684.4999999991</v>
      </c>
      <c r="G4" s="17">
        <f t="shared" si="0"/>
        <v>26035878</v>
      </c>
      <c r="H4" s="17">
        <f t="shared" si="1"/>
        <v>1501815.45040383</v>
      </c>
      <c r="I4" s="17">
        <f t="shared" si="2"/>
        <v>24534062.549596168</v>
      </c>
    </row>
    <row r="5" spans="1:9" ht="15.75" customHeight="1" x14ac:dyDescent="0.25">
      <c r="A5" s="5">
        <f t="shared" si="3"/>
        <v>2027</v>
      </c>
      <c r="B5" s="49">
        <v>1290702</v>
      </c>
      <c r="C5" s="50">
        <v>3907084.5</v>
      </c>
      <c r="D5" s="50">
        <v>6493461</v>
      </c>
      <c r="E5" s="50">
        <v>8056513.0000000009</v>
      </c>
      <c r="F5" s="50">
        <v>7748243.5000000009</v>
      </c>
      <c r="G5" s="17">
        <f t="shared" si="0"/>
        <v>26205302</v>
      </c>
      <c r="H5" s="17">
        <f t="shared" si="1"/>
        <v>1482553.8810934424</v>
      </c>
      <c r="I5" s="17">
        <f t="shared" si="2"/>
        <v>24722748.118906558</v>
      </c>
    </row>
    <row r="6" spans="1:9" ht="15.75" customHeight="1" x14ac:dyDescent="0.25">
      <c r="A6" s="5">
        <f t="shared" si="3"/>
        <v>2028</v>
      </c>
      <c r="B6" s="49">
        <v>1280143</v>
      </c>
      <c r="C6" s="50">
        <v>4067401.5</v>
      </c>
      <c r="D6" s="50">
        <v>6604544</v>
      </c>
      <c r="E6" s="50">
        <v>7822756.4999999991</v>
      </c>
      <c r="F6" s="50">
        <v>7906886</v>
      </c>
      <c r="G6" s="17">
        <f t="shared" si="0"/>
        <v>26401588</v>
      </c>
      <c r="H6" s="17">
        <f t="shared" si="1"/>
        <v>1470425.3754969023</v>
      </c>
      <c r="I6" s="17">
        <f t="shared" si="2"/>
        <v>24931162.624503098</v>
      </c>
    </row>
    <row r="7" spans="1:9" ht="15.75" customHeight="1" x14ac:dyDescent="0.25">
      <c r="A7" s="5">
        <f t="shared" si="3"/>
        <v>2029</v>
      </c>
      <c r="B7" s="49">
        <v>1275327</v>
      </c>
      <c r="C7" s="50">
        <v>4151109.0000000005</v>
      </c>
      <c r="D7" s="50">
        <v>6746609.5000000009</v>
      </c>
      <c r="E7" s="50">
        <v>7550120</v>
      </c>
      <c r="F7" s="50">
        <v>8066781.5</v>
      </c>
      <c r="G7" s="17">
        <f t="shared" si="0"/>
        <v>26514620</v>
      </c>
      <c r="H7" s="17">
        <f t="shared" si="1"/>
        <v>1464893.518033796</v>
      </c>
      <c r="I7" s="17">
        <f t="shared" si="2"/>
        <v>25049726.481966205</v>
      </c>
    </row>
    <row r="8" spans="1:9" ht="15.75" customHeight="1" x14ac:dyDescent="0.25">
      <c r="A8" s="5">
        <f t="shared" si="3"/>
        <v>2030</v>
      </c>
      <c r="B8" s="49">
        <v>1275653</v>
      </c>
      <c r="C8" s="50">
        <v>4233806</v>
      </c>
      <c r="D8" s="50">
        <v>6849355.5</v>
      </c>
      <c r="E8" s="50">
        <v>7269343.5</v>
      </c>
      <c r="F8" s="50">
        <v>8247697.5</v>
      </c>
      <c r="G8" s="17">
        <f t="shared" si="0"/>
        <v>26600202.5</v>
      </c>
      <c r="H8" s="17">
        <f t="shared" si="1"/>
        <v>1465267.9751627357</v>
      </c>
      <c r="I8" s="17">
        <f t="shared" si="2"/>
        <v>25134934.524837263</v>
      </c>
    </row>
    <row r="9" spans="1:9" ht="15.75" customHeight="1" x14ac:dyDescent="0.25">
      <c r="A9" s="5">
        <f t="shared" si="3"/>
        <v>2031</v>
      </c>
      <c r="B9" s="49">
        <v>1277512</v>
      </c>
      <c r="C9" s="50">
        <v>4265530.5</v>
      </c>
      <c r="D9" s="50">
        <v>6968673.5</v>
      </c>
      <c r="E9" s="50">
        <v>7011120.5</v>
      </c>
      <c r="F9" s="50">
        <v>8401509.5</v>
      </c>
      <c r="G9" s="17">
        <f t="shared" si="0"/>
        <v>26646834</v>
      </c>
      <c r="H9" s="17">
        <f t="shared" si="1"/>
        <v>1467403.2997108905</v>
      </c>
      <c r="I9" s="17">
        <f t="shared" si="2"/>
        <v>25179430.700289108</v>
      </c>
    </row>
    <row r="10" spans="1:9" ht="15.75" customHeight="1" x14ac:dyDescent="0.25">
      <c r="A10" s="5">
        <f t="shared" si="3"/>
        <v>2032</v>
      </c>
      <c r="B10" s="49">
        <v>1282500</v>
      </c>
      <c r="C10" s="50">
        <v>4141381.9999999995</v>
      </c>
      <c r="D10" s="50">
        <v>7215709</v>
      </c>
      <c r="E10" s="50">
        <v>6781541.4999999991</v>
      </c>
      <c r="F10" s="50">
        <v>8466952.5</v>
      </c>
      <c r="G10" s="17">
        <f t="shared" si="0"/>
        <v>26605585</v>
      </c>
      <c r="H10" s="17">
        <f t="shared" si="1"/>
        <v>1473132.7235119648</v>
      </c>
      <c r="I10" s="17">
        <f t="shared" si="2"/>
        <v>25132452.276488036</v>
      </c>
    </row>
    <row r="11" spans="1:9" ht="15.75" customHeight="1" x14ac:dyDescent="0.25">
      <c r="A11" s="5">
        <f t="shared" si="3"/>
        <v>2033</v>
      </c>
      <c r="B11" s="49">
        <v>1290081</v>
      </c>
      <c r="C11" s="50">
        <v>3954697.5</v>
      </c>
      <c r="D11" s="50">
        <v>7462897.9999999991</v>
      </c>
      <c r="E11" s="50">
        <v>6605728</v>
      </c>
      <c r="F11" s="50">
        <v>8454573</v>
      </c>
      <c r="G11" s="17">
        <f t="shared" si="0"/>
        <v>26477896.5</v>
      </c>
      <c r="H11" s="17">
        <f t="shared" si="1"/>
        <v>1481840.5747220577</v>
      </c>
      <c r="I11" s="17">
        <f t="shared" si="2"/>
        <v>24996055.925277941</v>
      </c>
    </row>
    <row r="12" spans="1:9" ht="15.75" customHeight="1" x14ac:dyDescent="0.25">
      <c r="A12" s="5">
        <f t="shared" si="3"/>
        <v>2034</v>
      </c>
      <c r="B12" s="49">
        <v>1298215</v>
      </c>
      <c r="C12" s="50">
        <v>3798643.5</v>
      </c>
      <c r="D12" s="50">
        <v>7628657.9999999991</v>
      </c>
      <c r="E12" s="50">
        <v>6489644</v>
      </c>
      <c r="F12" s="50">
        <v>8377187</v>
      </c>
      <c r="G12" s="17">
        <f t="shared" si="0"/>
        <v>26294132.5</v>
      </c>
      <c r="H12" s="17">
        <f t="shared" si="1"/>
        <v>1491183.624681548</v>
      </c>
      <c r="I12" s="17">
        <f t="shared" si="2"/>
        <v>24802948.875318453</v>
      </c>
    </row>
    <row r="13" spans="1:9" ht="15.75" customHeight="1" x14ac:dyDescent="0.25">
      <c r="A13" s="5">
        <f t="shared" si="3"/>
        <v>2035</v>
      </c>
      <c r="B13" s="49">
        <v>1305800</v>
      </c>
      <c r="C13" s="50">
        <v>3657194</v>
      </c>
      <c r="D13" s="50">
        <v>7776391</v>
      </c>
      <c r="E13" s="50">
        <v>6408577.9999999991</v>
      </c>
      <c r="F13" s="50">
        <v>8260573</v>
      </c>
      <c r="G13" s="17">
        <f t="shared" si="0"/>
        <v>26102736</v>
      </c>
      <c r="H13" s="17">
        <f t="shared" si="1"/>
        <v>1499896.0704576401</v>
      </c>
      <c r="I13" s="17">
        <f t="shared" si="2"/>
        <v>24602839.929542359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9i7R6aH1Vp3TpOnWl8VJCsJFXE08EgDeP1L//PRNwcHG8cKvxN8wS/AWYVzNvAuUc95gBx9bcO1r6xoYnkSDOA==" saltValue="THDwRSfYgkHPpswoP0vuA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99">
        <v>0.16119969142408941</v>
      </c>
    </row>
    <row r="5" spans="1:8" ht="15.75" customHeight="1" x14ac:dyDescent="0.25">
      <c r="B5" s="19" t="s">
        <v>114</v>
      </c>
      <c r="C5" s="99">
        <v>6.5832262834305141E-2</v>
      </c>
    </row>
    <row r="6" spans="1:8" ht="15.75" customHeight="1" x14ac:dyDescent="0.25">
      <c r="B6" s="19" t="s">
        <v>110</v>
      </c>
      <c r="C6" s="99">
        <v>0.14184394821056301</v>
      </c>
    </row>
    <row r="7" spans="1:8" ht="15.75" customHeight="1" x14ac:dyDescent="0.25">
      <c r="B7" s="19" t="s">
        <v>115</v>
      </c>
      <c r="C7" s="99">
        <v>0.39461551247407772</v>
      </c>
    </row>
    <row r="8" spans="1:8" ht="15.75" customHeight="1" x14ac:dyDescent="0.25">
      <c r="B8" s="19" t="s">
        <v>117</v>
      </c>
      <c r="C8" s="99">
        <v>7.4852374206232171E-5</v>
      </c>
    </row>
    <row r="9" spans="1:8" ht="15.75" customHeight="1" x14ac:dyDescent="0.25">
      <c r="B9" s="19" t="s">
        <v>111</v>
      </c>
      <c r="C9" s="99">
        <v>0.1777144467984253</v>
      </c>
    </row>
    <row r="10" spans="1:8" ht="15.75" customHeight="1" x14ac:dyDescent="0.25">
      <c r="B10" s="19" t="s">
        <v>113</v>
      </c>
      <c r="C10" s="99">
        <v>5.8719285884333283E-2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0.1802786786201154</v>
      </c>
      <c r="D14" s="55">
        <v>0.1802786786201154</v>
      </c>
      <c r="E14" s="55">
        <v>0.1802786786201154</v>
      </c>
      <c r="F14" s="55">
        <v>0.1802786786201154</v>
      </c>
    </row>
    <row r="15" spans="1:8" ht="15.75" customHeight="1" x14ac:dyDescent="0.25">
      <c r="B15" s="19" t="s">
        <v>121</v>
      </c>
      <c r="C15" s="99">
        <v>0.27581630038978422</v>
      </c>
      <c r="D15" s="99">
        <v>0.27581630038978422</v>
      </c>
      <c r="E15" s="99">
        <v>0.27581630038978422</v>
      </c>
      <c r="F15" s="99">
        <v>0.27581630038978422</v>
      </c>
    </row>
    <row r="16" spans="1:8" ht="15.75" customHeight="1" x14ac:dyDescent="0.25">
      <c r="B16" s="19" t="s">
        <v>2</v>
      </c>
      <c r="C16" s="99">
        <v>5.0478112893712693E-2</v>
      </c>
      <c r="D16" s="99">
        <v>5.0478112893712693E-2</v>
      </c>
      <c r="E16" s="99">
        <v>5.0478112893712693E-2</v>
      </c>
      <c r="F16" s="99">
        <v>5.0478112893712693E-2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3.0939452737560089E-2</v>
      </c>
      <c r="D18" s="99">
        <v>3.0939452737560089E-2</v>
      </c>
      <c r="E18" s="99">
        <v>3.0939452737560089E-2</v>
      </c>
      <c r="F18" s="99">
        <v>3.0939452737560089E-2</v>
      </c>
    </row>
    <row r="19" spans="1:8" ht="15.75" customHeight="1" x14ac:dyDescent="0.25">
      <c r="B19" s="19" t="s">
        <v>120</v>
      </c>
      <c r="C19" s="99">
        <v>1.026055393849703E-2</v>
      </c>
      <c r="D19" s="99">
        <v>1.026055393849703E-2</v>
      </c>
      <c r="E19" s="99">
        <v>1.026055393849703E-2</v>
      </c>
      <c r="F19" s="99">
        <v>1.026055393849703E-2</v>
      </c>
    </row>
    <row r="20" spans="1:8" ht="15.75" customHeight="1" x14ac:dyDescent="0.25">
      <c r="B20" s="19" t="s">
        <v>98</v>
      </c>
      <c r="C20" s="99">
        <v>3.5903363395069353E-2</v>
      </c>
      <c r="D20" s="99">
        <v>3.5903363395069353E-2</v>
      </c>
      <c r="E20" s="99">
        <v>3.5903363395069353E-2</v>
      </c>
      <c r="F20" s="99">
        <v>3.5903363395069353E-2</v>
      </c>
    </row>
    <row r="21" spans="1:8" ht="15.75" customHeight="1" x14ac:dyDescent="0.25">
      <c r="B21" s="19" t="s">
        <v>107</v>
      </c>
      <c r="C21" s="99">
        <v>0.31616327977805031</v>
      </c>
      <c r="D21" s="99">
        <v>0.31616327977805031</v>
      </c>
      <c r="E21" s="99">
        <v>0.31616327977805031</v>
      </c>
      <c r="F21" s="99">
        <v>0.31616327977805031</v>
      </c>
    </row>
    <row r="22" spans="1:8" ht="15.75" customHeight="1" x14ac:dyDescent="0.25">
      <c r="B22" s="19" t="s">
        <v>118</v>
      </c>
      <c r="C22" s="99">
        <v>0.1001602582472108</v>
      </c>
      <c r="D22" s="99">
        <v>0.1001602582472108</v>
      </c>
      <c r="E22" s="99">
        <v>0.1001602582472108</v>
      </c>
      <c r="F22" s="99">
        <v>0.1001602582472108</v>
      </c>
    </row>
    <row r="23" spans="1:8" ht="15.75" customHeight="1" x14ac:dyDescent="0.25">
      <c r="B23" s="27" t="s">
        <v>79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5.6534050000000002E-2</v>
      </c>
    </row>
    <row r="27" spans="1:8" ht="15.75" customHeight="1" x14ac:dyDescent="0.25">
      <c r="B27" s="19" t="s">
        <v>108</v>
      </c>
      <c r="C27" s="99">
        <v>3.5322311000000002E-2</v>
      </c>
    </row>
    <row r="28" spans="1:8" ht="15.75" customHeight="1" x14ac:dyDescent="0.25">
      <c r="B28" s="19" t="s">
        <v>122</v>
      </c>
      <c r="C28" s="99">
        <v>4.2593103E-2</v>
      </c>
    </row>
    <row r="29" spans="1:8" ht="15.75" customHeight="1" x14ac:dyDescent="0.25">
      <c r="B29" s="19" t="s">
        <v>105</v>
      </c>
      <c r="C29" s="99">
        <v>0.27419058800000001</v>
      </c>
    </row>
    <row r="30" spans="1:8" ht="15.75" customHeight="1" x14ac:dyDescent="0.25">
      <c r="B30" s="19" t="s">
        <v>4</v>
      </c>
      <c r="C30" s="99">
        <v>6.2699299999999999E-2</v>
      </c>
    </row>
    <row r="31" spans="1:8" ht="15.75" customHeight="1" x14ac:dyDescent="0.25">
      <c r="B31" s="19" t="s">
        <v>99</v>
      </c>
      <c r="C31" s="99">
        <v>0.140173941</v>
      </c>
    </row>
    <row r="32" spans="1:8" ht="15.75" customHeight="1" x14ac:dyDescent="0.25">
      <c r="B32" s="19" t="s">
        <v>104</v>
      </c>
      <c r="C32" s="99">
        <v>2.4544165999999999E-2</v>
      </c>
    </row>
    <row r="33" spans="2:3" ht="15.75" customHeight="1" x14ac:dyDescent="0.25">
      <c r="B33" s="19" t="s">
        <v>119</v>
      </c>
      <c r="C33" s="99">
        <v>0.119318915</v>
      </c>
    </row>
    <row r="34" spans="2:3" ht="15.75" customHeight="1" x14ac:dyDescent="0.25">
      <c r="B34" s="19" t="s">
        <v>106</v>
      </c>
      <c r="C34" s="99">
        <v>0.24462362800000001</v>
      </c>
    </row>
    <row r="35" spans="2:3" ht="15.75" customHeight="1" x14ac:dyDescent="0.25">
      <c r="B35" s="27" t="s">
        <v>79</v>
      </c>
      <c r="C35" s="48">
        <f>SUM(C26:C34)</f>
        <v>1.0000000019999999</v>
      </c>
    </row>
  </sheetData>
  <sheetProtection algorithmName="SHA-512" hashValue="pHU/gmkF/5uES787S9zV4vz6tW3N2jON1T/Mg6TNFG0phbGjhfH2AiT3gOP3EXO4QuySqffyRUnzDGiZSxt3CA==" saltValue="xGmaOUWELjKw0F50OTwr0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129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125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126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138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0.41148677075000001</v>
      </c>
      <c r="D14" s="54">
        <v>0.38665276676100002</v>
      </c>
      <c r="E14" s="54">
        <v>0.38665276676100002</v>
      </c>
      <c r="F14" s="54">
        <v>0.23521444346199999</v>
      </c>
      <c r="G14" s="54">
        <v>0.23521444346199999</v>
      </c>
      <c r="H14" s="45">
        <v>0.29099999999999998</v>
      </c>
      <c r="I14" s="55">
        <v>0.29099999999999998</v>
      </c>
      <c r="J14" s="55">
        <v>0.29099999999999998</v>
      </c>
      <c r="K14" s="55">
        <v>0.29099999999999998</v>
      </c>
      <c r="L14" s="45">
        <v>0.23599999999999999</v>
      </c>
      <c r="M14" s="55">
        <v>0.23599999999999999</v>
      </c>
      <c r="N14" s="55">
        <v>0.23599999999999999</v>
      </c>
      <c r="O14" s="55">
        <v>0.23599999999999999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0.23871047098717776</v>
      </c>
      <c r="D15" s="52">
        <f t="shared" si="0"/>
        <v>0.22430384309509105</v>
      </c>
      <c r="E15" s="52">
        <f t="shared" si="0"/>
        <v>0.22430384309509105</v>
      </c>
      <c r="F15" s="52">
        <f t="shared" si="0"/>
        <v>0.13645189729784504</v>
      </c>
      <c r="G15" s="52">
        <f t="shared" si="0"/>
        <v>0.13645189729784504</v>
      </c>
      <c r="H15" s="52">
        <f t="shared" si="0"/>
        <v>0.16881404699999999</v>
      </c>
      <c r="I15" s="52">
        <f t="shared" si="0"/>
        <v>0.16881404699999999</v>
      </c>
      <c r="J15" s="52">
        <f t="shared" si="0"/>
        <v>0.16881404699999999</v>
      </c>
      <c r="K15" s="52">
        <f t="shared" si="0"/>
        <v>0.16881404699999999</v>
      </c>
      <c r="L15" s="52">
        <f t="shared" si="0"/>
        <v>0.13690761199999998</v>
      </c>
      <c r="M15" s="52">
        <f t="shared" si="0"/>
        <v>0.13690761199999998</v>
      </c>
      <c r="N15" s="52">
        <f t="shared" si="0"/>
        <v>0.13690761199999998</v>
      </c>
      <c r="O15" s="52">
        <f t="shared" si="0"/>
        <v>0.13690761199999998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0B2yYKf5FIKrs8MArSuqGAUxK5efcYvImLsW9bDivumSuyOVTYRJBU/FY+Fs6XBmauEX7oDRZrQg2WujDYRfLA==" saltValue="vBboNOYncF84bh2dKOYJ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0.53986826333333293</v>
      </c>
      <c r="D2" s="53">
        <v>0.36057784494382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0.118684952222222</v>
      </c>
      <c r="D3" s="53">
        <v>0.128159826966292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0.29430393555555601</v>
      </c>
      <c r="D4" s="53">
        <v>0.40696189550561801</v>
      </c>
      <c r="E4" s="53">
        <v>0.73861227826087006</v>
      </c>
      <c r="F4" s="53">
        <v>0.484822646739131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4.7142848888889088E-2</v>
      </c>
      <c r="D5" s="52">
        <f t="shared" si="0"/>
        <v>0.10430043258427002</v>
      </c>
      <c r="E5" s="52">
        <f>1-SUM(E2:E4)</f>
        <v>0.26138772173912994</v>
      </c>
      <c r="F5" s="52">
        <f>1-SUM(F2:F4)</f>
        <v>0.515177353260869</v>
      </c>
      <c r="G5" s="52">
        <f>1-SUM(G2:G4)</f>
        <v>1</v>
      </c>
    </row>
  </sheetData>
  <sheetProtection algorithmName="SHA-512" hashValue="skd5C+h8FmFX8mAeBg9X1+1mrUElfNAy6KZxsfsZUTmnq0EoXrSvWDEAaCVVvFaLt6UOQJfHI4wRDMuuahWa/g==" saltValue="WYvDqWTTAIWofYioHycL6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ibXlafJxNFJwi4P0URiysVRjtPOObgmwXReVnn+toomOWuRKw9DeqF6h5HMgj5R5JKjtWGT7hroRHdEWYXYJg==" saltValue="Yg/2QLEAEzG2hzCUXs6z8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4163.51429874522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0.42521000000000003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0.74736999999999998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1.6240982895769779E-2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98027.941210000005</v>
      </c>
      <c r="C22" s="107">
        <v>97928.220270000005</v>
      </c>
      <c r="D22" s="107">
        <v>97781.597519999996</v>
      </c>
      <c r="E22" s="107">
        <v>97432.520189999996</v>
      </c>
      <c r="F22" s="107">
        <v>96963.115000000005</v>
      </c>
      <c r="G22" s="107">
        <v>96489.588149999996</v>
      </c>
      <c r="H22" s="107">
        <v>95931.055770000006</v>
      </c>
      <c r="I22" s="107">
        <v>95151.856369999994</v>
      </c>
      <c r="J22" s="107">
        <v>93945.804000000004</v>
      </c>
      <c r="K22" s="107">
        <v>92040.425470000002</v>
      </c>
      <c r="L22" s="107">
        <v>89096.366930000004</v>
      </c>
      <c r="M22" s="107">
        <v>84789.908230000001</v>
      </c>
      <c r="N22" s="107">
        <v>78581.379870000004</v>
      </c>
      <c r="O22" s="107">
        <v>69889.900070000003</v>
      </c>
    </row>
  </sheetData>
  <sheetProtection algorithmName="SHA-512" hashValue="WbX0qi7UxbPtR2N+6w9nctFY/35vzTYUObwMdDF0rxlOYNyQ3yicGaWU5t6xsU1A72tYtITekEziAitmToEo5g==" saltValue="EivoboTmmeS508fFoBHU2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XAIexm3jsvhjJ12tLtNmw2H5B8nvaxwS6gRrr3rVRbPWllYedDGW7wN31uI65M6C7YqBYAwrQNypQketOamTxQ==" saltValue="FS9yuxKHqEJUiuIf85bCA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9eRblSETHZDQxYscho+9faMxOep93o3z7t9UzLEhuTEjOXQFT/w9HMtBrS8Wf8BunK66c42sa07M2XL2XYWzDg==" saltValue="kSL7saS2j9M+K70AnL+n9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13.766606960081885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13.766606960081885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0.80999999999999994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1.2802900880707899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0.26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</v>
      </c>
      <c r="C10" s="96">
        <v>0.95</v>
      </c>
      <c r="D10" s="56">
        <v>13.70780222005237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13.70780222005237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13.70780222005237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13.70780222005237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</v>
      </c>
      <c r="C14" s="96">
        <v>0.95</v>
      </c>
      <c r="D14" s="56">
        <v>13.70780222005237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13.70780222005237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1.57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0.13023111111111099</v>
      </c>
      <c r="C17" s="96">
        <v>0.95</v>
      </c>
      <c r="D17" s="56">
        <v>0.1369044839662158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0.66700000000000004</v>
      </c>
      <c r="C18" s="96">
        <v>0.95</v>
      </c>
      <c r="D18" s="56">
        <v>8.0823886898669404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</v>
      </c>
      <c r="C19" s="96">
        <v>0.95</v>
      </c>
      <c r="D19" s="56">
        <v>5.0635162116449219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8.32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0.80999999999999994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4.5660983713272767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0.67930453000000002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13.47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14.964151740020471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</v>
      </c>
      <c r="C29" s="96">
        <v>0.95</v>
      </c>
      <c r="D29" s="56">
        <v>33.321934882307978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118.83755373592631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</v>
      </c>
      <c r="C32" s="96">
        <v>0.95</v>
      </c>
      <c r="D32" s="56">
        <v>0.69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0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0.78326970000000007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</v>
      </c>
      <c r="C38" s="96">
        <v>0.95</v>
      </c>
      <c r="D38" s="56">
        <v>3.45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2.72</v>
      </c>
      <c r="E39" s="56" t="s">
        <v>212</v>
      </c>
      <c r="F39" s="96">
        <v>1</v>
      </c>
      <c r="G39" s="96">
        <v>1</v>
      </c>
    </row>
  </sheetData>
  <sheetProtection algorithmName="SHA-512" hashValue="Zc5SgU2V6tExbDk7GH6vuJ0GJQ6KYi8JP9VLib24cOD6ZvdsJowpoP2j+l7Hf6IlhORtvbsp0Z0OLTJbrnLcOg==" saltValue="NEMZAv7RiYFgURWr3TfT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iSNeARlLc+I6DBpmE7fOMht3Lv89dhYWNpzO7/ObZRkxrpIjywdOxQfuPpcR63FHiqXGaonrQ8LXpadVOZiYHw==" saltValue="EEZ88fCWK8aqgnynE3iha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k3dF/Tw+MF62s8XM1g7bPhm6+2aKgr/+sgrJVUus8WA2EQg1uX+pizX+8ye//FneJSYw5tSY4YF7N9xWrQwwog==" saltValue="L+5lh60mNxBxV8Y8Kf4fu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236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sheetProtection algorithmName="SHA-512" hashValue="zCdTVmLbxBNs9Dus+9NM8NEag/HE17PwbG+9UDAQGx/8HsbONNC6dfGtSLZx3We1LxxGpbb+sJGnZNL7S/k0Rw==" saltValue="WF5nHlH+nr78bWw798VxB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4.8000000000000001E-2</v>
      </c>
      <c r="F2" s="60">
        <f>food_insecure</f>
        <v>4.8000000000000001E-2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4.8000000000000001E-2</v>
      </c>
      <c r="F5" s="60">
        <f>food_insecure</f>
        <v>4.8000000000000001E-2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4.8000000000000001E-2</v>
      </c>
      <c r="F8" s="60">
        <f>food_insecure</f>
        <v>4.8000000000000001E-2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4.8000000000000001E-2</v>
      </c>
      <c r="F9" s="60">
        <f>food_insecure</f>
        <v>4.8000000000000001E-2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4.8000000000000001E-2</v>
      </c>
      <c r="I15" s="60">
        <f t="shared" si="0"/>
        <v>4.8000000000000001E-2</v>
      </c>
      <c r="J15" s="60">
        <f t="shared" si="0"/>
        <v>4.8000000000000001E-2</v>
      </c>
      <c r="K15" s="60">
        <f t="shared" si="0"/>
        <v>4.8000000000000001E-2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4.8000000000000001E-2</v>
      </c>
      <c r="I16" s="60">
        <f t="shared" si="0"/>
        <v>4.8000000000000001E-2</v>
      </c>
      <c r="J16" s="60">
        <f t="shared" si="0"/>
        <v>4.8000000000000001E-2</v>
      </c>
      <c r="K16" s="60">
        <f t="shared" si="0"/>
        <v>4.8000000000000001E-2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0.10100000000000001</v>
      </c>
      <c r="M24" s="60">
        <f>famplan_unmet_need</f>
        <v>0.10100000000000001</v>
      </c>
      <c r="N24" s="60">
        <f>famplan_unmet_need</f>
        <v>0.10100000000000001</v>
      </c>
      <c r="O24" s="60">
        <f>famplan_unmet_need</f>
        <v>0.10100000000000001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9.2971377840767991E-2</v>
      </c>
      <c r="M25" s="60">
        <f>(1-food_insecure)*(0.49)+food_insecure*(0.7)</f>
        <v>0.50007999999999997</v>
      </c>
      <c r="N25" s="60">
        <f>(1-food_insecure)*(0.49)+food_insecure*(0.7)</f>
        <v>0.50007999999999997</v>
      </c>
      <c r="O25" s="60">
        <f>(1-food_insecure)*(0.49)+food_insecure*(0.7)</f>
        <v>0.50007999999999997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3.9844876217472E-2</v>
      </c>
      <c r="M26" s="60">
        <f>(1-food_insecure)*(0.21)+food_insecure*(0.3)</f>
        <v>0.21431999999999998</v>
      </c>
      <c r="N26" s="60">
        <f>(1-food_insecure)*(0.21)+food_insecure*(0.3)</f>
        <v>0.21431999999999998</v>
      </c>
      <c r="O26" s="60">
        <f>(1-food_insecure)*(0.21)+food_insecure*(0.3)</f>
        <v>0.21431999999999998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5.309675554176E-2</v>
      </c>
      <c r="M27" s="60">
        <f>(1-food_insecure)*(0.3)</f>
        <v>0.28559999999999997</v>
      </c>
      <c r="N27" s="60">
        <f>(1-food_insecure)*(0.3)</f>
        <v>0.28559999999999997</v>
      </c>
      <c r="O27" s="60">
        <f>(1-food_insecure)*(0.3)</f>
        <v>0.28559999999999997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0.81408699039999988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F3zcjERrpJ6ZUSUBDHYDgEhpQWNyB56vch3wZ1R8jRfxOx9s7mJKrJuFQyO2qbsjhiXz2Rq60dH9Jn8SCghDAg==" saltValue="tNtnhqzmYxGGitNpx4skR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DFNFqJfVoaf3usFC6pTH7Eb+6SJ1adCVr2/boYVdnJ1d3N5QA+ax/dLl6JC2L9HooAd5EqX0uWJ068qAAT/UmQ==" saltValue="Ln2/Nff2cfVBNV2H3yTG8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6GMbelVu5kmCRgQUeuRiZdC1NFswPafnYNRRMAYKVuaadsyL62UE2Jnlvc5ag8gatJ5cxHtAmN4vkvWrmYdx0w==" saltValue="NGGqBkWt0t4GRhocQ8Nmx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D1fU3aG3g+C159AZ/+UI1GxCWBs0fyttQ3gjCXjaC+sTwTGE5VRVk/PjwPUuTYBgw++SqY4XF/fEBwbDBqvzQw==" saltValue="gIEBnd0v3XKhR7f7wKTGq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QWL40sq0cHbs+mf2F8ZAE9cywtbbXwnlx8KyuEIta0YlH2usi8bDvyXNUqOQpGHySBPFwY/3tAW9xywoT2Q9rw==" saltValue="UfQgZv5s8fNcx/XAqAmR8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MofGUJ69g5Poo9WEPjRARZHzu6Nz9bckjN1tCKYvUAPkHtzAmT8jTduRCMabZcr43BpS5ZnXI+Vb7wWCrWruqg==" saltValue="0KirYv0Mf+rZ4kAJy4LVD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AQ3Yc0TGR8D1R5BUi07/LsfRmpzE96wtzjk7tHnHBP75LSs/EVA96fexXgnJOyf4l6SonaYbINBNTN21Om+0Pw==" saltValue="wLKsHMzlNtb41GOyS3aTD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XV/23DPuabdghddh1g9Ke0T9MNEkLyS4I8ItJaL49KabdRkX7vpBp9KL6lmTKp6zrad38NPAXgrBSl44iNGP/w==" saltValue="CDOT/HnFnHUDHv7JkpRQ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xlQwsQkI8ruV51Aco9bFFo6dPhouofhBwUFkds16+o2bp12wpoasGDeVDXu5o6fYvae/uaIYI0e72FHX13KErg==" saltValue="xTbxxP3OMH3ZyGITA96p6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Uy7E2R113aTtx3VrfWIrOj8wSX0roR32jzN/7FGxf2aK8fvZ5eAmj74KayAiSPbgNWr1I3kZ90+5k1lKPCnYLA==" saltValue="ubCrObJhZxLYrnRbofKs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X+AWga7ct9kEJ1lUhQgoh24bFYKxEFq+AOJAwldGgExmsVl2nWn/A3+3fbj5UDGYv84Pbsi2yFbsT/8t3O1bTA==" saltValue="U7vPi+nszNJS9PMBa4FA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18XRSvPeAyvjy+Gt1XeoY3G5hkM62XT0VbX2aK0VOZsCIc5MHo3OcEkKjBZ2lQl+Ehthzs8No3Ug6Uo71jUbJg==" saltValue="WHZckDMomDlhEJ2JsfZkD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0nFgbWijxLeeC9H+jjRQO/7KfF/W50tEZ5bBQ6xNV0prtxLvHcD6OjUnIgUXdy96fUJ2OpzeCBWPg0iT6Dtbdw==" saltValue="CJm3rmVvS3OhuvHOSx877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/A8eT3Zk5gr82eWJKczItdZV26loUvwp+awWmfNfM2ZbIKeRs0jq9W77qZFEvALcVs2olfGiXsK9Q9Z4LtAImA==" saltValue="XooxDO2RKoRgcqo4geLnl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Xi/Q5mx0XGiH5mFO4he5r87AZ3i4QhbBfFYLZm8L94HcOjNa6CWdmTkIIar6/zvVYDG/mInGhcLjFXPQJ8iKRg==" saltValue="jhgsLQhrIF2RpQs9htT7E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2026-04-29T04:18:09Z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