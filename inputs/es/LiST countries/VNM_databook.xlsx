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77547AFA-1BE1-4779-AB8F-658439A8E22F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25" i="2"/>
  <c r="I3" i="2"/>
  <c r="I7" i="2"/>
  <c r="I11" i="2"/>
  <c r="A36" i="2"/>
  <c r="A26" i="2"/>
  <c r="I39" i="2"/>
  <c r="A31" i="2"/>
  <c r="A40" i="2"/>
  <c r="A34" i="2"/>
  <c r="I2" i="2"/>
  <c r="I6" i="2"/>
  <c r="A19" i="2"/>
  <c r="A35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<sst xmlns="http://schemas.openxmlformats.org/spreadsheetml/2006/main" count="2169" uniqueCount="373">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</sst>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6900235.5</v>
      </c>
    </row>
    <row r="8" spans="1:3" ht="15" customHeight="1" x14ac:dyDescent="0.25">
      <c r="B8" s="5" t="s">
        <v>63</v>
      </c>
      <c r="C8" s="44">
        <v>4.8000000000000001E-2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0.81408699039999999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0.10100000000000001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8.1799999999999998E-2</v>
      </c>
    </row>
    <row r="24" spans="1:3" ht="15" customHeight="1" x14ac:dyDescent="0.25">
      <c r="B24" s="15" t="s">
        <v>65</v>
      </c>
      <c r="C24" s="45">
        <v>0.59670000000000001</v>
      </c>
    </row>
    <row r="25" spans="1:3" ht="15" customHeight="1" x14ac:dyDescent="0.25">
      <c r="B25" s="15" t="s">
        <v>66</v>
      </c>
      <c r="C25" s="45">
        <v>0.30309999999999998</v>
      </c>
    </row>
    <row r="26" spans="1:3" ht="15" customHeight="1" x14ac:dyDescent="0.25">
      <c r="B26" s="15" t="s">
        <v>67</v>
      </c>
      <c r="C26" s="45">
        <v>1.84E-2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0.34994163924792399</v>
      </c>
    </row>
    <row r="30" spans="1:3" ht="14.25" customHeight="1" x14ac:dyDescent="0.25">
      <c r="B30" s="25" t="s">
        <v>82</v>
      </c>
      <c r="C30" s="97">
        <v>0.10516916316476101</v>
      </c>
    </row>
    <row r="31" spans="1:3" ht="14.25" customHeight="1" x14ac:dyDescent="0.25">
      <c r="B31" s="25" t="s">
        <v>29</v>
      </c>
      <c r="C31" s="97">
        <v>8.4505866375242988E-2</v>
      </c>
    </row>
    <row r="32" spans="1:3" ht="14.25" customHeight="1" x14ac:dyDescent="0.25">
      <c r="B32" s="25" t="s">
        <v>30</v>
      </c>
      <c r="C32" s="97">
        <v>0.46038333121207198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14.99222</v>
      </c>
    </row>
    <row r="38" spans="1:5" ht="15" customHeight="1" x14ac:dyDescent="0.25">
      <c r="B38" s="11" t="s">
        <v>54</v>
      </c>
      <c r="C38" s="43">
        <v>21.063030000000001</v>
      </c>
      <c r="D38" s="12"/>
      <c r="E38" s="13"/>
    </row>
    <row r="39" spans="1:5" ht="15" customHeight="1" x14ac:dyDescent="0.25">
      <c r="B39" s="11" t="s">
        <v>80</v>
      </c>
      <c r="C39" s="43">
        <v>24.22973</v>
      </c>
      <c r="D39" s="12"/>
      <c r="E39" s="12"/>
    </row>
    <row r="40" spans="1:5" ht="15" customHeight="1" x14ac:dyDescent="0.25">
      <c r="B40" s="11" t="s">
        <v>55</v>
      </c>
      <c r="C40" s="98">
        <v>2.59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10.689030000000001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7.0407000000000004E-3</v>
      </c>
      <c r="D45" s="12"/>
    </row>
    <row r="46" spans="1:5" ht="15.75" customHeight="1" x14ac:dyDescent="0.25">
      <c r="B46" s="11" t="s">
        <v>70</v>
      </c>
      <c r="C46" s="45">
        <v>7.5650899999999993E-2</v>
      </c>
      <c r="D46" s="12"/>
    </row>
    <row r="47" spans="1:5" ht="15.75" customHeight="1" x14ac:dyDescent="0.25">
      <c r="B47" s="11" t="s">
        <v>78</v>
      </c>
      <c r="C47" s="45">
        <v>7.4305499999999997E-2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0.58011699999999999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6.311217509E-2</v>
      </c>
    </row>
    <row r="63" spans="1:4" ht="15.75" customHeight="1" x14ac:dyDescent="0.3">
      <c r="A63" s="4"/>
    </row>
  </sheetData>
  <sheetProtection algorithmName="SHA-512" hashValue="ElGpN26A36innYJCpT3aap4kBWTL2oA5/a2Vrlti5prqEVN5fI+RqnOw+MFSN4RXq0PktWKcO/x1Yi51CuutDA==" saltValue="3x1EY1ahDmhQKlxwHdP+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1355563</v>
      </c>
      <c r="C2" s="49">
        <v>3617395.5</v>
      </c>
      <c r="D2" s="49">
        <v>6570464.5</v>
      </c>
      <c r="E2" s="49">
        <v>8487072.5</v>
      </c>
      <c r="F2" s="49">
        <v>7250662</v>
      </c>
      <c r="G2" s="17">
        <f t="shared" ref="G2:G13" si="0">C2+D2+E2+F2</f>
        <v>25925594.5</v>
      </c>
      <c r="H2" s="17">
        <f t="shared" ref="H2:H13" si="1">(B2 + stillbirth*B2/(1000-stillbirth))/(1-abortion)</f>
        <v>1557055.9174129041</v>
      </c>
      <c r="I2" s="17">
        <f t="shared" ref="I2:I13" si="2">G2-H2</f>
        <v>24368538.582587097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1328422</v>
      </c>
      <c r="C3" s="50">
        <v>3681317</v>
      </c>
      <c r="D3" s="50">
        <v>6484170.5</v>
      </c>
      <c r="E3" s="50">
        <v>8366224.5</v>
      </c>
      <c r="F3" s="50">
        <v>7451784.5</v>
      </c>
      <c r="G3" s="17">
        <f t="shared" si="0"/>
        <v>25983496.5</v>
      </c>
      <c r="H3" s="17">
        <f t="shared" si="1"/>
        <v>1525880.6384664415</v>
      </c>
      <c r="I3" s="17">
        <f t="shared" si="2"/>
        <v>24457615.86153356</v>
      </c>
    </row>
    <row r="4" spans="1:9" ht="15.75" customHeight="1" x14ac:dyDescent="0.25">
      <c r="A4" s="5">
        <f t="shared" si="3"/>
        <v>2026</v>
      </c>
      <c r="B4" s="49">
        <v>1307471</v>
      </c>
      <c r="C4" s="50">
        <v>3750530</v>
      </c>
      <c r="D4" s="50">
        <v>6450836.4999999991</v>
      </c>
      <c r="E4" s="50">
        <v>8231826.9999999991</v>
      </c>
      <c r="F4" s="50">
        <v>7602684.4999999991</v>
      </c>
      <c r="G4" s="17">
        <f t="shared" si="0"/>
        <v>26035878</v>
      </c>
      <c r="H4" s="17">
        <f t="shared" si="1"/>
        <v>1501815.45040383</v>
      </c>
      <c r="I4" s="17">
        <f t="shared" si="2"/>
        <v>24534062.549596168</v>
      </c>
    </row>
    <row r="5" spans="1:9" ht="15.75" customHeight="1" x14ac:dyDescent="0.25">
      <c r="A5" s="5">
        <f t="shared" si="3"/>
        <v>2027</v>
      </c>
      <c r="B5" s="49">
        <v>1290702</v>
      </c>
      <c r="C5" s="50">
        <v>3907084.5</v>
      </c>
      <c r="D5" s="50">
        <v>6493461</v>
      </c>
      <c r="E5" s="50">
        <v>8056513.0000000009</v>
      </c>
      <c r="F5" s="50">
        <v>7748243.5000000009</v>
      </c>
      <c r="G5" s="17">
        <f t="shared" si="0"/>
        <v>26205302</v>
      </c>
      <c r="H5" s="17">
        <f t="shared" si="1"/>
        <v>1482553.8810934424</v>
      </c>
      <c r="I5" s="17">
        <f t="shared" si="2"/>
        <v>24722748.118906558</v>
      </c>
    </row>
    <row r="6" spans="1:9" ht="15.75" customHeight="1" x14ac:dyDescent="0.25">
      <c r="A6" s="5">
        <f t="shared" si="3"/>
        <v>2028</v>
      </c>
      <c r="B6" s="49">
        <v>1280143</v>
      </c>
      <c r="C6" s="50">
        <v>4067401.5</v>
      </c>
      <c r="D6" s="50">
        <v>6604544</v>
      </c>
      <c r="E6" s="50">
        <v>7822756.4999999991</v>
      </c>
      <c r="F6" s="50">
        <v>7906886</v>
      </c>
      <c r="G6" s="17">
        <f t="shared" si="0"/>
        <v>26401588</v>
      </c>
      <c r="H6" s="17">
        <f t="shared" si="1"/>
        <v>1470425.3754969023</v>
      </c>
      <c r="I6" s="17">
        <f t="shared" si="2"/>
        <v>24931162.624503098</v>
      </c>
    </row>
    <row r="7" spans="1:9" ht="15.75" customHeight="1" x14ac:dyDescent="0.25">
      <c r="A7" s="5">
        <f t="shared" si="3"/>
        <v>2029</v>
      </c>
      <c r="B7" s="49">
        <v>1275327</v>
      </c>
      <c r="C7" s="50">
        <v>4151109.0000000005</v>
      </c>
      <c r="D7" s="50">
        <v>6746609.5000000009</v>
      </c>
      <c r="E7" s="50">
        <v>7550120</v>
      </c>
      <c r="F7" s="50">
        <v>8066781.5</v>
      </c>
      <c r="G7" s="17">
        <f t="shared" si="0"/>
        <v>26514620</v>
      </c>
      <c r="H7" s="17">
        <f t="shared" si="1"/>
        <v>1464893.518033796</v>
      </c>
      <c r="I7" s="17">
        <f t="shared" si="2"/>
        <v>25049726.481966205</v>
      </c>
    </row>
    <row r="8" spans="1:9" ht="15.75" customHeight="1" x14ac:dyDescent="0.25">
      <c r="A8" s="5">
        <f t="shared" si="3"/>
        <v>2030</v>
      </c>
      <c r="B8" s="49">
        <v>1275653</v>
      </c>
      <c r="C8" s="50">
        <v>4233806</v>
      </c>
      <c r="D8" s="50">
        <v>6849355.5</v>
      </c>
      <c r="E8" s="50">
        <v>7269343.5</v>
      </c>
      <c r="F8" s="50">
        <v>8247697.5</v>
      </c>
      <c r="G8" s="17">
        <f t="shared" si="0"/>
        <v>26600202.5</v>
      </c>
      <c r="H8" s="17">
        <f t="shared" si="1"/>
        <v>1465267.9751627357</v>
      </c>
      <c r="I8" s="17">
        <f t="shared" si="2"/>
        <v>25134934.524837263</v>
      </c>
    </row>
    <row r="9" spans="1:9" ht="15.75" customHeight="1" x14ac:dyDescent="0.25">
      <c r="A9" s="5">
        <f t="shared" si="3"/>
        <v>2031</v>
      </c>
      <c r="B9" s="49">
        <v>1277512</v>
      </c>
      <c r="C9" s="50">
        <v>4265530.5</v>
      </c>
      <c r="D9" s="50">
        <v>6968673.5</v>
      </c>
      <c r="E9" s="50">
        <v>7011120.5</v>
      </c>
      <c r="F9" s="50">
        <v>8401509.5</v>
      </c>
      <c r="G9" s="17">
        <f t="shared" si="0"/>
        <v>26646834</v>
      </c>
      <c r="H9" s="17">
        <f t="shared" si="1"/>
        <v>1467403.2997108905</v>
      </c>
      <c r="I9" s="17">
        <f t="shared" si="2"/>
        <v>25179430.700289108</v>
      </c>
    </row>
    <row r="10" spans="1:9" ht="15.75" customHeight="1" x14ac:dyDescent="0.25">
      <c r="A10" s="5">
        <f t="shared" si="3"/>
        <v>2032</v>
      </c>
      <c r="B10" s="49">
        <v>1282500</v>
      </c>
      <c r="C10" s="50">
        <v>4141381.9999999995</v>
      </c>
      <c r="D10" s="50">
        <v>7215709</v>
      </c>
      <c r="E10" s="50">
        <v>6781541.4999999991</v>
      </c>
      <c r="F10" s="50">
        <v>8466952.5</v>
      </c>
      <c r="G10" s="17">
        <f t="shared" si="0"/>
        <v>26605585</v>
      </c>
      <c r="H10" s="17">
        <f t="shared" si="1"/>
        <v>1473132.7235119648</v>
      </c>
      <c r="I10" s="17">
        <f t="shared" si="2"/>
        <v>25132452.276488036</v>
      </c>
    </row>
    <row r="11" spans="1:9" ht="15.75" customHeight="1" x14ac:dyDescent="0.25">
      <c r="A11" s="5">
        <f t="shared" si="3"/>
        <v>2033</v>
      </c>
      <c r="B11" s="49">
        <v>1290081</v>
      </c>
      <c r="C11" s="50">
        <v>3954697.5</v>
      </c>
      <c r="D11" s="50">
        <v>7462897.9999999991</v>
      </c>
      <c r="E11" s="50">
        <v>6605728</v>
      </c>
      <c r="F11" s="50">
        <v>8454573</v>
      </c>
      <c r="G11" s="17">
        <f t="shared" si="0"/>
        <v>26477896.5</v>
      </c>
      <c r="H11" s="17">
        <f t="shared" si="1"/>
        <v>1481840.5747220577</v>
      </c>
      <c r="I11" s="17">
        <f t="shared" si="2"/>
        <v>24996055.925277941</v>
      </c>
    </row>
    <row r="12" spans="1:9" ht="15.75" customHeight="1" x14ac:dyDescent="0.25">
      <c r="A12" s="5">
        <f t="shared" si="3"/>
        <v>2034</v>
      </c>
      <c r="B12" s="49">
        <v>1298215</v>
      </c>
      <c r="C12" s="50">
        <v>3798643.5</v>
      </c>
      <c r="D12" s="50">
        <v>7628657.9999999991</v>
      </c>
      <c r="E12" s="50">
        <v>6489644</v>
      </c>
      <c r="F12" s="50">
        <v>8377187</v>
      </c>
      <c r="G12" s="17">
        <f t="shared" si="0"/>
        <v>26294132.5</v>
      </c>
      <c r="H12" s="17">
        <f t="shared" si="1"/>
        <v>1491183.624681548</v>
      </c>
      <c r="I12" s="17">
        <f t="shared" si="2"/>
        <v>24802948.875318453</v>
      </c>
    </row>
    <row r="13" spans="1:9" ht="15.75" customHeight="1" x14ac:dyDescent="0.25">
      <c r="A13" s="5">
        <f t="shared" si="3"/>
        <v>2035</v>
      </c>
      <c r="B13" s="49">
        <v>1305800</v>
      </c>
      <c r="C13" s="50">
        <v>3657194</v>
      </c>
      <c r="D13" s="50">
        <v>7776391</v>
      </c>
      <c r="E13" s="50">
        <v>6408577.9999999991</v>
      </c>
      <c r="F13" s="50">
        <v>8260573</v>
      </c>
      <c r="G13" s="17">
        <f t="shared" si="0"/>
        <v>26102736</v>
      </c>
      <c r="H13" s="17">
        <f t="shared" si="1"/>
        <v>1499896.0704576401</v>
      </c>
      <c r="I13" s="17">
        <f t="shared" si="2"/>
        <v>24602839.929542359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YPZ2XU944CTEJO0RtctcNseGX7UYSXUMPO2YGQENOIyx/i2qouqKjcN8tMEtQHFx5o37LRhCyFMnA19N6NS+A==" saltValue="J6naAsuXwJtW1O7TX6nXM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0.16119969142408941</v>
      </c>
    </row>
    <row r="5" spans="1:8" ht="15.75" customHeight="1" x14ac:dyDescent="0.25">
      <c r="B5" s="19" t="s">
        <v>114</v>
      </c>
      <c r="C5" s="99">
        <v>6.5832262834305141E-2</v>
      </c>
    </row>
    <row r="6" spans="1:8" ht="15.75" customHeight="1" x14ac:dyDescent="0.25">
      <c r="B6" s="19" t="s">
        <v>110</v>
      </c>
      <c r="C6" s="99">
        <v>0.14184394821056301</v>
      </c>
    </row>
    <row r="7" spans="1:8" ht="15.75" customHeight="1" x14ac:dyDescent="0.25">
      <c r="B7" s="19" t="s">
        <v>115</v>
      </c>
      <c r="C7" s="99">
        <v>0.39461551247407772</v>
      </c>
    </row>
    <row r="8" spans="1:8" ht="15.75" customHeight="1" x14ac:dyDescent="0.25">
      <c r="B8" s="19" t="s">
        <v>117</v>
      </c>
      <c r="C8" s="99">
        <v>7.4852374206232171E-5</v>
      </c>
    </row>
    <row r="9" spans="1:8" ht="15.75" customHeight="1" x14ac:dyDescent="0.25">
      <c r="B9" s="19" t="s">
        <v>111</v>
      </c>
      <c r="C9" s="99">
        <v>0.1777144467984253</v>
      </c>
    </row>
    <row r="10" spans="1:8" ht="15.75" customHeight="1" x14ac:dyDescent="0.25">
      <c r="B10" s="19" t="s">
        <v>113</v>
      </c>
      <c r="C10" s="99">
        <v>5.8719285884333283E-2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0.1802786786201154</v>
      </c>
      <c r="D14" s="55">
        <v>0.1802786786201154</v>
      </c>
      <c r="E14" s="55">
        <v>0.1802786786201154</v>
      </c>
      <c r="F14" s="55">
        <v>0.1802786786201154</v>
      </c>
    </row>
    <row r="15" spans="1:8" ht="15.75" customHeight="1" x14ac:dyDescent="0.25">
      <c r="B15" s="19" t="s">
        <v>121</v>
      </c>
      <c r="C15" s="99">
        <v>0.27581630038978422</v>
      </c>
      <c r="D15" s="99">
        <v>0.27581630038978422</v>
      </c>
      <c r="E15" s="99">
        <v>0.27581630038978422</v>
      </c>
      <c r="F15" s="99">
        <v>0.27581630038978422</v>
      </c>
    </row>
    <row r="16" spans="1:8" ht="15.75" customHeight="1" x14ac:dyDescent="0.25">
      <c r="B16" s="19" t="s">
        <v>2</v>
      </c>
      <c r="C16" s="99">
        <v>5.0478112893712693E-2</v>
      </c>
      <c r="D16" s="99">
        <v>5.0478112893712693E-2</v>
      </c>
      <c r="E16" s="99">
        <v>5.0478112893712693E-2</v>
      </c>
      <c r="F16" s="99">
        <v>5.0478112893712693E-2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3.0939452737560089E-2</v>
      </c>
      <c r="D18" s="99">
        <v>3.0939452737560089E-2</v>
      </c>
      <c r="E18" s="99">
        <v>3.0939452737560089E-2</v>
      </c>
      <c r="F18" s="99">
        <v>3.0939452737560089E-2</v>
      </c>
    </row>
    <row r="19" spans="1:8" ht="15.75" customHeight="1" x14ac:dyDescent="0.25">
      <c r="B19" s="19" t="s">
        <v>120</v>
      </c>
      <c r="C19" s="99">
        <v>1.026055393849703E-2</v>
      </c>
      <c r="D19" s="99">
        <v>1.026055393849703E-2</v>
      </c>
      <c r="E19" s="99">
        <v>1.026055393849703E-2</v>
      </c>
      <c r="F19" s="99">
        <v>1.026055393849703E-2</v>
      </c>
    </row>
    <row r="20" spans="1:8" ht="15.75" customHeight="1" x14ac:dyDescent="0.25">
      <c r="B20" s="19" t="s">
        <v>98</v>
      </c>
      <c r="C20" s="99">
        <v>3.5903363395069353E-2</v>
      </c>
      <c r="D20" s="99">
        <v>3.5903363395069353E-2</v>
      </c>
      <c r="E20" s="99">
        <v>3.5903363395069353E-2</v>
      </c>
      <c r="F20" s="99">
        <v>3.5903363395069353E-2</v>
      </c>
    </row>
    <row r="21" spans="1:8" ht="15.75" customHeight="1" x14ac:dyDescent="0.25">
      <c r="B21" s="19" t="s">
        <v>107</v>
      </c>
      <c r="C21" s="99">
        <v>0.31616327977805031</v>
      </c>
      <c r="D21" s="99">
        <v>0.31616327977805031</v>
      </c>
      <c r="E21" s="99">
        <v>0.31616327977805031</v>
      </c>
      <c r="F21" s="99">
        <v>0.31616327977805031</v>
      </c>
    </row>
    <row r="22" spans="1:8" ht="15.75" customHeight="1" x14ac:dyDescent="0.25">
      <c r="B22" s="19" t="s">
        <v>118</v>
      </c>
      <c r="C22" s="99">
        <v>0.1001602582472108</v>
      </c>
      <c r="D22" s="99">
        <v>0.1001602582472108</v>
      </c>
      <c r="E22" s="99">
        <v>0.1001602582472108</v>
      </c>
      <c r="F22" s="99">
        <v>0.1001602582472108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5.6534050000000002E-2</v>
      </c>
    </row>
    <row r="27" spans="1:8" ht="15.75" customHeight="1" x14ac:dyDescent="0.25">
      <c r="B27" s="19" t="s">
        <v>108</v>
      </c>
      <c r="C27" s="99">
        <v>3.5322311000000002E-2</v>
      </c>
    </row>
    <row r="28" spans="1:8" ht="15.75" customHeight="1" x14ac:dyDescent="0.25">
      <c r="B28" s="19" t="s">
        <v>122</v>
      </c>
      <c r="C28" s="99">
        <v>4.2593103E-2</v>
      </c>
    </row>
    <row r="29" spans="1:8" ht="15.75" customHeight="1" x14ac:dyDescent="0.25">
      <c r="B29" s="19" t="s">
        <v>105</v>
      </c>
      <c r="C29" s="99">
        <v>0.27419058800000001</v>
      </c>
    </row>
    <row r="30" spans="1:8" ht="15.75" customHeight="1" x14ac:dyDescent="0.25">
      <c r="B30" s="19" t="s">
        <v>4</v>
      </c>
      <c r="C30" s="99">
        <v>6.2699299999999999E-2</v>
      </c>
    </row>
    <row r="31" spans="1:8" ht="15.75" customHeight="1" x14ac:dyDescent="0.25">
      <c r="B31" s="19" t="s">
        <v>99</v>
      </c>
      <c r="C31" s="99">
        <v>0.140173941</v>
      </c>
    </row>
    <row r="32" spans="1:8" ht="15.75" customHeight="1" x14ac:dyDescent="0.25">
      <c r="B32" s="19" t="s">
        <v>104</v>
      </c>
      <c r="C32" s="99">
        <v>2.4544165999999999E-2</v>
      </c>
    </row>
    <row r="33" spans="2:3" ht="15.75" customHeight="1" x14ac:dyDescent="0.25">
      <c r="B33" s="19" t="s">
        <v>119</v>
      </c>
      <c r="C33" s="99">
        <v>0.119318915</v>
      </c>
    </row>
    <row r="34" spans="2:3" ht="15.75" customHeight="1" x14ac:dyDescent="0.25">
      <c r="B34" s="19" t="s">
        <v>106</v>
      </c>
      <c r="C34" s="99">
        <v>0.24462362800000001</v>
      </c>
    </row>
    <row r="35" spans="2:3" ht="15.75" customHeight="1" x14ac:dyDescent="0.25">
      <c r="B35" s="27" t="s">
        <v>79</v>
      </c>
      <c r="C35" s="48">
        <f>SUM(C26:C34)</f>
        <v>1.0000000019999999</v>
      </c>
    </row>
  </sheetData>
  <sheetProtection algorithmName="SHA-512" hashValue="H09pw3U7BkjW7Yke4S0Kv2O6NBLrmMUANBKtznEHiR45TlRuSA0+6F54UoXJyklnJ8CmMyX41xFoa1khcJZNJg==" saltValue="uMrBI4Q7ZNOx8JTUtTQFj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129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125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126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0.41148677075000001</v>
      </c>
      <c r="D14" s="54">
        <v>0.38665276676100002</v>
      </c>
      <c r="E14" s="54">
        <v>0.38665276676100002</v>
      </c>
      <c r="F14" s="54">
        <v>0.23521444346199999</v>
      </c>
      <c r="G14" s="54">
        <v>0.23521444346199999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0.23599999999999999</v>
      </c>
      <c r="M14" s="55">
        <v>0.23599999999999999</v>
      </c>
      <c r="N14" s="55">
        <v>0.23599999999999999</v>
      </c>
      <c r="O14" s="55">
        <v>0.23599999999999999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0.23871047098717776</v>
      </c>
      <c r="D15" s="52">
        <f t="shared" si="0"/>
        <v>0.22430384309509105</v>
      </c>
      <c r="E15" s="52">
        <f t="shared" si="0"/>
        <v>0.22430384309509105</v>
      </c>
      <c r="F15" s="52">
        <f t="shared" si="0"/>
        <v>0.13645189729784504</v>
      </c>
      <c r="G15" s="52">
        <f t="shared" si="0"/>
        <v>0.13645189729784504</v>
      </c>
      <c r="H15" s="52">
        <f t="shared" si="0"/>
        <v>0.16881404699999999</v>
      </c>
      <c r="I15" s="52">
        <f t="shared" si="0"/>
        <v>0.16881404699999999</v>
      </c>
      <c r="J15" s="52">
        <f t="shared" si="0"/>
        <v>0.16881404699999999</v>
      </c>
      <c r="K15" s="52">
        <f t="shared" si="0"/>
        <v>0.16881404699999999</v>
      </c>
      <c r="L15" s="52">
        <f t="shared" si="0"/>
        <v>0.13690761199999998</v>
      </c>
      <c r="M15" s="52">
        <f t="shared" si="0"/>
        <v>0.13690761199999998</v>
      </c>
      <c r="N15" s="52">
        <f t="shared" si="0"/>
        <v>0.13690761199999998</v>
      </c>
      <c r="O15" s="52">
        <f t="shared" si="0"/>
        <v>0.13690761199999998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YER9ZxfnWwnjDGaCg97NXzKc+w2L6/Yl7tk/SWLs6ovoMpNcq/4p/vX/dsII/PzDJIO1zMooASBMsBf85lpbg==" saltValue="iCrkGms2ca2xgHec0DAC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k0thttot97jxXKlJ4w5XbDAz4o8LH51TG/yuCmh92y62MWVSk/w4+Cp0Q3fhrI2jrDXp9OFh6lJ2Ofp8gCRIBQ==" saltValue="UeVzvmhsuejYCqqdmBA2d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+HX/ZTJ7lPVW/EZTrX6VP0gE8huGkU81mAuueRU7oLJ999xpzF7QTx/FSoYku4lmYxv9+FlUmv4f8TfgaR2c4A==" saltValue="4NsS+maefkOesCZKkm1Ji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4163.51429874522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0.42521000000000003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0.74736999999999998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1.6240982895769779E-2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98027.941210000005</v>
      </c>
      <c r="C22" s="107">
        <v>97928.220270000005</v>
      </c>
      <c r="D22" s="107">
        <v>97781.597519999996</v>
      </c>
      <c r="E22" s="107">
        <v>97432.520189999996</v>
      </c>
      <c r="F22" s="107">
        <v>96963.115000000005</v>
      </c>
      <c r="G22" s="107">
        <v>96489.588149999996</v>
      </c>
      <c r="H22" s="107">
        <v>95931.055770000006</v>
      </c>
      <c r="I22" s="107">
        <v>95151.856369999994</v>
      </c>
      <c r="J22" s="107">
        <v>93945.804000000004</v>
      </c>
      <c r="K22" s="107">
        <v>92040.425470000002</v>
      </c>
      <c r="L22" s="107">
        <v>89096.366930000004</v>
      </c>
      <c r="M22" s="107">
        <v>84789.908230000001</v>
      </c>
      <c r="N22" s="107">
        <v>78581.379870000004</v>
      </c>
      <c r="O22" s="107">
        <v>69889.900070000003</v>
      </c>
    </row>
  </sheetData>
  <sheetProtection algorithmName="SHA-512" hashValue="BOEeQGcLOJ/6vHmct4HrOA8m61CSYC/tPfc6iAdIWTkOr8wIv05I9m5OOGnGxBObOLca26t6s7Aa0QVAZa+yxA==" saltValue="nYurS0ouPxQkKiKzMNCjc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Li/JTRUZn/WGYz/+uOcJXKZ7oeFKH04ZUicDy8BEzd5iLf3ZmFhRGePbu3yc806IktkuVYI8J9BRSjs39ZSnSQ==" saltValue="h1S+7MGCsGbGjivZHbp0g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nA/lX0tCWn8sqco3fwBx/kqU3VhqRqYlsnduLIM6dOWPWqlshn0GBrs5YjGxwSzAgcUEdSko9bF84RErJOT6Qg==" saltValue="MYhud88teZMjo904h+55J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13.766606960081885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13.766606960081885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1.2802900880707899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13.70780222005237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13.70780222005237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13.70780222005237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13.70780222005237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13.70780222005237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13.70780222005237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0.13023111111111099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0.66700000000000004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</v>
      </c>
      <c r="C19" s="96">
        <v>0.95</v>
      </c>
      <c r="D19" s="56">
        <v>5.0635162116449219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4.5660983713272767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0.67930453000000002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13.47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33.321934882307978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0.78326970000000007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2.72</v>
      </c>
      <c r="E39" s="56" t="s">
        <v>212</v>
      </c>
      <c r="F39" s="96">
        <v>1</v>
      </c>
      <c r="G39" s="96">
        <v>1</v>
      </c>
    </row>
  </sheetData>
  <sheetProtection algorithmName="SHA-512" hashValue="WfSxl9HrKJK/R8iC2fNi2qmQ5Q23z3b/N2QErvH7BbEBjm2t+x3T1RAfCD5Fd6LDV+2VgJRmp5f2KeYMqmGD+w==" saltValue="3f7DRj6zrFrHu0ua1IiA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tBoWai0nkwemPoSpYV6pf+1NcQmh9RYgmldI2EIEiVK07FnWgDi2EbYKkN3CbnUveP9XIxnfIrK6ZujNJvuyQ==" saltValue="NdlhnrHfuo3aL8ezEvAQD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0IWlK3YCGqMIa+fDoKbUwpkNjb/JQNRrBjs97vlxoLs3ppC4RADUMFrVX+oaOb0HgefNFh7F1Bk7fi3gmkevFg==" saltValue="eHInXb6mHEXI+ChrOz1yu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236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+p793O4Bu3lXRzcJsBL2yDe+0lGrSxqtUP5IKeTk+hmrn7TdHgJplmC+zpASCVSY+sc2ctPu/t2o4ajmj97SeQ==" saltValue="vjZVbCMaIUN2fxqq5aoJr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4.8000000000000001E-2</v>
      </c>
      <c r="F2" s="60">
        <f>food_insecure</f>
        <v>4.8000000000000001E-2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4.8000000000000001E-2</v>
      </c>
      <c r="I15" s="60">
        <f t="shared" si="0"/>
        <v>4.8000000000000001E-2</v>
      </c>
      <c r="J15" s="60">
        <f t="shared" si="0"/>
        <v>4.8000000000000001E-2</v>
      </c>
      <c r="K15" s="60">
        <f t="shared" si="0"/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4.8000000000000001E-2</v>
      </c>
      <c r="I16" s="60">
        <f t="shared" si="0"/>
        <v>4.8000000000000001E-2</v>
      </c>
      <c r="J16" s="60">
        <f t="shared" si="0"/>
        <v>4.8000000000000001E-2</v>
      </c>
      <c r="K16" s="60">
        <f t="shared" si="0"/>
        <v>4.8000000000000001E-2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0.10100000000000001</v>
      </c>
      <c r="M24" s="60">
        <f>famplan_unmet_need</f>
        <v>0.10100000000000001</v>
      </c>
      <c r="N24" s="60">
        <f>famplan_unmet_need</f>
        <v>0.10100000000000001</v>
      </c>
      <c r="O24" s="60">
        <f>famplan_unmet_need</f>
        <v>0.10100000000000001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9.2971377840767991E-2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3.9844876217472E-2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5.309675554176E-2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0.81408699039999988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/W05O4Q9OIodPEGl9GekpM5pSkFXtNHkfdmi4c+afxIlm80l2Da+ouT4MRAtd2NeYdxJDSccY++X81MtzZ8vOA==" saltValue="alvbL9uuGJ5a8JoRrKUSq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q9gmRAy/Yv2VHMrS0eAYCXSURYPuSvMJSw6OGxQyhoMybUfqzqRUQiRmxhOEzx3VShZW+OdNWssQdY/8bstfSg==" saltValue="z6vVhQE3HtR+jsZXH5TFq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0G0Xy1p6rnvzVmFx383t9oBW6wv9geZ3Y44atTD/FEUBCFDZFYNUMa6YMcp8Pre7EzhLly+N7aATB/+LHqmwg==" saltValue="Rk53uGsPUfiHTM7CI9w8v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RESEW+AYKQHFiNYY/kHVmju5Wabyg9zniWxotwW/llJl65Q5VY+YM7euKihWTbvSi7p94kXW4LxcCwzYQjmFA==" saltValue="SNrv3m/FWE4xtCuoGK4nH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AyDRoVFiIRKrchv9ye/5AC9YLQSGCXktHW/AUccE5t+0LeWWOsBVBm9ByobHVQrgKmGQnIsZgHsciir7Jz4tFQ==" saltValue="M4o9kGgbTAGZaUzHwFp5O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HSPABg0cuaaVz178c83U8hrSI4y81GxCexSngJgfYxe2grKokuw3YcgeBm7hCWdNkESohQtYDy1+ZlMN1mCJMg==" saltValue="0FCuxUWoGsOEUxtqxhdpw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DVe2NditpUJY7QokklmvcYsg3LIdvG7eVYed4W00Pp5jz+ZW7rJPk8Z4w3T7KjjP5f3rl9gH8zCn+XH7HRDXw==" saltValue="GeZB1xK6gbJFGPlLQvZMO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9d5HagNGYgM+/Wwbid0SxdfQjp0n0cJxTke/sBDGBVDrn72Xbd8J1KZ+U7f8/u0xxpqr8tfrM7sXARtAkt0KlA==" saltValue="LFIIBrOUzhp+xxXCIHPy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+/pEAvEh5/A9UcFz6KdegYNnsJd21sehwtzwxQGcwbRzXxKFDsQ80YvTj7q+YFmWdRzx6xkv7IJHkMzUffMgRQ==" saltValue="3UVidCfPsgoH0Kaw9w7L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yFTpXF254uevqvBSwbKp0GuVQVZ9287gk1ECjc3Ff17dCPeY/OivOOoYnd0YV3tXAcE2iIvSHPKvlyn9RWBN4w==" saltValue="PUqNY6QOpvPHMJ231F+k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7cnDjfJiQ7+fr24eLyD34LBzv89lrDSwSnrZG/9Ztifz1xnmeNi0+HoDKnSpbKvnDameB8g2HnkdJlUw+21qg==" saltValue="s7DnlrcoetHsR4tyjMeb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N32E7zmN7y9afQkYenFjcSxpH/BoE9UOBh29cxHeCJY8B5sHjwCpeiNV28kD2B2sm1pAJ4gixe1JsoXiEmwXQ==" saltValue="PASQsx4HdvgNcLfGRvKM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NjVzoKbq2zg7/oPP0YYTx3xgrKkn3TdzHgmdepdP6Nf9261GZKYSeqEOFDeXDwhMYd2gT5JtimxxjWZ6wa0+w==" saltValue="zWsna5eZ+CcLBE9UwKwvX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cLwOXDYUvntVg8gdjGDcJaA1KqgYjJSxzwl7O0VlXzXM/QGYdfUBvR+aG1+YIUaEUFTwAFDMle3ks/AVrpd3jQ==" saltValue="asA7p+mEWMCZOCKa9xJW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Ox8Q1q1YnYrfp7Fc4ruvn0s1wMWIkZ7ITBGvAzTnQwkcU8MIgN2ZTcSAYpN1526Qz9SNKeikrsR0t/olDXOiEA==" saltValue="7OPapn8HJ4BAm5EJNm19Q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2025-07-30T01:28:23Z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