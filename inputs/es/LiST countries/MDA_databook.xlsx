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13_ncr:1_{4EA3D373-B617-4453-8796-081E0E34E806}" xr6:coauthVersionLast="47" xr6:coauthVersionMax="47" xr10:uidLastSave="{00000000-0000-0000-0000-000000000000}"/>
  <bookViews>
    <workbookView xWindow="-110" yWindow="-110" windowWidth="19420" windowHeight="10420" tabRatio="961" firstSheet="4" activeTab="6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G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I38" i="2" s="1"/>
  <c r="A37" i="2"/>
  <c r="H13" i="2"/>
  <c r="G13" i="2"/>
  <c r="H12" i="2"/>
  <c r="G12" i="2"/>
  <c r="I12" i="2" s="1"/>
  <c r="H11" i="2"/>
  <c r="G11" i="2"/>
  <c r="I11" i="2" s="1"/>
  <c r="H10" i="2"/>
  <c r="G10" i="2"/>
  <c r="H9" i="2"/>
  <c r="G9" i="2"/>
  <c r="H8" i="2"/>
  <c r="G8" i="2"/>
  <c r="H7" i="2"/>
  <c r="G7" i="2"/>
  <c r="I7" i="2" s="1"/>
  <c r="H6" i="2"/>
  <c r="G6" i="2"/>
  <c r="I6" i="2" s="1"/>
  <c r="H5" i="2"/>
  <c r="G5" i="2"/>
  <c r="H4" i="2"/>
  <c r="G4" i="2"/>
  <c r="H3" i="2"/>
  <c r="G3" i="2"/>
  <c r="I3" i="2" s="1"/>
  <c r="H2" i="2"/>
  <c r="G2" i="2"/>
  <c r="I2" i="2" s="1"/>
  <c r="A2" i="2"/>
  <c r="A39" i="2" s="1"/>
  <c r="C33" i="1"/>
  <c r="C20" i="1"/>
  <c r="A23" i="2" l="1"/>
  <c r="A19" i="2"/>
  <c r="A22" i="2"/>
  <c r="A24" i="2"/>
  <c r="A35" i="2"/>
  <c r="A36" i="2"/>
  <c r="I4" i="2"/>
  <c r="I8" i="2"/>
  <c r="A25" i="2"/>
  <c r="A26" i="2"/>
  <c r="I39" i="2"/>
  <c r="I9" i="2"/>
  <c r="I13" i="2"/>
  <c r="A31" i="2"/>
  <c r="A34" i="2"/>
  <c r="A40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<sst xmlns="http://schemas.openxmlformats.org/spreadsheetml/2006/main" count="2159" uniqueCount="372">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</sst>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160781</v>
      </c>
    </row>
    <row r="8" spans="1:3" ht="15" customHeight="1" x14ac:dyDescent="0.25">
      <c r="B8" s="5" t="s">
        <v>63</v>
      </c>
      <c r="C8" s="44">
        <v>1.7000000000000001E-2</v>
      </c>
    </row>
    <row r="9" spans="1:3" ht="15" customHeight="1" x14ac:dyDescent="0.25">
      <c r="B9" s="5" t="s">
        <v>62</v>
      </c>
      <c r="C9" s="45">
        <v>0.01</v>
      </c>
    </row>
    <row r="10" spans="1:3" ht="15" customHeight="1" x14ac:dyDescent="0.25">
      <c r="B10" s="5" t="s">
        <v>75</v>
      </c>
      <c r="C10" s="45">
        <v>0.777842483520508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0.39600000000000002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9.9900000000000003E-2</v>
      </c>
    </row>
    <row r="24" spans="1:3" ht="15" customHeight="1" x14ac:dyDescent="0.25">
      <c r="B24" s="15" t="s">
        <v>65</v>
      </c>
      <c r="C24" s="45">
        <v>0.6048</v>
      </c>
    </row>
    <row r="25" spans="1:3" ht="15" customHeight="1" x14ac:dyDescent="0.25">
      <c r="B25" s="15" t="s">
        <v>66</v>
      </c>
      <c r="C25" s="45">
        <v>0.27869999999999989</v>
      </c>
    </row>
    <row r="26" spans="1:3" ht="15" customHeight="1" x14ac:dyDescent="0.25">
      <c r="B26" s="15" t="s">
        <v>67</v>
      </c>
      <c r="C26" s="45">
        <v>1.66E-2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0.51101988116637098</v>
      </c>
    </row>
    <row r="30" spans="1:3" ht="14.25" customHeight="1" x14ac:dyDescent="0.25">
      <c r="B30" s="25" t="s">
        <v>82</v>
      </c>
      <c r="C30" s="99">
        <v>3.6928466503456402E-2</v>
      </c>
    </row>
    <row r="31" spans="1:3" ht="14.25" customHeight="1" x14ac:dyDescent="0.25">
      <c r="B31" s="25" t="s">
        <v>29</v>
      </c>
      <c r="C31" s="99">
        <v>4.0966963582223501E-2</v>
      </c>
    </row>
    <row r="32" spans="1:3" ht="14.25" customHeight="1" x14ac:dyDescent="0.25">
      <c r="B32" s="25" t="s">
        <v>30</v>
      </c>
      <c r="C32" s="99">
        <v>0.41108468874794901</v>
      </c>
    </row>
    <row r="33" spans="1:5" ht="13.25" customHeight="1" x14ac:dyDescent="0.25">
      <c r="B33" s="27" t="s">
        <v>79</v>
      </c>
      <c r="C33" s="48">
        <f>SUM(C29:C32)</f>
        <v>0.99999999999999989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8.1054700000000004</v>
      </c>
    </row>
    <row r="38" spans="1:5" ht="15" customHeight="1" x14ac:dyDescent="0.25">
      <c r="B38" s="11" t="s">
        <v>54</v>
      </c>
      <c r="C38" s="43">
        <v>11.39776</v>
      </c>
      <c r="D38" s="12"/>
      <c r="E38" s="13"/>
    </row>
    <row r="39" spans="1:5" ht="15" customHeight="1" x14ac:dyDescent="0.25">
      <c r="B39" s="11" t="s">
        <v>80</v>
      </c>
      <c r="C39" s="43">
        <v>13.240740000000001</v>
      </c>
      <c r="D39" s="12"/>
      <c r="E39" s="12"/>
    </row>
    <row r="40" spans="1:5" ht="15" customHeight="1" x14ac:dyDescent="0.25">
      <c r="B40" s="11" t="s">
        <v>55</v>
      </c>
      <c r="C40" s="100">
        <v>0.59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6.6129100000000003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6.1101999999999997E-3</v>
      </c>
      <c r="D45" s="12"/>
    </row>
    <row r="46" spans="1:5" ht="15.75" customHeight="1" x14ac:dyDescent="0.25">
      <c r="B46" s="11" t="s">
        <v>70</v>
      </c>
      <c r="C46" s="45">
        <v>6.4331199999999991E-2</v>
      </c>
      <c r="D46" s="12"/>
    </row>
    <row r="47" spans="1:5" ht="15.75" customHeight="1" x14ac:dyDescent="0.25">
      <c r="B47" s="11" t="s">
        <v>78</v>
      </c>
      <c r="C47" s="45">
        <v>6.5170800000000001E-2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100">
        <v>3.2</v>
      </c>
      <c r="D51" s="12"/>
    </row>
    <row r="52" spans="1:4" ht="15" customHeight="1" x14ac:dyDescent="0.25">
      <c r="B52" s="11" t="s">
        <v>32</v>
      </c>
      <c r="C52" s="100">
        <v>3.2</v>
      </c>
    </row>
    <row r="53" spans="1:4" ht="15.75" customHeight="1" x14ac:dyDescent="0.25">
      <c r="B53" s="11" t="s">
        <v>35</v>
      </c>
      <c r="C53" s="100">
        <v>3.2</v>
      </c>
    </row>
    <row r="54" spans="1:4" ht="15.75" customHeight="1" x14ac:dyDescent="0.25">
      <c r="B54" s="11" t="s">
        <v>33</v>
      </c>
      <c r="C54" s="100">
        <v>3.2</v>
      </c>
    </row>
    <row r="55" spans="1:4" ht="15.75" customHeight="1" x14ac:dyDescent="0.25">
      <c r="B55" s="11" t="s">
        <v>34</v>
      </c>
      <c r="C55" s="100">
        <v>3.2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1.9375E-2</v>
      </c>
    </row>
    <row r="59" spans="1:4" ht="15.75" customHeight="1" x14ac:dyDescent="0.25">
      <c r="B59" s="11" t="s">
        <v>59</v>
      </c>
      <c r="C59" s="45">
        <v>0.61096899999999998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5.0010632999999999E-2</v>
      </c>
    </row>
    <row r="63" spans="1:4" ht="15.75" customHeight="1" x14ac:dyDescent="0.3">
      <c r="A63" s="4"/>
    </row>
  </sheetData>
  <sheetProtection algorithmName="SHA-512" hashValue="QN+VuaSWqyVIk4ohmUeHQnsC7YO4B/gmrGrhxCmPSY6XGdwxMGsCDtHYTgBfHOAnn1ZbStMv6wv2MF+RPFDXmQ==" saltValue="LbFxhP2FBzZcYI55ctno8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32140</v>
      </c>
      <c r="C2" s="49">
        <v>94083.5</v>
      </c>
      <c r="D2" s="49">
        <v>156248</v>
      </c>
      <c r="E2" s="49">
        <v>237129.5</v>
      </c>
      <c r="F2" s="49">
        <v>219204.99999999997</v>
      </c>
      <c r="G2" s="17">
        <f t="shared" ref="G2:G13" si="0">C2+D2+E2+F2</f>
        <v>706666</v>
      </c>
      <c r="H2" s="17">
        <f t="shared" ref="H2:H13" si="1">(B2 + stillbirth*B2/(1000-stillbirth))/(1-abortion)</f>
        <v>36765.856573319543</v>
      </c>
      <c r="I2" s="17">
        <f t="shared" ref="I2:I13" si="2">G2-H2</f>
        <v>669900.14342668047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31009</v>
      </c>
      <c r="C3" s="50">
        <v>95870</v>
      </c>
      <c r="D3" s="50">
        <v>150238.5</v>
      </c>
      <c r="E3" s="50">
        <v>227194.5</v>
      </c>
      <c r="F3" s="50">
        <v>221692.5</v>
      </c>
      <c r="G3" s="17">
        <f t="shared" si="0"/>
        <v>694995.5</v>
      </c>
      <c r="H3" s="17">
        <f t="shared" si="1"/>
        <v>35472.07363043142</v>
      </c>
      <c r="I3" s="17">
        <f t="shared" si="2"/>
        <v>659523.42636956857</v>
      </c>
    </row>
    <row r="4" spans="1:9" ht="15.75" customHeight="1" x14ac:dyDescent="0.25">
      <c r="A4" s="5">
        <f t="shared" si="3"/>
        <v>2026</v>
      </c>
      <c r="B4" s="49">
        <v>29962</v>
      </c>
      <c r="C4" s="50">
        <v>97409</v>
      </c>
      <c r="D4" s="50">
        <v>147507.99999999997</v>
      </c>
      <c r="E4" s="50">
        <v>215224.5</v>
      </c>
      <c r="F4" s="50">
        <v>225046.5</v>
      </c>
      <c r="G4" s="17">
        <f t="shared" si="0"/>
        <v>685188</v>
      </c>
      <c r="H4" s="17">
        <f t="shared" si="1"/>
        <v>34274.380667386438</v>
      </c>
      <c r="I4" s="17">
        <f t="shared" si="2"/>
        <v>650913.61933261354</v>
      </c>
    </row>
    <row r="5" spans="1:9" ht="15.75" customHeight="1" x14ac:dyDescent="0.25">
      <c r="A5" s="5">
        <f t="shared" si="3"/>
        <v>2027</v>
      </c>
      <c r="B5" s="49">
        <v>29290</v>
      </c>
      <c r="C5" s="50">
        <v>98955</v>
      </c>
      <c r="D5" s="50">
        <v>148112.5</v>
      </c>
      <c r="E5" s="50">
        <v>202361</v>
      </c>
      <c r="F5" s="50">
        <v>228930.5</v>
      </c>
      <c r="G5" s="17">
        <f t="shared" si="0"/>
        <v>678359</v>
      </c>
      <c r="H5" s="17">
        <f t="shared" si="1"/>
        <v>33505.660828641237</v>
      </c>
      <c r="I5" s="17">
        <f t="shared" si="2"/>
        <v>644853.33917135873</v>
      </c>
    </row>
    <row r="6" spans="1:9" ht="15.75" customHeight="1" x14ac:dyDescent="0.25">
      <c r="A6" s="5">
        <f t="shared" si="3"/>
        <v>2028</v>
      </c>
      <c r="B6" s="49">
        <v>28743</v>
      </c>
      <c r="C6" s="50">
        <v>100568.5</v>
      </c>
      <c r="D6" s="50">
        <v>150773</v>
      </c>
      <c r="E6" s="50">
        <v>189086.5</v>
      </c>
      <c r="F6" s="50">
        <v>232184</v>
      </c>
      <c r="G6" s="17">
        <f t="shared" si="0"/>
        <v>672612</v>
      </c>
      <c r="H6" s="17">
        <f t="shared" si="1"/>
        <v>32879.932031329299</v>
      </c>
      <c r="I6" s="17">
        <f t="shared" si="2"/>
        <v>639732.06796867074</v>
      </c>
    </row>
    <row r="7" spans="1:9" ht="15.75" customHeight="1" x14ac:dyDescent="0.25">
      <c r="A7" s="5">
        <f t="shared" si="3"/>
        <v>2029</v>
      </c>
      <c r="B7" s="49">
        <v>28295</v>
      </c>
      <c r="C7" s="50">
        <v>102568.5</v>
      </c>
      <c r="D7" s="50">
        <v>154713.5</v>
      </c>
      <c r="E7" s="50">
        <v>176327</v>
      </c>
      <c r="F7" s="50">
        <v>233993.49999999997</v>
      </c>
      <c r="G7" s="17">
        <f t="shared" si="0"/>
        <v>667602.5</v>
      </c>
      <c r="H7" s="17">
        <f t="shared" si="1"/>
        <v>32367.452138832497</v>
      </c>
      <c r="I7" s="17">
        <f t="shared" si="2"/>
        <v>635235.04786116746</v>
      </c>
    </row>
    <row r="8" spans="1:9" ht="15.75" customHeight="1" x14ac:dyDescent="0.25">
      <c r="A8" s="5">
        <f t="shared" si="3"/>
        <v>2030</v>
      </c>
      <c r="B8" s="49">
        <v>27903</v>
      </c>
      <c r="C8" s="50">
        <v>104696.5</v>
      </c>
      <c r="D8" s="50">
        <v>159156</v>
      </c>
      <c r="E8" s="50">
        <v>164728</v>
      </c>
      <c r="F8" s="50">
        <v>234145.50000000003</v>
      </c>
      <c r="G8" s="17">
        <f t="shared" si="0"/>
        <v>662726</v>
      </c>
      <c r="H8" s="17">
        <f t="shared" si="1"/>
        <v>31919.032232897796</v>
      </c>
      <c r="I8" s="17">
        <f t="shared" si="2"/>
        <v>630806.96776710218</v>
      </c>
    </row>
    <row r="9" spans="1:9" ht="15.75" customHeight="1" x14ac:dyDescent="0.25">
      <c r="A9" s="5">
        <f t="shared" si="3"/>
        <v>2031</v>
      </c>
      <c r="B9" s="49">
        <v>27588</v>
      </c>
      <c r="C9" s="50">
        <v>106300</v>
      </c>
      <c r="D9" s="50">
        <v>163815.5</v>
      </c>
      <c r="E9" s="50">
        <v>154441</v>
      </c>
      <c r="F9" s="50">
        <v>233016</v>
      </c>
      <c r="G9" s="17">
        <f t="shared" si="0"/>
        <v>657572.5</v>
      </c>
      <c r="H9" s="17">
        <f t="shared" si="1"/>
        <v>31558.694808485987</v>
      </c>
      <c r="I9" s="17">
        <f t="shared" si="2"/>
        <v>626013.80519151397</v>
      </c>
    </row>
    <row r="10" spans="1:9" ht="15.75" customHeight="1" x14ac:dyDescent="0.25">
      <c r="A10" s="5">
        <f t="shared" si="3"/>
        <v>2032</v>
      </c>
      <c r="B10" s="49">
        <v>27376</v>
      </c>
      <c r="C10" s="50">
        <v>106331</v>
      </c>
      <c r="D10" s="50">
        <v>168720.50000000003</v>
      </c>
      <c r="E10" s="50">
        <v>145202</v>
      </c>
      <c r="F10" s="50">
        <v>230821.5</v>
      </c>
      <c r="G10" s="17">
        <f t="shared" si="0"/>
        <v>651075</v>
      </c>
      <c r="H10" s="17">
        <f t="shared" si="1"/>
        <v>31316.182002215181</v>
      </c>
      <c r="I10" s="17">
        <f t="shared" si="2"/>
        <v>619758.81799778482</v>
      </c>
    </row>
    <row r="11" spans="1:9" ht="15.75" customHeight="1" x14ac:dyDescent="0.25">
      <c r="A11" s="5">
        <f t="shared" si="3"/>
        <v>2033</v>
      </c>
      <c r="B11" s="49">
        <v>27253</v>
      </c>
      <c r="C11" s="50">
        <v>104272</v>
      </c>
      <c r="D11" s="50">
        <v>173856</v>
      </c>
      <c r="E11" s="50">
        <v>137022.5</v>
      </c>
      <c r="F11" s="50">
        <v>227187</v>
      </c>
      <c r="G11" s="17">
        <f t="shared" si="0"/>
        <v>642337.5</v>
      </c>
      <c r="H11" s="17">
        <f t="shared" si="1"/>
        <v>31175.478817444851</v>
      </c>
      <c r="I11" s="17">
        <f t="shared" si="2"/>
        <v>611162.02118255512</v>
      </c>
    </row>
    <row r="12" spans="1:9" ht="15.75" customHeight="1" x14ac:dyDescent="0.25">
      <c r="A12" s="5">
        <f t="shared" si="3"/>
        <v>2034</v>
      </c>
      <c r="B12" s="49">
        <v>27182</v>
      </c>
      <c r="C12" s="50">
        <v>100289.5</v>
      </c>
      <c r="D12" s="50">
        <v>179124.5</v>
      </c>
      <c r="E12" s="50">
        <v>130922</v>
      </c>
      <c r="F12" s="50">
        <v>221362.5</v>
      </c>
      <c r="G12" s="17">
        <f t="shared" si="0"/>
        <v>631698.5</v>
      </c>
      <c r="H12" s="17">
        <f t="shared" si="1"/>
        <v>31094.259905910763</v>
      </c>
      <c r="I12" s="17">
        <f t="shared" si="2"/>
        <v>600604.24009408918</v>
      </c>
    </row>
    <row r="13" spans="1:9" ht="15.75" customHeight="1" x14ac:dyDescent="0.25">
      <c r="A13" s="5">
        <f t="shared" si="3"/>
        <v>2035</v>
      </c>
      <c r="B13" s="49">
        <v>27195</v>
      </c>
      <c r="C13" s="50">
        <v>94932</v>
      </c>
      <c r="D13" s="50">
        <v>183966.5</v>
      </c>
      <c r="E13" s="50">
        <v>127558</v>
      </c>
      <c r="F13" s="50">
        <v>212990.5</v>
      </c>
      <c r="G13" s="17">
        <f t="shared" si="0"/>
        <v>619447</v>
      </c>
      <c r="H13" s="17">
        <f t="shared" si="1"/>
        <v>31109.130974219817</v>
      </c>
      <c r="I13" s="17">
        <f t="shared" si="2"/>
        <v>588337.86902578024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NE+BMAVXfw1yLD8QjQ+qzs4Nk4wyQmXzc0Kz4H1vfFKdV+/PcN92z8kGejrIf3vYejPp6emGjyTw3JYEMy8BEg==" saltValue="e3NuqaO715a9fRcdYzD06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0</v>
      </c>
    </row>
    <row r="4" spans="1:8" ht="15.75" customHeight="1" x14ac:dyDescent="0.25">
      <c r="B4" s="19" t="s">
        <v>116</v>
      </c>
      <c r="C4" s="101">
        <v>0.1540929999999999</v>
      </c>
    </row>
    <row r="5" spans="1:8" ht="15.75" customHeight="1" x14ac:dyDescent="0.25">
      <c r="B5" s="19" t="s">
        <v>114</v>
      </c>
      <c r="C5" s="101">
        <v>4.3544600000000051E-2</v>
      </c>
    </row>
    <row r="6" spans="1:8" ht="15.75" customHeight="1" x14ac:dyDescent="0.25">
      <c r="B6" s="19" t="s">
        <v>110</v>
      </c>
      <c r="C6" s="101">
        <v>0.13350659999999989</v>
      </c>
    </row>
    <row r="7" spans="1:8" ht="15.75" customHeight="1" x14ac:dyDescent="0.25">
      <c r="B7" s="19" t="s">
        <v>115</v>
      </c>
      <c r="C7" s="101">
        <v>0.34353199999999989</v>
      </c>
    </row>
    <row r="8" spans="1:8" ht="15.75" customHeight="1" x14ac:dyDescent="0.25">
      <c r="B8" s="19" t="s">
        <v>117</v>
      </c>
      <c r="C8" s="101">
        <v>0</v>
      </c>
    </row>
    <row r="9" spans="1:8" ht="15.75" customHeight="1" x14ac:dyDescent="0.25">
      <c r="B9" s="19" t="s">
        <v>111</v>
      </c>
      <c r="C9" s="101">
        <v>0.24229560000000019</v>
      </c>
    </row>
    <row r="10" spans="1:8" ht="15.75" customHeight="1" x14ac:dyDescent="0.25">
      <c r="B10" s="19" t="s">
        <v>113</v>
      </c>
      <c r="C10" s="101">
        <v>8.3028199999999941E-2</v>
      </c>
    </row>
    <row r="11" spans="1:8" ht="15.75" customHeight="1" x14ac:dyDescent="0.25">
      <c r="B11" s="27" t="s">
        <v>79</v>
      </c>
      <c r="C11" s="48">
        <f>SUM(C3:C10)</f>
        <v>0.99999999999999978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2" t="s">
        <v>93</v>
      </c>
      <c r="D13" s="102" t="s">
        <v>96</v>
      </c>
      <c r="E13" s="102" t="s">
        <v>94</v>
      </c>
      <c r="F13" s="102" t="s">
        <v>95</v>
      </c>
      <c r="G13" s="19"/>
    </row>
    <row r="14" spans="1:8" ht="15.75" customHeight="1" x14ac:dyDescent="0.25">
      <c r="B14" s="19" t="s">
        <v>103</v>
      </c>
      <c r="C14" s="55">
        <v>0.1310706655975018</v>
      </c>
      <c r="D14" s="55">
        <v>0.1310706655975018</v>
      </c>
      <c r="E14" s="55">
        <v>0.1310706655975018</v>
      </c>
      <c r="F14" s="55">
        <v>0.1310706655975018</v>
      </c>
    </row>
    <row r="15" spans="1:8" ht="15.75" customHeight="1" x14ac:dyDescent="0.25">
      <c r="B15" s="19" t="s">
        <v>121</v>
      </c>
      <c r="C15" s="101">
        <v>0.32579698637507032</v>
      </c>
      <c r="D15" s="101">
        <v>0.32579698637507032</v>
      </c>
      <c r="E15" s="101">
        <v>0.32579698637507032</v>
      </c>
      <c r="F15" s="101">
        <v>0.32579698637507032</v>
      </c>
    </row>
    <row r="16" spans="1:8" ht="15.75" customHeight="1" x14ac:dyDescent="0.25">
      <c r="B16" s="19" t="s">
        <v>2</v>
      </c>
      <c r="C16" s="101">
        <v>3.0352653282682381E-2</v>
      </c>
      <c r="D16" s="101">
        <v>3.0352653282682381E-2</v>
      </c>
      <c r="E16" s="101">
        <v>3.0352653282682381E-2</v>
      </c>
      <c r="F16" s="101">
        <v>3.0352653282682381E-2</v>
      </c>
    </row>
    <row r="17" spans="1:8" ht="15.75" customHeight="1" x14ac:dyDescent="0.25">
      <c r="B17" s="19" t="s">
        <v>109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3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120</v>
      </c>
      <c r="C19" s="101">
        <v>7.463023990219639E-3</v>
      </c>
      <c r="D19" s="101">
        <v>7.463023990219639E-3</v>
      </c>
      <c r="E19" s="101">
        <v>7.463023990219639E-3</v>
      </c>
      <c r="F19" s="101">
        <v>7.463023990219639E-3</v>
      </c>
    </row>
    <row r="20" spans="1:8" ht="15.75" customHeight="1" x14ac:dyDescent="0.25">
      <c r="B20" s="19" t="s">
        <v>98</v>
      </c>
      <c r="C20" s="101">
        <v>2.4205317759995671E-2</v>
      </c>
      <c r="D20" s="101">
        <v>2.4205317759995671E-2</v>
      </c>
      <c r="E20" s="101">
        <v>2.4205317759995671E-2</v>
      </c>
      <c r="F20" s="101">
        <v>2.4205317759995671E-2</v>
      </c>
    </row>
    <row r="21" spans="1:8" ht="15.75" customHeight="1" x14ac:dyDescent="0.25">
      <c r="B21" s="19" t="s">
        <v>107</v>
      </c>
      <c r="C21" s="101">
        <v>0.33452651561541241</v>
      </c>
      <c r="D21" s="101">
        <v>0.33452651561541241</v>
      </c>
      <c r="E21" s="101">
        <v>0.33452651561541241</v>
      </c>
      <c r="F21" s="101">
        <v>0.33452651561541241</v>
      </c>
    </row>
    <row r="22" spans="1:8" ht="15.75" customHeight="1" x14ac:dyDescent="0.25">
      <c r="B22" s="19" t="s">
        <v>118</v>
      </c>
      <c r="C22" s="101">
        <v>0.14658483737911779</v>
      </c>
      <c r="D22" s="101">
        <v>0.14658483737911779</v>
      </c>
      <c r="E22" s="101">
        <v>0.14658483737911779</v>
      </c>
      <c r="F22" s="101">
        <v>0.14658483737911779</v>
      </c>
    </row>
    <row r="23" spans="1:8" ht="15.75" customHeight="1" x14ac:dyDescent="0.25">
      <c r="B23" s="27" t="s">
        <v>79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5.3514945000000001E-2</v>
      </c>
    </row>
    <row r="27" spans="1:8" ht="15.75" customHeight="1" x14ac:dyDescent="0.25">
      <c r="B27" s="19" t="s">
        <v>108</v>
      </c>
      <c r="C27" s="101">
        <v>2.8541006000000001E-2</v>
      </c>
    </row>
    <row r="28" spans="1:8" ht="15.75" customHeight="1" x14ac:dyDescent="0.25">
      <c r="B28" s="19" t="s">
        <v>122</v>
      </c>
      <c r="C28" s="101">
        <v>0.187630466</v>
      </c>
    </row>
    <row r="29" spans="1:8" ht="15.75" customHeight="1" x14ac:dyDescent="0.25">
      <c r="B29" s="19" t="s">
        <v>105</v>
      </c>
      <c r="C29" s="101">
        <v>0.27936675700000002</v>
      </c>
    </row>
    <row r="30" spans="1:8" ht="15.75" customHeight="1" x14ac:dyDescent="0.25">
      <c r="B30" s="19" t="s">
        <v>4</v>
      </c>
      <c r="C30" s="101">
        <v>9.2226500000000002E-4</v>
      </c>
    </row>
    <row r="31" spans="1:8" ht="15.75" customHeight="1" x14ac:dyDescent="0.25">
      <c r="B31" s="19" t="s">
        <v>99</v>
      </c>
      <c r="C31" s="101">
        <v>7.2676198999999997E-2</v>
      </c>
    </row>
    <row r="32" spans="1:8" ht="15.75" customHeight="1" x14ac:dyDescent="0.25">
      <c r="B32" s="19" t="s">
        <v>104</v>
      </c>
      <c r="C32" s="101">
        <v>4.4662927999999998E-2</v>
      </c>
    </row>
    <row r="33" spans="2:3" ht="15.75" customHeight="1" x14ac:dyDescent="0.25">
      <c r="B33" s="19" t="s">
        <v>119</v>
      </c>
      <c r="C33" s="101">
        <v>0.14648158999999999</v>
      </c>
    </row>
    <row r="34" spans="2:3" ht="15.75" customHeight="1" x14ac:dyDescent="0.25">
      <c r="B34" s="19" t="s">
        <v>106</v>
      </c>
      <c r="C34" s="101">
        <v>0.18620384500000001</v>
      </c>
    </row>
    <row r="35" spans="2:3" ht="15.75" customHeight="1" x14ac:dyDescent="0.25">
      <c r="B35" s="27" t="s">
        <v>79</v>
      </c>
      <c r="C35" s="48">
        <f>SUM(C26:C34)</f>
        <v>1.0000000010000001</v>
      </c>
    </row>
  </sheetData>
  <sheetProtection algorithmName="SHA-512" hashValue="uWPliPzxarmGNSNXSKHgHPqHuYUwb1z8MkMN6N5JZKcHFWRiuaxRpAltFoGhfw4tco3mWrhqG2vUSe3m+XS4TQ==" saltValue="uMgTWEJAk+SuFQj9cWNpw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0.58386943192158447</v>
      </c>
      <c r="D2" s="52">
        <f>IFERROR(1-_xlfn.NORM.DIST(_xlfn.NORM.INV(SUM(D4:D5), 0, 1) + 1, 0, 1, TRUE), "")</f>
        <v>0.58386943192158447</v>
      </c>
      <c r="E2" s="52">
        <f>IFERROR(1-_xlfn.NORM.DIST(_xlfn.NORM.INV(SUM(E4:E5), 0, 1) + 1, 0, 1, TRUE), "")</f>
        <v>0.59904026500765561</v>
      </c>
      <c r="F2" s="52">
        <f>IFERROR(1-_xlfn.NORM.DIST(_xlfn.NORM.INV(SUM(F4:F5), 0, 1) + 1, 0, 1, TRUE), "")</f>
        <v>0.4178738712092348</v>
      </c>
      <c r="G2" s="52">
        <f>IFERROR(1-_xlfn.NORM.DIST(_xlfn.NORM.INV(SUM(G4:G5), 0, 1) + 1, 0, 1, TRUE), "")</f>
        <v>0.55338444676169551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0.30333656807841547</v>
      </c>
      <c r="D3" s="52">
        <f>IFERROR(_xlfn.NORM.DIST(_xlfn.NORM.INV(SUM(D4:D5), 0, 1) + 1, 0, 1, TRUE) - SUM(D4:D5), "")</f>
        <v>0.30333656807841547</v>
      </c>
      <c r="E3" s="52">
        <f>IFERROR(_xlfn.NORM.DIST(_xlfn.NORM.INV(SUM(E4:E5), 0, 1) + 1, 0, 1, TRUE) - SUM(E4:E5), "")</f>
        <v>0.29546763499234441</v>
      </c>
      <c r="F3" s="52">
        <f>IFERROR(_xlfn.NORM.DIST(_xlfn.NORM.INV(SUM(F4:F5), 0, 1) + 1, 0, 1, TRUE) - SUM(F4:F5), "")</f>
        <v>0.36813942879076522</v>
      </c>
      <c r="G3" s="52">
        <f>IFERROR(_xlfn.NORM.DIST(_xlfn.NORM.INV(SUM(G4:G5), 0, 1) + 1, 0, 1, TRUE) - SUM(G4:G5), "")</f>
        <v>0.31826375323830458</v>
      </c>
    </row>
    <row r="4" spans="1:15" ht="15.75" customHeight="1" x14ac:dyDescent="0.25">
      <c r="B4" s="5" t="s">
        <v>129</v>
      </c>
      <c r="C4" s="45">
        <v>9.6012400000000012E-2</v>
      </c>
      <c r="D4" s="53">
        <v>9.6012400000000012E-2</v>
      </c>
      <c r="E4" s="53">
        <v>8.0807699999999996E-2</v>
      </c>
      <c r="F4" s="53">
        <v>0.15705279999999999</v>
      </c>
      <c r="G4" s="53">
        <v>0.1019114</v>
      </c>
    </row>
    <row r="5" spans="1:15" ht="15.75" customHeight="1" x14ac:dyDescent="0.25">
      <c r="B5" s="5" t="s">
        <v>125</v>
      </c>
      <c r="C5" s="45">
        <v>1.6781600000000001E-2</v>
      </c>
      <c r="D5" s="53">
        <v>1.6781600000000001E-2</v>
      </c>
      <c r="E5" s="53">
        <v>2.4684399999999999E-2</v>
      </c>
      <c r="F5" s="53">
        <v>5.6933900000000003E-2</v>
      </c>
      <c r="G5" s="53">
        <v>2.6440399999999999E-2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0.77685468030084026</v>
      </c>
      <c r="D8" s="52">
        <f>IFERROR(1-_xlfn.NORM.DIST(_xlfn.NORM.INV(SUM(D10:D11), 0, 1) + 1, 0, 1, TRUE), "")</f>
        <v>0.77685468030084026</v>
      </c>
      <c r="E8" s="52">
        <f>IFERROR(1-_xlfn.NORM.DIST(_xlfn.NORM.INV(SUM(E10:E11), 0, 1) + 1, 0, 1, TRUE), "")</f>
        <v>0.80894052763806945</v>
      </c>
      <c r="F8" s="52">
        <f>IFERROR(1-_xlfn.NORM.DIST(_xlfn.NORM.INV(SUM(F10:F11), 0, 1) + 1, 0, 1, TRUE), "")</f>
        <v>0.92437234173385519</v>
      </c>
      <c r="G8" s="52">
        <f>IFERROR(1-_xlfn.NORM.DIST(_xlfn.NORM.INV(SUM(G10:G11), 0, 1) + 1, 0, 1, TRUE), "")</f>
        <v>0.90640630747336237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0.18407801969915977</v>
      </c>
      <c r="D9" s="52">
        <f>IFERROR(_xlfn.NORM.DIST(_xlfn.NORM.INV(SUM(D10:D11), 0, 1) + 1, 0, 1, TRUE) - SUM(D10:D11), "")</f>
        <v>0.18407801969915977</v>
      </c>
      <c r="E9" s="52">
        <f>IFERROR(_xlfn.NORM.DIST(_xlfn.NORM.INV(SUM(E10:E11), 0, 1) + 1, 0, 1, TRUE) - SUM(E10:E11), "")</f>
        <v>0.16059417236193055</v>
      </c>
      <c r="F9" s="52">
        <f>IFERROR(_xlfn.NORM.DIST(_xlfn.NORM.INV(SUM(F10:F11), 0, 1) + 1, 0, 1, TRUE) - SUM(F10:F11), "")</f>
        <v>6.8184058266144792E-2</v>
      </c>
      <c r="G9" s="52">
        <f>IFERROR(_xlfn.NORM.DIST(_xlfn.NORM.INV(SUM(G10:G11), 0, 1) + 1, 0, 1, TRUE) - SUM(G10:G11), "")</f>
        <v>8.3394692526637629E-2</v>
      </c>
    </row>
    <row r="10" spans="1:15" ht="15.75" customHeight="1" x14ac:dyDescent="0.25">
      <c r="B10" s="5" t="s">
        <v>126</v>
      </c>
      <c r="C10" s="45">
        <v>3.3972000000000002E-2</v>
      </c>
      <c r="D10" s="53">
        <v>3.3972000000000002E-2</v>
      </c>
      <c r="E10" s="53">
        <v>1.06941E-2</v>
      </c>
      <c r="F10" s="53">
        <v>7.4435999999999999E-3</v>
      </c>
      <c r="G10" s="53">
        <v>7.1650000000000004E-3</v>
      </c>
    </row>
    <row r="11" spans="1:15" ht="15.75" customHeight="1" x14ac:dyDescent="0.25">
      <c r="B11" s="5" t="s">
        <v>138</v>
      </c>
      <c r="C11" s="45">
        <v>5.0953000000000014E-3</v>
      </c>
      <c r="D11" s="53">
        <v>5.0953000000000014E-3</v>
      </c>
      <c r="E11" s="53">
        <v>1.9771199999999999E-2</v>
      </c>
      <c r="F11" s="53">
        <v>0</v>
      </c>
      <c r="G11" s="53">
        <v>3.0339999999999998E-3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0.49655583125000002</v>
      </c>
      <c r="D14" s="54">
        <v>0.47001446794099999</v>
      </c>
      <c r="E14" s="54">
        <v>0.47001446794099999</v>
      </c>
      <c r="F14" s="54">
        <v>0.21084454282599999</v>
      </c>
      <c r="G14" s="54">
        <v>0.21084454282599999</v>
      </c>
      <c r="H14" s="45">
        <v>0.19600000000000001</v>
      </c>
      <c r="I14" s="55">
        <v>0.19600000000000001</v>
      </c>
      <c r="J14" s="55">
        <v>0.19600000000000001</v>
      </c>
      <c r="K14" s="55">
        <v>0.19600000000000001</v>
      </c>
      <c r="L14" s="45">
        <v>0.14399999999999999</v>
      </c>
      <c r="M14" s="55">
        <v>0.14399999999999999</v>
      </c>
      <c r="N14" s="55">
        <v>0.14399999999999999</v>
      </c>
      <c r="O14" s="55">
        <v>0.14399999999999999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0.30338021966298123</v>
      </c>
      <c r="D15" s="52">
        <f t="shared" si="0"/>
        <v>0.28716426946344481</v>
      </c>
      <c r="E15" s="52">
        <f t="shared" si="0"/>
        <v>0.28716426946344481</v>
      </c>
      <c r="F15" s="52">
        <f t="shared" si="0"/>
        <v>0.1288194794858584</v>
      </c>
      <c r="G15" s="52">
        <f t="shared" si="0"/>
        <v>0.1288194794858584</v>
      </c>
      <c r="H15" s="52">
        <f t="shared" si="0"/>
        <v>0.11974992400000001</v>
      </c>
      <c r="I15" s="52">
        <f t="shared" si="0"/>
        <v>0.11974992400000001</v>
      </c>
      <c r="J15" s="52">
        <f t="shared" si="0"/>
        <v>0.11974992400000001</v>
      </c>
      <c r="K15" s="52">
        <f t="shared" si="0"/>
        <v>0.11974992400000001</v>
      </c>
      <c r="L15" s="52">
        <f t="shared" si="0"/>
        <v>8.7979535999999997E-2</v>
      </c>
      <c r="M15" s="52">
        <f t="shared" si="0"/>
        <v>8.7979535999999997E-2</v>
      </c>
      <c r="N15" s="52">
        <f t="shared" si="0"/>
        <v>8.7979535999999997E-2</v>
      </c>
      <c r="O15" s="52">
        <f t="shared" si="0"/>
        <v>8.7979535999999997E-2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wCpaJTIA3BB7WvzGqyfwoGZOYs50duaiOO/00EtO201asnwgRWk02AOZM4SbEyWopiRBI6VKcfjkjlebjbV0lg==" saltValue="qyBtABwk4KYwxblsQA+EV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0.37103969999999997</v>
      </c>
      <c r="D2" s="53">
        <v>0.23591980000000001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0.18044669999999999</v>
      </c>
      <c r="D3" s="53">
        <v>9.0277700000000002E-2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0.28596440000000001</v>
      </c>
      <c r="D4" s="53">
        <v>0.42006130000000003</v>
      </c>
      <c r="E4" s="53">
        <v>0.56871260000000001</v>
      </c>
      <c r="F4" s="53">
        <v>0.35001369999999998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0.16254920000000006</v>
      </c>
      <c r="D5" s="52">
        <f t="shared" si="0"/>
        <v>0.25374119999999989</v>
      </c>
      <c r="E5" s="52">
        <f>1-SUM(E2:E4)</f>
        <v>0.43128739999999999</v>
      </c>
      <c r="F5" s="52">
        <f>1-SUM(F2:F4)</f>
        <v>0.64998630000000002</v>
      </c>
      <c r="G5" s="52">
        <f>1-SUM(G2:G4)</f>
        <v>1</v>
      </c>
    </row>
  </sheetData>
  <sheetProtection algorithmName="SHA-512" hashValue="obr3It0A7dLk84s0NauViwMEZ7VgMtRNliqfhJvJ1zk9G6YieaxwIaJMD2QhJMztwTN7Z2u0zFHr8pXGOHnW3A==" saltValue="5p/ePy+s26+rVZ6evnHCJ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2hawjV+sDkh335sqvnKAMCY40aIMUoFILsgBWnr5wHSICla5Jv6bsj9QoSGRvO2RAChxM6pZi5rCVJgFoK+XSw==" saltValue="2PUgH1QEK7CSyug2e66RF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abSelected="1"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10</v>
      </c>
      <c r="B1" s="105" t="s">
        <v>11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160</v>
      </c>
      <c r="B2" s="109">
        <v>5714.4304884029398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159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170</v>
      </c>
      <c r="B4" s="110">
        <v>0.58991000000000005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161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162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165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164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166</v>
      </c>
      <c r="B9" s="110">
        <v>0.73199999999999998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163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171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172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173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174</v>
      </c>
      <c r="B14" s="112">
        <v>1.812342190176422E-2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167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168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169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175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12</v>
      </c>
      <c r="B21" s="108" t="s">
        <v>13</v>
      </c>
      <c r="C21" s="108" t="s">
        <v>14</v>
      </c>
      <c r="D21" s="108" t="s">
        <v>15</v>
      </c>
      <c r="E21" s="108" t="s">
        <v>16</v>
      </c>
      <c r="F21" s="108" t="s">
        <v>17</v>
      </c>
      <c r="G21" s="108" t="s">
        <v>18</v>
      </c>
      <c r="H21" s="108" t="s">
        <v>19</v>
      </c>
      <c r="I21" s="108" t="s">
        <v>20</v>
      </c>
      <c r="J21" s="108" t="s">
        <v>21</v>
      </c>
      <c r="K21" s="108" t="s">
        <v>22</v>
      </c>
      <c r="L21" s="108" t="s">
        <v>23</v>
      </c>
      <c r="M21" s="108" t="s">
        <v>24</v>
      </c>
      <c r="N21" s="108" t="s">
        <v>25</v>
      </c>
      <c r="O21" s="108" t="s">
        <v>26</v>
      </c>
    </row>
    <row r="22" spans="1:15" x14ac:dyDescent="0.25">
      <c r="A22" s="108" t="s">
        <v>176</v>
      </c>
      <c r="B22" s="109">
        <v>98490.743119999999</v>
      </c>
      <c r="C22" s="109">
        <v>98372.833450000006</v>
      </c>
      <c r="D22" s="109">
        <v>98225.841650000002</v>
      </c>
      <c r="E22" s="109">
        <v>98019.409790000005</v>
      </c>
      <c r="F22" s="109">
        <v>97757.886029999994</v>
      </c>
      <c r="G22" s="109">
        <v>97404.782040000006</v>
      </c>
      <c r="H22" s="109">
        <v>96848.728700000007</v>
      </c>
      <c r="I22" s="109">
        <v>95941.304990000004</v>
      </c>
      <c r="J22" s="109">
        <v>94313.526740000001</v>
      </c>
      <c r="K22" s="109">
        <v>91939.300380000001</v>
      </c>
      <c r="L22" s="109">
        <v>88620.793609999993</v>
      </c>
      <c r="M22" s="109">
        <v>83627.800470000002</v>
      </c>
      <c r="N22" s="109">
        <v>76538.746270000003</v>
      </c>
      <c r="O22" s="109">
        <v>65091.719239999999</v>
      </c>
    </row>
  </sheetData>
  <sheetProtection algorithmName="SHA-512" hashValue="PzTtylz1D3/XCypE0IgpreJIvmGpIKYgol/12dfX1kUI16VG2ifCTsLndXaCNNcvEYxjAQGbmBA8wXrT89S1CQ==" saltValue="XGK8wQd8oxezUvK8pLSzp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tJxw7TVl6g927Q5cdYTqJn9a8JOqfJ1OfP/8awy7afkBEgSCtuHwDYr2YWv53xgRtXQhvc5JW0RMEi10I+DmMg==" saltValue="GXI01qQKLlnSGGExECZDf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0H+b9Zik88gVYlzTpmjby9lvP4SSOFvDtewlpMczGHq42+855N60sv8488RjQUJkR30zfpA9pP4eo7J2vXDClA==" saltValue="vvEd4UwrNN/+OH4KWHSkX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8">
        <v>0.95</v>
      </c>
      <c r="D2" s="56">
        <v>12.008526100307062</v>
      </c>
      <c r="E2" s="56" t="s">
        <v>212</v>
      </c>
      <c r="F2" s="98">
        <v>1</v>
      </c>
      <c r="G2" s="98">
        <v>1</v>
      </c>
    </row>
    <row r="3" spans="1:7" ht="15.75" customHeight="1" x14ac:dyDescent="0.25">
      <c r="A3" s="5" t="s">
        <v>195</v>
      </c>
      <c r="B3" s="45">
        <v>0</v>
      </c>
      <c r="C3" s="98">
        <v>0.95</v>
      </c>
      <c r="D3" s="56">
        <v>12.008526100307062</v>
      </c>
      <c r="E3" s="56" t="s">
        <v>212</v>
      </c>
      <c r="F3" s="98">
        <v>1</v>
      </c>
      <c r="G3" s="98">
        <v>1</v>
      </c>
    </row>
    <row r="4" spans="1:7" ht="15.75" customHeight="1" x14ac:dyDescent="0.25">
      <c r="A4" s="5" t="s">
        <v>196</v>
      </c>
      <c r="B4" s="98">
        <v>0</v>
      </c>
      <c r="C4" s="98">
        <v>0.95</v>
      </c>
      <c r="D4" s="56">
        <v>8.8894216990788131</v>
      </c>
      <c r="E4" s="56" t="s">
        <v>212</v>
      </c>
      <c r="F4" s="98">
        <v>1</v>
      </c>
      <c r="G4" s="98">
        <v>1</v>
      </c>
    </row>
    <row r="5" spans="1:7" ht="15.75" customHeight="1" x14ac:dyDescent="0.25">
      <c r="A5" s="5" t="s">
        <v>198</v>
      </c>
      <c r="B5" s="98">
        <v>0</v>
      </c>
      <c r="C5" s="98">
        <v>0.95</v>
      </c>
      <c r="D5" s="56">
        <v>0.48</v>
      </c>
      <c r="E5" s="56" t="s">
        <v>212</v>
      </c>
      <c r="F5" s="98">
        <v>1</v>
      </c>
      <c r="G5" s="98">
        <v>1</v>
      </c>
    </row>
    <row r="6" spans="1:7" ht="15.75" customHeight="1" x14ac:dyDescent="0.25">
      <c r="A6" s="5" t="s">
        <v>199</v>
      </c>
      <c r="B6" s="98">
        <v>0</v>
      </c>
      <c r="C6" s="98">
        <v>0.95</v>
      </c>
      <c r="D6" s="56">
        <v>99.99</v>
      </c>
      <c r="E6" s="56" t="s">
        <v>212</v>
      </c>
      <c r="F6" s="98">
        <v>1</v>
      </c>
      <c r="G6" s="98">
        <v>1</v>
      </c>
    </row>
    <row r="7" spans="1:7" ht="15.75" customHeight="1" x14ac:dyDescent="0.25">
      <c r="A7" s="5" t="s">
        <v>200</v>
      </c>
      <c r="B7" s="98">
        <v>0</v>
      </c>
      <c r="C7" s="98">
        <v>0.95</v>
      </c>
      <c r="D7" s="56">
        <v>0.19</v>
      </c>
      <c r="E7" s="56" t="s">
        <v>212</v>
      </c>
      <c r="F7" s="98">
        <v>1</v>
      </c>
      <c r="G7" s="98">
        <v>1</v>
      </c>
    </row>
    <row r="8" spans="1:7" ht="15.75" customHeight="1" x14ac:dyDescent="0.25">
      <c r="A8" s="5" t="s">
        <v>201</v>
      </c>
      <c r="B8" s="98">
        <v>0</v>
      </c>
      <c r="C8" s="98">
        <v>0.95</v>
      </c>
      <c r="D8" s="56">
        <v>0.79</v>
      </c>
      <c r="E8" s="56" t="s">
        <v>212</v>
      </c>
      <c r="F8" s="98">
        <v>1</v>
      </c>
      <c r="G8" s="98">
        <v>1</v>
      </c>
    </row>
    <row r="9" spans="1:7" ht="15.75" customHeight="1" x14ac:dyDescent="0.25">
      <c r="A9" s="5" t="s">
        <v>202</v>
      </c>
      <c r="B9" s="98">
        <v>0.5</v>
      </c>
      <c r="C9" s="98">
        <v>0.95</v>
      </c>
      <c r="D9" s="56">
        <v>0.40262538382804508</v>
      </c>
      <c r="E9" s="56" t="s">
        <v>212</v>
      </c>
      <c r="F9" s="98">
        <v>1</v>
      </c>
      <c r="G9" s="98">
        <v>1</v>
      </c>
    </row>
    <row r="10" spans="1:7" ht="15.75" customHeight="1" x14ac:dyDescent="0.25">
      <c r="A10" s="11" t="s">
        <v>203</v>
      </c>
      <c r="B10" s="45">
        <v>0</v>
      </c>
      <c r="C10" s="98">
        <v>0.95</v>
      </c>
      <c r="D10" s="56">
        <v>14.35913960398203</v>
      </c>
      <c r="E10" s="56" t="s">
        <v>212</v>
      </c>
      <c r="F10" s="98">
        <v>1</v>
      </c>
      <c r="G10" s="98">
        <v>1</v>
      </c>
    </row>
    <row r="11" spans="1:7" ht="15.75" customHeight="1" x14ac:dyDescent="0.25">
      <c r="A11" s="11" t="s">
        <v>204</v>
      </c>
      <c r="B11" s="98">
        <v>0</v>
      </c>
      <c r="C11" s="98">
        <v>0.95</v>
      </c>
      <c r="D11" s="56">
        <v>14.35913960398203</v>
      </c>
      <c r="E11" s="56" t="s">
        <v>212</v>
      </c>
      <c r="F11" s="98">
        <v>1</v>
      </c>
      <c r="G11" s="98">
        <v>1</v>
      </c>
    </row>
    <row r="12" spans="1:7" ht="15.75" customHeight="1" x14ac:dyDescent="0.25">
      <c r="A12" s="11" t="s">
        <v>205</v>
      </c>
      <c r="B12" s="98">
        <v>0</v>
      </c>
      <c r="C12" s="98">
        <v>0.95</v>
      </c>
      <c r="D12" s="56">
        <v>14.35913960398203</v>
      </c>
      <c r="E12" s="56" t="s">
        <v>212</v>
      </c>
      <c r="F12" s="98">
        <v>1</v>
      </c>
      <c r="G12" s="98">
        <v>1</v>
      </c>
    </row>
    <row r="13" spans="1:7" ht="15.75" customHeight="1" x14ac:dyDescent="0.25">
      <c r="A13" s="11" t="s">
        <v>206</v>
      </c>
      <c r="B13" s="98">
        <v>0</v>
      </c>
      <c r="C13" s="98">
        <v>0.95</v>
      </c>
      <c r="D13" s="56">
        <v>14.35913960398203</v>
      </c>
      <c r="E13" s="56" t="s">
        <v>212</v>
      </c>
      <c r="F13" s="98">
        <v>1</v>
      </c>
      <c r="G13" s="98">
        <v>1</v>
      </c>
    </row>
    <row r="14" spans="1:7" ht="15.75" customHeight="1" x14ac:dyDescent="0.25">
      <c r="A14" s="5" t="s">
        <v>207</v>
      </c>
      <c r="B14" s="45">
        <v>0</v>
      </c>
      <c r="C14" s="98">
        <v>0.95</v>
      </c>
      <c r="D14" s="56">
        <v>14.35913960398203</v>
      </c>
      <c r="E14" s="56" t="s">
        <v>212</v>
      </c>
      <c r="F14" s="98">
        <v>1</v>
      </c>
      <c r="G14" s="98">
        <v>1</v>
      </c>
    </row>
    <row r="15" spans="1:7" ht="15.75" customHeight="1" x14ac:dyDescent="0.25">
      <c r="A15" s="5" t="s">
        <v>208</v>
      </c>
      <c r="B15" s="98">
        <v>0</v>
      </c>
      <c r="C15" s="98">
        <v>0.95</v>
      </c>
      <c r="D15" s="56">
        <v>14.35913960398203</v>
      </c>
      <c r="E15" s="56" t="s">
        <v>212</v>
      </c>
      <c r="F15" s="98">
        <v>1</v>
      </c>
      <c r="G15" s="98">
        <v>1</v>
      </c>
    </row>
    <row r="16" spans="1:7" ht="15.75" customHeight="1" x14ac:dyDescent="0.25">
      <c r="A16" s="5" t="s">
        <v>209</v>
      </c>
      <c r="B16" s="45">
        <v>0</v>
      </c>
      <c r="C16" s="98">
        <v>0.95</v>
      </c>
      <c r="D16" s="56">
        <v>2.5</v>
      </c>
      <c r="E16" s="56" t="s">
        <v>212</v>
      </c>
      <c r="F16" s="98">
        <v>1</v>
      </c>
      <c r="G16" s="98">
        <v>1</v>
      </c>
    </row>
    <row r="17" spans="1:7" ht="15.75" customHeight="1" x14ac:dyDescent="0.25">
      <c r="A17" s="5" t="s">
        <v>210</v>
      </c>
      <c r="B17" s="98">
        <v>2.3937511111111101E-2</v>
      </c>
      <c r="C17" s="98">
        <v>0.95</v>
      </c>
      <c r="D17" s="56">
        <v>0.14000000000000001</v>
      </c>
      <c r="E17" s="56" t="s">
        <v>212</v>
      </c>
      <c r="F17" s="98">
        <v>1</v>
      </c>
      <c r="G17" s="98">
        <v>1</v>
      </c>
    </row>
    <row r="18" spans="1:7" ht="15.9" customHeight="1" x14ac:dyDescent="0.25">
      <c r="A18" s="5" t="s">
        <v>180</v>
      </c>
      <c r="B18" s="98">
        <v>0.23591980000000001</v>
      </c>
      <c r="C18" s="98">
        <v>0.95</v>
      </c>
      <c r="D18" s="56">
        <v>8.8894216990788131</v>
      </c>
      <c r="E18" s="56" t="s">
        <v>212</v>
      </c>
      <c r="F18" s="98">
        <v>1</v>
      </c>
      <c r="G18" s="98">
        <v>1</v>
      </c>
    </row>
    <row r="19" spans="1:7" ht="15.75" customHeight="1" x14ac:dyDescent="0.25">
      <c r="A19" s="5" t="s">
        <v>181</v>
      </c>
      <c r="B19" s="98">
        <v>0.23591980000000001</v>
      </c>
      <c r="C19" s="98">
        <v>0.95</v>
      </c>
      <c r="D19" s="56">
        <v>4.4482358424844612</v>
      </c>
      <c r="E19" s="56" t="s">
        <v>212</v>
      </c>
      <c r="F19" s="98">
        <v>1</v>
      </c>
      <c r="G19" s="98">
        <v>1</v>
      </c>
    </row>
    <row r="20" spans="1:7" ht="15.75" customHeight="1" x14ac:dyDescent="0.25">
      <c r="A20" s="5" t="s">
        <v>182</v>
      </c>
      <c r="B20" s="98">
        <v>0</v>
      </c>
      <c r="C20" s="98">
        <v>0.95</v>
      </c>
      <c r="D20" s="56">
        <v>99.99</v>
      </c>
      <c r="E20" s="56" t="s">
        <v>212</v>
      </c>
      <c r="F20" s="98">
        <v>1</v>
      </c>
      <c r="G20" s="98">
        <v>1</v>
      </c>
    </row>
    <row r="21" spans="1:7" ht="15.75" customHeight="1" x14ac:dyDescent="0.25">
      <c r="A21" s="5" t="s">
        <v>211</v>
      </c>
      <c r="B21" s="45">
        <v>0</v>
      </c>
      <c r="C21" s="98">
        <v>0.95</v>
      </c>
      <c r="D21" s="56">
        <v>7.48</v>
      </c>
      <c r="E21" s="56" t="s">
        <v>212</v>
      </c>
      <c r="F21" s="98">
        <v>1</v>
      </c>
      <c r="G21" s="98">
        <v>1</v>
      </c>
    </row>
    <row r="22" spans="1:7" ht="15.75" customHeight="1" x14ac:dyDescent="0.25">
      <c r="A22" s="5" t="s">
        <v>213</v>
      </c>
      <c r="B22" s="98">
        <v>0</v>
      </c>
      <c r="C22" s="98">
        <v>0.95</v>
      </c>
      <c r="D22" s="56">
        <v>8.8894216990788131</v>
      </c>
      <c r="E22" s="56" t="s">
        <v>212</v>
      </c>
      <c r="F22" s="98">
        <v>1</v>
      </c>
      <c r="G22" s="98">
        <v>1</v>
      </c>
    </row>
    <row r="23" spans="1:7" ht="15.75" customHeight="1" x14ac:dyDescent="0.25">
      <c r="A23" s="5" t="s">
        <v>214</v>
      </c>
      <c r="B23" s="98">
        <v>0</v>
      </c>
      <c r="C23" s="98">
        <v>0.95</v>
      </c>
      <c r="D23" s="56">
        <v>4.7648286502090178</v>
      </c>
      <c r="E23" s="56" t="s">
        <v>212</v>
      </c>
      <c r="F23" s="98">
        <v>1</v>
      </c>
      <c r="G23" s="98">
        <v>1</v>
      </c>
    </row>
    <row r="24" spans="1:7" ht="15.75" customHeight="1" x14ac:dyDescent="0.25">
      <c r="A24" s="5" t="s">
        <v>217</v>
      </c>
      <c r="B24" s="45">
        <v>0.69322219271638008</v>
      </c>
      <c r="C24" s="98">
        <v>0.95</v>
      </c>
      <c r="D24" s="56">
        <v>99.99</v>
      </c>
      <c r="E24" s="56" t="s">
        <v>212</v>
      </c>
      <c r="F24" s="98">
        <v>1</v>
      </c>
      <c r="G24" s="98">
        <v>1</v>
      </c>
    </row>
    <row r="25" spans="1:7" ht="15.75" customHeight="1" x14ac:dyDescent="0.25">
      <c r="A25" s="5" t="s">
        <v>218</v>
      </c>
      <c r="B25" s="98">
        <v>0</v>
      </c>
      <c r="C25" s="98">
        <v>0.95</v>
      </c>
      <c r="D25" s="56">
        <v>99.99</v>
      </c>
      <c r="E25" s="56" t="s">
        <v>212</v>
      </c>
      <c r="F25" s="98">
        <v>1</v>
      </c>
      <c r="G25" s="98">
        <v>1</v>
      </c>
    </row>
    <row r="26" spans="1:7" ht="15.75" customHeight="1" x14ac:dyDescent="0.25">
      <c r="A26" s="5" t="s">
        <v>219</v>
      </c>
      <c r="B26" s="45">
        <v>0</v>
      </c>
      <c r="C26" s="98">
        <v>0.95</v>
      </c>
      <c r="D26" s="56">
        <v>5.1498336745138182</v>
      </c>
      <c r="E26" s="56" t="s">
        <v>212</v>
      </c>
      <c r="F26" s="98">
        <v>1</v>
      </c>
      <c r="G26" s="98">
        <v>1</v>
      </c>
    </row>
    <row r="27" spans="1:7" ht="15.75" customHeight="1" x14ac:dyDescent="0.25">
      <c r="A27" s="5" t="s">
        <v>220</v>
      </c>
      <c r="B27" s="45">
        <v>0</v>
      </c>
      <c r="C27" s="98">
        <v>0.95</v>
      </c>
      <c r="D27" s="56">
        <v>11.470990276356194</v>
      </c>
      <c r="E27" s="56" t="s">
        <v>212</v>
      </c>
      <c r="F27" s="98">
        <v>1</v>
      </c>
      <c r="G27" s="98">
        <v>1</v>
      </c>
    </row>
    <row r="28" spans="1:7" ht="15.75" customHeight="1" x14ac:dyDescent="0.25">
      <c r="A28" s="5" t="s">
        <v>221</v>
      </c>
      <c r="B28" s="45">
        <v>0.52424380000000004</v>
      </c>
      <c r="C28" s="98">
        <v>0.95</v>
      </c>
      <c r="D28" s="56">
        <v>99.99</v>
      </c>
      <c r="E28" s="56" t="s">
        <v>212</v>
      </c>
      <c r="F28" s="98">
        <v>1</v>
      </c>
      <c r="G28" s="98">
        <v>1</v>
      </c>
    </row>
    <row r="29" spans="1:7" ht="15.75" customHeight="1" x14ac:dyDescent="0.25">
      <c r="A29" s="5" t="s">
        <v>222</v>
      </c>
      <c r="B29" s="45">
        <v>0.5944374</v>
      </c>
      <c r="C29" s="98">
        <v>0.95</v>
      </c>
      <c r="D29" s="56">
        <v>80.983006519796163</v>
      </c>
      <c r="E29" s="56" t="s">
        <v>212</v>
      </c>
      <c r="F29" s="98">
        <v>1</v>
      </c>
      <c r="G29" s="98">
        <v>1</v>
      </c>
    </row>
    <row r="30" spans="1:7" ht="15.75" customHeight="1" x14ac:dyDescent="0.25">
      <c r="A30" s="5" t="s">
        <v>233</v>
      </c>
      <c r="B30" s="98">
        <v>0</v>
      </c>
      <c r="C30" s="98">
        <v>0.95</v>
      </c>
      <c r="D30" s="56">
        <v>53.05</v>
      </c>
      <c r="E30" s="56" t="s">
        <v>212</v>
      </c>
      <c r="F30" s="98">
        <v>1</v>
      </c>
      <c r="G30" s="98">
        <v>1</v>
      </c>
    </row>
    <row r="31" spans="1:7" ht="15.75" customHeight="1" x14ac:dyDescent="0.25">
      <c r="A31" s="5" t="s">
        <v>193</v>
      </c>
      <c r="B31" s="45">
        <v>0</v>
      </c>
      <c r="C31" s="98">
        <v>0.95</v>
      </c>
      <c r="D31" s="56">
        <v>170.92419651995908</v>
      </c>
      <c r="E31" s="56" t="s">
        <v>212</v>
      </c>
      <c r="F31" s="98">
        <v>1</v>
      </c>
      <c r="G31" s="98">
        <v>1</v>
      </c>
    </row>
    <row r="32" spans="1:7" ht="15.75" customHeight="1" x14ac:dyDescent="0.25">
      <c r="A32" s="5" t="s">
        <v>225</v>
      </c>
      <c r="B32" s="45">
        <v>0</v>
      </c>
      <c r="C32" s="98">
        <v>0.95</v>
      </c>
      <c r="D32" s="56">
        <v>1.1057036847492325</v>
      </c>
      <c r="E32" s="56" t="s">
        <v>212</v>
      </c>
      <c r="F32" s="98">
        <v>1</v>
      </c>
      <c r="G32" s="98">
        <v>1</v>
      </c>
    </row>
    <row r="33" spans="1:7" ht="15.75" customHeight="1" x14ac:dyDescent="0.25">
      <c r="A33" s="5" t="s">
        <v>226</v>
      </c>
      <c r="B33" s="45">
        <v>0.93940820000000003</v>
      </c>
      <c r="C33" s="98">
        <v>0.95</v>
      </c>
      <c r="D33" s="56">
        <v>99.99</v>
      </c>
      <c r="E33" s="56" t="s">
        <v>212</v>
      </c>
      <c r="F33" s="98">
        <v>1</v>
      </c>
      <c r="G33" s="98">
        <v>1</v>
      </c>
    </row>
    <row r="34" spans="1:7" ht="15.75" customHeight="1" x14ac:dyDescent="0.25">
      <c r="A34" s="5" t="s">
        <v>227</v>
      </c>
      <c r="B34" s="45">
        <v>0.13994980000000001</v>
      </c>
      <c r="C34" s="98">
        <v>0.95</v>
      </c>
      <c r="D34" s="56">
        <v>99.99</v>
      </c>
      <c r="E34" s="56" t="s">
        <v>212</v>
      </c>
      <c r="F34" s="98">
        <v>1</v>
      </c>
      <c r="G34" s="98">
        <v>1</v>
      </c>
    </row>
    <row r="35" spans="1:7" ht="15.75" customHeight="1" x14ac:dyDescent="0.25">
      <c r="A35" s="5" t="s">
        <v>228</v>
      </c>
      <c r="B35" s="98">
        <v>0</v>
      </c>
      <c r="C35" s="98">
        <v>0.95</v>
      </c>
      <c r="D35" s="56">
        <v>99.99</v>
      </c>
      <c r="E35" s="56" t="s">
        <v>212</v>
      </c>
      <c r="F35" s="98">
        <v>1</v>
      </c>
      <c r="G35" s="98">
        <v>1</v>
      </c>
    </row>
    <row r="36" spans="1:7" ht="15.75" customHeight="1" x14ac:dyDescent="0.25">
      <c r="A36" s="5" t="s">
        <v>229</v>
      </c>
      <c r="B36" s="45">
        <v>2.1327200000000001E-2</v>
      </c>
      <c r="C36" s="98">
        <v>0.95</v>
      </c>
      <c r="D36" s="56">
        <v>99.99</v>
      </c>
      <c r="E36" s="56" t="s">
        <v>212</v>
      </c>
      <c r="F36" s="98">
        <v>1</v>
      </c>
      <c r="G36" s="98">
        <v>1</v>
      </c>
    </row>
    <row r="37" spans="1:7" ht="15.75" customHeight="1" x14ac:dyDescent="0.25">
      <c r="A37" s="5" t="s">
        <v>230</v>
      </c>
      <c r="B37" s="45">
        <v>0.97755639999999999</v>
      </c>
      <c r="C37" s="98">
        <v>0.95</v>
      </c>
      <c r="D37" s="56">
        <v>99.99</v>
      </c>
      <c r="E37" s="56" t="s">
        <v>212</v>
      </c>
      <c r="F37" s="98">
        <v>1</v>
      </c>
      <c r="G37" s="98">
        <v>1</v>
      </c>
    </row>
    <row r="38" spans="1:7" ht="15.75" customHeight="1" x14ac:dyDescent="0.25">
      <c r="A38" s="5" t="s">
        <v>231</v>
      </c>
      <c r="B38" s="45">
        <v>8.7485800000000002E-2</v>
      </c>
      <c r="C38" s="98">
        <v>0.95</v>
      </c>
      <c r="D38" s="56">
        <v>2.6374181166837261</v>
      </c>
      <c r="E38" s="56" t="s">
        <v>212</v>
      </c>
      <c r="F38" s="98">
        <v>1</v>
      </c>
      <c r="G38" s="98">
        <v>1</v>
      </c>
    </row>
    <row r="39" spans="1:7" ht="15.75" customHeight="1" x14ac:dyDescent="0.25">
      <c r="A39" s="5" t="s">
        <v>232</v>
      </c>
      <c r="B39" s="45">
        <v>0</v>
      </c>
      <c r="C39" s="98">
        <v>0.95</v>
      </c>
      <c r="D39" s="56">
        <v>3.43</v>
      </c>
      <c r="E39" s="56" t="s">
        <v>212</v>
      </c>
      <c r="F39" s="98">
        <v>1</v>
      </c>
      <c r="G39" s="98">
        <v>1</v>
      </c>
    </row>
  </sheetData>
  <sheetProtection algorithmName="SHA-512" hashValue="9pxs9l8f6RCGvf0L/c5J0Sftl9Hw69QPRveLBqSguyVCBibPFe+hHv2HliKjx2o+Aw86SuVIJ03FhesB58Nz+Q==" saltValue="++hrkPfVfwqUg146MhLO6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O6agY0gly9ql4uwOLidfkdJmrfL4tWzMGqKKNkJaLltzN8K63Pe3orX5fIvlH/oQcapwGo74maCggTXfgc5avg==" saltValue="rsuIm+EMS7qj/b0DEVxgU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cS3PxOgDfEfb14V4EE1JNiQA/0edg8fOCV4p/jmVRgQ0SgX9LlZkek3W03yD4c41dARAPLRYjluYU3K3g6mK+A==" saltValue="9Y2WDUGMBLSOJ50vgmJN7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3.2</v>
      </c>
      <c r="C2" s="21">
        <f>'Entradas de población-año base'!C52</f>
        <v>3.2</v>
      </c>
      <c r="D2" s="21">
        <f>'Entradas de población-año base'!C53</f>
        <v>3.2</v>
      </c>
      <c r="E2" s="21">
        <f>'Entradas de población-año base'!C54</f>
        <v>3.2</v>
      </c>
      <c r="F2" s="21">
        <f>'Entradas de población-año base'!C55</f>
        <v>3.2</v>
      </c>
    </row>
    <row r="3" spans="1:6" ht="15.75" customHeight="1" x14ac:dyDescent="0.25">
      <c r="A3" s="3" t="s">
        <v>6</v>
      </c>
      <c r="B3" s="21">
        <f>frac_mam_1month * 2.6</f>
        <v>8.8327200000000008E-2</v>
      </c>
      <c r="C3" s="21">
        <f>frac_mam_1_5months * 2.6</f>
        <v>8.8327200000000008E-2</v>
      </c>
      <c r="D3" s="21">
        <f>frac_mam_6_11months * 2.6</f>
        <v>2.7804660000000002E-2</v>
      </c>
      <c r="E3" s="21">
        <f>frac_mam_12_23months * 2.6</f>
        <v>1.935336E-2</v>
      </c>
      <c r="F3" s="21">
        <f>frac_mam_24_59months * 2.6</f>
        <v>1.8629000000000003E-2</v>
      </c>
    </row>
    <row r="4" spans="1:6" ht="15.75" customHeight="1" x14ac:dyDescent="0.25">
      <c r="A4" s="3" t="s">
        <v>236</v>
      </c>
      <c r="B4" s="21">
        <f>frac_sam_1month * 2.6</f>
        <v>1.3247780000000004E-2</v>
      </c>
      <c r="C4" s="21">
        <f>frac_sam_1_5months * 2.6</f>
        <v>1.3247780000000004E-2</v>
      </c>
      <c r="D4" s="21">
        <f>frac_sam_6_11months * 2.6</f>
        <v>5.1405119999999999E-2</v>
      </c>
      <c r="E4" s="21">
        <f>frac_sam_12_23months * 2.6</f>
        <v>0</v>
      </c>
      <c r="F4" s="21">
        <f>frac_sam_24_59months * 2.6</f>
        <v>7.8884000000000003E-3</v>
      </c>
    </row>
  </sheetData>
  <sheetProtection algorithmName="SHA-512" hashValue="USPgFmCPPXwsAkG4jRaMFAHf4fLTvsaLcrvNMwcJJXxSdyJ7ocefZ5au4gEjLOy/CbvS6pRcYn+3vhkAXvhjnw==" saltValue="9tTAUoyby1HfiU8qpmpkl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1.7000000000000001E-2</v>
      </c>
      <c r="F2" s="60">
        <f>food_insecure</f>
        <v>1.7000000000000001E-2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1.7000000000000001E-2</v>
      </c>
      <c r="F5" s="60">
        <f>food_insecure</f>
        <v>1.7000000000000001E-2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1.7000000000000001E-2</v>
      </c>
      <c r="F8" s="60">
        <f>food_insecure</f>
        <v>1.7000000000000001E-2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1.7000000000000001E-2</v>
      </c>
      <c r="F9" s="60">
        <f>food_insecure</f>
        <v>1.7000000000000001E-2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1.7000000000000001E-2</v>
      </c>
      <c r="I15" s="60">
        <f t="shared" si="0"/>
        <v>1.7000000000000001E-2</v>
      </c>
      <c r="J15" s="60">
        <f t="shared" si="0"/>
        <v>1.7000000000000001E-2</v>
      </c>
      <c r="K15" s="60">
        <f t="shared" si="0"/>
        <v>1.7000000000000001E-2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1.7000000000000001E-2</v>
      </c>
      <c r="I16" s="60">
        <f t="shared" si="0"/>
        <v>1.7000000000000001E-2</v>
      </c>
      <c r="J16" s="60">
        <f t="shared" si="0"/>
        <v>1.7000000000000001E-2</v>
      </c>
      <c r="K16" s="60">
        <f t="shared" si="0"/>
        <v>1.7000000000000001E-2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0.39600000000000002</v>
      </c>
      <c r="M24" s="60">
        <f>famplan_unmet_need</f>
        <v>0.39600000000000002</v>
      </c>
      <c r="N24" s="60">
        <f>famplan_unmet_need</f>
        <v>0.39600000000000002</v>
      </c>
      <c r="O24" s="60">
        <f>famplan_unmet_need</f>
        <v>0.39600000000000002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0.10965028540878287</v>
      </c>
      <c r="M25" s="60">
        <f>(1-food_insecure)*(0.49)+food_insecure*(0.7)</f>
        <v>0.49357000000000001</v>
      </c>
      <c r="N25" s="60">
        <f>(1-food_insecure)*(0.49)+food_insecure*(0.7)</f>
        <v>0.49357000000000001</v>
      </c>
      <c r="O25" s="60">
        <f>(1-food_insecure)*(0.49)+food_insecure*(0.7)</f>
        <v>0.49357000000000001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4.6992979460906942E-2</v>
      </c>
      <c r="M26" s="60">
        <f>(1-food_insecure)*(0.21)+food_insecure*(0.3)</f>
        <v>0.21153</v>
      </c>
      <c r="N26" s="60">
        <f>(1-food_insecure)*(0.21)+food_insecure*(0.3)</f>
        <v>0.21153</v>
      </c>
      <c r="O26" s="60">
        <f>(1-food_insecure)*(0.21)+food_insecure*(0.3)</f>
        <v>0.21153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6.551425160980219E-2</v>
      </c>
      <c r="M27" s="60">
        <f>(1-food_insecure)*(0.3)</f>
        <v>0.2949</v>
      </c>
      <c r="N27" s="60">
        <f>(1-food_insecure)*(0.3)</f>
        <v>0.2949</v>
      </c>
      <c r="O27" s="60">
        <f>(1-food_insecure)*(0.3)</f>
        <v>0.2949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0.777842483520508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UI3AjFeKpmDkMmatNCwfd6KiYgnnx15CPq7Q5GZDNUBuzv+KybOLxQ7YwKiFPAYBb6CzmkQ8Qtyj2twriqwZXg==" saltValue="P6QYoeWzi9cuUsjLGYZP4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oDL49ZJwNDEQaQEBxVjmiU4tGPhPh0uyUZ7QTM1UB0qqI1Q+NMEDGf9bJaH6kUObLFIiihDziMfzcgQdieUEPg==" saltValue="xE2SXhmsQufkyFinB8lgc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RO9I2+tIEd+sO74k0hc1aYmIuyHB5QyQJdrzLFf0GLCqvRCZNwH3ks0YfEtO2yj01u0LyjJVEFzN8lZxKGkOqA==" saltValue="NcpQwvZ9qu32uLCAKkHdq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65dAIHgxgENL2htWwERLljbZXjHSAl7GeYzX8ScK/YRS8tSzMpj8tyBdtmZM0gtgOW3S7wQEGj8DPKjWK+2oOQ==" saltValue="DB6aXqL44q8AtoLVMB79s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192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15" t="s">
        <v>194</v>
      </c>
      <c r="B2" s="116"/>
      <c r="C2" s="116"/>
      <c r="D2" s="116"/>
      <c r="E2" s="116"/>
      <c r="F2" s="116"/>
      <c r="G2" s="116"/>
      <c r="H2" s="116"/>
      <c r="I2" s="116" t="s">
        <v>5</v>
      </c>
      <c r="J2" s="116"/>
      <c r="K2" s="116"/>
      <c r="L2" s="116"/>
    </row>
    <row r="3" spans="1:12" x14ac:dyDescent="0.25">
      <c r="A3" s="115" t="s">
        <v>195</v>
      </c>
      <c r="B3" s="116"/>
      <c r="C3" s="116"/>
      <c r="D3" s="116"/>
      <c r="E3" s="116"/>
      <c r="F3" s="116"/>
      <c r="G3" s="116"/>
      <c r="H3" s="116" t="s">
        <v>5</v>
      </c>
      <c r="I3" s="116" t="s">
        <v>5</v>
      </c>
      <c r="J3" s="116"/>
      <c r="K3" s="116"/>
      <c r="L3" s="116"/>
    </row>
    <row r="4" spans="1:12" x14ac:dyDescent="0.25">
      <c r="A4" s="115" t="s">
        <v>196</v>
      </c>
      <c r="B4" s="116" t="s">
        <v>5</v>
      </c>
      <c r="C4" s="116"/>
      <c r="D4" s="116" t="s">
        <v>5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198</v>
      </c>
      <c r="B5" s="116"/>
      <c r="C5" s="116" t="s">
        <v>5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199</v>
      </c>
      <c r="B6" s="116"/>
      <c r="C6" s="116"/>
      <c r="D6" s="116"/>
      <c r="E6" s="116"/>
      <c r="F6" s="116"/>
      <c r="G6" s="116"/>
      <c r="H6" s="116"/>
      <c r="I6" s="116"/>
      <c r="J6" s="116" t="s">
        <v>5</v>
      </c>
      <c r="K6" s="116" t="s">
        <v>5</v>
      </c>
      <c r="L6" s="116"/>
    </row>
    <row r="7" spans="1:12" x14ac:dyDescent="0.25">
      <c r="A7" s="115" t="s">
        <v>200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/>
      <c r="J7" s="116"/>
      <c r="K7" s="116"/>
      <c r="L7" s="116"/>
    </row>
    <row r="8" spans="1:12" x14ac:dyDescent="0.25">
      <c r="A8" s="115" t="s">
        <v>201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/>
      <c r="J8" s="116"/>
      <c r="K8" s="116"/>
      <c r="L8" s="116"/>
    </row>
    <row r="9" spans="1:12" x14ac:dyDescent="0.25">
      <c r="A9" s="115" t="s">
        <v>202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/>
      <c r="J9" s="116"/>
      <c r="K9" s="116"/>
      <c r="L9" s="116"/>
    </row>
    <row r="10" spans="1:12" x14ac:dyDescent="0.25">
      <c r="A10" s="115" t="s">
        <v>203</v>
      </c>
      <c r="B10" s="116"/>
      <c r="C10" s="116" t="s">
        <v>5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204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205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206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207</v>
      </c>
      <c r="B14" s="116"/>
      <c r="C14" s="116" t="s">
        <v>5</v>
      </c>
      <c r="D14" s="116"/>
      <c r="E14" s="116"/>
      <c r="F14" s="116"/>
      <c r="G14" s="116"/>
      <c r="H14" s="116"/>
      <c r="I14" s="116" t="s">
        <v>5</v>
      </c>
      <c r="J14" s="116"/>
      <c r="K14" s="116"/>
      <c r="L14" s="116"/>
    </row>
    <row r="15" spans="1:12" x14ac:dyDescent="0.25">
      <c r="A15" s="117" t="s">
        <v>208</v>
      </c>
      <c r="B15" s="116"/>
      <c r="C15" s="116" t="s">
        <v>5</v>
      </c>
      <c r="D15" s="116"/>
      <c r="E15" s="116"/>
      <c r="F15" s="116"/>
      <c r="G15" s="116"/>
      <c r="H15" s="116"/>
      <c r="I15" s="116" t="s">
        <v>5</v>
      </c>
      <c r="J15" s="116"/>
      <c r="K15" s="116"/>
      <c r="L15" s="116"/>
    </row>
    <row r="16" spans="1:12" x14ac:dyDescent="0.25">
      <c r="A16" s="115" t="s">
        <v>209</v>
      </c>
      <c r="B16" s="116"/>
      <c r="C16" s="116" t="s">
        <v>5</v>
      </c>
      <c r="D16" s="116"/>
      <c r="E16" s="116"/>
      <c r="F16" s="116"/>
      <c r="G16" s="116"/>
      <c r="H16" s="116" t="s">
        <v>5</v>
      </c>
      <c r="I16" s="116" t="s">
        <v>5</v>
      </c>
      <c r="J16" s="116"/>
      <c r="K16" s="116"/>
      <c r="L16" s="116"/>
    </row>
    <row r="17" spans="1:12" x14ac:dyDescent="0.25">
      <c r="A17" s="115" t="s">
        <v>210</v>
      </c>
      <c r="B17" s="116"/>
      <c r="C17" s="116" t="s">
        <v>5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180</v>
      </c>
      <c r="B18" s="116" t="s">
        <v>5</v>
      </c>
      <c r="C18" s="116"/>
      <c r="D18" s="116"/>
      <c r="E18" s="116"/>
      <c r="F18" s="116" t="s">
        <v>5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181</v>
      </c>
      <c r="B19" s="116" t="s">
        <v>5</v>
      </c>
      <c r="C19" s="116"/>
      <c r="D19" s="116"/>
      <c r="E19" s="116"/>
      <c r="F19" s="116" t="s">
        <v>5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182</v>
      </c>
      <c r="B20" s="116" t="s">
        <v>5</v>
      </c>
      <c r="C20" s="116"/>
      <c r="D20" s="116"/>
      <c r="E20" s="116"/>
      <c r="F20" s="116" t="s">
        <v>5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211</v>
      </c>
      <c r="B21" s="116"/>
      <c r="C21" s="116"/>
      <c r="D21" s="116"/>
      <c r="E21" s="116"/>
      <c r="F21" s="116"/>
      <c r="G21" s="116"/>
      <c r="H21" s="116" t="s">
        <v>5</v>
      </c>
      <c r="I21" s="116" t="s">
        <v>5</v>
      </c>
      <c r="J21" s="116"/>
      <c r="K21" s="116"/>
      <c r="L21" s="116"/>
    </row>
    <row r="22" spans="1:12" x14ac:dyDescent="0.25">
      <c r="A22" s="115" t="s">
        <v>213</v>
      </c>
      <c r="B22" s="116" t="s">
        <v>5</v>
      </c>
      <c r="C22" s="116" t="s">
        <v>5</v>
      </c>
      <c r="D22" s="116" t="s">
        <v>5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214</v>
      </c>
      <c r="B23" s="116"/>
      <c r="C23" s="116" t="s">
        <v>5</v>
      </c>
      <c r="D23" s="116"/>
      <c r="E23" s="116"/>
      <c r="F23" s="116"/>
      <c r="G23" s="116"/>
      <c r="H23" s="116"/>
      <c r="I23" s="116" t="s">
        <v>5</v>
      </c>
      <c r="J23" s="116"/>
      <c r="K23" s="116"/>
      <c r="L23" s="116"/>
    </row>
    <row r="24" spans="1:12" x14ac:dyDescent="0.25">
      <c r="A24" s="115" t="s">
        <v>217</v>
      </c>
      <c r="B24" s="116"/>
      <c r="C24" s="116"/>
      <c r="D24" s="116"/>
      <c r="E24" s="116"/>
      <c r="F24" s="116"/>
      <c r="G24" s="116"/>
      <c r="H24" s="116" t="s">
        <v>5</v>
      </c>
      <c r="I24" s="116"/>
      <c r="J24" s="116"/>
      <c r="K24" s="116"/>
      <c r="L24" s="116"/>
    </row>
    <row r="25" spans="1:12" x14ac:dyDescent="0.25">
      <c r="A25" s="115" t="s">
        <v>218</v>
      </c>
      <c r="B25" s="116"/>
      <c r="C25" s="116"/>
      <c r="D25" s="116"/>
      <c r="E25" s="116"/>
      <c r="F25" s="116"/>
      <c r="G25" s="116"/>
      <c r="H25" s="116" t="s">
        <v>5</v>
      </c>
      <c r="I25" s="116"/>
      <c r="J25" s="116"/>
      <c r="K25" s="116"/>
      <c r="L25" s="116"/>
    </row>
    <row r="26" spans="1:12" x14ac:dyDescent="0.25">
      <c r="A26" s="115" t="s">
        <v>219</v>
      </c>
      <c r="B26" s="116"/>
      <c r="C26" s="116" t="s">
        <v>5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220</v>
      </c>
      <c r="B27" s="116"/>
      <c r="C27" s="116" t="s">
        <v>5</v>
      </c>
      <c r="D27" s="116"/>
      <c r="E27" s="116"/>
      <c r="F27" s="116"/>
      <c r="G27" s="116"/>
      <c r="H27" s="116"/>
      <c r="I27" s="116" t="s">
        <v>5</v>
      </c>
      <c r="J27" s="116"/>
      <c r="K27" s="116"/>
      <c r="L27" s="116" t="s">
        <v>5</v>
      </c>
    </row>
    <row r="28" spans="1:12" x14ac:dyDescent="0.25">
      <c r="A28" s="115" t="s">
        <v>221</v>
      </c>
      <c r="B28" s="116"/>
      <c r="C28" s="116"/>
      <c r="D28" s="116"/>
      <c r="E28" s="116"/>
      <c r="F28" s="116"/>
      <c r="G28" s="116"/>
      <c r="H28" s="116" t="s">
        <v>5</v>
      </c>
      <c r="I28" s="116"/>
      <c r="J28" s="116"/>
      <c r="K28" s="116"/>
      <c r="L28" s="116"/>
    </row>
    <row r="29" spans="1:12" x14ac:dyDescent="0.25">
      <c r="A29" s="115" t="s">
        <v>222</v>
      </c>
      <c r="B29" s="116" t="s">
        <v>5</v>
      </c>
      <c r="C29" s="116"/>
      <c r="D29" s="116" t="s">
        <v>5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233</v>
      </c>
      <c r="B30" s="116" t="s">
        <v>5</v>
      </c>
      <c r="C30" s="116" t="s">
        <v>5</v>
      </c>
      <c r="D30" s="116" t="s">
        <v>5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193</v>
      </c>
      <c r="B31" s="116"/>
      <c r="C31" s="116"/>
      <c r="D31" s="116"/>
      <c r="E31" s="116" t="s">
        <v>5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225</v>
      </c>
      <c r="B32" s="116"/>
      <c r="C32" s="116"/>
      <c r="D32" s="116"/>
      <c r="E32" s="116"/>
      <c r="F32" s="116"/>
      <c r="G32" s="116" t="s">
        <v>5</v>
      </c>
      <c r="H32" s="116" t="s">
        <v>5</v>
      </c>
      <c r="I32" s="116"/>
      <c r="J32" s="116"/>
      <c r="K32" s="116"/>
      <c r="L32" s="116"/>
    </row>
    <row r="33" spans="1:12" x14ac:dyDescent="0.25">
      <c r="A33" s="115" t="s">
        <v>226</v>
      </c>
      <c r="B33" s="116"/>
      <c r="C33" s="116"/>
      <c r="D33" s="116"/>
      <c r="E33" s="116"/>
      <c r="F33" s="116"/>
      <c r="G33" s="116" t="s">
        <v>5</v>
      </c>
      <c r="H33" s="116" t="s">
        <v>5</v>
      </c>
      <c r="I33" s="116"/>
      <c r="J33" s="116"/>
      <c r="K33" s="116"/>
      <c r="L33" s="116"/>
    </row>
    <row r="34" spans="1:12" x14ac:dyDescent="0.25">
      <c r="A34" s="115" t="s">
        <v>227</v>
      </c>
      <c r="B34" s="116"/>
      <c r="C34" s="116"/>
      <c r="D34" s="116"/>
      <c r="E34" s="116"/>
      <c r="F34" s="116"/>
      <c r="G34" s="116" t="s">
        <v>5</v>
      </c>
      <c r="H34" s="116" t="s">
        <v>5</v>
      </c>
      <c r="I34" s="116"/>
      <c r="J34" s="116"/>
      <c r="K34" s="116"/>
      <c r="L34" s="116"/>
    </row>
    <row r="35" spans="1:12" x14ac:dyDescent="0.25">
      <c r="A35" s="115" t="s">
        <v>228</v>
      </c>
      <c r="B35" s="116"/>
      <c r="C35" s="116"/>
      <c r="D35" s="116"/>
      <c r="E35" s="116"/>
      <c r="F35" s="116"/>
      <c r="G35" s="116" t="s">
        <v>5</v>
      </c>
      <c r="H35" s="116" t="s">
        <v>5</v>
      </c>
      <c r="I35" s="116"/>
      <c r="J35" s="116"/>
      <c r="K35" s="116"/>
      <c r="L35" s="116"/>
    </row>
    <row r="36" spans="1:12" x14ac:dyDescent="0.25">
      <c r="A36" s="115" t="s">
        <v>229</v>
      </c>
      <c r="B36" s="116"/>
      <c r="C36" s="116"/>
      <c r="D36" s="116"/>
      <c r="E36" s="116"/>
      <c r="F36" s="116"/>
      <c r="G36" s="116" t="s">
        <v>5</v>
      </c>
      <c r="H36" s="116" t="s">
        <v>5</v>
      </c>
      <c r="I36" s="116"/>
      <c r="J36" s="116"/>
      <c r="K36" s="116"/>
      <c r="L36" s="116"/>
    </row>
    <row r="37" spans="1:12" x14ac:dyDescent="0.25">
      <c r="A37" s="115" t="s">
        <v>230</v>
      </c>
      <c r="B37" s="116"/>
      <c r="C37" s="116"/>
      <c r="D37" s="116"/>
      <c r="E37" s="116"/>
      <c r="F37" s="116"/>
      <c r="G37" s="116" t="s">
        <v>5</v>
      </c>
      <c r="H37" s="116" t="s">
        <v>5</v>
      </c>
      <c r="I37" s="116"/>
      <c r="J37" s="116"/>
      <c r="K37" s="116"/>
      <c r="L37" s="116"/>
    </row>
    <row r="38" spans="1:12" x14ac:dyDescent="0.25">
      <c r="A38" s="115" t="s">
        <v>231</v>
      </c>
      <c r="B38" s="116"/>
      <c r="C38" s="116"/>
      <c r="D38" s="116"/>
      <c r="E38" s="116"/>
      <c r="F38" s="116"/>
      <c r="G38" s="116"/>
      <c r="H38" s="116" t="s">
        <v>5</v>
      </c>
      <c r="I38" s="116"/>
      <c r="J38" s="116"/>
      <c r="K38" s="116"/>
      <c r="L38" s="116"/>
    </row>
    <row r="39" spans="1:12" x14ac:dyDescent="0.25">
      <c r="A39" s="115" t="s">
        <v>232</v>
      </c>
      <c r="B39" s="116" t="s">
        <v>5</v>
      </c>
      <c r="C39" s="116"/>
      <c r="D39" s="116"/>
      <c r="E39" s="116"/>
      <c r="F39" s="116"/>
      <c r="G39" s="116" t="s">
        <v>5</v>
      </c>
      <c r="H39" s="116" t="s">
        <v>5</v>
      </c>
      <c r="I39" s="116"/>
      <c r="J39" s="116"/>
      <c r="K39" s="116"/>
      <c r="L39" s="116"/>
    </row>
  </sheetData>
  <sheetProtection algorithmName="SHA-512" hashValue="x/2HKO5xbObhfGD6OUGgvQCl3ZCo2KAhdLPP/KNj1yesUd/+xxXbrH7HfH569QKCswin6KMesrUmaO9F9n8eig==" saltValue="elYnkbJAyJDfZMFAhrJVP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264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08" t="s">
        <v>97</v>
      </c>
      <c r="B2" s="116" t="s">
        <v>5</v>
      </c>
      <c r="C2" s="116" t="s">
        <v>5</v>
      </c>
      <c r="D2" s="116" t="s">
        <v>5</v>
      </c>
      <c r="E2" s="116" t="s">
        <v>5</v>
      </c>
      <c r="F2" s="116" t="s">
        <v>5</v>
      </c>
      <c r="G2" s="116" t="s">
        <v>5</v>
      </c>
      <c r="H2" s="116" t="s">
        <v>5</v>
      </c>
      <c r="I2" s="116"/>
      <c r="J2" s="116"/>
      <c r="K2" s="116"/>
      <c r="L2" s="116"/>
    </row>
    <row r="3" spans="1:12" x14ac:dyDescent="0.25">
      <c r="A3" s="108" t="s">
        <v>93</v>
      </c>
      <c r="B3" s="116" t="s">
        <v>5</v>
      </c>
      <c r="C3" s="116" t="s">
        <v>5</v>
      </c>
      <c r="D3" s="116" t="s">
        <v>5</v>
      </c>
      <c r="E3" s="116" t="s">
        <v>5</v>
      </c>
      <c r="F3" s="116" t="s">
        <v>5</v>
      </c>
      <c r="G3" s="116" t="s">
        <v>5</v>
      </c>
      <c r="H3" s="116" t="s">
        <v>5</v>
      </c>
      <c r="I3" s="116"/>
      <c r="J3" s="116"/>
      <c r="K3" s="116"/>
      <c r="L3" s="116"/>
    </row>
    <row r="4" spans="1:12" x14ac:dyDescent="0.25">
      <c r="A4" s="108" t="s">
        <v>96</v>
      </c>
      <c r="B4" s="116" t="s">
        <v>5</v>
      </c>
      <c r="C4" s="116" t="s">
        <v>5</v>
      </c>
      <c r="D4" s="116" t="s">
        <v>5</v>
      </c>
      <c r="E4" s="116" t="s">
        <v>5</v>
      </c>
      <c r="F4" s="116" t="s">
        <v>5</v>
      </c>
      <c r="G4" s="116" t="s">
        <v>5</v>
      </c>
      <c r="H4" s="116" t="s">
        <v>5</v>
      </c>
      <c r="I4" s="116"/>
      <c r="J4" s="116"/>
      <c r="K4" s="116"/>
      <c r="L4" s="116"/>
    </row>
    <row r="5" spans="1:12" x14ac:dyDescent="0.25">
      <c r="A5" s="108" t="s">
        <v>94</v>
      </c>
      <c r="B5" s="116" t="s">
        <v>5</v>
      </c>
      <c r="C5" s="116" t="s">
        <v>5</v>
      </c>
      <c r="D5" s="116" t="s">
        <v>5</v>
      </c>
      <c r="E5" s="116" t="s">
        <v>5</v>
      </c>
      <c r="F5" s="116" t="s">
        <v>5</v>
      </c>
      <c r="G5" s="116" t="s">
        <v>5</v>
      </c>
      <c r="H5" s="116" t="s">
        <v>5</v>
      </c>
      <c r="I5" s="116"/>
      <c r="J5" s="116"/>
      <c r="K5" s="116"/>
      <c r="L5" s="116"/>
    </row>
    <row r="6" spans="1:12" x14ac:dyDescent="0.25">
      <c r="A6" s="108" t="s">
        <v>95</v>
      </c>
      <c r="B6" s="116" t="s">
        <v>5</v>
      </c>
      <c r="C6" s="116" t="s">
        <v>5</v>
      </c>
      <c r="D6" s="116" t="s">
        <v>5</v>
      </c>
      <c r="E6" s="116" t="s">
        <v>5</v>
      </c>
      <c r="F6" s="116" t="s">
        <v>5</v>
      </c>
      <c r="G6" s="116" t="s">
        <v>5</v>
      </c>
      <c r="H6" s="116" t="s">
        <v>5</v>
      </c>
      <c r="I6" s="116"/>
      <c r="J6" s="116"/>
      <c r="K6" s="116"/>
      <c r="L6" s="116"/>
    </row>
    <row r="7" spans="1:12" x14ac:dyDescent="0.25">
      <c r="A7" s="108" t="s">
        <v>132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 t="s">
        <v>5</v>
      </c>
      <c r="J7" s="116"/>
      <c r="K7" s="116"/>
      <c r="L7" s="116" t="s">
        <v>5</v>
      </c>
    </row>
    <row r="8" spans="1:12" x14ac:dyDescent="0.25">
      <c r="A8" s="108" t="s">
        <v>133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 t="s">
        <v>5</v>
      </c>
      <c r="J8" s="116"/>
      <c r="K8" s="116"/>
      <c r="L8" s="116" t="s">
        <v>5</v>
      </c>
    </row>
    <row r="9" spans="1:12" x14ac:dyDescent="0.25">
      <c r="A9" s="108" t="s">
        <v>134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 t="s">
        <v>5</v>
      </c>
      <c r="J9" s="116"/>
      <c r="K9" s="116"/>
      <c r="L9" s="116" t="s">
        <v>5</v>
      </c>
    </row>
    <row r="10" spans="1:12" x14ac:dyDescent="0.25">
      <c r="A10" s="108" t="s">
        <v>135</v>
      </c>
      <c r="B10" s="116"/>
      <c r="C10" s="116" t="s">
        <v>5</v>
      </c>
      <c r="D10" s="116"/>
      <c r="E10" s="116"/>
      <c r="F10" s="116"/>
      <c r="G10" s="116"/>
      <c r="H10" s="116" t="s">
        <v>5</v>
      </c>
      <c r="I10" s="116" t="s">
        <v>5</v>
      </c>
      <c r="J10" s="116"/>
      <c r="K10" s="116"/>
      <c r="L10" s="116" t="s">
        <v>5</v>
      </c>
    </row>
    <row r="11" spans="1:12" x14ac:dyDescent="0.25">
      <c r="A11" s="108" t="s">
        <v>87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 t="s">
        <v>5</v>
      </c>
      <c r="K11" s="116" t="s">
        <v>5</v>
      </c>
      <c r="L11" s="116"/>
    </row>
    <row r="12" spans="1:12" x14ac:dyDescent="0.25">
      <c r="A12" s="108" t="s">
        <v>88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 t="s">
        <v>5</v>
      </c>
      <c r="L12" s="116"/>
    </row>
    <row r="13" spans="1:12" x14ac:dyDescent="0.25">
      <c r="A13" s="108" t="s">
        <v>89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 t="s">
        <v>5</v>
      </c>
      <c r="L13" s="116"/>
    </row>
    <row r="14" spans="1:12" x14ac:dyDescent="0.25">
      <c r="A14" s="108" t="s">
        <v>90</v>
      </c>
      <c r="B14" s="116"/>
      <c r="C14" s="116" t="s">
        <v>5</v>
      </c>
      <c r="D14" s="116"/>
      <c r="E14" s="116"/>
      <c r="F14" s="116"/>
      <c r="G14" s="116"/>
      <c r="H14" s="116"/>
      <c r="I14" s="116"/>
      <c r="J14" s="116"/>
      <c r="K14" s="116" t="s">
        <v>5</v>
      </c>
      <c r="L14" s="116"/>
    </row>
  </sheetData>
  <sheetProtection algorithmName="SHA-512" hashValue="CugBUsPqGk49NaSaxUUhPQ3FEEcL7hWjAyD5QfjHgYONUIGauibqpLiOqf8cAMZE2NfbR4IZOET7fWmaIQgrqw==" saltValue="FUpe0/4gDdS+lTfvpwecd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5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5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5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5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5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5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5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5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5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T8AiYv/0zMOuYXKeT06MCKjKnH4ky8jiZjWIA6ceM7ChUi12Y1NKZR77PyN8Glra1a/lT9TeiJ9+Pm9szq7h5g==" saltValue="47VuvvgGMMJZeEJrhJA46w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307</v>
      </c>
    </row>
    <row r="2" spans="1:7" ht="14.25" customHeight="1" x14ac:dyDescent="0.3">
      <c r="A2" s="122" t="s">
        <v>237</v>
      </c>
      <c r="B2" s="107"/>
      <c r="C2" s="105" t="s">
        <v>97</v>
      </c>
      <c r="D2" s="105" t="s">
        <v>93</v>
      </c>
      <c r="E2" s="105" t="s">
        <v>96</v>
      </c>
      <c r="F2" s="105" t="s">
        <v>94</v>
      </c>
      <c r="G2" s="105" t="s">
        <v>95</v>
      </c>
    </row>
    <row r="3" spans="1:7" ht="14.25" customHeight="1" x14ac:dyDescent="0.25">
      <c r="B3" s="117" t="s">
        <v>294</v>
      </c>
      <c r="C3" s="118" t="s">
        <v>8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280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277</v>
      </c>
    </row>
    <row r="6" spans="1:7" ht="14.25" customHeight="1" x14ac:dyDescent="0.25">
      <c r="B6" s="117" t="s">
        <v>222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213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196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233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232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301</v>
      </c>
    </row>
    <row r="13" spans="1:7" ht="14.25" customHeight="1" x14ac:dyDescent="0.3">
      <c r="A13" s="123"/>
      <c r="B13" s="117" t="s">
        <v>211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308</v>
      </c>
    </row>
    <row r="16" spans="1:7" ht="14.25" customHeight="1" x14ac:dyDescent="0.3">
      <c r="A16" s="122" t="s">
        <v>311</v>
      </c>
      <c r="B16" s="117" t="s">
        <v>288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285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124</v>
      </c>
      <c r="B18" s="117" t="s">
        <v>291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304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199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307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237</v>
      </c>
      <c r="B26" s="107"/>
      <c r="C26" s="105" t="s">
        <v>97</v>
      </c>
      <c r="D26" s="105" t="s">
        <v>93</v>
      </c>
      <c r="E26" s="105" t="s">
        <v>96</v>
      </c>
      <c r="F26" s="105" t="s">
        <v>94</v>
      </c>
      <c r="G26" s="105" t="s">
        <v>95</v>
      </c>
    </row>
    <row r="27" spans="1:7" x14ac:dyDescent="0.25">
      <c r="B27" s="117" t="s">
        <v>295</v>
      </c>
      <c r="C27" s="118" t="s">
        <v>8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281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278</v>
      </c>
    </row>
    <row r="30" spans="1:7" x14ac:dyDescent="0.25">
      <c r="B30" s="117" t="s">
        <v>309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299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27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314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312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302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297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308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311</v>
      </c>
      <c r="B40" s="117" t="s">
        <v>289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286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124</v>
      </c>
      <c r="B42" s="117" t="s">
        <v>292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305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283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276</v>
      </c>
    </row>
    <row r="49" spans="1:7" ht="13" x14ac:dyDescent="0.3">
      <c r="A49" s="120" t="s">
        <v>307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237</v>
      </c>
      <c r="B50" s="107"/>
      <c r="C50" s="105" t="s">
        <v>97</v>
      </c>
      <c r="D50" s="105" t="s">
        <v>93</v>
      </c>
      <c r="E50" s="105" t="s">
        <v>96</v>
      </c>
      <c r="F50" s="105" t="s">
        <v>94</v>
      </c>
      <c r="G50" s="105" t="s">
        <v>95</v>
      </c>
    </row>
    <row r="51" spans="1:7" x14ac:dyDescent="0.25">
      <c r="B51" s="117" t="s">
        <v>296</v>
      </c>
      <c r="C51" s="118" t="s">
        <v>8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282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279</v>
      </c>
    </row>
    <row r="54" spans="1:7" x14ac:dyDescent="0.25">
      <c r="B54" s="117" t="s">
        <v>310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300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28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315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313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298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308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311</v>
      </c>
      <c r="B64" s="117" t="s">
        <v>290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287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124</v>
      </c>
      <c r="B66" s="117" t="s">
        <v>293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306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284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HXA5VhTrAwgHs3AGVMx1h0RSNXdicpxRDgNa+zwThYDMP0W9OrwCcDi/2mCwu0f0ax8S7CIkIGDT8tsQs5wlEA==" saltValue="5e4O6rmaA5MKPD9yldVJ2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192</v>
      </c>
      <c r="B1" s="105"/>
      <c r="C1" s="105" t="s">
        <v>71</v>
      </c>
      <c r="D1" s="105" t="s">
        <v>78</v>
      </c>
      <c r="E1" s="105" t="s">
        <v>70</v>
      </c>
      <c r="F1" s="107" t="s">
        <v>77</v>
      </c>
    </row>
    <row r="2" spans="1:6" ht="15.75" customHeight="1" x14ac:dyDescent="0.25">
      <c r="A2" s="117" t="s">
        <v>194</v>
      </c>
      <c r="B2" s="117" t="s">
        <v>317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316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195</v>
      </c>
      <c r="B4" s="117" t="s">
        <v>317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207</v>
      </c>
      <c r="B6" s="117" t="s">
        <v>317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316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208</v>
      </c>
      <c r="B8" s="117" t="s">
        <v>317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316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209</v>
      </c>
      <c r="B10" s="117" t="s">
        <v>317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316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214</v>
      </c>
      <c r="B12" s="117" t="s">
        <v>317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316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220</v>
      </c>
      <c r="B14" s="117" t="s">
        <v>317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316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192</v>
      </c>
      <c r="B18" s="105"/>
      <c r="C18" s="105" t="s">
        <v>71</v>
      </c>
      <c r="D18" s="105" t="s">
        <v>78</v>
      </c>
      <c r="E18" s="105" t="s">
        <v>70</v>
      </c>
      <c r="F18" s="107" t="s">
        <v>77</v>
      </c>
    </row>
    <row r="19" spans="1:6" ht="15.75" customHeight="1" x14ac:dyDescent="0.25">
      <c r="A19" s="117" t="s">
        <v>194</v>
      </c>
      <c r="B19" s="117" t="s">
        <v>317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316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195</v>
      </c>
      <c r="B21" s="117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207</v>
      </c>
      <c r="B23" s="117" t="s">
        <v>317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316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208</v>
      </c>
      <c r="B25" s="117" t="s">
        <v>317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316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209</v>
      </c>
      <c r="B27" s="117" t="s">
        <v>317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316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214</v>
      </c>
      <c r="B29" s="117" t="s">
        <v>317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316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220</v>
      </c>
      <c r="B31" s="117" t="s">
        <v>317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316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276</v>
      </c>
    </row>
    <row r="35" spans="1:6" ht="15.75" customHeight="1" x14ac:dyDescent="0.3">
      <c r="A35" s="107" t="s">
        <v>192</v>
      </c>
      <c r="B35" s="105"/>
      <c r="C35" s="105" t="s">
        <v>71</v>
      </c>
      <c r="D35" s="105" t="s">
        <v>78</v>
      </c>
      <c r="E35" s="105" t="s">
        <v>70</v>
      </c>
      <c r="F35" s="107" t="s">
        <v>77</v>
      </c>
    </row>
    <row r="36" spans="1:6" ht="15.75" customHeight="1" x14ac:dyDescent="0.25">
      <c r="A36" s="117" t="s">
        <v>194</v>
      </c>
      <c r="B36" s="117" t="s">
        <v>317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316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195</v>
      </c>
      <c r="B38" s="117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207</v>
      </c>
      <c r="B40" s="117" t="s">
        <v>317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316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208</v>
      </c>
      <c r="B42" s="117" t="s">
        <v>317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316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209</v>
      </c>
      <c r="B44" s="117" t="s">
        <v>317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316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214</v>
      </c>
      <c r="B46" s="117" t="s">
        <v>317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316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220</v>
      </c>
      <c r="B48" s="117" t="s">
        <v>317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316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kzAKWNb1O02vdxyScDnKZvsYAF19z56kBX1rlYn9PX9mRBe6M5KNuq2hcyJ6J1KpGYRPw+4VWxZ0lPWWcVj/Pg==" saltValue="LlBsjo/rtI2zh6OPlgWYf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Eyn4o1dcagMQKbf5X+BvPZ/DtvtVOoCZo7qIzGHqPllFOp4jigBOyHAQcYsrMIYICD6YDePnREFfxKnu8OX6vw==" saltValue="jm04mzVDgb/YxKTvrDN1w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aiSF3zzd9NuVq/fz7fySrvrzL8v9jzzfmOSyur4UyTmTrWXLLDI23P5polAvpkPj2qnoltlL8P1CXRfC0CQOOQ==" saltValue="QYiF2in/RtuocDgPq0F9f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213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XxjJ5YwWJEml74+y27sAhL27h19EFpJ+KAe8H0ZBAT1XI9M6Yo+FUmyNvLihnsKTlQgLSgGrKyv3x8a2aSAZNw==" saltValue="q39uNrHjP0QhmMNiw1mUr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jGDx2AbjI8qYjXqnJmOLNyB/LUSx0zoE4b7XfwFGiy6BSQpVjojY0UJwMHmn0EHNNRhHo4HrJjEO8UTmFTn1+g==" saltValue="l7PnDwxg1ugwtbFRI73tp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192</v>
      </c>
      <c r="B1" s="4" t="s">
        <v>371</v>
      </c>
      <c r="C1" s="82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5" t="s">
        <v>225</v>
      </c>
      <c r="B2" s="5" t="s">
        <v>103</v>
      </c>
      <c r="C2" s="5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222</v>
      </c>
      <c r="B5" s="5" t="s">
        <v>236</v>
      </c>
      <c r="C5" s="5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213</v>
      </c>
      <c r="B9" s="5" t="s">
        <v>236</v>
      </c>
      <c r="C9" s="5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233</v>
      </c>
      <c r="B13" s="5" t="s">
        <v>236</v>
      </c>
      <c r="C13" s="5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196</v>
      </c>
      <c r="B17" s="5" t="s">
        <v>236</v>
      </c>
      <c r="C17" s="5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369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6</v>
      </c>
      <c r="C19" s="5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202</v>
      </c>
      <c r="B21" s="5" t="s">
        <v>111</v>
      </c>
      <c r="C21" s="5" t="s">
        <v>368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370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200</v>
      </c>
      <c r="B23" s="5" t="s">
        <v>111</v>
      </c>
      <c r="C23" s="5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201</v>
      </c>
      <c r="B25" s="5" t="s">
        <v>111</v>
      </c>
      <c r="C25" s="5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229</v>
      </c>
      <c r="B27" s="5" t="s">
        <v>103</v>
      </c>
      <c r="C27" s="5" t="s">
        <v>368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370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369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230</v>
      </c>
      <c r="B30" s="5" t="s">
        <v>103</v>
      </c>
      <c r="C30" s="5" t="s">
        <v>368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370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369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228</v>
      </c>
      <c r="B33" s="5" t="s">
        <v>103</v>
      </c>
      <c r="C33" s="5" t="s">
        <v>368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370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369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227</v>
      </c>
      <c r="B36" s="5" t="s">
        <v>103</v>
      </c>
      <c r="C36" s="5" t="s">
        <v>368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370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369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226</v>
      </c>
      <c r="B39" s="5" t="s">
        <v>103</v>
      </c>
      <c r="C39" s="5" t="s">
        <v>368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370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369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232</v>
      </c>
      <c r="B42" s="5" t="s">
        <v>103</v>
      </c>
      <c r="C42" s="5" t="s">
        <v>368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370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369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121</v>
      </c>
      <c r="C45" s="5" t="s">
        <v>368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370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369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221</v>
      </c>
      <c r="B48" s="5" t="s">
        <v>103</v>
      </c>
      <c r="C48" s="5" t="s">
        <v>368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370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231</v>
      </c>
      <c r="B50" s="5" t="s">
        <v>103</v>
      </c>
      <c r="C50" s="5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370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211</v>
      </c>
      <c r="B52" s="5" t="s">
        <v>115</v>
      </c>
      <c r="C52" s="5" t="s">
        <v>368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370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360</v>
      </c>
      <c r="B55" s="97"/>
      <c r="C55" s="97"/>
    </row>
    <row r="56" spans="1:8" ht="13" x14ac:dyDescent="0.3">
      <c r="A56" s="4" t="s">
        <v>192</v>
      </c>
      <c r="B56" s="4" t="s">
        <v>371</v>
      </c>
      <c r="C56" s="82" t="s">
        <v>9</v>
      </c>
      <c r="D56" s="4" t="s">
        <v>97</v>
      </c>
      <c r="E56" s="4" t="s">
        <v>93</v>
      </c>
      <c r="F56" s="4" t="s">
        <v>96</v>
      </c>
      <c r="G56" s="4" t="s">
        <v>94</v>
      </c>
      <c r="H56" s="4" t="s">
        <v>95</v>
      </c>
    </row>
    <row r="57" spans="1:8" x14ac:dyDescent="0.25">
      <c r="A57" s="5" t="s">
        <v>225</v>
      </c>
      <c r="B57" s="5" t="s">
        <v>103</v>
      </c>
      <c r="C57" s="5" t="s">
        <v>368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370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369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222</v>
      </c>
      <c r="B60" s="5" t="s">
        <v>236</v>
      </c>
      <c r="C60" s="5" t="s">
        <v>368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369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213</v>
      </c>
      <c r="B64" s="5" t="s">
        <v>236</v>
      </c>
      <c r="C64" s="5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233</v>
      </c>
      <c r="B68" s="5" t="s">
        <v>236</v>
      </c>
      <c r="C68" s="5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369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368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369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196</v>
      </c>
      <c r="B72" s="5" t="s">
        <v>236</v>
      </c>
      <c r="C72" s="5" t="s">
        <v>368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6</v>
      </c>
      <c r="C74" s="5" t="s">
        <v>368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369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202</v>
      </c>
      <c r="B76" s="5" t="s">
        <v>111</v>
      </c>
      <c r="C76" s="5" t="s">
        <v>368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370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200</v>
      </c>
      <c r="B78" s="5" t="s">
        <v>111</v>
      </c>
      <c r="C78" s="5" t="s">
        <v>368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370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201</v>
      </c>
      <c r="B80" s="5" t="s">
        <v>111</v>
      </c>
      <c r="C80" s="5" t="s">
        <v>368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370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229</v>
      </c>
      <c r="B82" s="5" t="s">
        <v>103</v>
      </c>
      <c r="C82" s="5" t="s">
        <v>368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370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369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230</v>
      </c>
      <c r="B85" s="5" t="s">
        <v>103</v>
      </c>
      <c r="C85" s="5" t="s">
        <v>368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370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369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228</v>
      </c>
      <c r="B88" s="5" t="s">
        <v>103</v>
      </c>
      <c r="C88" s="5" t="s">
        <v>368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370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369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227</v>
      </c>
      <c r="B91" s="5" t="s">
        <v>103</v>
      </c>
      <c r="C91" s="5" t="s">
        <v>368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370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369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226</v>
      </c>
      <c r="B94" s="5" t="s">
        <v>103</v>
      </c>
      <c r="C94" s="5" t="s">
        <v>368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370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369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232</v>
      </c>
      <c r="B97" s="5" t="s">
        <v>103</v>
      </c>
      <c r="C97" s="5" t="s">
        <v>368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370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369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121</v>
      </c>
      <c r="C100" s="5" t="s">
        <v>368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370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369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221</v>
      </c>
      <c r="B103" s="5" t="s">
        <v>103</v>
      </c>
      <c r="C103" s="5" t="s">
        <v>368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370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231</v>
      </c>
      <c r="B105" s="5" t="s">
        <v>103</v>
      </c>
      <c r="C105" s="5" t="s">
        <v>368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370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211</v>
      </c>
      <c r="B107" s="5" t="s">
        <v>115</v>
      </c>
      <c r="C107" s="5" t="s">
        <v>368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370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367</v>
      </c>
      <c r="B110" s="97"/>
      <c r="C110" s="97"/>
    </row>
    <row r="111" spans="1:8" ht="13" x14ac:dyDescent="0.3">
      <c r="A111" s="4" t="s">
        <v>192</v>
      </c>
      <c r="B111" s="4" t="s">
        <v>371</v>
      </c>
      <c r="C111" s="82" t="s">
        <v>9</v>
      </c>
      <c r="D111" s="4" t="s">
        <v>97</v>
      </c>
      <c r="E111" s="4" t="s">
        <v>93</v>
      </c>
      <c r="F111" s="4" t="s">
        <v>96</v>
      </c>
      <c r="G111" s="4" t="s">
        <v>94</v>
      </c>
      <c r="H111" s="4" t="s">
        <v>95</v>
      </c>
    </row>
    <row r="112" spans="1:8" x14ac:dyDescent="0.25">
      <c r="A112" s="5" t="s">
        <v>225</v>
      </c>
      <c r="B112" s="5" t="s">
        <v>103</v>
      </c>
      <c r="C112" s="5" t="s">
        <v>368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370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369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222</v>
      </c>
      <c r="B115" s="5" t="s">
        <v>236</v>
      </c>
      <c r="C115" s="5" t="s">
        <v>368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369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368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369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213</v>
      </c>
      <c r="B119" s="5" t="s">
        <v>236</v>
      </c>
      <c r="C119" s="5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233</v>
      </c>
      <c r="B123" s="5" t="s">
        <v>236</v>
      </c>
      <c r="C123" s="5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369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368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369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196</v>
      </c>
      <c r="B127" s="5" t="s">
        <v>236</v>
      </c>
      <c r="C127" s="5" t="s">
        <v>368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369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6</v>
      </c>
      <c r="C129" s="5" t="s">
        <v>368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369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202</v>
      </c>
      <c r="B131" s="5" t="s">
        <v>111</v>
      </c>
      <c r="C131" s="5" t="s">
        <v>368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370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200</v>
      </c>
      <c r="B133" s="5" t="s">
        <v>111</v>
      </c>
      <c r="C133" s="5" t="s">
        <v>368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370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201</v>
      </c>
      <c r="B135" s="5" t="s">
        <v>111</v>
      </c>
      <c r="C135" s="5" t="s">
        <v>368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370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229</v>
      </c>
      <c r="B137" s="5" t="s">
        <v>103</v>
      </c>
      <c r="C137" s="5" t="s">
        <v>368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370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369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230</v>
      </c>
      <c r="B140" s="5" t="s">
        <v>103</v>
      </c>
      <c r="C140" s="5" t="s">
        <v>368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370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369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228</v>
      </c>
      <c r="B143" s="5" t="s">
        <v>103</v>
      </c>
      <c r="C143" s="5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370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227</v>
      </c>
      <c r="B146" s="5" t="s">
        <v>103</v>
      </c>
      <c r="C146" s="5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226</v>
      </c>
      <c r="B149" s="5" t="s">
        <v>103</v>
      </c>
      <c r="C149" s="5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232</v>
      </c>
      <c r="B152" s="5" t="s">
        <v>103</v>
      </c>
      <c r="C152" s="5" t="s">
        <v>368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370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369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121</v>
      </c>
      <c r="C155" s="5" t="s">
        <v>368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221</v>
      </c>
      <c r="B158" s="5" t="s">
        <v>103</v>
      </c>
      <c r="C158" s="5" t="s">
        <v>368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370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231</v>
      </c>
      <c r="B160" s="5" t="s">
        <v>103</v>
      </c>
      <c r="C160" s="5" t="s">
        <v>368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370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211</v>
      </c>
      <c r="B162" s="5" t="s">
        <v>115</v>
      </c>
      <c r="C162" s="5" t="s">
        <v>368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370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oDQ3qtFZii2aJIGrOLusmcoNP5hqhPxybJqX+dLYKCe0zZrHEvWjM8j8fqiMSze3yQAHDWH2DzUjAy/SIBAXA==" saltValue="rDh3Vu0CovOx8RKv+j4GL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8oxEi0iWq3HY/leeAHJoGSwHtKadIu22GNBkZ+OipS1qNtna7c7Dv15Qs5EeGw+H+VE1W+Dj9e1mXFqhpq2TCg==" saltValue="mOMTXxcPLCNzBwkxc98AdQ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2025-07-08T03:27:00Z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