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BC63A27-E103-4DD0-A618-990AC29EB1E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A39" i="2"/>
  <c r="H38" i="2"/>
  <c r="G38" i="2"/>
  <c r="A32" i="2"/>
  <c r="A23" i="2"/>
  <c r="I13" i="2"/>
  <c r="H13" i="2"/>
  <c r="G13" i="2"/>
  <c r="H12" i="2"/>
  <c r="G12" i="2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15" i="2" l="1"/>
  <c r="A17" i="2"/>
  <c r="A3" i="2"/>
  <c r="I12" i="2"/>
  <c r="A18" i="2"/>
  <c r="A27" i="2"/>
  <c r="A36" i="2"/>
  <c r="I40" i="2"/>
  <c r="A33" i="2"/>
  <c r="A24" i="2"/>
  <c r="A35" i="2"/>
  <c r="A19" i="2"/>
  <c r="A28" i="2"/>
  <c r="A37" i="2"/>
  <c r="A20" i="2"/>
  <c r="A29" i="2"/>
  <c r="I38" i="2"/>
  <c r="A16" i="2"/>
  <c r="A25" i="2"/>
  <c r="A34" i="2"/>
  <c r="A26" i="2"/>
  <c r="I10" i="2"/>
  <c r="A21" i="2"/>
  <c r="A31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<sst xmlns="http://schemas.openxmlformats.org/spreadsheetml/2006/main" count="2101" uniqueCount="341">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</sst>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9281396.6875</v>
      </c>
    </row>
    <row r="8" spans="1:3" ht="15" customHeight="1" x14ac:dyDescent="0.25">
      <c r="B8" s="5" t="s">
        <v>44</v>
      </c>
      <c r="C8" s="44">
        <v>1.7000000000000001E-2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0.777842483520508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9.9900000000000003E-2</v>
      </c>
    </row>
    <row r="24" spans="1:3" ht="15" customHeight="1" x14ac:dyDescent="0.25">
      <c r="B24" s="15" t="s">
        <v>46</v>
      </c>
      <c r="C24" s="45">
        <v>0.6048</v>
      </c>
    </row>
    <row r="25" spans="1:3" ht="15" customHeight="1" x14ac:dyDescent="0.25">
      <c r="B25" s="15" t="s">
        <v>47</v>
      </c>
      <c r="C25" s="45">
        <v>0.27869999999999989</v>
      </c>
    </row>
    <row r="26" spans="1:3" ht="15" customHeight="1" x14ac:dyDescent="0.25">
      <c r="B26" s="15" t="s">
        <v>48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</v>
      </c>
    </row>
    <row r="30" spans="1:3" ht="14.25" customHeight="1" x14ac:dyDescent="0.25">
      <c r="B30" s="25" t="s">
        <v>63</v>
      </c>
      <c r="C30" s="99">
        <v>0</v>
      </c>
    </row>
    <row r="31" spans="1:3" ht="14.25" customHeight="1" x14ac:dyDescent="0.25">
      <c r="B31" s="25" t="s">
        <v>10</v>
      </c>
      <c r="C31" s="99">
        <v>0</v>
      </c>
    </row>
    <row r="32" spans="1:3" ht="14.25" customHeight="1" x14ac:dyDescent="0.25">
      <c r="B32" s="25" t="s">
        <v>11</v>
      </c>
      <c r="C32" s="99">
        <v>0</v>
      </c>
    </row>
    <row r="33" spans="1:5" ht="13" customHeight="1" x14ac:dyDescent="0.25">
      <c r="B33" s="27" t="s">
        <v>60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8.1054700000000004</v>
      </c>
    </row>
    <row r="38" spans="1:5" ht="15" customHeight="1" x14ac:dyDescent="0.25">
      <c r="B38" s="11" t="s">
        <v>35</v>
      </c>
      <c r="C38" s="43">
        <v>11.39776</v>
      </c>
      <c r="D38" s="12"/>
      <c r="E38" s="13"/>
    </row>
    <row r="39" spans="1:5" ht="15" customHeight="1" x14ac:dyDescent="0.25">
      <c r="B39" s="11" t="s">
        <v>61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6.1101999999999997E-3</v>
      </c>
      <c r="D45" s="12"/>
    </row>
    <row r="46" spans="1:5" ht="15.75" customHeight="1" x14ac:dyDescent="0.25">
      <c r="B46" s="11" t="s">
        <v>51</v>
      </c>
      <c r="C46" s="45">
        <v>6.4331199999999991E-2</v>
      </c>
      <c r="D46" s="12"/>
    </row>
    <row r="47" spans="1:5" ht="15.75" customHeight="1" x14ac:dyDescent="0.25">
      <c r="B47" s="11" t="s">
        <v>59</v>
      </c>
      <c r="C47" s="45">
        <v>6.5170800000000001E-2</v>
      </c>
      <c r="D47" s="12"/>
      <c r="E47" s="13"/>
    </row>
    <row r="48" spans="1:5" ht="15" customHeight="1" x14ac:dyDescent="0.25">
      <c r="B48" s="11" t="s">
        <v>58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0.61096899999999998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BM0zLao+gCQ59KY381o7F/TE9MbB5MVb9NnwwzJtyP7bzXYeWmZlB7ic4ikKs0jyWYFMqtfzUhHJ7+Vz/X7qhA==" saltValue="C8ORU7eiFGtOhj8oJcAh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45320</v>
      </c>
      <c r="C2" s="49">
        <v>118228.5</v>
      </c>
      <c r="D2" s="49">
        <v>225221.5</v>
      </c>
      <c r="E2" s="49">
        <v>286900</v>
      </c>
      <c r="F2" s="49">
        <v>205064</v>
      </c>
      <c r="G2" s="17">
        <f t="shared" ref="G2:G13" si="0">C2+D2+E2+F2</f>
        <v>835414</v>
      </c>
      <c r="H2" s="17">
        <f t="shared" ref="H2:H13" si="1">(B2 + stillbirth*B2/(1000-stillbirth))/(1-abortion)</f>
        <v>51842.831982042364</v>
      </c>
      <c r="I2" s="17">
        <f t="shared" ref="I2:I13" si="2">G2-H2</f>
        <v>783571.16801795759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41838</v>
      </c>
      <c r="C3" s="50">
        <v>112628</v>
      </c>
      <c r="D3" s="50">
        <v>204046.5</v>
      </c>
      <c r="E3" s="50">
        <v>275457</v>
      </c>
      <c r="F3" s="50">
        <v>207864</v>
      </c>
      <c r="G3" s="17">
        <f t="shared" si="0"/>
        <v>799995.5</v>
      </c>
      <c r="H3" s="17">
        <f t="shared" si="1"/>
        <v>47859.67353187751</v>
      </c>
      <c r="I3" s="17">
        <f t="shared" si="2"/>
        <v>752135.82646812254</v>
      </c>
    </row>
    <row r="4" spans="1:9" ht="15.75" customHeight="1" x14ac:dyDescent="0.25">
      <c r="A4" s="5">
        <f t="shared" si="3"/>
        <v>2026</v>
      </c>
      <c r="B4" s="49">
        <v>39217</v>
      </c>
      <c r="C4" s="50">
        <v>110978.5</v>
      </c>
      <c r="D4" s="50">
        <v>190415</v>
      </c>
      <c r="E4" s="50">
        <v>264913</v>
      </c>
      <c r="F4" s="50">
        <v>212541</v>
      </c>
      <c r="G4" s="17">
        <f t="shared" si="0"/>
        <v>778847.5</v>
      </c>
      <c r="H4" s="17">
        <f t="shared" si="1"/>
        <v>44861.437375104935</v>
      </c>
      <c r="I4" s="17">
        <f t="shared" si="2"/>
        <v>733986.06262489501</v>
      </c>
    </row>
    <row r="5" spans="1:9" ht="15.75" customHeight="1" x14ac:dyDescent="0.25">
      <c r="A5" s="5">
        <f t="shared" si="3"/>
        <v>2027</v>
      </c>
      <c r="B5" s="49">
        <v>37832</v>
      </c>
      <c r="C5" s="50">
        <v>112656</v>
      </c>
      <c r="D5" s="50">
        <v>183119.5</v>
      </c>
      <c r="E5" s="50">
        <v>255388.5</v>
      </c>
      <c r="F5" s="50">
        <v>219148.5</v>
      </c>
      <c r="G5" s="17">
        <f t="shared" si="0"/>
        <v>770312.5</v>
      </c>
      <c r="H5" s="17">
        <f t="shared" si="1"/>
        <v>43277.09663602442</v>
      </c>
      <c r="I5" s="17">
        <f t="shared" si="2"/>
        <v>727035.40336397558</v>
      </c>
    </row>
    <row r="6" spans="1:9" ht="15.75" customHeight="1" x14ac:dyDescent="0.25">
      <c r="A6" s="5">
        <f t="shared" si="3"/>
        <v>2028</v>
      </c>
      <c r="B6" s="49">
        <v>36799</v>
      </c>
      <c r="C6" s="50">
        <v>116454.5</v>
      </c>
      <c r="D6" s="50">
        <v>179468.5</v>
      </c>
      <c r="E6" s="50">
        <v>246253.5</v>
      </c>
      <c r="F6" s="50">
        <v>226386.5</v>
      </c>
      <c r="G6" s="17">
        <f t="shared" si="0"/>
        <v>768563</v>
      </c>
      <c r="H6" s="17">
        <f t="shared" si="1"/>
        <v>42095.418669619969</v>
      </c>
      <c r="I6" s="17">
        <f t="shared" si="2"/>
        <v>726467.58133038005</v>
      </c>
    </row>
    <row r="7" spans="1:9" ht="15.75" customHeight="1" x14ac:dyDescent="0.25">
      <c r="A7" s="5">
        <f t="shared" si="3"/>
        <v>2029</v>
      </c>
      <c r="B7" s="49">
        <v>36154</v>
      </c>
      <c r="C7" s="50">
        <v>121068.5</v>
      </c>
      <c r="D7" s="50">
        <v>177752.5</v>
      </c>
      <c r="E7" s="50">
        <v>237513.49999999991</v>
      </c>
      <c r="F7" s="50">
        <v>232763.5</v>
      </c>
      <c r="G7" s="17">
        <f t="shared" si="0"/>
        <v>769097.99999999988</v>
      </c>
      <c r="H7" s="17">
        <f t="shared" si="1"/>
        <v>41357.584895824351</v>
      </c>
      <c r="I7" s="17">
        <f t="shared" si="2"/>
        <v>727740.41510417557</v>
      </c>
    </row>
    <row r="8" spans="1:9" ht="15.75" customHeight="1" x14ac:dyDescent="0.25">
      <c r="A8" s="5">
        <f t="shared" si="3"/>
        <v>2030</v>
      </c>
      <c r="B8" s="49">
        <v>35521</v>
      </c>
      <c r="C8" s="50">
        <v>125411</v>
      </c>
      <c r="D8" s="50">
        <v>176892</v>
      </c>
      <c r="E8" s="50">
        <v>229172.5</v>
      </c>
      <c r="F8" s="50">
        <v>237768</v>
      </c>
      <c r="G8" s="17">
        <f t="shared" si="0"/>
        <v>769243.5</v>
      </c>
      <c r="H8" s="17">
        <f t="shared" si="1"/>
        <v>40633.478262006327</v>
      </c>
      <c r="I8" s="17">
        <f t="shared" si="2"/>
        <v>728610.02173799369</v>
      </c>
    </row>
    <row r="9" spans="1:9" ht="15.75" customHeight="1" x14ac:dyDescent="0.25">
      <c r="A9" s="5">
        <f t="shared" si="3"/>
        <v>2031</v>
      </c>
      <c r="B9" s="49">
        <v>34925</v>
      </c>
      <c r="C9" s="50">
        <v>128716</v>
      </c>
      <c r="D9" s="50">
        <v>176869</v>
      </c>
      <c r="E9" s="50">
        <v>221068</v>
      </c>
      <c r="F9" s="50">
        <v>241454.5</v>
      </c>
      <c r="G9" s="17">
        <f t="shared" si="0"/>
        <v>768107.5</v>
      </c>
      <c r="H9" s="17">
        <f t="shared" si="1"/>
        <v>39951.696976452557</v>
      </c>
      <c r="I9" s="17">
        <f t="shared" si="2"/>
        <v>728155.8030235474</v>
      </c>
    </row>
    <row r="10" spans="1:9" ht="15.75" customHeight="1" x14ac:dyDescent="0.25">
      <c r="A10" s="5">
        <f t="shared" si="3"/>
        <v>2032</v>
      </c>
      <c r="B10" s="49">
        <v>34337</v>
      </c>
      <c r="C10" s="50">
        <v>130513</v>
      </c>
      <c r="D10" s="50">
        <v>177947</v>
      </c>
      <c r="E10" s="50">
        <v>212737.5</v>
      </c>
      <c r="F10" s="50">
        <v>243622.5</v>
      </c>
      <c r="G10" s="17">
        <f t="shared" si="0"/>
        <v>764820</v>
      </c>
      <c r="H10" s="17">
        <f t="shared" si="1"/>
        <v>39279.067117550505</v>
      </c>
      <c r="I10" s="17">
        <f t="shared" si="2"/>
        <v>725540.93288244947</v>
      </c>
    </row>
    <row r="11" spans="1:9" ht="15.75" customHeight="1" x14ac:dyDescent="0.25">
      <c r="A11" s="5">
        <f t="shared" si="3"/>
        <v>2033</v>
      </c>
      <c r="B11" s="49">
        <v>33874</v>
      </c>
      <c r="C11" s="50">
        <v>130692.5</v>
      </c>
      <c r="D11" s="50">
        <v>180379</v>
      </c>
      <c r="E11" s="50">
        <v>204126</v>
      </c>
      <c r="F11" s="50">
        <v>244194</v>
      </c>
      <c r="G11" s="17">
        <f t="shared" si="0"/>
        <v>759391.5</v>
      </c>
      <c r="H11" s="17">
        <f t="shared" si="1"/>
        <v>38749.428300081716</v>
      </c>
      <c r="I11" s="17">
        <f t="shared" si="2"/>
        <v>720642.07169991825</v>
      </c>
    </row>
    <row r="12" spans="1:9" ht="15.75" customHeight="1" x14ac:dyDescent="0.25">
      <c r="A12" s="5">
        <f t="shared" si="3"/>
        <v>2034</v>
      </c>
      <c r="B12" s="49">
        <v>33569</v>
      </c>
      <c r="C12" s="50">
        <v>128804</v>
      </c>
      <c r="D12" s="50">
        <v>184382</v>
      </c>
      <c r="E12" s="50">
        <v>196142.5</v>
      </c>
      <c r="F12" s="50">
        <v>243478</v>
      </c>
      <c r="G12" s="17">
        <f t="shared" si="0"/>
        <v>752806.5</v>
      </c>
      <c r="H12" s="17">
        <f t="shared" si="1"/>
        <v>38400.530158984555</v>
      </c>
      <c r="I12" s="17">
        <f t="shared" si="2"/>
        <v>714405.96984101541</v>
      </c>
    </row>
    <row r="13" spans="1:9" ht="15.75" customHeight="1" x14ac:dyDescent="0.25">
      <c r="A13" s="5">
        <f t="shared" si="3"/>
        <v>2035</v>
      </c>
      <c r="B13" s="49">
        <v>33288</v>
      </c>
      <c r="C13" s="50">
        <v>125787</v>
      </c>
      <c r="D13" s="50">
        <v>189444</v>
      </c>
      <c r="E13" s="50">
        <v>189407</v>
      </c>
      <c r="F13" s="50">
        <v>241057</v>
      </c>
      <c r="G13" s="17">
        <f t="shared" si="0"/>
        <v>745695</v>
      </c>
      <c r="H13" s="17">
        <f t="shared" si="1"/>
        <v>38079.086297842594</v>
      </c>
      <c r="I13" s="17">
        <f t="shared" si="2"/>
        <v>707615.91370215744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LAKkeMhHy9FuUTDg4Uz4fOLC8TyuyNESycs5NyHHia5B8VezEa08KHaoF7hc1oUkOSX00a3BEi5ZYGq7lzg5g==" saltValue="LEOfYYI0Ei0Qr1gcXl5Hg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0.1540929999999999</v>
      </c>
    </row>
    <row r="5" spans="1:8" ht="15.75" customHeight="1" x14ac:dyDescent="0.25">
      <c r="B5" s="19" t="s">
        <v>95</v>
      </c>
      <c r="C5" s="101">
        <v>4.3544600000000051E-2</v>
      </c>
    </row>
    <row r="6" spans="1:8" ht="15.75" customHeight="1" x14ac:dyDescent="0.25">
      <c r="B6" s="19" t="s">
        <v>91</v>
      </c>
      <c r="C6" s="101">
        <v>0.13350659999999989</v>
      </c>
    </row>
    <row r="7" spans="1:8" ht="15.75" customHeight="1" x14ac:dyDescent="0.25">
      <c r="B7" s="19" t="s">
        <v>96</v>
      </c>
      <c r="C7" s="101">
        <v>0.34353199999999989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0.24229560000000019</v>
      </c>
    </row>
    <row r="10" spans="1:8" ht="15.75" customHeight="1" x14ac:dyDescent="0.25">
      <c r="B10" s="19" t="s">
        <v>94</v>
      </c>
      <c r="C10" s="101">
        <v>8.3028199999999941E-2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102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2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79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88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99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5.3514945000000001E-2</v>
      </c>
    </row>
    <row r="27" spans="1:8" ht="15.75" customHeight="1" x14ac:dyDescent="0.25">
      <c r="B27" s="19" t="s">
        <v>89</v>
      </c>
      <c r="C27" s="101">
        <v>2.8541006000000001E-2</v>
      </c>
    </row>
    <row r="28" spans="1:8" ht="15.75" customHeight="1" x14ac:dyDescent="0.25">
      <c r="B28" s="19" t="s">
        <v>103</v>
      </c>
      <c r="C28" s="101">
        <v>0.187630466</v>
      </c>
    </row>
    <row r="29" spans="1:8" ht="15.75" customHeight="1" x14ac:dyDescent="0.25">
      <c r="B29" s="19" t="s">
        <v>86</v>
      </c>
      <c r="C29" s="101">
        <v>0.27936675700000002</v>
      </c>
    </row>
    <row r="30" spans="1:8" ht="15.75" customHeight="1" x14ac:dyDescent="0.25">
      <c r="B30" s="19" t="s">
        <v>4</v>
      </c>
      <c r="C30" s="101">
        <v>9.2226500000000002E-4</v>
      </c>
    </row>
    <row r="31" spans="1:8" ht="15.75" customHeight="1" x14ac:dyDescent="0.25">
      <c r="B31" s="19" t="s">
        <v>80</v>
      </c>
      <c r="C31" s="101">
        <v>7.2676198999999997E-2</v>
      </c>
    </row>
    <row r="32" spans="1:8" ht="15.75" customHeight="1" x14ac:dyDescent="0.25">
      <c r="B32" s="19" t="s">
        <v>85</v>
      </c>
      <c r="C32" s="101">
        <v>4.4662927999999998E-2</v>
      </c>
    </row>
    <row r="33" spans="2:3" ht="15.75" customHeight="1" x14ac:dyDescent="0.25">
      <c r="B33" s="19" t="s">
        <v>100</v>
      </c>
      <c r="C33" s="101">
        <v>0.14648158999999999</v>
      </c>
    </row>
    <row r="34" spans="2:3" ht="15.75" customHeight="1" x14ac:dyDescent="0.25">
      <c r="B34" s="19" t="s">
        <v>87</v>
      </c>
      <c r="C34" s="101">
        <v>0.18620384500000001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MayfF16mK0yD2jWACuOxmwGTPC680ZiD159z2ah1xHAlXoTHneKb1s1PgLZOLaVx7CllXuRsXykz6hD79Obk8A==" saltValue="H3yHw9tYxUGfq8a/kcegl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110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106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107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119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J8ve4SH4DVT2sbR6wROe+2G6FKbIP1PVnxyfeAjrOO89xNQsTDsj1JmKy935BhtsloInqww8NGZ/2/iW9VluQ==" saltValue="vsR+HNWiE/yWunjZzKgb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125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7Vx3rQTGzbztYOae0CKaLVlzXj5T98neBtiVz9uFv51shbyHHdkkp5meEOIhGJS6A8pxMHFZ6edoEi8RJE4UOQ==" saltValue="kNbGAzYORB2xeq4YyIGo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9OT3k6amaN5LhR3Ytc8Do1um0nydpMQYL9ALqpX1oabDymMAXPAH1JSxz3CKf6y4mUekYwypTEkJL5nfiANBQ==" saltValue="X0CnpHhysxAHO9s4tKK3n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Z/hCo3HqcWFZrUbutU4C1VsiPSixCaXPfhYO+DZ6uPpeMIU2ZuP+EmLGS1uJXFroWJpEwzex8a9/d9RgtSV+CQ==" saltValue="eDBcS+guXCr4jH6Ir5uP8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TcEpPQgL7D10XvEnkkxHSls1c98IHjDYZgBESj6Onjor1qRYPSM7qnXJCcCG4csHLfWZb3d939EOenA9g2Ayg==" saltValue="85DXeO1YpxBW4roTT8T28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670UKAcGnlhjFUDecq/nm+cx+BjEL9LLw2I2kiewfKOYNsU3opL+Kuk0kabRPOGeCtKQg438GQNx5oDXfPFYQg==" saltValue="SPOTs4/eTIxToitkl5/b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43.717396986078107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44.834077734861673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190.0226088131827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5.7339673442063903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14.35913960398203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14.35913960398203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14.35913960398203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14.35913960398203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14.35913960398203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14.35913960398203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0.41542488627073471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2.3937511111111101E-2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0.23591980000000001</v>
      </c>
      <c r="C18" s="98">
        <v>0.95</v>
      </c>
      <c r="D18" s="56">
        <v>4.4482358424844612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0.23591980000000001</v>
      </c>
      <c r="C19" s="98">
        <v>0.95</v>
      </c>
      <c r="D19" s="56">
        <v>4.4482358424844612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56.625848696237107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24.569538152769219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4.7648286502090178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0.69322219271638008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20.68706504341953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0.52424380000000004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0.5944374</v>
      </c>
      <c r="C29" s="98">
        <v>0.95</v>
      </c>
      <c r="D29" s="56">
        <v>80.983006519796163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0.43586457689828911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0.85083653245513768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0.93940820000000003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0.13994980000000001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2.1327200000000001E-2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0.97755639999999999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8.7485800000000002E-2</v>
      </c>
      <c r="C38" s="98">
        <v>0.95</v>
      </c>
      <c r="D38" s="56">
        <v>2.6133364444192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XKr89QjJFrgImUR9o9+X5M5HNH1T44FE6aKjvLdtDc60CggRJZCdZnmvmnaj+zxiKErywkD8RxQ5GoyElHptHA==" saltValue="mBcDgcs0VGIrrl3hLoAQ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EWPrpSNAVucKchghUp5VPx6X62ILvSofNRqmSAnBWCDg1+nbZHj6YDgH+R+Ic06mUcwd6RGgiLDsvaefn4wXdg==" saltValue="pz0FJsRtmGqvbeYJi9JZ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SbFe2SkhbAOJpj5r6XO/uiHqspuN0mJLtlug4KdGTjfw+6zjg/Jkh/+vrhXY9BVKWfR85ONP2xY1zuWSjyCiXQ==" saltValue="xf7QZCINq1Yly9tORkSfP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207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YpnJBLkb/MFbozFNTohd8TQ/YG/K6Z5pSjYrvdOocSYbymx6A7aWRIkiBSWnTwKc5w1nMO5TUhHEpqYStrIOQA==" saltValue="wE+7LuvlR3kf5ltzfaujH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3EHrQpuKP3Dky8vOWNI1r6LI6qarkOrdJBTvg7Sx+ZAtnVH2rxUhctjbzzSXzgGIkDchkGBz42NS4OSExKeFg==" saltValue="f1TCuOKoaVyvC7vuYjDJg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TnuC7G+VWtyI8MD1+yKmTeE99lxd1axlxtLc7cLrVda3xkajez4GPudgd1DRPXYhune2df6Ogyy2yv0y1d6RSg==" saltValue="1d/iYvVGpyJ+tJguMB/qO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0L6L2WzfQwwZ3pOEfUrdbEXELGE808mZMjzvQeO/yVcwt0MVhWQU8lLzgEHZ+6vk/wvp27lFD6UXhD/nsUSLw==" saltValue="Yu2emRcgzwfkaivzLGEH9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5QyfepBrn5pwnDMhh6NO1ECZ0Xa+GCR0RcfF5vge9HG54d1UPiY4RU7zHqITc3INQNwic6C/wzfP+xaHSlqZQ==" saltValue="0Z4U5i9YB8Yl07Tx3XaOo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P7tSpggbnHSlzVo7QO1P6I6poPCv8vxPlG54m7YjTKmI4HHSFKfFFPOisV00RlFnjs2goGPoqVskITChqbr/A==" saltValue="nH6htYSfmUzyIeCFo+kiz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Ausz9NFkfI+uaNRwXNEPM/FW/zZDReWgmf/abxmcqCrMOfibdje3JW38wOtJvyVhY+Eis2RhsqvyTv75w89CzQ==" saltValue="6PTlM+O23heK0jaR3jHz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l0hHPphf6yduZuW4RYBLp91YjjaEA2BqZyWmYmodznUfkxn1GQYcPemeim5n+k9NTD4jyF+i06f+X3dnm7eIw==" saltValue="fpAVVfpyn9to0ptLAVW4l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8xDvGI68okV3pN0vM1Mq+gMRYKo52IFoAayWJq8FBmSQPOeRqR1FFORwTU+8DY9Zz4QxOpmL929O0dSKEsucg==" saltValue="L0o3A7OkQIDKmN1Yxwv5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PQpXeoyL/7RrZCMEfH8ACHkKVNSN2bvlh6oxFjGUb0OBt9aL79HfO4IqHkikKWDO/QaWqBSLtPxO6CA3iL/Ng==" saltValue="rCq4852ddkg6QzVXBJxp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3U5dJKWmiRxiRurJQAFvOWDnPHlokAjQE1gv5VhNhGA878JmNyNJNwFqsmECe78kPObCcSaPc2Bx9jdU+0Qs/A==" saltValue="7ewVPSKXm5ictiLyeF9y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w6uMVMfK5E+phQXngkk5uWriV2J40C+qFUVkYyunxyD4/sFYqXvVd1qP58CJ7toYay+qCFBBaq8VNfoY4+Cng==" saltValue="G5XTmWsEgIw97+QIs4qt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gLblLWdVK0GojAQK7fs1xu4M6q4dlPaFL24Keq5Gd/4olZnkXOePE4FeVRq5idKAN+6FeMDfFGlN8w9sYYrXQ==" saltValue="cjYy23BwB/wmUEsrB1oK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WoP4gdAYN7v4IN01fYAwYoHWzPcaMGrUFv+IsCNYcTj1KjPeEBOR/DzbfiwjhVEKw/s6K7klsvn0nRrkRiMqA==" saltValue="tp7DsdPFFQ45RcHY5tx+3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0.10806018073899692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0.10970287223658026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0.10895181457602832</v>
      </c>
      <c r="G20" s="90">
        <f>MIN(MAX(1-0.89/(1-frac_mam_12_23months+(frac_mam_12_23months*0.89)),0),1)</f>
        <v>0.10927067439110871</v>
      </c>
      <c r="H20" s="90">
        <f>MIN(MAX(1-0.89/(1-frac_mam_24_59months+(frac_mam_24_59months*0.89)),0),1)</f>
        <v>0.1092979932133511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9.8042264132126578E-3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9.9699624886618876E-3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9.8941170867753447E-3</v>
      </c>
      <c r="G75" s="90">
        <f>MIN(MAX(1-0.99/(1-frac_mam_12_23months+(frac_mam_12_23months*0.99)),0),1)</f>
        <v>9.9263028742807569E-3</v>
      </c>
      <c r="H75" s="90">
        <f>MIN(MAX(1-0.99/(1-frac_mam_24_59months+(frac_mam_24_59months*0.99)),0),1)</f>
        <v>9.9290614172505842E-3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0.19682404952961197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0.19951426525615734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0.19828527651511607</v>
      </c>
      <c r="G130" s="90">
        <f>MIN(MAX(1-0.8/(1-frac_mam_12_23months+(frac_mam_12_23months*0.8)),0),1)</f>
        <v>0.19880724832672891</v>
      </c>
      <c r="H130" s="90">
        <f>MIN(MAX(1-0.8/(1-frac_mam_24_59months+(frac_mam_24_59months*0.8)),0),1)</f>
        <v>0.1988519548513018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wMuWkm1FY0a/bxGLqwyidCbEO7K4lGpjJHhlo8gVTdc5ma9LMT0HGmAo1snE5+qMJeqoOIGxkwN44EJynBQcA==" saltValue="QB3luF/Q53t8MDaVLeSe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Ydpk7DwhMD9sOZQHdCjTm04xPr92NlX2v8B4xb8x5LYuhdBsR1aVeUJFsPnCXMfnKFk1Ex7thMisHk3iJNEOxA==" saltValue="kSSRhb7nt/tpW8k7jDHxZ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2024-08-06T07:56:21Z</dcterms:modified>
</cp:coreProperties>
</file>