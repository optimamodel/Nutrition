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823A21E5-D6BE-478F-B1BB-7D57C23A0044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23" i="2" l="1"/>
  <c r="A19" i="2"/>
  <c r="A22" i="2"/>
  <c r="A24" i="2"/>
  <c r="A35" i="2"/>
  <c r="A36" i="2"/>
  <c r="I4" i="2"/>
  <c r="I8" i="2"/>
  <c r="A25" i="2"/>
  <c r="A26" i="2"/>
  <c r="I39" i="2"/>
  <c r="I9" i="2"/>
  <c r="I13" i="2"/>
  <c r="A31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<sst xmlns="http://schemas.openxmlformats.org/spreadsheetml/2006/main" count="2159" uniqueCount="372">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</sst>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160781</v>
      </c>
    </row>
    <row r="8" spans="1:3" ht="15" customHeight="1" x14ac:dyDescent="0.25">
      <c r="B8" s="5" t="s">
        <v>63</v>
      </c>
      <c r="C8" s="44">
        <v>1.7000000000000001E-2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0.777842483520508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0.39600000000000002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9.9900000000000003E-2</v>
      </c>
    </row>
    <row r="24" spans="1:3" ht="15" customHeight="1" x14ac:dyDescent="0.25">
      <c r="B24" s="15" t="s">
        <v>65</v>
      </c>
      <c r="C24" s="45">
        <v>0.6048</v>
      </c>
    </row>
    <row r="25" spans="1:3" ht="15" customHeight="1" x14ac:dyDescent="0.25">
      <c r="B25" s="15" t="s">
        <v>66</v>
      </c>
      <c r="C25" s="45">
        <v>0.27869999999999989</v>
      </c>
    </row>
    <row r="26" spans="1:3" ht="15" customHeight="1" x14ac:dyDescent="0.25">
      <c r="B26" s="15" t="s">
        <v>67</v>
      </c>
      <c r="C26" s="45">
        <v>1.66E-2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0.51101988116637098</v>
      </c>
    </row>
    <row r="30" spans="1:3" ht="14.25" customHeight="1" x14ac:dyDescent="0.25">
      <c r="B30" s="25" t="s">
        <v>82</v>
      </c>
      <c r="C30" s="99">
        <v>3.6928466503456402E-2</v>
      </c>
    </row>
    <row r="31" spans="1:3" ht="14.25" customHeight="1" x14ac:dyDescent="0.25">
      <c r="B31" s="25" t="s">
        <v>29</v>
      </c>
      <c r="C31" s="99">
        <v>4.0966963582223501E-2</v>
      </c>
    </row>
    <row r="32" spans="1:3" ht="14.25" customHeight="1" x14ac:dyDescent="0.25">
      <c r="B32" s="25" t="s">
        <v>30</v>
      </c>
      <c r="C32" s="99">
        <v>0.41108468874794901</v>
      </c>
    </row>
    <row r="33" spans="1:5" ht="13.25" customHeight="1" x14ac:dyDescent="0.25">
      <c r="B33" s="27" t="s">
        <v>79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8.1054700000000004</v>
      </c>
    </row>
    <row r="38" spans="1:5" ht="15" customHeight="1" x14ac:dyDescent="0.25">
      <c r="B38" s="11" t="s">
        <v>54</v>
      </c>
      <c r="C38" s="43">
        <v>11.39776</v>
      </c>
      <c r="D38" s="12"/>
      <c r="E38" s="13"/>
    </row>
    <row r="39" spans="1:5" ht="15" customHeight="1" x14ac:dyDescent="0.25">
      <c r="B39" s="11" t="s">
        <v>80</v>
      </c>
      <c r="C39" s="43">
        <v>13.240740000000001</v>
      </c>
      <c r="D39" s="12"/>
      <c r="E39" s="12"/>
    </row>
    <row r="40" spans="1:5" ht="15" customHeight="1" x14ac:dyDescent="0.25">
      <c r="B40" s="11" t="s">
        <v>55</v>
      </c>
      <c r="C40" s="100">
        <v>0.59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6.6129100000000003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6.1101999999999997E-3</v>
      </c>
      <c r="D45" s="12"/>
    </row>
    <row r="46" spans="1:5" ht="15.75" customHeight="1" x14ac:dyDescent="0.25">
      <c r="B46" s="11" t="s">
        <v>70</v>
      </c>
      <c r="C46" s="45">
        <v>6.4331199999999991E-2</v>
      </c>
      <c r="D46" s="12"/>
    </row>
    <row r="47" spans="1:5" ht="15.75" customHeight="1" x14ac:dyDescent="0.25">
      <c r="B47" s="11" t="s">
        <v>78</v>
      </c>
      <c r="C47" s="45">
        <v>6.5170800000000001E-2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0.61096899999999998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5.0010632999999999E-2</v>
      </c>
    </row>
    <row r="63" spans="1:4" ht="15.75" customHeight="1" x14ac:dyDescent="0.3">
      <c r="A63" s="4"/>
    </row>
  </sheetData>
  <sheetProtection algorithmName="SHA-512" hashValue="QN+VuaSWqyVIk4ohmUeHQnsC7YO4B/gmrGrhxCmPSY6XGdwxMGsCDtHYTgBfHOAnn1ZbStMv6wv2MF+RPFDXmQ==" saltValue="LbFxhP2FBzZcYI55ctno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32140</v>
      </c>
      <c r="C2" s="49">
        <v>94083.5</v>
      </c>
      <c r="D2" s="49">
        <v>156248</v>
      </c>
      <c r="E2" s="49">
        <v>237129.5</v>
      </c>
      <c r="F2" s="49">
        <v>219204.99999999997</v>
      </c>
      <c r="G2" s="17">
        <f t="shared" ref="G2:G13" si="0">C2+D2+E2+F2</f>
        <v>706666</v>
      </c>
      <c r="H2" s="17">
        <f t="shared" ref="H2:H13" si="1">(B2 + stillbirth*B2/(1000-stillbirth))/(1-abortion)</f>
        <v>36765.856573319543</v>
      </c>
      <c r="I2" s="17">
        <f t="shared" ref="I2:I13" si="2">G2-H2</f>
        <v>669900.14342668047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31009</v>
      </c>
      <c r="C3" s="50">
        <v>95870</v>
      </c>
      <c r="D3" s="50">
        <v>150238.5</v>
      </c>
      <c r="E3" s="50">
        <v>227194.5</v>
      </c>
      <c r="F3" s="50">
        <v>221692.5</v>
      </c>
      <c r="G3" s="17">
        <f t="shared" si="0"/>
        <v>694995.5</v>
      </c>
      <c r="H3" s="17">
        <f t="shared" si="1"/>
        <v>35472.07363043142</v>
      </c>
      <c r="I3" s="17">
        <f t="shared" si="2"/>
        <v>659523.42636956857</v>
      </c>
    </row>
    <row r="4" spans="1:9" ht="15.75" customHeight="1" x14ac:dyDescent="0.25">
      <c r="A4" s="5">
        <f t="shared" si="3"/>
        <v>2026</v>
      </c>
      <c r="B4" s="49">
        <v>29962</v>
      </c>
      <c r="C4" s="50">
        <v>97409</v>
      </c>
      <c r="D4" s="50">
        <v>147507.99999999997</v>
      </c>
      <c r="E4" s="50">
        <v>215224.5</v>
      </c>
      <c r="F4" s="50">
        <v>225046.5</v>
      </c>
      <c r="G4" s="17">
        <f t="shared" si="0"/>
        <v>685188</v>
      </c>
      <c r="H4" s="17">
        <f t="shared" si="1"/>
        <v>34274.380667386438</v>
      </c>
      <c r="I4" s="17">
        <f t="shared" si="2"/>
        <v>650913.61933261354</v>
      </c>
    </row>
    <row r="5" spans="1:9" ht="15.75" customHeight="1" x14ac:dyDescent="0.25">
      <c r="A5" s="5">
        <f t="shared" si="3"/>
        <v>2027</v>
      </c>
      <c r="B5" s="49">
        <v>29290</v>
      </c>
      <c r="C5" s="50">
        <v>98955</v>
      </c>
      <c r="D5" s="50">
        <v>148112.5</v>
      </c>
      <c r="E5" s="50">
        <v>202361</v>
      </c>
      <c r="F5" s="50">
        <v>228930.5</v>
      </c>
      <c r="G5" s="17">
        <f t="shared" si="0"/>
        <v>678359</v>
      </c>
      <c r="H5" s="17">
        <f t="shared" si="1"/>
        <v>33505.660828641237</v>
      </c>
      <c r="I5" s="17">
        <f t="shared" si="2"/>
        <v>644853.33917135873</v>
      </c>
    </row>
    <row r="6" spans="1:9" ht="15.75" customHeight="1" x14ac:dyDescent="0.25">
      <c r="A6" s="5">
        <f t="shared" si="3"/>
        <v>2028</v>
      </c>
      <c r="B6" s="49">
        <v>28743</v>
      </c>
      <c r="C6" s="50">
        <v>100568.5</v>
      </c>
      <c r="D6" s="50">
        <v>150773</v>
      </c>
      <c r="E6" s="50">
        <v>189086.5</v>
      </c>
      <c r="F6" s="50">
        <v>232184</v>
      </c>
      <c r="G6" s="17">
        <f t="shared" si="0"/>
        <v>672612</v>
      </c>
      <c r="H6" s="17">
        <f t="shared" si="1"/>
        <v>32879.932031329299</v>
      </c>
      <c r="I6" s="17">
        <f t="shared" si="2"/>
        <v>639732.06796867074</v>
      </c>
    </row>
    <row r="7" spans="1:9" ht="15.75" customHeight="1" x14ac:dyDescent="0.25">
      <c r="A7" s="5">
        <f t="shared" si="3"/>
        <v>2029</v>
      </c>
      <c r="B7" s="49">
        <v>28295</v>
      </c>
      <c r="C7" s="50">
        <v>102568.5</v>
      </c>
      <c r="D7" s="50">
        <v>154713.5</v>
      </c>
      <c r="E7" s="50">
        <v>176327</v>
      </c>
      <c r="F7" s="50">
        <v>233993.49999999997</v>
      </c>
      <c r="G7" s="17">
        <f t="shared" si="0"/>
        <v>667602.5</v>
      </c>
      <c r="H7" s="17">
        <f t="shared" si="1"/>
        <v>32367.452138832497</v>
      </c>
      <c r="I7" s="17">
        <f t="shared" si="2"/>
        <v>635235.04786116746</v>
      </c>
    </row>
    <row r="8" spans="1:9" ht="15.75" customHeight="1" x14ac:dyDescent="0.25">
      <c r="A8" s="5">
        <f t="shared" si="3"/>
        <v>2030</v>
      </c>
      <c r="B8" s="49">
        <v>27903</v>
      </c>
      <c r="C8" s="50">
        <v>104696.5</v>
      </c>
      <c r="D8" s="50">
        <v>159156</v>
      </c>
      <c r="E8" s="50">
        <v>164728</v>
      </c>
      <c r="F8" s="50">
        <v>234145.50000000003</v>
      </c>
      <c r="G8" s="17">
        <f t="shared" si="0"/>
        <v>662726</v>
      </c>
      <c r="H8" s="17">
        <f t="shared" si="1"/>
        <v>31919.032232897796</v>
      </c>
      <c r="I8" s="17">
        <f t="shared" si="2"/>
        <v>630806.96776710218</v>
      </c>
    </row>
    <row r="9" spans="1:9" ht="15.75" customHeight="1" x14ac:dyDescent="0.25">
      <c r="A9" s="5">
        <f t="shared" si="3"/>
        <v>2031</v>
      </c>
      <c r="B9" s="49">
        <v>27588</v>
      </c>
      <c r="C9" s="50">
        <v>106300</v>
      </c>
      <c r="D9" s="50">
        <v>163815.5</v>
      </c>
      <c r="E9" s="50">
        <v>154441</v>
      </c>
      <c r="F9" s="50">
        <v>233016</v>
      </c>
      <c r="G9" s="17">
        <f t="shared" si="0"/>
        <v>657572.5</v>
      </c>
      <c r="H9" s="17">
        <f t="shared" si="1"/>
        <v>31558.694808485987</v>
      </c>
      <c r="I9" s="17">
        <f t="shared" si="2"/>
        <v>626013.80519151397</v>
      </c>
    </row>
    <row r="10" spans="1:9" ht="15.75" customHeight="1" x14ac:dyDescent="0.25">
      <c r="A10" s="5">
        <f t="shared" si="3"/>
        <v>2032</v>
      </c>
      <c r="B10" s="49">
        <v>27376</v>
      </c>
      <c r="C10" s="50">
        <v>106331</v>
      </c>
      <c r="D10" s="50">
        <v>168720.50000000003</v>
      </c>
      <c r="E10" s="50">
        <v>145202</v>
      </c>
      <c r="F10" s="50">
        <v>230821.5</v>
      </c>
      <c r="G10" s="17">
        <f t="shared" si="0"/>
        <v>651075</v>
      </c>
      <c r="H10" s="17">
        <f t="shared" si="1"/>
        <v>31316.182002215181</v>
      </c>
      <c r="I10" s="17">
        <f t="shared" si="2"/>
        <v>619758.81799778482</v>
      </c>
    </row>
    <row r="11" spans="1:9" ht="15.75" customHeight="1" x14ac:dyDescent="0.25">
      <c r="A11" s="5">
        <f t="shared" si="3"/>
        <v>2033</v>
      </c>
      <c r="B11" s="49">
        <v>27253</v>
      </c>
      <c r="C11" s="50">
        <v>104272</v>
      </c>
      <c r="D11" s="50">
        <v>173856</v>
      </c>
      <c r="E11" s="50">
        <v>137022.5</v>
      </c>
      <c r="F11" s="50">
        <v>227187</v>
      </c>
      <c r="G11" s="17">
        <f t="shared" si="0"/>
        <v>642337.5</v>
      </c>
      <c r="H11" s="17">
        <f t="shared" si="1"/>
        <v>31175.478817444851</v>
      </c>
      <c r="I11" s="17">
        <f t="shared" si="2"/>
        <v>611162.02118255512</v>
      </c>
    </row>
    <row r="12" spans="1:9" ht="15.75" customHeight="1" x14ac:dyDescent="0.25">
      <c r="A12" s="5">
        <f t="shared" si="3"/>
        <v>2034</v>
      </c>
      <c r="B12" s="49">
        <v>27182</v>
      </c>
      <c r="C12" s="50">
        <v>100289.5</v>
      </c>
      <c r="D12" s="50">
        <v>179124.5</v>
      </c>
      <c r="E12" s="50">
        <v>130922</v>
      </c>
      <c r="F12" s="50">
        <v>221362.5</v>
      </c>
      <c r="G12" s="17">
        <f t="shared" si="0"/>
        <v>631698.5</v>
      </c>
      <c r="H12" s="17">
        <f t="shared" si="1"/>
        <v>31094.259905910763</v>
      </c>
      <c r="I12" s="17">
        <f t="shared" si="2"/>
        <v>600604.24009408918</v>
      </c>
    </row>
    <row r="13" spans="1:9" ht="15.75" customHeight="1" x14ac:dyDescent="0.25">
      <c r="A13" s="5">
        <f t="shared" si="3"/>
        <v>2035</v>
      </c>
      <c r="B13" s="49">
        <v>27195</v>
      </c>
      <c r="C13" s="50">
        <v>94932</v>
      </c>
      <c r="D13" s="50">
        <v>183966.5</v>
      </c>
      <c r="E13" s="50">
        <v>127558</v>
      </c>
      <c r="F13" s="50">
        <v>212990.5</v>
      </c>
      <c r="G13" s="17">
        <f t="shared" si="0"/>
        <v>619447</v>
      </c>
      <c r="H13" s="17">
        <f t="shared" si="1"/>
        <v>31109.130974219817</v>
      </c>
      <c r="I13" s="17">
        <f t="shared" si="2"/>
        <v>588337.86902578024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NE+BMAVXfw1yLD8QjQ+qzs4Nk4wyQmXzc0Kz4H1vfFKdV+/PcN92z8kGejrIf3vYejPp6emGjyTw3JYEMy8BEg==" saltValue="e3NuqaO715a9fRcdYzD06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0.1540929999999999</v>
      </c>
    </row>
    <row r="5" spans="1:8" ht="15.75" customHeight="1" x14ac:dyDescent="0.25">
      <c r="B5" s="19" t="s">
        <v>114</v>
      </c>
      <c r="C5" s="101">
        <v>4.3544600000000051E-2</v>
      </c>
    </row>
    <row r="6" spans="1:8" ht="15.75" customHeight="1" x14ac:dyDescent="0.25">
      <c r="B6" s="19" t="s">
        <v>110</v>
      </c>
      <c r="C6" s="101">
        <v>0.13350659999999989</v>
      </c>
    </row>
    <row r="7" spans="1:8" ht="15.75" customHeight="1" x14ac:dyDescent="0.25">
      <c r="B7" s="19" t="s">
        <v>115</v>
      </c>
      <c r="C7" s="101">
        <v>0.34353199999999989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0.24229560000000019</v>
      </c>
    </row>
    <row r="10" spans="1:8" ht="15.75" customHeight="1" x14ac:dyDescent="0.25">
      <c r="B10" s="19" t="s">
        <v>113</v>
      </c>
      <c r="C10" s="101">
        <v>8.3028199999999941E-2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0.1310706655975018</v>
      </c>
      <c r="D14" s="55">
        <v>0.1310706655975018</v>
      </c>
      <c r="E14" s="55">
        <v>0.1310706655975018</v>
      </c>
      <c r="F14" s="55">
        <v>0.1310706655975018</v>
      </c>
    </row>
    <row r="15" spans="1:8" ht="15.75" customHeight="1" x14ac:dyDescent="0.25">
      <c r="B15" s="19" t="s">
        <v>121</v>
      </c>
      <c r="C15" s="101">
        <v>0.32579698637507032</v>
      </c>
      <c r="D15" s="101">
        <v>0.32579698637507032</v>
      </c>
      <c r="E15" s="101">
        <v>0.32579698637507032</v>
      </c>
      <c r="F15" s="101">
        <v>0.32579698637507032</v>
      </c>
    </row>
    <row r="16" spans="1:8" ht="15.75" customHeight="1" x14ac:dyDescent="0.25">
      <c r="B16" s="19" t="s">
        <v>2</v>
      </c>
      <c r="C16" s="101">
        <v>3.0352653282682381E-2</v>
      </c>
      <c r="D16" s="101">
        <v>3.0352653282682381E-2</v>
      </c>
      <c r="E16" s="101">
        <v>3.0352653282682381E-2</v>
      </c>
      <c r="F16" s="101">
        <v>3.0352653282682381E-2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7.463023990219639E-3</v>
      </c>
      <c r="D19" s="101">
        <v>7.463023990219639E-3</v>
      </c>
      <c r="E19" s="101">
        <v>7.463023990219639E-3</v>
      </c>
      <c r="F19" s="101">
        <v>7.463023990219639E-3</v>
      </c>
    </row>
    <row r="20" spans="1:8" ht="15.75" customHeight="1" x14ac:dyDescent="0.25">
      <c r="B20" s="19" t="s">
        <v>98</v>
      </c>
      <c r="C20" s="101">
        <v>2.4205317759995671E-2</v>
      </c>
      <c r="D20" s="101">
        <v>2.4205317759995671E-2</v>
      </c>
      <c r="E20" s="101">
        <v>2.4205317759995671E-2</v>
      </c>
      <c r="F20" s="101">
        <v>2.4205317759995671E-2</v>
      </c>
    </row>
    <row r="21" spans="1:8" ht="15.75" customHeight="1" x14ac:dyDescent="0.25">
      <c r="B21" s="19" t="s">
        <v>107</v>
      </c>
      <c r="C21" s="101">
        <v>0.33452651561541241</v>
      </c>
      <c r="D21" s="101">
        <v>0.33452651561541241</v>
      </c>
      <c r="E21" s="101">
        <v>0.33452651561541241</v>
      </c>
      <c r="F21" s="101">
        <v>0.33452651561541241</v>
      </c>
    </row>
    <row r="22" spans="1:8" ht="15.75" customHeight="1" x14ac:dyDescent="0.25">
      <c r="B22" s="19" t="s">
        <v>118</v>
      </c>
      <c r="C22" s="101">
        <v>0.14658483737911779</v>
      </c>
      <c r="D22" s="101">
        <v>0.14658483737911779</v>
      </c>
      <c r="E22" s="101">
        <v>0.14658483737911779</v>
      </c>
      <c r="F22" s="101">
        <v>0.14658483737911779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5.3514945000000001E-2</v>
      </c>
    </row>
    <row r="27" spans="1:8" ht="15.75" customHeight="1" x14ac:dyDescent="0.25">
      <c r="B27" s="19" t="s">
        <v>108</v>
      </c>
      <c r="C27" s="101">
        <v>2.8541006000000001E-2</v>
      </c>
    </row>
    <row r="28" spans="1:8" ht="15.75" customHeight="1" x14ac:dyDescent="0.25">
      <c r="B28" s="19" t="s">
        <v>122</v>
      </c>
      <c r="C28" s="101">
        <v>0.187630466</v>
      </c>
    </row>
    <row r="29" spans="1:8" ht="15.75" customHeight="1" x14ac:dyDescent="0.25">
      <c r="B29" s="19" t="s">
        <v>105</v>
      </c>
      <c r="C29" s="101">
        <v>0.27936675700000002</v>
      </c>
    </row>
    <row r="30" spans="1:8" ht="15.75" customHeight="1" x14ac:dyDescent="0.25">
      <c r="B30" s="19" t="s">
        <v>4</v>
      </c>
      <c r="C30" s="101">
        <v>9.2226500000000002E-4</v>
      </c>
    </row>
    <row r="31" spans="1:8" ht="15.75" customHeight="1" x14ac:dyDescent="0.25">
      <c r="B31" s="19" t="s">
        <v>99</v>
      </c>
      <c r="C31" s="101">
        <v>7.2676198999999997E-2</v>
      </c>
    </row>
    <row r="32" spans="1:8" ht="15.75" customHeight="1" x14ac:dyDescent="0.25">
      <c r="B32" s="19" t="s">
        <v>104</v>
      </c>
      <c r="C32" s="101">
        <v>4.4662927999999998E-2</v>
      </c>
    </row>
    <row r="33" spans="2:3" ht="15.75" customHeight="1" x14ac:dyDescent="0.25">
      <c r="B33" s="19" t="s">
        <v>119</v>
      </c>
      <c r="C33" s="101">
        <v>0.14648158999999999</v>
      </c>
    </row>
    <row r="34" spans="2:3" ht="15.75" customHeight="1" x14ac:dyDescent="0.25">
      <c r="B34" s="19" t="s">
        <v>106</v>
      </c>
      <c r="C34" s="101">
        <v>0.18620384500000001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uWPliPzxarmGNSNXSKHgHPqHuYUwb1z8MkMN6N5JZKcHFWRiuaxRpAltFoGhfw4tco3mWrhqG2vUSe3m+XS4TQ==" saltValue="uMgTWEJAk+SuFQj9cWNpw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0.58386943192158447</v>
      </c>
      <c r="D2" s="52">
        <f>IFERROR(1-_xlfn.NORM.DIST(_xlfn.NORM.INV(SUM(D4:D5), 0, 1) + 1, 0, 1, TRUE), "")</f>
        <v>0.58386943192158447</v>
      </c>
      <c r="E2" s="52">
        <f>IFERROR(1-_xlfn.NORM.DIST(_xlfn.NORM.INV(SUM(E4:E5), 0, 1) + 1, 0, 1, TRUE), "")</f>
        <v>0.59904026500765561</v>
      </c>
      <c r="F2" s="52">
        <f>IFERROR(1-_xlfn.NORM.DIST(_xlfn.NORM.INV(SUM(F4:F5), 0, 1) + 1, 0, 1, TRUE), "")</f>
        <v>0.4178738712092348</v>
      </c>
      <c r="G2" s="52">
        <f>IFERROR(1-_xlfn.NORM.DIST(_xlfn.NORM.INV(SUM(G4:G5), 0, 1) + 1, 0, 1, TRUE), "")</f>
        <v>0.55338444676169551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0.30333656807841547</v>
      </c>
      <c r="D3" s="52">
        <f>IFERROR(_xlfn.NORM.DIST(_xlfn.NORM.INV(SUM(D4:D5), 0, 1) + 1, 0, 1, TRUE) - SUM(D4:D5), "")</f>
        <v>0.30333656807841547</v>
      </c>
      <c r="E3" s="52">
        <f>IFERROR(_xlfn.NORM.DIST(_xlfn.NORM.INV(SUM(E4:E5), 0, 1) + 1, 0, 1, TRUE) - SUM(E4:E5), "")</f>
        <v>0.29546763499234441</v>
      </c>
      <c r="F3" s="52">
        <f>IFERROR(_xlfn.NORM.DIST(_xlfn.NORM.INV(SUM(F4:F5), 0, 1) + 1, 0, 1, TRUE) - SUM(F4:F5), "")</f>
        <v>0.36813942879076522</v>
      </c>
      <c r="G3" s="52">
        <f>IFERROR(_xlfn.NORM.DIST(_xlfn.NORM.INV(SUM(G4:G5), 0, 1) + 1, 0, 1, TRUE) - SUM(G4:G5), "")</f>
        <v>0.31826375323830458</v>
      </c>
    </row>
    <row r="4" spans="1:15" ht="15.75" customHeight="1" x14ac:dyDescent="0.25">
      <c r="B4" s="5" t="s">
        <v>129</v>
      </c>
      <c r="C4" s="45">
        <v>9.6012400000000012E-2</v>
      </c>
      <c r="D4" s="53">
        <v>9.6012400000000012E-2</v>
      </c>
      <c r="E4" s="53">
        <v>8.0807699999999996E-2</v>
      </c>
      <c r="F4" s="53">
        <v>0.15705279999999999</v>
      </c>
      <c r="G4" s="53">
        <v>0.1019114</v>
      </c>
    </row>
    <row r="5" spans="1:15" ht="15.75" customHeight="1" x14ac:dyDescent="0.25">
      <c r="B5" s="5" t="s">
        <v>125</v>
      </c>
      <c r="C5" s="45">
        <v>1.6781600000000001E-2</v>
      </c>
      <c r="D5" s="53">
        <v>1.6781600000000001E-2</v>
      </c>
      <c r="E5" s="53">
        <v>2.4684399999999999E-2</v>
      </c>
      <c r="F5" s="53">
        <v>5.6933900000000003E-2</v>
      </c>
      <c r="G5" s="53">
        <v>2.6440399999999999E-2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0.77685468030084026</v>
      </c>
      <c r="D8" s="52">
        <f>IFERROR(1-_xlfn.NORM.DIST(_xlfn.NORM.INV(SUM(D10:D11), 0, 1) + 1, 0, 1, TRUE), "")</f>
        <v>0.77685468030084026</v>
      </c>
      <c r="E8" s="52">
        <f>IFERROR(1-_xlfn.NORM.DIST(_xlfn.NORM.INV(SUM(E10:E11), 0, 1) + 1, 0, 1, TRUE), "")</f>
        <v>0.80894052763806945</v>
      </c>
      <c r="F8" s="52">
        <f>IFERROR(1-_xlfn.NORM.DIST(_xlfn.NORM.INV(SUM(F10:F11), 0, 1) + 1, 0, 1, TRUE), "")</f>
        <v>0.92437234173385519</v>
      </c>
      <c r="G8" s="52">
        <f>IFERROR(1-_xlfn.NORM.DIST(_xlfn.NORM.INV(SUM(G10:G11), 0, 1) + 1, 0, 1, TRUE), "")</f>
        <v>0.90640630747336237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0.18407801969915977</v>
      </c>
      <c r="D9" s="52">
        <f>IFERROR(_xlfn.NORM.DIST(_xlfn.NORM.INV(SUM(D10:D11), 0, 1) + 1, 0, 1, TRUE) - SUM(D10:D11), "")</f>
        <v>0.18407801969915977</v>
      </c>
      <c r="E9" s="52">
        <f>IFERROR(_xlfn.NORM.DIST(_xlfn.NORM.INV(SUM(E10:E11), 0, 1) + 1, 0, 1, TRUE) - SUM(E10:E11), "")</f>
        <v>0.16059417236193055</v>
      </c>
      <c r="F9" s="52">
        <f>IFERROR(_xlfn.NORM.DIST(_xlfn.NORM.INV(SUM(F10:F11), 0, 1) + 1, 0, 1, TRUE) - SUM(F10:F11), "")</f>
        <v>6.8184058266144792E-2</v>
      </c>
      <c r="G9" s="52">
        <f>IFERROR(_xlfn.NORM.DIST(_xlfn.NORM.INV(SUM(G10:G11), 0, 1) + 1, 0, 1, TRUE) - SUM(G10:G11), "")</f>
        <v>8.3394692526637629E-2</v>
      </c>
    </row>
    <row r="10" spans="1:15" ht="15.75" customHeight="1" x14ac:dyDescent="0.25">
      <c r="B10" s="5" t="s">
        <v>126</v>
      </c>
      <c r="C10" s="45">
        <v>3.3972000000000002E-2</v>
      </c>
      <c r="D10" s="53">
        <v>3.3972000000000002E-2</v>
      </c>
      <c r="E10" s="53">
        <v>1.06941E-2</v>
      </c>
      <c r="F10" s="53">
        <v>7.4435999999999999E-3</v>
      </c>
      <c r="G10" s="53">
        <v>7.1650000000000004E-3</v>
      </c>
    </row>
    <row r="11" spans="1:15" ht="15.75" customHeight="1" x14ac:dyDescent="0.25">
      <c r="B11" s="5" t="s">
        <v>138</v>
      </c>
      <c r="C11" s="45">
        <v>5.0953000000000014E-3</v>
      </c>
      <c r="D11" s="53">
        <v>5.0953000000000014E-3</v>
      </c>
      <c r="E11" s="53">
        <v>1.9771199999999999E-2</v>
      </c>
      <c r="F11" s="53">
        <v>0</v>
      </c>
      <c r="G11" s="53">
        <v>3.0339999999999998E-3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0.49655583125000002</v>
      </c>
      <c r="D14" s="54">
        <v>0.47001446794099999</v>
      </c>
      <c r="E14" s="54">
        <v>0.47001446794099999</v>
      </c>
      <c r="F14" s="54">
        <v>0.21084454282599999</v>
      </c>
      <c r="G14" s="54">
        <v>0.21084454282599999</v>
      </c>
      <c r="H14" s="45">
        <v>0.19600000000000001</v>
      </c>
      <c r="I14" s="55">
        <v>0.19600000000000001</v>
      </c>
      <c r="J14" s="55">
        <v>0.19600000000000001</v>
      </c>
      <c r="K14" s="55">
        <v>0.19600000000000001</v>
      </c>
      <c r="L14" s="45">
        <v>0.14399999999999999</v>
      </c>
      <c r="M14" s="55">
        <v>0.14399999999999999</v>
      </c>
      <c r="N14" s="55">
        <v>0.14399999999999999</v>
      </c>
      <c r="O14" s="55">
        <v>0.14399999999999999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0.30338021966298123</v>
      </c>
      <c r="D15" s="52">
        <f t="shared" si="0"/>
        <v>0.28716426946344481</v>
      </c>
      <c r="E15" s="52">
        <f t="shared" si="0"/>
        <v>0.28716426946344481</v>
      </c>
      <c r="F15" s="52">
        <f t="shared" si="0"/>
        <v>0.1288194794858584</v>
      </c>
      <c r="G15" s="52">
        <f t="shared" si="0"/>
        <v>0.1288194794858584</v>
      </c>
      <c r="H15" s="52">
        <f t="shared" si="0"/>
        <v>0.11974992400000001</v>
      </c>
      <c r="I15" s="52">
        <f t="shared" si="0"/>
        <v>0.11974992400000001</v>
      </c>
      <c r="J15" s="52">
        <f t="shared" si="0"/>
        <v>0.11974992400000001</v>
      </c>
      <c r="K15" s="52">
        <f t="shared" si="0"/>
        <v>0.11974992400000001</v>
      </c>
      <c r="L15" s="52">
        <f t="shared" si="0"/>
        <v>8.7979535999999997E-2</v>
      </c>
      <c r="M15" s="52">
        <f t="shared" si="0"/>
        <v>8.7979535999999997E-2</v>
      </c>
      <c r="N15" s="52">
        <f t="shared" si="0"/>
        <v>8.7979535999999997E-2</v>
      </c>
      <c r="O15" s="52">
        <f t="shared" si="0"/>
        <v>8.7979535999999997E-2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CpaJTIA3BB7WvzGqyfwoGZOYs50duaiOO/00EtO201asnwgRWk02AOZM4SbEyWopiRBI6VKcfjkjlebjbV0lg==" saltValue="qyBtABwk4KYwxblsQA+E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0.37103969999999997</v>
      </c>
      <c r="D2" s="53">
        <v>0.23591980000000001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0.18044669999999999</v>
      </c>
      <c r="D3" s="53">
        <v>9.0277700000000002E-2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0.28596440000000001</v>
      </c>
      <c r="D4" s="53">
        <v>0.42006130000000003</v>
      </c>
      <c r="E4" s="53">
        <v>0.56871260000000001</v>
      </c>
      <c r="F4" s="53">
        <v>0.35001369999999998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0.16254920000000006</v>
      </c>
      <c r="D5" s="52">
        <f t="shared" si="0"/>
        <v>0.25374119999999989</v>
      </c>
      <c r="E5" s="52">
        <f>1-SUM(E2:E4)</f>
        <v>0.43128739999999999</v>
      </c>
      <c r="F5" s="52">
        <f>1-SUM(F2:F4)</f>
        <v>0.64998630000000002</v>
      </c>
      <c r="G5" s="52">
        <f>1-SUM(G2:G4)</f>
        <v>1</v>
      </c>
    </row>
  </sheetData>
  <sheetProtection algorithmName="SHA-512" hashValue="obr3It0A7dLk84s0NauViwMEZ7VgMtRNliqfhJvJ1zk9G6YieaxwIaJMD2QhJMztwTN7Z2u0zFHr8pXGOHnW3A==" saltValue="5p/ePy+s26+rVZ6evnHCJ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2hawjV+sDkh335sqvnKAMCY40aIMUoFILsgBWnr5wHSICla5Jv6bsj9QoSGRvO2RAChxM6pZi5rCVJgFoK+XSw==" saltValue="2PUgH1QEK7CSyug2e66RF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5714.4304884029398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0.58991000000000005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0.73199999999999998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1.812342190176422E-2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98490.743119999999</v>
      </c>
      <c r="C22" s="109">
        <v>98372.833450000006</v>
      </c>
      <c r="D22" s="109">
        <v>98225.841650000002</v>
      </c>
      <c r="E22" s="109">
        <v>98019.409790000005</v>
      </c>
      <c r="F22" s="109">
        <v>97757.886029999994</v>
      </c>
      <c r="G22" s="109">
        <v>97404.782040000006</v>
      </c>
      <c r="H22" s="109">
        <v>96848.728700000007</v>
      </c>
      <c r="I22" s="109">
        <v>95941.304990000004</v>
      </c>
      <c r="J22" s="109">
        <v>94313.526740000001</v>
      </c>
      <c r="K22" s="109">
        <v>91939.300380000001</v>
      </c>
      <c r="L22" s="109">
        <v>88620.793609999993</v>
      </c>
      <c r="M22" s="109">
        <v>83627.800470000002</v>
      </c>
      <c r="N22" s="109">
        <v>76538.746270000003</v>
      </c>
      <c r="O22" s="109">
        <v>65091.719239999999</v>
      </c>
    </row>
  </sheetData>
  <sheetProtection algorithmName="SHA-512" hashValue="PzTtylz1D3/XCypE0IgpreJIvmGpIKYgol/12dfX1kUI16VG2ifCTsLndXaCNNcvEYxjAQGbmBA8wXrT89S1CQ==" saltValue="XGK8wQd8oxezUvK8pLSzp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tJxw7TVl6g927Q5cdYTqJn9a8JOqfJ1OfP/8awy7afkBEgSCtuHwDYr2YWv53xgRtXQhvc5JW0RMEi10I+DmMg==" saltValue="GXI01qQKLlnSGGExECZDf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0H+b9Zik88gVYlzTpmjby9lvP4SSOFvDtewlpMczGHq42+855N60sv8488RjQUJkR30zfpA9pP4eo7J2vXDClA==" saltValue="vvEd4UwrNN/+OH4KWHSkX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12.008526100307062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12.008526100307062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8.8894216990788131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0.40262538382804508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14.35913960398203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14.35913960398203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14.35913960398203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14.35913960398203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14.35913960398203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14.35913960398203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2.3937511111111101E-2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0.23591980000000001</v>
      </c>
      <c r="C18" s="98">
        <v>0.95</v>
      </c>
      <c r="D18" s="56">
        <v>8.8894216990788131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0.23591980000000001</v>
      </c>
      <c r="C19" s="98">
        <v>0.95</v>
      </c>
      <c r="D19" s="56">
        <v>4.4482358424844612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8.8894216990788131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4.7648286502090178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0.69322219271638008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5.1498336745138182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11.470990276356194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0.52424380000000004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0.5944374</v>
      </c>
      <c r="C29" s="98">
        <v>0.95</v>
      </c>
      <c r="D29" s="56">
        <v>80.983006519796163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170.92419651995908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1.1057036847492325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0.93940820000000003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0.13994980000000001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2.1327200000000001E-2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0.97755639999999999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8.7485800000000002E-2</v>
      </c>
      <c r="C38" s="98">
        <v>0.95</v>
      </c>
      <c r="D38" s="56">
        <v>2.6374181166837261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9pxs9l8f6RCGvf0L/c5J0Sftl9Hw69QPRveLBqSguyVCBibPFe+hHv2HliKjx2o+Aw86SuVIJ03FhesB58Nz+Q==" saltValue="++hrkPfVfwqUg146MhLO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6agY0gly9ql4uwOLidfkdJmrfL4tWzMGqKKNkJaLltzN8K63Pe3orX5fIvlH/oQcapwGo74maCggTXfgc5avg==" saltValue="rsuIm+EMS7qj/b0DEVxgU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S3PxOgDfEfb14V4EE1JNiQA/0edg8fOCV4p/jmVRgQ0SgX9LlZkek3W03yD4c41dARAPLRYjluYU3K3g6mK+A==" saltValue="9Y2WDUGMBLSOJ50vgmJN7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8.8327200000000008E-2</v>
      </c>
      <c r="C3" s="21">
        <f>frac_mam_1_5months * 2.6</f>
        <v>8.8327200000000008E-2</v>
      </c>
      <c r="D3" s="21">
        <f>frac_mam_6_11months * 2.6</f>
        <v>2.7804660000000002E-2</v>
      </c>
      <c r="E3" s="21">
        <f>frac_mam_12_23months * 2.6</f>
        <v>1.935336E-2</v>
      </c>
      <c r="F3" s="21">
        <f>frac_mam_24_59months * 2.6</f>
        <v>1.8629000000000003E-2</v>
      </c>
    </row>
    <row r="4" spans="1:6" ht="15.75" customHeight="1" x14ac:dyDescent="0.25">
      <c r="A4" s="3" t="s">
        <v>236</v>
      </c>
      <c r="B4" s="21">
        <f>frac_sam_1month * 2.6</f>
        <v>1.3247780000000004E-2</v>
      </c>
      <c r="C4" s="21">
        <f>frac_sam_1_5months * 2.6</f>
        <v>1.3247780000000004E-2</v>
      </c>
      <c r="D4" s="21">
        <f>frac_sam_6_11months * 2.6</f>
        <v>5.1405119999999999E-2</v>
      </c>
      <c r="E4" s="21">
        <f>frac_sam_12_23months * 2.6</f>
        <v>0</v>
      </c>
      <c r="F4" s="21">
        <f>frac_sam_24_59months * 2.6</f>
        <v>7.8884000000000003E-3</v>
      </c>
    </row>
  </sheetData>
  <sheetProtection algorithmName="SHA-512" hashValue="USPgFmCPPXwsAkG4jRaMFAHf4fLTvsaLcrvNMwcJJXxSdyJ7ocefZ5au4gEjLOy/CbvS6pRcYn+3vhkAXvhjnw==" saltValue="9tTAUoyby1HfiU8qpmpkl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0.39600000000000002</v>
      </c>
      <c r="M24" s="60">
        <f>famplan_unmet_need</f>
        <v>0.39600000000000002</v>
      </c>
      <c r="N24" s="60">
        <f>famplan_unmet_need</f>
        <v>0.39600000000000002</v>
      </c>
      <c r="O24" s="60">
        <f>famplan_unmet_need</f>
        <v>0.39600000000000002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0.10965028540878287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4.6992979460906942E-2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6.551425160980219E-2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0.777842483520508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I3AjFeKpmDkMmatNCwfd6KiYgnnx15CPq7Q5GZDNUBuzv+KybOLxQ7YwKiFPAYBb6CzmkQ8Qtyj2twriqwZXg==" saltValue="P6QYoeWzi9cuUsjLGYZP4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oDL49ZJwNDEQaQEBxVjmiU4tGPhPh0uyUZ7QTM1UB0qqI1Q+NMEDGf9bJaH6kUObLFIiihDziMfzcgQdieUEPg==" saltValue="xE2SXhmsQufkyFinB8lgc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O9I2+tIEd+sO74k0hc1aYmIuyHB5QyQJdrzLFf0GLCqvRCZNwH3ks0YfEtO2yj01u0LyjJVEFzN8lZxKGkOqA==" saltValue="NcpQwvZ9qu32uLCAKkHdq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65dAIHgxgENL2htWwERLljbZXjHSAl7GeYzX8ScK/YRS8tSzMpj8tyBdtmZM0gtgOW3S7wQEGj8DPKjWK+2oOQ==" saltValue="DB6aXqL44q8AtoLVMB79s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x/2HKO5xbObhfGD6OUGgvQCl3ZCo2KAhdLPP/KNj1yesUd/+xxXbrH7HfH569QKCswin6KMesrUmaO9F9n8eig==" saltValue="elYnkbJAyJDfZMFAhrJVP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CugBUsPqGk49NaSaxUUhPQ3FEEcL7hWjAyD5QfjHgYONUIGauibqpLiOqf8cAMZE2NfbR4IZOET7fWmaIQgrqw==" saltValue="FUpe0/4gDdS+lTfvpwecd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8AiYv/0zMOuYXKeT06MCKjKnH4ky8jiZjWIA6ceM7ChUi12Y1NKZR77PyN8Glra1a/lT9TeiJ9+Pm9szq7h5g==" saltValue="47VuvvgGMMJZeEJrhJA46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HXA5VhTrAwgHs3AGVMx1h0RSNXdicpxRDgNa+zwThYDMP0W9OrwCcDi/2mCwu0f0ax8S7CIkIGDT8tsQs5wlEA==" saltValue="5e4O6rmaA5MKPD9yldVJ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kzAKWNb1O02vdxyScDnKZvsYAF19z56kBX1rlYn9PX9mRBe6M5KNuq2hcyJ6J1KpGYRPw+4VWxZ0lPWWcVj/Pg==" saltValue="LlBsjo/rtI2zh6OPlgWY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yn4o1dcagMQKbf5X+BvPZ/DtvtVOoCZo7qIzGHqPllFOp4jigBOyHAQcYsrMIYICD6YDePnREFfxKnu8OX6vw==" saltValue="jm04mzVDgb/YxKTvrDN1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iSF3zzd9NuVq/fz7fySrvrzL8v9jzzfmOSyur4UyTmTrWXLLDI23P5polAvpkPj2qnoltlL8P1CXRfC0CQOOQ==" saltValue="QYiF2in/RtuocDgPq0F9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xjJ5YwWJEml74+y27sAhL27h19EFpJ+KAe8H0ZBAT1XI9M6Yo+FUmyNvLihnsKTlQgLSgGrKyv3x8a2aSAZNw==" saltValue="q39uNrHjP0QhmMNiw1mU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jGDx2AbjI8qYjXqnJmOLNyB/LUSx0zoE4b7XfwFGiy6BSQpVjojY0UJwMHmn0EHNNRhHo4HrJjEO8UTmFTn1+g==" saltValue="l7PnDwxg1ugwtbFRI73tp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oDQ3qtFZii2aJIGrOLusmcoNP5hqhPxybJqX+dLYKCe0zZrHEvWjM8j8fqiMSze3yQAHDWH2DzUjAy/SIBAXA==" saltValue="rDh3Vu0CovOx8RKv+j4G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8oxEi0iWq3HY/leeAHJoGSwHtKadIu22GNBkZ+OipS1qNtna7c7Dv15Qs5EeGw+H+VE1W+Dj9e1mXFqhpq2TCg==" saltValue="mOMTXxcPLCNzBwkxc98Ad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2025-07-04T01:54:16Z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