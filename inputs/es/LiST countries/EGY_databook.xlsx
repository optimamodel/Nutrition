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BD930D38-2E7A-49DA-9C6C-6D81D4B3EECB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A25" i="2"/>
  <c r="A26" i="2"/>
  <c r="I4" i="2"/>
  <c r="I8" i="2"/>
  <c r="I12" i="2"/>
  <c r="A36" i="2"/>
  <c r="I9" i="2"/>
  <c r="I13" i="2"/>
  <c r="A31" i="2"/>
  <c r="A34" i="2"/>
  <c r="A40" i="2"/>
  <c r="I2" i="2"/>
  <c r="I6" i="2"/>
  <c r="A19" i="2"/>
  <c r="A35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<sst xmlns="http://schemas.openxmlformats.org/spreadsheetml/2006/main" count="2159" uniqueCount="372">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</sst>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12098898</v>
      </c>
    </row>
    <row r="8" spans="1:3" ht="15" customHeight="1" x14ac:dyDescent="0.25">
      <c r="B8" s="5" t="s">
        <v>63</v>
      </c>
      <c r="C8" s="44">
        <v>0.29699999999999999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0.83125110000000002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0.1125</v>
      </c>
    </row>
    <row r="24" spans="1:3" ht="15" customHeight="1" x14ac:dyDescent="0.25">
      <c r="B24" s="15" t="s">
        <v>65</v>
      </c>
      <c r="C24" s="45">
        <v>0.58400000000000007</v>
      </c>
    </row>
    <row r="25" spans="1:3" ht="15" customHeight="1" x14ac:dyDescent="0.25">
      <c r="B25" s="15" t="s">
        <v>66</v>
      </c>
      <c r="C25" s="45">
        <v>0.28139999999999998</v>
      </c>
    </row>
    <row r="26" spans="1:3" ht="15" customHeight="1" x14ac:dyDescent="0.25">
      <c r="B26" s="15" t="s">
        <v>67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0.31611757185067002</v>
      </c>
    </row>
    <row r="30" spans="1:3" ht="14.25" customHeight="1" x14ac:dyDescent="0.25">
      <c r="B30" s="25" t="s">
        <v>82</v>
      </c>
      <c r="C30" s="99">
        <v>5.6193137427978712E-2</v>
      </c>
    </row>
    <row r="31" spans="1:3" ht="14.25" customHeight="1" x14ac:dyDescent="0.25">
      <c r="B31" s="25" t="s">
        <v>29</v>
      </c>
      <c r="C31" s="99">
        <v>7.8032026225336698E-2</v>
      </c>
    </row>
    <row r="32" spans="1:3" ht="14.25" customHeight="1" x14ac:dyDescent="0.25">
      <c r="B32" s="25" t="s">
        <v>30</v>
      </c>
      <c r="C32" s="99">
        <v>0.54965726449601493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10.021610000000001</v>
      </c>
    </row>
    <row r="38" spans="1:5" ht="15" customHeight="1" x14ac:dyDescent="0.25">
      <c r="B38" s="11" t="s">
        <v>54</v>
      </c>
      <c r="C38" s="43">
        <v>16.233989999999999</v>
      </c>
      <c r="D38" s="12"/>
      <c r="E38" s="13"/>
    </row>
    <row r="39" spans="1:5" ht="15" customHeight="1" x14ac:dyDescent="0.25">
      <c r="B39" s="11" t="s">
        <v>80</v>
      </c>
      <c r="C39" s="43">
        <v>18.957830000000001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7.4682999999999998E-3</v>
      </c>
      <c r="D45" s="12"/>
    </row>
    <row r="46" spans="1:5" ht="15.75" customHeight="1" x14ac:dyDescent="0.25">
      <c r="B46" s="11" t="s">
        <v>70</v>
      </c>
      <c r="C46" s="45">
        <v>8.0245599999999986E-2</v>
      </c>
      <c r="D46" s="12"/>
    </row>
    <row r="47" spans="1:5" ht="15.75" customHeight="1" x14ac:dyDescent="0.25">
      <c r="B47" s="11" t="s">
        <v>78</v>
      </c>
      <c r="C47" s="45">
        <v>7.3898599999999995E-2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4.2119999999999997</v>
      </c>
      <c r="D51" s="12"/>
    </row>
    <row r="52" spans="1:4" ht="15" customHeight="1" x14ac:dyDescent="0.25">
      <c r="B52" s="11" t="s">
        <v>32</v>
      </c>
      <c r="C52" s="100">
        <v>4.2119999999999997</v>
      </c>
    </row>
    <row r="53" spans="1:4" ht="15.75" customHeight="1" x14ac:dyDescent="0.25">
      <c r="B53" s="11" t="s">
        <v>35</v>
      </c>
      <c r="C53" s="100">
        <v>6.7859999999999996</v>
      </c>
    </row>
    <row r="54" spans="1:4" ht="15.75" customHeight="1" x14ac:dyDescent="0.25">
      <c r="B54" s="11" t="s">
        <v>33</v>
      </c>
      <c r="C54" s="100">
        <v>5.3560000000000008</v>
      </c>
    </row>
    <row r="55" spans="1:4" ht="15.75" customHeight="1" x14ac:dyDescent="0.25">
      <c r="B55" s="11" t="s">
        <v>34</v>
      </c>
      <c r="C55" s="100">
        <v>2.2359999999999989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0.59136299999999997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ZwEkz0+YbO/2HXfDYqBetDyoTqu/AoU3cSfqipblJQ5yaLcNgtGHUVVB1VJ5a9xIMHuxeELg1oavq4vKqhBn0A==" saltValue="Ae20yvgwKa7iC7tZiAc/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ol0XVMdX6xxCXdw0MKWhLydFs2sE/KPq+Z7eh5+r8SXpFmFWTruo8r6I8NFk54sNVjitsS0lv8fOAxExIK4gQ==" saltValue="4Ho2UREbT0RJWP3dUPS3x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1.3478998652100139E-3</v>
      </c>
    </row>
    <row r="4" spans="1:8" ht="15.75" customHeight="1" x14ac:dyDescent="0.25">
      <c r="B4" s="19" t="s">
        <v>116</v>
      </c>
      <c r="C4" s="101">
        <v>4.0791195920880458E-2</v>
      </c>
    </row>
    <row r="5" spans="1:8" ht="15.75" customHeight="1" x14ac:dyDescent="0.25">
      <c r="B5" s="19" t="s">
        <v>114</v>
      </c>
      <c r="C5" s="101">
        <v>1.6696498330350171E-2</v>
      </c>
    </row>
    <row r="6" spans="1:8" ht="15.75" customHeight="1" x14ac:dyDescent="0.25">
      <c r="B6" s="19" t="s">
        <v>110</v>
      </c>
      <c r="C6" s="101">
        <v>0.17240298275970181</v>
      </c>
    </row>
    <row r="7" spans="1:8" ht="15.75" customHeight="1" x14ac:dyDescent="0.25">
      <c r="B7" s="19" t="s">
        <v>115</v>
      </c>
      <c r="C7" s="101">
        <v>0.47297665270233391</v>
      </c>
    </row>
    <row r="8" spans="1:8" ht="15.75" customHeight="1" x14ac:dyDescent="0.25">
      <c r="B8" s="19" t="s">
        <v>117</v>
      </c>
      <c r="C8" s="101">
        <v>1.5819998418000169E-4</v>
      </c>
    </row>
    <row r="9" spans="1:8" ht="15.75" customHeight="1" x14ac:dyDescent="0.25">
      <c r="B9" s="19" t="s">
        <v>111</v>
      </c>
      <c r="C9" s="101">
        <v>0.23270537672946309</v>
      </c>
    </row>
    <row r="10" spans="1:8" ht="15.75" customHeight="1" x14ac:dyDescent="0.25">
      <c r="B10" s="19" t="s">
        <v>113</v>
      </c>
      <c r="C10" s="101">
        <v>6.2921193707880657E-2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121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2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109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98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107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118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2.7001540000000001E-2</v>
      </c>
    </row>
    <row r="27" spans="1:8" ht="15.75" customHeight="1" x14ac:dyDescent="0.25">
      <c r="B27" s="19" t="s">
        <v>108</v>
      </c>
      <c r="C27" s="101">
        <v>1.6281780999999999E-2</v>
      </c>
    </row>
    <row r="28" spans="1:8" ht="15.75" customHeight="1" x14ac:dyDescent="0.25">
      <c r="B28" s="19" t="s">
        <v>122</v>
      </c>
      <c r="C28" s="101">
        <v>0.425831776</v>
      </c>
    </row>
    <row r="29" spans="1:8" ht="15.75" customHeight="1" x14ac:dyDescent="0.25">
      <c r="B29" s="19" t="s">
        <v>105</v>
      </c>
      <c r="C29" s="101">
        <v>0.19528870200000001</v>
      </c>
    </row>
    <row r="30" spans="1:8" ht="15.75" customHeight="1" x14ac:dyDescent="0.25">
      <c r="B30" s="19" t="s">
        <v>4</v>
      </c>
      <c r="C30" s="101">
        <v>4.8735185E-2</v>
      </c>
    </row>
    <row r="31" spans="1:8" ht="15.75" customHeight="1" x14ac:dyDescent="0.25">
      <c r="B31" s="19" t="s">
        <v>99</v>
      </c>
      <c r="C31" s="101">
        <v>2.3526106000000001E-2</v>
      </c>
    </row>
    <row r="32" spans="1:8" ht="15.75" customHeight="1" x14ac:dyDescent="0.25">
      <c r="B32" s="19" t="s">
        <v>104</v>
      </c>
      <c r="C32" s="101">
        <v>7.7799310000000003E-3</v>
      </c>
    </row>
    <row r="33" spans="2:3" ht="15.75" customHeight="1" x14ac:dyDescent="0.25">
      <c r="B33" s="19" t="s">
        <v>119</v>
      </c>
      <c r="C33" s="101">
        <v>0.13107344500000001</v>
      </c>
    </row>
    <row r="34" spans="2:3" ht="15.75" customHeight="1" x14ac:dyDescent="0.25">
      <c r="B34" s="19" t="s">
        <v>106</v>
      </c>
      <c r="C34" s="101">
        <v>0.124481534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aTdYQ4mTniafPPhgfmYpGL+wtXJGGAp7zUSW08Bn3AZPm6EWOZya3rgZkOD4I9hiCytlcK75xIIH7tLySYl4XQ==" saltValue="I6So5gmwztdSN94Q5z7h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129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125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126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138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dGeB2Cm0y3pq0YHdqu/3/sSB1lpngkjKpJus9kwcrzT9reZiNxS1xQHXbSj8NuZDWxbCJugkNS4+Cc4h1ca/w==" saltValue="FzLksKzkqAVJku0WrPxS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HnOr7BkRn6CjvZelawE1iK2BptB24at04cHXsET15k+Wbt2AxBWgp3cEq1qH8oVem6iD0Up1M9Stx3jTSwWEMQ==" saltValue="DdrqT1staI0rC7vRr5xI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d/My0cuIb/BvXumOXkB5zVe/NefTgSMWpk7IdH7FuoJTd5WjfZcLiTiTDwhnCbWHX+Y2V/1nvjqVUU0YPXKGQ==" saltValue="eSaAKkRpla6O/YP7P9Lw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4295.4074956101404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0.41764000000000001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0.17492999999999997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1.568345529233019E-2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97936.726179999998</v>
      </c>
      <c r="C22" s="109">
        <v>97718.475349999993</v>
      </c>
      <c r="D22" s="109">
        <v>97515.524650000007</v>
      </c>
      <c r="E22" s="109">
        <v>97145.710550000003</v>
      </c>
      <c r="F22" s="109">
        <v>96749.700570000001</v>
      </c>
      <c r="G22" s="109">
        <v>96325.239079999999</v>
      </c>
      <c r="H22" s="109">
        <v>95766.170440000002</v>
      </c>
      <c r="I22" s="109">
        <v>95017.260980000006</v>
      </c>
      <c r="J22" s="109">
        <v>93922.382710000005</v>
      </c>
      <c r="K22" s="109">
        <v>92171.839460000003</v>
      </c>
      <c r="L22" s="109">
        <v>88832.398679999998</v>
      </c>
      <c r="M22" s="109">
        <v>83161.487110000002</v>
      </c>
      <c r="N22" s="109">
        <v>74768.493459999998</v>
      </c>
      <c r="O22" s="109">
        <v>62809.357459999999</v>
      </c>
    </row>
  </sheetData>
  <sheetProtection algorithmName="SHA-512" hashValue="2IZFeDaTOrB9wKEuztVFMBvF9z3FpbUwL54QP7pEVhLGhzNu6pWxod3ixfJ8X1PxCB6LfgTMfYHioNEzj3iAuA==" saltValue="vuDX2YNm8cgoweY6nXGe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tLkLIqIXynVnV9tTQMFXQg0dNL/1jorbaNcw9w2+gbmVTvon/q9kl6ljAEJYAhenRXKbaNh4u6F2PgQC1S5+w==" saltValue="aLyn/mICrgJjtcVVSECcj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e7ZMJgY70UkhxQ+jwoOuk8+17Tv9XAZPXNi6xD8SLmPrvCVegsl92dkkQSb220QTS3HocggV8BTdva/IoTI4w==" saltValue="3ahvuFLjBx1r1Jz+qAsN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0.36073490000000002</v>
      </c>
      <c r="C10" s="98">
        <v>0.95</v>
      </c>
      <c r="D10" s="56">
        <v>12.9171902178847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12.9171902178847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12.9171902178847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12.9171902178847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0.36073490000000002</v>
      </c>
      <c r="C14" s="98">
        <v>0.95</v>
      </c>
      <c r="D14" s="56">
        <v>12.9171902178847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12.9171902178847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0.81099999999999994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0.35294160000000002</v>
      </c>
      <c r="C19" s="98">
        <v>0.95</v>
      </c>
      <c r="D19" s="56">
        <v>8.03774489307912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4.2199693960316731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0.62012901654384001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0.28365869999999999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0.34690110000000002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0.68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0.89830929999999998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0.35698020000000003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9.7485000000000002E-2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0.98693050000000004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5.0000000000000001E-3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vOYQrHQfR1v3FZxyRO8oyaLCOR/Ml2BwGPjNL64uLi2VaH2/zzNjLo2ZyUAVu7ajk1R5jlVCjGZPmdvHkaxTKg==" saltValue="aYQOoTNq8unIiAgEXO+E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mvlM+c4qHv3CHmSsHJLikhofQvkngbe7iR0VRE6QJIGet49mKPq0qxtpjYrM31d3MM4qluDcvWOsr8XPZwwrg==" saltValue="FaASa9AX7cKvx52zijTJ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PkFw0Xk97ikuRzJl7stw/Ed2WFPdV+/cBnrbVb1eZycfaZ/j6qdyCfrnulujyxrQkhVnhDhcPm/hQ8AygwCxA==" saltValue="RdEy+swcuFLNbcf2cMKD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4.2119999999999997</v>
      </c>
      <c r="C2" s="21">
        <f>'Entradas de población-año base'!C52</f>
        <v>4.2119999999999997</v>
      </c>
      <c r="D2" s="21">
        <f>'Entradas de población-año base'!C53</f>
        <v>6.7859999999999996</v>
      </c>
      <c r="E2" s="21">
        <f>'Entradas de población-año base'!C54</f>
        <v>5.3560000000000008</v>
      </c>
      <c r="F2" s="21">
        <f>'Entradas de población-año base'!C55</f>
        <v>2.2359999999999989</v>
      </c>
    </row>
    <row r="3" spans="1:6" ht="15.75" customHeight="1" x14ac:dyDescent="0.25">
      <c r="A3" s="3" t="s">
        <v>6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236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b0NfS1I7lxXJiDBbeI4PFjtIN4t2mWqh+N5/u9FYFuNWQLYR+ajMdegpSD3bXvsdrSM7CF5DSGhYpPIDQfOajw==" saltValue="+C9bI0hgvClLfvZlWTar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CnbiU4xOAJUGP/KLKegKlMn1Xhd1ho42MaDN449ZRDCQ4j2BJFzbvCRuTx1ChXPIpumdRJaDWGbj2Er56oXfw==" saltValue="iweA6ys0Li3Z/uWB0S44O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rLYMp5me1r1pIubb+miEl5AUv0Yy8nEeKsAf438fbaH5M0GLdfACr8fD5vzyWcb7Jmgn+0aAeEM5RI2GiI+pA==" saltValue="Ayz+aX6OA4UMcl5nE8wk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/uS8HuHLl6KtXiPqvhtNe5iZq3atl/JOTJhKtgSVkFzQHGwbc9jT0bTAQcDo/9fYDiqgMBIcLdcQZZMsKvMLA==" saltValue="hw21RCGQ9azW0CG0Pq42S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mWpbEVNEbOp+aLPHUVxfQBdAc8oilaAQNtCFhFioDMIDyZn3v7mugT8f/a/YJ4iZl+L5On0hrbJscTSUEw+Vw==" saltValue="gl7+h35DImt4mNxY4JIx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MKyE5NyXXXPItoEX4+2OH25+85ctpFzzs2t7wx4qZN5x9T5uaGzXnG1b6IOfa1aHJBqDWWvUQ7Fqge/nKc4o0A==" saltValue="gtbaiFy5YsyMMUmQQdbu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bGx6DYN8nR1Zdw4lrFITRtMbE3LuESUb002Jso/cuUel9/XpU9b81uBFhtgdxh8f48pGS3fzDkdwBhkqhpqwA==" saltValue="yyNAXZKIl5AXF3+zS3wm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W7GuJ9sQyZmLCXQvI+50sDrkNvxnwxhL7pzQFpK3Y0mI9ZYQTjccxTER8r9FemOC99gCdcxDtc92m+qwW+FNQ==" saltValue="1jThSziVleM4GAWX/O1tu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Mq8UckxG77Tv8W0Qm9f5fxSKpoiJjWTrz8gsYjfUNWx3QRO4qUDsUii63qtywFZ3DzAbnDTTyKInuiJQ2rKPA==" saltValue="HtM6BES5ZLTlOi2bpyPU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nKKDVOKpD0MFMSEAwH7Zlqf9aMGcW6vMWy/IneKPtnTgoSTI1ZxNLKIXrywq21aQFxzzRd0FAEea8peAFQ7Jw==" saltValue="Ps4kbqOeW6d+39Gpo1mQ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Dv4De6H7d/T3cnN+YEmH39cBF/I3n63XyOVGC6EIkmD79J5H1471fslIRmftZN/g7VLIZF9JTHQEvyPsLNllw==" saltValue="cNDZUTZGwqp8P7N3TTSA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b2rGl5Oe8t3XHfhSfebfFKxwiAlhZEzKgdqzWFoyLrYugm2+0EodEcWzxFR7ugNkNlU2KesrkqyZXJVil1A2Q==" saltValue="BACHlOJwVf4tC2K8TcNZ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4tu9DbRS0RzN+B/tTiuB0VmYnHkX/Lbieu8UC3mlwdSzRxdXZN/e8vJMJiedCBxlKqt3w5ohWw+zO+muA14Fg==" saltValue="1zVCTEGWnjkwLE9KNPRv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A590GyVzgI2/H2V07dmNYCu1QaOI1IqesCU8+ElRYH6sRoATmGSjGeI1entFZAvT5ij0Orv6nYOWYR3GXjuvA==" saltValue="oF6DHr28uslL2Zel4L2L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Dw4eKHSWmM8G1rtZBpnWf1YaBv2N+y5LX6BprDUGDe0uhT0E+QM0G6nLTveJGgvnJM2enqFhrio76gUPWaojw==" saltValue="AIcEQOQgHE8zHumTddco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XCb3bgU6PhZM2c/KS4odm0vroEhpRKA4vUCQRDDRAMtH72xmpdhQY4Dn45CEkcwPzU9xzAhvU/Yh2NlVVQpfQ==" saltValue="1ZXNRQWWhgwiDuWdP0Q1E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