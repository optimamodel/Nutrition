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DDAE274E-04EF-4CC1-AC37-8FADEA775FA5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<sst xmlns="http://schemas.openxmlformats.org/spreadsheetml/2006/main" count="2102" uniqueCount="341">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</sst>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12111111.25</v>
      </c>
    </row>
    <row r="8" spans="1:3" ht="15" customHeight="1" x14ac:dyDescent="0.25">
      <c r="B8" s="5" t="s">
        <v>44</v>
      </c>
      <c r="C8" s="44">
        <v>3.2000000000000001E-2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0.81604232788085895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0.2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0.1125</v>
      </c>
    </row>
    <row r="24" spans="1:3" ht="15" customHeight="1" x14ac:dyDescent="0.25">
      <c r="B24" s="15" t="s">
        <v>46</v>
      </c>
      <c r="C24" s="45">
        <v>0.58400000000000007</v>
      </c>
    </row>
    <row r="25" spans="1:3" ht="15" customHeight="1" x14ac:dyDescent="0.25">
      <c r="B25" s="15" t="s">
        <v>47</v>
      </c>
      <c r="C25" s="45">
        <v>0.28139999999999998</v>
      </c>
    </row>
    <row r="26" spans="1:3" ht="15" customHeight="1" x14ac:dyDescent="0.25">
      <c r="B26" s="15" t="s">
        <v>48</v>
      </c>
      <c r="C26" s="45">
        <v>2.2100000000000002E-2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0.31611757185067002</v>
      </c>
    </row>
    <row r="30" spans="1:3" ht="14.25" customHeight="1" x14ac:dyDescent="0.25">
      <c r="B30" s="25" t="s">
        <v>63</v>
      </c>
      <c r="C30" s="99">
        <v>5.6193137427978712E-2</v>
      </c>
    </row>
    <row r="31" spans="1:3" ht="14.25" customHeight="1" x14ac:dyDescent="0.25">
      <c r="B31" s="25" t="s">
        <v>10</v>
      </c>
      <c r="C31" s="99">
        <v>7.8032026225336698E-2</v>
      </c>
    </row>
    <row r="32" spans="1:3" ht="14.25" customHeight="1" x14ac:dyDescent="0.25">
      <c r="B32" s="25" t="s">
        <v>11</v>
      </c>
      <c r="C32" s="99">
        <v>0.54965726449601493</v>
      </c>
    </row>
    <row r="33" spans="1:5" ht="13" customHeight="1" x14ac:dyDescent="0.25">
      <c r="B33" s="27" t="s">
        <v>60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10.021610000000001</v>
      </c>
    </row>
    <row r="38" spans="1:5" ht="15" customHeight="1" x14ac:dyDescent="0.25">
      <c r="B38" s="11" t="s">
        <v>35</v>
      </c>
      <c r="C38" s="43">
        <v>16.233989999999999</v>
      </c>
      <c r="D38" s="12"/>
      <c r="E38" s="13"/>
    </row>
    <row r="39" spans="1:5" ht="15" customHeight="1" x14ac:dyDescent="0.25">
      <c r="B39" s="11" t="s">
        <v>61</v>
      </c>
      <c r="C39" s="43">
        <v>18.957830000000001</v>
      </c>
      <c r="D39" s="12"/>
      <c r="E39" s="12"/>
    </row>
    <row r="40" spans="1:5" ht="15" customHeight="1" x14ac:dyDescent="0.25">
      <c r="B40" s="11" t="s">
        <v>36</v>
      </c>
      <c r="C40" s="100">
        <v>0.17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9.19496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7.4682999999999998E-3</v>
      </c>
      <c r="D45" s="12"/>
    </row>
    <row r="46" spans="1:5" ht="15.75" customHeight="1" x14ac:dyDescent="0.25">
      <c r="B46" s="11" t="s">
        <v>51</v>
      </c>
      <c r="C46" s="45">
        <v>8.0245599999999986E-2</v>
      </c>
      <c r="D46" s="12"/>
    </row>
    <row r="47" spans="1:5" ht="15.75" customHeight="1" x14ac:dyDescent="0.25">
      <c r="B47" s="11" t="s">
        <v>59</v>
      </c>
      <c r="C47" s="45">
        <v>7.3898599999999995E-2</v>
      </c>
      <c r="D47" s="12"/>
      <c r="E47" s="13"/>
    </row>
    <row r="48" spans="1:5" ht="15" customHeight="1" x14ac:dyDescent="0.25">
      <c r="B48" s="11" t="s">
        <v>58</v>
      </c>
      <c r="C48" s="46">
        <v>0.83838750000000006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2.9</v>
      </c>
      <c r="D51" s="12"/>
    </row>
    <row r="52" spans="1:4" ht="15" customHeight="1" x14ac:dyDescent="0.25">
      <c r="B52" s="11" t="s">
        <v>13</v>
      </c>
      <c r="C52" s="100">
        <v>2.9</v>
      </c>
    </row>
    <row r="53" spans="1:4" ht="15.75" customHeight="1" x14ac:dyDescent="0.25">
      <c r="B53" s="11" t="s">
        <v>16</v>
      </c>
      <c r="C53" s="100">
        <v>2.9</v>
      </c>
    </row>
    <row r="54" spans="1:4" ht="15.75" customHeight="1" x14ac:dyDescent="0.25">
      <c r="B54" s="11" t="s">
        <v>14</v>
      </c>
      <c r="C54" s="100">
        <v>2.9</v>
      </c>
    </row>
    <row r="55" spans="1:4" ht="15.75" customHeight="1" x14ac:dyDescent="0.25">
      <c r="B55" s="11" t="s">
        <v>15</v>
      </c>
      <c r="C55" s="100">
        <v>2.9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2.0689655172413789E-2</v>
      </c>
    </row>
    <row r="59" spans="1:4" ht="15.75" customHeight="1" x14ac:dyDescent="0.25">
      <c r="B59" s="11" t="s">
        <v>40</v>
      </c>
      <c r="C59" s="45">
        <v>0.59136299999999997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NQ0Zqoo9GXkUyIG8Ai1IlKZADJ+iOO4xyFxccRhT4QPAAbUrRjgcveJ0t/W+8LiNvHTr4bOokPQm15QIVPihsg==" saltValue="wWpMnZXQDu8iOkVnN0MS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2448253</v>
      </c>
      <c r="C2" s="49">
        <v>6094296.5</v>
      </c>
      <c r="D2" s="49">
        <v>8827032</v>
      </c>
      <c r="E2" s="49">
        <v>8318903</v>
      </c>
      <c r="F2" s="49">
        <v>5878256.5</v>
      </c>
      <c r="G2" s="17">
        <f t="shared" ref="G2:G13" si="0">C2+D2+E2+F2</f>
        <v>29118488</v>
      </c>
      <c r="H2" s="17">
        <f t="shared" ref="H2:H13" si="1">(B2 + stillbirth*B2/(1000-stillbirth))/(1-abortion)</f>
        <v>2807924.4346780693</v>
      </c>
      <c r="I2" s="17">
        <f t="shared" ref="I2:I13" si="2">G2-H2</f>
        <v>26310563.56532193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2450490</v>
      </c>
      <c r="C3" s="50">
        <v>6276160.5</v>
      </c>
      <c r="D3" s="50">
        <v>8938211</v>
      </c>
      <c r="E3" s="50">
        <v>8353224.5</v>
      </c>
      <c r="F3" s="50">
        <v>6083079</v>
      </c>
      <c r="G3" s="17">
        <f t="shared" si="0"/>
        <v>29650675</v>
      </c>
      <c r="H3" s="17">
        <f t="shared" si="1"/>
        <v>2810490.0710564889</v>
      </c>
      <c r="I3" s="17">
        <f t="shared" si="2"/>
        <v>26840184.928943511</v>
      </c>
    </row>
    <row r="4" spans="1:9" ht="15.75" customHeight="1" x14ac:dyDescent="0.25">
      <c r="A4" s="5">
        <f t="shared" si="3"/>
        <v>2026</v>
      </c>
      <c r="B4" s="49">
        <v>2459857</v>
      </c>
      <c r="C4" s="50">
        <v>6485555.5</v>
      </c>
      <c r="D4" s="50">
        <v>9065832</v>
      </c>
      <c r="E4" s="50">
        <v>8369424.5</v>
      </c>
      <c r="F4" s="50">
        <v>6286814</v>
      </c>
      <c r="G4" s="17">
        <f t="shared" si="0"/>
        <v>30207626</v>
      </c>
      <c r="H4" s="17">
        <f t="shared" si="1"/>
        <v>2821233.1716182483</v>
      </c>
      <c r="I4" s="17">
        <f t="shared" si="2"/>
        <v>27386392.828381751</v>
      </c>
    </row>
    <row r="5" spans="1:9" ht="15.75" customHeight="1" x14ac:dyDescent="0.25">
      <c r="A5" s="5">
        <f t="shared" si="3"/>
        <v>2027</v>
      </c>
      <c r="B5" s="49">
        <v>2468921</v>
      </c>
      <c r="C5" s="50">
        <v>6724670.4999999991</v>
      </c>
      <c r="D5" s="50">
        <v>9210190</v>
      </c>
      <c r="E5" s="50">
        <v>8376614.0000000009</v>
      </c>
      <c r="F5" s="50">
        <v>6488086</v>
      </c>
      <c r="G5" s="17">
        <f t="shared" si="0"/>
        <v>30799560.5</v>
      </c>
      <c r="H5" s="17">
        <f t="shared" si="1"/>
        <v>2831628.7586249518</v>
      </c>
      <c r="I5" s="17">
        <f t="shared" si="2"/>
        <v>27967931.741375048</v>
      </c>
    </row>
    <row r="6" spans="1:9" ht="15.75" customHeight="1" x14ac:dyDescent="0.25">
      <c r="A6" s="5">
        <f t="shared" si="3"/>
        <v>2028</v>
      </c>
      <c r="B6" s="49">
        <v>2476884</v>
      </c>
      <c r="C6" s="50">
        <v>6977941.5000000009</v>
      </c>
      <c r="D6" s="50">
        <v>9366249</v>
      </c>
      <c r="E6" s="50">
        <v>8386880</v>
      </c>
      <c r="F6" s="50">
        <v>6679897</v>
      </c>
      <c r="G6" s="17">
        <f t="shared" si="0"/>
        <v>31410967.5</v>
      </c>
      <c r="H6" s="17">
        <f t="shared" si="1"/>
        <v>2840761.5983573408</v>
      </c>
      <c r="I6" s="17">
        <f t="shared" si="2"/>
        <v>28570205.901642658</v>
      </c>
    </row>
    <row r="7" spans="1:9" ht="15.75" customHeight="1" x14ac:dyDescent="0.25">
      <c r="A7" s="5">
        <f t="shared" si="3"/>
        <v>2029</v>
      </c>
      <c r="B7" s="49">
        <v>2494652</v>
      </c>
      <c r="C7" s="50">
        <v>7229373.5000000009</v>
      </c>
      <c r="D7" s="50">
        <v>9533625.5</v>
      </c>
      <c r="E7" s="50">
        <v>8408895.5</v>
      </c>
      <c r="F7" s="50">
        <v>6854738</v>
      </c>
      <c r="G7" s="17">
        <f t="shared" si="0"/>
        <v>32026632.5</v>
      </c>
      <c r="H7" s="17">
        <f t="shared" si="1"/>
        <v>2861139.8849786012</v>
      </c>
      <c r="I7" s="17">
        <f t="shared" si="2"/>
        <v>29165492.6150214</v>
      </c>
    </row>
    <row r="8" spans="1:9" ht="15.75" customHeight="1" x14ac:dyDescent="0.25">
      <c r="A8" s="5">
        <f t="shared" si="3"/>
        <v>2030</v>
      </c>
      <c r="B8" s="49">
        <v>2504688</v>
      </c>
      <c r="C8" s="50">
        <v>7406688.5</v>
      </c>
      <c r="D8" s="50">
        <v>9736541</v>
      </c>
      <c r="E8" s="50">
        <v>8446853.5</v>
      </c>
      <c r="F8" s="50">
        <v>7007209</v>
      </c>
      <c r="G8" s="17">
        <f t="shared" si="0"/>
        <v>32597292</v>
      </c>
      <c r="H8" s="17">
        <f t="shared" si="1"/>
        <v>2872650.2679440985</v>
      </c>
      <c r="I8" s="17">
        <f t="shared" si="2"/>
        <v>29724641.732055902</v>
      </c>
    </row>
    <row r="9" spans="1:9" ht="15.75" customHeight="1" x14ac:dyDescent="0.25">
      <c r="A9" s="5">
        <f t="shared" si="3"/>
        <v>2031</v>
      </c>
      <c r="B9" s="49">
        <v>2528307</v>
      </c>
      <c r="C9" s="50">
        <v>7494790.0000000009</v>
      </c>
      <c r="D9" s="50">
        <v>9974220</v>
      </c>
      <c r="E9" s="50">
        <v>8506431</v>
      </c>
      <c r="F9" s="50">
        <v>7135036</v>
      </c>
      <c r="G9" s="17">
        <f t="shared" si="0"/>
        <v>33110477</v>
      </c>
      <c r="H9" s="17">
        <f t="shared" si="1"/>
        <v>2899739.1215971578</v>
      </c>
      <c r="I9" s="17">
        <f t="shared" si="2"/>
        <v>30210737.878402844</v>
      </c>
    </row>
    <row r="10" spans="1:9" ht="15.75" customHeight="1" x14ac:dyDescent="0.25">
      <c r="A10" s="5">
        <f t="shared" si="3"/>
        <v>2032</v>
      </c>
      <c r="B10" s="49">
        <v>2564728</v>
      </c>
      <c r="C10" s="50">
        <v>7529249</v>
      </c>
      <c r="D10" s="50">
        <v>10243348</v>
      </c>
      <c r="E10" s="50">
        <v>8576114.5</v>
      </c>
      <c r="F10" s="50">
        <v>7234751</v>
      </c>
      <c r="G10" s="17">
        <f t="shared" si="0"/>
        <v>33583462.5</v>
      </c>
      <c r="H10" s="17">
        <f t="shared" si="1"/>
        <v>2941510.7096787035</v>
      </c>
      <c r="I10" s="17">
        <f t="shared" si="2"/>
        <v>30641951.790321298</v>
      </c>
    </row>
    <row r="11" spans="1:9" ht="15.75" customHeight="1" x14ac:dyDescent="0.25">
      <c r="A11" s="5">
        <f t="shared" si="3"/>
        <v>2033</v>
      </c>
      <c r="B11" s="49">
        <v>2608172</v>
      </c>
      <c r="C11" s="50">
        <v>7492340.0000000009</v>
      </c>
      <c r="D11" s="50">
        <v>10550564</v>
      </c>
      <c r="E11" s="50">
        <v>8655815.5</v>
      </c>
      <c r="F11" s="50">
        <v>7312768.5</v>
      </c>
      <c r="G11" s="17">
        <f t="shared" si="0"/>
        <v>34011488</v>
      </c>
      <c r="H11" s="17">
        <f t="shared" si="1"/>
        <v>2991337.0426353686</v>
      </c>
      <c r="I11" s="17">
        <f t="shared" si="2"/>
        <v>31020150.95736463</v>
      </c>
    </row>
    <row r="12" spans="1:9" ht="15.75" customHeight="1" x14ac:dyDescent="0.25">
      <c r="A12" s="5">
        <f t="shared" si="3"/>
        <v>2034</v>
      </c>
      <c r="B12" s="49">
        <v>2645436</v>
      </c>
      <c r="C12" s="50">
        <v>7399273.5</v>
      </c>
      <c r="D12" s="50">
        <v>10884054.5</v>
      </c>
      <c r="E12" s="50">
        <v>8752247.0000000019</v>
      </c>
      <c r="F12" s="50">
        <v>7372478</v>
      </c>
      <c r="G12" s="17">
        <f t="shared" si="0"/>
        <v>34408053</v>
      </c>
      <c r="H12" s="17">
        <f t="shared" si="1"/>
        <v>3034075.4753601905</v>
      </c>
      <c r="I12" s="17">
        <f t="shared" si="2"/>
        <v>31373977.524639808</v>
      </c>
    </row>
    <row r="13" spans="1:9" ht="15.75" customHeight="1" x14ac:dyDescent="0.25">
      <c r="A13" s="5">
        <f t="shared" si="3"/>
        <v>2035</v>
      </c>
      <c r="B13" s="49">
        <v>2672163</v>
      </c>
      <c r="C13" s="50">
        <v>7278833.0000000009</v>
      </c>
      <c r="D13" s="50">
        <v>11225316.5</v>
      </c>
      <c r="E13" s="50">
        <v>8863369.5</v>
      </c>
      <c r="F13" s="50">
        <v>7408215</v>
      </c>
      <c r="G13" s="17">
        <f t="shared" si="0"/>
        <v>34775734</v>
      </c>
      <c r="H13" s="17">
        <f t="shared" si="1"/>
        <v>3064728.9234987777</v>
      </c>
      <c r="I13" s="17">
        <f t="shared" si="2"/>
        <v>31711005.07650122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tmM+8QKzI2CccxGGrs+eWz7omg524t7Z55w9IQFQ36erNeqmnjjTbq9sF1YAMbHnKUYnHp7gEg4fMVU1L/Q1Bw==" saltValue="vCpG3AbH68mJvvYxuwy1t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1.3478998652100139E-3</v>
      </c>
    </row>
    <row r="4" spans="1:8" ht="15.75" customHeight="1" x14ac:dyDescent="0.25">
      <c r="B4" s="19" t="s">
        <v>97</v>
      </c>
      <c r="C4" s="101">
        <v>4.0791195920880458E-2</v>
      </c>
    </row>
    <row r="5" spans="1:8" ht="15.75" customHeight="1" x14ac:dyDescent="0.25">
      <c r="B5" s="19" t="s">
        <v>95</v>
      </c>
      <c r="C5" s="101">
        <v>1.6696498330350171E-2</v>
      </c>
    </row>
    <row r="6" spans="1:8" ht="15.75" customHeight="1" x14ac:dyDescent="0.25">
      <c r="B6" s="19" t="s">
        <v>91</v>
      </c>
      <c r="C6" s="101">
        <v>0.17240298275970181</v>
      </c>
    </row>
    <row r="7" spans="1:8" ht="15.75" customHeight="1" x14ac:dyDescent="0.25">
      <c r="B7" s="19" t="s">
        <v>96</v>
      </c>
      <c r="C7" s="101">
        <v>0.47297665270233391</v>
      </c>
    </row>
    <row r="8" spans="1:8" ht="15.75" customHeight="1" x14ac:dyDescent="0.25">
      <c r="B8" s="19" t="s">
        <v>98</v>
      </c>
      <c r="C8" s="101">
        <v>1.5819998418000169E-4</v>
      </c>
    </row>
    <row r="9" spans="1:8" ht="15.75" customHeight="1" x14ac:dyDescent="0.25">
      <c r="B9" s="19" t="s">
        <v>92</v>
      </c>
      <c r="C9" s="101">
        <v>0.23270537672946309</v>
      </c>
    </row>
    <row r="10" spans="1:8" ht="15.75" customHeight="1" x14ac:dyDescent="0.25">
      <c r="B10" s="19" t="s">
        <v>94</v>
      </c>
      <c r="C10" s="101">
        <v>6.2921193707880657E-2</v>
      </c>
    </row>
    <row r="11" spans="1:8" ht="15.75" customHeight="1" x14ac:dyDescent="0.25">
      <c r="B11" s="27" t="s">
        <v>60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4.6044017435636637E-2</v>
      </c>
      <c r="D14" s="55">
        <v>4.6044017435636637E-2</v>
      </c>
      <c r="E14" s="55">
        <v>4.6044017435636637E-2</v>
      </c>
      <c r="F14" s="55">
        <v>4.6044017435636637E-2</v>
      </c>
    </row>
    <row r="15" spans="1:8" ht="15.75" customHeight="1" x14ac:dyDescent="0.25">
      <c r="B15" s="19" t="s">
        <v>102</v>
      </c>
      <c r="C15" s="101">
        <v>0.63344980973316023</v>
      </c>
      <c r="D15" s="101">
        <v>0.63344980973316023</v>
      </c>
      <c r="E15" s="101">
        <v>0.63344980973316023</v>
      </c>
      <c r="F15" s="101">
        <v>0.63344980973316023</v>
      </c>
    </row>
    <row r="16" spans="1:8" ht="15.75" customHeight="1" x14ac:dyDescent="0.25">
      <c r="B16" s="19" t="s">
        <v>2</v>
      </c>
      <c r="C16" s="101">
        <v>1.129582496415343E-2</v>
      </c>
      <c r="D16" s="101">
        <v>1.129582496415343E-2</v>
      </c>
      <c r="E16" s="101">
        <v>1.129582496415343E-2</v>
      </c>
      <c r="F16" s="101">
        <v>1.129582496415343E-2</v>
      </c>
    </row>
    <row r="17" spans="1:8" ht="15.75" customHeight="1" x14ac:dyDescent="0.25">
      <c r="B17" s="19" t="s">
        <v>90</v>
      </c>
      <c r="C17" s="101">
        <v>3.894837078298569E-3</v>
      </c>
      <c r="D17" s="101">
        <v>3.894837078298569E-3</v>
      </c>
      <c r="E17" s="101">
        <v>3.894837078298569E-3</v>
      </c>
      <c r="F17" s="101">
        <v>3.894837078298569E-3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1.319115285484122E-2</v>
      </c>
      <c r="D19" s="101">
        <v>1.319115285484122E-2</v>
      </c>
      <c r="E19" s="101">
        <v>1.319115285484122E-2</v>
      </c>
      <c r="F19" s="101">
        <v>1.319115285484122E-2</v>
      </c>
    </row>
    <row r="20" spans="1:8" ht="15.75" customHeight="1" x14ac:dyDescent="0.25">
      <c r="B20" s="19" t="s">
        <v>79</v>
      </c>
      <c r="C20" s="101">
        <v>7.1059375253170812E-3</v>
      </c>
      <c r="D20" s="101">
        <v>7.1059375253170812E-3</v>
      </c>
      <c r="E20" s="101">
        <v>7.1059375253170812E-3</v>
      </c>
      <c r="F20" s="101">
        <v>7.1059375253170812E-3</v>
      </c>
    </row>
    <row r="21" spans="1:8" ht="15.75" customHeight="1" x14ac:dyDescent="0.25">
      <c r="B21" s="19" t="s">
        <v>88</v>
      </c>
      <c r="C21" s="101">
        <v>0.2259862107187873</v>
      </c>
      <c r="D21" s="101">
        <v>0.2259862107187873</v>
      </c>
      <c r="E21" s="101">
        <v>0.2259862107187873</v>
      </c>
      <c r="F21" s="101">
        <v>0.2259862107187873</v>
      </c>
    </row>
    <row r="22" spans="1:8" ht="15.75" customHeight="1" x14ac:dyDescent="0.25">
      <c r="B22" s="19" t="s">
        <v>99</v>
      </c>
      <c r="C22" s="101">
        <v>5.9032209689805611E-2</v>
      </c>
      <c r="D22" s="101">
        <v>5.9032209689805611E-2</v>
      </c>
      <c r="E22" s="101">
        <v>5.9032209689805611E-2</v>
      </c>
      <c r="F22" s="101">
        <v>5.9032209689805611E-2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2.7001540000000001E-2</v>
      </c>
    </row>
    <row r="27" spans="1:8" ht="15.75" customHeight="1" x14ac:dyDescent="0.25">
      <c r="B27" s="19" t="s">
        <v>89</v>
      </c>
      <c r="C27" s="101">
        <v>1.6281780999999999E-2</v>
      </c>
    </row>
    <row r="28" spans="1:8" ht="15.75" customHeight="1" x14ac:dyDescent="0.25">
      <c r="B28" s="19" t="s">
        <v>103</v>
      </c>
      <c r="C28" s="101">
        <v>0.425831776</v>
      </c>
    </row>
    <row r="29" spans="1:8" ht="15.75" customHeight="1" x14ac:dyDescent="0.25">
      <c r="B29" s="19" t="s">
        <v>86</v>
      </c>
      <c r="C29" s="101">
        <v>0.19528870200000001</v>
      </c>
    </row>
    <row r="30" spans="1:8" ht="15.75" customHeight="1" x14ac:dyDescent="0.25">
      <c r="B30" s="19" t="s">
        <v>4</v>
      </c>
      <c r="C30" s="101">
        <v>4.8735185E-2</v>
      </c>
    </row>
    <row r="31" spans="1:8" ht="15.75" customHeight="1" x14ac:dyDescent="0.25">
      <c r="B31" s="19" t="s">
        <v>80</v>
      </c>
      <c r="C31" s="101">
        <v>2.3526106000000001E-2</v>
      </c>
    </row>
    <row r="32" spans="1:8" ht="15.75" customHeight="1" x14ac:dyDescent="0.25">
      <c r="B32" s="19" t="s">
        <v>85</v>
      </c>
      <c r="C32" s="101">
        <v>7.7799310000000003E-3</v>
      </c>
    </row>
    <row r="33" spans="2:3" ht="15.75" customHeight="1" x14ac:dyDescent="0.25">
      <c r="B33" s="19" t="s">
        <v>100</v>
      </c>
      <c r="C33" s="101">
        <v>0.13107344500000001</v>
      </c>
    </row>
    <row r="34" spans="2:3" ht="15.75" customHeight="1" x14ac:dyDescent="0.25">
      <c r="B34" s="19" t="s">
        <v>87</v>
      </c>
      <c r="C34" s="101">
        <v>0.124481534</v>
      </c>
    </row>
    <row r="35" spans="2:3" ht="15.75" customHeight="1" x14ac:dyDescent="0.25">
      <c r="B35" s="27" t="s">
        <v>60</v>
      </c>
      <c r="C35" s="48">
        <f>SUM(C26:C34)</f>
        <v>1</v>
      </c>
    </row>
  </sheetData>
  <sheetProtection algorithmName="SHA-512" hashValue="oltAGkA0trgARBqdGhjS4EqMWbl6SlmOOWxgSyJp/YSfsKBpz28wfNLxoonyREmZtNJprsQCDqtqm/wiJzL3hw==" saltValue="LsZR37yMYTHH0BTB+KE7w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0.41894613025163441</v>
      </c>
      <c r="D2" s="52">
        <f>IFERROR(1-_xlfn.NORM.DIST(_xlfn.NORM.INV(SUM(D4:D5), 0, 1) + 1, 0, 1, TRUE), "")</f>
        <v>0.41894613025163441</v>
      </c>
      <c r="E2" s="52">
        <f>IFERROR(1-_xlfn.NORM.DIST(_xlfn.NORM.INV(SUM(E4:E5), 0, 1) + 1, 0, 1, TRUE), "")</f>
        <v>0.46841153020316906</v>
      </c>
      <c r="F2" s="52">
        <f>IFERROR(1-_xlfn.NORM.DIST(_xlfn.NORM.INV(SUM(F4:F5), 0, 1) + 1, 0, 1, TRUE), "")</f>
        <v>0.38200498466942279</v>
      </c>
      <c r="G2" s="52">
        <f>IFERROR(1-_xlfn.NORM.DIST(_xlfn.NORM.INV(SUM(G4:G5), 0, 1) + 1, 0, 1, TRUE), "")</f>
        <v>0.40237292854156914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0.36786626974836556</v>
      </c>
      <c r="D3" s="52">
        <f>IFERROR(_xlfn.NORM.DIST(_xlfn.NORM.INV(SUM(D4:D5), 0, 1) + 1, 0, 1, TRUE) - SUM(D4:D5), "")</f>
        <v>0.36786626974836556</v>
      </c>
      <c r="E3" s="52">
        <f>IFERROR(_xlfn.NORM.DIST(_xlfn.NORM.INV(SUM(E4:E5), 0, 1) + 1, 0, 1, TRUE) - SUM(E4:E5), "")</f>
        <v>0.35299446979683097</v>
      </c>
      <c r="F3" s="52">
        <f>IFERROR(_xlfn.NORM.DIST(_xlfn.NORM.INV(SUM(F4:F5), 0, 1) + 1, 0, 1, TRUE) - SUM(F4:F5), "")</f>
        <v>0.37596291533057724</v>
      </c>
      <c r="G3" s="52">
        <f>IFERROR(_xlfn.NORM.DIST(_xlfn.NORM.INV(SUM(G4:G5), 0, 1) + 1, 0, 1, TRUE) - SUM(G4:G5), "")</f>
        <v>0.37183907145843087</v>
      </c>
    </row>
    <row r="4" spans="1:15" ht="15.75" customHeight="1" x14ac:dyDescent="0.25">
      <c r="B4" s="5" t="s">
        <v>110</v>
      </c>
      <c r="C4" s="45">
        <v>0.1047034</v>
      </c>
      <c r="D4" s="53">
        <v>0.1047034</v>
      </c>
      <c r="E4" s="53">
        <v>8.4055999999999992E-2</v>
      </c>
      <c r="F4" s="53">
        <v>0.1151422</v>
      </c>
      <c r="G4" s="53">
        <v>0.1215001</v>
      </c>
    </row>
    <row r="5" spans="1:15" ht="15.75" customHeight="1" x14ac:dyDescent="0.25">
      <c r="B5" s="5" t="s">
        <v>106</v>
      </c>
      <c r="C5" s="45">
        <v>0.1084842</v>
      </c>
      <c r="D5" s="53">
        <v>0.1084842</v>
      </c>
      <c r="E5" s="53">
        <v>9.4537999999999997E-2</v>
      </c>
      <c r="F5" s="53">
        <v>0.1268899</v>
      </c>
      <c r="G5" s="53">
        <v>0.1042879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0.5009786502764576</v>
      </c>
      <c r="D8" s="52">
        <f>IFERROR(1-_xlfn.NORM.DIST(_xlfn.NORM.INV(SUM(D10:D11), 0, 1) + 1, 0, 1, TRUE), "")</f>
        <v>0.5009786502764576</v>
      </c>
      <c r="E8" s="52">
        <f>IFERROR(1-_xlfn.NORM.DIST(_xlfn.NORM.INV(SUM(E10:E11), 0, 1) + 1, 0, 1, TRUE), "")</f>
        <v>0.56063795521593507</v>
      </c>
      <c r="F8" s="52">
        <f>IFERROR(1-_xlfn.NORM.DIST(_xlfn.NORM.INV(SUM(F10:F11), 0, 1) + 1, 0, 1, TRUE), "")</f>
        <v>0.61076826862092559</v>
      </c>
      <c r="G8" s="52">
        <f>IFERROR(1-_xlfn.NORM.DIST(_xlfn.NORM.INV(SUM(G10:G11), 0, 1) + 1, 0, 1, TRUE), "")</f>
        <v>0.66709630739965298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0.3409589497235424</v>
      </c>
      <c r="D9" s="52">
        <f>IFERROR(_xlfn.NORM.DIST(_xlfn.NORM.INV(SUM(D10:D11), 0, 1) + 1, 0, 1, TRUE) - SUM(D10:D11), "")</f>
        <v>0.3409589497235424</v>
      </c>
      <c r="E9" s="52">
        <f>IFERROR(_xlfn.NORM.DIST(_xlfn.NORM.INV(SUM(E10:E11), 0, 1) + 1, 0, 1, TRUE) - SUM(E10:E11), "")</f>
        <v>0.31482204478406489</v>
      </c>
      <c r="F9" s="52">
        <f>IFERROR(_xlfn.NORM.DIST(_xlfn.NORM.INV(SUM(F10:F11), 0, 1) + 1, 0, 1, TRUE) - SUM(F10:F11), "")</f>
        <v>0.28919143137907444</v>
      </c>
      <c r="G9" s="52">
        <f>IFERROR(_xlfn.NORM.DIST(_xlfn.NORM.INV(SUM(G10:G11), 0, 1) + 1, 0, 1, TRUE) - SUM(G10:G11), "")</f>
        <v>0.25681879260034701</v>
      </c>
    </row>
    <row r="10" spans="1:15" ht="15.75" customHeight="1" x14ac:dyDescent="0.25">
      <c r="B10" s="5" t="s">
        <v>107</v>
      </c>
      <c r="C10" s="45">
        <v>6.7265100000000008E-2</v>
      </c>
      <c r="D10" s="53">
        <v>6.7265100000000008E-2</v>
      </c>
      <c r="E10" s="53">
        <v>5.1812700000000003E-2</v>
      </c>
      <c r="F10" s="53">
        <v>5.5065799999999998E-2</v>
      </c>
      <c r="G10" s="53">
        <v>3.9398900000000001E-2</v>
      </c>
    </row>
    <row r="11" spans="1:15" ht="15.75" customHeight="1" x14ac:dyDescent="0.25">
      <c r="B11" s="5" t="s">
        <v>119</v>
      </c>
      <c r="C11" s="45">
        <v>9.0797299999999997E-2</v>
      </c>
      <c r="D11" s="53">
        <v>9.0797299999999997E-2</v>
      </c>
      <c r="E11" s="53">
        <v>7.2727299999999995E-2</v>
      </c>
      <c r="F11" s="53">
        <v>4.4974500000000001E-2</v>
      </c>
      <c r="G11" s="53">
        <v>3.6686000000000003E-2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0.53595509000000008</v>
      </c>
      <c r="D14" s="54">
        <v>0.52223759440999995</v>
      </c>
      <c r="E14" s="54">
        <v>0.52223759440999995</v>
      </c>
      <c r="F14" s="54">
        <v>0.30702391420699998</v>
      </c>
      <c r="G14" s="54">
        <v>0.30702391420699998</v>
      </c>
      <c r="H14" s="45">
        <v>0.22600000000000001</v>
      </c>
      <c r="I14" s="55">
        <v>0.22600000000000001</v>
      </c>
      <c r="J14" s="55">
        <v>0.22600000000000001</v>
      </c>
      <c r="K14" s="55">
        <v>0.22600000000000001</v>
      </c>
      <c r="L14" s="45">
        <v>0.28899999999999998</v>
      </c>
      <c r="M14" s="55">
        <v>0.28899999999999998</v>
      </c>
      <c r="N14" s="55">
        <v>0.28899999999999998</v>
      </c>
      <c r="O14" s="55">
        <v>0.28899999999999998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0.31694400988767002</v>
      </c>
      <c r="D15" s="52">
        <f t="shared" si="0"/>
        <v>0.3088319905430808</v>
      </c>
      <c r="E15" s="52">
        <f t="shared" si="0"/>
        <v>0.3088319905430808</v>
      </c>
      <c r="F15" s="52">
        <f t="shared" si="0"/>
        <v>0.18156258297719413</v>
      </c>
      <c r="G15" s="52">
        <f t="shared" si="0"/>
        <v>0.18156258297719413</v>
      </c>
      <c r="H15" s="52">
        <f t="shared" si="0"/>
        <v>0.133648038</v>
      </c>
      <c r="I15" s="52">
        <f t="shared" si="0"/>
        <v>0.133648038</v>
      </c>
      <c r="J15" s="52">
        <f t="shared" si="0"/>
        <v>0.133648038</v>
      </c>
      <c r="K15" s="52">
        <f t="shared" si="0"/>
        <v>0.133648038</v>
      </c>
      <c r="L15" s="52">
        <f t="shared" si="0"/>
        <v>0.17090390699999997</v>
      </c>
      <c r="M15" s="52">
        <f t="shared" si="0"/>
        <v>0.17090390699999997</v>
      </c>
      <c r="N15" s="52">
        <f t="shared" si="0"/>
        <v>0.17090390699999997</v>
      </c>
      <c r="O15" s="52">
        <f t="shared" si="0"/>
        <v>0.17090390699999997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CH2dCTszTnhwXiezaZOHI/f3wK1bAB8+Uxb6WasT141uCVNvQxnmieuTUbmRopfjU3Biqyy3x3poDAKxgKEL8Q==" saltValue="ckdg7CZAU0YU3yCptPrTM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0.70579639999999999</v>
      </c>
      <c r="D2" s="53">
        <v>0.35294160000000002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0.15333430000000001</v>
      </c>
      <c r="D3" s="53">
        <v>0.30136089999999999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0.10710359999999999</v>
      </c>
      <c r="D4" s="53">
        <v>0.27389649999999999</v>
      </c>
      <c r="E4" s="53">
        <v>0.88846329999999996</v>
      </c>
      <c r="F4" s="53">
        <v>0.50463610000000003</v>
      </c>
      <c r="G4" s="53">
        <v>0</v>
      </c>
    </row>
    <row r="5" spans="1:7" x14ac:dyDescent="0.25">
      <c r="B5" s="3" t="s">
        <v>125</v>
      </c>
      <c r="C5" s="52">
        <v>3.3765799999999999E-2</v>
      </c>
      <c r="D5" s="52">
        <v>7.1801000000000004E-2</v>
      </c>
      <c r="E5" s="52">
        <f>1-SUM(E2:E4)</f>
        <v>0.11153670000000004</v>
      </c>
      <c r="F5" s="52">
        <f>1-SUM(F2:F4)</f>
        <v>0.49536389999999997</v>
      </c>
      <c r="G5" s="52">
        <f>1-SUM(G2:G4)</f>
        <v>1</v>
      </c>
    </row>
  </sheetData>
  <sheetProtection algorithmName="SHA-512" hashValue="U2/DGZ5I7YnEyK0IetHhM0cDiku03azQzrjj9zh15ScOwSoNnjiPIRkVhcEjZU5NxOQ1O5e++jCA+pxeJKeZZQ==" saltValue="YkSce+23dzv3k2Q7IAico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mxGVKgT67bmZC8hHyooQe5dlk5gDRcRWT8norK2ur4Dp/I2oawynRMW67pY6VDiKsBYfHVg1m9F7J1U85HTsbw==" saltValue="8serC2oUKHp2SHf4WFqxw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twTOI3Lad8Csp4O/ueOPrOlp7u8f5dvC2/H0XzuNszWKkCrxRYQiL9bSfiTgfnyxIagJzLk/1TTinvyWnsqODA==" saltValue="5Jp8zbh7xU26cuKv+HHy/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v5KnZY4qOmj+QOS5YKJbNFUeP/DWrpwTlL2f+uWLTsWU7HBZxZrfukH5sl5aygdN35bdCzcWTjyTa9xfn/CsSA==" saltValue="0ypr+kjYvR476/q5Mo/QO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QaVNh5h4YIBAkP8wybxDDzuLxsEnjNWd2BW/ptfXm17SN3MvyIzlq1/k/MQyfc7tO31ur/LHzBuWIjzDZxhFTA==" saltValue="TsD+hn+ZGX+x4DVlddTIB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53.780271394236287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0.22568961095016099</v>
      </c>
      <c r="C3" s="98">
        <v>0.95</v>
      </c>
      <c r="D3" s="56">
        <v>39.784890774088787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347.78517426090019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1.0166600951652329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0.36073490000000002</v>
      </c>
      <c r="C10" s="98">
        <v>0.95</v>
      </c>
      <c r="D10" s="56">
        <v>12.9171902178847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0.36073490000000002</v>
      </c>
      <c r="C11" s="98">
        <v>0.95</v>
      </c>
      <c r="D11" s="56">
        <v>12.9171902178847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0.36073490000000002</v>
      </c>
      <c r="C12" s="98">
        <v>0.95</v>
      </c>
      <c r="D12" s="56">
        <v>12.9171902178847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0.36073490000000002</v>
      </c>
      <c r="C13" s="98">
        <v>0.95</v>
      </c>
      <c r="D13" s="56">
        <v>12.9171902178847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0.36073490000000002</v>
      </c>
      <c r="C14" s="98">
        <v>0.95</v>
      </c>
      <c r="D14" s="56">
        <v>12.9171902178847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0.36073490000000002</v>
      </c>
      <c r="C15" s="98">
        <v>0.95</v>
      </c>
      <c r="D15" s="56">
        <v>12.9171902178847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0.88</v>
      </c>
      <c r="C16" s="98">
        <v>0.95</v>
      </c>
      <c r="D16" s="56">
        <v>0.62395601778004439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0.1246154904</v>
      </c>
      <c r="C18" s="98">
        <v>0.95</v>
      </c>
      <c r="D18" s="56">
        <v>8.03774489307912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0.97528749999999997</v>
      </c>
      <c r="C19" s="98">
        <v>0.95</v>
      </c>
      <c r="D19" s="56">
        <v>8.03774489307912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0.98693050000000004</v>
      </c>
      <c r="C21" s="98">
        <v>0.95</v>
      </c>
      <c r="D21" s="56">
        <v>12.62389598237889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22.241140820701322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4.2199693960316731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0.82747458905616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0.36073490000000002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18.478294846889369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0.64891979094384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103.9500061944096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0.68</v>
      </c>
      <c r="C31" s="98">
        <v>0.95</v>
      </c>
      <c r="D31" s="56">
        <v>3.9648996179997198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1.329958673761263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0.68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0.34690110000000002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0.28365869999999999</v>
      </c>
      <c r="C38" s="98">
        <v>0.95</v>
      </c>
      <c r="D38" s="56">
        <v>5.0532276389922108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zvCJkKDwAgIPYwMNaq4vX0Ty6hXb08DBRCwiAFKhFEB2TuV7jsS1+XqB6FlsLm51/vOdP/26+RUGzOhJ9yMJ1g==" saltValue="tROVHDGTz1rEh/r4Z9qA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gKTGnkRS4cP1K5pFody2AvJ+MulM/3xsZhQs205JocgVX2/6ykyUigNwwsuUSO+vF2exNjrD9ZZ2lHRs1FltMg==" saltValue="zLSpBCI+sYx5bH1tlVDEj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hhT38dC5RsEo5UwvmjmA0W7opF+X/jsh5fMk59kddPvEEmDuwUC0VdUhpdnPUc3evh+2THo2r9mlS7avqcsI6w==" saltValue="MKT2fuq/J731muLd+JqWT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2.9</v>
      </c>
      <c r="C2" s="21">
        <f>'Entradas de población-año base'!C52</f>
        <v>2.9</v>
      </c>
      <c r="D2" s="21">
        <f>'Entradas de población-año base'!C53</f>
        <v>2.9</v>
      </c>
      <c r="E2" s="21">
        <f>'Entradas de población-año base'!C54</f>
        <v>2.9</v>
      </c>
      <c r="F2" s="21">
        <f>'Entradas de población-año base'!C55</f>
        <v>2.9</v>
      </c>
    </row>
    <row r="3" spans="1:6" ht="15.75" customHeight="1" x14ac:dyDescent="0.25">
      <c r="A3" s="3" t="s">
        <v>6</v>
      </c>
      <c r="B3" s="21">
        <f>frac_mam_1month * 2.6</f>
        <v>0.17488926000000002</v>
      </c>
      <c r="C3" s="21">
        <f>frac_mam_1_5months * 2.6</f>
        <v>0.17488926000000002</v>
      </c>
      <c r="D3" s="21">
        <f>frac_mam_6_11months * 2.6</f>
        <v>0.13471302000000002</v>
      </c>
      <c r="E3" s="21">
        <f>frac_mam_12_23months * 2.6</f>
        <v>0.14317108000000001</v>
      </c>
      <c r="F3" s="21">
        <f>frac_mam_24_59months * 2.6</f>
        <v>0.10243714000000001</v>
      </c>
    </row>
    <row r="4" spans="1:6" ht="15.75" customHeight="1" x14ac:dyDescent="0.25">
      <c r="A4" s="3" t="s">
        <v>207</v>
      </c>
      <c r="B4" s="21">
        <f>frac_sam_1month * 2.6</f>
        <v>0.23607297999999999</v>
      </c>
      <c r="C4" s="21">
        <f>frac_sam_1_5months * 2.6</f>
        <v>0.23607297999999999</v>
      </c>
      <c r="D4" s="21">
        <f>frac_sam_6_11months * 2.6</f>
        <v>0.18909097999999999</v>
      </c>
      <c r="E4" s="21">
        <f>frac_sam_12_23months * 2.6</f>
        <v>0.1169337</v>
      </c>
      <c r="F4" s="21">
        <f>frac_sam_24_59months * 2.6</f>
        <v>9.5383600000000013E-2</v>
      </c>
    </row>
  </sheetData>
  <sheetProtection algorithmName="SHA-512" hashValue="4Se6ObktCkpVDt8iMuUVvYQYvDMkprd8BjTpODdRZzsr4Nlre1pDDcWWStCsGOdT3PMDEKVUTWY6vTR9hig45w==" saltValue="Q9nlfBm7oC63NzyVj0zTX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3.2000000000000001E-2</v>
      </c>
      <c r="E2" s="60">
        <f>food_insecure</f>
        <v>3.2000000000000001E-2</v>
      </c>
      <c r="F2" s="60">
        <f>food_insecure</f>
        <v>3.2000000000000001E-2</v>
      </c>
      <c r="G2" s="60">
        <f>food_insecure</f>
        <v>3.2000000000000001E-2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3.2000000000000001E-2</v>
      </c>
      <c r="F5" s="60">
        <f>food_insecure</f>
        <v>3.2000000000000001E-2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3.2000000000000001E-2</v>
      </c>
      <c r="F8" s="60">
        <f>food_insecure</f>
        <v>3.2000000000000001E-2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3.2000000000000001E-2</v>
      </c>
      <c r="F9" s="60">
        <f>food_insecure</f>
        <v>3.2000000000000001E-2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3.2000000000000001E-2</v>
      </c>
      <c r="I15" s="60">
        <f>food_insecure</f>
        <v>3.2000000000000001E-2</v>
      </c>
      <c r="J15" s="60">
        <f>food_insecure</f>
        <v>3.2000000000000001E-2</v>
      </c>
      <c r="K15" s="60">
        <f>food_insecure</f>
        <v>3.2000000000000001E-2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</v>
      </c>
      <c r="M24" s="60">
        <f>famplan_unmet_need</f>
        <v>0.2</v>
      </c>
      <c r="N24" s="60">
        <f>famplan_unmet_need</f>
        <v>0.2</v>
      </c>
      <c r="O24" s="60">
        <f>famplan_unmet_need</f>
        <v>0.2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9.1375454895019734E-2</v>
      </c>
      <c r="M25" s="60">
        <f>(1-food_insecure)*(0.49)+food_insecure*(0.7)</f>
        <v>0.49671999999999994</v>
      </c>
      <c r="N25" s="60">
        <f>(1-food_insecure)*(0.49)+food_insecure*(0.7)</f>
        <v>0.49671999999999994</v>
      </c>
      <c r="O25" s="60">
        <f>(1-food_insecure)*(0.49)+food_insecure*(0.7)</f>
        <v>0.49671999999999994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3.9160909240722748E-2</v>
      </c>
      <c r="M26" s="60">
        <f>(1-food_insecure)*(0.21)+food_insecure*(0.3)</f>
        <v>0.21287999999999999</v>
      </c>
      <c r="N26" s="60">
        <f>(1-food_insecure)*(0.21)+food_insecure*(0.3)</f>
        <v>0.21287999999999999</v>
      </c>
      <c r="O26" s="60">
        <f>(1-food_insecure)*(0.21)+food_insecure*(0.3)</f>
        <v>0.21287999999999999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5.3421307983398558E-2</v>
      </c>
      <c r="M27" s="60">
        <f>(1-food_insecure)*(0.3)</f>
        <v>0.29039999999999999</v>
      </c>
      <c r="N27" s="60">
        <f>(1-food_insecure)*(0.3)</f>
        <v>0.29039999999999999</v>
      </c>
      <c r="O27" s="60">
        <f>(1-food_insecure)*(0.3)</f>
        <v>0.29039999999999999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0.81604232788085884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a4/W5o+q4sFPjjh2Nj9kUbXLU6/gwFI6GbZmhLo9SW/pQ63XaMUb/KpR/YCARR1I50rFauaOjuNfEmKc6QyB8g==" saltValue="8wygY1UbfECZPfuKEPKh4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jB2jTPZ/hLQcF4YCj5EretX77RjYCFMrP9U1BlPW8gdTVppG4dZZcysx4hgTvU68fs1xBuIS9FNK/QvSvD0F6g==" saltValue="bidR1opT098liXwsPR80a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ngDfenWN5fKnjB9Ki36HK0GI1RoCg+QPGVqb4pBRfwQ0Hbu6rqOQVLfrUtd23/CNiqeOeEdrvHsDjlBbulYapg==" saltValue="pLgf1dSNgkMPlvglU/aXS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rPj5IY8Z7zFzv7eRXvEd9dEzh+9R4pVwZe516X+IajhpgKHjHKWRAaqhJjSI5PMB/BEPbl4ezoOIYhsAbkjt1Q==" saltValue="6munq8/GQIxYkYloQRlrv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r84JyQt/z8jGwEBAYP6efRrB6eY2QgWYModF0Ql4HpqEtClNvBY0fE0oMU58fRpwkkDO7z27BjPAt2y3Xd/DGQ==" saltValue="MZUr0ZGit3cutL+Mq1BpN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k5jVVdp6h6P0r7esWag3wTJMDMXdSpmy598FdztD82V6L5Z2Wb97jJ2rihmfI3c+6AJbyfS0RIGUK1H0CBR5tg==" saltValue="n6OTNnGc+8aHAPM3HZ8lj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5L+rQSyb3txPi39GbLA3A5kTeis5WUJqc+velqtEC/LdOwjBK538tL4awqpqjkhgmbL6u8THx+i+sNR7JYw6Jg==" saltValue="obzQ/QqsEllHg8wmaKacm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M79obD6O6+q8zojUQiHp7rlqD8zc9IlV5bCFwaH8chdAciuyJ3+4bkkh3NoiapRSUPtFP72wdVnrlIZqMKsa9Q==" saltValue="fF0ZYMxbWiinA+EYLe9ee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U9Iv9e7srL9o/jfjN6+m1xVOipzyNNG7UGdzBR6qk0JTjBEvbuq3/HVL/mAAuV/+8lJq18aro5UFWqeLRx6Vnw==" saltValue="i/GPHPawv0aiZHnjPKksd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MSBp48/Yp2QsxF3c+DcBSN0ZjpC6oDtUjfM7qyaOdSfqT1gaOpfCmVvsh7KO4JJI5lZOhGKhPOiABPgDsJ7UfQ==" saltValue="1Bf0qU2hnpaM2w80kMDr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GzF1exbMGkgPfvvDy5aI48SKAvVuqpSNIp2I/VJtT10ZUgRRbwZXo8uEZ11Jn5nBa8PdXTjbBmkxBdak9o27yg==" saltValue="MfNzpbu5wXcKizUMOVOGI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SZPVlwvAV1jeYIdVU5hytUNHd0m4E8+zDlPKSieKFbiZgbxCOOncG8xYiRO8Rbo0MZ0Qvy0sD3SO15jnACOtmQ==" saltValue="muNbnRAYf3zg5pzBfdS5N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+cVkxGAdlnb90Y8hPgGOLkTfVjxAU52z/c1nPlAA4vdQPCQ3GIo3/wysvyDOwAdcPZHVI3i2k9bfYaB0ChzTkQ==" saltValue="X3vDCF1XquxJdjTeZb9Xt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0cyQVxbjZzlCw3oN1vim+RsmuyUUzVdSdjK1gdujaXkuwjfgkcqVVjfQJ8Eb973ZUv78UigzyyEihzh23e9/JA==" saltValue="EuOuP5Ss5jDYJmv53JDy/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Ks2754akJrBSMCrNuFOvYUqGUfpJ1rMURAYisN+lcexiZAG0DWdXNGurYxuFqNrLHFro1yNagc1NcetTkFlS5w==" saltValue="LPlKF2DSZAG4MlxuE6y0k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2024-05-16T23:30:48Z</dcterms:modified>
</cp:coreProperties>
</file>