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Modelling projects\Nutrition\inputs\es\LiST countries\"/>
    </mc:Choice>
  </mc:AlternateContent>
  <xr:revisionPtr revIDLastSave="0" documentId="8_{34308426-AD5D-4626-BA22-21B9C6FC7647}" xr6:coauthVersionLast="47" xr6:coauthVersionMax="47" xr10:uidLastSave="{00000000-0000-0000-0000-000000000000}"/>
  <bookViews>
    <workbookView xWindow="-110" yWindow="-110" windowWidth="19420" windowHeight="1030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M60" i="25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G158" i="27" s="1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A40" i="2"/>
  <c r="H39" i="2"/>
  <c r="G39" i="2"/>
  <c r="H38" i="2"/>
  <c r="G38" i="2"/>
  <c r="A34" i="2"/>
  <c r="A31" i="2"/>
  <c r="A26" i="2"/>
  <c r="H13" i="2"/>
  <c r="G13" i="2"/>
  <c r="H12" i="2"/>
  <c r="G12" i="2"/>
  <c r="H11" i="2"/>
  <c r="G11" i="2"/>
  <c r="I11" i="2" s="1"/>
  <c r="H10" i="2"/>
  <c r="G10" i="2"/>
  <c r="H9" i="2"/>
  <c r="G9" i="2"/>
  <c r="H8" i="2"/>
  <c r="G8" i="2"/>
  <c r="H7" i="2"/>
  <c r="G7" i="2"/>
  <c r="H6" i="2"/>
  <c r="G6" i="2"/>
  <c r="H5" i="2"/>
  <c r="G5" i="2"/>
  <c r="H4" i="2"/>
  <c r="G4" i="2"/>
  <c r="H3" i="2"/>
  <c r="G3" i="2"/>
  <c r="H2" i="2"/>
  <c r="G2" i="2"/>
  <c r="A2" i="2"/>
  <c r="A39" i="2" s="1"/>
  <c r="C33" i="1"/>
  <c r="C20" i="1"/>
  <c r="I13" i="2" l="1"/>
  <c r="I2" i="2"/>
  <c r="I8" i="2"/>
  <c r="A24" i="2"/>
  <c r="I6" i="2"/>
  <c r="I12" i="2"/>
  <c r="A35" i="2"/>
  <c r="A36" i="2"/>
  <c r="A37" i="2"/>
  <c r="I38" i="2"/>
  <c r="A22" i="2"/>
  <c r="I39" i="2"/>
  <c r="I7" i="2"/>
  <c r="A19" i="2"/>
  <c r="I3" i="2"/>
  <c r="I9" i="2"/>
  <c r="A23" i="2"/>
  <c r="I4" i="2"/>
  <c r="A25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<sst xmlns="http://schemas.openxmlformats.org/spreadsheetml/2006/main" count="2169" uniqueCount="373">
  <si>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</si>
  <si>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</si>
  <si>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</si>
  <si>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</si>
  <si>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</si>
  <si>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</si>
  <si>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</si>
  <si>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</si>
  <si>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</si>
  <si>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</si>
  <si>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</si>
  <si>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</si>
  <si>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</si>
  <si>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</si>
  <si>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</si>
  <si>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</si>
  <si>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</si>
  <si>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</si>
  <si>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</si>
  <si>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</si>
  <si>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</si>
  <si>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</si>
  <si>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</si>
  <si>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</si>
  <si>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</si>
  <si>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</si>
  <si>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</si>
  <si>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</si>
  <si>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</si>
  <si>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</si>
  <si>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</si>
  <si>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</si>
  <si>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</si>
  <si>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</si>
  <si>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</si>
  <si>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</si>
  <si>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</si>
  <si>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</si>
  <si>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</si>
  <si>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</si>
  <si>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</si>
  <si>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</si>
  <si>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</si>
  <si>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</si>
  <si>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</si>
  <si>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</si>
  <si>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</si>
  <si>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</si>
  <si>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</si>
  <si>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</si>
  <si>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</si>
  <si>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</si>
  <si>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</si>
  <si>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</si>
  <si>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</si>
  <si>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</si>
  <si>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</si>
  <si>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</si>
  <si>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</si>
  <si>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</si>
  <si>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</si>
  <si>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</si>
  <si>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</si>
  <si>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</si>
  <si>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</si>
  <si>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</si>
  <si>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</si>
  <si>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</si>
  <si>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</si>
  <si>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</si>
  <si>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</si>
  <si>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</si>
  <si>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</si>
  <si>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</si>
  <si>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</si>
  <si>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</si>
  <si>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</si>
  <si>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</si>
  <si>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</si>
  <si>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</si>
  <si>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</si>
  <si>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</si>
  <si>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</si>
  <si>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</si>
  <si>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</si>
  <si>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</si>
  <si>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</si>
  <si>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</si>
  <si>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</si>
  <si>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</si>
  <si>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</si>
  <si>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</si>
  <si>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</si>
  <si>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</si>
  <si>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</si>
  <si>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</si>
  <si>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</si>
  <si>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</si>
  <si>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</si>
  <si>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</si>
  <si>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</si>
  <si>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</si>
  <si>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</si>
  <si>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</si>
  <si>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</si>
  <si>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</si>
  <si>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</si>
  <si>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</si>
  <si>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</si>
  <si>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</si>
  <si>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</si>
  <si>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</si>
  <si>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</si>
  <si>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</si>
  <si>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</si>
  <si>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</si>
  <si>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</si>
  <si>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</si>
  <si>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</si>
  <si>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</si>
  <si>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</si>
  <si>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</si>
  <si>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</si>
  <si>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</si>
  <si>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</si>
  <si>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</si>
  <si>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</si>
  <si>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</si>
  <si>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</si>
  <si>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</si>
  <si>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</si>
  <si>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</si>
  <si>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</si>
  <si>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</si>
  <si>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</si>
  <si>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</si>
  <si>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</si>
  <si>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</si>
  <si>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</si>
  <si>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</si>
  <si>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</si>
  <si>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</si>
  <si>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</si>
  <si>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</si>
  <si>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</si>
  <si>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</si>
  <si>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</si>
  <si>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</si>
  <si>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</si>
  <si>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</si>
  <si>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</si>
  <si>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</si>
  <si>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</si>
  <si>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</si>
  <si>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</si>
  <si>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</si>
  <si>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</si>
  <si>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</si>
  <si>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</si>
  <si>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</si>
  <si>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</si>
  <si>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</si>
  <si>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</si>
  <si>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</si>
  <si>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</si>
  <si>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</si>
  <si>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</si>
  <si>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</si>
  <si>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</si>
  <si>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</si>
  <si>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</si>
  <si>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</si>
  <si>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</si>
  <si>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</si>
  <si>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</si>
  <si>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</si>
  <si>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</si>
  <si>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</si>
  <si>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</si>
  <si>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</si>
  <si>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</si>
  <si>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</si>
  <si>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</si>
  <si>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</si>
  <si>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</si>
  <si>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</si>
  <si>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</si>
  <si>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</si>
  <si>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</si>
  <si>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</si>
  <si>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</si>
  <si>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</si>
  <si>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</si>
  <si>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</si>
  <si>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</si>
  <si>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</si>
  <si>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</si>
  <si>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</si>
  <si>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</si>
  <si>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</si>
  <si>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</si>
  <si>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</si>
  <si>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</si>
  <si>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</si>
  <si>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</si>
  <si>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</si>
  <si>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</si>
  <si>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</si>
  <si>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</si>
  <si>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</si>
  <si>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</si>
  <si>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</si>
  <si>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</si>
  <si>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</si>
  <si>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</si>
  <si>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</si>
  <si>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</si>
  <si>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</si>
  <si>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</si>
  <si>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</si>
  <si>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</si>
  <si>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</si>
  <si>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</si>
  <si>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</si>
  <si>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</si>
  <si>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</si>
  <si>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</si>
  <si>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</si>
  <si>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</si>
  <si>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</si>
  <si>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</si>
  <si>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</si>
  <si>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</si>
  <si>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</si>
  <si>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</si>
  <si>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</si>
  <si>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</si>
  <si>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</si>
  <si>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</si>
  <si>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</si>
  <si>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</si>
  <si>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</si>
  <si>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</si>
  <si>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</si>
  <si>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</si>
  <si>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</si>
  <si>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</si>
  <si>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</si>
  <si>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</si>
  <si>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</si>
  <si>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</si>
  <si>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</si>
  <si>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</si>
  <si>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</si>
  <si>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</si>
  <si>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</si>
  <si>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</si>
  <si>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</si>
  <si>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</si>
  <si>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</si>
  <si>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</si>
  <si>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</si>
  <si>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</si>
  <si>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</si>
  <si>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</si>
  <si>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</si>
  <si>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</si>
  <si>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</si>
  <si>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</si>
  <si>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</si>
  <si>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</si>
  <si>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</si>
  <si>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</si>
  <si>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</si>
  <si>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</si>
  <si>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</si>
  <si>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</si>
  <si>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</si>
  <si>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</si>
  <si>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</si>
  <si>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</si>
  <si>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</si>
  <si>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</si>
  <si>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</si>
  <si>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</si>
  <si>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</si>
  <si>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</si>
  <si>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</si>
  <si>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</si>
  <si>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</si>
  <si>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</si>
  <si>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</si>
  <si>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</si>
  <si>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</si>
  <si>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</si>
  <si>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</si>
  <si>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</si>
  <si>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</si>
  <si>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</si>
  <si>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</si>
  <si>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</si>
  <si>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</si>
  <si>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</si>
  <si>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</si>
  <si>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</si>
  <si>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</si>
  <si>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</si>
  <si>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</si>
  <si>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</si>
  <si>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</si>
  <si>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</si>
  <si>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</si>
  <si>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</si>
  <si>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</si>
  <si>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</si>
  <si>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</si>
  <si>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</si>
  <si>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</si>
  <si>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</si>
  <si>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</si>
  <si>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</si>
  <si>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</si>
  <si>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</si>
  <si>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</si>
  <si>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</si>
  <si>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</si>
  <si>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</si>
  <si>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</si>
  <si>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</si>
  <si>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</si>
  <si>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</si>
  <si>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</si>
  <si>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</si>
  <si>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</si>
  <si>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</si>
  <si>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</si>
  <si>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</si>
  <si>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</si>
  <si>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</si>
  <si>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</si>
  <si>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</si>
  <si>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</si>
  <si>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</si>
  <si>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</si>
  <si>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</si>
  <si>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</si>
  <si>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</si>
  <si>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</si>
  <si>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</si>
  <si>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</si>
  <si>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</si>
  <si>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</si>
  <si>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</si>
  <si>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</si>
  <si>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</si>
  <si>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</si>
  <si>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</si>
  <si>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</si>
  <si>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</si>
  <si>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</si>
  <si>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</si>
  <si>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</si>
  <si>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</si>
  <si>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</si>
  <si>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</si>
  <si>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</si>
  <si>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</si>
  <si>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</si>
  <si>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</si>
  <si>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</si>
  <si>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</si>
  <si>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</si>
  <si>
    <t>Todas las causas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</si>
</sst>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12098898</v>
      </c>
    </row>
    <row r="8" spans="1:3" ht="15" customHeight="1" x14ac:dyDescent="0.25">
      <c r="B8" s="5" t="s">
        <v>63</v>
      </c>
      <c r="C8" s="44">
        <v>0.29699999999999999</v>
      </c>
    </row>
    <row r="9" spans="1:3" ht="15" customHeight="1" x14ac:dyDescent="0.25">
      <c r="B9" s="5" t="s">
        <v>62</v>
      </c>
      <c r="C9" s="45">
        <v>0.01</v>
      </c>
    </row>
    <row r="10" spans="1:3" ht="15" customHeight="1" x14ac:dyDescent="0.25">
      <c r="B10" s="5" t="s">
        <v>75</v>
      </c>
      <c r="C10" s="45">
        <v>0.83125110000000002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0.126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0.1125</v>
      </c>
    </row>
    <row r="24" spans="1:3" ht="15" customHeight="1" x14ac:dyDescent="0.25">
      <c r="B24" s="15" t="s">
        <v>65</v>
      </c>
      <c r="C24" s="45">
        <v>0.58400000000000007</v>
      </c>
    </row>
    <row r="25" spans="1:3" ht="15" customHeight="1" x14ac:dyDescent="0.25">
      <c r="B25" s="15" t="s">
        <v>66</v>
      </c>
      <c r="C25" s="45">
        <v>0.28139999999999998</v>
      </c>
    </row>
    <row r="26" spans="1:3" ht="15" customHeight="1" x14ac:dyDescent="0.25">
      <c r="B26" s="15" t="s">
        <v>67</v>
      </c>
      <c r="C26" s="45">
        <v>2.2100000000000002E-2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0.31611757185067002</v>
      </c>
    </row>
    <row r="30" spans="1:3" ht="14.25" customHeight="1" x14ac:dyDescent="0.25">
      <c r="B30" s="25" t="s">
        <v>82</v>
      </c>
      <c r="C30" s="97">
        <v>5.6193137427978712E-2</v>
      </c>
    </row>
    <row r="31" spans="1:3" ht="14.25" customHeight="1" x14ac:dyDescent="0.25">
      <c r="B31" s="25" t="s">
        <v>29</v>
      </c>
      <c r="C31" s="97">
        <v>7.8032026225336698E-2</v>
      </c>
    </row>
    <row r="32" spans="1:3" ht="14.25" customHeight="1" x14ac:dyDescent="0.25">
      <c r="B32" s="25" t="s">
        <v>30</v>
      </c>
      <c r="C32" s="97">
        <v>0.54965726449601493</v>
      </c>
    </row>
    <row r="33" spans="1:5" ht="13.25" customHeight="1" x14ac:dyDescent="0.25">
      <c r="B33" s="27" t="s">
        <v>79</v>
      </c>
      <c r="C33" s="48">
        <f>SUM(C29:C32)</f>
        <v>1.0000000000000004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10.021610000000001</v>
      </c>
    </row>
    <row r="38" spans="1:5" ht="15" customHeight="1" x14ac:dyDescent="0.25">
      <c r="B38" s="11" t="s">
        <v>54</v>
      </c>
      <c r="C38" s="43">
        <v>16.233989999999999</v>
      </c>
      <c r="D38" s="12"/>
      <c r="E38" s="13"/>
    </row>
    <row r="39" spans="1:5" ht="15" customHeight="1" x14ac:dyDescent="0.25">
      <c r="B39" s="11" t="s">
        <v>80</v>
      </c>
      <c r="C39" s="43">
        <v>18.957830000000001</v>
      </c>
      <c r="D39" s="12"/>
      <c r="E39" s="12"/>
    </row>
    <row r="40" spans="1:5" ht="15" customHeight="1" x14ac:dyDescent="0.25">
      <c r="B40" s="11" t="s">
        <v>55</v>
      </c>
      <c r="C40" s="98">
        <v>0.17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9.19496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7.4682999999999998E-3</v>
      </c>
      <c r="D45" s="12"/>
    </row>
    <row r="46" spans="1:5" ht="15.75" customHeight="1" x14ac:dyDescent="0.25">
      <c r="B46" s="11" t="s">
        <v>70</v>
      </c>
      <c r="C46" s="45">
        <v>8.0245599999999986E-2</v>
      </c>
      <c r="D46" s="12"/>
    </row>
    <row r="47" spans="1:5" ht="15.75" customHeight="1" x14ac:dyDescent="0.25">
      <c r="B47" s="11" t="s">
        <v>78</v>
      </c>
      <c r="C47" s="45">
        <v>7.3898599999999995E-2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98">
        <v>4.2119999999999997</v>
      </c>
      <c r="D51" s="12"/>
    </row>
    <row r="52" spans="1:4" ht="15" customHeight="1" x14ac:dyDescent="0.25">
      <c r="B52" s="11" t="s">
        <v>32</v>
      </c>
      <c r="C52" s="98">
        <v>4.2119999999999997</v>
      </c>
    </row>
    <row r="53" spans="1:4" ht="15.75" customHeight="1" x14ac:dyDescent="0.25">
      <c r="B53" s="11" t="s">
        <v>35</v>
      </c>
      <c r="C53" s="98">
        <v>6.7859999999999996</v>
      </c>
    </row>
    <row r="54" spans="1:4" ht="15.75" customHeight="1" x14ac:dyDescent="0.25">
      <c r="B54" s="11" t="s">
        <v>33</v>
      </c>
      <c r="C54" s="98">
        <v>5.3560000000000008</v>
      </c>
    </row>
    <row r="55" spans="1:4" ht="15.75" customHeight="1" x14ac:dyDescent="0.25">
      <c r="B55" s="11" t="s">
        <v>34</v>
      </c>
      <c r="C55" s="98">
        <v>2.2359999999999989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2.0689655172413789E-2</v>
      </c>
    </row>
    <row r="59" spans="1:4" ht="15.75" customHeight="1" x14ac:dyDescent="0.25">
      <c r="B59" s="11" t="s">
        <v>59</v>
      </c>
      <c r="C59" s="45">
        <v>0.59136299999999997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ib90ptxURnIjwt4h7LGupjnmxzW2DOavZmiIduFI9EIgbfJ3UnoboqYrQNCrWgBSJVlSiotBXPwHUWKfFcPt7w==" saltValue="ii72v7/VY85HewVC6A3uk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2448253</v>
      </c>
      <c r="C2" s="49">
        <v>6094296.5</v>
      </c>
      <c r="D2" s="49">
        <v>8827032</v>
      </c>
      <c r="E2" s="49">
        <v>8318903</v>
      </c>
      <c r="F2" s="49">
        <v>5878256.5</v>
      </c>
      <c r="G2" s="17">
        <f t="shared" ref="G2:G13" si="0">C2+D2+E2+F2</f>
        <v>29118488</v>
      </c>
      <c r="H2" s="17">
        <f t="shared" ref="H2:H13" si="1">(B2 + stillbirth*B2/(1000-stillbirth))/(1-abortion)</f>
        <v>2807924.4346780693</v>
      </c>
      <c r="I2" s="17">
        <f t="shared" ref="I2:I13" si="2">G2-H2</f>
        <v>26310563.56532193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2450490</v>
      </c>
      <c r="C3" s="50">
        <v>6276160.5</v>
      </c>
      <c r="D3" s="50">
        <v>8938211</v>
      </c>
      <c r="E3" s="50">
        <v>8353224.5</v>
      </c>
      <c r="F3" s="50">
        <v>6083079</v>
      </c>
      <c r="G3" s="17">
        <f t="shared" si="0"/>
        <v>29650675</v>
      </c>
      <c r="H3" s="17">
        <f t="shared" si="1"/>
        <v>2810490.0710564889</v>
      </c>
      <c r="I3" s="17">
        <f t="shared" si="2"/>
        <v>26840184.928943511</v>
      </c>
    </row>
    <row r="4" spans="1:9" ht="15.75" customHeight="1" x14ac:dyDescent="0.25">
      <c r="A4" s="5">
        <f t="shared" si="3"/>
        <v>2026</v>
      </c>
      <c r="B4" s="49">
        <v>2459857</v>
      </c>
      <c r="C4" s="50">
        <v>6485555.5</v>
      </c>
      <c r="D4" s="50">
        <v>9065832</v>
      </c>
      <c r="E4" s="50">
        <v>8369424.5</v>
      </c>
      <c r="F4" s="50">
        <v>6286814</v>
      </c>
      <c r="G4" s="17">
        <f t="shared" si="0"/>
        <v>30207626</v>
      </c>
      <c r="H4" s="17">
        <f t="shared" si="1"/>
        <v>2821233.1716182483</v>
      </c>
      <c r="I4" s="17">
        <f t="shared" si="2"/>
        <v>27386392.828381751</v>
      </c>
    </row>
    <row r="5" spans="1:9" ht="15.75" customHeight="1" x14ac:dyDescent="0.25">
      <c r="A5" s="5">
        <f t="shared" si="3"/>
        <v>2027</v>
      </c>
      <c r="B5" s="49">
        <v>2468921</v>
      </c>
      <c r="C5" s="50">
        <v>6724670.4999999991</v>
      </c>
      <c r="D5" s="50">
        <v>9210190</v>
      </c>
      <c r="E5" s="50">
        <v>8376614.0000000009</v>
      </c>
      <c r="F5" s="50">
        <v>6488086</v>
      </c>
      <c r="G5" s="17">
        <f t="shared" si="0"/>
        <v>30799560.5</v>
      </c>
      <c r="H5" s="17">
        <f t="shared" si="1"/>
        <v>2831628.7586249518</v>
      </c>
      <c r="I5" s="17">
        <f t="shared" si="2"/>
        <v>27967931.741375048</v>
      </c>
    </row>
    <row r="6" spans="1:9" ht="15.75" customHeight="1" x14ac:dyDescent="0.25">
      <c r="A6" s="5">
        <f t="shared" si="3"/>
        <v>2028</v>
      </c>
      <c r="B6" s="49">
        <v>2476884</v>
      </c>
      <c r="C6" s="50">
        <v>6977941.5000000009</v>
      </c>
      <c r="D6" s="50">
        <v>9366249</v>
      </c>
      <c r="E6" s="50">
        <v>8386880</v>
      </c>
      <c r="F6" s="50">
        <v>6679897</v>
      </c>
      <c r="G6" s="17">
        <f t="shared" si="0"/>
        <v>31410967.5</v>
      </c>
      <c r="H6" s="17">
        <f t="shared" si="1"/>
        <v>2840761.5983573408</v>
      </c>
      <c r="I6" s="17">
        <f t="shared" si="2"/>
        <v>28570205.901642658</v>
      </c>
    </row>
    <row r="7" spans="1:9" ht="15.75" customHeight="1" x14ac:dyDescent="0.25">
      <c r="A7" s="5">
        <f t="shared" si="3"/>
        <v>2029</v>
      </c>
      <c r="B7" s="49">
        <v>2494652</v>
      </c>
      <c r="C7" s="50">
        <v>7229373.5000000009</v>
      </c>
      <c r="D7" s="50">
        <v>9533625.5</v>
      </c>
      <c r="E7" s="50">
        <v>8408895.5</v>
      </c>
      <c r="F7" s="50">
        <v>6854738</v>
      </c>
      <c r="G7" s="17">
        <f t="shared" si="0"/>
        <v>32026632.5</v>
      </c>
      <c r="H7" s="17">
        <f t="shared" si="1"/>
        <v>2861139.8849786012</v>
      </c>
      <c r="I7" s="17">
        <f t="shared" si="2"/>
        <v>29165492.6150214</v>
      </c>
    </row>
    <row r="8" spans="1:9" ht="15.75" customHeight="1" x14ac:dyDescent="0.25">
      <c r="A8" s="5">
        <f t="shared" si="3"/>
        <v>2030</v>
      </c>
      <c r="B8" s="49">
        <v>2504688</v>
      </c>
      <c r="C8" s="50">
        <v>7406688.5</v>
      </c>
      <c r="D8" s="50">
        <v>9736541</v>
      </c>
      <c r="E8" s="50">
        <v>8446853.5</v>
      </c>
      <c r="F8" s="50">
        <v>7007209</v>
      </c>
      <c r="G8" s="17">
        <f t="shared" si="0"/>
        <v>32597292</v>
      </c>
      <c r="H8" s="17">
        <f t="shared" si="1"/>
        <v>2872650.2679440985</v>
      </c>
      <c r="I8" s="17">
        <f t="shared" si="2"/>
        <v>29724641.732055902</v>
      </c>
    </row>
    <row r="9" spans="1:9" ht="15.75" customHeight="1" x14ac:dyDescent="0.25">
      <c r="A9" s="5">
        <f t="shared" si="3"/>
        <v>2031</v>
      </c>
      <c r="B9" s="49">
        <v>2528307</v>
      </c>
      <c r="C9" s="50">
        <v>7494790.0000000009</v>
      </c>
      <c r="D9" s="50">
        <v>9974220</v>
      </c>
      <c r="E9" s="50">
        <v>8506431</v>
      </c>
      <c r="F9" s="50">
        <v>7135036</v>
      </c>
      <c r="G9" s="17">
        <f t="shared" si="0"/>
        <v>33110477</v>
      </c>
      <c r="H9" s="17">
        <f t="shared" si="1"/>
        <v>2899739.1215971578</v>
      </c>
      <c r="I9" s="17">
        <f t="shared" si="2"/>
        <v>30210737.878402844</v>
      </c>
    </row>
    <row r="10" spans="1:9" ht="15.75" customHeight="1" x14ac:dyDescent="0.25">
      <c r="A10" s="5">
        <f t="shared" si="3"/>
        <v>2032</v>
      </c>
      <c r="B10" s="49">
        <v>2564728</v>
      </c>
      <c r="C10" s="50">
        <v>7529249</v>
      </c>
      <c r="D10" s="50">
        <v>10243348</v>
      </c>
      <c r="E10" s="50">
        <v>8576114.5</v>
      </c>
      <c r="F10" s="50">
        <v>7234751</v>
      </c>
      <c r="G10" s="17">
        <f t="shared" si="0"/>
        <v>33583462.5</v>
      </c>
      <c r="H10" s="17">
        <f t="shared" si="1"/>
        <v>2941510.7096787035</v>
      </c>
      <c r="I10" s="17">
        <f t="shared" si="2"/>
        <v>30641951.790321298</v>
      </c>
    </row>
    <row r="11" spans="1:9" ht="15.75" customHeight="1" x14ac:dyDescent="0.25">
      <c r="A11" s="5">
        <f t="shared" si="3"/>
        <v>2033</v>
      </c>
      <c r="B11" s="49">
        <v>2608172</v>
      </c>
      <c r="C11" s="50">
        <v>7492340.0000000009</v>
      </c>
      <c r="D11" s="50">
        <v>10550564</v>
      </c>
      <c r="E11" s="50">
        <v>8655815.5</v>
      </c>
      <c r="F11" s="50">
        <v>7312768.5</v>
      </c>
      <c r="G11" s="17">
        <f t="shared" si="0"/>
        <v>34011488</v>
      </c>
      <c r="H11" s="17">
        <f t="shared" si="1"/>
        <v>2991337.0426353686</v>
      </c>
      <c r="I11" s="17">
        <f t="shared" si="2"/>
        <v>31020150.95736463</v>
      </c>
    </row>
    <row r="12" spans="1:9" ht="15.75" customHeight="1" x14ac:dyDescent="0.25">
      <c r="A12" s="5">
        <f t="shared" si="3"/>
        <v>2034</v>
      </c>
      <c r="B12" s="49">
        <v>2645436</v>
      </c>
      <c r="C12" s="50">
        <v>7399273.5</v>
      </c>
      <c r="D12" s="50">
        <v>10884054.5</v>
      </c>
      <c r="E12" s="50">
        <v>8752247.0000000019</v>
      </c>
      <c r="F12" s="50">
        <v>7372478</v>
      </c>
      <c r="G12" s="17">
        <f t="shared" si="0"/>
        <v>34408053</v>
      </c>
      <c r="H12" s="17">
        <f t="shared" si="1"/>
        <v>3034075.4753601905</v>
      </c>
      <c r="I12" s="17">
        <f t="shared" si="2"/>
        <v>31373977.524639808</v>
      </c>
    </row>
    <row r="13" spans="1:9" ht="15.75" customHeight="1" x14ac:dyDescent="0.25">
      <c r="A13" s="5">
        <f t="shared" si="3"/>
        <v>2035</v>
      </c>
      <c r="B13" s="49">
        <v>2672163</v>
      </c>
      <c r="C13" s="50">
        <v>7278833.0000000009</v>
      </c>
      <c r="D13" s="50">
        <v>11225316.5</v>
      </c>
      <c r="E13" s="50">
        <v>8863369.5</v>
      </c>
      <c r="F13" s="50">
        <v>7408215</v>
      </c>
      <c r="G13" s="17">
        <f t="shared" si="0"/>
        <v>34775734</v>
      </c>
      <c r="H13" s="17">
        <f t="shared" si="1"/>
        <v>3064728.9234987777</v>
      </c>
      <c r="I13" s="17">
        <f t="shared" si="2"/>
        <v>31711005.07650122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2Y9woxHuLxh6xZIygewJIrOi0Lp8DvJlLcUKtN3/Szb5fm2Or3KeRsVdogBiAylA74VPBGr4M2IkAwQaK4Q6sg==" saltValue="RH53zTGYzFrPcvt9RWcsE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8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1.3478998652100139E-3</v>
      </c>
    </row>
    <row r="4" spans="1:8" ht="15.75" customHeight="1" x14ac:dyDescent="0.25">
      <c r="B4" s="19" t="s">
        <v>116</v>
      </c>
      <c r="C4" s="99">
        <v>4.0791195920880458E-2</v>
      </c>
    </row>
    <row r="5" spans="1:8" ht="15.75" customHeight="1" x14ac:dyDescent="0.25">
      <c r="B5" s="19" t="s">
        <v>114</v>
      </c>
      <c r="C5" s="99">
        <v>1.6696498330350171E-2</v>
      </c>
    </row>
    <row r="6" spans="1:8" ht="15.75" customHeight="1" x14ac:dyDescent="0.25">
      <c r="B6" s="19" t="s">
        <v>110</v>
      </c>
      <c r="C6" s="99">
        <v>0.17240298275970181</v>
      </c>
    </row>
    <row r="7" spans="1:8" ht="15.75" customHeight="1" x14ac:dyDescent="0.25">
      <c r="B7" s="19" t="s">
        <v>115</v>
      </c>
      <c r="C7" s="99">
        <v>0.47297665270233391</v>
      </c>
    </row>
    <row r="8" spans="1:8" ht="15.75" customHeight="1" x14ac:dyDescent="0.25">
      <c r="B8" s="19" t="s">
        <v>117</v>
      </c>
      <c r="C8" s="99">
        <v>1.5819998418000169E-4</v>
      </c>
    </row>
    <row r="9" spans="1:8" ht="15.75" customHeight="1" x14ac:dyDescent="0.25">
      <c r="B9" s="19" t="s">
        <v>111</v>
      </c>
      <c r="C9" s="99">
        <v>0.23270537672946309</v>
      </c>
    </row>
    <row r="10" spans="1:8" ht="15.75" customHeight="1" x14ac:dyDescent="0.25">
      <c r="B10" s="19" t="s">
        <v>113</v>
      </c>
      <c r="C10" s="99">
        <v>6.2921193707880657E-2</v>
      </c>
    </row>
    <row r="11" spans="1:8" ht="15.75" customHeight="1" x14ac:dyDescent="0.25">
      <c r="B11" s="27" t="s">
        <v>79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0" t="s">
        <v>93</v>
      </c>
      <c r="D13" s="100" t="s">
        <v>96</v>
      </c>
      <c r="E13" s="100" t="s">
        <v>94</v>
      </c>
      <c r="F13" s="100" t="s">
        <v>95</v>
      </c>
      <c r="G13" s="19"/>
    </row>
    <row r="14" spans="1:8" ht="15.75" customHeight="1" x14ac:dyDescent="0.25">
      <c r="B14" s="19" t="s">
        <v>103</v>
      </c>
      <c r="C14" s="55">
        <v>4.6044017435636637E-2</v>
      </c>
      <c r="D14" s="55">
        <v>4.6044017435636637E-2</v>
      </c>
      <c r="E14" s="55">
        <v>4.6044017435636637E-2</v>
      </c>
      <c r="F14" s="55">
        <v>4.6044017435636637E-2</v>
      </c>
    </row>
    <row r="15" spans="1:8" ht="15.75" customHeight="1" x14ac:dyDescent="0.25">
      <c r="B15" s="19" t="s">
        <v>121</v>
      </c>
      <c r="C15" s="99">
        <v>0.63344980973316023</v>
      </c>
      <c r="D15" s="99">
        <v>0.63344980973316023</v>
      </c>
      <c r="E15" s="99">
        <v>0.63344980973316023</v>
      </c>
      <c r="F15" s="99">
        <v>0.63344980973316023</v>
      </c>
    </row>
    <row r="16" spans="1:8" ht="15.75" customHeight="1" x14ac:dyDescent="0.25">
      <c r="B16" s="19" t="s">
        <v>2</v>
      </c>
      <c r="C16" s="99">
        <v>1.129582496415343E-2</v>
      </c>
      <c r="D16" s="99">
        <v>1.129582496415343E-2</v>
      </c>
      <c r="E16" s="99">
        <v>1.129582496415343E-2</v>
      </c>
      <c r="F16" s="99">
        <v>1.129582496415343E-2</v>
      </c>
    </row>
    <row r="17" spans="1:8" ht="15.75" customHeight="1" x14ac:dyDescent="0.25">
      <c r="B17" s="19" t="s">
        <v>109</v>
      </c>
      <c r="C17" s="99">
        <v>3.894837078298569E-3</v>
      </c>
      <c r="D17" s="99">
        <v>3.894837078298569E-3</v>
      </c>
      <c r="E17" s="99">
        <v>3.894837078298569E-3</v>
      </c>
      <c r="F17" s="99">
        <v>3.894837078298569E-3</v>
      </c>
    </row>
    <row r="18" spans="1:8" ht="15.75" customHeight="1" x14ac:dyDescent="0.25">
      <c r="B18" s="19" t="s">
        <v>3</v>
      </c>
      <c r="C18" s="99">
        <v>0</v>
      </c>
      <c r="D18" s="99">
        <v>0</v>
      </c>
      <c r="E18" s="99">
        <v>0</v>
      </c>
      <c r="F18" s="99">
        <v>0</v>
      </c>
    </row>
    <row r="19" spans="1:8" ht="15.75" customHeight="1" x14ac:dyDescent="0.25">
      <c r="B19" s="19" t="s">
        <v>120</v>
      </c>
      <c r="C19" s="99">
        <v>1.319115285484122E-2</v>
      </c>
      <c r="D19" s="99">
        <v>1.319115285484122E-2</v>
      </c>
      <c r="E19" s="99">
        <v>1.319115285484122E-2</v>
      </c>
      <c r="F19" s="99">
        <v>1.319115285484122E-2</v>
      </c>
    </row>
    <row r="20" spans="1:8" ht="15.75" customHeight="1" x14ac:dyDescent="0.25">
      <c r="B20" s="19" t="s">
        <v>98</v>
      </c>
      <c r="C20" s="99">
        <v>7.1059375253170812E-3</v>
      </c>
      <c r="D20" s="99">
        <v>7.1059375253170812E-3</v>
      </c>
      <c r="E20" s="99">
        <v>7.1059375253170812E-3</v>
      </c>
      <c r="F20" s="99">
        <v>7.1059375253170812E-3</v>
      </c>
    </row>
    <row r="21" spans="1:8" ht="15.75" customHeight="1" x14ac:dyDescent="0.25">
      <c r="B21" s="19" t="s">
        <v>107</v>
      </c>
      <c r="C21" s="99">
        <v>0.2259862107187873</v>
      </c>
      <c r="D21" s="99">
        <v>0.2259862107187873</v>
      </c>
      <c r="E21" s="99">
        <v>0.2259862107187873</v>
      </c>
      <c r="F21" s="99">
        <v>0.2259862107187873</v>
      </c>
    </row>
    <row r="22" spans="1:8" ht="15.75" customHeight="1" x14ac:dyDescent="0.25">
      <c r="B22" s="19" t="s">
        <v>118</v>
      </c>
      <c r="C22" s="99">
        <v>5.9032209689805611E-2</v>
      </c>
      <c r="D22" s="99">
        <v>5.9032209689805611E-2</v>
      </c>
      <c r="E22" s="99">
        <v>5.9032209689805611E-2</v>
      </c>
      <c r="F22" s="99">
        <v>5.9032209689805611E-2</v>
      </c>
    </row>
    <row r="23" spans="1:8" ht="15.75" customHeight="1" x14ac:dyDescent="0.25">
      <c r="B23" s="27" t="s">
        <v>79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2.7001540000000001E-2</v>
      </c>
    </row>
    <row r="27" spans="1:8" ht="15.75" customHeight="1" x14ac:dyDescent="0.25">
      <c r="B27" s="19" t="s">
        <v>108</v>
      </c>
      <c r="C27" s="99">
        <v>1.6281780999999999E-2</v>
      </c>
    </row>
    <row r="28" spans="1:8" ht="15.75" customHeight="1" x14ac:dyDescent="0.25">
      <c r="B28" s="19" t="s">
        <v>122</v>
      </c>
      <c r="C28" s="99">
        <v>0.425831776</v>
      </c>
    </row>
    <row r="29" spans="1:8" ht="15.75" customHeight="1" x14ac:dyDescent="0.25">
      <c r="B29" s="19" t="s">
        <v>105</v>
      </c>
      <c r="C29" s="99">
        <v>0.19528870200000001</v>
      </c>
    </row>
    <row r="30" spans="1:8" ht="15.75" customHeight="1" x14ac:dyDescent="0.25">
      <c r="B30" s="19" t="s">
        <v>4</v>
      </c>
      <c r="C30" s="99">
        <v>4.8735185E-2</v>
      </c>
    </row>
    <row r="31" spans="1:8" ht="15.75" customHeight="1" x14ac:dyDescent="0.25">
      <c r="B31" s="19" t="s">
        <v>99</v>
      </c>
      <c r="C31" s="99">
        <v>2.3526106000000001E-2</v>
      </c>
    </row>
    <row r="32" spans="1:8" ht="15.75" customHeight="1" x14ac:dyDescent="0.25">
      <c r="B32" s="19" t="s">
        <v>104</v>
      </c>
      <c r="C32" s="99">
        <v>7.7799310000000003E-3</v>
      </c>
    </row>
    <row r="33" spans="2:3" ht="15.75" customHeight="1" x14ac:dyDescent="0.25">
      <c r="B33" s="19" t="s">
        <v>119</v>
      </c>
      <c r="C33" s="99">
        <v>0.13107344500000001</v>
      </c>
    </row>
    <row r="34" spans="2:3" ht="15.75" customHeight="1" x14ac:dyDescent="0.25">
      <c r="B34" s="19" t="s">
        <v>106</v>
      </c>
      <c r="C34" s="99">
        <v>0.124481534</v>
      </c>
    </row>
    <row r="35" spans="2:3" ht="15.75" customHeight="1" x14ac:dyDescent="0.25">
      <c r="B35" s="27" t="s">
        <v>79</v>
      </c>
      <c r="C35" s="48">
        <f>SUM(C26:C34)</f>
        <v>1</v>
      </c>
    </row>
  </sheetData>
  <sheetProtection algorithmName="SHA-512" hashValue="F+8fBjZr94obfquWoVwo/8a+MD0NRSamoB+bxpz+X1N0/75liC+ijCtnOImZlyACB6uTeFd0R+oj4BpdUoOQFQ==" saltValue="myuHKiHlmjvPlnHr/w4zEw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0.41894613025163441</v>
      </c>
      <c r="D2" s="52">
        <f>IFERROR(1-_xlfn.NORM.DIST(_xlfn.NORM.INV(SUM(D4:D5), 0, 1) + 1, 0, 1, TRUE), "")</f>
        <v>0.41894613025163441</v>
      </c>
      <c r="E2" s="52">
        <f>IFERROR(1-_xlfn.NORM.DIST(_xlfn.NORM.INV(SUM(E4:E5), 0, 1) + 1, 0, 1, TRUE), "")</f>
        <v>0.46841153020316906</v>
      </c>
      <c r="F2" s="52">
        <f>IFERROR(1-_xlfn.NORM.DIST(_xlfn.NORM.INV(SUM(F4:F5), 0, 1) + 1, 0, 1, TRUE), "")</f>
        <v>0.38200498466942279</v>
      </c>
      <c r="G2" s="52">
        <f>IFERROR(1-_xlfn.NORM.DIST(_xlfn.NORM.INV(SUM(G4:G5), 0, 1) + 1, 0, 1, TRUE), "")</f>
        <v>0.40237292854156914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0.36786626974836556</v>
      </c>
      <c r="D3" s="52">
        <f>IFERROR(_xlfn.NORM.DIST(_xlfn.NORM.INV(SUM(D4:D5), 0, 1) + 1, 0, 1, TRUE) - SUM(D4:D5), "")</f>
        <v>0.36786626974836556</v>
      </c>
      <c r="E3" s="52">
        <f>IFERROR(_xlfn.NORM.DIST(_xlfn.NORM.INV(SUM(E4:E5), 0, 1) + 1, 0, 1, TRUE) - SUM(E4:E5), "")</f>
        <v>0.35299446979683097</v>
      </c>
      <c r="F3" s="52">
        <f>IFERROR(_xlfn.NORM.DIST(_xlfn.NORM.INV(SUM(F4:F5), 0, 1) + 1, 0, 1, TRUE) - SUM(F4:F5), "")</f>
        <v>0.37596291533057724</v>
      </c>
      <c r="G3" s="52">
        <f>IFERROR(_xlfn.NORM.DIST(_xlfn.NORM.INV(SUM(G4:G5), 0, 1) + 1, 0, 1, TRUE) - SUM(G4:G5), "")</f>
        <v>0.37183907145843087</v>
      </c>
    </row>
    <row r="4" spans="1:15" ht="15.75" customHeight="1" x14ac:dyDescent="0.25">
      <c r="B4" s="5" t="s">
        <v>129</v>
      </c>
      <c r="C4" s="45">
        <v>0.1047034</v>
      </c>
      <c r="D4" s="53">
        <v>0.1047034</v>
      </c>
      <c r="E4" s="53">
        <v>8.4055999999999992E-2</v>
      </c>
      <c r="F4" s="53">
        <v>0.1151422</v>
      </c>
      <c r="G4" s="53">
        <v>0.1215001</v>
      </c>
    </row>
    <row r="5" spans="1:15" ht="15.75" customHeight="1" x14ac:dyDescent="0.25">
      <c r="B5" s="5" t="s">
        <v>125</v>
      </c>
      <c r="C5" s="45">
        <v>0.1084842</v>
      </c>
      <c r="D5" s="53">
        <v>0.1084842</v>
      </c>
      <c r="E5" s="53">
        <v>9.4537999999999997E-2</v>
      </c>
      <c r="F5" s="53">
        <v>0.1268899</v>
      </c>
      <c r="G5" s="53">
        <v>0.1042879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0.5009786502764576</v>
      </c>
      <c r="D8" s="52">
        <f>IFERROR(1-_xlfn.NORM.DIST(_xlfn.NORM.INV(SUM(D10:D11), 0, 1) + 1, 0, 1, TRUE), "")</f>
        <v>0.5009786502764576</v>
      </c>
      <c r="E8" s="52">
        <f>IFERROR(1-_xlfn.NORM.DIST(_xlfn.NORM.INV(SUM(E10:E11), 0, 1) + 1, 0, 1, TRUE), "")</f>
        <v>0.56063795521593507</v>
      </c>
      <c r="F8" s="52">
        <f>IFERROR(1-_xlfn.NORM.DIST(_xlfn.NORM.INV(SUM(F10:F11), 0, 1) + 1, 0, 1, TRUE), "")</f>
        <v>0.61076826862092559</v>
      </c>
      <c r="G8" s="52">
        <f>IFERROR(1-_xlfn.NORM.DIST(_xlfn.NORM.INV(SUM(G10:G11), 0, 1) + 1, 0, 1, TRUE), "")</f>
        <v>0.66709630739965298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0.3409589497235424</v>
      </c>
      <c r="D9" s="52">
        <f>IFERROR(_xlfn.NORM.DIST(_xlfn.NORM.INV(SUM(D10:D11), 0, 1) + 1, 0, 1, TRUE) - SUM(D10:D11), "")</f>
        <v>0.3409589497235424</v>
      </c>
      <c r="E9" s="52">
        <f>IFERROR(_xlfn.NORM.DIST(_xlfn.NORM.INV(SUM(E10:E11), 0, 1) + 1, 0, 1, TRUE) - SUM(E10:E11), "")</f>
        <v>0.31482204478406489</v>
      </c>
      <c r="F9" s="52">
        <f>IFERROR(_xlfn.NORM.DIST(_xlfn.NORM.INV(SUM(F10:F11), 0, 1) + 1, 0, 1, TRUE) - SUM(F10:F11), "")</f>
        <v>0.28919143137907444</v>
      </c>
      <c r="G9" s="52">
        <f>IFERROR(_xlfn.NORM.DIST(_xlfn.NORM.INV(SUM(G10:G11), 0, 1) + 1, 0, 1, TRUE) - SUM(G10:G11), "")</f>
        <v>0.25681879260034701</v>
      </c>
    </row>
    <row r="10" spans="1:15" ht="15.75" customHeight="1" x14ac:dyDescent="0.25">
      <c r="B10" s="5" t="s">
        <v>126</v>
      </c>
      <c r="C10" s="45">
        <v>6.7265100000000008E-2</v>
      </c>
      <c r="D10" s="53">
        <v>6.7265100000000008E-2</v>
      </c>
      <c r="E10" s="53">
        <v>5.1812700000000003E-2</v>
      </c>
      <c r="F10" s="53">
        <v>5.5065799999999998E-2</v>
      </c>
      <c r="G10" s="53">
        <v>3.9398900000000001E-2</v>
      </c>
    </row>
    <row r="11" spans="1:15" ht="15.75" customHeight="1" x14ac:dyDescent="0.25">
      <c r="B11" s="5" t="s">
        <v>138</v>
      </c>
      <c r="C11" s="45">
        <v>9.0797299999999997E-2</v>
      </c>
      <c r="D11" s="53">
        <v>9.0797299999999997E-2</v>
      </c>
      <c r="E11" s="53">
        <v>7.2727299999999995E-2</v>
      </c>
      <c r="F11" s="53">
        <v>4.4974500000000001E-2</v>
      </c>
      <c r="G11" s="53">
        <v>3.6686000000000003E-2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0.53595509000000008</v>
      </c>
      <c r="D14" s="54">
        <v>0.52223759440999995</v>
      </c>
      <c r="E14" s="54">
        <v>0.52223759440999995</v>
      </c>
      <c r="F14" s="54">
        <v>0.30702391420699998</v>
      </c>
      <c r="G14" s="54">
        <v>0.30702391420699998</v>
      </c>
      <c r="H14" s="45">
        <v>0.22600000000000001</v>
      </c>
      <c r="I14" s="55">
        <v>0.22600000000000001</v>
      </c>
      <c r="J14" s="55">
        <v>0.22600000000000001</v>
      </c>
      <c r="K14" s="55">
        <v>0.22600000000000001</v>
      </c>
      <c r="L14" s="45">
        <v>0.28899999999999998</v>
      </c>
      <c r="M14" s="55">
        <v>0.28899999999999998</v>
      </c>
      <c r="N14" s="55">
        <v>0.28899999999999998</v>
      </c>
      <c r="O14" s="55">
        <v>0.28899999999999998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0.31694400988767002</v>
      </c>
      <c r="D15" s="52">
        <f t="shared" si="0"/>
        <v>0.3088319905430808</v>
      </c>
      <c r="E15" s="52">
        <f t="shared" si="0"/>
        <v>0.3088319905430808</v>
      </c>
      <c r="F15" s="52">
        <f t="shared" si="0"/>
        <v>0.18156258297719413</v>
      </c>
      <c r="G15" s="52">
        <f t="shared" si="0"/>
        <v>0.18156258297719413</v>
      </c>
      <c r="H15" s="52">
        <f t="shared" si="0"/>
        <v>0.133648038</v>
      </c>
      <c r="I15" s="52">
        <f t="shared" si="0"/>
        <v>0.133648038</v>
      </c>
      <c r="J15" s="52">
        <f t="shared" si="0"/>
        <v>0.133648038</v>
      </c>
      <c r="K15" s="52">
        <f t="shared" si="0"/>
        <v>0.133648038</v>
      </c>
      <c r="L15" s="52">
        <f t="shared" si="0"/>
        <v>0.17090390699999997</v>
      </c>
      <c r="M15" s="52">
        <f t="shared" si="0"/>
        <v>0.17090390699999997</v>
      </c>
      <c r="N15" s="52">
        <f t="shared" si="0"/>
        <v>0.17090390699999997</v>
      </c>
      <c r="O15" s="52">
        <f t="shared" si="0"/>
        <v>0.17090390699999997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Eg+Ps26AGAje3yNrFXjsJM0sLXx8eXuxzULUcAvHOjArg2XyeDHypfqHciL68A2fG7+Wd8U8mHrhjvUs+2jsrw==" saltValue="OWTuQ8u72A/MZZG0aAIZv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0.70579639999999999</v>
      </c>
      <c r="D2" s="53">
        <v>0.35294160000000002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0.15333430000000001</v>
      </c>
      <c r="D3" s="53">
        <v>0.30136089999999999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0.10710359999999999</v>
      </c>
      <c r="D4" s="53">
        <v>0.27389649999999999</v>
      </c>
      <c r="E4" s="53">
        <v>0.88846329999999996</v>
      </c>
      <c r="F4" s="53">
        <v>0.50463610000000003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3.376570000000001E-2</v>
      </c>
      <c r="D5" s="52">
        <f t="shared" si="0"/>
        <v>7.1801000000000004E-2</v>
      </c>
      <c r="E5" s="52">
        <f>1-SUM(E2:E4)</f>
        <v>0.11153670000000004</v>
      </c>
      <c r="F5" s="52">
        <f>1-SUM(F2:F4)</f>
        <v>0.49536389999999997</v>
      </c>
      <c r="G5" s="52">
        <f>1-SUM(G2:G4)</f>
        <v>1</v>
      </c>
    </row>
  </sheetData>
  <sheetProtection algorithmName="SHA-512" hashValue="YKNnivyVzTlvil1WNLaGcei1GySW6ntXMWPlPUxciNkt2T66dehI615bMy0QCYJfHyhMsw7o4dZarWuBJky7Ow==" saltValue="NVxkbGRPswDU/QGxCciKyg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nVTJHfkSrTbRBtTBxnFaoKx35VrIwrk5gkZJNcz+tVLH++QfZZTfZCBIngJRSvVBAahP8K2M9JnfPX3AOBKGJw==" saltValue="xFPGfwlnT7QWMe2sTQtgL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10</v>
      </c>
      <c r="B1" s="103" t="s">
        <v>11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160</v>
      </c>
      <c r="B2" s="107">
        <v>4295.4074956101404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159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170</v>
      </c>
      <c r="B4" s="108">
        <v>0.41764000000000001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161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162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165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164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166</v>
      </c>
      <c r="B9" s="108">
        <v>0.17492999999999997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163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171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172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173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174</v>
      </c>
      <c r="B14" s="110">
        <v>1.568345529233019E-2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167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168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169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175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12</v>
      </c>
      <c r="B21" s="106" t="s">
        <v>13</v>
      </c>
      <c r="C21" s="106" t="s">
        <v>14</v>
      </c>
      <c r="D21" s="106" t="s">
        <v>15</v>
      </c>
      <c r="E21" s="106" t="s">
        <v>16</v>
      </c>
      <c r="F21" s="106" t="s">
        <v>17</v>
      </c>
      <c r="G21" s="106" t="s">
        <v>18</v>
      </c>
      <c r="H21" s="106" t="s">
        <v>19</v>
      </c>
      <c r="I21" s="106" t="s">
        <v>20</v>
      </c>
      <c r="J21" s="106" t="s">
        <v>21</v>
      </c>
      <c r="K21" s="106" t="s">
        <v>22</v>
      </c>
      <c r="L21" s="106" t="s">
        <v>23</v>
      </c>
      <c r="M21" s="106" t="s">
        <v>24</v>
      </c>
      <c r="N21" s="106" t="s">
        <v>25</v>
      </c>
      <c r="O21" s="106" t="s">
        <v>26</v>
      </c>
    </row>
    <row r="22" spans="1:15" x14ac:dyDescent="0.25">
      <c r="A22" s="106" t="s">
        <v>176</v>
      </c>
      <c r="B22" s="107">
        <v>97936.726179999998</v>
      </c>
      <c r="C22" s="107">
        <v>97718.475349999993</v>
      </c>
      <c r="D22" s="107">
        <v>97515.524650000007</v>
      </c>
      <c r="E22" s="107">
        <v>97145.710550000003</v>
      </c>
      <c r="F22" s="107">
        <v>96749.700570000001</v>
      </c>
      <c r="G22" s="107">
        <v>96325.239079999999</v>
      </c>
      <c r="H22" s="107">
        <v>95766.170440000002</v>
      </c>
      <c r="I22" s="107">
        <v>95017.260980000006</v>
      </c>
      <c r="J22" s="107">
        <v>93922.382710000005</v>
      </c>
      <c r="K22" s="107">
        <v>92171.839460000003</v>
      </c>
      <c r="L22" s="107">
        <v>88832.398679999998</v>
      </c>
      <c r="M22" s="107">
        <v>83161.487110000002</v>
      </c>
      <c r="N22" s="107">
        <v>74768.493459999998</v>
      </c>
      <c r="O22" s="107">
        <v>62809.357459999999</v>
      </c>
    </row>
  </sheetData>
  <sheetProtection algorithmName="SHA-512" hashValue="brsJFc56BfkNsZUtrBIlgzTOS120n4hg1hh/F1FOp31M7C1EpaT66r3yrn+Z+QhYfqgiLAnC/AilUbaaDOdSrA==" saltValue="UhelW0IqSlvvlvEVPO1dzA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NTGzFyDgJ6jsRygC6QM6ro5cuTHNpvvKDKHJgxROOrr6FwBq7rznGWn+/2r7Fu1qm9chFuxWEcCUqGl5PEmhOg==" saltValue="Zt/mdfSf3a1mWTeO9bWz/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5rP1noXyIeXmkqmfawinnAhGH8982X7UUnK6Kuez5qNoYVMZKX9Ed17vgbl+3lHXekkYCLx3D2ZiPYsrl4Zaig==" saltValue="aHVziRC4SJWJiT54Wa+dW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6">
        <v>0.95</v>
      </c>
      <c r="D2" s="56">
        <v>19.75</v>
      </c>
      <c r="E2" s="56" t="s">
        <v>212</v>
      </c>
      <c r="F2" s="96">
        <v>1</v>
      </c>
      <c r="G2" s="96">
        <v>1</v>
      </c>
    </row>
    <row r="3" spans="1:7" ht="15.75" customHeight="1" x14ac:dyDescent="0.25">
      <c r="A3" s="5" t="s">
        <v>195</v>
      </c>
      <c r="B3" s="45">
        <v>0</v>
      </c>
      <c r="C3" s="96">
        <v>0.95</v>
      </c>
      <c r="D3" s="56">
        <v>19.75</v>
      </c>
      <c r="E3" s="56" t="s">
        <v>212</v>
      </c>
      <c r="F3" s="96">
        <v>1</v>
      </c>
      <c r="G3" s="96">
        <v>1</v>
      </c>
    </row>
    <row r="4" spans="1:7" ht="15.75" customHeight="1" x14ac:dyDescent="0.25">
      <c r="A4" s="5" t="s">
        <v>196</v>
      </c>
      <c r="B4" s="96">
        <v>0</v>
      </c>
      <c r="C4" s="96">
        <v>0.95</v>
      </c>
      <c r="D4" s="56">
        <v>7.4289688625382997</v>
      </c>
      <c r="E4" s="56" t="s">
        <v>212</v>
      </c>
      <c r="F4" s="96">
        <v>1</v>
      </c>
      <c r="G4" s="96">
        <v>1</v>
      </c>
    </row>
    <row r="5" spans="1:7" ht="15.75" customHeight="1" x14ac:dyDescent="0.25">
      <c r="A5" s="5" t="s">
        <v>198</v>
      </c>
      <c r="B5" s="96">
        <v>0</v>
      </c>
      <c r="C5" s="96">
        <v>0.95</v>
      </c>
      <c r="D5" s="56">
        <v>0.48</v>
      </c>
      <c r="E5" s="56" t="s">
        <v>212</v>
      </c>
      <c r="F5" s="96">
        <v>1</v>
      </c>
      <c r="G5" s="96">
        <v>1</v>
      </c>
    </row>
    <row r="6" spans="1:7" ht="15.75" customHeight="1" x14ac:dyDescent="0.25">
      <c r="A6" s="5" t="s">
        <v>199</v>
      </c>
      <c r="B6" s="96">
        <v>0</v>
      </c>
      <c r="C6" s="96">
        <v>0.95</v>
      </c>
      <c r="D6" s="56">
        <v>99.99</v>
      </c>
      <c r="E6" s="56" t="s">
        <v>212</v>
      </c>
      <c r="F6" s="96">
        <v>1</v>
      </c>
      <c r="G6" s="96">
        <v>1</v>
      </c>
    </row>
    <row r="7" spans="1:7" ht="15.75" customHeight="1" x14ac:dyDescent="0.25">
      <c r="A7" s="5" t="s">
        <v>200</v>
      </c>
      <c r="B7" s="96">
        <v>0</v>
      </c>
      <c r="C7" s="96">
        <v>0.95</v>
      </c>
      <c r="D7" s="56">
        <v>0.19283527130965261</v>
      </c>
      <c r="E7" s="56" t="s">
        <v>212</v>
      </c>
      <c r="F7" s="96">
        <v>1</v>
      </c>
      <c r="G7" s="96">
        <v>1</v>
      </c>
    </row>
    <row r="8" spans="1:7" ht="15.75" customHeight="1" x14ac:dyDescent="0.25">
      <c r="A8" s="5" t="s">
        <v>201</v>
      </c>
      <c r="B8" s="96">
        <v>0</v>
      </c>
      <c r="C8" s="96">
        <v>0.95</v>
      </c>
      <c r="D8" s="56">
        <v>0.10284547803181469</v>
      </c>
      <c r="E8" s="56" t="s">
        <v>212</v>
      </c>
      <c r="F8" s="96">
        <v>1</v>
      </c>
      <c r="G8" s="96">
        <v>1</v>
      </c>
    </row>
    <row r="9" spans="1:7" ht="15.75" customHeight="1" x14ac:dyDescent="0.25">
      <c r="A9" s="5" t="s">
        <v>202</v>
      </c>
      <c r="B9" s="96">
        <v>0</v>
      </c>
      <c r="C9" s="96">
        <v>0.95</v>
      </c>
      <c r="D9" s="56">
        <v>0.4</v>
      </c>
      <c r="E9" s="56" t="s">
        <v>212</v>
      </c>
      <c r="F9" s="96">
        <v>1</v>
      </c>
      <c r="G9" s="96">
        <v>1</v>
      </c>
    </row>
    <row r="10" spans="1:7" ht="15.75" customHeight="1" x14ac:dyDescent="0.25">
      <c r="A10" s="11" t="s">
        <v>203</v>
      </c>
      <c r="B10" s="45">
        <v>0.36073490000000002</v>
      </c>
      <c r="C10" s="96">
        <v>0.95</v>
      </c>
      <c r="D10" s="56">
        <v>12.9171902178847</v>
      </c>
      <c r="E10" s="56" t="s">
        <v>212</v>
      </c>
      <c r="F10" s="96">
        <v>1</v>
      </c>
      <c r="G10" s="96">
        <v>1</v>
      </c>
    </row>
    <row r="11" spans="1:7" ht="15.75" customHeight="1" x14ac:dyDescent="0.25">
      <c r="A11" s="11" t="s">
        <v>204</v>
      </c>
      <c r="B11" s="96">
        <v>0</v>
      </c>
      <c r="C11" s="96">
        <v>0.95</v>
      </c>
      <c r="D11" s="56">
        <v>12.9171902178847</v>
      </c>
      <c r="E11" s="56" t="s">
        <v>212</v>
      </c>
      <c r="F11" s="96">
        <v>1</v>
      </c>
      <c r="G11" s="96">
        <v>1</v>
      </c>
    </row>
    <row r="12" spans="1:7" ht="15.75" customHeight="1" x14ac:dyDescent="0.25">
      <c r="A12" s="11" t="s">
        <v>205</v>
      </c>
      <c r="B12" s="96">
        <v>0</v>
      </c>
      <c r="C12" s="96">
        <v>0.95</v>
      </c>
      <c r="D12" s="56">
        <v>12.9171902178847</v>
      </c>
      <c r="E12" s="56" t="s">
        <v>212</v>
      </c>
      <c r="F12" s="96">
        <v>1</v>
      </c>
      <c r="G12" s="96">
        <v>1</v>
      </c>
    </row>
    <row r="13" spans="1:7" ht="15.75" customHeight="1" x14ac:dyDescent="0.25">
      <c r="A13" s="11" t="s">
        <v>206</v>
      </c>
      <c r="B13" s="96">
        <v>0</v>
      </c>
      <c r="C13" s="96">
        <v>0.95</v>
      </c>
      <c r="D13" s="56">
        <v>12.9171902178847</v>
      </c>
      <c r="E13" s="56" t="s">
        <v>212</v>
      </c>
      <c r="F13" s="96">
        <v>1</v>
      </c>
      <c r="G13" s="96">
        <v>1</v>
      </c>
    </row>
    <row r="14" spans="1:7" ht="15.75" customHeight="1" x14ac:dyDescent="0.25">
      <c r="A14" s="5" t="s">
        <v>207</v>
      </c>
      <c r="B14" s="45">
        <v>0.36073490000000002</v>
      </c>
      <c r="C14" s="96">
        <v>0.95</v>
      </c>
      <c r="D14" s="56">
        <v>12.9171902178847</v>
      </c>
      <c r="E14" s="56" t="s">
        <v>212</v>
      </c>
      <c r="F14" s="96">
        <v>1</v>
      </c>
      <c r="G14" s="96">
        <v>1</v>
      </c>
    </row>
    <row r="15" spans="1:7" ht="15.75" customHeight="1" x14ac:dyDescent="0.25">
      <c r="A15" s="5" t="s">
        <v>208</v>
      </c>
      <c r="B15" s="96">
        <v>0</v>
      </c>
      <c r="C15" s="96">
        <v>0.95</v>
      </c>
      <c r="D15" s="56">
        <v>12.9171902178847</v>
      </c>
      <c r="E15" s="56" t="s">
        <v>212</v>
      </c>
      <c r="F15" s="96">
        <v>1</v>
      </c>
      <c r="G15" s="96">
        <v>1</v>
      </c>
    </row>
    <row r="16" spans="1:7" ht="15.75" customHeight="1" x14ac:dyDescent="0.25">
      <c r="A16" s="5" t="s">
        <v>209</v>
      </c>
      <c r="B16" s="45">
        <v>0</v>
      </c>
      <c r="C16" s="96">
        <v>0.95</v>
      </c>
      <c r="D16" s="56">
        <v>2.5</v>
      </c>
      <c r="E16" s="56" t="s">
        <v>212</v>
      </c>
      <c r="F16" s="96">
        <v>1</v>
      </c>
      <c r="G16" s="96">
        <v>1</v>
      </c>
    </row>
    <row r="17" spans="1:7" ht="15.75" customHeight="1" x14ac:dyDescent="0.25">
      <c r="A17" s="5" t="s">
        <v>210</v>
      </c>
      <c r="B17" s="96">
        <v>0</v>
      </c>
      <c r="C17" s="96">
        <v>0.95</v>
      </c>
      <c r="D17" s="56">
        <v>7.992352075384429E-2</v>
      </c>
      <c r="E17" s="56" t="s">
        <v>212</v>
      </c>
      <c r="F17" s="96">
        <v>1</v>
      </c>
      <c r="G17" s="96">
        <v>1</v>
      </c>
    </row>
    <row r="18" spans="1:7" ht="15.9" customHeight="1" x14ac:dyDescent="0.25">
      <c r="A18" s="5" t="s">
        <v>180</v>
      </c>
      <c r="B18" s="96">
        <v>0.81099999999999994</v>
      </c>
      <c r="C18" s="96">
        <v>0.95</v>
      </c>
      <c r="D18" s="56">
        <v>7.4289688625382997</v>
      </c>
      <c r="E18" s="56" t="s">
        <v>212</v>
      </c>
      <c r="F18" s="96">
        <v>1</v>
      </c>
      <c r="G18" s="96">
        <v>1</v>
      </c>
    </row>
    <row r="19" spans="1:7" ht="15.75" customHeight="1" x14ac:dyDescent="0.25">
      <c r="A19" s="5" t="s">
        <v>181</v>
      </c>
      <c r="B19" s="96">
        <v>0.35294160000000002</v>
      </c>
      <c r="C19" s="96">
        <v>0.95</v>
      </c>
      <c r="D19" s="56">
        <v>8.03774489307912</v>
      </c>
      <c r="E19" s="56" t="s">
        <v>212</v>
      </c>
      <c r="F19" s="96">
        <v>1</v>
      </c>
      <c r="G19" s="96">
        <v>1</v>
      </c>
    </row>
    <row r="20" spans="1:7" ht="15.75" customHeight="1" x14ac:dyDescent="0.25">
      <c r="A20" s="5" t="s">
        <v>182</v>
      </c>
      <c r="B20" s="96">
        <v>0</v>
      </c>
      <c r="C20" s="96">
        <v>0.95</v>
      </c>
      <c r="D20" s="56">
        <v>99.99</v>
      </c>
      <c r="E20" s="56" t="s">
        <v>212</v>
      </c>
      <c r="F20" s="96">
        <v>1</v>
      </c>
      <c r="G20" s="96">
        <v>1</v>
      </c>
    </row>
    <row r="21" spans="1:7" ht="15.75" customHeight="1" x14ac:dyDescent="0.25">
      <c r="A21" s="5" t="s">
        <v>211</v>
      </c>
      <c r="B21" s="45">
        <v>0</v>
      </c>
      <c r="C21" s="96">
        <v>0.95</v>
      </c>
      <c r="D21" s="56">
        <v>7.48</v>
      </c>
      <c r="E21" s="56" t="s">
        <v>212</v>
      </c>
      <c r="F21" s="96">
        <v>1</v>
      </c>
      <c r="G21" s="96">
        <v>1</v>
      </c>
    </row>
    <row r="22" spans="1:7" ht="15.75" customHeight="1" x14ac:dyDescent="0.25">
      <c r="A22" s="5" t="s">
        <v>213</v>
      </c>
      <c r="B22" s="96">
        <v>0</v>
      </c>
      <c r="C22" s="96">
        <v>0.95</v>
      </c>
      <c r="D22" s="56">
        <v>7.4289688625382997</v>
      </c>
      <c r="E22" s="56" t="s">
        <v>212</v>
      </c>
      <c r="F22" s="96">
        <v>1</v>
      </c>
      <c r="G22" s="96">
        <v>1</v>
      </c>
    </row>
    <row r="23" spans="1:7" ht="15.75" customHeight="1" x14ac:dyDescent="0.25">
      <c r="A23" s="5" t="s">
        <v>214</v>
      </c>
      <c r="B23" s="96">
        <v>0</v>
      </c>
      <c r="C23" s="96">
        <v>0.95</v>
      </c>
      <c r="D23" s="56">
        <v>4.2199693960316731</v>
      </c>
      <c r="E23" s="56" t="s">
        <v>212</v>
      </c>
      <c r="F23" s="96">
        <v>1</v>
      </c>
      <c r="G23" s="96">
        <v>1</v>
      </c>
    </row>
    <row r="24" spans="1:7" ht="15.75" customHeight="1" x14ac:dyDescent="0.25">
      <c r="A24" s="5" t="s">
        <v>217</v>
      </c>
      <c r="B24" s="45">
        <v>0.62012901654384001</v>
      </c>
      <c r="C24" s="96">
        <v>0.95</v>
      </c>
      <c r="D24" s="56">
        <v>99.99</v>
      </c>
      <c r="E24" s="56" t="s">
        <v>212</v>
      </c>
      <c r="F24" s="96">
        <v>1</v>
      </c>
      <c r="G24" s="96">
        <v>1</v>
      </c>
    </row>
    <row r="25" spans="1:7" ht="15.75" customHeight="1" x14ac:dyDescent="0.25">
      <c r="A25" s="5" t="s">
        <v>218</v>
      </c>
      <c r="B25" s="96">
        <v>0</v>
      </c>
      <c r="C25" s="96">
        <v>0.95</v>
      </c>
      <c r="D25" s="56">
        <v>99.99</v>
      </c>
      <c r="E25" s="56" t="s">
        <v>212</v>
      </c>
      <c r="F25" s="96">
        <v>1</v>
      </c>
      <c r="G25" s="96">
        <v>1</v>
      </c>
    </row>
    <row r="26" spans="1:7" ht="15.75" customHeight="1" x14ac:dyDescent="0.25">
      <c r="A26" s="5" t="s">
        <v>219</v>
      </c>
      <c r="B26" s="45">
        <v>0</v>
      </c>
      <c r="C26" s="96">
        <v>0.95</v>
      </c>
      <c r="D26" s="56">
        <v>2.9567118730808599</v>
      </c>
      <c r="E26" s="56" t="s">
        <v>212</v>
      </c>
      <c r="F26" s="96">
        <v>1</v>
      </c>
      <c r="G26" s="96">
        <v>1</v>
      </c>
    </row>
    <row r="27" spans="1:7" ht="15.75" customHeight="1" x14ac:dyDescent="0.25">
      <c r="A27" s="5" t="s">
        <v>220</v>
      </c>
      <c r="B27" s="45">
        <v>0</v>
      </c>
      <c r="C27" s="96">
        <v>0.95</v>
      </c>
      <c r="D27" s="56">
        <v>17.846880984952122</v>
      </c>
      <c r="E27" s="56" t="s">
        <v>212</v>
      </c>
      <c r="F27" s="96">
        <v>1</v>
      </c>
      <c r="G27" s="96">
        <v>1</v>
      </c>
    </row>
    <row r="28" spans="1:7" ht="15.75" customHeight="1" x14ac:dyDescent="0.25">
      <c r="A28" s="5" t="s">
        <v>221</v>
      </c>
      <c r="B28" s="45">
        <v>0.28365869999999999</v>
      </c>
      <c r="C28" s="96">
        <v>0.95</v>
      </c>
      <c r="D28" s="56">
        <v>99.99</v>
      </c>
      <c r="E28" s="56" t="s">
        <v>212</v>
      </c>
      <c r="F28" s="96">
        <v>1</v>
      </c>
      <c r="G28" s="96">
        <v>1</v>
      </c>
    </row>
    <row r="29" spans="1:7" ht="15.75" customHeight="1" x14ac:dyDescent="0.25">
      <c r="A29" s="5" t="s">
        <v>222</v>
      </c>
      <c r="B29" s="45">
        <v>0.34690110000000002</v>
      </c>
      <c r="C29" s="96">
        <v>0.95</v>
      </c>
      <c r="D29" s="56">
        <v>193.6128732031849</v>
      </c>
      <c r="E29" s="56" t="s">
        <v>212</v>
      </c>
      <c r="F29" s="96">
        <v>1</v>
      </c>
      <c r="G29" s="96">
        <v>1</v>
      </c>
    </row>
    <row r="30" spans="1:7" ht="15.75" customHeight="1" x14ac:dyDescent="0.25">
      <c r="A30" s="5" t="s">
        <v>233</v>
      </c>
      <c r="B30" s="96">
        <v>0</v>
      </c>
      <c r="C30" s="96">
        <v>0.95</v>
      </c>
      <c r="D30" s="56">
        <v>53.05</v>
      </c>
      <c r="E30" s="56" t="s">
        <v>212</v>
      </c>
      <c r="F30" s="96">
        <v>1</v>
      </c>
      <c r="G30" s="96">
        <v>1</v>
      </c>
    </row>
    <row r="31" spans="1:7" ht="15.75" customHeight="1" x14ac:dyDescent="0.25">
      <c r="A31" s="5" t="s">
        <v>193</v>
      </c>
      <c r="B31" s="45">
        <v>0</v>
      </c>
      <c r="C31" s="96">
        <v>0.95</v>
      </c>
      <c r="D31" s="56">
        <v>173.50469037871034</v>
      </c>
      <c r="E31" s="56" t="s">
        <v>212</v>
      </c>
      <c r="F31" s="96">
        <v>1</v>
      </c>
      <c r="G31" s="96">
        <v>1</v>
      </c>
    </row>
    <row r="32" spans="1:7" ht="15.75" customHeight="1" x14ac:dyDescent="0.25">
      <c r="A32" s="5" t="s">
        <v>225</v>
      </c>
      <c r="B32" s="45">
        <v>0.68</v>
      </c>
      <c r="C32" s="96">
        <v>0.95</v>
      </c>
      <c r="D32" s="56">
        <v>0.53033228587019021</v>
      </c>
      <c r="E32" s="56" t="s">
        <v>212</v>
      </c>
      <c r="F32" s="96">
        <v>1</v>
      </c>
      <c r="G32" s="96">
        <v>1</v>
      </c>
    </row>
    <row r="33" spans="1:7" ht="15.75" customHeight="1" x14ac:dyDescent="0.25">
      <c r="A33" s="5" t="s">
        <v>226</v>
      </c>
      <c r="B33" s="45">
        <v>0.89830929999999998</v>
      </c>
      <c r="C33" s="96">
        <v>0.95</v>
      </c>
      <c r="D33" s="56">
        <v>99.99</v>
      </c>
      <c r="E33" s="56" t="s">
        <v>212</v>
      </c>
      <c r="F33" s="96">
        <v>1</v>
      </c>
      <c r="G33" s="96">
        <v>1</v>
      </c>
    </row>
    <row r="34" spans="1:7" ht="15.75" customHeight="1" x14ac:dyDescent="0.25">
      <c r="A34" s="5" t="s">
        <v>227</v>
      </c>
      <c r="B34" s="45">
        <v>0.35698020000000003</v>
      </c>
      <c r="C34" s="96">
        <v>0.95</v>
      </c>
      <c r="D34" s="56">
        <v>99.99</v>
      </c>
      <c r="E34" s="56" t="s">
        <v>212</v>
      </c>
      <c r="F34" s="96">
        <v>1</v>
      </c>
      <c r="G34" s="96">
        <v>1</v>
      </c>
    </row>
    <row r="35" spans="1:7" ht="15.75" customHeight="1" x14ac:dyDescent="0.25">
      <c r="A35" s="5" t="s">
        <v>228</v>
      </c>
      <c r="B35" s="96">
        <v>0</v>
      </c>
      <c r="C35" s="96">
        <v>0.95</v>
      </c>
      <c r="D35" s="56">
        <v>99.99</v>
      </c>
      <c r="E35" s="56" t="s">
        <v>212</v>
      </c>
      <c r="F35" s="96">
        <v>1</v>
      </c>
      <c r="G35" s="96">
        <v>1</v>
      </c>
    </row>
    <row r="36" spans="1:7" ht="15.75" customHeight="1" x14ac:dyDescent="0.25">
      <c r="A36" s="5" t="s">
        <v>229</v>
      </c>
      <c r="B36" s="45">
        <v>9.7485000000000002E-2</v>
      </c>
      <c r="C36" s="96">
        <v>0.95</v>
      </c>
      <c r="D36" s="56">
        <v>99.99</v>
      </c>
      <c r="E36" s="56" t="s">
        <v>212</v>
      </c>
      <c r="F36" s="96">
        <v>1</v>
      </c>
      <c r="G36" s="96">
        <v>1</v>
      </c>
    </row>
    <row r="37" spans="1:7" ht="15.75" customHeight="1" x14ac:dyDescent="0.25">
      <c r="A37" s="5" t="s">
        <v>230</v>
      </c>
      <c r="B37" s="45">
        <v>0.98693050000000004</v>
      </c>
      <c r="C37" s="96">
        <v>0.95</v>
      </c>
      <c r="D37" s="56">
        <v>99.99</v>
      </c>
      <c r="E37" s="56" t="s">
        <v>212</v>
      </c>
      <c r="F37" s="96">
        <v>1</v>
      </c>
      <c r="G37" s="96">
        <v>1</v>
      </c>
    </row>
    <row r="38" spans="1:7" ht="15.75" customHeight="1" x14ac:dyDescent="0.25">
      <c r="A38" s="5" t="s">
        <v>231</v>
      </c>
      <c r="B38" s="45">
        <v>5.0000000000000001E-3</v>
      </c>
      <c r="C38" s="96">
        <v>0.95</v>
      </c>
      <c r="D38" s="56">
        <v>2.6612563971340846</v>
      </c>
      <c r="E38" s="56" t="s">
        <v>212</v>
      </c>
      <c r="F38" s="96">
        <v>1</v>
      </c>
      <c r="G38" s="96">
        <v>1</v>
      </c>
    </row>
    <row r="39" spans="1:7" ht="15.75" customHeight="1" x14ac:dyDescent="0.25">
      <c r="A39" s="5" t="s">
        <v>232</v>
      </c>
      <c r="B39" s="45">
        <v>0</v>
      </c>
      <c r="C39" s="96">
        <v>0.95</v>
      </c>
      <c r="D39" s="56">
        <v>3.43</v>
      </c>
      <c r="E39" s="56" t="s">
        <v>212</v>
      </c>
      <c r="F39" s="96">
        <v>1</v>
      </c>
      <c r="G39" s="96">
        <v>1</v>
      </c>
    </row>
  </sheetData>
  <sheetProtection algorithmName="SHA-512" hashValue="c8iUbVN+3Q7VJ2yNc19DjLzb/DGDFEBGd23+DGkKO0AwjIQ8dFw6zV9WaQaq5P2qW02S/mSYug72TldM8OoYvQ==" saltValue="31PFcSlk1iuReEcC0w82J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1RuxgIxFhuXSZ0Kd59vNtDPl+fWhiJ5k0ppaow6U4x5ENpJEtMIE8UNAOUxyQQijsOcNEEXwPjQ9ppq8Jap73g==" saltValue="F3UvhDTW2gw9Wtx3Qe5wY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xJjXJNWmBE0JSS/gdNYB/lnmfbnuNJO1/DNjIMsABKAAUdul90cgXglwYpVhfa3rK4GE7fpHsSmRKuqQTzNgxQ==" saltValue="mHi+g7//TmnrlYYpu30NXw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4.2119999999999997</v>
      </c>
      <c r="C2" s="21">
        <f>'Entradas de población-año base'!C52</f>
        <v>4.2119999999999997</v>
      </c>
      <c r="D2" s="21">
        <f>'Entradas de población-año base'!C53</f>
        <v>6.7859999999999996</v>
      </c>
      <c r="E2" s="21">
        <f>'Entradas de población-año base'!C54</f>
        <v>5.3560000000000008</v>
      </c>
      <c r="F2" s="21">
        <f>'Entradas de población-año base'!C55</f>
        <v>2.2359999999999989</v>
      </c>
    </row>
    <row r="3" spans="1:6" ht="15.75" customHeight="1" x14ac:dyDescent="0.25">
      <c r="A3" s="3" t="s">
        <v>6</v>
      </c>
      <c r="B3" s="21">
        <f>frac_mam_1month * 2.6</f>
        <v>0.17488926000000002</v>
      </c>
      <c r="C3" s="21">
        <f>frac_mam_1_5months * 2.6</f>
        <v>0.17488926000000002</v>
      </c>
      <c r="D3" s="21">
        <f>frac_mam_6_11months * 2.6</f>
        <v>0.13471302000000002</v>
      </c>
      <c r="E3" s="21">
        <f>frac_mam_12_23months * 2.6</f>
        <v>0.14317108000000001</v>
      </c>
      <c r="F3" s="21">
        <f>frac_mam_24_59months * 2.6</f>
        <v>0.10243714000000001</v>
      </c>
    </row>
    <row r="4" spans="1:6" ht="15.75" customHeight="1" x14ac:dyDescent="0.25">
      <c r="A4" s="3" t="s">
        <v>236</v>
      </c>
      <c r="B4" s="21">
        <f>frac_sam_1month * 2.6</f>
        <v>0.23607297999999999</v>
      </c>
      <c r="C4" s="21">
        <f>frac_sam_1_5months * 2.6</f>
        <v>0.23607297999999999</v>
      </c>
      <c r="D4" s="21">
        <f>frac_sam_6_11months * 2.6</f>
        <v>0.18909097999999999</v>
      </c>
      <c r="E4" s="21">
        <f>frac_sam_12_23months * 2.6</f>
        <v>0.1169337</v>
      </c>
      <c r="F4" s="21">
        <f>frac_sam_24_59months * 2.6</f>
        <v>9.5383600000000013E-2</v>
      </c>
    </row>
  </sheetData>
  <sheetProtection algorithmName="SHA-512" hashValue="iNnpnctI29PlRzMiMRy3spcdPlKn8NlEojynjAM1nETKXEK3q4rqBVOuN5kTdhTwlUR42luTNvPMKzd4nKEsKw==" saltValue="xhJR4lzuDg1hwyq6r8Ryz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0.29699999999999999</v>
      </c>
      <c r="F2" s="60">
        <f>food_insecure</f>
        <v>0.29699999999999999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0.29699999999999999</v>
      </c>
      <c r="F5" s="60">
        <f>food_insecure</f>
        <v>0.29699999999999999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8.7144827586206869E-2</v>
      </c>
      <c r="D7" s="60">
        <f>diarrhoea_1_5mo*frac_diarrhea_severe</f>
        <v>8.7144827586206869E-2</v>
      </c>
      <c r="E7" s="60">
        <f>diarrhoea_6_11mo*frac_diarrhea_severe</f>
        <v>0.14039999999999997</v>
      </c>
      <c r="F7" s="60">
        <f>diarrhoea_12_23mo*frac_diarrhea_severe</f>
        <v>0.11081379310344827</v>
      </c>
      <c r="G7" s="60">
        <f>diarrhoea_24_59mo*frac_diarrhea_severe</f>
        <v>4.6262068965517211E-2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0.29699999999999999</v>
      </c>
      <c r="F8" s="60">
        <f>food_insecure</f>
        <v>0.29699999999999999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0.29699999999999999</v>
      </c>
      <c r="F9" s="60">
        <f>food_insecure</f>
        <v>0.29699999999999999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8.7144827586206869E-2</v>
      </c>
      <c r="D12" s="60">
        <f>diarrhoea_1_5mo*frac_diarrhea_severe</f>
        <v>8.7144827586206869E-2</v>
      </c>
      <c r="E12" s="60">
        <f>diarrhoea_6_11mo*frac_diarrhea_severe</f>
        <v>0.14039999999999997</v>
      </c>
      <c r="F12" s="60">
        <f>diarrhoea_12_23mo*frac_diarrhea_severe</f>
        <v>0.11081379310344827</v>
      </c>
      <c r="G12" s="60">
        <f>diarrhoea_24_59mo*frac_diarrhea_severe</f>
        <v>4.6262068965517211E-2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0.29699999999999999</v>
      </c>
      <c r="I15" s="60">
        <f t="shared" si="0"/>
        <v>0.29699999999999999</v>
      </c>
      <c r="J15" s="60">
        <f t="shared" si="0"/>
        <v>0.29699999999999999</v>
      </c>
      <c r="K15" s="60">
        <f t="shared" si="0"/>
        <v>0.29699999999999999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0.29699999999999999</v>
      </c>
      <c r="I16" s="60">
        <f t="shared" si="0"/>
        <v>0.29699999999999999</v>
      </c>
      <c r="J16" s="60">
        <f t="shared" si="0"/>
        <v>0.29699999999999999</v>
      </c>
      <c r="K16" s="60">
        <f t="shared" si="0"/>
        <v>0.29699999999999999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0.126</v>
      </c>
      <c r="M24" s="60">
        <f>famplan_unmet_need</f>
        <v>0.126</v>
      </c>
      <c r="N24" s="60">
        <f>famplan_unmet_need</f>
        <v>0.126</v>
      </c>
      <c r="O24" s="60">
        <f>famplan_unmet_need</f>
        <v>0.126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9.3211829893000003E-2</v>
      </c>
      <c r="M25" s="60">
        <f>(1-food_insecure)*(0.49)+food_insecure*(0.7)</f>
        <v>0.55237000000000003</v>
      </c>
      <c r="N25" s="60">
        <f>(1-food_insecure)*(0.49)+food_insecure*(0.7)</f>
        <v>0.55237000000000003</v>
      </c>
      <c r="O25" s="60">
        <f>(1-food_insecure)*(0.49)+food_insecure*(0.7)</f>
        <v>0.55237000000000003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3.9947927096999999E-2</v>
      </c>
      <c r="M26" s="60">
        <f>(1-food_insecure)*(0.21)+food_insecure*(0.3)</f>
        <v>0.23673</v>
      </c>
      <c r="N26" s="60">
        <f>(1-food_insecure)*(0.21)+food_insecure*(0.3)</f>
        <v>0.23673</v>
      </c>
      <c r="O26" s="60">
        <f>(1-food_insecure)*(0.21)+food_insecure*(0.3)</f>
        <v>0.23673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3.5589143009999998E-2</v>
      </c>
      <c r="M27" s="60">
        <f>(1-food_insecure)*(0.3)</f>
        <v>0.2109</v>
      </c>
      <c r="N27" s="60">
        <f>(1-food_insecure)*(0.3)</f>
        <v>0.2109</v>
      </c>
      <c r="O27" s="60">
        <f>(1-food_insecure)*(0.3)</f>
        <v>0.2109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0.83125110000000002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Nx87WlEMo2U8XKu72/3WXJWyXLEWEUsI+EPTjrUf0PJ63+cZ6l22ZzH1XKzpoKDeJe7WEXvCpPel6nkryJ/8Q==" saltValue="e0oX+uCIQ55/g63Cf42n6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nACGhaZdzn14joo5WZ3g3YC7YmKa+t5o1Kn34CWRgmbC0NtJTaHrLZA4ua2bESADe1ex6IFal1OFy9wH53zzGA==" saltValue="ELo84ppkgHsL+Y2YHqbcTg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4vbedw+dibWCVj27/3FlbyyblYtwAwajkI8NGjqlORzO/H/jgA+j8XoZaoagEoflHutPzRL+bdehZYjdiF2/3Q==" saltValue="YXkRPYcA627g+35gK4jnkg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KeFHD00Ym7QrN81TfDpKF2oIbjo/Pg5tCfAvFLikt/DrMIZ/PWyrYFr3hRtAH/v3t6gZP36VM/0GSbzW29GE0Q==" saltValue="WoNr20ImQMn32J09yn7vbw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192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13" t="s">
        <v>194</v>
      </c>
      <c r="B2" s="114"/>
      <c r="C2" s="114"/>
      <c r="D2" s="114"/>
      <c r="E2" s="114"/>
      <c r="F2" s="114"/>
      <c r="G2" s="114"/>
      <c r="H2" s="114"/>
      <c r="I2" s="114" t="s">
        <v>5</v>
      </c>
      <c r="J2" s="114"/>
      <c r="K2" s="114"/>
      <c r="L2" s="114"/>
    </row>
    <row r="3" spans="1:12" x14ac:dyDescent="0.25">
      <c r="A3" s="113" t="s">
        <v>195</v>
      </c>
      <c r="B3" s="114"/>
      <c r="C3" s="114"/>
      <c r="D3" s="114"/>
      <c r="E3" s="114"/>
      <c r="F3" s="114"/>
      <c r="G3" s="114"/>
      <c r="H3" s="114" t="s">
        <v>5</v>
      </c>
      <c r="I3" s="114" t="s">
        <v>5</v>
      </c>
      <c r="J3" s="114"/>
      <c r="K3" s="114"/>
      <c r="L3" s="114"/>
    </row>
    <row r="4" spans="1:12" x14ac:dyDescent="0.25">
      <c r="A4" s="113" t="s">
        <v>196</v>
      </c>
      <c r="B4" s="114" t="s">
        <v>5</v>
      </c>
      <c r="C4" s="114"/>
      <c r="D4" s="114" t="s">
        <v>5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198</v>
      </c>
      <c r="B5" s="114"/>
      <c r="C5" s="114" t="s">
        <v>5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199</v>
      </c>
      <c r="B6" s="114"/>
      <c r="C6" s="114"/>
      <c r="D6" s="114"/>
      <c r="E6" s="114"/>
      <c r="F6" s="114"/>
      <c r="G6" s="114"/>
      <c r="H6" s="114"/>
      <c r="I6" s="114"/>
      <c r="J6" s="114" t="s">
        <v>5</v>
      </c>
      <c r="K6" s="114" t="s">
        <v>5</v>
      </c>
      <c r="L6" s="114"/>
    </row>
    <row r="7" spans="1:12" x14ac:dyDescent="0.25">
      <c r="A7" s="113" t="s">
        <v>200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/>
      <c r="J7" s="114"/>
      <c r="K7" s="114"/>
      <c r="L7" s="114"/>
    </row>
    <row r="8" spans="1:12" x14ac:dyDescent="0.25">
      <c r="A8" s="113" t="s">
        <v>201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/>
      <c r="J8" s="114"/>
      <c r="K8" s="114"/>
      <c r="L8" s="114"/>
    </row>
    <row r="9" spans="1:12" x14ac:dyDescent="0.25">
      <c r="A9" s="113" t="s">
        <v>202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/>
      <c r="J9" s="114"/>
      <c r="K9" s="114"/>
      <c r="L9" s="114"/>
    </row>
    <row r="10" spans="1:12" x14ac:dyDescent="0.25">
      <c r="A10" s="113" t="s">
        <v>203</v>
      </c>
      <c r="B10" s="114"/>
      <c r="C10" s="114" t="s">
        <v>5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204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205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206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207</v>
      </c>
      <c r="B14" s="114"/>
      <c r="C14" s="114" t="s">
        <v>5</v>
      </c>
      <c r="D14" s="114"/>
      <c r="E14" s="114"/>
      <c r="F14" s="114"/>
      <c r="G14" s="114"/>
      <c r="H14" s="114"/>
      <c r="I14" s="114" t="s">
        <v>5</v>
      </c>
      <c r="J14" s="114"/>
      <c r="K14" s="114"/>
      <c r="L14" s="114"/>
    </row>
    <row r="15" spans="1:12" x14ac:dyDescent="0.25">
      <c r="A15" s="115" t="s">
        <v>208</v>
      </c>
      <c r="B15" s="114"/>
      <c r="C15" s="114" t="s">
        <v>5</v>
      </c>
      <c r="D15" s="114"/>
      <c r="E15" s="114"/>
      <c r="F15" s="114"/>
      <c r="G15" s="114"/>
      <c r="H15" s="114"/>
      <c r="I15" s="114" t="s">
        <v>5</v>
      </c>
      <c r="J15" s="114"/>
      <c r="K15" s="114"/>
      <c r="L15" s="114"/>
    </row>
    <row r="16" spans="1:12" x14ac:dyDescent="0.25">
      <c r="A16" s="113" t="s">
        <v>209</v>
      </c>
      <c r="B16" s="114"/>
      <c r="C16" s="114" t="s">
        <v>5</v>
      </c>
      <c r="D16" s="114"/>
      <c r="E16" s="114"/>
      <c r="F16" s="114"/>
      <c r="G16" s="114"/>
      <c r="H16" s="114" t="s">
        <v>5</v>
      </c>
      <c r="I16" s="114" t="s">
        <v>5</v>
      </c>
      <c r="J16" s="114"/>
      <c r="K16" s="114"/>
      <c r="L16" s="114"/>
    </row>
    <row r="17" spans="1:12" x14ac:dyDescent="0.25">
      <c r="A17" s="113" t="s">
        <v>210</v>
      </c>
      <c r="B17" s="114"/>
      <c r="C17" s="114" t="s">
        <v>5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180</v>
      </c>
      <c r="B18" s="114" t="s">
        <v>5</v>
      </c>
      <c r="C18" s="114"/>
      <c r="D18" s="114"/>
      <c r="E18" s="114"/>
      <c r="F18" s="114" t="s">
        <v>5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181</v>
      </c>
      <c r="B19" s="114" t="s">
        <v>5</v>
      </c>
      <c r="C19" s="114"/>
      <c r="D19" s="114"/>
      <c r="E19" s="114"/>
      <c r="F19" s="114" t="s">
        <v>5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182</v>
      </c>
      <c r="B20" s="114" t="s">
        <v>5</v>
      </c>
      <c r="C20" s="114"/>
      <c r="D20" s="114"/>
      <c r="E20" s="114"/>
      <c r="F20" s="114" t="s">
        <v>5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211</v>
      </c>
      <c r="B21" s="114"/>
      <c r="C21" s="114"/>
      <c r="D21" s="114"/>
      <c r="E21" s="114"/>
      <c r="F21" s="114"/>
      <c r="G21" s="114"/>
      <c r="H21" s="114" t="s">
        <v>5</v>
      </c>
      <c r="I21" s="114" t="s">
        <v>5</v>
      </c>
      <c r="J21" s="114"/>
      <c r="K21" s="114"/>
      <c r="L21" s="114"/>
    </row>
    <row r="22" spans="1:12" x14ac:dyDescent="0.25">
      <c r="A22" s="113" t="s">
        <v>213</v>
      </c>
      <c r="B22" s="114" t="s">
        <v>5</v>
      </c>
      <c r="C22" s="114" t="s">
        <v>5</v>
      </c>
      <c r="D22" s="114" t="s">
        <v>5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214</v>
      </c>
      <c r="B23" s="114"/>
      <c r="C23" s="114" t="s">
        <v>5</v>
      </c>
      <c r="D23" s="114"/>
      <c r="E23" s="114"/>
      <c r="F23" s="114"/>
      <c r="G23" s="114"/>
      <c r="H23" s="114"/>
      <c r="I23" s="114" t="s">
        <v>5</v>
      </c>
      <c r="J23" s="114"/>
      <c r="K23" s="114"/>
      <c r="L23" s="114"/>
    </row>
    <row r="24" spans="1:12" x14ac:dyDescent="0.25">
      <c r="A24" s="113" t="s">
        <v>217</v>
      </c>
      <c r="B24" s="114"/>
      <c r="C24" s="114"/>
      <c r="D24" s="114"/>
      <c r="E24" s="114"/>
      <c r="F24" s="114"/>
      <c r="G24" s="114"/>
      <c r="H24" s="114" t="s">
        <v>5</v>
      </c>
      <c r="I24" s="114"/>
      <c r="J24" s="114"/>
      <c r="K24" s="114"/>
      <c r="L24" s="114"/>
    </row>
    <row r="25" spans="1:12" x14ac:dyDescent="0.25">
      <c r="A25" s="113" t="s">
        <v>218</v>
      </c>
      <c r="B25" s="114"/>
      <c r="C25" s="114"/>
      <c r="D25" s="114"/>
      <c r="E25" s="114"/>
      <c r="F25" s="114"/>
      <c r="G25" s="114"/>
      <c r="H25" s="114" t="s">
        <v>5</v>
      </c>
      <c r="I25" s="114"/>
      <c r="J25" s="114"/>
      <c r="K25" s="114"/>
      <c r="L25" s="114"/>
    </row>
    <row r="26" spans="1:12" x14ac:dyDescent="0.25">
      <c r="A26" s="113" t="s">
        <v>219</v>
      </c>
      <c r="B26" s="114"/>
      <c r="C26" s="114" t="s">
        <v>5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220</v>
      </c>
      <c r="B27" s="114"/>
      <c r="C27" s="114" t="s">
        <v>5</v>
      </c>
      <c r="D27" s="114"/>
      <c r="E27" s="114"/>
      <c r="F27" s="114"/>
      <c r="G27" s="114"/>
      <c r="H27" s="114"/>
      <c r="I27" s="114" t="s">
        <v>5</v>
      </c>
      <c r="J27" s="114"/>
      <c r="K27" s="114"/>
      <c r="L27" s="114" t="s">
        <v>5</v>
      </c>
    </row>
    <row r="28" spans="1:12" x14ac:dyDescent="0.25">
      <c r="A28" s="113" t="s">
        <v>221</v>
      </c>
      <c r="B28" s="114"/>
      <c r="C28" s="114"/>
      <c r="D28" s="114"/>
      <c r="E28" s="114"/>
      <c r="F28" s="114"/>
      <c r="G28" s="114"/>
      <c r="H28" s="114" t="s">
        <v>5</v>
      </c>
      <c r="I28" s="114"/>
      <c r="J28" s="114"/>
      <c r="K28" s="114"/>
      <c r="L28" s="114"/>
    </row>
    <row r="29" spans="1:12" x14ac:dyDescent="0.25">
      <c r="A29" s="113" t="s">
        <v>222</v>
      </c>
      <c r="B29" s="114" t="s">
        <v>5</v>
      </c>
      <c r="C29" s="114"/>
      <c r="D29" s="114" t="s">
        <v>5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233</v>
      </c>
      <c r="B30" s="114" t="s">
        <v>5</v>
      </c>
      <c r="C30" s="114" t="s">
        <v>5</v>
      </c>
      <c r="D30" s="114" t="s">
        <v>5</v>
      </c>
      <c r="E30" s="114"/>
      <c r="F30" s="114"/>
      <c r="G30" s="114"/>
      <c r="H30" s="114" t="s">
        <v>5</v>
      </c>
      <c r="I30" s="114"/>
      <c r="J30" s="114"/>
      <c r="K30" s="114"/>
      <c r="L30" s="114"/>
    </row>
    <row r="31" spans="1:12" x14ac:dyDescent="0.25">
      <c r="A31" s="113" t="s">
        <v>193</v>
      </c>
      <c r="B31" s="114"/>
      <c r="C31" s="114"/>
      <c r="D31" s="114"/>
      <c r="E31" s="114" t="s">
        <v>5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225</v>
      </c>
      <c r="B32" s="114"/>
      <c r="C32" s="114"/>
      <c r="D32" s="114"/>
      <c r="E32" s="114"/>
      <c r="F32" s="114"/>
      <c r="G32" s="114" t="s">
        <v>5</v>
      </c>
      <c r="H32" s="114" t="s">
        <v>5</v>
      </c>
      <c r="I32" s="114"/>
      <c r="J32" s="114"/>
      <c r="K32" s="114"/>
      <c r="L32" s="114"/>
    </row>
    <row r="33" spans="1:12" x14ac:dyDescent="0.25">
      <c r="A33" s="113" t="s">
        <v>226</v>
      </c>
      <c r="B33" s="114"/>
      <c r="C33" s="114"/>
      <c r="D33" s="114"/>
      <c r="E33" s="114"/>
      <c r="F33" s="114"/>
      <c r="G33" s="114" t="s">
        <v>5</v>
      </c>
      <c r="H33" s="114" t="s">
        <v>5</v>
      </c>
      <c r="I33" s="114"/>
      <c r="J33" s="114"/>
      <c r="K33" s="114"/>
      <c r="L33" s="114"/>
    </row>
    <row r="34" spans="1:12" x14ac:dyDescent="0.25">
      <c r="A34" s="113" t="s">
        <v>227</v>
      </c>
      <c r="B34" s="114"/>
      <c r="C34" s="114"/>
      <c r="D34" s="114"/>
      <c r="E34" s="114"/>
      <c r="F34" s="114"/>
      <c r="G34" s="114" t="s">
        <v>5</v>
      </c>
      <c r="H34" s="114" t="s">
        <v>5</v>
      </c>
      <c r="I34" s="114"/>
      <c r="J34" s="114"/>
      <c r="K34" s="114"/>
      <c r="L34" s="114"/>
    </row>
    <row r="35" spans="1:12" x14ac:dyDescent="0.25">
      <c r="A35" s="113" t="s">
        <v>228</v>
      </c>
      <c r="B35" s="114"/>
      <c r="C35" s="114"/>
      <c r="D35" s="114"/>
      <c r="E35" s="114"/>
      <c r="F35" s="114"/>
      <c r="G35" s="114" t="s">
        <v>5</v>
      </c>
      <c r="H35" s="114" t="s">
        <v>5</v>
      </c>
      <c r="I35" s="114"/>
      <c r="J35" s="114"/>
      <c r="K35" s="114"/>
      <c r="L35" s="114"/>
    </row>
    <row r="36" spans="1:12" x14ac:dyDescent="0.25">
      <c r="A36" s="113" t="s">
        <v>229</v>
      </c>
      <c r="B36" s="114"/>
      <c r="C36" s="114"/>
      <c r="D36" s="114"/>
      <c r="E36" s="114"/>
      <c r="F36" s="114"/>
      <c r="G36" s="114" t="s">
        <v>5</v>
      </c>
      <c r="H36" s="114" t="s">
        <v>5</v>
      </c>
      <c r="I36" s="114"/>
      <c r="J36" s="114"/>
      <c r="K36" s="114"/>
      <c r="L36" s="114"/>
    </row>
    <row r="37" spans="1:12" x14ac:dyDescent="0.25">
      <c r="A37" s="113" t="s">
        <v>230</v>
      </c>
      <c r="B37" s="114"/>
      <c r="C37" s="114"/>
      <c r="D37" s="114"/>
      <c r="E37" s="114"/>
      <c r="F37" s="114"/>
      <c r="G37" s="114" t="s">
        <v>5</v>
      </c>
      <c r="H37" s="114" t="s">
        <v>5</v>
      </c>
      <c r="I37" s="114"/>
      <c r="J37" s="114"/>
      <c r="K37" s="114"/>
      <c r="L37" s="114"/>
    </row>
    <row r="38" spans="1:12" x14ac:dyDescent="0.25">
      <c r="A38" s="113" t="s">
        <v>231</v>
      </c>
      <c r="B38" s="114"/>
      <c r="C38" s="114"/>
      <c r="D38" s="114"/>
      <c r="E38" s="114"/>
      <c r="F38" s="114"/>
      <c r="G38" s="114"/>
      <c r="H38" s="114" t="s">
        <v>5</v>
      </c>
      <c r="I38" s="114"/>
      <c r="J38" s="114"/>
      <c r="K38" s="114"/>
      <c r="L38" s="114"/>
    </row>
    <row r="39" spans="1:12" x14ac:dyDescent="0.25">
      <c r="A39" s="113" t="s">
        <v>232</v>
      </c>
      <c r="B39" s="114" t="s">
        <v>5</v>
      </c>
      <c r="C39" s="114"/>
      <c r="D39" s="114"/>
      <c r="E39" s="114"/>
      <c r="F39" s="114"/>
      <c r="G39" s="114" t="s">
        <v>5</v>
      </c>
      <c r="H39" s="114" t="s">
        <v>5</v>
      </c>
      <c r="I39" s="114"/>
      <c r="J39" s="114"/>
      <c r="K39" s="114"/>
      <c r="L39" s="114"/>
    </row>
  </sheetData>
  <sheetProtection algorithmName="SHA-512" hashValue="R+9mVddjBAY8wVyDecpJI01zLtyeWS2ljjpBVNV9TbDL/d+zw4QG3CYLhbOvnSt9e6lQdJCuXSRweW3Jf6ORqg==" saltValue="T8sR+JNNKN3nT6a9uHdoZ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264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06" t="s">
        <v>97</v>
      </c>
      <c r="B2" s="114" t="s">
        <v>5</v>
      </c>
      <c r="C2" s="114" t="s">
        <v>5</v>
      </c>
      <c r="D2" s="114" t="s">
        <v>5</v>
      </c>
      <c r="E2" s="114" t="s">
        <v>5</v>
      </c>
      <c r="F2" s="114" t="s">
        <v>5</v>
      </c>
      <c r="G2" s="114" t="s">
        <v>5</v>
      </c>
      <c r="H2" s="114" t="s">
        <v>5</v>
      </c>
      <c r="I2" s="114"/>
      <c r="J2" s="114"/>
      <c r="K2" s="114"/>
      <c r="L2" s="114"/>
    </row>
    <row r="3" spans="1:12" x14ac:dyDescent="0.25">
      <c r="A3" s="106" t="s">
        <v>93</v>
      </c>
      <c r="B3" s="114" t="s">
        <v>5</v>
      </c>
      <c r="C3" s="114" t="s">
        <v>5</v>
      </c>
      <c r="D3" s="114" t="s">
        <v>5</v>
      </c>
      <c r="E3" s="114" t="s">
        <v>5</v>
      </c>
      <c r="F3" s="114" t="s">
        <v>5</v>
      </c>
      <c r="G3" s="114" t="s">
        <v>5</v>
      </c>
      <c r="H3" s="114" t="s">
        <v>5</v>
      </c>
      <c r="I3" s="114"/>
      <c r="J3" s="114"/>
      <c r="K3" s="114"/>
      <c r="L3" s="114"/>
    </row>
    <row r="4" spans="1:12" x14ac:dyDescent="0.25">
      <c r="A4" s="106" t="s">
        <v>96</v>
      </c>
      <c r="B4" s="114" t="s">
        <v>5</v>
      </c>
      <c r="C4" s="114" t="s">
        <v>5</v>
      </c>
      <c r="D4" s="114" t="s">
        <v>5</v>
      </c>
      <c r="E4" s="114" t="s">
        <v>5</v>
      </c>
      <c r="F4" s="114" t="s">
        <v>5</v>
      </c>
      <c r="G4" s="114" t="s">
        <v>5</v>
      </c>
      <c r="H4" s="114" t="s">
        <v>5</v>
      </c>
      <c r="I4" s="114"/>
      <c r="J4" s="114"/>
      <c r="K4" s="114"/>
      <c r="L4" s="114"/>
    </row>
    <row r="5" spans="1:12" x14ac:dyDescent="0.25">
      <c r="A5" s="106" t="s">
        <v>94</v>
      </c>
      <c r="B5" s="114" t="s">
        <v>5</v>
      </c>
      <c r="C5" s="114" t="s">
        <v>5</v>
      </c>
      <c r="D5" s="114" t="s">
        <v>5</v>
      </c>
      <c r="E5" s="114" t="s">
        <v>5</v>
      </c>
      <c r="F5" s="114" t="s">
        <v>5</v>
      </c>
      <c r="G5" s="114" t="s">
        <v>5</v>
      </c>
      <c r="H5" s="114" t="s">
        <v>5</v>
      </c>
      <c r="I5" s="114"/>
      <c r="J5" s="114"/>
      <c r="K5" s="114"/>
      <c r="L5" s="114"/>
    </row>
    <row r="6" spans="1:12" x14ac:dyDescent="0.25">
      <c r="A6" s="106" t="s">
        <v>95</v>
      </c>
      <c r="B6" s="114" t="s">
        <v>5</v>
      </c>
      <c r="C6" s="114" t="s">
        <v>5</v>
      </c>
      <c r="D6" s="114" t="s">
        <v>5</v>
      </c>
      <c r="E6" s="114" t="s">
        <v>5</v>
      </c>
      <c r="F6" s="114" t="s">
        <v>5</v>
      </c>
      <c r="G6" s="114" t="s">
        <v>5</v>
      </c>
      <c r="H6" s="114" t="s">
        <v>5</v>
      </c>
      <c r="I6" s="114"/>
      <c r="J6" s="114"/>
      <c r="K6" s="114"/>
      <c r="L6" s="114"/>
    </row>
    <row r="7" spans="1:12" x14ac:dyDescent="0.25">
      <c r="A7" s="106" t="s">
        <v>132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 t="s">
        <v>5</v>
      </c>
      <c r="J7" s="114"/>
      <c r="K7" s="114"/>
      <c r="L7" s="114" t="s">
        <v>5</v>
      </c>
    </row>
    <row r="8" spans="1:12" x14ac:dyDescent="0.25">
      <c r="A8" s="106" t="s">
        <v>133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 t="s">
        <v>5</v>
      </c>
      <c r="J8" s="114"/>
      <c r="K8" s="114"/>
      <c r="L8" s="114" t="s">
        <v>5</v>
      </c>
    </row>
    <row r="9" spans="1:12" x14ac:dyDescent="0.25">
      <c r="A9" s="106" t="s">
        <v>134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 t="s">
        <v>5</v>
      </c>
      <c r="J9" s="114"/>
      <c r="K9" s="114"/>
      <c r="L9" s="114" t="s">
        <v>5</v>
      </c>
    </row>
    <row r="10" spans="1:12" x14ac:dyDescent="0.25">
      <c r="A10" s="106" t="s">
        <v>135</v>
      </c>
      <c r="B10" s="114"/>
      <c r="C10" s="114" t="s">
        <v>5</v>
      </c>
      <c r="D10" s="114"/>
      <c r="E10" s="114"/>
      <c r="F10" s="114"/>
      <c r="G10" s="114"/>
      <c r="H10" s="114" t="s">
        <v>5</v>
      </c>
      <c r="I10" s="114" t="s">
        <v>5</v>
      </c>
      <c r="J10" s="114"/>
      <c r="K10" s="114"/>
      <c r="L10" s="114" t="s">
        <v>5</v>
      </c>
    </row>
    <row r="11" spans="1:12" x14ac:dyDescent="0.25">
      <c r="A11" s="106" t="s">
        <v>87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 t="s">
        <v>5</v>
      </c>
      <c r="K11" s="114" t="s">
        <v>5</v>
      </c>
      <c r="L11" s="114"/>
    </row>
    <row r="12" spans="1:12" x14ac:dyDescent="0.25">
      <c r="A12" s="106" t="s">
        <v>88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 t="s">
        <v>5</v>
      </c>
      <c r="L12" s="114"/>
    </row>
    <row r="13" spans="1:12" x14ac:dyDescent="0.25">
      <c r="A13" s="106" t="s">
        <v>89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 t="s">
        <v>5</v>
      </c>
      <c r="L13" s="114"/>
    </row>
    <row r="14" spans="1:12" x14ac:dyDescent="0.25">
      <c r="A14" s="106" t="s">
        <v>90</v>
      </c>
      <c r="B14" s="114"/>
      <c r="C14" s="114" t="s">
        <v>5</v>
      </c>
      <c r="D14" s="114"/>
      <c r="E14" s="114"/>
      <c r="F14" s="114"/>
      <c r="G14" s="114"/>
      <c r="H14" s="114"/>
      <c r="I14" s="114"/>
      <c r="J14" s="114"/>
      <c r="K14" s="114" t="s">
        <v>5</v>
      </c>
      <c r="L14" s="114"/>
    </row>
  </sheetData>
  <sheetProtection algorithmName="SHA-512" hashValue="a76h83nEFqTHz8eeiRfTFiDrwbwaxfcsV5e9NEoHg9a2k2ASR6daUktp9ijEnf6PvvDaYSX3ros5fdOvcnRN7Q==" saltValue="PYPsi5Vkmz/7/6tvaxxGZ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6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6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6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6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6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6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6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6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6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hatJtx/giPATDZnW8BzSxUtkgVIp/uEDIeL8nOupYqYaCsvUhTeos2FIH6mbAOPLX/+Q6B8hidaYyb+RVGG46A==" saltValue="cSmhi+o2BpzaAz5zDjd2rQ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307</v>
      </c>
    </row>
    <row r="2" spans="1:7" ht="14.25" customHeight="1" x14ac:dyDescent="0.3">
      <c r="A2" s="120" t="s">
        <v>237</v>
      </c>
      <c r="B2" s="105"/>
      <c r="C2" s="103" t="s">
        <v>97</v>
      </c>
      <c r="D2" s="103" t="s">
        <v>93</v>
      </c>
      <c r="E2" s="103" t="s">
        <v>96</v>
      </c>
      <c r="F2" s="103" t="s">
        <v>94</v>
      </c>
      <c r="G2" s="103" t="s">
        <v>95</v>
      </c>
    </row>
    <row r="3" spans="1:7" ht="14.25" customHeight="1" x14ac:dyDescent="0.25">
      <c r="B3" s="115" t="s">
        <v>294</v>
      </c>
      <c r="C3" s="116" t="s">
        <v>8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280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277</v>
      </c>
    </row>
    <row r="6" spans="1:7" ht="14.25" customHeight="1" x14ac:dyDescent="0.25">
      <c r="B6" s="115" t="s">
        <v>222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213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196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233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232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301</v>
      </c>
    </row>
    <row r="13" spans="1:7" ht="14.25" customHeight="1" x14ac:dyDescent="0.3">
      <c r="A13" s="121"/>
      <c r="B13" s="115" t="s">
        <v>211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308</v>
      </c>
    </row>
    <row r="16" spans="1:7" ht="14.25" customHeight="1" x14ac:dyDescent="0.3">
      <c r="A16" s="120" t="s">
        <v>311</v>
      </c>
      <c r="B16" s="115" t="s">
        <v>288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285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124</v>
      </c>
      <c r="B18" s="115" t="s">
        <v>291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304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199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307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237</v>
      </c>
      <c r="B26" s="105"/>
      <c r="C26" s="103" t="s">
        <v>97</v>
      </c>
      <c r="D26" s="103" t="s">
        <v>93</v>
      </c>
      <c r="E26" s="103" t="s">
        <v>96</v>
      </c>
      <c r="F26" s="103" t="s">
        <v>94</v>
      </c>
      <c r="G26" s="103" t="s">
        <v>95</v>
      </c>
    </row>
    <row r="27" spans="1:7" x14ac:dyDescent="0.25">
      <c r="B27" s="115" t="s">
        <v>295</v>
      </c>
      <c r="C27" s="116" t="s">
        <v>8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281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278</v>
      </c>
    </row>
    <row r="30" spans="1:7" x14ac:dyDescent="0.25">
      <c r="B30" s="115" t="s">
        <v>309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299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27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314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312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302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297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308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311</v>
      </c>
      <c r="B40" s="115" t="s">
        <v>289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286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124</v>
      </c>
      <c r="B42" s="115" t="s">
        <v>292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305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283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276</v>
      </c>
    </row>
    <row r="49" spans="1:7" ht="13" x14ac:dyDescent="0.3">
      <c r="A49" s="118" t="s">
        <v>307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237</v>
      </c>
      <c r="B50" s="105"/>
      <c r="C50" s="103" t="s">
        <v>97</v>
      </c>
      <c r="D50" s="103" t="s">
        <v>93</v>
      </c>
      <c r="E50" s="103" t="s">
        <v>96</v>
      </c>
      <c r="F50" s="103" t="s">
        <v>94</v>
      </c>
      <c r="G50" s="103" t="s">
        <v>95</v>
      </c>
    </row>
    <row r="51" spans="1:7" x14ac:dyDescent="0.25">
      <c r="B51" s="115" t="s">
        <v>296</v>
      </c>
      <c r="C51" s="116" t="s">
        <v>8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282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279</v>
      </c>
    </row>
    <row r="54" spans="1:7" x14ac:dyDescent="0.25">
      <c r="B54" s="115" t="s">
        <v>310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300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28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315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313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298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308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311</v>
      </c>
      <c r="B64" s="115" t="s">
        <v>290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287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124</v>
      </c>
      <c r="B66" s="115" t="s">
        <v>293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306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284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m1esDbyoaaNjtElOHtoNXJkr8iohOuQQs8OKGDUeIrAJFmtQPfGOLgtvc0pdHe/lGIgbRAJuTO29HzPeDGMhXg==" saltValue="yU+4aThBmQFmm8hfJjg4B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192</v>
      </c>
      <c r="B1" s="103"/>
      <c r="C1" s="103" t="s">
        <v>71</v>
      </c>
      <c r="D1" s="103" t="s">
        <v>78</v>
      </c>
      <c r="E1" s="103" t="s">
        <v>70</v>
      </c>
      <c r="F1" s="105" t="s">
        <v>77</v>
      </c>
    </row>
    <row r="2" spans="1:6" ht="15.75" customHeight="1" x14ac:dyDescent="0.25">
      <c r="A2" s="115" t="s">
        <v>194</v>
      </c>
      <c r="B2" s="115" t="s">
        <v>317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316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195</v>
      </c>
      <c r="B4" s="115" t="s">
        <v>317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207</v>
      </c>
      <c r="B6" s="115" t="s">
        <v>317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316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208</v>
      </c>
      <c r="B8" s="115" t="s">
        <v>317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316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209</v>
      </c>
      <c r="B10" s="115" t="s">
        <v>317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316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214</v>
      </c>
      <c r="B12" s="115" t="s">
        <v>317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316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220</v>
      </c>
      <c r="B14" s="115" t="s">
        <v>317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316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192</v>
      </c>
      <c r="B18" s="103"/>
      <c r="C18" s="103" t="s">
        <v>71</v>
      </c>
      <c r="D18" s="103" t="s">
        <v>78</v>
      </c>
      <c r="E18" s="103" t="s">
        <v>70</v>
      </c>
      <c r="F18" s="105" t="s">
        <v>77</v>
      </c>
    </row>
    <row r="19" spans="1:6" ht="15.75" customHeight="1" x14ac:dyDescent="0.25">
      <c r="A19" s="115" t="s">
        <v>194</v>
      </c>
      <c r="B19" s="115" t="s">
        <v>317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316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195</v>
      </c>
      <c r="B21" s="115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207</v>
      </c>
      <c r="B23" s="115" t="s">
        <v>317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316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208</v>
      </c>
      <c r="B25" s="115" t="s">
        <v>317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316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209</v>
      </c>
      <c r="B27" s="115" t="s">
        <v>317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316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214</v>
      </c>
      <c r="B29" s="115" t="s">
        <v>317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316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220</v>
      </c>
      <c r="B31" s="115" t="s">
        <v>317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316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276</v>
      </c>
    </row>
    <row r="35" spans="1:6" ht="15.75" customHeight="1" x14ac:dyDescent="0.3">
      <c r="A35" s="105" t="s">
        <v>192</v>
      </c>
      <c r="B35" s="103"/>
      <c r="C35" s="103" t="s">
        <v>71</v>
      </c>
      <c r="D35" s="103" t="s">
        <v>78</v>
      </c>
      <c r="E35" s="103" t="s">
        <v>70</v>
      </c>
      <c r="F35" s="105" t="s">
        <v>77</v>
      </c>
    </row>
    <row r="36" spans="1:6" ht="15.75" customHeight="1" x14ac:dyDescent="0.25">
      <c r="A36" s="115" t="s">
        <v>194</v>
      </c>
      <c r="B36" s="115" t="s">
        <v>317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316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195</v>
      </c>
      <c r="B38" s="115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207</v>
      </c>
      <c r="B40" s="115" t="s">
        <v>317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316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208</v>
      </c>
      <c r="B42" s="115" t="s">
        <v>317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316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209</v>
      </c>
      <c r="B44" s="115" t="s">
        <v>317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316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214</v>
      </c>
      <c r="B46" s="115" t="s">
        <v>317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316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220</v>
      </c>
      <c r="B48" s="115" t="s">
        <v>317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316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XFWHnV09bstaIAVYUtA8DAg1qAkPD6Qjw//DiYMINCREbQgNBcr/Z9mc7E52/T/uPODpAmCR1m5g4X3mISQ44A==" saltValue="2pN8m3qKWZyvcIDtaoILX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mFtFFR2kiFBLFhjmTm3qkhccXwngaMYxpNckmERnc4FssRc1RwNvFKMF9X2fgIKGzl5sjEBondvra+/rW2qCHg==" saltValue="AKHN0qWe7aIWWzv5qf4Wz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kTGL+AEItLysHAfvKQb/WDWpoelnpMIv6rPuI0jNSsz52J86Tn7NHH/jkEXfy2AtmfehS7bL2BdHJZfuhGraGQ==" saltValue="h2h5arHPZzpJnsRXdSZEV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213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+IbED3eBC4fW6NjZL3f9NpMRJcj9Hv9gtOeL2+g9rG0SMCjP5Xnk9DBVr/06rXXinW73mT7xlzJl3TUPlZP7lw==" saltValue="FAS6qM42Cz3WcQ+IWAuUc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3XCd1UQSz3hF+4MoXUa5AYO0pAFy+WlxetRj7JUCUqFQQRv5T0/tC/b3m0AQzMmphouB6Sp9oCbdE+7gktuo/A==" saltValue="dCae3KtjHKXodUmwxnmqy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192</v>
      </c>
      <c r="B1" s="103" t="s">
        <v>371</v>
      </c>
      <c r="C1" s="120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113" t="s">
        <v>225</v>
      </c>
      <c r="B2" s="113" t="s">
        <v>103</v>
      </c>
      <c r="C2" s="113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222</v>
      </c>
      <c r="B5" s="113" t="s">
        <v>236</v>
      </c>
      <c r="C5" s="113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6</v>
      </c>
      <c r="C7" s="113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213</v>
      </c>
      <c r="B9" s="113" t="s">
        <v>236</v>
      </c>
      <c r="C9" s="113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6</v>
      </c>
      <c r="C11" s="113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233</v>
      </c>
      <c r="B13" s="113" t="s">
        <v>236</v>
      </c>
      <c r="C13" s="113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6</v>
      </c>
      <c r="C15" s="113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370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196</v>
      </c>
      <c r="B19" s="113" t="s">
        <v>236</v>
      </c>
      <c r="C19" s="113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6</v>
      </c>
      <c r="C21" s="113" t="s">
        <v>368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369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202</v>
      </c>
      <c r="B23" s="113" t="s">
        <v>111</v>
      </c>
      <c r="C23" s="113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200</v>
      </c>
      <c r="B25" s="113" t="s">
        <v>111</v>
      </c>
      <c r="C25" s="113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201</v>
      </c>
      <c r="B27" s="113" t="s">
        <v>111</v>
      </c>
      <c r="C27" s="113" t="s">
        <v>368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370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229</v>
      </c>
      <c r="B29" s="113" t="s">
        <v>103</v>
      </c>
      <c r="C29" s="113" t="s">
        <v>368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370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230</v>
      </c>
      <c r="B32" s="113" t="s">
        <v>103</v>
      </c>
      <c r="C32" s="113" t="s">
        <v>368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370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228</v>
      </c>
      <c r="B35" s="113" t="s">
        <v>103</v>
      </c>
      <c r="C35" s="113" t="s">
        <v>368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370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227</v>
      </c>
      <c r="B38" s="113" t="s">
        <v>103</v>
      </c>
      <c r="C38" s="113" t="s">
        <v>368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370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226</v>
      </c>
      <c r="B41" s="113" t="s">
        <v>103</v>
      </c>
      <c r="C41" s="113" t="s">
        <v>368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370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232</v>
      </c>
      <c r="B44" s="113" t="s">
        <v>103</v>
      </c>
      <c r="C44" s="113" t="s">
        <v>368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370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369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121</v>
      </c>
      <c r="C47" s="113" t="s">
        <v>368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370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369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221</v>
      </c>
      <c r="B50" s="113" t="s">
        <v>103</v>
      </c>
      <c r="C50" s="113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370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231</v>
      </c>
      <c r="B52" s="113" t="s">
        <v>103</v>
      </c>
      <c r="C52" s="113" t="s">
        <v>368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370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211</v>
      </c>
      <c r="B54" s="113" t="s">
        <v>115</v>
      </c>
      <c r="C54" s="113" t="s">
        <v>368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370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360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192</v>
      </c>
      <c r="B58" s="103" t="s">
        <v>371</v>
      </c>
      <c r="C58" s="120" t="s">
        <v>9</v>
      </c>
      <c r="D58" s="4" t="s">
        <v>97</v>
      </c>
      <c r="E58" s="4" t="s">
        <v>93</v>
      </c>
      <c r="F58" s="4" t="s">
        <v>96</v>
      </c>
      <c r="G58" s="4" t="s">
        <v>94</v>
      </c>
      <c r="H58" s="4" t="s">
        <v>95</v>
      </c>
    </row>
    <row r="59" spans="1:8" x14ac:dyDescent="0.25">
      <c r="A59" s="113" t="s">
        <v>225</v>
      </c>
      <c r="B59" s="113" t="s">
        <v>103</v>
      </c>
      <c r="C59" s="113" t="s">
        <v>368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370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369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222</v>
      </c>
      <c r="B62" s="113" t="s">
        <v>236</v>
      </c>
      <c r="C62" s="113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6</v>
      </c>
      <c r="C64" s="113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213</v>
      </c>
      <c r="B66" s="113" t="s">
        <v>236</v>
      </c>
      <c r="C66" s="113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6</v>
      </c>
      <c r="C68" s="113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369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233</v>
      </c>
      <c r="B70" s="113" t="s">
        <v>236</v>
      </c>
      <c r="C70" s="113" t="s">
        <v>368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369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6</v>
      </c>
      <c r="C72" s="113" t="s">
        <v>368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368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370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196</v>
      </c>
      <c r="B76" s="113" t="s">
        <v>236</v>
      </c>
      <c r="C76" s="113" t="s">
        <v>368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369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6</v>
      </c>
      <c r="C78" s="113" t="s">
        <v>368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369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202</v>
      </c>
      <c r="B80" s="113" t="s">
        <v>111</v>
      </c>
      <c r="C80" s="113" t="s">
        <v>368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370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200</v>
      </c>
      <c r="B82" s="113" t="s">
        <v>111</v>
      </c>
      <c r="C82" s="113" t="s">
        <v>368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370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201</v>
      </c>
      <c r="B84" s="113" t="s">
        <v>111</v>
      </c>
      <c r="C84" s="113" t="s">
        <v>368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370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229</v>
      </c>
      <c r="B86" s="113" t="s">
        <v>103</v>
      </c>
      <c r="C86" s="113" t="s">
        <v>368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370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369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230</v>
      </c>
      <c r="B89" s="113" t="s">
        <v>103</v>
      </c>
      <c r="C89" s="113" t="s">
        <v>368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370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369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228</v>
      </c>
      <c r="B92" s="113" t="s">
        <v>103</v>
      </c>
      <c r="C92" s="113" t="s">
        <v>368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370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369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227</v>
      </c>
      <c r="B95" s="113" t="s">
        <v>103</v>
      </c>
      <c r="C95" s="113" t="s">
        <v>368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370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369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226</v>
      </c>
      <c r="B98" s="113" t="s">
        <v>103</v>
      </c>
      <c r="C98" s="113" t="s">
        <v>368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370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369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232</v>
      </c>
      <c r="B101" s="113" t="s">
        <v>103</v>
      </c>
      <c r="C101" s="113" t="s">
        <v>368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370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369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121</v>
      </c>
      <c r="C104" s="113" t="s">
        <v>368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370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369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221</v>
      </c>
      <c r="B107" s="113" t="s">
        <v>103</v>
      </c>
      <c r="C107" s="113" t="s">
        <v>368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370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231</v>
      </c>
      <c r="B109" s="113" t="s">
        <v>103</v>
      </c>
      <c r="C109" s="113" t="s">
        <v>368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370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211</v>
      </c>
      <c r="B111" s="113" t="s">
        <v>115</v>
      </c>
      <c r="C111" s="113" t="s">
        <v>368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370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367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192</v>
      </c>
      <c r="B115" s="103" t="s">
        <v>371</v>
      </c>
      <c r="C115" s="120" t="s">
        <v>9</v>
      </c>
      <c r="D115" s="4" t="s">
        <v>97</v>
      </c>
      <c r="E115" s="4" t="s">
        <v>93</v>
      </c>
      <c r="F115" s="4" t="s">
        <v>96</v>
      </c>
      <c r="G115" s="4" t="s">
        <v>94</v>
      </c>
      <c r="H115" s="4" t="s">
        <v>95</v>
      </c>
    </row>
    <row r="116" spans="1:8" x14ac:dyDescent="0.25">
      <c r="A116" s="113" t="s">
        <v>225</v>
      </c>
      <c r="B116" s="113" t="s">
        <v>103</v>
      </c>
      <c r="C116" s="113" t="s">
        <v>368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370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369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222</v>
      </c>
      <c r="B119" s="113" t="s">
        <v>236</v>
      </c>
      <c r="C119" s="113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6</v>
      </c>
      <c r="C121" s="113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213</v>
      </c>
      <c r="B123" s="113" t="s">
        <v>236</v>
      </c>
      <c r="C123" s="113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369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6</v>
      </c>
      <c r="C125" s="113" t="s">
        <v>368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369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233</v>
      </c>
      <c r="B127" s="113" t="s">
        <v>236</v>
      </c>
      <c r="C127" s="113" t="s">
        <v>368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369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6</v>
      </c>
      <c r="C129" s="113" t="s">
        <v>368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369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368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370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196</v>
      </c>
      <c r="B133" s="113" t="s">
        <v>236</v>
      </c>
      <c r="C133" s="113" t="s">
        <v>368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369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6</v>
      </c>
      <c r="C135" s="113" t="s">
        <v>368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369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202</v>
      </c>
      <c r="B137" s="113" t="s">
        <v>111</v>
      </c>
      <c r="C137" s="113" t="s">
        <v>368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370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200</v>
      </c>
      <c r="B139" s="113" t="s">
        <v>111</v>
      </c>
      <c r="C139" s="113" t="s">
        <v>368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370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201</v>
      </c>
      <c r="B141" s="113" t="s">
        <v>111</v>
      </c>
      <c r="C141" s="113" t="s">
        <v>368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370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229</v>
      </c>
      <c r="B143" s="113" t="s">
        <v>103</v>
      </c>
      <c r="C143" s="113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370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230</v>
      </c>
      <c r="B146" s="113" t="s">
        <v>103</v>
      </c>
      <c r="C146" s="113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228</v>
      </c>
      <c r="B149" s="113" t="s">
        <v>103</v>
      </c>
      <c r="C149" s="113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227</v>
      </c>
      <c r="B152" s="113" t="s">
        <v>103</v>
      </c>
      <c r="C152" s="113" t="s">
        <v>368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370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369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226</v>
      </c>
      <c r="B155" s="113" t="s">
        <v>103</v>
      </c>
      <c r="C155" s="113" t="s">
        <v>368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232</v>
      </c>
      <c r="B158" s="113" t="s">
        <v>103</v>
      </c>
      <c r="C158" s="113" t="s">
        <v>368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370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369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121</v>
      </c>
      <c r="C161" s="113" t="s">
        <v>368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370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369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221</v>
      </c>
      <c r="B164" s="113" t="s">
        <v>103</v>
      </c>
      <c r="C164" s="113" t="s">
        <v>368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370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231</v>
      </c>
      <c r="B166" s="113" t="s">
        <v>103</v>
      </c>
      <c r="C166" s="113" t="s">
        <v>368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370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211</v>
      </c>
      <c r="B168" s="113" t="s">
        <v>115</v>
      </c>
      <c r="C168" s="113" t="s">
        <v>368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370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Mljhpj1hJZy0hZjrdyFAtVkv7Z3kMaOqEpPsuVSZyKtNyKWT0iDunCGTac0/CQbyoB++EJN9nk/S7qYrUNwWlg==" saltValue="juxPGB/UifozqnMdHFLwB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sk7pc21e/gpHm5+4ADTTXO1ojUpEBNkWRTt1TGhisLcm+jo0jMywckvw8PFBmjEVFzMQ8EScZTVUAz3B2FhNsQ==" saltValue="9ctBdVOsknxgTaKeqX9l2g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2026-04-29T02:06:02Z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