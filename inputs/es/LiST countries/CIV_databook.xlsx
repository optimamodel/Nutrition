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F586C30-5548-40A8-B73E-B711C5E4EA92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2" i="2" l="1"/>
  <c r="A23" i="2"/>
  <c r="A26" i="2"/>
  <c r="A35" i="2"/>
  <c r="A36" i="2"/>
  <c r="A19" i="2"/>
  <c r="I9" i="2"/>
  <c r="I13" i="2"/>
  <c r="A37" i="2"/>
  <c r="I4" i="2"/>
  <c r="I8" i="2"/>
  <c r="I12" i="2"/>
  <c r="A25" i="2"/>
  <c r="A31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<sst xmlns="http://schemas.openxmlformats.org/spreadsheetml/2006/main" count="2159" uniqueCount="372">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</sst>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4637010</v>
      </c>
    </row>
    <row r="8" spans="1:3" ht="15" customHeight="1" x14ac:dyDescent="0.25">
      <c r="B8" s="5" t="s">
        <v>63</v>
      </c>
      <c r="C8" s="44">
        <v>0.34100000000000003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0.24519759999999999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0.13689999999999999</v>
      </c>
    </row>
    <row r="24" spans="1:3" ht="15" customHeight="1" x14ac:dyDescent="0.25">
      <c r="B24" s="15" t="s">
        <v>65</v>
      </c>
      <c r="C24" s="45">
        <v>0.45260000000000011</v>
      </c>
    </row>
    <row r="25" spans="1:3" ht="15" customHeight="1" x14ac:dyDescent="0.25">
      <c r="B25" s="15" t="s">
        <v>66</v>
      </c>
      <c r="C25" s="45">
        <v>0.30809999999999998</v>
      </c>
    </row>
    <row r="26" spans="1:3" ht="15" customHeight="1" x14ac:dyDescent="0.25">
      <c r="B26" s="15" t="s">
        <v>67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0.2268357</v>
      </c>
    </row>
    <row r="30" spans="1:3" ht="14.25" customHeight="1" x14ac:dyDescent="0.25">
      <c r="B30" s="25" t="s">
        <v>82</v>
      </c>
      <c r="C30" s="99">
        <v>4.6049300000000001E-2</v>
      </c>
    </row>
    <row r="31" spans="1:3" ht="14.25" customHeight="1" x14ac:dyDescent="0.25">
      <c r="B31" s="25" t="s">
        <v>29</v>
      </c>
      <c r="C31" s="99">
        <v>6.9075899999999996E-2</v>
      </c>
    </row>
    <row r="32" spans="1:3" ht="14.25" customHeight="1" x14ac:dyDescent="0.25">
      <c r="B32" s="25" t="s">
        <v>30</v>
      </c>
      <c r="C32" s="99">
        <v>0.65803900000000004</v>
      </c>
    </row>
    <row r="33" spans="1:5" ht="13.25" customHeight="1" x14ac:dyDescent="0.25">
      <c r="B33" s="27" t="s">
        <v>79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5.3631900000000003</v>
      </c>
    </row>
    <row r="38" spans="1:5" ht="15" customHeight="1" x14ac:dyDescent="0.25">
      <c r="B38" s="11" t="s">
        <v>54</v>
      </c>
      <c r="C38" s="43">
        <v>6.2443299999999997</v>
      </c>
      <c r="D38" s="12"/>
      <c r="E38" s="13"/>
    </row>
    <row r="39" spans="1:5" ht="15" customHeight="1" x14ac:dyDescent="0.25">
      <c r="B39" s="11" t="s">
        <v>80</v>
      </c>
      <c r="C39" s="43">
        <v>7.6475099999999996</v>
      </c>
      <c r="D39" s="12"/>
      <c r="E39" s="12"/>
    </row>
    <row r="40" spans="1:5" ht="15" customHeight="1" x14ac:dyDescent="0.25">
      <c r="B40" s="11" t="s">
        <v>55</v>
      </c>
      <c r="C40" s="100">
        <v>0.22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78</v>
      </c>
      <c r="C47" s="45">
        <v>7.41401E-2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1.5860000000000001</v>
      </c>
      <c r="D51" s="12"/>
    </row>
    <row r="52" spans="1:4" ht="15" customHeight="1" x14ac:dyDescent="0.25">
      <c r="B52" s="11" t="s">
        <v>32</v>
      </c>
      <c r="C52" s="100">
        <v>1.5860000000000001</v>
      </c>
    </row>
    <row r="53" spans="1:4" ht="15.75" customHeight="1" x14ac:dyDescent="0.25">
      <c r="B53" s="11" t="s">
        <v>35</v>
      </c>
      <c r="C53" s="100">
        <v>4.524</v>
      </c>
    </row>
    <row r="54" spans="1:4" ht="15.75" customHeight="1" x14ac:dyDescent="0.25">
      <c r="B54" s="11" t="s">
        <v>33</v>
      </c>
      <c r="C54" s="100">
        <v>4.55</v>
      </c>
    </row>
    <row r="55" spans="1:4" ht="15.75" customHeight="1" x14ac:dyDescent="0.25">
      <c r="B55" s="11" t="s">
        <v>34</v>
      </c>
      <c r="C55" s="100">
        <v>2.4006666666666669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0.54813400000000001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3frqaJTigMU+YFGvzcnIGZ8vN8v43FkhIgzK3Kxhuo0KdM/vyse+YlhCIB/UuBy90OcsAI5a4ek8hb20nJhcZg==" saltValue="GmWzRoeKBWo1kdbaxp41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fmygH20hoL58MjyyXh3hJD+OqkiqH7hyjz9KuiDGlJpOR90kfMbATDyBBAAF8jwaVNDHz80+/46cYXF40jXSA==" saltValue="QZCawcxnmmpRJhZJe/TBw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2.2469799999999981E-2</v>
      </c>
    </row>
    <row r="5" spans="1:8" ht="15.75" customHeight="1" x14ac:dyDescent="0.25">
      <c r="B5" s="19" t="s">
        <v>114</v>
      </c>
      <c r="C5" s="101">
        <v>2.4460900000000049E-2</v>
      </c>
    </row>
    <row r="6" spans="1:8" ht="15.75" customHeight="1" x14ac:dyDescent="0.25">
      <c r="B6" s="19" t="s">
        <v>110</v>
      </c>
      <c r="C6" s="101">
        <v>0.10187679999999991</v>
      </c>
    </row>
    <row r="7" spans="1:8" ht="15.75" customHeight="1" x14ac:dyDescent="0.25">
      <c r="B7" s="19" t="s">
        <v>115</v>
      </c>
      <c r="C7" s="101">
        <v>0.41340200000000021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0.39500150000000001</v>
      </c>
    </row>
    <row r="10" spans="1:8" ht="15.75" customHeight="1" x14ac:dyDescent="0.25">
      <c r="B10" s="19" t="s">
        <v>113</v>
      </c>
      <c r="C10" s="101">
        <v>4.2788999999999952E-2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121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2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98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107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118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4.3847376999999993E-2</v>
      </c>
    </row>
    <row r="27" spans="1:8" ht="15.75" customHeight="1" x14ac:dyDescent="0.25">
      <c r="B27" s="19" t="s">
        <v>108</v>
      </c>
      <c r="C27" s="101">
        <v>3.4044087000000001E-2</v>
      </c>
    </row>
    <row r="28" spans="1:8" ht="15.75" customHeight="1" x14ac:dyDescent="0.25">
      <c r="B28" s="19" t="s">
        <v>122</v>
      </c>
      <c r="C28" s="101">
        <v>4.3283602999999997E-2</v>
      </c>
    </row>
    <row r="29" spans="1:8" ht="15.75" customHeight="1" x14ac:dyDescent="0.25">
      <c r="B29" s="19" t="s">
        <v>105</v>
      </c>
      <c r="C29" s="101">
        <v>0.177569167</v>
      </c>
    </row>
    <row r="30" spans="1:8" ht="15.75" customHeight="1" x14ac:dyDescent="0.25">
      <c r="B30" s="19" t="s">
        <v>4</v>
      </c>
      <c r="C30" s="101">
        <v>3.1893660999999997E-2</v>
      </c>
    </row>
    <row r="31" spans="1:8" ht="15.75" customHeight="1" x14ac:dyDescent="0.25">
      <c r="B31" s="19" t="s">
        <v>99</v>
      </c>
      <c r="C31" s="101">
        <v>9.3503550000000005E-2</v>
      </c>
    </row>
    <row r="32" spans="1:8" ht="15.75" customHeight="1" x14ac:dyDescent="0.25">
      <c r="B32" s="19" t="s">
        <v>104</v>
      </c>
      <c r="C32" s="101">
        <v>7.8392814000000005E-2</v>
      </c>
    </row>
    <row r="33" spans="2:3" ht="15.75" customHeight="1" x14ac:dyDescent="0.25">
      <c r="B33" s="19" t="s">
        <v>119</v>
      </c>
      <c r="C33" s="101">
        <v>0.15751110600000001</v>
      </c>
    </row>
    <row r="34" spans="2:3" ht="15.75" customHeight="1" x14ac:dyDescent="0.25">
      <c r="B34" s="19" t="s">
        <v>106</v>
      </c>
      <c r="C34" s="101">
        <v>0.33995463500000001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XO+cHbYG7M2AhD3Yo2vpVg0ThvKHBmH2DUsTk2Z/alhaMJfR2AUzfc7j5u+daU0F5xjMSPEDb6hGmC17eKwB2w==" saltValue="w+X5jgVTf+R8bpBdcjpT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129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125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126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TAa1fPi9ExHykuWDqhGOlNKVXGnBT1jtYJDtrBjrNjjPzX3sgjswCEVlRSzOjtiUxM2fKW/EgjpQAbDytq36g==" saltValue="pzr1bSuV5vtJ+8VQS50H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v3DqHchPpC+IG5gJ90ZZrK47ewm7VWBvpC10AnZbpFMb4H9jBp0wIxDfloM0oT3nNwGeHt6tpZ9eF2xQjwDQRA==" saltValue="+MeI8E+ZljzqGqXMk63zy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r9ytYFWq1yvHSwMMECtpJ6iDjAePyYRs2LsRByjWRX/H/u22DtllpGRFLgV76YfAUvA3PwzFSptqvHjUuoFtg==" saltValue="dbNABJYMUr35yyJ1Xv4H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2486.4121939424799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0.31214999999999998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0.58029000000000008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1.2964714354519241E-2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92069.397580000004</v>
      </c>
      <c r="C22" s="109">
        <v>90749.257360000003</v>
      </c>
      <c r="D22" s="109">
        <v>89790.536429999993</v>
      </c>
      <c r="E22" s="109">
        <v>89178.959210000001</v>
      </c>
      <c r="F22" s="109">
        <v>88374.46819</v>
      </c>
      <c r="G22" s="109">
        <v>87395.65986</v>
      </c>
      <c r="H22" s="109">
        <v>86127.279179999998</v>
      </c>
      <c r="I22" s="109">
        <v>84387.821970000005</v>
      </c>
      <c r="J22" s="109">
        <v>81916.292199999996</v>
      </c>
      <c r="K22" s="109">
        <v>78625.321379999994</v>
      </c>
      <c r="L22" s="109">
        <v>74160.815640000001</v>
      </c>
      <c r="M22" s="109">
        <v>68437.283880000003</v>
      </c>
      <c r="N22" s="109">
        <v>60724.808649999999</v>
      </c>
      <c r="O22" s="109">
        <v>51151.459410000003</v>
      </c>
    </row>
  </sheetData>
  <sheetProtection algorithmName="SHA-512" hashValue="H1WB9VP+V+6pMNIh5b378ozByZ2B6USMsyG54qmmz6QAi9cSn1BBv2dDbPRV1qtwlAVhadkUUQSep5TsgO5xdQ==" saltValue="IwTrVkeX3vNhDmskSrAB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433XHWf0d7YNa/Moo3QCJbcXVRUPO6USqZo0bqVK++jAzxENcshvx4dLBI7YtyVExHFA/vBQvl63HYyPlGYHKA==" saltValue="m/9rapwHggUA7bBlHjvW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L6//3z+RuhG2R8Rz7Nl8QLK1aZrNgqbMBcFGAGu0kfj+tmZd44KeJCh/w1mypsuEGTxoZHboSBF7F2OZYgUBQ==" saltValue="rEtQGfrwLQxzAiM+Fe4c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14.30692084199827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14.30692084199827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14.30692084199827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14.30692084199827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14.30692084199827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14.30692084199827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0.31415611111111102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0.185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0.224714</v>
      </c>
      <c r="C19" s="98">
        <v>0.95</v>
      </c>
      <c r="D19" s="56">
        <v>11.223012790221791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4.7321919239691654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0.93597991376873002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0.56282260000000006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0.75648280000000001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0.72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0.21814959119999999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0.20890819999999999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3.2008099999999998E-2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0.107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elbL3EpUj54XNev0+pM4cH9YAYU4L2rLtWIpPkbWEGzWafFlOhLDPCz315vkVmzQurhoNoGL+PutL7Y3SxzEsw==" saltValue="9SQiA4g5DPXihuXfuXUA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7OcryxDlrgryCY/h7+n1IYFoddAWX47aQiYoM5/v3K/lMif2F9iNzrrVJc+o6ieDDR1f/upJ9WCExCP/KWHjQ==" saltValue="8kk06Rzbwpf6LclEAdfef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rrnd2JTujjg6jfcliBQwWzg2Zx00aH3qjPatb2Ad+IKeBvv2ZCFk5c3VCPZy+0GEK+IiMY1d7NebOnSWd6nAg==" saltValue="vW6t3+QoQpiZbRL79uUj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1.5860000000000001</v>
      </c>
      <c r="C2" s="21">
        <f>'Entradas de población-año base'!C52</f>
        <v>1.5860000000000001</v>
      </c>
      <c r="D2" s="21">
        <f>'Entradas de población-año base'!C53</f>
        <v>4.524</v>
      </c>
      <c r="E2" s="21">
        <f>'Entradas de población-año base'!C54</f>
        <v>4.55</v>
      </c>
      <c r="F2" s="21">
        <f>'Entradas de población-año base'!C55</f>
        <v>2.4006666666666669</v>
      </c>
    </row>
    <row r="3" spans="1:6" ht="15.75" customHeight="1" x14ac:dyDescent="0.25">
      <c r="A3" s="3" t="s">
        <v>6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236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zCMZnwKIkeIyNKSSDnJz/EL93kNTd0xqwJoHs+HsxNjio0JkDubCgi/dE08/z+rERi2ceBuk/54ApPYfRZ/ynw==" saltValue="5raiLwNfEZSbFWqoqHWS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4sU/g4d86hlckcCiJpCLMd+DnD/EpcL+61mC5nU54PDOg4ZyjtU1FLq1hdqx9rlNKksuA00vwbUNIBJa2VFwA==" saltValue="miLDjNnpeOLBJ16+BxhJ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LOLODk7BgyffaWeAPrSlKl4PuUbbzXlpoCrghvbz6r64UnI2jqT0GoADGDJtfgKIjfn5fBsDG+OsLSKEQYhNOA==" saltValue="BWRflwrdGK9iFbbt9QtT7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zXtgtZT54T2ZzdQxpXaw665eYCN2ZHuYOnxenK0/oI7Lrjfx2VBhPNYP0tZ/dGiRJnF+Tar8L2tCS/OAMp/jw==" saltValue="dgXWXZ/8c/PpVHhHWJkX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3y3u0tWb0yjgebBbcOVVVA3Wcp00v1UzViVdeEz5HiwaTDJHJOPhNaa7GQhXJ6aBV9wqnOD+K556johMxMETQ==" saltValue="FErs+9n+Hix709wqoJfZ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jk8Hdyv41aJDxeEdZRukaPqGOiibwVHxYJodyvg3uYuLVqm0hI36UgTGix1bbmkBftI6J7gT0sgXHSC8uEo3OQ==" saltValue="goqOgQgQ/QIiGkhxHHBI0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fVHth2uwIzQqRLq3wsI0MQ+WU6xrvSx9+Sro4+l+nzHf6CNwgf22H6050eY0IGe5fy6ZQbmXyC0wqmbq8b3VQ==" saltValue="uj2zyKEF9ugF/dFxu35K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HLvhOnUlfqJozZoE5aUmKupPSoh36q/innuYKGQJPz4ioXuXKWauT6x+pZFQ9sqAhUWW4k5j6iSMNVNfcrADQ==" saltValue="KCIKzBhJMxNhS6GpbUKHR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cdIVGk6ZZeJh/m6s6JoRQRndMGm6hAwcSru46KskHdUPfj9ehT/Yj9r4PqVY46R0GbUo75h4XhLcAUDjosDv3A==" saltValue="I3pBLKLyuBh8VogO04aB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f0EnF1uamX3F5vgvHOVC6b3djmV41xfdM3PFuooFPooFVxJ9AkaJF9x+zQ8arT+oWrLPD0ujpa8hwrT0XKEwOw==" saltValue="0P/LewiDI3nkRUSb+/PV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ERHlHw6BzmGaT8o1kcYrf+Y09Bz+SR3vBlDbD1m+5hed/iP39qGjF+It69PxdCcFTG4H9pUBCjarJOpI+smFA==" saltValue="l+TkAb2o2GBouHWr1s5T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x5/qR2qZO572FVs5p8O+ncENHyPqvCEW+doF7HbNRCcs0xuyjiSqTmtYgB9g3K7vJ6nlJgyzAoIDZNj47hCQg==" saltValue="fG+s6BmpMIbYX+e7chUU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frp1FwIde7DLmqPuasggODfYJLFAunBE7jUgszT7h2oPE5wVcEUS23nUxgQqe383w7Eu2rVSO+L93k63jw46w==" saltValue="mZGkQzcBm3b4fH1tU7kL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WMvVXkb/1os+ArmckzHyNzAq7boa/gWHHQu/uf9ba91YuoBJKHP5AEeoymSDtMyrWiIwcqQQCwUt368vBBe1A==" saltValue="iezwaIvJ6KK29mAE7aHy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pp7EhxOkyVPk8H/xU4gGK4kClMLr3l9/2jtus7wzXLP041XXuMAvaYIrbLUVBIuOSXkmgXw1aR5Y45jys7j9g==" saltValue="aoCymKSwIjsq5Nq7eexh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ChxDBntBOiEsAXBIwWketUv8bmj+l3Gdm/cBsLBImT86Ms0tYyJnYU2DLziElZGeUE3I0uMBHm9JoquuspgiA==" saltValue="9agcA471HFvStN/F4+X9H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2025-07-04T00:53:25Z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