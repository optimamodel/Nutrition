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8BECB458-83D4-4C28-9900-C7FD42E2F042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A39" i="2"/>
  <c r="H38" i="2"/>
  <c r="G38" i="2"/>
  <c r="A34" i="2"/>
  <c r="A33" i="2"/>
  <c r="A31" i="2"/>
  <c r="A29" i="2"/>
  <c r="A26" i="2"/>
  <c r="A25" i="2"/>
  <c r="A20" i="2"/>
  <c r="A18" i="2"/>
  <c r="A17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A2" i="2"/>
  <c r="A40" i="2" s="1"/>
  <c r="C33" i="1"/>
  <c r="C20" i="1"/>
  <c r="A21" i="2" l="1"/>
  <c r="A37" i="2"/>
  <c r="I2" i="2"/>
  <c r="A23" i="2"/>
  <c r="I38" i="2"/>
  <c r="A16" i="2"/>
  <c r="A24" i="2"/>
  <c r="A32" i="2"/>
  <c r="A19" i="2"/>
  <c r="A27" i="2"/>
  <c r="A35" i="2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<sst xmlns="http://schemas.openxmlformats.org/spreadsheetml/2006/main" count="2101" uniqueCount="341">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</sst>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14530298.25</v>
      </c>
    </row>
    <row r="8" spans="1:3" ht="15" customHeight="1" x14ac:dyDescent="0.25">
      <c r="B8" s="5" t="s">
        <v>44</v>
      </c>
      <c r="C8" s="44">
        <v>0.14799999999999999</v>
      </c>
    </row>
    <row r="9" spans="1:3" ht="15" customHeight="1" x14ac:dyDescent="0.25">
      <c r="B9" s="5" t="s">
        <v>43</v>
      </c>
      <c r="C9" s="45">
        <v>0.48840000000000011</v>
      </c>
    </row>
    <row r="10" spans="1:3" ht="15" customHeight="1" x14ac:dyDescent="0.25">
      <c r="B10" s="5" t="s">
        <v>56</v>
      </c>
      <c r="C10" s="45">
        <v>0.66547080993652297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0.27500000000000002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0.20180000000000001</v>
      </c>
    </row>
    <row r="24" spans="1:3" ht="15" customHeight="1" x14ac:dyDescent="0.25">
      <c r="B24" s="15" t="s">
        <v>46</v>
      </c>
      <c r="C24" s="45">
        <v>0.58740000000000003</v>
      </c>
    </row>
    <row r="25" spans="1:3" ht="15" customHeight="1" x14ac:dyDescent="0.25">
      <c r="B25" s="15" t="s">
        <v>47</v>
      </c>
      <c r="C25" s="45">
        <v>0.18479999999999999</v>
      </c>
    </row>
    <row r="26" spans="1:3" ht="15" customHeight="1" x14ac:dyDescent="0.25">
      <c r="B26" s="15" t="s">
        <v>48</v>
      </c>
      <c r="C26" s="45">
        <v>2.5999999999999999E-2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0.38903520674993503</v>
      </c>
    </row>
    <row r="30" spans="1:3" ht="14.25" customHeight="1" x14ac:dyDescent="0.25">
      <c r="B30" s="25" t="s">
        <v>63</v>
      </c>
      <c r="C30" s="99">
        <v>3.0554486722926998E-2</v>
      </c>
    </row>
    <row r="31" spans="1:3" ht="14.25" customHeight="1" x14ac:dyDescent="0.25">
      <c r="B31" s="25" t="s">
        <v>10</v>
      </c>
      <c r="C31" s="99">
        <v>3.3490630273111603E-2</v>
      </c>
    </row>
    <row r="32" spans="1:3" ht="14.25" customHeight="1" x14ac:dyDescent="0.25">
      <c r="B32" s="25" t="s">
        <v>11</v>
      </c>
      <c r="C32" s="99">
        <v>0.54691967625402593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16.004100000000001</v>
      </c>
    </row>
    <row r="38" spans="1:5" ht="15" customHeight="1" x14ac:dyDescent="0.25">
      <c r="B38" s="11" t="s">
        <v>35</v>
      </c>
      <c r="C38" s="43">
        <v>22.90615</v>
      </c>
      <c r="D38" s="12"/>
      <c r="E38" s="13"/>
    </row>
    <row r="39" spans="1:5" ht="15" customHeight="1" x14ac:dyDescent="0.25">
      <c r="B39" s="11" t="s">
        <v>61</v>
      </c>
      <c r="C39" s="43">
        <v>27.273630000000001</v>
      </c>
      <c r="D39" s="12"/>
      <c r="E39" s="12"/>
    </row>
    <row r="40" spans="1:5" ht="15" customHeight="1" x14ac:dyDescent="0.25">
      <c r="B40" s="11" t="s">
        <v>36</v>
      </c>
      <c r="C40" s="100">
        <v>1.23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20.500170000000001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2.1753700000000001E-2</v>
      </c>
      <c r="D45" s="12"/>
    </row>
    <row r="46" spans="1:5" ht="15.75" customHeight="1" x14ac:dyDescent="0.25">
      <c r="B46" s="11" t="s">
        <v>51</v>
      </c>
      <c r="C46" s="45">
        <v>0.13988120000000001</v>
      </c>
      <c r="D46" s="12"/>
    </row>
    <row r="47" spans="1:5" ht="15.75" customHeight="1" x14ac:dyDescent="0.25">
      <c r="B47" s="11" t="s">
        <v>59</v>
      </c>
      <c r="C47" s="45">
        <v>0.39040259999999999</v>
      </c>
      <c r="D47" s="12"/>
      <c r="E47" s="13"/>
    </row>
    <row r="48" spans="1:5" ht="15" customHeight="1" x14ac:dyDescent="0.25">
      <c r="B48" s="11" t="s">
        <v>58</v>
      </c>
      <c r="C48" s="46">
        <v>0.44796249999999999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2.4</v>
      </c>
      <c r="D51" s="12"/>
    </row>
    <row r="52" spans="1:4" ht="15" customHeight="1" x14ac:dyDescent="0.25">
      <c r="B52" s="11" t="s">
        <v>13</v>
      </c>
      <c r="C52" s="100">
        <v>2.4</v>
      </c>
    </row>
    <row r="53" spans="1:4" ht="15.75" customHeight="1" x14ac:dyDescent="0.25">
      <c r="B53" s="11" t="s">
        <v>16</v>
      </c>
      <c r="C53" s="100">
        <v>2.4</v>
      </c>
    </row>
    <row r="54" spans="1:4" ht="15.75" customHeight="1" x14ac:dyDescent="0.25">
      <c r="B54" s="11" t="s">
        <v>14</v>
      </c>
      <c r="C54" s="100">
        <v>2.4</v>
      </c>
    </row>
    <row r="55" spans="1:4" ht="15.75" customHeight="1" x14ac:dyDescent="0.25">
      <c r="B55" s="11" t="s">
        <v>15</v>
      </c>
      <c r="C55" s="100">
        <v>2.4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2.1666666666666671E-2</v>
      </c>
    </row>
    <row r="59" spans="1:4" ht="15.75" customHeight="1" x14ac:dyDescent="0.25">
      <c r="B59" s="11" t="s">
        <v>40</v>
      </c>
      <c r="C59" s="45">
        <v>0.48978300000000002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0.27809780000000001</v>
      </c>
    </row>
    <row r="63" spans="1:4" ht="15.75" customHeight="1" x14ac:dyDescent="0.3">
      <c r="A63" s="4"/>
    </row>
  </sheetData>
  <sheetProtection algorithmName="SHA-512" hashValue="FWxgRRrF55WGWmGiBkazr9Jd5CAfDrLmiJh2IopdZpwROaaWGOB1AGye+Oqb9YRG0K7fOFL2E0r/si0SGu+PgQ==" saltValue="92rJVA3tPH5HhT8zwxnH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2977540</v>
      </c>
      <c r="C2" s="49">
        <v>9409673.4999999981</v>
      </c>
      <c r="D2" s="49">
        <v>15884243</v>
      </c>
      <c r="E2" s="49">
        <v>13877624.5</v>
      </c>
      <c r="F2" s="49">
        <v>10343160.5</v>
      </c>
      <c r="G2" s="17">
        <f t="shared" ref="G2:G13" si="0">C2+D2+E2+F2</f>
        <v>49514701.5</v>
      </c>
      <c r="H2" s="17">
        <f t="shared" ref="H2:H13" si="1">(B2 + stillbirth*B2/(1000-stillbirth))/(1-abortion)</f>
        <v>3454383.633551199</v>
      </c>
      <c r="I2" s="17">
        <f t="shared" ref="I2:I13" si="2">G2-H2</f>
        <v>46060317.866448805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2960932</v>
      </c>
      <c r="C3" s="50">
        <v>9215686.5</v>
      </c>
      <c r="D3" s="50">
        <v>15973189.5</v>
      </c>
      <c r="E3" s="50">
        <v>14016460.5</v>
      </c>
      <c r="F3" s="50">
        <v>10573920.5</v>
      </c>
      <c r="G3" s="17">
        <f t="shared" si="0"/>
        <v>49779257</v>
      </c>
      <c r="H3" s="17">
        <f t="shared" si="1"/>
        <v>3435115.9147679023</v>
      </c>
      <c r="I3" s="17">
        <f t="shared" si="2"/>
        <v>46344141.085232094</v>
      </c>
    </row>
    <row r="4" spans="1:9" ht="15.75" customHeight="1" x14ac:dyDescent="0.25">
      <c r="A4" s="5">
        <f t="shared" si="3"/>
        <v>2026</v>
      </c>
      <c r="B4" s="49">
        <v>2934630</v>
      </c>
      <c r="C4" s="50">
        <v>9029393.5</v>
      </c>
      <c r="D4" s="50">
        <v>16022168</v>
      </c>
      <c r="E4" s="50">
        <v>14150235.5</v>
      </c>
      <c r="F4" s="50">
        <v>10798742</v>
      </c>
      <c r="G4" s="17">
        <f t="shared" si="0"/>
        <v>50000539</v>
      </c>
      <c r="H4" s="17">
        <f t="shared" si="1"/>
        <v>3404601.7324799518</v>
      </c>
      <c r="I4" s="17">
        <f t="shared" si="2"/>
        <v>46595937.267520048</v>
      </c>
    </row>
    <row r="5" spans="1:9" ht="15.75" customHeight="1" x14ac:dyDescent="0.25">
      <c r="A5" s="5">
        <f t="shared" si="3"/>
        <v>2027</v>
      </c>
      <c r="B5" s="49">
        <v>2913331</v>
      </c>
      <c r="C5" s="50">
        <v>8861999.5</v>
      </c>
      <c r="D5" s="50">
        <v>16017689</v>
      </c>
      <c r="E5" s="50">
        <v>14300705</v>
      </c>
      <c r="F5" s="50">
        <v>11009040.5</v>
      </c>
      <c r="G5" s="17">
        <f t="shared" si="0"/>
        <v>50189434</v>
      </c>
      <c r="H5" s="17">
        <f t="shared" si="1"/>
        <v>3379891.7648519743</v>
      </c>
      <c r="I5" s="17">
        <f t="shared" si="2"/>
        <v>46809542.235148028</v>
      </c>
    </row>
    <row r="6" spans="1:9" ht="15.75" customHeight="1" x14ac:dyDescent="0.25">
      <c r="A6" s="5">
        <f t="shared" si="3"/>
        <v>2028</v>
      </c>
      <c r="B6" s="49">
        <v>2882811</v>
      </c>
      <c r="C6" s="50">
        <v>8718976.9999999981</v>
      </c>
      <c r="D6" s="50">
        <v>15958229</v>
      </c>
      <c r="E6" s="50">
        <v>14466278.5</v>
      </c>
      <c r="F6" s="50">
        <v>11204588.5</v>
      </c>
      <c r="G6" s="17">
        <f t="shared" si="0"/>
        <v>50348073</v>
      </c>
      <c r="H6" s="17">
        <f t="shared" si="1"/>
        <v>3344484.083176503</v>
      </c>
      <c r="I6" s="17">
        <f t="shared" si="2"/>
        <v>47003588.916823499</v>
      </c>
    </row>
    <row r="7" spans="1:9" ht="15.75" customHeight="1" x14ac:dyDescent="0.25">
      <c r="A7" s="5">
        <f t="shared" si="3"/>
        <v>2029</v>
      </c>
      <c r="B7" s="49">
        <v>2857451</v>
      </c>
      <c r="C7" s="50">
        <v>8603258.9999999981</v>
      </c>
      <c r="D7" s="50">
        <v>15850282.5</v>
      </c>
      <c r="E7" s="50">
        <v>14622684.5</v>
      </c>
      <c r="F7" s="50">
        <v>11384526.5</v>
      </c>
      <c r="G7" s="17">
        <f t="shared" si="0"/>
        <v>50460752.5</v>
      </c>
      <c r="H7" s="17">
        <f t="shared" si="1"/>
        <v>3315062.759215496</v>
      </c>
      <c r="I7" s="17">
        <f t="shared" si="2"/>
        <v>47145689.740784504</v>
      </c>
    </row>
    <row r="8" spans="1:9" ht="15.75" customHeight="1" x14ac:dyDescent="0.25">
      <c r="A8" s="5">
        <f t="shared" si="3"/>
        <v>2030</v>
      </c>
      <c r="B8" s="49">
        <v>2815531</v>
      </c>
      <c r="C8" s="50">
        <v>8525298.5</v>
      </c>
      <c r="D8" s="50">
        <v>15688010</v>
      </c>
      <c r="E8" s="50">
        <v>14772988</v>
      </c>
      <c r="F8" s="50">
        <v>11557595</v>
      </c>
      <c r="G8" s="17">
        <f t="shared" si="0"/>
        <v>50543891.5</v>
      </c>
      <c r="H8" s="17">
        <f t="shared" si="1"/>
        <v>3266429.4035196975</v>
      </c>
      <c r="I8" s="17">
        <f t="shared" si="2"/>
        <v>47277462.096480303</v>
      </c>
    </row>
    <row r="9" spans="1:9" ht="15.75" customHeight="1" x14ac:dyDescent="0.25">
      <c r="A9" s="5">
        <f t="shared" si="3"/>
        <v>2031</v>
      </c>
      <c r="B9" s="49">
        <v>2785574</v>
      </c>
      <c r="C9" s="50">
        <v>8478782.5000000019</v>
      </c>
      <c r="D9" s="50">
        <v>15475792</v>
      </c>
      <c r="E9" s="50">
        <v>14934301</v>
      </c>
      <c r="F9" s="50">
        <v>11723759</v>
      </c>
      <c r="G9" s="17">
        <f t="shared" si="0"/>
        <v>50612634.5</v>
      </c>
      <c r="H9" s="17">
        <f t="shared" si="1"/>
        <v>3231674.8845173358</v>
      </c>
      <c r="I9" s="17">
        <f t="shared" si="2"/>
        <v>47380959.615482666</v>
      </c>
    </row>
    <row r="10" spans="1:9" ht="15.75" customHeight="1" x14ac:dyDescent="0.25">
      <c r="A10" s="5">
        <f t="shared" si="3"/>
        <v>2032</v>
      </c>
      <c r="B10" s="49">
        <v>2751608</v>
      </c>
      <c r="C10" s="50">
        <v>8455924.5</v>
      </c>
      <c r="D10" s="50">
        <v>15232027.5</v>
      </c>
      <c r="E10" s="50">
        <v>15103671.5</v>
      </c>
      <c r="F10" s="50">
        <v>11857176.5</v>
      </c>
      <c r="G10" s="17">
        <f t="shared" si="0"/>
        <v>50648800</v>
      </c>
      <c r="H10" s="17">
        <f t="shared" si="1"/>
        <v>3192269.3368178252</v>
      </c>
      <c r="I10" s="17">
        <f t="shared" si="2"/>
        <v>47456530.663182177</v>
      </c>
    </row>
    <row r="11" spans="1:9" ht="15.75" customHeight="1" x14ac:dyDescent="0.25">
      <c r="A11" s="5">
        <f t="shared" si="3"/>
        <v>2033</v>
      </c>
      <c r="B11" s="49">
        <v>2717355</v>
      </c>
      <c r="C11" s="50">
        <v>8451911</v>
      </c>
      <c r="D11" s="50">
        <v>14981528.5</v>
      </c>
      <c r="E11" s="50">
        <v>15267894.5</v>
      </c>
      <c r="F11" s="50">
        <v>11971552</v>
      </c>
      <c r="G11" s="17">
        <f t="shared" si="0"/>
        <v>50672886</v>
      </c>
      <c r="H11" s="17">
        <f t="shared" si="1"/>
        <v>3152530.8269741195</v>
      </c>
      <c r="I11" s="17">
        <f t="shared" si="2"/>
        <v>47520355.173025884</v>
      </c>
    </row>
    <row r="12" spans="1:9" ht="15.75" customHeight="1" x14ac:dyDescent="0.25">
      <c r="A12" s="5">
        <f t="shared" si="3"/>
        <v>2034</v>
      </c>
      <c r="B12" s="49">
        <v>2687898</v>
      </c>
      <c r="C12" s="50">
        <v>8452420</v>
      </c>
      <c r="D12" s="50">
        <v>14735639.5</v>
      </c>
      <c r="E12" s="50">
        <v>15402107.5</v>
      </c>
      <c r="F12" s="50">
        <v>12085220.5</v>
      </c>
      <c r="G12" s="17">
        <f t="shared" si="0"/>
        <v>50675387.5</v>
      </c>
      <c r="H12" s="17">
        <f t="shared" si="1"/>
        <v>3118356.3813937013</v>
      </c>
      <c r="I12" s="17">
        <f t="shared" si="2"/>
        <v>47557031.118606299</v>
      </c>
    </row>
    <row r="13" spans="1:9" ht="15.75" customHeight="1" x14ac:dyDescent="0.25">
      <c r="A13" s="5">
        <f t="shared" si="3"/>
        <v>2035</v>
      </c>
      <c r="B13" s="49">
        <v>2651357</v>
      </c>
      <c r="C13" s="50">
        <v>8458460.5000000019</v>
      </c>
      <c r="D13" s="50">
        <v>14505049</v>
      </c>
      <c r="E13" s="50">
        <v>15493063</v>
      </c>
      <c r="F13" s="50">
        <v>12205751.5</v>
      </c>
      <c r="G13" s="17">
        <f t="shared" si="0"/>
        <v>50662324</v>
      </c>
      <c r="H13" s="17">
        <f t="shared" si="1"/>
        <v>3075963.4555711788</v>
      </c>
      <c r="I13" s="17">
        <f t="shared" si="2"/>
        <v>47586360.544428818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46vIzQ9KIfzNTG5YCVJIjd0+9dLYBCDg5vIQdAee+FnBq+F61McNMtM7+rtMA2yDqXw4Yb7I9NnqnDjIWIBJXA==" saltValue="ZIykBKicaGPh7P34R6uzz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1.1453498854650119E-2</v>
      </c>
    </row>
    <row r="4" spans="1:8" ht="15.75" customHeight="1" x14ac:dyDescent="0.25">
      <c r="B4" s="19" t="s">
        <v>97</v>
      </c>
      <c r="C4" s="101">
        <v>9.4447090555290908E-2</v>
      </c>
    </row>
    <row r="5" spans="1:8" ht="15.75" customHeight="1" x14ac:dyDescent="0.25">
      <c r="B5" s="19" t="s">
        <v>95</v>
      </c>
      <c r="C5" s="101">
        <v>8.4743491525650902E-2</v>
      </c>
    </row>
    <row r="6" spans="1:8" ht="15.75" customHeight="1" x14ac:dyDescent="0.25">
      <c r="B6" s="19" t="s">
        <v>91</v>
      </c>
      <c r="C6" s="101">
        <v>0.25140407485959188</v>
      </c>
    </row>
    <row r="7" spans="1:8" ht="15.75" customHeight="1" x14ac:dyDescent="0.25">
      <c r="B7" s="19" t="s">
        <v>96</v>
      </c>
      <c r="C7" s="101">
        <v>0.33003026699697391</v>
      </c>
    </row>
    <row r="8" spans="1:8" ht="15.75" customHeight="1" x14ac:dyDescent="0.25">
      <c r="B8" s="19" t="s">
        <v>98</v>
      </c>
      <c r="C8" s="101">
        <v>1.377999862200013E-3</v>
      </c>
    </row>
    <row r="9" spans="1:8" ht="15.75" customHeight="1" x14ac:dyDescent="0.25">
      <c r="B9" s="19" t="s">
        <v>92</v>
      </c>
      <c r="C9" s="101">
        <v>9.7865990213400936E-2</v>
      </c>
    </row>
    <row r="10" spans="1:8" ht="15.75" customHeight="1" x14ac:dyDescent="0.25">
      <c r="B10" s="19" t="s">
        <v>94</v>
      </c>
      <c r="C10" s="101">
        <v>0.1286775871322412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0.1701278815788132</v>
      </c>
      <c r="D14" s="55">
        <v>0.1701278815788132</v>
      </c>
      <c r="E14" s="55">
        <v>0.1701278815788132</v>
      </c>
      <c r="F14" s="55">
        <v>0.1701278815788132</v>
      </c>
    </row>
    <row r="15" spans="1:8" ht="15.75" customHeight="1" x14ac:dyDescent="0.25">
      <c r="B15" s="19" t="s">
        <v>102</v>
      </c>
      <c r="C15" s="101">
        <v>0.18319874540566811</v>
      </c>
      <c r="D15" s="101">
        <v>0.18319874540566811</v>
      </c>
      <c r="E15" s="101">
        <v>0.18319874540566811</v>
      </c>
      <c r="F15" s="101">
        <v>0.18319874540566811</v>
      </c>
    </row>
    <row r="16" spans="1:8" ht="15.75" customHeight="1" x14ac:dyDescent="0.25">
      <c r="B16" s="19" t="s">
        <v>2</v>
      </c>
      <c r="C16" s="101">
        <v>8.6408669263906192E-3</v>
      </c>
      <c r="D16" s="101">
        <v>8.6408669263906192E-3</v>
      </c>
      <c r="E16" s="101">
        <v>8.6408669263906192E-3</v>
      </c>
      <c r="F16" s="101">
        <v>8.6408669263906192E-3</v>
      </c>
    </row>
    <row r="17" spans="1:8" ht="15.75" customHeight="1" x14ac:dyDescent="0.25">
      <c r="B17" s="19" t="s">
        <v>90</v>
      </c>
      <c r="C17" s="101">
        <v>0.27638773713709541</v>
      </c>
      <c r="D17" s="101">
        <v>0.27638773713709541</v>
      </c>
      <c r="E17" s="101">
        <v>0.27638773713709541</v>
      </c>
      <c r="F17" s="101">
        <v>0.27638773713709541</v>
      </c>
    </row>
    <row r="18" spans="1:8" ht="15.75" customHeight="1" x14ac:dyDescent="0.25">
      <c r="B18" s="19" t="s">
        <v>3</v>
      </c>
      <c r="C18" s="101">
        <v>3.212324045668727E-4</v>
      </c>
      <c r="D18" s="101">
        <v>3.212324045668727E-4</v>
      </c>
      <c r="E18" s="101">
        <v>3.212324045668727E-4</v>
      </c>
      <c r="F18" s="101">
        <v>3.212324045668727E-4</v>
      </c>
    </row>
    <row r="19" spans="1:8" ht="15.75" customHeight="1" x14ac:dyDescent="0.25">
      <c r="B19" s="19" t="s">
        <v>101</v>
      </c>
      <c r="C19" s="101">
        <v>1.9480867300339509E-2</v>
      </c>
      <c r="D19" s="101">
        <v>1.9480867300339509E-2</v>
      </c>
      <c r="E19" s="101">
        <v>1.9480867300339509E-2</v>
      </c>
      <c r="F19" s="101">
        <v>1.9480867300339509E-2</v>
      </c>
    </row>
    <row r="20" spans="1:8" ht="15.75" customHeight="1" x14ac:dyDescent="0.25">
      <c r="B20" s="19" t="s">
        <v>79</v>
      </c>
      <c r="C20" s="101">
        <v>8.3718301442584563E-4</v>
      </c>
      <c r="D20" s="101">
        <v>8.3718301442584563E-4</v>
      </c>
      <c r="E20" s="101">
        <v>8.3718301442584563E-4</v>
      </c>
      <c r="F20" s="101">
        <v>8.3718301442584563E-4</v>
      </c>
    </row>
    <row r="21" spans="1:8" ht="15.75" customHeight="1" x14ac:dyDescent="0.25">
      <c r="B21" s="19" t="s">
        <v>88</v>
      </c>
      <c r="C21" s="101">
        <v>0.14678829307258109</v>
      </c>
      <c r="D21" s="101">
        <v>0.14678829307258109</v>
      </c>
      <c r="E21" s="101">
        <v>0.14678829307258109</v>
      </c>
      <c r="F21" s="101">
        <v>0.14678829307258109</v>
      </c>
    </row>
    <row r="22" spans="1:8" ht="15.75" customHeight="1" x14ac:dyDescent="0.25">
      <c r="B22" s="19" t="s">
        <v>99</v>
      </c>
      <c r="C22" s="101">
        <v>0.1942171931601194</v>
      </c>
      <c r="D22" s="101">
        <v>0.1942171931601194</v>
      </c>
      <c r="E22" s="101">
        <v>0.1942171931601194</v>
      </c>
      <c r="F22" s="101">
        <v>0.1942171931601194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2.5897033999999999E-2</v>
      </c>
    </row>
    <row r="27" spans="1:8" ht="15.75" customHeight="1" x14ac:dyDescent="0.25">
      <c r="B27" s="19" t="s">
        <v>89</v>
      </c>
      <c r="C27" s="101">
        <v>7.1412350000000001E-3</v>
      </c>
    </row>
    <row r="28" spans="1:8" ht="15.75" customHeight="1" x14ac:dyDescent="0.25">
      <c r="B28" s="19" t="s">
        <v>103</v>
      </c>
      <c r="C28" s="101">
        <v>0.25594161900000001</v>
      </c>
    </row>
    <row r="29" spans="1:8" ht="15.75" customHeight="1" x14ac:dyDescent="0.25">
      <c r="B29" s="19" t="s">
        <v>86</v>
      </c>
      <c r="C29" s="101">
        <v>0.146367004</v>
      </c>
    </row>
    <row r="30" spans="1:8" ht="15.75" customHeight="1" x14ac:dyDescent="0.25">
      <c r="B30" s="19" t="s">
        <v>4</v>
      </c>
      <c r="C30" s="101">
        <v>1.7554395E-2</v>
      </c>
    </row>
    <row r="31" spans="1:8" ht="15.75" customHeight="1" x14ac:dyDescent="0.25">
      <c r="B31" s="19" t="s">
        <v>80</v>
      </c>
      <c r="C31" s="101">
        <v>1.8078031000000001E-2</v>
      </c>
    </row>
    <row r="32" spans="1:8" ht="15.75" customHeight="1" x14ac:dyDescent="0.25">
      <c r="B32" s="19" t="s">
        <v>85</v>
      </c>
      <c r="C32" s="101">
        <v>1.1440346000000001E-2</v>
      </c>
    </row>
    <row r="33" spans="2:3" ht="15.75" customHeight="1" x14ac:dyDescent="0.25">
      <c r="B33" s="19" t="s">
        <v>100</v>
      </c>
      <c r="C33" s="101">
        <v>0.15128762500000001</v>
      </c>
    </row>
    <row r="34" spans="2:3" ht="15.75" customHeight="1" x14ac:dyDescent="0.25">
      <c r="B34" s="19" t="s">
        <v>87</v>
      </c>
      <c r="C34" s="101">
        <v>0.36629271099999999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qH/OHMIxJcKnA5LF7+1RR0MzGeQDeiWoP6bnGuJGsLk736q5V1cN/Mwwgf7dB3cOr8v3/NEyHWHooHo2euYo0A==" saltValue="JJYKiv579a/VpVFAC5AH+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0.46203657846226065</v>
      </c>
      <c r="D2" s="52">
        <f>IFERROR(1-_xlfn.NORM.DIST(_xlfn.NORM.INV(SUM(D4:D5), 0, 1) + 1, 0, 1, TRUE), "")</f>
        <v>0.46203657846226065</v>
      </c>
      <c r="E2" s="52">
        <f>IFERROR(1-_xlfn.NORM.DIST(_xlfn.NORM.INV(SUM(E4:E5), 0, 1) + 1, 0, 1, TRUE), "")</f>
        <v>0.45784255536848073</v>
      </c>
      <c r="F2" s="52">
        <f>IFERROR(1-_xlfn.NORM.DIST(_xlfn.NORM.INV(SUM(F4:F5), 0, 1) + 1, 0, 1, TRUE), "")</f>
        <v>0.31468417080314048</v>
      </c>
      <c r="G2" s="52">
        <f>IFERROR(1-_xlfn.NORM.DIST(_xlfn.NORM.INV(SUM(G4:G5), 0, 1) + 1, 0, 1, TRUE), "")</f>
        <v>0.31330372281008789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0.35515012153773934</v>
      </c>
      <c r="D3" s="52">
        <f>IFERROR(_xlfn.NORM.DIST(_xlfn.NORM.INV(SUM(D4:D5), 0, 1) + 1, 0, 1, TRUE) - SUM(D4:D5), "")</f>
        <v>0.35515012153773934</v>
      </c>
      <c r="E3" s="52">
        <f>IFERROR(_xlfn.NORM.DIST(_xlfn.NORM.INV(SUM(E4:E5), 0, 1) + 1, 0, 1, TRUE) - SUM(E4:E5), "")</f>
        <v>0.35653114463151925</v>
      </c>
      <c r="F3" s="52">
        <f>IFERROR(_xlfn.NORM.DIST(_xlfn.NORM.INV(SUM(F4:F5), 0, 1) + 1, 0, 1, TRUE) - SUM(F4:F5), "")</f>
        <v>0.38287172919685952</v>
      </c>
      <c r="G3" s="52">
        <f>IFERROR(_xlfn.NORM.DIST(_xlfn.NORM.INV(SUM(G4:G5), 0, 1) + 1, 0, 1, TRUE) - SUM(G4:G5), "")</f>
        <v>0.38289287718991211</v>
      </c>
    </row>
    <row r="4" spans="1:15" ht="15.75" customHeight="1" x14ac:dyDescent="0.25">
      <c r="B4" s="5" t="s">
        <v>110</v>
      </c>
      <c r="C4" s="45">
        <v>0.1123131</v>
      </c>
      <c r="D4" s="53">
        <v>0.1123131</v>
      </c>
      <c r="E4" s="53">
        <v>0.12641579999999999</v>
      </c>
      <c r="F4" s="53">
        <v>0.20125180000000001</v>
      </c>
      <c r="G4" s="53">
        <v>0.2123389</v>
      </c>
    </row>
    <row r="5" spans="1:15" ht="15.75" customHeight="1" x14ac:dyDescent="0.25">
      <c r="B5" s="5" t="s">
        <v>106</v>
      </c>
      <c r="C5" s="45">
        <v>7.0500199999999999E-2</v>
      </c>
      <c r="D5" s="53">
        <v>7.0500199999999999E-2</v>
      </c>
      <c r="E5" s="53">
        <v>5.9210499999999999E-2</v>
      </c>
      <c r="F5" s="53">
        <v>0.1011923</v>
      </c>
      <c r="G5" s="53">
        <v>9.1464500000000004E-2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0.61893963762334114</v>
      </c>
      <c r="D8" s="52">
        <f>IFERROR(1-_xlfn.NORM.DIST(_xlfn.NORM.INV(SUM(D10:D11), 0, 1) + 1, 0, 1, TRUE), "")</f>
        <v>0.61893963762334114</v>
      </c>
      <c r="E8" s="52">
        <f>IFERROR(1-_xlfn.NORM.DIST(_xlfn.NORM.INV(SUM(E10:E11), 0, 1) + 1, 0, 1, TRUE), "")</f>
        <v>0.60655729143361814</v>
      </c>
      <c r="F8" s="52">
        <f>IFERROR(1-_xlfn.NORM.DIST(_xlfn.NORM.INV(SUM(F10:F11), 0, 1) + 1, 0, 1, TRUE), "")</f>
        <v>0.59334020421454103</v>
      </c>
      <c r="G8" s="52">
        <f>IFERROR(1-_xlfn.NORM.DIST(_xlfn.NORM.INV(SUM(G10:G11), 0, 1) + 1, 0, 1, TRUE), "")</f>
        <v>0.62264277395894074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0.28472126237665879</v>
      </c>
      <c r="D9" s="52">
        <f>IFERROR(_xlfn.NORM.DIST(_xlfn.NORM.INV(SUM(D10:D11), 0, 1) + 1, 0, 1, TRUE) - SUM(D10:D11), "")</f>
        <v>0.28472126237665879</v>
      </c>
      <c r="E9" s="52">
        <f>IFERROR(_xlfn.NORM.DIST(_xlfn.NORM.INV(SUM(E10:E11), 0, 1) + 1, 0, 1, TRUE) - SUM(E10:E11), "")</f>
        <v>0.29146400856638177</v>
      </c>
      <c r="F9" s="52">
        <f>IFERROR(_xlfn.NORM.DIST(_xlfn.NORM.INV(SUM(F10:F11), 0, 1) + 1, 0, 1, TRUE) - SUM(F10:F11), "")</f>
        <v>0.29845759578545894</v>
      </c>
      <c r="G9" s="52">
        <f>IFERROR(_xlfn.NORM.DIST(_xlfn.NORM.INV(SUM(G10:G11), 0, 1) + 1, 0, 1, TRUE) - SUM(G10:G11), "")</f>
        <v>0.28266952604105927</v>
      </c>
    </row>
    <row r="10" spans="1:15" ht="15.75" customHeight="1" x14ac:dyDescent="0.25">
      <c r="B10" s="5" t="s">
        <v>107</v>
      </c>
      <c r="C10" s="45">
        <v>5.6652500000000001E-2</v>
      </c>
      <c r="D10" s="53">
        <v>5.6652500000000001E-2</v>
      </c>
      <c r="E10" s="53">
        <v>7.7906700000000009E-2</v>
      </c>
      <c r="F10" s="53">
        <v>8.434620000000001E-2</v>
      </c>
      <c r="G10" s="53">
        <v>7.5694700000000004E-2</v>
      </c>
    </row>
    <row r="11" spans="1:15" ht="15.75" customHeight="1" x14ac:dyDescent="0.25">
      <c r="B11" s="5" t="s">
        <v>119</v>
      </c>
      <c r="C11" s="45">
        <v>3.9686600000000002E-2</v>
      </c>
      <c r="D11" s="53">
        <v>3.9686600000000002E-2</v>
      </c>
      <c r="E11" s="53">
        <v>2.4072E-2</v>
      </c>
      <c r="F11" s="53">
        <v>2.3855999999999999E-2</v>
      </c>
      <c r="G11" s="53">
        <v>1.8992999999999999E-2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0.80099784150000009</v>
      </c>
      <c r="D14" s="54">
        <v>0.77677478115800003</v>
      </c>
      <c r="E14" s="54">
        <v>0.77677478115800003</v>
      </c>
      <c r="F14" s="54">
        <v>0.52042201054299997</v>
      </c>
      <c r="G14" s="54">
        <v>0.52042201054299997</v>
      </c>
      <c r="H14" s="45">
        <v>0.45700000000000002</v>
      </c>
      <c r="I14" s="55">
        <v>0.45700000000000002</v>
      </c>
      <c r="J14" s="55">
        <v>0.45700000000000002</v>
      </c>
      <c r="K14" s="55">
        <v>0.45700000000000002</v>
      </c>
      <c r="L14" s="45">
        <v>0.39600000000000002</v>
      </c>
      <c r="M14" s="55">
        <v>0.39600000000000002</v>
      </c>
      <c r="N14" s="55">
        <v>0.39600000000000002</v>
      </c>
      <c r="O14" s="55">
        <v>0.39600000000000002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0.39231512580339456</v>
      </c>
      <c r="D15" s="52">
        <f t="shared" si="0"/>
        <v>0.38045108263990873</v>
      </c>
      <c r="E15" s="52">
        <f t="shared" si="0"/>
        <v>0.38045108263990873</v>
      </c>
      <c r="F15" s="52">
        <f t="shared" si="0"/>
        <v>0.25489385358978217</v>
      </c>
      <c r="G15" s="52">
        <f t="shared" si="0"/>
        <v>0.25489385358978217</v>
      </c>
      <c r="H15" s="52">
        <f t="shared" si="0"/>
        <v>0.22383083100000001</v>
      </c>
      <c r="I15" s="52">
        <f t="shared" si="0"/>
        <v>0.22383083100000001</v>
      </c>
      <c r="J15" s="52">
        <f t="shared" si="0"/>
        <v>0.22383083100000001</v>
      </c>
      <c r="K15" s="52">
        <f t="shared" si="0"/>
        <v>0.22383083100000001</v>
      </c>
      <c r="L15" s="52">
        <f t="shared" si="0"/>
        <v>0.19395406800000001</v>
      </c>
      <c r="M15" s="52">
        <f t="shared" si="0"/>
        <v>0.19395406800000001</v>
      </c>
      <c r="N15" s="52">
        <f t="shared" si="0"/>
        <v>0.19395406800000001</v>
      </c>
      <c r="O15" s="52">
        <f t="shared" si="0"/>
        <v>0.19395406800000001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PhxOsKIvQicy+47yX+mkABWbFzOWr+GSGIpygPCyLTqA+GmU4CpCKzPcnccRWuLlgEQv9wWx9vZ0mAA7ncHcA==" saltValue="T4QWh1aM2D00fXUrDYkZ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0.84173509999999996</v>
      </c>
      <c r="D2" s="53">
        <v>0.59965789999999997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3.6675199999999998E-2</v>
      </c>
      <c r="D3" s="53">
        <v>0.10847759999999999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0.1179703</v>
      </c>
      <c r="D4" s="53">
        <v>0.26914159999999998</v>
      </c>
      <c r="E4" s="53">
        <v>0.96549989999999997</v>
      </c>
      <c r="F4" s="53">
        <v>0.89594409999999991</v>
      </c>
      <c r="G4" s="53">
        <v>0</v>
      </c>
    </row>
    <row r="5" spans="1:7" x14ac:dyDescent="0.25">
      <c r="B5" s="3" t="s">
        <v>125</v>
      </c>
      <c r="C5" s="52">
        <v>3.6194E-3</v>
      </c>
      <c r="D5" s="52">
        <v>2.2722800000000001E-2</v>
      </c>
      <c r="E5" s="52">
        <f>1-SUM(E2:E4)</f>
        <v>3.4500100000000034E-2</v>
      </c>
      <c r="F5" s="52">
        <f>1-SUM(F2:F4)</f>
        <v>0.10405590000000009</v>
      </c>
      <c r="G5" s="52">
        <f>1-SUM(G2:G4)</f>
        <v>1</v>
      </c>
    </row>
  </sheetData>
  <sheetProtection algorithmName="SHA-512" hashValue="kpwzqzxaxAGM/Eaqn9ZUFkgu8LH0J1U/awlmLsGZNw5YvFLo9/02kJEy6Jhjm2BZi++lrEuUUBTwauf7/5CzBg==" saltValue="qPPa5Lg7WeU3mdyHqxFGn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zR85i9WW+A1F7Zqp+WFQ5wEcdYEeOD3zX8v0lxuki7KpcWpHVSZvroBIjvXIk71Q3g1fa+CrIRqGgfm5BvqhA==" saltValue="mplyIGSKIAkOkR3CvnvWQ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hD4iHplMEaP07dGnVuhYRJrDbaSQaR93rtiurqNkqGWACtVXwcukOWL23libvIdyy5GpALCNnJFs4MCCuLJ5vA==" saltValue="DBXNQwDnkN4GLWLnXFQjx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QASVePA6YmH7gimGoA96SkW/yiTP8Lgqc6fXbb4cB9Tx0i6vlujNVVooOuwem7ilPHc9ropx0/KUsdX2mkX33g==" saltValue="SoYzCDJpGOEmmlPmHldu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K581B6uTK3uE5wyQbhqWz4lG1zcWyRy3NkG4omR06bqY0+UWUKafFFzcv5QA78mJzXCvPKUIw8x1ofqSGPm4Vg==" saltValue="AC2/d51CkOrKY/g/v8sZE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52.760864598354758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18.97207947747092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4.3198252403857333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0.30196771524327881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0.19283527130965261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0.25</v>
      </c>
      <c r="C9" s="98">
        <v>0.95</v>
      </c>
      <c r="D9" s="56">
        <v>0.13712730404241971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0.45950000000000002</v>
      </c>
      <c r="C10" s="98">
        <v>0.95</v>
      </c>
      <c r="D10" s="56">
        <v>13.591732347475441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13.591732347475441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13.591732347475441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13.591732347475441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0.45950000000000002</v>
      </c>
      <c r="C14" s="98">
        <v>0.95</v>
      </c>
      <c r="D14" s="56">
        <v>13.591732347475441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13.591732347475441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0.33097508532551267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1.31943922222222E-2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0.32600000000000001</v>
      </c>
      <c r="C18" s="98">
        <v>0.95</v>
      </c>
      <c r="D18" s="56">
        <v>4.3198252403857333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0.59965789999999997</v>
      </c>
      <c r="C19" s="98">
        <v>0.95</v>
      </c>
      <c r="D19" s="56">
        <v>4.3198252403857333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10.726757057587051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23.22190166838157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4.4935547009666941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0.456700457953225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0.45950000000000002</v>
      </c>
      <c r="C26" s="98">
        <v>0.95</v>
      </c>
      <c r="D26" s="56">
        <v>8.7121114042606536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21.40464706262247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0.72358090000000008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0.33847410000000011</v>
      </c>
      <c r="C29" s="98">
        <v>0.95</v>
      </c>
      <c r="D29" s="56">
        <v>26.81689264396762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2.8E-3</v>
      </c>
      <c r="C31" s="98">
        <v>0.95</v>
      </c>
      <c r="D31" s="56">
        <v>131.01447505742911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0.96</v>
      </c>
      <c r="C32" s="98">
        <v>0.95</v>
      </c>
      <c r="D32" s="56">
        <v>0.42470191970084459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0.61728539999999998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0.49194979999999999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6.1071800000000002E-2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0.14936920000000001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0.43</v>
      </c>
      <c r="C38" s="98">
        <v>0.95</v>
      </c>
      <c r="D38" s="56">
        <v>1.0071502667191461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+8WA4SiiOHtSCQ1Y4cyqk046cUSByXrvM8xBYmxQt5wMixzaWTry0rd1bVmPPBim6FmoSHtSVBmqo3/pO4S/hw==" saltValue="4egq7qjFQLj2BhtyVOpm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x6YM1wlSBfnTj9nBhhnZ1if9xzhGhJwzDTlfEGO8gAsy/Mnx4Kz+UdmLESFsbZXHAQHVgBtA3lWgTSrRDDeFwA==" saltValue="2ua1etRmYrd84cJY9DwkK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4bNHA2J7OhqpiTAadF2oTf+5h4akR004KjaCaLZtvCx377HwH66AdDRSmAYcgxuij0kbz2F/m7lfDhA70td8kQ==" saltValue="mWtb6FRmzdRxNQ+8WFVlW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0.1472965</v>
      </c>
      <c r="C3" s="21">
        <f>frac_mam_1_5months * 2.6</f>
        <v>0.1472965</v>
      </c>
      <c r="D3" s="21">
        <f>frac_mam_6_11months * 2.6</f>
        <v>0.20255742000000004</v>
      </c>
      <c r="E3" s="21">
        <f>frac_mam_12_23months * 2.6</f>
        <v>0.21930012000000004</v>
      </c>
      <c r="F3" s="21">
        <f>frac_mam_24_59months * 2.6</f>
        <v>0.19680622</v>
      </c>
    </row>
    <row r="4" spans="1:6" ht="15.75" customHeight="1" x14ac:dyDescent="0.25">
      <c r="A4" s="3" t="s">
        <v>207</v>
      </c>
      <c r="B4" s="21">
        <f>frac_sam_1month * 2.6</f>
        <v>0.10318516000000001</v>
      </c>
      <c r="C4" s="21">
        <f>frac_sam_1_5months * 2.6</f>
        <v>0.10318516000000001</v>
      </c>
      <c r="D4" s="21">
        <f>frac_sam_6_11months * 2.6</f>
        <v>6.2587199999999996E-2</v>
      </c>
      <c r="E4" s="21">
        <f>frac_sam_12_23months * 2.6</f>
        <v>6.20256E-2</v>
      </c>
      <c r="F4" s="21">
        <f>frac_sam_24_59months * 2.6</f>
        <v>4.9381800000000003E-2</v>
      </c>
    </row>
  </sheetData>
  <sheetProtection algorithmName="SHA-512" hashValue="Z9EWQP0M99U2RvVqdDLvn4+eZt/5VkH+CUNPjAMwIr1sHSCDS3IXEA9v58CKFIbXfG90EFhFAhA2IKIKKI9e+w==" saltValue="Bk0yN/DksaNaQTUDRvi1d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0.14799999999999999</v>
      </c>
      <c r="E2" s="60">
        <f>food_insecure</f>
        <v>0.14799999999999999</v>
      </c>
      <c r="F2" s="60">
        <f>food_insecure</f>
        <v>0.14799999999999999</v>
      </c>
      <c r="G2" s="60">
        <f>food_insecure</f>
        <v>0.14799999999999999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0.14799999999999999</v>
      </c>
      <c r="F5" s="60">
        <f>food_insecure</f>
        <v>0.14799999999999999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0.14799999999999999</v>
      </c>
      <c r="F8" s="60">
        <f>food_insecure</f>
        <v>0.14799999999999999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0.14799999999999999</v>
      </c>
      <c r="F9" s="60">
        <f>food_insecure</f>
        <v>0.14799999999999999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0.14799999999999999</v>
      </c>
      <c r="I15" s="60">
        <f>food_insecure</f>
        <v>0.14799999999999999</v>
      </c>
      <c r="J15" s="60">
        <f>food_insecure</f>
        <v>0.14799999999999999</v>
      </c>
      <c r="K15" s="60">
        <f>food_insecure</f>
        <v>0.14799999999999999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0.48840000000000011</v>
      </c>
      <c r="I19" s="60">
        <f>frac_malaria_risk</f>
        <v>0.48840000000000011</v>
      </c>
      <c r="J19" s="60">
        <f>frac_malaria_risk</f>
        <v>0.48840000000000011</v>
      </c>
      <c r="K19" s="60">
        <f>frac_malaria_risk</f>
        <v>0.48840000000000011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0.27500000000000002</v>
      </c>
      <c r="M24" s="60">
        <f>famplan_unmet_need</f>
        <v>0.27500000000000002</v>
      </c>
      <c r="N24" s="60">
        <f>famplan_unmet_need</f>
        <v>0.27500000000000002</v>
      </c>
      <c r="O24" s="60">
        <f>famplan_unmet_need</f>
        <v>0.27500000000000002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0.17431647035827658</v>
      </c>
      <c r="M25" s="60">
        <f>(1-food_insecure)*(0.49)+food_insecure*(0.7)</f>
        <v>0.52107999999999999</v>
      </c>
      <c r="N25" s="60">
        <f>(1-food_insecure)*(0.49)+food_insecure*(0.7)</f>
        <v>0.52107999999999999</v>
      </c>
      <c r="O25" s="60">
        <f>(1-food_insecure)*(0.49)+food_insecure*(0.7)</f>
        <v>0.52107999999999999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7.4707058724975683E-2</v>
      </c>
      <c r="M26" s="60">
        <f>(1-food_insecure)*(0.21)+food_insecure*(0.3)</f>
        <v>0.22331999999999999</v>
      </c>
      <c r="N26" s="60">
        <f>(1-food_insecure)*(0.21)+food_insecure*(0.3)</f>
        <v>0.22331999999999999</v>
      </c>
      <c r="O26" s="60">
        <f>(1-food_insecure)*(0.21)+food_insecure*(0.3)</f>
        <v>0.22331999999999999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8.5505660980224732E-2</v>
      </c>
      <c r="M27" s="60">
        <f>(1-food_insecure)*(0.3)</f>
        <v>0.25559999999999999</v>
      </c>
      <c r="N27" s="60">
        <f>(1-food_insecure)*(0.3)</f>
        <v>0.25559999999999999</v>
      </c>
      <c r="O27" s="60">
        <f>(1-food_insecure)*(0.3)</f>
        <v>0.25559999999999999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0.66547080993652297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0.48840000000000011</v>
      </c>
      <c r="D34" s="60">
        <f t="shared" si="3"/>
        <v>0.48840000000000011</v>
      </c>
      <c r="E34" s="60">
        <f t="shared" si="3"/>
        <v>0.48840000000000011</v>
      </c>
      <c r="F34" s="60">
        <f t="shared" si="3"/>
        <v>0.48840000000000011</v>
      </c>
      <c r="G34" s="60">
        <f t="shared" si="3"/>
        <v>0.48840000000000011</v>
      </c>
      <c r="H34" s="60">
        <f t="shared" si="3"/>
        <v>0.48840000000000011</v>
      </c>
      <c r="I34" s="60">
        <f t="shared" si="3"/>
        <v>0.48840000000000011</v>
      </c>
      <c r="J34" s="60">
        <f t="shared" si="3"/>
        <v>0.48840000000000011</v>
      </c>
      <c r="K34" s="60">
        <f t="shared" si="3"/>
        <v>0.48840000000000011</v>
      </c>
      <c r="L34" s="60">
        <f t="shared" si="3"/>
        <v>0.48840000000000011</v>
      </c>
      <c r="M34" s="60">
        <f t="shared" si="3"/>
        <v>0.48840000000000011</v>
      </c>
      <c r="N34" s="60">
        <f t="shared" si="3"/>
        <v>0.48840000000000011</v>
      </c>
      <c r="O34" s="60">
        <f t="shared" si="3"/>
        <v>0.48840000000000011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mYPwdrbFR2QZGJ0/NvcZgZj7cn+eTiDVvQ/e+rYyaku5RohODsVbYIDRp02lfn1w5hTG3KTEZUafmlN6Tw8zYg==" saltValue="AnsSbtqv/QGc/ShaQPBfM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J3/oB7Y/FOShCnFdWdVKv2wYE7l0/bnVpHzuycyslicHYQI+FLj/A71+kLstN3/eHhgoRagmJnLT1lpkSE4Jeg==" saltValue="RCz+3MNZrVROQ8bBisAKW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6jMxBTJwZ8gYKbus/8cB6a+EgZC9MclxifuRxV9ffxZtcKbtZj8YAk9w0rAuhpM5/7jpae0psl0DfXpoJ0CChQ==" saltValue="rD8s7EceL2UxqL46BwE+3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l3y6KhTR2RExZ5AeZijblLkcplIgkmDtfQv0nQ7VT1BCJCCmtqG+bDQ5PRnRUXog69J9XfySnFopUP5KnM0nw==" saltValue="O+Z/w9Nv/ERLLN1JlK7/4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qx0WElUH9znh2qBBjJXRiRB5qJGkNO+OsTFzJhKrzAN/umm8wp6LTxK6aWrqyG3ApI4w8V1rRtY0rTHYfBQT5w==" saltValue="vkq+Kb5ZLbL1neSeLJswW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U5jLhE1oUmNGcwPpTV5rEJjBEfFgtvsaiih0fwijESG65r7n0GYSqcr5kjwZ/VF/KTYbSi7iI5PQoA0UqHXXRQ==" saltValue="1uOMixkHqhCD7xlJsUOlZ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0gaT24b9zGa+DDLNEDatFotQby567DZJNd3DfUjQtc43jmX3xV1UzBGIyW7McI9nlfJHnVaEWe6s0ZH50CmYw==" saltValue="9NjwR45mlQzYAFQbNJVYF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w4vmRrsq0qhQhjc2p/ItL9n7zHjWTJuVZwokCC+aSaQuUObGKKT0git/riO2pscUtB1ZvqAI0w8g6apEs2YLg==" saltValue="0dBqFaf+XOXOJyBd2Wf2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X3HiVAAKRsVH5q08XWj6D74MP4+1enyDkqngMg9/GBQn599N41BajfnVl8vHTl73I2mTfF4zEFjg5/Rt+O/cHA==" saltValue="xUNEyfbnMi1cdNsfb2pF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m/Bt+FK90e0Vacy8ca4zVbhAGt/DncwRA1V4l1sI4uEl/e5vxFQJ4z/OYEDdwMwNW5xRomUjDWCRo0XqzrkKKw==" saltValue="wlXRDEMkW8ySgZ6x4h/G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5lJ6vxUQqcC2zMDeX0jqUAZGNODZjR78GTRNskl+xGRMvQR4DDEuwxGRMZhNHZ8WHid06465v6yFRaBPH0VDKQ==" saltValue="7FQ8CAfEaoQx8XepSW81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Njvdck1+F6aXTnMV3jErmK3w4Cm/jM4vPH1xMDA51YbG3UMlnoR8LHjmMRulRZWA3s4pXcUxoBFwCUBOyXrPw==" saltValue="xAfI8VHHvgmCvsjIZGwS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PdfaOzGj7FOPPMaas1FOGfrAuTrlaPWy2k2ieaeREYXuQ7qoh76G9czdzlJq0QIC+1gV9aOZHAOtO58s3WPF+Q==" saltValue="Hm++1LFScko2dY4LW898c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0.10763709441504343</v>
      </c>
      <c r="G18" s="90">
        <f>MIN(MAX(1-0.89/(1-frac_sam_12_23months+(frac_sam_12_23months*0.89)),0),1)</f>
        <v>0.10765835274293389</v>
      </c>
      <c r="H18" s="90">
        <f>MIN(MAX(1-0.89/(1-frac_sam_24_59months+(frac_sam_24_59months*0.89)),0),1)</f>
        <v>0.1081366924219086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0.10230700714448537</v>
      </c>
      <c r="G20" s="90">
        <f>MIN(MAX(1-0.89/(1-frac_mam_12_23months+(frac_mam_12_23months*0.89)),0),1)</f>
        <v>0.10166517583796908</v>
      </c>
      <c r="H20" s="90">
        <f>MIN(MAX(1-0.89/(1-frac_mam_24_59months+(frac_mam_24_59months*0.89)),0),1)</f>
        <v>0.10252726778545229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9.7616298195302154E-3</v>
      </c>
      <c r="G73" s="90">
        <f>MIN(MAX(1-0.99/(1-frac_sam_12_23months+(frac_sam_12_23months*0.99)),0),1)</f>
        <v>9.763769244791054E-3</v>
      </c>
      <c r="H73" s="90">
        <f>MIN(MAX(1-0.99/(1-frac_sam_24_59months+(frac_sam_24_59months*0.99)),0),1)</f>
        <v>9.8119335805449959E-3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9.2281223255759048E-3</v>
      </c>
      <c r="G75" s="90">
        <f>MIN(MAX(1-0.99/(1-frac_mam_12_23months+(frac_mam_12_23months*0.99)),0),1)</f>
        <v>9.1642677115725268E-3</v>
      </c>
      <c r="H75" s="90">
        <f>MIN(MAX(1-0.99/(1-frac_mam_24_59months+(frac_mam_24_59months*0.99)),0),1)</f>
        <v>9.2500548012316441E-3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0.19612984753798679</v>
      </c>
      <c r="G128" s="90">
        <f>MIN(MAX(1-0.8/(1-frac_sam_12_23months+(frac_sam_12_23months*0.8)),0),1)</f>
        <v>0.19616474121327676</v>
      </c>
      <c r="H128" s="90">
        <f>MIN(MAX(1-0.8/(1-frac_sam_24_59months+(frac_sam_24_59months*0.8)),0),1)</f>
        <v>0.19694953249413216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0.18733763132852432</v>
      </c>
      <c r="G130" s="90">
        <f>MIN(MAX(1-0.8/(1-frac_mam_12_23months+(frac_mam_12_23months*0.8)),0),1)</f>
        <v>0.18627304469651618</v>
      </c>
      <c r="H130" s="90">
        <f>MIN(MAX(1-0.8/(1-frac_mam_24_59months+(frac_mam_24_59months*0.8)),0),1)</f>
        <v>0.1877026796043697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vn8SoHg4lso4TraJ64CFJdA8JVlVpm3tkyHKD7AWe4bR9ND5R23ZtkZfrMyPUSvKUHNQYu6d3LbWjenGexnW9w==" saltValue="1NP2meIYE0TQxUp16qko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NZR6RLOLZNGuxvk/1ZjLjy4U9x1ftdNlss0HnH3LWJtt5seSpJ7HMbYY+7mip5Eds0QHftYPPv2c7OzNAlsR4Q==" saltValue="CyBiEbMz9VNB0WM9DnO1X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2024-08-06T07:18:59Z</dcterms:modified>
</cp:coreProperties>
</file>