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E4EBBE8D-5ACD-4056-A67D-0BCD1AF7CA0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<sst xmlns="http://schemas.openxmlformats.org/spreadsheetml/2006/main" count="2102" uniqueCount="341">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</sst>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14530298.25</v>
      </c>
    </row>
    <row r="8" spans="1:3" ht="15" customHeight="1" x14ac:dyDescent="0.25">
      <c r="B8" s="5" t="s">
        <v>44</v>
      </c>
      <c r="C8" s="44">
        <v>0.14799999999999999</v>
      </c>
    </row>
    <row r="9" spans="1:3" ht="15" customHeight="1" x14ac:dyDescent="0.25">
      <c r="B9" s="5" t="s">
        <v>43</v>
      </c>
      <c r="C9" s="45">
        <v>0.48840000000000011</v>
      </c>
    </row>
    <row r="10" spans="1:3" ht="15" customHeight="1" x14ac:dyDescent="0.25">
      <c r="B10" s="5" t="s">
        <v>56</v>
      </c>
      <c r="C10" s="45">
        <v>0.66547080993652297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0.27500000000000002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0.20180000000000001</v>
      </c>
    </row>
    <row r="24" spans="1:3" ht="15" customHeight="1" x14ac:dyDescent="0.25">
      <c r="B24" s="15" t="s">
        <v>46</v>
      </c>
      <c r="C24" s="45">
        <v>0.58740000000000003</v>
      </c>
    </row>
    <row r="25" spans="1:3" ht="15" customHeight="1" x14ac:dyDescent="0.25">
      <c r="B25" s="15" t="s">
        <v>47</v>
      </c>
      <c r="C25" s="45">
        <v>0.18479999999999999</v>
      </c>
    </row>
    <row r="26" spans="1:3" ht="15" customHeight="1" x14ac:dyDescent="0.25">
      <c r="B26" s="15" t="s">
        <v>48</v>
      </c>
      <c r="C26" s="45">
        <v>2.5999999999999999E-2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0.38903520674993503</v>
      </c>
    </row>
    <row r="30" spans="1:3" ht="14.25" customHeight="1" x14ac:dyDescent="0.25">
      <c r="B30" s="25" t="s">
        <v>63</v>
      </c>
      <c r="C30" s="99">
        <v>3.0554486722926998E-2</v>
      </c>
    </row>
    <row r="31" spans="1:3" ht="14.25" customHeight="1" x14ac:dyDescent="0.25">
      <c r="B31" s="25" t="s">
        <v>10</v>
      </c>
      <c r="C31" s="99">
        <v>3.3490630273111603E-2</v>
      </c>
    </row>
    <row r="32" spans="1:3" ht="14.25" customHeight="1" x14ac:dyDescent="0.25">
      <c r="B32" s="25" t="s">
        <v>11</v>
      </c>
      <c r="C32" s="99">
        <v>0.54691967625402593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16.004100000000001</v>
      </c>
    </row>
    <row r="38" spans="1:5" ht="15" customHeight="1" x14ac:dyDescent="0.25">
      <c r="B38" s="11" t="s">
        <v>35</v>
      </c>
      <c r="C38" s="43">
        <v>22.90615</v>
      </c>
      <c r="D38" s="12"/>
      <c r="E38" s="13"/>
    </row>
    <row r="39" spans="1:5" ht="15" customHeight="1" x14ac:dyDescent="0.25">
      <c r="B39" s="11" t="s">
        <v>61</v>
      </c>
      <c r="C39" s="43">
        <v>27.273630000000001</v>
      </c>
      <c r="D39" s="12"/>
      <c r="E39" s="12"/>
    </row>
    <row r="40" spans="1:5" ht="15" customHeight="1" x14ac:dyDescent="0.25">
      <c r="B40" s="11" t="s">
        <v>36</v>
      </c>
      <c r="C40" s="100">
        <v>1.23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20.500170000000001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2.1753700000000001E-2</v>
      </c>
      <c r="D45" s="12"/>
    </row>
    <row r="46" spans="1:5" ht="15.75" customHeight="1" x14ac:dyDescent="0.25">
      <c r="B46" s="11" t="s">
        <v>51</v>
      </c>
      <c r="C46" s="45">
        <v>0.13988120000000001</v>
      </c>
      <c r="D46" s="12"/>
    </row>
    <row r="47" spans="1:5" ht="15.75" customHeight="1" x14ac:dyDescent="0.25">
      <c r="B47" s="11" t="s">
        <v>59</v>
      </c>
      <c r="C47" s="45">
        <v>0.39040259999999999</v>
      </c>
      <c r="D47" s="12"/>
      <c r="E47" s="13"/>
    </row>
    <row r="48" spans="1:5" ht="15" customHeight="1" x14ac:dyDescent="0.25">
      <c r="B48" s="11" t="s">
        <v>58</v>
      </c>
      <c r="C48" s="46">
        <v>0.44796249999999999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0.48978300000000002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0.27809780000000001</v>
      </c>
    </row>
    <row r="63" spans="1:4" ht="15.75" customHeight="1" x14ac:dyDescent="0.3">
      <c r="A63" s="4"/>
    </row>
  </sheetData>
  <sheetProtection algorithmName="SHA-512" hashValue="c5lbbWRcZBgzdX7UolwIjllX1Xz6adtV5GaU50gokx3nAfigFV80Rl/10BTbFWa/Nrb+S28U9sHjoaxbsrL0EA==" saltValue="M29LtZHqpOPTFdNzPeQ/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2977540</v>
      </c>
      <c r="C2" s="49">
        <v>9409673.4999999981</v>
      </c>
      <c r="D2" s="49">
        <v>15884243</v>
      </c>
      <c r="E2" s="49">
        <v>13877624.5</v>
      </c>
      <c r="F2" s="49">
        <v>10343160.5</v>
      </c>
      <c r="G2" s="17">
        <f t="shared" ref="G2:G13" si="0">C2+D2+E2+F2</f>
        <v>49514701.5</v>
      </c>
      <c r="H2" s="17">
        <f t="shared" ref="H2:H13" si="1">(B2 + stillbirth*B2/(1000-stillbirth))/(1-abortion)</f>
        <v>3454383.633551199</v>
      </c>
      <c r="I2" s="17">
        <f t="shared" ref="I2:I13" si="2">G2-H2</f>
        <v>46060317.866448805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2960932</v>
      </c>
      <c r="C3" s="50">
        <v>9215686.5</v>
      </c>
      <c r="D3" s="50">
        <v>15973189.5</v>
      </c>
      <c r="E3" s="50">
        <v>14016460.5</v>
      </c>
      <c r="F3" s="50">
        <v>10573920.5</v>
      </c>
      <c r="G3" s="17">
        <f t="shared" si="0"/>
        <v>49779257</v>
      </c>
      <c r="H3" s="17">
        <f t="shared" si="1"/>
        <v>3435115.9147679023</v>
      </c>
      <c r="I3" s="17">
        <f t="shared" si="2"/>
        <v>46344141.085232094</v>
      </c>
    </row>
    <row r="4" spans="1:9" ht="15.75" customHeight="1" x14ac:dyDescent="0.25">
      <c r="A4" s="5">
        <f t="shared" si="3"/>
        <v>2026</v>
      </c>
      <c r="B4" s="49">
        <v>2934630</v>
      </c>
      <c r="C4" s="50">
        <v>9029393.5</v>
      </c>
      <c r="D4" s="50">
        <v>16022168</v>
      </c>
      <c r="E4" s="50">
        <v>14150235.5</v>
      </c>
      <c r="F4" s="50">
        <v>10798742</v>
      </c>
      <c r="G4" s="17">
        <f t="shared" si="0"/>
        <v>50000539</v>
      </c>
      <c r="H4" s="17">
        <f t="shared" si="1"/>
        <v>3404601.7324799518</v>
      </c>
      <c r="I4" s="17">
        <f t="shared" si="2"/>
        <v>46595937.267520048</v>
      </c>
    </row>
    <row r="5" spans="1:9" ht="15.75" customHeight="1" x14ac:dyDescent="0.25">
      <c r="A5" s="5">
        <f t="shared" si="3"/>
        <v>2027</v>
      </c>
      <c r="B5" s="49">
        <v>2913331</v>
      </c>
      <c r="C5" s="50">
        <v>8861999.5</v>
      </c>
      <c r="D5" s="50">
        <v>16017689</v>
      </c>
      <c r="E5" s="50">
        <v>14300705</v>
      </c>
      <c r="F5" s="50">
        <v>11009040.5</v>
      </c>
      <c r="G5" s="17">
        <f t="shared" si="0"/>
        <v>50189434</v>
      </c>
      <c r="H5" s="17">
        <f t="shared" si="1"/>
        <v>3379891.7648519743</v>
      </c>
      <c r="I5" s="17">
        <f t="shared" si="2"/>
        <v>46809542.235148028</v>
      </c>
    </row>
    <row r="6" spans="1:9" ht="15.75" customHeight="1" x14ac:dyDescent="0.25">
      <c r="A6" s="5">
        <f t="shared" si="3"/>
        <v>2028</v>
      </c>
      <c r="B6" s="49">
        <v>2882811</v>
      </c>
      <c r="C6" s="50">
        <v>8718976.9999999981</v>
      </c>
      <c r="D6" s="50">
        <v>15958229</v>
      </c>
      <c r="E6" s="50">
        <v>14466278.5</v>
      </c>
      <c r="F6" s="50">
        <v>11204588.5</v>
      </c>
      <c r="G6" s="17">
        <f t="shared" si="0"/>
        <v>50348073</v>
      </c>
      <c r="H6" s="17">
        <f t="shared" si="1"/>
        <v>3344484.083176503</v>
      </c>
      <c r="I6" s="17">
        <f t="shared" si="2"/>
        <v>47003588.916823499</v>
      </c>
    </row>
    <row r="7" spans="1:9" ht="15.75" customHeight="1" x14ac:dyDescent="0.25">
      <c r="A7" s="5">
        <f t="shared" si="3"/>
        <v>2029</v>
      </c>
      <c r="B7" s="49">
        <v>2857451</v>
      </c>
      <c r="C7" s="50">
        <v>8603258.9999999981</v>
      </c>
      <c r="D7" s="50">
        <v>15850282.5</v>
      </c>
      <c r="E7" s="50">
        <v>14622684.5</v>
      </c>
      <c r="F7" s="50">
        <v>11384526.5</v>
      </c>
      <c r="G7" s="17">
        <f t="shared" si="0"/>
        <v>50460752.5</v>
      </c>
      <c r="H7" s="17">
        <f t="shared" si="1"/>
        <v>3315062.759215496</v>
      </c>
      <c r="I7" s="17">
        <f t="shared" si="2"/>
        <v>47145689.740784504</v>
      </c>
    </row>
    <row r="8" spans="1:9" ht="15.75" customHeight="1" x14ac:dyDescent="0.25">
      <c r="A8" s="5">
        <f t="shared" si="3"/>
        <v>2030</v>
      </c>
      <c r="B8" s="49">
        <v>2815531</v>
      </c>
      <c r="C8" s="50">
        <v>8525298.5</v>
      </c>
      <c r="D8" s="50">
        <v>15688010</v>
      </c>
      <c r="E8" s="50">
        <v>14772988</v>
      </c>
      <c r="F8" s="50">
        <v>11557595</v>
      </c>
      <c r="G8" s="17">
        <f t="shared" si="0"/>
        <v>50543891.5</v>
      </c>
      <c r="H8" s="17">
        <f t="shared" si="1"/>
        <v>3266429.4035196975</v>
      </c>
      <c r="I8" s="17">
        <f t="shared" si="2"/>
        <v>47277462.096480303</v>
      </c>
    </row>
    <row r="9" spans="1:9" ht="15.75" customHeight="1" x14ac:dyDescent="0.25">
      <c r="A9" s="5">
        <f t="shared" si="3"/>
        <v>2031</v>
      </c>
      <c r="B9" s="49">
        <v>2785574</v>
      </c>
      <c r="C9" s="50">
        <v>8478782.5000000019</v>
      </c>
      <c r="D9" s="50">
        <v>15475792</v>
      </c>
      <c r="E9" s="50">
        <v>14934301</v>
      </c>
      <c r="F9" s="50">
        <v>11723759</v>
      </c>
      <c r="G9" s="17">
        <f t="shared" si="0"/>
        <v>50612634.5</v>
      </c>
      <c r="H9" s="17">
        <f t="shared" si="1"/>
        <v>3231674.8845173358</v>
      </c>
      <c r="I9" s="17">
        <f t="shared" si="2"/>
        <v>47380959.615482666</v>
      </c>
    </row>
    <row r="10" spans="1:9" ht="15.75" customHeight="1" x14ac:dyDescent="0.25">
      <c r="A10" s="5">
        <f t="shared" si="3"/>
        <v>2032</v>
      </c>
      <c r="B10" s="49">
        <v>2751608</v>
      </c>
      <c r="C10" s="50">
        <v>8455924.5</v>
      </c>
      <c r="D10" s="50">
        <v>15232027.5</v>
      </c>
      <c r="E10" s="50">
        <v>15103671.5</v>
      </c>
      <c r="F10" s="50">
        <v>11857176.5</v>
      </c>
      <c r="G10" s="17">
        <f t="shared" si="0"/>
        <v>50648800</v>
      </c>
      <c r="H10" s="17">
        <f t="shared" si="1"/>
        <v>3192269.3368178252</v>
      </c>
      <c r="I10" s="17">
        <f t="shared" si="2"/>
        <v>47456530.663182177</v>
      </c>
    </row>
    <row r="11" spans="1:9" ht="15.75" customHeight="1" x14ac:dyDescent="0.25">
      <c r="A11" s="5">
        <f t="shared" si="3"/>
        <v>2033</v>
      </c>
      <c r="B11" s="49">
        <v>2717355</v>
      </c>
      <c r="C11" s="50">
        <v>8451911</v>
      </c>
      <c r="D11" s="50">
        <v>14981528.5</v>
      </c>
      <c r="E11" s="50">
        <v>15267894.5</v>
      </c>
      <c r="F11" s="50">
        <v>11971552</v>
      </c>
      <c r="G11" s="17">
        <f t="shared" si="0"/>
        <v>50672886</v>
      </c>
      <c r="H11" s="17">
        <f t="shared" si="1"/>
        <v>3152530.8269741195</v>
      </c>
      <c r="I11" s="17">
        <f t="shared" si="2"/>
        <v>47520355.173025884</v>
      </c>
    </row>
    <row r="12" spans="1:9" ht="15.75" customHeight="1" x14ac:dyDescent="0.25">
      <c r="A12" s="5">
        <f t="shared" si="3"/>
        <v>2034</v>
      </c>
      <c r="B12" s="49">
        <v>2687898</v>
      </c>
      <c r="C12" s="50">
        <v>8452420</v>
      </c>
      <c r="D12" s="50">
        <v>14735639.5</v>
      </c>
      <c r="E12" s="50">
        <v>15402107.5</v>
      </c>
      <c r="F12" s="50">
        <v>12085220.5</v>
      </c>
      <c r="G12" s="17">
        <f t="shared" si="0"/>
        <v>50675387.5</v>
      </c>
      <c r="H12" s="17">
        <f t="shared" si="1"/>
        <v>3118356.3813937013</v>
      </c>
      <c r="I12" s="17">
        <f t="shared" si="2"/>
        <v>47557031.118606299</v>
      </c>
    </row>
    <row r="13" spans="1:9" ht="15.75" customHeight="1" x14ac:dyDescent="0.25">
      <c r="A13" s="5">
        <f t="shared" si="3"/>
        <v>2035</v>
      </c>
      <c r="B13" s="49">
        <v>2651357</v>
      </c>
      <c r="C13" s="50">
        <v>8458460.5000000019</v>
      </c>
      <c r="D13" s="50">
        <v>14505049</v>
      </c>
      <c r="E13" s="50">
        <v>15493063</v>
      </c>
      <c r="F13" s="50">
        <v>12205751.5</v>
      </c>
      <c r="G13" s="17">
        <f t="shared" si="0"/>
        <v>50662324</v>
      </c>
      <c r="H13" s="17">
        <f t="shared" si="1"/>
        <v>3075963.4555711788</v>
      </c>
      <c r="I13" s="17">
        <f t="shared" si="2"/>
        <v>47586360.544428818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unGqIomQr825+TgAX3K1goQHwh3kEO0bQyFDE+2VyvX/JkVmVJ+fUiJcaXsK9zGcnvf1oPfL7DNIHiAYlFRug==" saltValue="pCcAUd8f77RoF9n6pVIk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1.1453498854650119E-2</v>
      </c>
    </row>
    <row r="4" spans="1:8" ht="15.75" customHeight="1" x14ac:dyDescent="0.25">
      <c r="B4" s="19" t="s">
        <v>97</v>
      </c>
      <c r="C4" s="101">
        <v>9.4447090555290908E-2</v>
      </c>
    </row>
    <row r="5" spans="1:8" ht="15.75" customHeight="1" x14ac:dyDescent="0.25">
      <c r="B5" s="19" t="s">
        <v>95</v>
      </c>
      <c r="C5" s="101">
        <v>8.4743491525650902E-2</v>
      </c>
    </row>
    <row r="6" spans="1:8" ht="15.75" customHeight="1" x14ac:dyDescent="0.25">
      <c r="B6" s="19" t="s">
        <v>91</v>
      </c>
      <c r="C6" s="101">
        <v>0.25140407485959188</v>
      </c>
    </row>
    <row r="7" spans="1:8" ht="15.75" customHeight="1" x14ac:dyDescent="0.25">
      <c r="B7" s="19" t="s">
        <v>96</v>
      </c>
      <c r="C7" s="101">
        <v>0.33003026699697391</v>
      </c>
    </row>
    <row r="8" spans="1:8" ht="15.75" customHeight="1" x14ac:dyDescent="0.25">
      <c r="B8" s="19" t="s">
        <v>98</v>
      </c>
      <c r="C8" s="101">
        <v>1.377999862200013E-3</v>
      </c>
    </row>
    <row r="9" spans="1:8" ht="15.75" customHeight="1" x14ac:dyDescent="0.25">
      <c r="B9" s="19" t="s">
        <v>92</v>
      </c>
      <c r="C9" s="101">
        <v>9.7865990213400936E-2</v>
      </c>
    </row>
    <row r="10" spans="1:8" ht="15.75" customHeight="1" x14ac:dyDescent="0.25">
      <c r="B10" s="19" t="s">
        <v>94</v>
      </c>
      <c r="C10" s="101">
        <v>0.1286775871322412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0.1701278815788132</v>
      </c>
      <c r="D14" s="55">
        <v>0.1701278815788132</v>
      </c>
      <c r="E14" s="55">
        <v>0.1701278815788132</v>
      </c>
      <c r="F14" s="55">
        <v>0.1701278815788132</v>
      </c>
    </row>
    <row r="15" spans="1:8" ht="15.75" customHeight="1" x14ac:dyDescent="0.25">
      <c r="B15" s="19" t="s">
        <v>102</v>
      </c>
      <c r="C15" s="101">
        <v>0.18319874540566811</v>
      </c>
      <c r="D15" s="101">
        <v>0.18319874540566811</v>
      </c>
      <c r="E15" s="101">
        <v>0.18319874540566811</v>
      </c>
      <c r="F15" s="101">
        <v>0.18319874540566811</v>
      </c>
    </row>
    <row r="16" spans="1:8" ht="15.75" customHeight="1" x14ac:dyDescent="0.25">
      <c r="B16" s="19" t="s">
        <v>2</v>
      </c>
      <c r="C16" s="101">
        <v>8.6408669263906192E-3</v>
      </c>
      <c r="D16" s="101">
        <v>8.6408669263906192E-3</v>
      </c>
      <c r="E16" s="101">
        <v>8.6408669263906192E-3</v>
      </c>
      <c r="F16" s="101">
        <v>8.6408669263906192E-3</v>
      </c>
    </row>
    <row r="17" spans="1:8" ht="15.75" customHeight="1" x14ac:dyDescent="0.25">
      <c r="B17" s="19" t="s">
        <v>90</v>
      </c>
      <c r="C17" s="101">
        <v>0.27638773713709541</v>
      </c>
      <c r="D17" s="101">
        <v>0.27638773713709541</v>
      </c>
      <c r="E17" s="101">
        <v>0.27638773713709541</v>
      </c>
      <c r="F17" s="101">
        <v>0.27638773713709541</v>
      </c>
    </row>
    <row r="18" spans="1:8" ht="15.75" customHeight="1" x14ac:dyDescent="0.25">
      <c r="B18" s="19" t="s">
        <v>3</v>
      </c>
      <c r="C18" s="101">
        <v>3.212324045668727E-4</v>
      </c>
      <c r="D18" s="101">
        <v>3.212324045668727E-4</v>
      </c>
      <c r="E18" s="101">
        <v>3.212324045668727E-4</v>
      </c>
      <c r="F18" s="101">
        <v>3.212324045668727E-4</v>
      </c>
    </row>
    <row r="19" spans="1:8" ht="15.75" customHeight="1" x14ac:dyDescent="0.25">
      <c r="B19" s="19" t="s">
        <v>101</v>
      </c>
      <c r="C19" s="101">
        <v>1.9480867300339509E-2</v>
      </c>
      <c r="D19" s="101">
        <v>1.9480867300339509E-2</v>
      </c>
      <c r="E19" s="101">
        <v>1.9480867300339509E-2</v>
      </c>
      <c r="F19" s="101">
        <v>1.9480867300339509E-2</v>
      </c>
    </row>
    <row r="20" spans="1:8" ht="15.75" customHeight="1" x14ac:dyDescent="0.25">
      <c r="B20" s="19" t="s">
        <v>79</v>
      </c>
      <c r="C20" s="101">
        <v>8.3718301442584563E-4</v>
      </c>
      <c r="D20" s="101">
        <v>8.3718301442584563E-4</v>
      </c>
      <c r="E20" s="101">
        <v>8.3718301442584563E-4</v>
      </c>
      <c r="F20" s="101">
        <v>8.3718301442584563E-4</v>
      </c>
    </row>
    <row r="21" spans="1:8" ht="15.75" customHeight="1" x14ac:dyDescent="0.25">
      <c r="B21" s="19" t="s">
        <v>88</v>
      </c>
      <c r="C21" s="101">
        <v>0.14678829307258109</v>
      </c>
      <c r="D21" s="101">
        <v>0.14678829307258109</v>
      </c>
      <c r="E21" s="101">
        <v>0.14678829307258109</v>
      </c>
      <c r="F21" s="101">
        <v>0.14678829307258109</v>
      </c>
    </row>
    <row r="22" spans="1:8" ht="15.75" customHeight="1" x14ac:dyDescent="0.25">
      <c r="B22" s="19" t="s">
        <v>99</v>
      </c>
      <c r="C22" s="101">
        <v>0.1942171931601194</v>
      </c>
      <c r="D22" s="101">
        <v>0.1942171931601194</v>
      </c>
      <c r="E22" s="101">
        <v>0.1942171931601194</v>
      </c>
      <c r="F22" s="101">
        <v>0.1942171931601194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2.5897033999999999E-2</v>
      </c>
    </row>
    <row r="27" spans="1:8" ht="15.75" customHeight="1" x14ac:dyDescent="0.25">
      <c r="B27" s="19" t="s">
        <v>89</v>
      </c>
      <c r="C27" s="101">
        <v>7.1412350000000001E-3</v>
      </c>
    </row>
    <row r="28" spans="1:8" ht="15.75" customHeight="1" x14ac:dyDescent="0.25">
      <c r="B28" s="19" t="s">
        <v>103</v>
      </c>
      <c r="C28" s="101">
        <v>0.25594161900000001</v>
      </c>
    </row>
    <row r="29" spans="1:8" ht="15.75" customHeight="1" x14ac:dyDescent="0.25">
      <c r="B29" s="19" t="s">
        <v>86</v>
      </c>
      <c r="C29" s="101">
        <v>0.146367004</v>
      </c>
    </row>
    <row r="30" spans="1:8" ht="15.75" customHeight="1" x14ac:dyDescent="0.25">
      <c r="B30" s="19" t="s">
        <v>4</v>
      </c>
      <c r="C30" s="101">
        <v>1.7554395E-2</v>
      </c>
    </row>
    <row r="31" spans="1:8" ht="15.75" customHeight="1" x14ac:dyDescent="0.25">
      <c r="B31" s="19" t="s">
        <v>80</v>
      </c>
      <c r="C31" s="101">
        <v>1.8078031000000001E-2</v>
      </c>
    </row>
    <row r="32" spans="1:8" ht="15.75" customHeight="1" x14ac:dyDescent="0.25">
      <c r="B32" s="19" t="s">
        <v>85</v>
      </c>
      <c r="C32" s="101">
        <v>1.1440346000000001E-2</v>
      </c>
    </row>
    <row r="33" spans="2:3" ht="15.75" customHeight="1" x14ac:dyDescent="0.25">
      <c r="B33" s="19" t="s">
        <v>100</v>
      </c>
      <c r="C33" s="101">
        <v>0.15128762500000001</v>
      </c>
    </row>
    <row r="34" spans="2:3" ht="15.75" customHeight="1" x14ac:dyDescent="0.25">
      <c r="B34" s="19" t="s">
        <v>87</v>
      </c>
      <c r="C34" s="101">
        <v>0.36629271099999999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TKAMF1Ri/QM/3pxFlD8tOGKgq1r58ddm5Ca9a2U10xpxxeU7tXkjbIApInjq/EO1IuxNTGtybZiNOcy7DURHJA==" saltValue="fVJi1jrlsev4GumV2zjyD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0.46203657846226065</v>
      </c>
      <c r="D2" s="52">
        <f>IFERROR(1-_xlfn.NORM.DIST(_xlfn.NORM.INV(SUM(D4:D5), 0, 1) + 1, 0, 1, TRUE), "")</f>
        <v>0.46203657846226065</v>
      </c>
      <c r="E2" s="52">
        <f>IFERROR(1-_xlfn.NORM.DIST(_xlfn.NORM.INV(SUM(E4:E5), 0, 1) + 1, 0, 1, TRUE), "")</f>
        <v>0.45784255536848073</v>
      </c>
      <c r="F2" s="52">
        <f>IFERROR(1-_xlfn.NORM.DIST(_xlfn.NORM.INV(SUM(F4:F5), 0, 1) + 1, 0, 1, TRUE), "")</f>
        <v>0.31468417080314048</v>
      </c>
      <c r="G2" s="52">
        <f>IFERROR(1-_xlfn.NORM.DIST(_xlfn.NORM.INV(SUM(G4:G5), 0, 1) + 1, 0, 1, TRUE), "")</f>
        <v>0.31330372281008789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0.35515012153773934</v>
      </c>
      <c r="D3" s="52">
        <f>IFERROR(_xlfn.NORM.DIST(_xlfn.NORM.INV(SUM(D4:D5), 0, 1) + 1, 0, 1, TRUE) - SUM(D4:D5), "")</f>
        <v>0.35515012153773934</v>
      </c>
      <c r="E3" s="52">
        <f>IFERROR(_xlfn.NORM.DIST(_xlfn.NORM.INV(SUM(E4:E5), 0, 1) + 1, 0, 1, TRUE) - SUM(E4:E5), "")</f>
        <v>0.35653114463151925</v>
      </c>
      <c r="F3" s="52">
        <f>IFERROR(_xlfn.NORM.DIST(_xlfn.NORM.INV(SUM(F4:F5), 0, 1) + 1, 0, 1, TRUE) - SUM(F4:F5), "")</f>
        <v>0.38287172919685952</v>
      </c>
      <c r="G3" s="52">
        <f>IFERROR(_xlfn.NORM.DIST(_xlfn.NORM.INV(SUM(G4:G5), 0, 1) + 1, 0, 1, TRUE) - SUM(G4:G5), "")</f>
        <v>0.38289287718991211</v>
      </c>
    </row>
    <row r="4" spans="1:15" ht="15.75" customHeight="1" x14ac:dyDescent="0.25">
      <c r="B4" s="5" t="s">
        <v>110</v>
      </c>
      <c r="C4" s="45">
        <v>0.1123131</v>
      </c>
      <c r="D4" s="53">
        <v>0.1123131</v>
      </c>
      <c r="E4" s="53">
        <v>0.12641579999999999</v>
      </c>
      <c r="F4" s="53">
        <v>0.20125180000000001</v>
      </c>
      <c r="G4" s="53">
        <v>0.2123389</v>
      </c>
    </row>
    <row r="5" spans="1:15" ht="15.75" customHeight="1" x14ac:dyDescent="0.25">
      <c r="B5" s="5" t="s">
        <v>106</v>
      </c>
      <c r="C5" s="45">
        <v>7.0500199999999999E-2</v>
      </c>
      <c r="D5" s="53">
        <v>7.0500199999999999E-2</v>
      </c>
      <c r="E5" s="53">
        <v>5.9210499999999999E-2</v>
      </c>
      <c r="F5" s="53">
        <v>0.1011923</v>
      </c>
      <c r="G5" s="53">
        <v>9.1464500000000004E-2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0.61893963762334114</v>
      </c>
      <c r="D8" s="52">
        <f>IFERROR(1-_xlfn.NORM.DIST(_xlfn.NORM.INV(SUM(D10:D11), 0, 1) + 1, 0, 1, TRUE), "")</f>
        <v>0.61893963762334114</v>
      </c>
      <c r="E8" s="52">
        <f>IFERROR(1-_xlfn.NORM.DIST(_xlfn.NORM.INV(SUM(E10:E11), 0, 1) + 1, 0, 1, TRUE), "")</f>
        <v>0.60655729143361814</v>
      </c>
      <c r="F8" s="52">
        <f>IFERROR(1-_xlfn.NORM.DIST(_xlfn.NORM.INV(SUM(F10:F11), 0, 1) + 1, 0, 1, TRUE), "")</f>
        <v>0.59334020421454103</v>
      </c>
      <c r="G8" s="52">
        <f>IFERROR(1-_xlfn.NORM.DIST(_xlfn.NORM.INV(SUM(G10:G11), 0, 1) + 1, 0, 1, TRUE), "")</f>
        <v>0.62264277395894074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0.28472126237665879</v>
      </c>
      <c r="D9" s="52">
        <f>IFERROR(_xlfn.NORM.DIST(_xlfn.NORM.INV(SUM(D10:D11), 0, 1) + 1, 0, 1, TRUE) - SUM(D10:D11), "")</f>
        <v>0.28472126237665879</v>
      </c>
      <c r="E9" s="52">
        <f>IFERROR(_xlfn.NORM.DIST(_xlfn.NORM.INV(SUM(E10:E11), 0, 1) + 1, 0, 1, TRUE) - SUM(E10:E11), "")</f>
        <v>0.29146400856638177</v>
      </c>
      <c r="F9" s="52">
        <f>IFERROR(_xlfn.NORM.DIST(_xlfn.NORM.INV(SUM(F10:F11), 0, 1) + 1, 0, 1, TRUE) - SUM(F10:F11), "")</f>
        <v>0.29845759578545894</v>
      </c>
      <c r="G9" s="52">
        <f>IFERROR(_xlfn.NORM.DIST(_xlfn.NORM.INV(SUM(G10:G11), 0, 1) + 1, 0, 1, TRUE) - SUM(G10:G11), "")</f>
        <v>0.28266952604105927</v>
      </c>
    </row>
    <row r="10" spans="1:15" ht="15.75" customHeight="1" x14ac:dyDescent="0.25">
      <c r="B10" s="5" t="s">
        <v>107</v>
      </c>
      <c r="C10" s="45">
        <v>5.6652500000000001E-2</v>
      </c>
      <c r="D10" s="53">
        <v>5.6652500000000001E-2</v>
      </c>
      <c r="E10" s="53">
        <v>7.7906700000000009E-2</v>
      </c>
      <c r="F10" s="53">
        <v>8.434620000000001E-2</v>
      </c>
      <c r="G10" s="53">
        <v>7.5694700000000004E-2</v>
      </c>
    </row>
    <row r="11" spans="1:15" ht="15.75" customHeight="1" x14ac:dyDescent="0.25">
      <c r="B11" s="5" t="s">
        <v>119</v>
      </c>
      <c r="C11" s="45">
        <v>3.9686600000000002E-2</v>
      </c>
      <c r="D11" s="53">
        <v>3.9686600000000002E-2</v>
      </c>
      <c r="E11" s="53">
        <v>2.4072E-2</v>
      </c>
      <c r="F11" s="53">
        <v>2.3855999999999999E-2</v>
      </c>
      <c r="G11" s="53">
        <v>1.8992999999999999E-2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0.80099784150000009</v>
      </c>
      <c r="D14" s="54">
        <v>0.77677478115800003</v>
      </c>
      <c r="E14" s="54">
        <v>0.77677478115800003</v>
      </c>
      <c r="F14" s="54">
        <v>0.52042201054299997</v>
      </c>
      <c r="G14" s="54">
        <v>0.52042201054299997</v>
      </c>
      <c r="H14" s="45">
        <v>0.45700000000000002</v>
      </c>
      <c r="I14" s="55">
        <v>0.45700000000000002</v>
      </c>
      <c r="J14" s="55">
        <v>0.45700000000000002</v>
      </c>
      <c r="K14" s="55">
        <v>0.45700000000000002</v>
      </c>
      <c r="L14" s="45">
        <v>0.39600000000000002</v>
      </c>
      <c r="M14" s="55">
        <v>0.39600000000000002</v>
      </c>
      <c r="N14" s="55">
        <v>0.39600000000000002</v>
      </c>
      <c r="O14" s="55">
        <v>0.39600000000000002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0.39231512580339456</v>
      </c>
      <c r="D15" s="52">
        <f t="shared" si="0"/>
        <v>0.38045108263990873</v>
      </c>
      <c r="E15" s="52">
        <f t="shared" si="0"/>
        <v>0.38045108263990873</v>
      </c>
      <c r="F15" s="52">
        <f t="shared" si="0"/>
        <v>0.25489385358978217</v>
      </c>
      <c r="G15" s="52">
        <f t="shared" si="0"/>
        <v>0.25489385358978217</v>
      </c>
      <c r="H15" s="52">
        <f t="shared" si="0"/>
        <v>0.22383083100000001</v>
      </c>
      <c r="I15" s="52">
        <f t="shared" si="0"/>
        <v>0.22383083100000001</v>
      </c>
      <c r="J15" s="52">
        <f t="shared" si="0"/>
        <v>0.22383083100000001</v>
      </c>
      <c r="K15" s="52">
        <f t="shared" si="0"/>
        <v>0.22383083100000001</v>
      </c>
      <c r="L15" s="52">
        <f t="shared" si="0"/>
        <v>0.19395406800000001</v>
      </c>
      <c r="M15" s="52">
        <f t="shared" si="0"/>
        <v>0.19395406800000001</v>
      </c>
      <c r="N15" s="52">
        <f t="shared" si="0"/>
        <v>0.19395406800000001</v>
      </c>
      <c r="O15" s="52">
        <f t="shared" si="0"/>
        <v>0.19395406800000001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B6xsliRfE19/3AEFhWOzK1gEdLRijplso/7j7uiLncUK2qqpaNXlfnXYg5TXdMLeN480pMg9lDVsgeAlVWUkw==" saltValue="dDTilGYdsk7ODhfY4p+c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0.84173509999999996</v>
      </c>
      <c r="D2" s="53">
        <v>0.59965789999999997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3.6675199999999998E-2</v>
      </c>
      <c r="D3" s="53">
        <v>0.10847759999999999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0.1179703</v>
      </c>
      <c r="D4" s="53">
        <v>0.26914159999999998</v>
      </c>
      <c r="E4" s="53">
        <v>0.96549989999999997</v>
      </c>
      <c r="F4" s="53">
        <v>0.89594409999999991</v>
      </c>
      <c r="G4" s="53">
        <v>0</v>
      </c>
    </row>
    <row r="5" spans="1:7" x14ac:dyDescent="0.25">
      <c r="B5" s="3" t="s">
        <v>125</v>
      </c>
      <c r="C5" s="52">
        <v>3.6194E-3</v>
      </c>
      <c r="D5" s="52">
        <v>2.2722800000000001E-2</v>
      </c>
      <c r="E5" s="52">
        <f>1-SUM(E2:E4)</f>
        <v>3.4500100000000034E-2</v>
      </c>
      <c r="F5" s="52">
        <f>1-SUM(F2:F4)</f>
        <v>0.10405590000000009</v>
      </c>
      <c r="G5" s="52">
        <f>1-SUM(G2:G4)</f>
        <v>1</v>
      </c>
    </row>
  </sheetData>
  <sheetProtection algorithmName="SHA-512" hashValue="0d15qP6sT86DtCkTyj1HZzpD5CADtRlgNFApdkmaqRy0K9UDEyD5K5AIS3K+JChv9HjF92Nuv95hGWHsC3Dy6Q==" saltValue="gi7fQSt860AQovk/zgPm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bHJOz8au51xVYNfbV/fdatkdJqefg3gXzIl6XI9GRwZtOZ5l2tziDoD7mqn9H9cutuG4e/U4s8VWFxaoXa/4w==" saltValue="hvi2VXrcsGj3PyqsNd4iB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Hm0B2eMu75BJ1v62dKmcZZj9Y+6E1WdoVEjuz34pdFP5v7MQLgHaqvEWDGsUqKdfETe/NeueJ0AYMMOf2qDTZg==" saltValue="4k/YprN7xn8SNl/K70sRQ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SiQZnDJeMQLVofS0geVl+KtGk4kPx5A9CcLRdezWL0GCaI3Y4QIj4KhBirONSUD9BOtK8HcJmI7jKTmwzSRdrw==" saltValue="Sv3+oGv++Bf9yy3qwrngM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lEjwQupfkzR3gP47NjwBikV274vMeF3Lxp13l619GOJuR8p0ztu4ey3D4nA8qw9YLAB1hy3+GuxoaN/0m+6N/g==" saltValue="R8g0cRa25RgtlqA7dAWFu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40.263780634947473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0.37919859620596902</v>
      </c>
      <c r="C3" s="98">
        <v>0.95</v>
      </c>
      <c r="D3" s="56">
        <v>42.574020447454849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135.8779028845432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0.30196771524327881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0.45950000000000002</v>
      </c>
      <c r="C10" s="98">
        <v>0.95</v>
      </c>
      <c r="D10" s="56">
        <v>13.591732347475441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0.45950000000000002</v>
      </c>
      <c r="C11" s="98">
        <v>0.95</v>
      </c>
      <c r="D11" s="56">
        <v>13.591732347475441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0.45950000000000002</v>
      </c>
      <c r="C12" s="98">
        <v>0.95</v>
      </c>
      <c r="D12" s="56">
        <v>13.591732347475441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0.45950000000000002</v>
      </c>
      <c r="C13" s="98">
        <v>0.95</v>
      </c>
      <c r="D13" s="56">
        <v>13.591732347475441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0.45950000000000002</v>
      </c>
      <c r="C14" s="98">
        <v>0.95</v>
      </c>
      <c r="D14" s="56">
        <v>13.591732347475441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0.45950000000000002</v>
      </c>
      <c r="C15" s="98">
        <v>0.95</v>
      </c>
      <c r="D15" s="56">
        <v>13.591732347475441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0.98</v>
      </c>
      <c r="C16" s="98">
        <v>0.95</v>
      </c>
      <c r="D16" s="56">
        <v>0.33097508532551267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1.31943922222222E-2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0.32267420597698898</v>
      </c>
      <c r="C18" s="98">
        <v>0.95</v>
      </c>
      <c r="D18" s="56">
        <v>3.2163028334016039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0.59295189999999998</v>
      </c>
      <c r="C19" s="98">
        <v>0.95</v>
      </c>
      <c r="D19" s="56">
        <v>3.2163028334016039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0.14936920000000001</v>
      </c>
      <c r="C21" s="98">
        <v>0.95</v>
      </c>
      <c r="D21" s="56">
        <v>2.626153737244413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23.22190166838157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4.4935547009666941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0.52185945795806499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0.45950000000000002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19.59004600780592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0.38748887772116702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73.100645834826111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0.96</v>
      </c>
      <c r="C31" s="98">
        <v>0.95</v>
      </c>
      <c r="D31" s="56">
        <v>2.265403049085001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0.66493210580190532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0.96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0.33847410000000011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0.72358090000000008</v>
      </c>
      <c r="C38" s="98">
        <v>0.95</v>
      </c>
      <c r="D38" s="56">
        <v>1.6048641310337011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JaIHfsAFbNhLAWYWwyTG2ONJKjni8FdxtTjBgaTedNuPgJ52Bn7QNz+indKEE5j3EVEQctuOv0Aj+P/8Es1Htg==" saltValue="0ZC49ARAy/O1cxPpkqv8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/vL7uvPoyCR+PaA1Es4XPRxQE6o2Z8SjcnRcxL6JzrKBwaMAWtJXhkUBc8+Krc5cd+E7ul94BNug8gZJu/2jxg==" saltValue="5/soEU+6NwOhu8MVZuRs3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H72famO8esOg1gq5dccBRhH1OQUgL+j+VoP2X86Pu0jSwpMTm3hxSxrZWGlkZNMZMJGP0+wp5FRoWxlsxSH4Q==" saltValue="4j4bcZwm3ClzSderjmRbV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0.1472965</v>
      </c>
      <c r="C3" s="21">
        <f>frac_mam_1_5months * 2.6</f>
        <v>0.1472965</v>
      </c>
      <c r="D3" s="21">
        <f>frac_mam_6_11months * 2.6</f>
        <v>0.20255742000000004</v>
      </c>
      <c r="E3" s="21">
        <f>frac_mam_12_23months * 2.6</f>
        <v>0.21930012000000004</v>
      </c>
      <c r="F3" s="21">
        <f>frac_mam_24_59months * 2.6</f>
        <v>0.19680622</v>
      </c>
    </row>
    <row r="4" spans="1:6" ht="15.75" customHeight="1" x14ac:dyDescent="0.25">
      <c r="A4" s="3" t="s">
        <v>207</v>
      </c>
      <c r="B4" s="21">
        <f>frac_sam_1month * 2.6</f>
        <v>0.10318516000000001</v>
      </c>
      <c r="C4" s="21">
        <f>frac_sam_1_5months * 2.6</f>
        <v>0.10318516000000001</v>
      </c>
      <c r="D4" s="21">
        <f>frac_sam_6_11months * 2.6</f>
        <v>6.2587199999999996E-2</v>
      </c>
      <c r="E4" s="21">
        <f>frac_sam_12_23months * 2.6</f>
        <v>6.20256E-2</v>
      </c>
      <c r="F4" s="21">
        <f>frac_sam_24_59months * 2.6</f>
        <v>4.9381800000000003E-2</v>
      </c>
    </row>
  </sheetData>
  <sheetProtection algorithmName="SHA-512" hashValue="hugpEplg73KemiSz9lzfMSDDseFgZr+GlP2fkOFU329f1MLSLb2VkoCMPAtwVk5xPfiah1jOS1Msl/+qiuixtQ==" saltValue="0mKwoCkN9vknbCUCSMJKg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0.14799999999999999</v>
      </c>
      <c r="E2" s="60">
        <f>food_insecure</f>
        <v>0.14799999999999999</v>
      </c>
      <c r="F2" s="60">
        <f>food_insecure</f>
        <v>0.14799999999999999</v>
      </c>
      <c r="G2" s="60">
        <f>food_insecure</f>
        <v>0.14799999999999999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0.14799999999999999</v>
      </c>
      <c r="F5" s="60">
        <f>food_insecure</f>
        <v>0.14799999999999999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0.14799999999999999</v>
      </c>
      <c r="F8" s="60">
        <f>food_insecure</f>
        <v>0.14799999999999999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0.14799999999999999</v>
      </c>
      <c r="F9" s="60">
        <f>food_insecure</f>
        <v>0.14799999999999999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0.14799999999999999</v>
      </c>
      <c r="I15" s="60">
        <f>food_insecure</f>
        <v>0.14799999999999999</v>
      </c>
      <c r="J15" s="60">
        <f>food_insecure</f>
        <v>0.14799999999999999</v>
      </c>
      <c r="K15" s="60">
        <f>food_insecure</f>
        <v>0.14799999999999999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0.48840000000000011</v>
      </c>
      <c r="I19" s="60">
        <f>frac_malaria_risk</f>
        <v>0.48840000000000011</v>
      </c>
      <c r="J19" s="60">
        <f>frac_malaria_risk</f>
        <v>0.48840000000000011</v>
      </c>
      <c r="K19" s="60">
        <f>frac_malaria_risk</f>
        <v>0.48840000000000011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0.27500000000000002</v>
      </c>
      <c r="M24" s="60">
        <f>famplan_unmet_need</f>
        <v>0.27500000000000002</v>
      </c>
      <c r="N24" s="60">
        <f>famplan_unmet_need</f>
        <v>0.27500000000000002</v>
      </c>
      <c r="O24" s="60">
        <f>famplan_unmet_need</f>
        <v>0.27500000000000002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0.17431647035827658</v>
      </c>
      <c r="M25" s="60">
        <f>(1-food_insecure)*(0.49)+food_insecure*(0.7)</f>
        <v>0.52107999999999999</v>
      </c>
      <c r="N25" s="60">
        <f>(1-food_insecure)*(0.49)+food_insecure*(0.7)</f>
        <v>0.52107999999999999</v>
      </c>
      <c r="O25" s="60">
        <f>(1-food_insecure)*(0.49)+food_insecure*(0.7)</f>
        <v>0.52107999999999999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7.4707058724975683E-2</v>
      </c>
      <c r="M26" s="60">
        <f>(1-food_insecure)*(0.21)+food_insecure*(0.3)</f>
        <v>0.22331999999999999</v>
      </c>
      <c r="N26" s="60">
        <f>(1-food_insecure)*(0.21)+food_insecure*(0.3)</f>
        <v>0.22331999999999999</v>
      </c>
      <c r="O26" s="60">
        <f>(1-food_insecure)*(0.21)+food_insecure*(0.3)</f>
        <v>0.22331999999999999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8.5505660980224732E-2</v>
      </c>
      <c r="M27" s="60">
        <f>(1-food_insecure)*(0.3)</f>
        <v>0.25559999999999999</v>
      </c>
      <c r="N27" s="60">
        <f>(1-food_insecure)*(0.3)</f>
        <v>0.25559999999999999</v>
      </c>
      <c r="O27" s="60">
        <f>(1-food_insecure)*(0.3)</f>
        <v>0.25559999999999999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0.66547080993652297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0.48840000000000011</v>
      </c>
      <c r="D34" s="60">
        <f t="shared" si="3"/>
        <v>0.48840000000000011</v>
      </c>
      <c r="E34" s="60">
        <f t="shared" si="3"/>
        <v>0.48840000000000011</v>
      </c>
      <c r="F34" s="60">
        <f t="shared" si="3"/>
        <v>0.48840000000000011</v>
      </c>
      <c r="G34" s="60">
        <f t="shared" si="3"/>
        <v>0.48840000000000011</v>
      </c>
      <c r="H34" s="60">
        <f t="shared" si="3"/>
        <v>0.48840000000000011</v>
      </c>
      <c r="I34" s="60">
        <f t="shared" si="3"/>
        <v>0.48840000000000011</v>
      </c>
      <c r="J34" s="60">
        <f t="shared" si="3"/>
        <v>0.48840000000000011</v>
      </c>
      <c r="K34" s="60">
        <f t="shared" si="3"/>
        <v>0.48840000000000011</v>
      </c>
      <c r="L34" s="60">
        <f t="shared" si="3"/>
        <v>0.48840000000000011</v>
      </c>
      <c r="M34" s="60">
        <f t="shared" si="3"/>
        <v>0.48840000000000011</v>
      </c>
      <c r="N34" s="60">
        <f t="shared" si="3"/>
        <v>0.48840000000000011</v>
      </c>
      <c r="O34" s="60">
        <f t="shared" si="3"/>
        <v>0.48840000000000011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Tp6iSRVK7hqsG70Zjiki5V+gt7vEKfiCfZ5Mv6Qe9+sjyr8cy7lzxrjUuMpGxc8gmEGTgSRQeQ/JbtF8BoWHg==" saltValue="UczSddOaimbXu/Kvz3P7l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sd4OaMeh4ScNZwvN/ZQAtA7yXiiREJQRXm/nJ1/UBsFtCcaESFgLhB5b5ziTxMVF632fZf9h/cMPKrvM1Qqgdw==" saltValue="wjJSdcxjCC6NJbG5jcQPX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xarlXp9sChcnIlc+Kuc0Ep0HkZiN7ZOhwj7i86ZNk2+ckrhaaod/WZWyUbN5KYrUeL6gKi8QiMCKbP7B7eK+Q==" saltValue="ZF1ttOP5eQXYXQ+oY2WzU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j+DUZbscm6dg3cQbqPltrOyXDKTCuPArhmybKjwfocgyivo6g/DrhqR3e++nzm9xhQoFmpzErGdeKQ5ez4ZSg==" saltValue="EJrfFZDyoobncyrLspYPJ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3BTUrdKcY4Nwjn6BixjFQdxCZvQTqLKeATKpa5qFNMxyMv89LOLV4Jz8kHo/jn87ABkKHwnRzYMxRk0jO+wYsg==" saltValue="DN4VcGqhgvHJ3aAUv7Yo7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5ZQ7Ft1rirbSSzL+e3pO+/iq2tql8coZaap76Zk1H5gkqEYxGEPkEB5Y3CUQTTyvqG2Z79FoSZRblf1lVNPKUw==" saltValue="DPGRzhU3rWpS+UdH8Cret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v1LSdNQUqV5TvcwbYnCHZb0ruHS1DDQ9rld0QSDhJ2aBN4CqUefJwhCPLvpoe4d7/oleVRnZ8om6PjXbFsbLYw==" saltValue="D4wpm1wBWtXSdxDlOpvjj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QQPOGZ3UQ2rzZoWUqoZ/eAViRXUWPQqkm0tRIwpsGtiNVu953A2HosIPWMm8uSKX5jV4AXSpwNbK50B5Aaiig==" saltValue="yCA9Tr+x+BM+qjnxrHQt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T9lwWm76yek/UcImgOFKlHKzwbgK7r3xsdtsrot3V6EEnconQQeuTdVd/9uGsWZMLTA9+VF2ubmF73mpvIO4g==" saltValue="uJSQmPpbiBh1x+45baHz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SeUVHGW6x1bwwKqiqY7bBgmL6Py3s6WAxQiBpBlvGSdOdYrQj2epM5U2RiyDqML3BjQfMTuv3v7I4z3LTqF4gw==" saltValue="qlhEI0dTPG/qUnP0ckJh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xIa8v6HOdI8yI/dSRapU6aSaL2X5KmVAPUtGXWgbEiSwRiXFkkZilbaFoBH3R8a2X5SlvAxnhr+8iQyDtzrSw==" saltValue="B9VkEJXaTuShoSlAcRU4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x748eKto8lL4SMG8pG2mSv9X1+rDlhT9RnNgUqDyih7twMysxufE5RER2mKJqt3uZmWGpeSH0tdd6MC2WEBdQ==" saltValue="fxboGWqmCa5sRoXAGhm/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AMhuO0gLVV/CznpwUaVrT7kxaZygP5bwYPWy8jEMplmjNoWHqFuwL388ieXT0FYiqHpadR4uvv+mPX1ovLNog==" saltValue="e2H5oyxYVx6uAXwLLrFr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QPhy7YiG4kWfUWfKqkXVkm1iQ5g3+HDh7Sb/aSbIKHwzXF4hhmW69zfA+VH0+z9HebNcWAbHipTeh1aBrFJFHg==" saltValue="FUx8VKQ54b6VL8QBYWS7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72FvArxojks05tsAd1V6O0X8aEvwA0r0TRY8hMOLfh2v15T8lq11nkOTvpKPJFDfE9+NfsUYmpCiQ7RAoAsrIA==" saltValue="lSOSm9xIfzm5yvDQU8GhC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2024-05-16T23:20:53Z</dcterms:modified>
</cp:coreProperties>
</file>