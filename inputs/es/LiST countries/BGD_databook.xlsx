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7586F115-067B-4655-B3B1-7E5F93E3F0BB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<sst xmlns="http://schemas.openxmlformats.org/spreadsheetml/2006/main" count="2159" uniqueCount="372">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</sst>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16831403.5</v>
      </c>
    </row>
    <row r="8" spans="1:3" ht="15" customHeight="1" x14ac:dyDescent="0.25">
      <c r="B8" s="5" t="s">
        <v>63</v>
      </c>
      <c r="C8" s="44">
        <v>0.187</v>
      </c>
    </row>
    <row r="9" spans="1:3" ht="15" customHeight="1" x14ac:dyDescent="0.25">
      <c r="B9" s="5" t="s">
        <v>62</v>
      </c>
      <c r="C9" s="45">
        <v>0.48840000000000011</v>
      </c>
    </row>
    <row r="10" spans="1:3" ht="15" customHeight="1" x14ac:dyDescent="0.25">
      <c r="B10" s="5" t="s">
        <v>75</v>
      </c>
      <c r="C10" s="45">
        <v>0.72279169999999993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0.20180000000000001</v>
      </c>
    </row>
    <row r="24" spans="1:3" ht="15" customHeight="1" x14ac:dyDescent="0.25">
      <c r="B24" s="15" t="s">
        <v>65</v>
      </c>
      <c r="C24" s="45">
        <v>0.58740000000000003</v>
      </c>
    </row>
    <row r="25" spans="1:3" ht="15" customHeight="1" x14ac:dyDescent="0.25">
      <c r="B25" s="15" t="s">
        <v>66</v>
      </c>
      <c r="C25" s="45">
        <v>0.18479999999999999</v>
      </c>
    </row>
    <row r="26" spans="1:3" ht="15" customHeight="1" x14ac:dyDescent="0.25">
      <c r="B26" s="15" t="s">
        <v>67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0.38903520674993503</v>
      </c>
    </row>
    <row r="30" spans="1:3" ht="14.25" customHeight="1" x14ac:dyDescent="0.25">
      <c r="B30" s="25" t="s">
        <v>82</v>
      </c>
      <c r="C30" s="99">
        <v>3.0554486722926998E-2</v>
      </c>
    </row>
    <row r="31" spans="1:3" ht="14.25" customHeight="1" x14ac:dyDescent="0.25">
      <c r="B31" s="25" t="s">
        <v>29</v>
      </c>
      <c r="C31" s="99">
        <v>3.3490630273111603E-2</v>
      </c>
    </row>
    <row r="32" spans="1:3" ht="14.25" customHeight="1" x14ac:dyDescent="0.25">
      <c r="B32" s="25" t="s">
        <v>30</v>
      </c>
      <c r="C32" s="99">
        <v>0.54691967625402593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16.004100000000001</v>
      </c>
    </row>
    <row r="38" spans="1:5" ht="15" customHeight="1" x14ac:dyDescent="0.25">
      <c r="B38" s="11" t="s">
        <v>54</v>
      </c>
      <c r="C38" s="43">
        <v>22.90615</v>
      </c>
      <c r="D38" s="12"/>
      <c r="E38" s="13"/>
    </row>
    <row r="39" spans="1:5" ht="15" customHeight="1" x14ac:dyDescent="0.25">
      <c r="B39" s="11" t="s">
        <v>80</v>
      </c>
      <c r="C39" s="43">
        <v>27.273630000000001</v>
      </c>
      <c r="D39" s="12"/>
      <c r="E39" s="12"/>
    </row>
    <row r="40" spans="1:5" ht="15" customHeight="1" x14ac:dyDescent="0.25">
      <c r="B40" s="11" t="s">
        <v>55</v>
      </c>
      <c r="C40" s="100">
        <v>1.23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78</v>
      </c>
      <c r="C47" s="45">
        <v>0.39040259999999999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0.67600000000000005</v>
      </c>
      <c r="D51" s="12"/>
    </row>
    <row r="52" spans="1:4" ht="15" customHeight="1" x14ac:dyDescent="0.25">
      <c r="B52" s="11" t="s">
        <v>32</v>
      </c>
      <c r="C52" s="100">
        <v>0.67600000000000005</v>
      </c>
    </row>
    <row r="53" spans="1:4" ht="15.75" customHeight="1" x14ac:dyDescent="0.25">
      <c r="B53" s="11" t="s">
        <v>35</v>
      </c>
      <c r="C53" s="100">
        <v>2.3140000000000001</v>
      </c>
    </row>
    <row r="54" spans="1:4" ht="15.75" customHeight="1" x14ac:dyDescent="0.25">
      <c r="B54" s="11" t="s">
        <v>33</v>
      </c>
      <c r="C54" s="100">
        <v>2.34</v>
      </c>
    </row>
    <row r="55" spans="1:4" ht="15.75" customHeight="1" x14ac:dyDescent="0.25">
      <c r="B55" s="11" t="s">
        <v>34</v>
      </c>
      <c r="C55" s="100">
        <v>0.754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0.48978300000000002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EgIHKNANQfaA78nAeWs30ukbYrvSklFA2D2Au0yESMXjrK/5D8N4jwyYbeMpZGvd2t7JnVHhTGhmZN3QKzmPQQ==" saltValue="9w4cKlvOmjLSo5PtwKdY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U76XwUlJJx/Y0Ed6HCVyYOWytXbD4CZb+FzRSDGFkW41lmz8v5FiBprzgk1PFdt9IN2wOcG/BHVvTfGkjlV5A==" saltValue="fymfv0BlZdMXpgMHOy1I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1.1453498854650119E-2</v>
      </c>
    </row>
    <row r="4" spans="1:8" ht="15.75" customHeight="1" x14ac:dyDescent="0.25">
      <c r="B4" s="19" t="s">
        <v>116</v>
      </c>
      <c r="C4" s="101">
        <v>9.4447090555290908E-2</v>
      </c>
    </row>
    <row r="5" spans="1:8" ht="15.75" customHeight="1" x14ac:dyDescent="0.25">
      <c r="B5" s="19" t="s">
        <v>114</v>
      </c>
      <c r="C5" s="101">
        <v>8.4743491525650902E-2</v>
      </c>
    </row>
    <row r="6" spans="1:8" ht="15.75" customHeight="1" x14ac:dyDescent="0.25">
      <c r="B6" s="19" t="s">
        <v>110</v>
      </c>
      <c r="C6" s="101">
        <v>0.25140407485959188</v>
      </c>
    </row>
    <row r="7" spans="1:8" ht="15.75" customHeight="1" x14ac:dyDescent="0.25">
      <c r="B7" s="19" t="s">
        <v>115</v>
      </c>
      <c r="C7" s="101">
        <v>0.33003026699697391</v>
      </c>
    </row>
    <row r="8" spans="1:8" ht="15.75" customHeight="1" x14ac:dyDescent="0.25">
      <c r="B8" s="19" t="s">
        <v>117</v>
      </c>
      <c r="C8" s="101">
        <v>1.377999862200013E-3</v>
      </c>
    </row>
    <row r="9" spans="1:8" ht="15.75" customHeight="1" x14ac:dyDescent="0.25">
      <c r="B9" s="19" t="s">
        <v>111</v>
      </c>
      <c r="C9" s="101">
        <v>9.7865990213400936E-2</v>
      </c>
    </row>
    <row r="10" spans="1:8" ht="15.75" customHeight="1" x14ac:dyDescent="0.25">
      <c r="B10" s="19" t="s">
        <v>113</v>
      </c>
      <c r="C10" s="101">
        <v>0.1286775871322412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121</v>
      </c>
      <c r="C15" s="101">
        <v>0.18319874540566811</v>
      </c>
      <c r="D15" s="101">
        <v>0.18319874540566811</v>
      </c>
      <c r="E15" s="101">
        <v>0.18319874540566811</v>
      </c>
      <c r="F15" s="101">
        <v>0.18319874540566811</v>
      </c>
    </row>
    <row r="16" spans="1:8" ht="15.75" customHeight="1" x14ac:dyDescent="0.25">
      <c r="B16" s="19" t="s">
        <v>2</v>
      </c>
      <c r="C16" s="101">
        <v>8.6408669263906192E-3</v>
      </c>
      <c r="D16" s="101">
        <v>8.6408669263906192E-3</v>
      </c>
      <c r="E16" s="101">
        <v>8.6408669263906192E-3</v>
      </c>
      <c r="F16" s="101">
        <v>8.6408669263906192E-3</v>
      </c>
    </row>
    <row r="17" spans="1:8" ht="15.75" customHeight="1" x14ac:dyDescent="0.25">
      <c r="B17" s="19" t="s">
        <v>109</v>
      </c>
      <c r="C17" s="101">
        <v>0.27638773713709541</v>
      </c>
      <c r="D17" s="101">
        <v>0.27638773713709541</v>
      </c>
      <c r="E17" s="101">
        <v>0.27638773713709541</v>
      </c>
      <c r="F17" s="101">
        <v>0.27638773713709541</v>
      </c>
    </row>
    <row r="18" spans="1:8" ht="15.75" customHeight="1" x14ac:dyDescent="0.25">
      <c r="B18" s="19" t="s">
        <v>3</v>
      </c>
      <c r="C18" s="101">
        <v>3.212324045668727E-4</v>
      </c>
      <c r="D18" s="101">
        <v>3.212324045668727E-4</v>
      </c>
      <c r="E18" s="101">
        <v>3.212324045668727E-4</v>
      </c>
      <c r="F18" s="101">
        <v>3.212324045668727E-4</v>
      </c>
    </row>
    <row r="19" spans="1:8" ht="15.75" customHeight="1" x14ac:dyDescent="0.25">
      <c r="B19" s="19" t="s">
        <v>120</v>
      </c>
      <c r="C19" s="101">
        <v>1.9480867300339509E-2</v>
      </c>
      <c r="D19" s="101">
        <v>1.9480867300339509E-2</v>
      </c>
      <c r="E19" s="101">
        <v>1.9480867300339509E-2</v>
      </c>
      <c r="F19" s="101">
        <v>1.9480867300339509E-2</v>
      </c>
    </row>
    <row r="20" spans="1:8" ht="15.75" customHeight="1" x14ac:dyDescent="0.25">
      <c r="B20" s="19" t="s">
        <v>98</v>
      </c>
      <c r="C20" s="101">
        <v>8.3718301442584563E-4</v>
      </c>
      <c r="D20" s="101">
        <v>8.3718301442584563E-4</v>
      </c>
      <c r="E20" s="101">
        <v>8.3718301442584563E-4</v>
      </c>
      <c r="F20" s="101">
        <v>8.3718301442584563E-4</v>
      </c>
    </row>
    <row r="21" spans="1:8" ht="15.75" customHeight="1" x14ac:dyDescent="0.25">
      <c r="B21" s="19" t="s">
        <v>107</v>
      </c>
      <c r="C21" s="101">
        <v>0.14678829307258109</v>
      </c>
      <c r="D21" s="101">
        <v>0.14678829307258109</v>
      </c>
      <c r="E21" s="101">
        <v>0.14678829307258109</v>
      </c>
      <c r="F21" s="101">
        <v>0.14678829307258109</v>
      </c>
    </row>
    <row r="22" spans="1:8" ht="15.75" customHeight="1" x14ac:dyDescent="0.25">
      <c r="B22" s="19" t="s">
        <v>118</v>
      </c>
      <c r="C22" s="101">
        <v>0.1942171931601194</v>
      </c>
      <c r="D22" s="101">
        <v>0.1942171931601194</v>
      </c>
      <c r="E22" s="101">
        <v>0.1942171931601194</v>
      </c>
      <c r="F22" s="101">
        <v>0.1942171931601194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2.5897033999999999E-2</v>
      </c>
    </row>
    <row r="27" spans="1:8" ht="15.75" customHeight="1" x14ac:dyDescent="0.25">
      <c r="B27" s="19" t="s">
        <v>108</v>
      </c>
      <c r="C27" s="101">
        <v>7.1412350000000001E-3</v>
      </c>
    </row>
    <row r="28" spans="1:8" ht="15.75" customHeight="1" x14ac:dyDescent="0.25">
      <c r="B28" s="19" t="s">
        <v>122</v>
      </c>
      <c r="C28" s="101">
        <v>0.25594161900000001</v>
      </c>
    </row>
    <row r="29" spans="1:8" ht="15.75" customHeight="1" x14ac:dyDescent="0.25">
      <c r="B29" s="19" t="s">
        <v>105</v>
      </c>
      <c r="C29" s="101">
        <v>0.146367004</v>
      </c>
    </row>
    <row r="30" spans="1:8" ht="15.75" customHeight="1" x14ac:dyDescent="0.25">
      <c r="B30" s="19" t="s">
        <v>4</v>
      </c>
      <c r="C30" s="101">
        <v>1.7554395E-2</v>
      </c>
    </row>
    <row r="31" spans="1:8" ht="15.75" customHeight="1" x14ac:dyDescent="0.25">
      <c r="B31" s="19" t="s">
        <v>99</v>
      </c>
      <c r="C31" s="101">
        <v>1.8078031000000001E-2</v>
      </c>
    </row>
    <row r="32" spans="1:8" ht="15.75" customHeight="1" x14ac:dyDescent="0.25">
      <c r="B32" s="19" t="s">
        <v>104</v>
      </c>
      <c r="C32" s="101">
        <v>1.1440346000000001E-2</v>
      </c>
    </row>
    <row r="33" spans="2:3" ht="15.75" customHeight="1" x14ac:dyDescent="0.25">
      <c r="B33" s="19" t="s">
        <v>119</v>
      </c>
      <c r="C33" s="101">
        <v>0.15128762500000001</v>
      </c>
    </row>
    <row r="34" spans="2:3" ht="15.75" customHeight="1" x14ac:dyDescent="0.25">
      <c r="B34" s="19" t="s">
        <v>106</v>
      </c>
      <c r="C34" s="101">
        <v>0.36629271099999999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RPIqmJbwfgsS1rq9lBT+ZCam9Q+PMdnFzIT8tWbSQ9E6ZrPf2GL3a2JjrMqIqnWlmkm/uPqqt6ngPRYz+jzd1A==" saltValue="JYDn4415uwdaTuKzMo9H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129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125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126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sCFmJ6s9Se4RNLL5HzzW9xl2gqPVktIhTimyUZQ0YT2IbcsqLQGBvhigFmbVsXGCxXJIohK5a0dOovh4xVhPQ==" saltValue="7kEyBox7f3qFqCbMx26S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PZJW+PG025aBYYEyUJSkVOKGJ20AZKyYJNY45BAlI2Fib1sHnDwvay/23/GhUql8SQ2tbtbglJ5LvDmEIjqEKg==" saltValue="AAlGn3c1z8IEfQn1mTcy+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ExtbtJlFNMglaFhZB23KM2k3ZvybSwnQL5VH3nvWKN3op6wl6HlxGSWfDIrqUxfLGCJp544t+miMQshCbH2DQ==" saltValue="VSCj9n1tB8BhOOHKtYlHh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2688.3055009073801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0.40860999999999997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0.39543999999999996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1.5421000531693801E-2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96938.719570000001</v>
      </c>
      <c r="C22" s="109">
        <v>96592.95723</v>
      </c>
      <c r="D22" s="109">
        <v>96271.086960000001</v>
      </c>
      <c r="E22" s="109">
        <v>95953.980410000004</v>
      </c>
      <c r="F22" s="109">
        <v>95595.973689999999</v>
      </c>
      <c r="G22" s="109">
        <v>95180.252269999997</v>
      </c>
      <c r="H22" s="109">
        <v>94714.145340000003</v>
      </c>
      <c r="I22" s="109">
        <v>94085.984020000004</v>
      </c>
      <c r="J22" s="109">
        <v>93117.233439999996</v>
      </c>
      <c r="K22" s="109">
        <v>91579.037930000006</v>
      </c>
      <c r="L22" s="109">
        <v>88759.600539999999</v>
      </c>
      <c r="M22" s="109">
        <v>85058.565000000002</v>
      </c>
      <c r="N22" s="109">
        <v>79439.731530000005</v>
      </c>
      <c r="O22" s="109">
        <v>71636.774720000001</v>
      </c>
    </row>
  </sheetData>
  <sheetProtection algorithmName="SHA-512" hashValue="WOtUMvb1mZzieuQFljUyJO6OW5onakck0hMjoyx7Gt9WByw0XXo5EYiABP/iBEZu0sVJYgUe5ugcpSHtjfdQFg==" saltValue="DsalS2+3AQFGygi6HcMR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BOVXCPO/8aomVzJxWLS3AB67mVMI04wzWLikL/5fz1WshH61IgguX8Wfl2tzEo1jPGau9zOhnlXS4kVNSnZ+w==" saltValue="DG5eGPc66avgXZ+LI+3D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VxmFDgIRtZZuFGZQohxKoX1YBhRX+4Olpmn2kYUEuAZzlHfqx9pkvhmCyYu4FyhFTWW5zaxCAM6mHQ555mfYhw==" saltValue="H65GoDJ0/GawDaW9JAxst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8.851070189484922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0.19283527130965261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0.45950000000000002</v>
      </c>
      <c r="C10" s="98">
        <v>0.95</v>
      </c>
      <c r="D10" s="56">
        <v>13.591732347475441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13.591732347475441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13.591732347475441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13.591732347475441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0.45950000000000002</v>
      </c>
      <c r="C14" s="98">
        <v>0.95</v>
      </c>
      <c r="D14" s="56">
        <v>13.591732347475441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13.591732347475441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1.31943922222222E-2</v>
      </c>
      <c r="C17" s="98">
        <v>0.95</v>
      </c>
      <c r="D17" s="56">
        <v>4.9725113424072598E-2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0.32600000000000001</v>
      </c>
      <c r="C18" s="98">
        <v>0.95</v>
      </c>
      <c r="D18" s="56">
        <v>8.851070189484922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0.59965789999999997</v>
      </c>
      <c r="C19" s="98">
        <v>0.95</v>
      </c>
      <c r="D19" s="56">
        <v>3.2163028334016039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8.851070189484922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4.4935547009666941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0.456700457953225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5.9759056444818865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0.72358090000000008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0.33847410000000011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2.8E-3</v>
      </c>
      <c r="C31" s="98">
        <v>0.95</v>
      </c>
      <c r="D31" s="56">
        <v>212.53756605284229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0.96</v>
      </c>
      <c r="C32" s="98">
        <v>0.95</v>
      </c>
      <c r="D32" s="56">
        <v>0.43509474246063523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0.61728539999999998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0.49194979999999999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6.1071800000000002E-2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0.14936920000000001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0.43</v>
      </c>
      <c r="C38" s="98">
        <v>0.95</v>
      </c>
      <c r="D38" s="56">
        <v>1.0566586602615426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wYrta+lD4U067MiQQLL+Byx7eVanxfo6lJaQd9BjIOt+LPiFkylGxQHi5myDrQI9KUnmaPMbnRoOwXsqfZqgkQ==" saltValue="VzckaERIXiF1AcfDhjug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EwogOv0mQ8IFQC58Q2SGrOSbzVQ5TTjCgv9t5p7RUdgXuGHnpQ3d6BPhth2rkF+U9OogGtEm2IdthqziyzOfA==" saltValue="ezJWuKyUpoxTF6jTYe4+4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tbtpRbKjz2N+Yijsl3eXfko/yUny9CScUMqh0hOahO1k1Dwz/bHxbVDg3sT6+OKxS3hUgPEnRqw+O1rPyiehw==" saltValue="20qyv8ft79XNW89zwLBo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0.67600000000000005</v>
      </c>
      <c r="C2" s="21">
        <f>'Entradas de población-año base'!C52</f>
        <v>0.67600000000000005</v>
      </c>
      <c r="D2" s="21">
        <f>'Entradas de población-año base'!C53</f>
        <v>2.3140000000000001</v>
      </c>
      <c r="E2" s="21">
        <f>'Entradas de población-año base'!C54</f>
        <v>2.34</v>
      </c>
      <c r="F2" s="21">
        <f>'Entradas de población-año base'!C55</f>
        <v>0.754</v>
      </c>
    </row>
    <row r="3" spans="1:6" ht="15.75" customHeight="1" x14ac:dyDescent="0.25">
      <c r="A3" s="3" t="s">
        <v>6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236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z4Hs5n9icdVocg5iKYrZRraEex9Rf9BtAXBhfTmChXJoFK2beVAL+OgCoRHqji8tAi0TE45z291yStZGHZJYpw==" saltValue="yHLTsbgqpCF5CARRzBtsC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mkCQCrURVi77dElAQlnMeGpy4+Ud9JrTUNxHREmaXRm/9fNStLBfPUbEYK6sy0h1TjCLvJFtuVyaXqfpfyimA==" saltValue="awdfF7Lg1kGgkm56SjB57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7GGTbA/ROBlPL/6QZ/qi5QV7RjdA4jlm0PORANyJk1O2D3XOEXD+PxsHqIPu7TN0WG8hIupKkl0+9gpiDVoKTg==" saltValue="VJy+lKRTi2pYgQo+ZXWOO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UZPtjmhtIdu6kvpmOolBvfixpzqEivPkn9XP+2BqK3AAcomlhh4KzVSkmlSWx+MtkjYwQatkCIZyZtrwtX68Q==" saltValue="M6XiqX+tEM5PD29qd4Xdx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BeDLRymKwqyROPpaSmkkPI9wFuv/r+EzX650+CbD4wuDm+ZLFackuH2BbtQKHQKwq94uop3urYkZ4zl2LS3IQ==" saltValue="ctkt3FIrHMXNTkRjlOQjR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oaOd2luyt7vlwAwHyWXnseyGM0tUU5atFHzcDSqSX5TvyULmDSKODPbvoxLFZrNHEoq9HwK639K+jTiLlSFVvg==" saltValue="qp31xzMZQf8/lHwd9qAnd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OgoK/lP8BdJpQs/4CAwXSncH8TH5aUDubh8758OWJwNQbYm9fUz64ZSmDaLrMVE7nehrF8/ib8pCVqhNlOkrFQ==" saltValue="h/KQ5MJ61upQns0Cmsf1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NDhD7T2F+tt4wa+LEZlDVdnixs/HxfsE2Dv/H2kGEJQ7fuGZFFLWLPCvHacld+I0VzD1Eih3PTCPxIqYGMkWw==" saltValue="9ORjbawHMTmUqwxqHalqO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06NLD9LrO/Yz5gpU773cnnaxgJj98RrQ38KTIRNXCBhKLUelQiafmWGFpawtFVCAvxSxS18+V3orzAXc+tqcQ==" saltValue="zpLk0FqZVEcRrSHNK1+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LEXI81yQuNPV67yhhT9WZU/7ExiZsKGZYACgocdUjUoZ59dr7A6ksxU+jwFQRuGp4TWS0dEUKQUEWK8Bv/UZA==" saltValue="qY+mqw99qZzahlcgXW5o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3yrQUvwLMDLEVeJLeML1syk6/b/ICXNkZrERW0g9eQH4Mi1u/i6AKXhiY4TP1y8dcJ8UNzhNJH9T4+GsjT1mg==" saltValue="ITl3iTA2PZk6PlZTEiZZ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5SHY2TK85ByevScJytwFB1ekGNbjy6psOYHGS+gv1WqKyA8bfY0pkoJH1UU0M2GJX9GtCMEJXGloou9+zweDw==" saltValue="hEnktFBpK5Wcxi3lOndP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6t0o3hMEfzoxIG33qyUY0v78wYoyCXewPjoLshWQa3h0FF66ixr4WUxl0y7FSIKrgZ9lckNL6iz6tUfQ0KcRw==" saltValue="mmDNFt3zRfO0fNxpEFyV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F5xUdqejza/sqlk53QNEruLQefVfMIH3g8Skt8oQNW+aYB5Ca2GWK5miNhE/g69D8v1zYKOCIGzawG7zioMIA==" saltValue="GwKlwtNCo01D6T+sfsD6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24Xycel2Hvv4WfGXF00Qem/lP1qhK7ijdzGzofSH+WX741qanAGygoJcNLpRTHPWMLdJsKDQcN19dIHWLzTFg==" saltValue="OTDKLkR7WG+j1RifnD2h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K17yWqa4rsh7CxenFQgNF6ZSUCNktnrpwyAbRpxVvjnz8JnPar3OUoMYy5eC3HLVxYpZG8ts64iT15O8xNJcg==" saltValue="8F2ENOOhu4NlNcinbb2x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