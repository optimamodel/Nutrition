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47AAAD04-F2FB-4172-80F9-A7E6628FFA1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3" i="2"/>
  <c r="I3" i="2"/>
  <c r="I9" i="2"/>
  <c r="A25" i="2"/>
  <c r="I6" i="2"/>
  <c r="I12" i="2"/>
  <c r="A35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<sst xmlns="http://schemas.openxmlformats.org/spreadsheetml/2006/main" count="2169" uniqueCount="373">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</sst>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16831403.5</v>
      </c>
    </row>
    <row r="8" spans="1:3" ht="15" customHeight="1" x14ac:dyDescent="0.25">
      <c r="B8" s="5" t="s">
        <v>63</v>
      </c>
      <c r="C8" s="44">
        <v>0.187</v>
      </c>
    </row>
    <row r="9" spans="1:3" ht="15" customHeight="1" x14ac:dyDescent="0.25">
      <c r="B9" s="5" t="s">
        <v>62</v>
      </c>
      <c r="C9" s="45">
        <v>0.48840000000000011</v>
      </c>
    </row>
    <row r="10" spans="1:3" ht="15" customHeight="1" x14ac:dyDescent="0.25">
      <c r="B10" s="5" t="s">
        <v>75</v>
      </c>
      <c r="C10" s="45">
        <v>0.72279169999999993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0.20180000000000001</v>
      </c>
    </row>
    <row r="24" spans="1:3" ht="15" customHeight="1" x14ac:dyDescent="0.25">
      <c r="B24" s="15" t="s">
        <v>65</v>
      </c>
      <c r="C24" s="45">
        <v>0.58740000000000003</v>
      </c>
    </row>
    <row r="25" spans="1:3" ht="15" customHeight="1" x14ac:dyDescent="0.25">
      <c r="B25" s="15" t="s">
        <v>66</v>
      </c>
      <c r="C25" s="45">
        <v>0.18479999999999999</v>
      </c>
    </row>
    <row r="26" spans="1:3" ht="15" customHeight="1" x14ac:dyDescent="0.25">
      <c r="B26" s="15" t="s">
        <v>67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0.38903520674993503</v>
      </c>
    </row>
    <row r="30" spans="1:3" ht="14.25" customHeight="1" x14ac:dyDescent="0.25">
      <c r="B30" s="25" t="s">
        <v>82</v>
      </c>
      <c r="C30" s="97">
        <v>3.0554486722926998E-2</v>
      </c>
    </row>
    <row r="31" spans="1:3" ht="14.25" customHeight="1" x14ac:dyDescent="0.25">
      <c r="B31" s="25" t="s">
        <v>29</v>
      </c>
      <c r="C31" s="97">
        <v>3.3490630273111603E-2</v>
      </c>
    </row>
    <row r="32" spans="1:3" ht="14.25" customHeight="1" x14ac:dyDescent="0.25">
      <c r="B32" s="25" t="s">
        <v>30</v>
      </c>
      <c r="C32" s="97">
        <v>0.54691967625402593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16.004100000000001</v>
      </c>
    </row>
    <row r="38" spans="1:5" ht="15" customHeight="1" x14ac:dyDescent="0.25">
      <c r="B38" s="11" t="s">
        <v>54</v>
      </c>
      <c r="C38" s="43">
        <v>22.90615</v>
      </c>
      <c r="D38" s="12"/>
      <c r="E38" s="13"/>
    </row>
    <row r="39" spans="1:5" ht="15" customHeight="1" x14ac:dyDescent="0.25">
      <c r="B39" s="11" t="s">
        <v>80</v>
      </c>
      <c r="C39" s="43">
        <v>27.273630000000001</v>
      </c>
      <c r="D39" s="12"/>
      <c r="E39" s="12"/>
    </row>
    <row r="40" spans="1:5" ht="15" customHeight="1" x14ac:dyDescent="0.25">
      <c r="B40" s="11" t="s">
        <v>55</v>
      </c>
      <c r="C40" s="98">
        <v>1.23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2.1753700000000001E-2</v>
      </c>
      <c r="D45" s="12"/>
    </row>
    <row r="46" spans="1:5" ht="15.75" customHeight="1" x14ac:dyDescent="0.25">
      <c r="B46" s="11" t="s">
        <v>70</v>
      </c>
      <c r="C46" s="45">
        <v>0.13988120000000001</v>
      </c>
      <c r="D46" s="12"/>
    </row>
    <row r="47" spans="1:5" ht="15.75" customHeight="1" x14ac:dyDescent="0.25">
      <c r="B47" s="11" t="s">
        <v>78</v>
      </c>
      <c r="C47" s="45">
        <v>0.39040259999999999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0.67600000000000005</v>
      </c>
      <c r="D51" s="12"/>
    </row>
    <row r="52" spans="1:4" ht="15" customHeight="1" x14ac:dyDescent="0.25">
      <c r="B52" s="11" t="s">
        <v>32</v>
      </c>
      <c r="C52" s="98">
        <v>0.67600000000000005</v>
      </c>
    </row>
    <row r="53" spans="1:4" ht="15.75" customHeight="1" x14ac:dyDescent="0.25">
      <c r="B53" s="11" t="s">
        <v>35</v>
      </c>
      <c r="C53" s="98">
        <v>2.3140000000000001</v>
      </c>
    </row>
    <row r="54" spans="1:4" ht="15.75" customHeight="1" x14ac:dyDescent="0.25">
      <c r="B54" s="11" t="s">
        <v>33</v>
      </c>
      <c r="C54" s="98">
        <v>2.34</v>
      </c>
    </row>
    <row r="55" spans="1:4" ht="15.75" customHeight="1" x14ac:dyDescent="0.25">
      <c r="B55" s="11" t="s">
        <v>34</v>
      </c>
      <c r="C55" s="98">
        <v>0.754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0.48978300000000002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XmYm0Ar5X5SnIcufB7w7Yb6JEAR7wZ6E04kDejb27QJcgmHbKyyJKH4jFJ3ZjeQlX/m9gqkh1UohcuNOEkCp1g==" saltValue="CUeVJ38B5Imc2NLVaiMt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SvO2mzbH85P70WvzZRgVgLn1zEKPNSg6BWlVdMbVvsJKJwsCrVZSEDI45FuJX94NYSNdU/gx2FOg1m7jqWp1Q==" saltValue="B4g1AbQTcZJe1hHt8Vqt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1.1453498854650119E-2</v>
      </c>
    </row>
    <row r="4" spans="1:8" ht="15.75" customHeight="1" x14ac:dyDescent="0.25">
      <c r="B4" s="19" t="s">
        <v>116</v>
      </c>
      <c r="C4" s="99">
        <v>9.4447090555290908E-2</v>
      </c>
    </row>
    <row r="5" spans="1:8" ht="15.75" customHeight="1" x14ac:dyDescent="0.25">
      <c r="B5" s="19" t="s">
        <v>114</v>
      </c>
      <c r="C5" s="99">
        <v>8.4743491525650902E-2</v>
      </c>
    </row>
    <row r="6" spans="1:8" ht="15.75" customHeight="1" x14ac:dyDescent="0.25">
      <c r="B6" s="19" t="s">
        <v>110</v>
      </c>
      <c r="C6" s="99">
        <v>0.25140407485959188</v>
      </c>
    </row>
    <row r="7" spans="1:8" ht="15.75" customHeight="1" x14ac:dyDescent="0.25">
      <c r="B7" s="19" t="s">
        <v>115</v>
      </c>
      <c r="C7" s="99">
        <v>0.33003026699697391</v>
      </c>
    </row>
    <row r="8" spans="1:8" ht="15.75" customHeight="1" x14ac:dyDescent="0.25">
      <c r="B8" s="19" t="s">
        <v>117</v>
      </c>
      <c r="C8" s="99">
        <v>1.377999862200013E-3</v>
      </c>
    </row>
    <row r="9" spans="1:8" ht="15.75" customHeight="1" x14ac:dyDescent="0.25">
      <c r="B9" s="19" t="s">
        <v>111</v>
      </c>
      <c r="C9" s="99">
        <v>9.7865990213400936E-2</v>
      </c>
    </row>
    <row r="10" spans="1:8" ht="15.75" customHeight="1" x14ac:dyDescent="0.25">
      <c r="B10" s="19" t="s">
        <v>113</v>
      </c>
      <c r="C10" s="99">
        <v>0.1286775871322412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121</v>
      </c>
      <c r="C15" s="99">
        <v>0.18319874540566811</v>
      </c>
      <c r="D15" s="99">
        <v>0.18319874540566811</v>
      </c>
      <c r="E15" s="99">
        <v>0.18319874540566811</v>
      </c>
      <c r="F15" s="99">
        <v>0.18319874540566811</v>
      </c>
    </row>
    <row r="16" spans="1:8" ht="15.75" customHeight="1" x14ac:dyDescent="0.25">
      <c r="B16" s="19" t="s">
        <v>2</v>
      </c>
      <c r="C16" s="99">
        <v>8.6408669263906192E-3</v>
      </c>
      <c r="D16" s="99">
        <v>8.6408669263906192E-3</v>
      </c>
      <c r="E16" s="99">
        <v>8.6408669263906192E-3</v>
      </c>
      <c r="F16" s="99">
        <v>8.6408669263906192E-3</v>
      </c>
    </row>
    <row r="17" spans="1:8" ht="15.75" customHeight="1" x14ac:dyDescent="0.25">
      <c r="B17" s="19" t="s">
        <v>109</v>
      </c>
      <c r="C17" s="99">
        <v>0.27638773713709541</v>
      </c>
      <c r="D17" s="99">
        <v>0.27638773713709541</v>
      </c>
      <c r="E17" s="99">
        <v>0.27638773713709541</v>
      </c>
      <c r="F17" s="99">
        <v>0.27638773713709541</v>
      </c>
    </row>
    <row r="18" spans="1:8" ht="15.75" customHeight="1" x14ac:dyDescent="0.25">
      <c r="B18" s="19" t="s">
        <v>3</v>
      </c>
      <c r="C18" s="99">
        <v>3.212324045668727E-4</v>
      </c>
      <c r="D18" s="99">
        <v>3.212324045668727E-4</v>
      </c>
      <c r="E18" s="99">
        <v>3.212324045668727E-4</v>
      </c>
      <c r="F18" s="99">
        <v>3.212324045668727E-4</v>
      </c>
    </row>
    <row r="19" spans="1:8" ht="15.75" customHeight="1" x14ac:dyDescent="0.25">
      <c r="B19" s="19" t="s">
        <v>120</v>
      </c>
      <c r="C19" s="99">
        <v>1.9480867300339509E-2</v>
      </c>
      <c r="D19" s="99">
        <v>1.9480867300339509E-2</v>
      </c>
      <c r="E19" s="99">
        <v>1.9480867300339509E-2</v>
      </c>
      <c r="F19" s="99">
        <v>1.9480867300339509E-2</v>
      </c>
    </row>
    <row r="20" spans="1:8" ht="15.75" customHeight="1" x14ac:dyDescent="0.25">
      <c r="B20" s="19" t="s">
        <v>98</v>
      </c>
      <c r="C20" s="99">
        <v>8.3718301442584563E-4</v>
      </c>
      <c r="D20" s="99">
        <v>8.3718301442584563E-4</v>
      </c>
      <c r="E20" s="99">
        <v>8.3718301442584563E-4</v>
      </c>
      <c r="F20" s="99">
        <v>8.3718301442584563E-4</v>
      </c>
    </row>
    <row r="21" spans="1:8" ht="15.75" customHeight="1" x14ac:dyDescent="0.25">
      <c r="B21" s="19" t="s">
        <v>107</v>
      </c>
      <c r="C21" s="99">
        <v>0.14678829307258109</v>
      </c>
      <c r="D21" s="99">
        <v>0.14678829307258109</v>
      </c>
      <c r="E21" s="99">
        <v>0.14678829307258109</v>
      </c>
      <c r="F21" s="99">
        <v>0.14678829307258109</v>
      </c>
    </row>
    <row r="22" spans="1:8" ht="15.75" customHeight="1" x14ac:dyDescent="0.25">
      <c r="B22" s="19" t="s">
        <v>118</v>
      </c>
      <c r="C22" s="99">
        <v>0.1942171931601194</v>
      </c>
      <c r="D22" s="99">
        <v>0.1942171931601194</v>
      </c>
      <c r="E22" s="99">
        <v>0.1942171931601194</v>
      </c>
      <c r="F22" s="99">
        <v>0.1942171931601194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2.5897033999999999E-2</v>
      </c>
    </row>
    <row r="27" spans="1:8" ht="15.75" customHeight="1" x14ac:dyDescent="0.25">
      <c r="B27" s="19" t="s">
        <v>108</v>
      </c>
      <c r="C27" s="99">
        <v>7.1412350000000001E-3</v>
      </c>
    </row>
    <row r="28" spans="1:8" ht="15.75" customHeight="1" x14ac:dyDescent="0.25">
      <c r="B28" s="19" t="s">
        <v>122</v>
      </c>
      <c r="C28" s="99">
        <v>0.25594161900000001</v>
      </c>
    </row>
    <row r="29" spans="1:8" ht="15.75" customHeight="1" x14ac:dyDescent="0.25">
      <c r="B29" s="19" t="s">
        <v>105</v>
      </c>
      <c r="C29" s="99">
        <v>0.146367004</v>
      </c>
    </row>
    <row r="30" spans="1:8" ht="15.75" customHeight="1" x14ac:dyDescent="0.25">
      <c r="B30" s="19" t="s">
        <v>4</v>
      </c>
      <c r="C30" s="99">
        <v>1.7554395E-2</v>
      </c>
    </row>
    <row r="31" spans="1:8" ht="15.75" customHeight="1" x14ac:dyDescent="0.25">
      <c r="B31" s="19" t="s">
        <v>99</v>
      </c>
      <c r="C31" s="99">
        <v>1.8078031000000001E-2</v>
      </c>
    </row>
    <row r="32" spans="1:8" ht="15.75" customHeight="1" x14ac:dyDescent="0.25">
      <c r="B32" s="19" t="s">
        <v>104</v>
      </c>
      <c r="C32" s="99">
        <v>1.1440346000000001E-2</v>
      </c>
    </row>
    <row r="33" spans="2:3" ht="15.75" customHeight="1" x14ac:dyDescent="0.25">
      <c r="B33" s="19" t="s">
        <v>119</v>
      </c>
      <c r="C33" s="99">
        <v>0.15128762500000001</v>
      </c>
    </row>
    <row r="34" spans="2:3" ht="15.75" customHeight="1" x14ac:dyDescent="0.25">
      <c r="B34" s="19" t="s">
        <v>106</v>
      </c>
      <c r="C34" s="99">
        <v>0.36629271099999999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F0FXO7dRk0KpAkD0tpr6a8uJEOYojefpel62p540C2eQzg04YzCwWw5UeboMRb6YvacQ89V41EMyl1NO56S+Q==" saltValue="X7fWFtffW+YpD62CdAN9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129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125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126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138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szKg4vUJLLfv8cFA3nyyogK0rILMv9TrXqconHiCSbL6+14m+wU9M5VI2oyhQgq6yyg0TtSGOyttdS1S2T7yw==" saltValue="uOx86HPVmCdj4/uulqNI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1Om/XhtKHTJP6mIcUYfoTnj+iQyuY2cbb6NrihJEva63cqMSnvUVKjaxpOaV/WaNHE1a9oQarDc6FHWot6IoSA==" saltValue="fyeH6hO8qLDiLyrfMUVX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OyVjI0rkl0Ldan2TZnvxfSE5qIRzRja/g7ipiZcurm1T+5I0GaEkFCYEa7H/HHV9yjw3MCGQW/dnYtqodtEpA==" saltValue="hTlxl182WPO1Fmf9t25T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2688.3055009073801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0.40860999999999997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0.39543999999999996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1.5421000531693801E-2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96938.719570000001</v>
      </c>
      <c r="C22" s="107">
        <v>96592.95723</v>
      </c>
      <c r="D22" s="107">
        <v>96271.086960000001</v>
      </c>
      <c r="E22" s="107">
        <v>95953.980410000004</v>
      </c>
      <c r="F22" s="107">
        <v>95595.973689999999</v>
      </c>
      <c r="G22" s="107">
        <v>95180.252269999997</v>
      </c>
      <c r="H22" s="107">
        <v>94714.145340000003</v>
      </c>
      <c r="I22" s="107">
        <v>94085.984020000004</v>
      </c>
      <c r="J22" s="107">
        <v>93117.233439999996</v>
      </c>
      <c r="K22" s="107">
        <v>91579.037930000006</v>
      </c>
      <c r="L22" s="107">
        <v>88759.600539999999</v>
      </c>
      <c r="M22" s="107">
        <v>85058.565000000002</v>
      </c>
      <c r="N22" s="107">
        <v>79439.731530000005</v>
      </c>
      <c r="O22" s="107">
        <v>71636.774720000001</v>
      </c>
    </row>
  </sheetData>
  <sheetProtection algorithmName="SHA-512" hashValue="BwTLQ7C5yOGHuKjvy6loH2YewT1oKrO6wa010fVbPq34wc+aboe2aEBqzH6adBIK3Whqk+V7/ChCQ7azaqb6ww==" saltValue="sgv+1yGK5awKqquq7x2n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GStLuh3K5Ek9M3n0zHdspz7xbujFqU+xsLaBcP9l5cq4rUAO+mzwkdpkaBAqqEPH1wE+KcWdkjpBajpGESYrQ==" saltValue="6J08vmi38AzopWL39VQG3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bk3LN/zmTpGoQYoLBWfVW5tCAAYybA+fBq8ysWr7ez4HYJzh6th8iioQkZiIzyKInRlijWz/upcX2XiffQ6Kg==" saltValue="5ZWpD4a6ubA66t+VA4fU0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8.851070189484922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0.19283527130965261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0.45950000000000002</v>
      </c>
      <c r="C10" s="96">
        <v>0.95</v>
      </c>
      <c r="D10" s="56">
        <v>13.591732347475441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13.591732347475441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13.591732347475441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13.591732347475441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0.45950000000000002</v>
      </c>
      <c r="C14" s="96">
        <v>0.95</v>
      </c>
      <c r="D14" s="56">
        <v>13.591732347475441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13.591732347475441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1.31943922222222E-2</v>
      </c>
      <c r="C17" s="96">
        <v>0.95</v>
      </c>
      <c r="D17" s="56">
        <v>4.9725113424072598E-2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0.32600000000000001</v>
      </c>
      <c r="C18" s="96">
        <v>0.95</v>
      </c>
      <c r="D18" s="56">
        <v>8.851070189484922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0.59965789999999997</v>
      </c>
      <c r="C19" s="96">
        <v>0.95</v>
      </c>
      <c r="D19" s="56">
        <v>3.2163028334016039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8.851070189484922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4.4935547009666941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0.456700457953225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5.9759056444818865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0.72358090000000008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0.33847410000000011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2.8E-3</v>
      </c>
      <c r="C31" s="96">
        <v>0.95</v>
      </c>
      <c r="D31" s="56">
        <v>212.53756605284229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0.96</v>
      </c>
      <c r="C32" s="96">
        <v>0.95</v>
      </c>
      <c r="D32" s="56">
        <v>0.43509474246063523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0.61728539999999998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0.49194979999999999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6.1071800000000002E-2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0.14936920000000001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0.43</v>
      </c>
      <c r="C38" s="96">
        <v>0.95</v>
      </c>
      <c r="D38" s="56">
        <v>1.0566586602615426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UAQHGAuxzNhDcyEYsIE+4AxLy0MImi9eWnZ3AUGx0ca7n3Xcq4hJOpdKORJiifda2p+DSnnz3e6Z/xFse3O1tg==" saltValue="Ga/8yyEUz9dDEVainIg1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q7G0cPfd7A3rJuuJj32z/bsOTslbgqsQ4u3JerlVH5bxT4EaIIlP0NCEdZHBvHhWD2kMC0bwlVVA/KSaMWbSg==" saltValue="jA1YAs2lpJJXexk7xIWn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hlTPf73unS58uRNNSqP2ExryMQr56cNsQm/bOfVCAYK7IUxhB1OtYn+iO2c15FErOndSa/GA+RVNzDoL6x/Og==" saltValue="zd9YbBioolQR2L9F2inu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0.67600000000000005</v>
      </c>
      <c r="C2" s="21">
        <f>'Entradas de población-año base'!C52</f>
        <v>0.67600000000000005</v>
      </c>
      <c r="D2" s="21">
        <f>'Entradas de población-año base'!C53</f>
        <v>2.3140000000000001</v>
      </c>
      <c r="E2" s="21">
        <f>'Entradas de población-año base'!C54</f>
        <v>2.34</v>
      </c>
      <c r="F2" s="21">
        <f>'Entradas de población-año base'!C55</f>
        <v>0.754</v>
      </c>
    </row>
    <row r="3" spans="1:6" ht="15.75" customHeight="1" x14ac:dyDescent="0.25">
      <c r="A3" s="3" t="s">
        <v>6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236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yizYCcZZ2bHrfuEOUri4iWZMJoniwmJDnPbEqZiXB5KSUx79d+NhQLuvO9ccJiDR7OSWLxKaIpSRTTfrEiQdfA==" saltValue="2i0h45H5632DlEFiuPP6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woh5YO4LadAxrf2s12zSOM5PqVfMEn3kEjLqdLa+INgEnHudQyv3JyWgrzri3Qy8tuWey+c6lAbLxqebN1/Og==" saltValue="uFwRRrTl6/3l8aT9BKG5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HspLW88SkQfIPgam3BIzKi76WIzXN7ZpW6NBqu2COCSlYNTxscWbDZwCOTBjFYuGwZJ5TZb0lHD9nxxFnQ9+w==" saltValue="ChMqoaiNstMY28FBiLAJ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RQRpNdbT9TH65SADybE3RB4+OfPlv8e4PSPOcK1B3x4ukr4DE7idV23SeKGwYbRlyryxaIwlfQBDeJzaj5JCg==" saltValue="X5rWS508LsPGhfz+rIaX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rrwzxVMh7rphXORJzWtrzAPPAhja9adGkArj1C9wHeLOzBwap3W5ZGVLpZ6IP5OswUWEqEBPEGuNwzoovk9uw==" saltValue="zqKz4/K4gcwsH6qD72zq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O2mcL0g+oGtcnZJbKGNqrivMSUh4S1d7fiaCfwfvZ+/M/3ybB4d+CTurGjxPfLo/Rk6/+sVtmI/isPGQeay6DQ==" saltValue="Z8G9F4VaJPvjjUp7DLpj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JDRsURfuuMgAhnThnHpvoU0EJAMatcIDQQimKifgrNQn8FnWvYtOz9lS4RY4pohS1ffi1g1U+gqeXqJdBTMZw==" saltValue="GobpGo6KM35xbDQs2Wg+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qxC7jTZOa+hqpFH7JKB4QiPe+gNMD39xb+l9DLHJ0pgYaTIhwGUIeexP3TBaTEcudHWn7EDzgpVKPosNrqzTg==" saltValue="jtpnAMH3epQYOFL5/KvxG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zpU3bXbAcILxQlOrJhWBvyTzkQWghioLKcIjz2+c3EqL+M023SHmaW3E/TaOyHWmdfWdxxl5L6EbvB+zmK3gg==" saltValue="ceJg7GBk1jVjPaYqCOH7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apMeMZOgYgyYUyHfedJh5ZYkSBwXfl8DPMppVAMyXT5AFq1rKrZrzLfpN69G4tI9c0z/xvrXfNgw+39K6zGoQ==" saltValue="JQluFa3qX949FNHcwplD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v0YDgRTtZXv5TXVy6qmEhkcqrexh2oP3Z75gMD+RMwtyBlFpGeIw9mccVdoVFA78zCWYV2kcyB2pv6BF5KFxQ==" saltValue="5970+aybU5aXYFwzw2Yg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B11crpY5X9YgqnAqGg7Sxkn4AGW52T/4Xo30uGmHnRqwQpizlfFj9S6u5qpbDNzD3hz4eiPI/A1eu21F1D8aQ==" saltValue="+O34gp9n5b+49IlDvP9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dZA36cW3elTqnmiE0NSbRh1nNOYNxS/wnc4Wvk/OuWjaYZ1zYZqLyX54JBXtp7QGQI7SYowS8kJyraZP3gwxw==" saltValue="FCA/8CGidHRFa1q+VgWt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VduuEys6LgLuY9anuBw4fCHzp5PX4T0CV76LlYDyHK/FzQi5uAV0xiYlKh/TMk4PTrx0SY6hcVe1FiNzgr23Q==" saltValue="GZ8F0/GbTCwR4QXRA6sc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85oTvatJHYkoW4OlrIYkS2AE+GusJHDbnjywFvNspZgMM/rC6Xkpj5k6LKuYaFN0PyLoKCLZGdG4+9PyeySQA==" saltValue="izN0dqpFSkE2Mwa187Pz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QqVx5GQHJylwSliUhY4ovtEKafPLRIeO25m8cpVzjx5AqWzsGCY9IqXuy1A6Ilz101l8jyuv9MA+09d/qti7w==" saltValue="Q4ft9x+gP2uChs70NFMq+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2026-04-29T01:32:18Z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