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C147DEC-B622-4450-A2CB-8F9D3C3A8A6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15" i="2" l="1"/>
  <c r="A23" i="2"/>
  <c r="I3" i="2"/>
  <c r="I7" i="2"/>
  <c r="I11" i="2"/>
  <c r="A31" i="2"/>
  <c r="A16" i="2"/>
  <c r="A24" i="2"/>
  <c r="A32" i="2"/>
  <c r="A3" i="2"/>
  <c r="A39" i="2"/>
  <c r="A26" i="2"/>
  <c r="A19" i="2"/>
  <c r="A27" i="2"/>
  <c r="A35" i="2"/>
  <c r="A17" i="2"/>
  <c r="A33" i="2"/>
  <c r="A20" i="2"/>
  <c r="A28" i="2"/>
  <c r="A36" i="2"/>
  <c r="A25" i="2"/>
  <c r="A18" i="2"/>
  <c r="A34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<sst xmlns="http://schemas.openxmlformats.org/spreadsheetml/2006/main" count="2101" uniqueCount="341">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</sst>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4397300.34375</v>
      </c>
    </row>
    <row r="8" spans="1:3" ht="15" customHeight="1" x14ac:dyDescent="0.25">
      <c r="B8" s="5" t="s">
        <v>44</v>
      </c>
      <c r="C8" s="44">
        <v>0.13300000000000001</v>
      </c>
    </row>
    <row r="9" spans="1:3" ht="15" customHeight="1" x14ac:dyDescent="0.25">
      <c r="B9" s="5" t="s">
        <v>43</v>
      </c>
      <c r="C9" s="45">
        <v>0.98</v>
      </c>
    </row>
    <row r="10" spans="1:3" ht="15" customHeight="1" x14ac:dyDescent="0.25">
      <c r="B10" s="5" t="s">
        <v>56</v>
      </c>
      <c r="C10" s="45">
        <v>0.56591400146484405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8.5699999999999998E-2</v>
      </c>
    </row>
    <row r="24" spans="1:3" ht="15" customHeight="1" x14ac:dyDescent="0.25">
      <c r="B24" s="15" t="s">
        <v>46</v>
      </c>
      <c r="C24" s="45">
        <v>0.43590000000000001</v>
      </c>
    </row>
    <row r="25" spans="1:3" ht="15" customHeight="1" x14ac:dyDescent="0.25">
      <c r="B25" s="15" t="s">
        <v>47</v>
      </c>
      <c r="C25" s="45">
        <v>0.3957</v>
      </c>
    </row>
    <row r="26" spans="1:3" ht="15" customHeight="1" x14ac:dyDescent="0.25">
      <c r="B26" s="15" t="s">
        <v>48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0.27146440725940302</v>
      </c>
    </row>
    <row r="30" spans="1:3" ht="14.25" customHeight="1" x14ac:dyDescent="0.25">
      <c r="B30" s="25" t="s">
        <v>63</v>
      </c>
      <c r="C30" s="99">
        <v>3.0900048109988299E-2</v>
      </c>
    </row>
    <row r="31" spans="1:3" ht="14.25" customHeight="1" x14ac:dyDescent="0.25">
      <c r="B31" s="25" t="s">
        <v>10</v>
      </c>
      <c r="C31" s="99">
        <v>6.9419093990287797E-2</v>
      </c>
    </row>
    <row r="32" spans="1:3" ht="14.25" customHeight="1" x14ac:dyDescent="0.25">
      <c r="B32" s="25" t="s">
        <v>11</v>
      </c>
      <c r="C32" s="99">
        <v>0.62821645064032094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22.823730000000001</v>
      </c>
    </row>
    <row r="38" spans="1:5" ht="15" customHeight="1" x14ac:dyDescent="0.25">
      <c r="B38" s="11" t="s">
        <v>35</v>
      </c>
      <c r="C38" s="43">
        <v>32.582920000000001</v>
      </c>
      <c r="D38" s="12"/>
      <c r="E38" s="13"/>
    </row>
    <row r="39" spans="1:5" ht="15" customHeight="1" x14ac:dyDescent="0.25">
      <c r="B39" s="11" t="s">
        <v>61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6.8689999999999992E-3</v>
      </c>
      <c r="D45" s="12"/>
    </row>
    <row r="46" spans="1:5" ht="15.75" customHeight="1" x14ac:dyDescent="0.25">
      <c r="B46" s="11" t="s">
        <v>51</v>
      </c>
      <c r="C46" s="45">
        <v>7.3128600000000002E-2</v>
      </c>
      <c r="D46" s="12"/>
    </row>
    <row r="47" spans="1:5" ht="15.75" customHeight="1" x14ac:dyDescent="0.25">
      <c r="B47" s="11" t="s">
        <v>59</v>
      </c>
      <c r="C47" s="45">
        <v>0.2015941</v>
      </c>
      <c r="D47" s="12"/>
      <c r="E47" s="13"/>
    </row>
    <row r="48" spans="1:5" ht="15" customHeight="1" x14ac:dyDescent="0.25">
      <c r="B48" s="11" t="s">
        <v>58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0.39087600000000011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eZmSyDEv2IjotREe59NKQKXlzrpz6Q5KyolwO07LsMA6M7b0RNmwIseEjo1So5A/LVD5ccCPaiOyNkINSU6CTw==" saltValue="1LnyNT4yv3zoR1XOs1aC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wf7+m+j4uQBQWSq5oLIBL0mkfRCg3LGQjPXao+bLheNJpPKdnQyGKKxz0Y4t+BEHH9X8W/eu1qY5fqHvD5JyQ==" saltValue="Zrax/6vXE4bJUPjwqsn2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9.4482999999999841E-3</v>
      </c>
    </row>
    <row r="4" spans="1:8" ht="15.75" customHeight="1" x14ac:dyDescent="0.25">
      <c r="B4" s="19" t="s">
        <v>97</v>
      </c>
      <c r="C4" s="101">
        <v>6.0587099999999838E-2</v>
      </c>
    </row>
    <row r="5" spans="1:8" ht="15.75" customHeight="1" x14ac:dyDescent="0.25">
      <c r="B5" s="19" t="s">
        <v>95</v>
      </c>
      <c r="C5" s="101">
        <v>8.0444099999999921E-2</v>
      </c>
    </row>
    <row r="6" spans="1:8" ht="15.75" customHeight="1" x14ac:dyDescent="0.25">
      <c r="B6" s="19" t="s">
        <v>91</v>
      </c>
      <c r="C6" s="101">
        <v>0.24506110000000039</v>
      </c>
    </row>
    <row r="7" spans="1:8" ht="15.75" customHeight="1" x14ac:dyDescent="0.25">
      <c r="B7" s="19" t="s">
        <v>96</v>
      </c>
      <c r="C7" s="101">
        <v>0.41408430000000013</v>
      </c>
    </row>
    <row r="8" spans="1:8" ht="15.75" customHeight="1" x14ac:dyDescent="0.25">
      <c r="B8" s="19" t="s">
        <v>98</v>
      </c>
      <c r="C8" s="101">
        <v>1.210499999999998E-3</v>
      </c>
    </row>
    <row r="9" spans="1:8" ht="15.75" customHeight="1" x14ac:dyDescent="0.25">
      <c r="B9" s="19" t="s">
        <v>92</v>
      </c>
      <c r="C9" s="101">
        <v>7.320219999999994E-2</v>
      </c>
    </row>
    <row r="10" spans="1:8" ht="15.75" customHeight="1" x14ac:dyDescent="0.25">
      <c r="B10" s="19" t="s">
        <v>94</v>
      </c>
      <c r="C10" s="101">
        <v>0.1159623999999998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102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2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90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3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101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79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99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6.6578172000000005E-2</v>
      </c>
    </row>
    <row r="27" spans="1:8" ht="15.75" customHeight="1" x14ac:dyDescent="0.25">
      <c r="B27" s="19" t="s">
        <v>89</v>
      </c>
      <c r="C27" s="101">
        <v>4.9825570000000003E-3</v>
      </c>
    </row>
    <row r="28" spans="1:8" ht="15.75" customHeight="1" x14ac:dyDescent="0.25">
      <c r="B28" s="19" t="s">
        <v>103</v>
      </c>
      <c r="C28" s="101">
        <v>0.12458364500000001</v>
      </c>
    </row>
    <row r="29" spans="1:8" ht="15.75" customHeight="1" x14ac:dyDescent="0.25">
      <c r="B29" s="19" t="s">
        <v>86</v>
      </c>
      <c r="C29" s="101">
        <v>0.123203627</v>
      </c>
    </row>
    <row r="30" spans="1:8" ht="15.75" customHeight="1" x14ac:dyDescent="0.25">
      <c r="B30" s="19" t="s">
        <v>4</v>
      </c>
      <c r="C30" s="101">
        <v>8.5390918999999996E-2</v>
      </c>
    </row>
    <row r="31" spans="1:8" ht="15.75" customHeight="1" x14ac:dyDescent="0.25">
      <c r="B31" s="19" t="s">
        <v>80</v>
      </c>
      <c r="C31" s="101">
        <v>0.13704649199999999</v>
      </c>
    </row>
    <row r="32" spans="1:8" ht="15.75" customHeight="1" x14ac:dyDescent="0.25">
      <c r="B32" s="19" t="s">
        <v>85</v>
      </c>
      <c r="C32" s="101">
        <v>1.3877614E-2</v>
      </c>
    </row>
    <row r="33" spans="2:3" ht="15.75" customHeight="1" x14ac:dyDescent="0.25">
      <c r="B33" s="19" t="s">
        <v>100</v>
      </c>
      <c r="C33" s="101">
        <v>0.162878947</v>
      </c>
    </row>
    <row r="34" spans="2:3" ht="15.75" customHeight="1" x14ac:dyDescent="0.25">
      <c r="B34" s="19" t="s">
        <v>87</v>
      </c>
      <c r="C34" s="101">
        <v>0.281458027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WjQbvwkjPKXeogS96pMj4UJuDH81CORDxyyQTCzdbgtgHFenUJLViXHcVQ0KXfQrdM+t8Elz6qSoUt2eKzP25g==" saltValue="kw6PPaX5AYqYoBogTjh+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110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106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107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119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cqIKC3PVYPCVmiI8SP7MGUwBB2EdabSWpR3srcHJApsdslwbOSBzrIU/zHh/ib0WQAfz1iEkoBbT7+6Oz4e9Q==" saltValue="9VNr+G3ZiUqAA6skkKpV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125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yOMpNU4WbmmXdxAzOfsPHrUkqiF3rZoBC6DeR15a28mtRxKsout2ARk1Vy781NN9cquVU3Y6TdQezQRelrW6wQ==" saltValue="OTFRBfAf9PqRahYzQuIX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rX00OaYXkouaCP1JWRga1x9Arzet5mu8WN7qpSpTqJJAUE5V/qrfIGJmO19OfS397Hyh+3euZ6szjCdLfrpww==" saltValue="0ipdJkPxpTowQsStE2kS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zXzy4LTtn9/DSkcFiBr2AIFnhBZNt5IjfPrnNASPXsSVF40mNU28hiIje88CR4ilJM51jF7wJ2EtqgF2o0hWA==" saltValue="STp2F3wJh9b1EhegQVBH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Hra8Ny30onVw4D8b918ooBaBSodOfbnv/pb620Gbv9no9bt+USHlMY+x+TGizIClRSRGFl6eULWSkW+6r7jLA==" saltValue="ib3BM1b/ZKrWt5DYRzv2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t+EM1fc5hAExpHSqPbqXttDrK1yzXI+J8M39O3boLgOxgvJgevXIYZcpGKYLA4PuiC6scg8I5HR95isJ5NR8CQ==" saltValue="AqurmZi6apZ4aPIYNinK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32.139211884942107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0.5249617017576077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0.16283867355037329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0.5936245</v>
      </c>
      <c r="C10" s="98">
        <v>0.95</v>
      </c>
      <c r="D10" s="56">
        <v>13.61384665422082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13.61384665422082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13.61384665422082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13.61384665422082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0.5936245</v>
      </c>
      <c r="C14" s="98">
        <v>0.95</v>
      </c>
      <c r="D14" s="56">
        <v>13.61384665422082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13.61384665422082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0.79167399999999999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0.28066999999999998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0.56399999999999995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0.38182569999999999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0.7480929999999999</v>
      </c>
      <c r="C23" s="98">
        <v>0.95</v>
      </c>
      <c r="D23" s="56">
        <v>4.5073761426825563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0.58759262855713601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0.5936245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0.47842659999999998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0.25902579999999997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0.35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0.41689389999999998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0.23128789999999999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3.4973999999999999E-3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0.5667259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0.24299999999999999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jAoWN026ygWi0G306f5JytWmJdkeGE+spmqyoTODcbxqXKfgK5AqcEAGxi+27aQzYoa/t9CAl80ORqkdsY2eJw==" saltValue="VS6gxyjIy5JHojcXu/I+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b1ZM4hHnEv04ysVCEWrxrmNAskPVq4rFEGDmL9nnoES/2VuuGw7sx5x+dRaYwGa8wkLhRtKMM3PqJ25Ni5G7w==" saltValue="ZkYuVFvprdmBwvvGXlLE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l/LzkmKIJXWl0+ZIbkFxLkmmPSyaFiLuY6NcABpxeWiog0qTNRHkEwLkMPYTBn/6iX5llWwazfr4uGedT5ciQ==" saltValue="ZuPLJXEl7RBWBI0V98D9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207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2Ip7huPb4QQjrJota9DPghh4GvXo3vQVVbenlgh87OjMhIfw8pn0Fx1xJhLNCq10dIpZKHyHHfWWzu0bVSRYKg==" saltValue="JZWnbIRmapXly7Kepd60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DIwLBm9T4Mw4ICa5nq3rFIcivss4BUDeAzQbdogCE/Lz6kaJMF2uSVNYVPoRPF7bDirEd+nlR0KN0Gcd78Agg==" saltValue="UYeGDU9iCR/aV818bwxi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pJJUTxhi4E1S6iwD4quIGBa8VOrrK84TmeDMeUYEMTjykXQVhHHWy0w4xrakdJkx5kub+/j/AxY1PN6XtyPFA==" saltValue="i3rDItCmuArIw0Ix1CGG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W0UMQmLubLiHiMKUvMMJeuNC+5Vl+A8+yh5ys8XU10tPENn/ZRyLfxK543geDXqQCQH6bJQ55c3toO7V81SGw==" saltValue="ki0zGwCg7anuOz3NLFCk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Wrnyi/0ZDPFaw34FzdnoKpTZcZ/V19qFVwnJvMrBTeki2ehRbv0aaV1L2dY6+yuFU0wWCyqlaHF0rkmEWogmQ==" saltValue="iTBazwU4rpP/vlkAg89d3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WgchF1z8QSOHDc95ULWJCeQ+tWnUcss6QMT0eiT7hGuVt+01WAMwI7WQhO2PEmQhozWbN52G1bc5QyZJLXN2Q==" saltValue="y3VWHd6OdRI5r/ZpIz8N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85d7earMoyeaD/NOg4bQg04XopHq+GLsCA/ViNdNj7YclR72PujuqGk+hBSWu9hcipPh4Wl2CGLyG10Nb8SsRw==" saltValue="gYfKKr58MdGBM7Huv29H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F+5dk/BVYGISDa50piHqC6iejqkOWmSk/2Eijd9dy5QNbMz6c2vbeE3rqxNEQOoUAsmaX9wk6HHqmjIWfmueQ==" saltValue="rV01CPxwOGeHvguAuvtw3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/ZtaRkWluVkPev9EH8RnB0GD1W2GBfH6N/7H75Z9kaStLsnbMUq+hoowOeaUgjvOKut7Bap/HKldZ9LUrZN+Q==" saltValue="W0VEuj2ePJRs5yjlaNCa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g18zRvw8GT3IkbWo+ampiZ0APYPhHBUK/L1UpVXHO4ZSlCO47Gfz49mX4Ug2Rx18WAT/W8whwRPIzXcBbbkJg==" saltValue="6ZcpciybOcB/c0DHAkhx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K2G1mfLIXNZMPhkWb2LVsOHcowBZN1waLVICI6clDmH4YRD8F65c+tScSQT/kzDMiO0xjUD+PisBzErbAKi1A==" saltValue="gjxZejfFq5Ya9F7CFIDU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JbnRkunmFkbMG6Sys56jHYkOvu++K+6MKXvv3rxmYulN2Jq34Qg1SoDb4GcheAfEKL8pk53dg1ZVTNYZkTm6Q==" saltValue="3Hmo0jDgoeT0JL6MZRco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0xukcPGXwBbcLKDb1EzD9kId3WC2yTPcNKHauEANrg+Q8FDj4ljcXqzcgV3wyHUyPCo3Lh4tSms8LrH12RDvw==" saltValue="Qg9UbWdx+ruYbDqEzTIF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pbCGcKdDv0EKZg5b7KEPcpYi2882O80Q+e6efSz5QxF3HUxlNxcYOUlP2upGfqevTlij+Cn8gjpnhwPjGPGgQ==" saltValue="/2BKvvaQjkHF3Ava68rc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0.10737709006275309</v>
      </c>
      <c r="G18" s="90">
        <f>MIN(MAX(1-0.89/(1-frac_sam_12_23months+(frac_sam_12_23months*0.89)),0),1)</f>
        <v>0.10823370435944735</v>
      </c>
      <c r="H18" s="90">
        <f>MIN(MAX(1-0.89/(1-frac_sam_24_59months+(frac_sam_24_59months*0.89)),0),1)</f>
        <v>0.10979462694982123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9.7859182842976455E-2</v>
      </c>
      <c r="G20" s="90">
        <f>MIN(MAX(1-0.89/(1-frac_mam_12_23months+(frac_mam_12_23months*0.89)),0),1)</f>
        <v>0.10169662346766428</v>
      </c>
      <c r="H20" s="90">
        <f>MIN(MAX(1-0.89/(1-frac_mam_24_59months+(frac_mam_24_59months*0.89)),0),1)</f>
        <v>0.10675790456878054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9.7354706362711152E-3</v>
      </c>
      <c r="G73" s="90">
        <f>MIN(MAX(1-0.99/(1-frac_sam_12_23months+(frac_sam_12_23months*0.99)),0),1)</f>
        <v>9.8217075064753745E-3</v>
      </c>
      <c r="H73" s="90">
        <f>MIN(MAX(1-0.99/(1-frac_sam_24_59months+(frac_sam_24_59months*0.99)),0),1)</f>
        <v>9.9792362945229085E-3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8.7873157095952337E-3</v>
      </c>
      <c r="G75" s="90">
        <f>MIN(MAX(1-0.99/(1-frac_mam_12_23months+(frac_mam_12_23months*0.99)),0),1)</f>
        <v>9.1673944440578969E-3</v>
      </c>
      <c r="H75" s="90">
        <f>MIN(MAX(1-0.99/(1-frac_mam_24_59months+(frac_mam_24_59months*0.99)),0),1)</f>
        <v>9.6732297982506932E-3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0.19570296264824449</v>
      </c>
      <c r="G128" s="90">
        <f>MIN(MAX(1-0.8/(1-frac_sam_12_23months+(frac_sam_12_23months*0.8)),0),1)</f>
        <v>0.19710861147381165</v>
      </c>
      <c r="H128" s="90">
        <f>MIN(MAX(1-0.8/(1-frac_sam_24_59months+(frac_sam_24_59months*0.8)),0),1)</f>
        <v>0.19966429118357987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0.1799340523466546</v>
      </c>
      <c r="G130" s="90">
        <f>MIN(MAX(1-0.8/(1-frac_mam_12_23months+(frac_mam_12_23months*0.8)),0),1)</f>
        <v>0.18632523544543833</v>
      </c>
      <c r="H130" s="90">
        <f>MIN(MAX(1-0.8/(1-frac_mam_24_59months+(frac_mam_24_59months*0.8)),0),1)</f>
        <v>0.19468553658042298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Hg0Bk1tRkzAPA5EswJtzcZ7FPvMe0TNdUktmut6fooaXvgm79nd9jJHQcI8BYBs+eeXgTAujDaD3MGv1yDNVg==" saltValue="ZtDfGkAgEc8ZPSsbu8/M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g/fnjmwKecU0caFmdy90PN5xH9TWc2+Hk52K2HKkz5SDOROhcb4bSsYyQ0dvL4TYKubpcEc03T2+Jl6jXzYsQ==" saltValue="CKIyynbDfe4IP+3ShmwTK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2024-08-06T07:38:40Z</dcterms:modified>
</cp:coreProperties>
</file>