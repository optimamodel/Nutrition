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9F57FB6-29CC-4C4B-90F6-1CC9629DAC6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<sst xmlns="http://schemas.openxmlformats.org/spreadsheetml/2006/main" count="2169" uniqueCount="373">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</sst>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4249501</v>
      </c>
    </row>
    <row r="8" spans="1:3" ht="15" customHeight="1" x14ac:dyDescent="0.25">
      <c r="B8" s="5" t="s">
        <v>63</v>
      </c>
      <c r="C8" s="44">
        <v>0.38300000000000001</v>
      </c>
    </row>
    <row r="9" spans="1:3" ht="15" customHeight="1" x14ac:dyDescent="0.25">
      <c r="B9" s="5" t="s">
        <v>62</v>
      </c>
      <c r="C9" s="45">
        <v>0.98</v>
      </c>
    </row>
    <row r="10" spans="1:3" ht="15" customHeight="1" x14ac:dyDescent="0.25">
      <c r="B10" s="5" t="s">
        <v>75</v>
      </c>
      <c r="C10" s="45">
        <v>0.51394300000000004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8.5699999999999998E-2</v>
      </c>
    </row>
    <row r="24" spans="1:3" ht="15" customHeight="1" x14ac:dyDescent="0.25">
      <c r="B24" s="15" t="s">
        <v>65</v>
      </c>
      <c r="C24" s="45">
        <v>0.43590000000000001</v>
      </c>
    </row>
    <row r="25" spans="1:3" ht="15" customHeight="1" x14ac:dyDescent="0.25">
      <c r="B25" s="15" t="s">
        <v>66</v>
      </c>
      <c r="C25" s="45">
        <v>0.3957</v>
      </c>
    </row>
    <row r="26" spans="1:3" ht="15" customHeight="1" x14ac:dyDescent="0.25">
      <c r="B26" s="15" t="s">
        <v>67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0.27146440725940302</v>
      </c>
    </row>
    <row r="30" spans="1:3" ht="14.25" customHeight="1" x14ac:dyDescent="0.25">
      <c r="B30" s="25" t="s">
        <v>82</v>
      </c>
      <c r="C30" s="97">
        <v>3.0900048109988299E-2</v>
      </c>
    </row>
    <row r="31" spans="1:3" ht="14.25" customHeight="1" x14ac:dyDescent="0.25">
      <c r="B31" s="25" t="s">
        <v>29</v>
      </c>
      <c r="C31" s="97">
        <v>6.9419093990287797E-2</v>
      </c>
    </row>
    <row r="32" spans="1:3" ht="14.25" customHeight="1" x14ac:dyDescent="0.25">
      <c r="B32" s="25" t="s">
        <v>30</v>
      </c>
      <c r="C32" s="97">
        <v>0.62821645064032094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22.823730000000001</v>
      </c>
    </row>
    <row r="38" spans="1:5" ht="15" customHeight="1" x14ac:dyDescent="0.25">
      <c r="B38" s="11" t="s">
        <v>54</v>
      </c>
      <c r="C38" s="43">
        <v>32.582920000000001</v>
      </c>
      <c r="D38" s="12"/>
      <c r="E38" s="13"/>
    </row>
    <row r="39" spans="1:5" ht="15" customHeight="1" x14ac:dyDescent="0.25">
      <c r="B39" s="11" t="s">
        <v>80</v>
      </c>
      <c r="C39" s="43">
        <v>43.974519999999998</v>
      </c>
      <c r="D39" s="12"/>
      <c r="E39" s="12"/>
    </row>
    <row r="40" spans="1:5" ht="15" customHeight="1" x14ac:dyDescent="0.25">
      <c r="B40" s="11" t="s">
        <v>55</v>
      </c>
      <c r="C40" s="98">
        <v>2.63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6.8689999999999992E-3</v>
      </c>
      <c r="D45" s="12"/>
    </row>
    <row r="46" spans="1:5" ht="15.75" customHeight="1" x14ac:dyDescent="0.25">
      <c r="B46" s="11" t="s">
        <v>70</v>
      </c>
      <c r="C46" s="45">
        <v>7.3128600000000002E-2</v>
      </c>
      <c r="D46" s="12"/>
    </row>
    <row r="47" spans="1:5" ht="15.75" customHeight="1" x14ac:dyDescent="0.25">
      <c r="B47" s="11" t="s">
        <v>78</v>
      </c>
      <c r="C47" s="45">
        <v>0.2015941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2.4180000000000001</v>
      </c>
      <c r="D51" s="12"/>
    </row>
    <row r="52" spans="1:4" ht="15" customHeight="1" x14ac:dyDescent="0.25">
      <c r="B52" s="11" t="s">
        <v>32</v>
      </c>
      <c r="C52" s="98">
        <v>2.4180000000000001</v>
      </c>
    </row>
    <row r="53" spans="1:4" ht="15.75" customHeight="1" x14ac:dyDescent="0.25">
      <c r="B53" s="11" t="s">
        <v>35</v>
      </c>
      <c r="C53" s="98">
        <v>4.3680000000000003</v>
      </c>
    </row>
    <row r="54" spans="1:4" ht="15.75" customHeight="1" x14ac:dyDescent="0.25">
      <c r="B54" s="11" t="s">
        <v>33</v>
      </c>
      <c r="C54" s="98">
        <v>4.992</v>
      </c>
    </row>
    <row r="55" spans="1:4" ht="15.75" customHeight="1" x14ac:dyDescent="0.25">
      <c r="B55" s="11" t="s">
        <v>34</v>
      </c>
      <c r="C55" s="98">
        <v>2.6173333333333328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0.39087600000000011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dS2GLQvQWEKMpysII+zTCXYbjA7wJYp7z2/GbezMkauUngyRyLySJc/p83YMTiXNu1MDMe44uirks+L6rykDhw==" saltValue="KTdi+glWfLYvQuG3CLTd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S1QSwRBdJ1qpOu83xLrdDxlEfn8Lm23yE+sVr3yzws3AT/wkJQZW8VvxxXxNaRVSoHTifFMXOBmBylzdqvFXA==" saltValue="Ca9U7QsucVC/WtCj4bgc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9.4482999999999841E-3</v>
      </c>
    </row>
    <row r="4" spans="1:8" ht="15.75" customHeight="1" x14ac:dyDescent="0.25">
      <c r="B4" s="19" t="s">
        <v>116</v>
      </c>
      <c r="C4" s="99">
        <v>6.0587099999999838E-2</v>
      </c>
    </row>
    <row r="5" spans="1:8" ht="15.75" customHeight="1" x14ac:dyDescent="0.25">
      <c r="B5" s="19" t="s">
        <v>114</v>
      </c>
      <c r="C5" s="99">
        <v>8.0444099999999921E-2</v>
      </c>
    </row>
    <row r="6" spans="1:8" ht="15.75" customHeight="1" x14ac:dyDescent="0.25">
      <c r="B6" s="19" t="s">
        <v>110</v>
      </c>
      <c r="C6" s="99">
        <v>0.24506110000000039</v>
      </c>
    </row>
    <row r="7" spans="1:8" ht="15.75" customHeight="1" x14ac:dyDescent="0.25">
      <c r="B7" s="19" t="s">
        <v>115</v>
      </c>
      <c r="C7" s="99">
        <v>0.41408430000000013</v>
      </c>
    </row>
    <row r="8" spans="1:8" ht="15.75" customHeight="1" x14ac:dyDescent="0.25">
      <c r="B8" s="19" t="s">
        <v>117</v>
      </c>
      <c r="C8" s="99">
        <v>1.210499999999998E-3</v>
      </c>
    </row>
    <row r="9" spans="1:8" ht="15.75" customHeight="1" x14ac:dyDescent="0.25">
      <c r="B9" s="19" t="s">
        <v>111</v>
      </c>
      <c r="C9" s="99">
        <v>7.320219999999994E-2</v>
      </c>
    </row>
    <row r="10" spans="1:8" ht="15.75" customHeight="1" x14ac:dyDescent="0.25">
      <c r="B10" s="19" t="s">
        <v>113</v>
      </c>
      <c r="C10" s="99">
        <v>0.1159623999999998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121</v>
      </c>
      <c r="C15" s="99">
        <v>0.1525436960829033</v>
      </c>
      <c r="D15" s="99">
        <v>0.1525436960829033</v>
      </c>
      <c r="E15" s="99">
        <v>0.1525436960829033</v>
      </c>
      <c r="F15" s="99">
        <v>0.1525436960829033</v>
      </c>
    </row>
    <row r="16" spans="1:8" ht="15.75" customHeight="1" x14ac:dyDescent="0.25">
      <c r="B16" s="19" t="s">
        <v>2</v>
      </c>
      <c r="C16" s="99">
        <v>1.9379345713266979E-2</v>
      </c>
      <c r="D16" s="99">
        <v>1.9379345713266979E-2</v>
      </c>
      <c r="E16" s="99">
        <v>1.9379345713266979E-2</v>
      </c>
      <c r="F16" s="99">
        <v>1.9379345713266979E-2</v>
      </c>
    </row>
    <row r="17" spans="1:8" ht="15.75" customHeight="1" x14ac:dyDescent="0.25">
      <c r="B17" s="19" t="s">
        <v>109</v>
      </c>
      <c r="C17" s="99">
        <v>7.0679873364541653E-3</v>
      </c>
      <c r="D17" s="99">
        <v>7.0679873364541653E-3</v>
      </c>
      <c r="E17" s="99">
        <v>7.0679873364541653E-3</v>
      </c>
      <c r="F17" s="99">
        <v>7.0679873364541653E-3</v>
      </c>
    </row>
    <row r="18" spans="1:8" ht="15.75" customHeight="1" x14ac:dyDescent="0.25">
      <c r="B18" s="19" t="s">
        <v>3</v>
      </c>
      <c r="C18" s="99">
        <v>0.22238897098278571</v>
      </c>
      <c r="D18" s="99">
        <v>0.22238897098278571</v>
      </c>
      <c r="E18" s="99">
        <v>0.22238897098278571</v>
      </c>
      <c r="F18" s="99">
        <v>0.22238897098278571</v>
      </c>
    </row>
    <row r="19" spans="1:8" ht="15.75" customHeight="1" x14ac:dyDescent="0.25">
      <c r="B19" s="19" t="s">
        <v>120</v>
      </c>
      <c r="C19" s="99">
        <v>3.3325376474692817E-2</v>
      </c>
      <c r="D19" s="99">
        <v>3.3325376474692817E-2</v>
      </c>
      <c r="E19" s="99">
        <v>3.3325376474692817E-2</v>
      </c>
      <c r="F19" s="99">
        <v>3.3325376474692817E-2</v>
      </c>
    </row>
    <row r="20" spans="1:8" ht="15.75" customHeight="1" x14ac:dyDescent="0.25">
      <c r="B20" s="19" t="s">
        <v>98</v>
      </c>
      <c r="C20" s="99">
        <v>0.1144476671113132</v>
      </c>
      <c r="D20" s="99">
        <v>0.1144476671113132</v>
      </c>
      <c r="E20" s="99">
        <v>0.1144476671113132</v>
      </c>
      <c r="F20" s="99">
        <v>0.1144476671113132</v>
      </c>
    </row>
    <row r="21" spans="1:8" ht="15.75" customHeight="1" x14ac:dyDescent="0.25">
      <c r="B21" s="19" t="s">
        <v>107</v>
      </c>
      <c r="C21" s="99">
        <v>0.13423673221728019</v>
      </c>
      <c r="D21" s="99">
        <v>0.13423673221728019</v>
      </c>
      <c r="E21" s="99">
        <v>0.13423673221728019</v>
      </c>
      <c r="F21" s="99">
        <v>0.13423673221728019</v>
      </c>
    </row>
    <row r="22" spans="1:8" ht="15.75" customHeight="1" x14ac:dyDescent="0.25">
      <c r="B22" s="19" t="s">
        <v>118</v>
      </c>
      <c r="C22" s="99">
        <v>0.1947906626679525</v>
      </c>
      <c r="D22" s="99">
        <v>0.1947906626679525</v>
      </c>
      <c r="E22" s="99">
        <v>0.1947906626679525</v>
      </c>
      <c r="F22" s="99">
        <v>0.1947906626679525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6.6578172000000005E-2</v>
      </c>
    </row>
    <row r="27" spans="1:8" ht="15.75" customHeight="1" x14ac:dyDescent="0.25">
      <c r="B27" s="19" t="s">
        <v>108</v>
      </c>
      <c r="C27" s="99">
        <v>4.9825570000000003E-3</v>
      </c>
    </row>
    <row r="28" spans="1:8" ht="15.75" customHeight="1" x14ac:dyDescent="0.25">
      <c r="B28" s="19" t="s">
        <v>122</v>
      </c>
      <c r="C28" s="99">
        <v>0.12458364500000001</v>
      </c>
    </row>
    <row r="29" spans="1:8" ht="15.75" customHeight="1" x14ac:dyDescent="0.25">
      <c r="B29" s="19" t="s">
        <v>105</v>
      </c>
      <c r="C29" s="99">
        <v>0.123203627</v>
      </c>
    </row>
    <row r="30" spans="1:8" ht="15.75" customHeight="1" x14ac:dyDescent="0.25">
      <c r="B30" s="19" t="s">
        <v>4</v>
      </c>
      <c r="C30" s="99">
        <v>8.5390918999999996E-2</v>
      </c>
    </row>
    <row r="31" spans="1:8" ht="15.75" customHeight="1" x14ac:dyDescent="0.25">
      <c r="B31" s="19" t="s">
        <v>99</v>
      </c>
      <c r="C31" s="99">
        <v>0.13704649199999999</v>
      </c>
    </row>
    <row r="32" spans="1:8" ht="15.75" customHeight="1" x14ac:dyDescent="0.25">
      <c r="B32" s="19" t="s">
        <v>104</v>
      </c>
      <c r="C32" s="99">
        <v>1.3877614E-2</v>
      </c>
    </row>
    <row r="33" spans="2:3" ht="15.75" customHeight="1" x14ac:dyDescent="0.25">
      <c r="B33" s="19" t="s">
        <v>119</v>
      </c>
      <c r="C33" s="99">
        <v>0.162878947</v>
      </c>
    </row>
    <row r="34" spans="2:3" ht="15.75" customHeight="1" x14ac:dyDescent="0.25">
      <c r="B34" s="19" t="s">
        <v>106</v>
      </c>
      <c r="C34" s="99">
        <v>0.281458027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B7tEOiKbKGFlnA+Pclt6y+QxWJJOHBgzoCnQNf2YYQ8V3QiK29udBAiU/5Q9R/dbM/ZMJ9J9m/EsyrFpoRQtQ==" saltValue="ORb2bcYrBIvYd9xf5etYP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129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125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126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138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vpnRwGmRMxDe+0tMa19dwxEj8/FeV5/62OeOcYuix0x0i/dRk88onXN0g6UkH+LkAufWhDo4ilBlZH+JwCwzQ==" saltValue="gsjgLJWy3w2eXjcjKCm9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qJ3fZO/yxLp3fEnP3zfQysTuXSPqjXMCC3EmcDWbM/AFR2eKgq4ckuXchHGGc8Wr0xpY5wXcmKMuyWoHd2e4Lw==" saltValue="zmRNiRvt2vEHsk1PEN3g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6mWLqjT3N2Sc3yEB9AeMWda1p1sjIKuYXZep8LZyuekXzG5ru/ShgmZRAUfiZd8zBip8OUbajU2357N1C2auQ==" saltValue="fuCDV0pT2QMnO2KScN7Hz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2203.5589351830299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0.43444000000000005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0.67138000000000009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1.8898219911506978E-2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95359.817079999993</v>
      </c>
      <c r="C22" s="107">
        <v>94789.126390000005</v>
      </c>
      <c r="D22" s="107">
        <v>94341.435490000003</v>
      </c>
      <c r="E22" s="107">
        <v>93747.501260000005</v>
      </c>
      <c r="F22" s="107">
        <v>92936.389540000004</v>
      </c>
      <c r="G22" s="107">
        <v>91950.157709999999</v>
      </c>
      <c r="H22" s="107">
        <v>90634.840890000007</v>
      </c>
      <c r="I22" s="107">
        <v>88818.978730000003</v>
      </c>
      <c r="J22" s="107">
        <v>86286.058080000003</v>
      </c>
      <c r="K22" s="107">
        <v>82950.622090000004</v>
      </c>
      <c r="L22" s="107">
        <v>78448.747640000001</v>
      </c>
      <c r="M22" s="107">
        <v>72602.058780000007</v>
      </c>
      <c r="N22" s="107">
        <v>64679.092329999999</v>
      </c>
      <c r="O22" s="107">
        <v>54745.002439999997</v>
      </c>
    </row>
  </sheetData>
  <sheetProtection algorithmName="SHA-512" hashValue="7veIwc3+EWCSU5h45aSftD5NoijuMF5N7Xy8T4i4x2S0ND3gLsoxi7bBlsQqiQbEKY8Yt8SkRuCve/SIcZUwwg==" saltValue="bbmjOwqkucpY/g+PcAyO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tdk1UeCbJ2QmJUc6E4iVN1e2x+533X9yk8SLGJstkjCX7XJdaJMAer6Ux/LZUM7C9uk1+EtzNSzQd4g8XEzdg==" saltValue="HnzGmj9m/H1WnPt8MqIt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kpu9lnjWN1a7hkPAIM9DYDF3qAQUmzTLkI9g/gSJnXnC/WJZ/MIAx8Xryr/uqfaEeG7dajIYXwtotXUFVf/pw==" saltValue="Wmzn46eVhnZQcBXPigGG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7.7133394664213428E-2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0.5936245</v>
      </c>
      <c r="C10" s="96">
        <v>0.95</v>
      </c>
      <c r="D10" s="56">
        <v>13.61384665422082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13.61384665422082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13.61384665422082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13.61384665422082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0.5936245</v>
      </c>
      <c r="C14" s="96">
        <v>0.95</v>
      </c>
      <c r="D14" s="56">
        <v>13.61384665422082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13.61384665422082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0.79167399999999999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0.28066999999999998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0.38182569999999999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0.7480929999999999</v>
      </c>
      <c r="C23" s="96">
        <v>0.95</v>
      </c>
      <c r="D23" s="56">
        <v>4.5073761426825563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0.58759262855713601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0.5936245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0.47842659999999998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0.25902579999999997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0.41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0.41689387992765697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0.23128789999999999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3.4973999999999999E-3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0.5667259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0.24299999999999999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GLE645rCr6Ig86NF4Ne9an8Vg0A3MrDioEmr/9gWxnwWsaYpDZ+lai6ywLXHUHAIhxWGs8yFi6dRIKgP24ObPw==" saltValue="th48rr+JmbjTRZtTj8eJ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MXE4h0SL32K7hMerr8NWrI/6lPnImILga9irnX5EImyEcSP5t+Jq3PDrPMFSoJ5OCQw6aRqrsH8BwFjfFCv7Q==" saltValue="U+XqtCYsvo0zy7dzjzOD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8LJv6XDe19EbuK8h2Pccpn04I3fTFzgjbK+qiMcUKA9db0Bj2ScPFHF3PCH+kJs3OeWteUFBuDD0DdmDiVsQQ==" saltValue="8gBXQ5z5f4JJhKmditD6M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2.4180000000000001</v>
      </c>
      <c r="C2" s="21">
        <f>'Entradas de población-año base'!C52</f>
        <v>2.4180000000000001</v>
      </c>
      <c r="D2" s="21">
        <f>'Entradas de población-año base'!C53</f>
        <v>4.3680000000000003</v>
      </c>
      <c r="E2" s="21">
        <f>'Entradas de población-año base'!C54</f>
        <v>4.992</v>
      </c>
      <c r="F2" s="21">
        <f>'Entradas de población-año base'!C55</f>
        <v>2.6173333333333328</v>
      </c>
    </row>
    <row r="3" spans="1:6" ht="15.75" customHeight="1" x14ac:dyDescent="0.25">
      <c r="A3" s="3" t="s">
        <v>6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236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4WXw+XbQBGeJg1HNE02ys6NvNfx28FhvNeuMU4VLrtNEElnKPptT9yqtRJaGoUXQfsTsmHIzqbuv/k0bPbhSPw==" saltValue="LgFwkY7F534KBqf+Bl3+5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b6bC5Plrc3VYZv5hC2cEFuDaqnHKcXPLMsQefNLHr9Q19JDe93z0aWwdKAyarrrYSMrkmBuv69ZlyXh021AXQ==" saltValue="0krakLozrWe1Gc6PbdN9D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0YoR+tqFMB1ySrjh1fSC7mye+WU6BoUMc1bl6Rdaxbk4SMcKIVbvK4mglwKnpX9bdtfwTJiKxb0dYfGA6pGwg==" saltValue="J+bM+5zuwC5yaBzKmw664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Qhu39pjTuq3380criBhKtd0Kf0L10A3ezdMkI4hCgzbmMSarh8YWuJaHAw0enqn0c8ySOpZL+xk2R9FwY5ZGg==" saltValue="RB67cSTOSNXINXyeKPM11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8XZDhsp7mAiCF36R1BgrdxNf0UzdJl7blydA1n3ibZ/ap32B1Ae6gGYkL5TVzJ4W2BCqzkdX7zR8ZXQDMgMuQ==" saltValue="ra0n72XAarbd8lf1MR6c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UtAw95YCryPBPVk/6e2HFHAxbKQmXW/hoetLuO7FEUvObiBrajz6P7a4+lE3W0MM/p01Gk08TTDQyo+u0DPiQ==" saltValue="pVUZZHcUeU61LBbF6Rek2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wNJCpfhwztJsagB5qqVX2hc5ObKBvDxgukVnbqxAPhL1dO6yERQSHhLoSfOGOyuy9eZwktTvG3Pso5RGvr69/g==" saltValue="NFJ1uDCmGUzuiO7R00651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6ecMCz3fxNZmfamB76olx/bTGnE2dU+luvoGIi24NYKxWOyo0Ty9nFBUDVmsD/YsPU5RRGeoXiLhIHu0ngpUA==" saltValue="eqN3SzMxgNNQ7vHeRPTfO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a5JU0oa99fPtEyKj2aWQdgyue8XdEh1jFbmprFtWQn3mf6Orcas1lnY9kcTKDSCnphpQwdpDJZcNmD7EHgvYA==" saltValue="/f4WoUQ1VgiAu6nSjYKQ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tJ/m9vwK8Wi5VtW4BWxH4HSGNDX7X9USFB6jqLbLcOsCqYteMYzGqVl8FPjCx47NtyLjjQ+523t9EG/LU/72A==" saltValue="zAl4wi0JSqon+Xw4RL/j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ADPkvw+v5MbJ23t5X8Nym2WCeqVFiCvvULmu7aV8a8STSpFVWmef2xBQl2G1ap4BwDzLSPENAU+NN0vRRhZXQ==" saltValue="86Ple77y7aEN7Us8J3wr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xRe1K9UrKCpOqiJc2V1n40KcEdwl579e3UfySP629kO+5ic/Cb6w3coqiIEe/sL2z2V0nvbxJcoyni1rHE2tQ==" saltValue="Q38RD89SI8iS05XlbGWH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Vg9m5kkrTcuaxBDx+fZavm4rUI5bvaL+O8iU0+wLQXDt4enJL1ukWSMsJ8qjf20Z7//7tQ0QL3vC/lLMCuGqw==" saltValue="w7QbDyh8SaQVyMK4F70c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K+9yEZTcG5Y7H2KF4ChIxaTci5IdMsYnpXytwzIOv0T3cNkdW7eV2t04fMvg9VLa5FGFJkpS78STSRdWV13wA==" saltValue="PI5/yZ/xmXMWGuQm2x96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hFP9ydKYq+MGol+9tPbwqKIEsWdvi1OPTFr+6BcJ/rdfz1H5LMvb3ohRtxNphbWbVjTYV2VJ8It7htkDbQYDQ==" saltValue="ob2KNXwPEfxSW9nrJJ7U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WQ/ZYJvMIEwbD3doU4zCQrSRuDOrhUOeW4kuW4gOFoYcoF0zHbiNvSj0kqdMd7H9QQUtHcLkUf8mlvoDmJ2sA==" saltValue="3k48fT1AI7ayNldRLLdud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