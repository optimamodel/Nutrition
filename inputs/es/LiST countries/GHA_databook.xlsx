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E0ADF22C-8E7D-474E-B2A8-9D212C1777AB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A36" i="2"/>
  <c r="A26" i="2"/>
  <c r="A25" i="2"/>
  <c r="H13" i="2"/>
  <c r="G13" i="2"/>
  <c r="I13" i="2" s="1"/>
  <c r="H12" i="2"/>
  <c r="G12" i="2"/>
  <c r="H11" i="2"/>
  <c r="G11" i="2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I11" i="2" l="1"/>
  <c r="I39" i="2"/>
  <c r="I6" i="2"/>
  <c r="I12" i="2"/>
  <c r="A35" i="2"/>
  <c r="A22" i="2"/>
  <c r="I38" i="2"/>
  <c r="I3" i="2"/>
  <c r="I9" i="2"/>
  <c r="A23" i="2"/>
  <c r="A19" i="2"/>
  <c r="A24" i="2"/>
  <c r="A40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<sst xmlns="http://schemas.openxmlformats.org/spreadsheetml/2006/main" count="2169" uniqueCount="373">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</sst>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4249501</v>
      </c>
    </row>
    <row r="8" spans="1:3" ht="15" customHeight="1" x14ac:dyDescent="0.25">
      <c r="B8" s="5" t="s">
        <v>63</v>
      </c>
      <c r="C8" s="44">
        <v>0.38300000000000001</v>
      </c>
    </row>
    <row r="9" spans="1:3" ht="15" customHeight="1" x14ac:dyDescent="0.25">
      <c r="B9" s="5" t="s">
        <v>62</v>
      </c>
      <c r="C9" s="45">
        <v>0.98</v>
      </c>
    </row>
    <row r="10" spans="1:3" ht="15" customHeight="1" x14ac:dyDescent="0.25">
      <c r="B10" s="5" t="s">
        <v>75</v>
      </c>
      <c r="C10" s="45">
        <v>0.51394300000000004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0.29899999999999999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8.5699999999999998E-2</v>
      </c>
    </row>
    <row r="24" spans="1:3" ht="15" customHeight="1" x14ac:dyDescent="0.25">
      <c r="B24" s="15" t="s">
        <v>65</v>
      </c>
      <c r="C24" s="45">
        <v>0.43590000000000001</v>
      </c>
    </row>
    <row r="25" spans="1:3" ht="15" customHeight="1" x14ac:dyDescent="0.25">
      <c r="B25" s="15" t="s">
        <v>66</v>
      </c>
      <c r="C25" s="45">
        <v>0.3957</v>
      </c>
    </row>
    <row r="26" spans="1:3" ht="15" customHeight="1" x14ac:dyDescent="0.25">
      <c r="B26" s="15" t="s">
        <v>67</v>
      </c>
      <c r="C26" s="45">
        <v>8.2699999999999996E-2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0.27146440725940302</v>
      </c>
    </row>
    <row r="30" spans="1:3" ht="14.25" customHeight="1" x14ac:dyDescent="0.25">
      <c r="B30" s="25" t="s">
        <v>82</v>
      </c>
      <c r="C30" s="97">
        <v>3.0900048109988299E-2</v>
      </c>
    </row>
    <row r="31" spans="1:3" ht="14.25" customHeight="1" x14ac:dyDescent="0.25">
      <c r="B31" s="25" t="s">
        <v>29</v>
      </c>
      <c r="C31" s="97">
        <v>6.9419093990287797E-2</v>
      </c>
    </row>
    <row r="32" spans="1:3" ht="14.25" customHeight="1" x14ac:dyDescent="0.25">
      <c r="B32" s="25" t="s">
        <v>30</v>
      </c>
      <c r="C32" s="97">
        <v>0.62821645064032094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22.823730000000001</v>
      </c>
    </row>
    <row r="38" spans="1:5" ht="15" customHeight="1" x14ac:dyDescent="0.25">
      <c r="B38" s="11" t="s">
        <v>54</v>
      </c>
      <c r="C38" s="43">
        <v>32.582920000000001</v>
      </c>
      <c r="D38" s="12"/>
      <c r="E38" s="13"/>
    </row>
    <row r="39" spans="1:5" ht="15" customHeight="1" x14ac:dyDescent="0.25">
      <c r="B39" s="11" t="s">
        <v>80</v>
      </c>
      <c r="C39" s="43">
        <v>43.974519999999998</v>
      </c>
      <c r="D39" s="12"/>
      <c r="E39" s="12"/>
    </row>
    <row r="40" spans="1:5" ht="15" customHeight="1" x14ac:dyDescent="0.25">
      <c r="B40" s="11" t="s">
        <v>55</v>
      </c>
      <c r="C40" s="98">
        <v>2.63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21.40353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6.8689999999999992E-3</v>
      </c>
      <c r="D45" s="12"/>
    </row>
    <row r="46" spans="1:5" ht="15.75" customHeight="1" x14ac:dyDescent="0.25">
      <c r="B46" s="11" t="s">
        <v>70</v>
      </c>
      <c r="C46" s="45">
        <v>7.3128600000000002E-2</v>
      </c>
      <c r="D46" s="12"/>
    </row>
    <row r="47" spans="1:5" ht="15.75" customHeight="1" x14ac:dyDescent="0.25">
      <c r="B47" s="11" t="s">
        <v>78</v>
      </c>
      <c r="C47" s="45">
        <v>0.2015941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2.4180000000000001</v>
      </c>
      <c r="D51" s="12"/>
    </row>
    <row r="52" spans="1:4" ht="15" customHeight="1" x14ac:dyDescent="0.25">
      <c r="B52" s="11" t="s">
        <v>32</v>
      </c>
      <c r="C52" s="98">
        <v>2.4180000000000001</v>
      </c>
    </row>
    <row r="53" spans="1:4" ht="15.75" customHeight="1" x14ac:dyDescent="0.25">
      <c r="B53" s="11" t="s">
        <v>35</v>
      </c>
      <c r="C53" s="98">
        <v>4.3680000000000003</v>
      </c>
    </row>
    <row r="54" spans="1:4" ht="15.75" customHeight="1" x14ac:dyDescent="0.25">
      <c r="B54" s="11" t="s">
        <v>33</v>
      </c>
      <c r="C54" s="98">
        <v>4.992</v>
      </c>
    </row>
    <row r="55" spans="1:4" ht="15.75" customHeight="1" x14ac:dyDescent="0.25">
      <c r="B55" s="11" t="s">
        <v>34</v>
      </c>
      <c r="C55" s="98">
        <v>2.6173333333333328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0.39087600000000011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0.14158809999999999</v>
      </c>
    </row>
    <row r="63" spans="1:4" ht="15.75" customHeight="1" x14ac:dyDescent="0.3">
      <c r="A63" s="4"/>
    </row>
  </sheetData>
  <sheetProtection algorithmName="SHA-512" hashValue="w7FelGANFbRx4jZfTsY1Jvy0Yf+zpyUwiJKo0dxlNdFSwxdTWRNLafftOAhVbBnziApZUvYpZdWFzAvi7Pd5xg==" saltValue="6A5t41ipkk/3hA+SaHDW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892343</v>
      </c>
      <c r="C2" s="49">
        <v>1737487.5</v>
      </c>
      <c r="D2" s="49">
        <v>2884921.9999999995</v>
      </c>
      <c r="E2" s="49">
        <v>2377647</v>
      </c>
      <c r="F2" s="49">
        <v>1801856.4999999998</v>
      </c>
      <c r="G2" s="17">
        <f t="shared" ref="G2:G13" si="0">C2+D2+E2+F2</f>
        <v>8801913</v>
      </c>
      <c r="H2" s="17">
        <f t="shared" ref="H2:H13" si="1">(B2 + stillbirth*B2/(1000-stillbirth))/(1-abortion)</f>
        <v>1036204.5720067194</v>
      </c>
      <c r="I2" s="17">
        <f t="shared" ref="I2:I13" si="2">G2-H2</f>
        <v>7765708.4279932808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897874</v>
      </c>
      <c r="C3" s="50">
        <v>1769735</v>
      </c>
      <c r="D3" s="50">
        <v>2949443</v>
      </c>
      <c r="E3" s="50">
        <v>2411325.5</v>
      </c>
      <c r="F3" s="50">
        <v>1860137.5</v>
      </c>
      <c r="G3" s="17">
        <f t="shared" si="0"/>
        <v>8990641</v>
      </c>
      <c r="H3" s="17">
        <f t="shared" si="1"/>
        <v>1042627.2676380732</v>
      </c>
      <c r="I3" s="17">
        <f t="shared" si="2"/>
        <v>7948013.7323619267</v>
      </c>
    </row>
    <row r="4" spans="1:9" ht="15.75" customHeight="1" x14ac:dyDescent="0.25">
      <c r="A4" s="5">
        <f t="shared" si="3"/>
        <v>2026</v>
      </c>
      <c r="B4" s="49">
        <v>903735</v>
      </c>
      <c r="C4" s="50">
        <v>1804891</v>
      </c>
      <c r="D4" s="50">
        <v>3019378</v>
      </c>
      <c r="E4" s="50">
        <v>2441393</v>
      </c>
      <c r="F4" s="50">
        <v>1919119</v>
      </c>
      <c r="G4" s="17">
        <f t="shared" si="0"/>
        <v>9184781</v>
      </c>
      <c r="H4" s="17">
        <f t="shared" si="1"/>
        <v>1049433.1651422072</v>
      </c>
      <c r="I4" s="17">
        <f t="shared" si="2"/>
        <v>8135347.8348577926</v>
      </c>
    </row>
    <row r="5" spans="1:9" ht="15.75" customHeight="1" x14ac:dyDescent="0.25">
      <c r="A5" s="5">
        <f t="shared" si="3"/>
        <v>2027</v>
      </c>
      <c r="B5" s="49">
        <v>909465</v>
      </c>
      <c r="C5" s="50">
        <v>1845659.5</v>
      </c>
      <c r="D5" s="50">
        <v>3089065.5</v>
      </c>
      <c r="E5" s="50">
        <v>2470279</v>
      </c>
      <c r="F5" s="50">
        <v>1974844.9999999998</v>
      </c>
      <c r="G5" s="17">
        <f t="shared" si="0"/>
        <v>9379849</v>
      </c>
      <c r="H5" s="17">
        <f t="shared" si="1"/>
        <v>1056086.9431150253</v>
      </c>
      <c r="I5" s="17">
        <f t="shared" si="2"/>
        <v>8323762.0568849742</v>
      </c>
    </row>
    <row r="6" spans="1:9" ht="15.75" customHeight="1" x14ac:dyDescent="0.25">
      <c r="A6" s="5">
        <f t="shared" si="3"/>
        <v>2028</v>
      </c>
      <c r="B6" s="49">
        <v>916517</v>
      </c>
      <c r="C6" s="50">
        <v>1890000</v>
      </c>
      <c r="D6" s="50">
        <v>3156361.5</v>
      </c>
      <c r="E6" s="50">
        <v>2502042.9999999995</v>
      </c>
      <c r="F6" s="50">
        <v>2023773.5000000002</v>
      </c>
      <c r="G6" s="17">
        <f t="shared" si="0"/>
        <v>9572178</v>
      </c>
      <c r="H6" s="17">
        <f t="shared" si="1"/>
        <v>1064275.8510145566</v>
      </c>
      <c r="I6" s="17">
        <f t="shared" si="2"/>
        <v>8507902.1489854436</v>
      </c>
    </row>
    <row r="7" spans="1:9" ht="15.75" customHeight="1" x14ac:dyDescent="0.25">
      <c r="A7" s="5">
        <f t="shared" si="3"/>
        <v>2029</v>
      </c>
      <c r="B7" s="49">
        <v>922888</v>
      </c>
      <c r="C7" s="50">
        <v>1932345.5</v>
      </c>
      <c r="D7" s="50">
        <v>3221837</v>
      </c>
      <c r="E7" s="50">
        <v>2538261</v>
      </c>
      <c r="F7" s="50">
        <v>2067275.5000000002</v>
      </c>
      <c r="G7" s="17">
        <f t="shared" si="0"/>
        <v>9759719</v>
      </c>
      <c r="H7" s="17">
        <f t="shared" si="1"/>
        <v>1071673.969594805</v>
      </c>
      <c r="I7" s="17">
        <f t="shared" si="2"/>
        <v>8688045.0304051954</v>
      </c>
    </row>
    <row r="8" spans="1:9" ht="15.75" customHeight="1" x14ac:dyDescent="0.25">
      <c r="A8" s="5">
        <f t="shared" si="3"/>
        <v>2030</v>
      </c>
      <c r="B8" s="49">
        <v>929536</v>
      </c>
      <c r="C8" s="50">
        <v>1968802.5</v>
      </c>
      <c r="D8" s="50">
        <v>3286566</v>
      </c>
      <c r="E8" s="50">
        <v>2580459.5</v>
      </c>
      <c r="F8" s="50">
        <v>2113749</v>
      </c>
      <c r="G8" s="17">
        <f t="shared" si="0"/>
        <v>9949577</v>
      </c>
      <c r="H8" s="17">
        <f t="shared" si="1"/>
        <v>1079393.7455046298</v>
      </c>
      <c r="I8" s="17">
        <f t="shared" si="2"/>
        <v>8870183.2544953711</v>
      </c>
    </row>
    <row r="9" spans="1:9" ht="15.75" customHeight="1" x14ac:dyDescent="0.25">
      <c r="A9" s="5">
        <f t="shared" si="3"/>
        <v>2031</v>
      </c>
      <c r="B9" s="49">
        <v>936419</v>
      </c>
      <c r="C9" s="50">
        <v>1995692</v>
      </c>
      <c r="D9" s="50">
        <v>3353028.5</v>
      </c>
      <c r="E9" s="50">
        <v>2627577</v>
      </c>
      <c r="F9" s="50">
        <v>2164978</v>
      </c>
      <c r="G9" s="17">
        <f t="shared" si="0"/>
        <v>10141275.5</v>
      </c>
      <c r="H9" s="17">
        <f t="shared" si="1"/>
        <v>1087386.4075965858</v>
      </c>
      <c r="I9" s="17">
        <f t="shared" si="2"/>
        <v>9053889.0924034137</v>
      </c>
    </row>
    <row r="10" spans="1:9" ht="15.75" customHeight="1" x14ac:dyDescent="0.25">
      <c r="A10" s="5">
        <f t="shared" si="3"/>
        <v>2032</v>
      </c>
      <c r="B10" s="49">
        <v>943366</v>
      </c>
      <c r="C10" s="50">
        <v>2007944</v>
      </c>
      <c r="D10" s="50">
        <v>3422755.5</v>
      </c>
      <c r="E10" s="50">
        <v>2677600.9999999995</v>
      </c>
      <c r="F10" s="50">
        <v>2210696</v>
      </c>
      <c r="G10" s="17">
        <f t="shared" si="0"/>
        <v>10318996.5</v>
      </c>
      <c r="H10" s="17">
        <f t="shared" si="1"/>
        <v>1095453.387627505</v>
      </c>
      <c r="I10" s="17">
        <f t="shared" si="2"/>
        <v>9223543.1123724952</v>
      </c>
    </row>
    <row r="11" spans="1:9" ht="15.75" customHeight="1" x14ac:dyDescent="0.25">
      <c r="A11" s="5">
        <f t="shared" si="3"/>
        <v>2033</v>
      </c>
      <c r="B11" s="49">
        <v>951814</v>
      </c>
      <c r="C11" s="50">
        <v>2009275</v>
      </c>
      <c r="D11" s="50">
        <v>3495202.5000000005</v>
      </c>
      <c r="E11" s="50">
        <v>2730413.4999999995</v>
      </c>
      <c r="F11" s="50">
        <v>2248318</v>
      </c>
      <c r="G11" s="17">
        <f t="shared" si="0"/>
        <v>10483209</v>
      </c>
      <c r="H11" s="17">
        <f t="shared" si="1"/>
        <v>1105263.3555706758</v>
      </c>
      <c r="I11" s="17">
        <f t="shared" si="2"/>
        <v>9377945.6444293242</v>
      </c>
    </row>
    <row r="12" spans="1:9" ht="15.75" customHeight="1" x14ac:dyDescent="0.25">
      <c r="A12" s="5">
        <f t="shared" si="3"/>
        <v>2034</v>
      </c>
      <c r="B12" s="49">
        <v>958778</v>
      </c>
      <c r="C12" s="50">
        <v>2007567.5</v>
      </c>
      <c r="D12" s="50">
        <v>3567270.5</v>
      </c>
      <c r="E12" s="50">
        <v>2786386.5</v>
      </c>
      <c r="F12" s="50">
        <v>2282559.5000000005</v>
      </c>
      <c r="G12" s="17">
        <f t="shared" si="0"/>
        <v>10643784</v>
      </c>
      <c r="H12" s="17">
        <f t="shared" si="1"/>
        <v>1113350.0763041324</v>
      </c>
      <c r="I12" s="17">
        <f t="shared" si="2"/>
        <v>9530433.9236958679</v>
      </c>
    </row>
    <row r="13" spans="1:9" ht="15.75" customHeight="1" x14ac:dyDescent="0.25">
      <c r="A13" s="5">
        <f t="shared" si="3"/>
        <v>2035</v>
      </c>
      <c r="B13" s="49">
        <v>965550</v>
      </c>
      <c r="C13" s="50">
        <v>2004160</v>
      </c>
      <c r="D13" s="50">
        <v>3634490.5</v>
      </c>
      <c r="E13" s="50">
        <v>2848284.4999999995</v>
      </c>
      <c r="F13" s="50">
        <v>2315172</v>
      </c>
      <c r="G13" s="17">
        <f t="shared" si="0"/>
        <v>10802107</v>
      </c>
      <c r="H13" s="17">
        <f t="shared" si="1"/>
        <v>1121213.8432206986</v>
      </c>
      <c r="I13" s="17">
        <f t="shared" si="2"/>
        <v>9680893.1567793004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aDgOyNXZfF+ahcC/nu/PVG6I9OH4DNtBgjxcfcPJZ0/RnYO522BTY1fxunjCj+93u9vG5drduDpOf+t31V1Nhg==" saltValue="BcRvZQzoyMokxOC5eAQap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9.4482999999999841E-3</v>
      </c>
    </row>
    <row r="4" spans="1:8" ht="15.75" customHeight="1" x14ac:dyDescent="0.25">
      <c r="B4" s="19" t="s">
        <v>116</v>
      </c>
      <c r="C4" s="99">
        <v>6.0587099999999838E-2</v>
      </c>
    </row>
    <row r="5" spans="1:8" ht="15.75" customHeight="1" x14ac:dyDescent="0.25">
      <c r="B5" s="19" t="s">
        <v>114</v>
      </c>
      <c r="C5" s="99">
        <v>8.0444099999999921E-2</v>
      </c>
    </row>
    <row r="6" spans="1:8" ht="15.75" customHeight="1" x14ac:dyDescent="0.25">
      <c r="B6" s="19" t="s">
        <v>110</v>
      </c>
      <c r="C6" s="99">
        <v>0.24506110000000039</v>
      </c>
    </row>
    <row r="7" spans="1:8" ht="15.75" customHeight="1" x14ac:dyDescent="0.25">
      <c r="B7" s="19" t="s">
        <v>115</v>
      </c>
      <c r="C7" s="99">
        <v>0.41408430000000013</v>
      </c>
    </row>
    <row r="8" spans="1:8" ht="15.75" customHeight="1" x14ac:dyDescent="0.25">
      <c r="B8" s="19" t="s">
        <v>117</v>
      </c>
      <c r="C8" s="99">
        <v>1.210499999999998E-3</v>
      </c>
    </row>
    <row r="9" spans="1:8" ht="15.75" customHeight="1" x14ac:dyDescent="0.25">
      <c r="B9" s="19" t="s">
        <v>111</v>
      </c>
      <c r="C9" s="99">
        <v>7.320219999999994E-2</v>
      </c>
    </row>
    <row r="10" spans="1:8" ht="15.75" customHeight="1" x14ac:dyDescent="0.25">
      <c r="B10" s="19" t="s">
        <v>113</v>
      </c>
      <c r="C10" s="99">
        <v>0.1159623999999998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0.12181956141335119</v>
      </c>
      <c r="D14" s="55">
        <v>0.12181956141335119</v>
      </c>
      <c r="E14" s="55">
        <v>0.12181956141335119</v>
      </c>
      <c r="F14" s="55">
        <v>0.12181956141335119</v>
      </c>
    </row>
    <row r="15" spans="1:8" ht="15.75" customHeight="1" x14ac:dyDescent="0.25">
      <c r="B15" s="19" t="s">
        <v>121</v>
      </c>
      <c r="C15" s="99">
        <v>0.1525436960829033</v>
      </c>
      <c r="D15" s="99">
        <v>0.1525436960829033</v>
      </c>
      <c r="E15" s="99">
        <v>0.1525436960829033</v>
      </c>
      <c r="F15" s="99">
        <v>0.1525436960829033</v>
      </c>
    </row>
    <row r="16" spans="1:8" ht="15.75" customHeight="1" x14ac:dyDescent="0.25">
      <c r="B16" s="19" t="s">
        <v>2</v>
      </c>
      <c r="C16" s="99">
        <v>1.9379345713266979E-2</v>
      </c>
      <c r="D16" s="99">
        <v>1.9379345713266979E-2</v>
      </c>
      <c r="E16" s="99">
        <v>1.9379345713266979E-2</v>
      </c>
      <c r="F16" s="99">
        <v>1.9379345713266979E-2</v>
      </c>
    </row>
    <row r="17" spans="1:8" ht="15.75" customHeight="1" x14ac:dyDescent="0.25">
      <c r="B17" s="19" t="s">
        <v>109</v>
      </c>
      <c r="C17" s="99">
        <v>7.0679873364541653E-3</v>
      </c>
      <c r="D17" s="99">
        <v>7.0679873364541653E-3</v>
      </c>
      <c r="E17" s="99">
        <v>7.0679873364541653E-3</v>
      </c>
      <c r="F17" s="99">
        <v>7.0679873364541653E-3</v>
      </c>
    </row>
    <row r="18" spans="1:8" ht="15.75" customHeight="1" x14ac:dyDescent="0.25">
      <c r="B18" s="19" t="s">
        <v>3</v>
      </c>
      <c r="C18" s="99">
        <v>0.22238897098278571</v>
      </c>
      <c r="D18" s="99">
        <v>0.22238897098278571</v>
      </c>
      <c r="E18" s="99">
        <v>0.22238897098278571</v>
      </c>
      <c r="F18" s="99">
        <v>0.22238897098278571</v>
      </c>
    </row>
    <row r="19" spans="1:8" ht="15.75" customHeight="1" x14ac:dyDescent="0.25">
      <c r="B19" s="19" t="s">
        <v>120</v>
      </c>
      <c r="C19" s="99">
        <v>3.3325376474692817E-2</v>
      </c>
      <c r="D19" s="99">
        <v>3.3325376474692817E-2</v>
      </c>
      <c r="E19" s="99">
        <v>3.3325376474692817E-2</v>
      </c>
      <c r="F19" s="99">
        <v>3.3325376474692817E-2</v>
      </c>
    </row>
    <row r="20" spans="1:8" ht="15.75" customHeight="1" x14ac:dyDescent="0.25">
      <c r="B20" s="19" t="s">
        <v>98</v>
      </c>
      <c r="C20" s="99">
        <v>0.1144476671113132</v>
      </c>
      <c r="D20" s="99">
        <v>0.1144476671113132</v>
      </c>
      <c r="E20" s="99">
        <v>0.1144476671113132</v>
      </c>
      <c r="F20" s="99">
        <v>0.1144476671113132</v>
      </c>
    </row>
    <row r="21" spans="1:8" ht="15.75" customHeight="1" x14ac:dyDescent="0.25">
      <c r="B21" s="19" t="s">
        <v>107</v>
      </c>
      <c r="C21" s="99">
        <v>0.13423673221728019</v>
      </c>
      <c r="D21" s="99">
        <v>0.13423673221728019</v>
      </c>
      <c r="E21" s="99">
        <v>0.13423673221728019</v>
      </c>
      <c r="F21" s="99">
        <v>0.13423673221728019</v>
      </c>
    </row>
    <row r="22" spans="1:8" ht="15.75" customHeight="1" x14ac:dyDescent="0.25">
      <c r="B22" s="19" t="s">
        <v>118</v>
      </c>
      <c r="C22" s="99">
        <v>0.1947906626679525</v>
      </c>
      <c r="D22" s="99">
        <v>0.1947906626679525</v>
      </c>
      <c r="E22" s="99">
        <v>0.1947906626679525</v>
      </c>
      <c r="F22" s="99">
        <v>0.1947906626679525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6.6578172000000005E-2</v>
      </c>
    </row>
    <row r="27" spans="1:8" ht="15.75" customHeight="1" x14ac:dyDescent="0.25">
      <c r="B27" s="19" t="s">
        <v>108</v>
      </c>
      <c r="C27" s="99">
        <v>4.9825570000000003E-3</v>
      </c>
    </row>
    <row r="28" spans="1:8" ht="15.75" customHeight="1" x14ac:dyDescent="0.25">
      <c r="B28" s="19" t="s">
        <v>122</v>
      </c>
      <c r="C28" s="99">
        <v>0.12458364500000001</v>
      </c>
    </row>
    <row r="29" spans="1:8" ht="15.75" customHeight="1" x14ac:dyDescent="0.25">
      <c r="B29" s="19" t="s">
        <v>105</v>
      </c>
      <c r="C29" s="99">
        <v>0.123203627</v>
      </c>
    </row>
    <row r="30" spans="1:8" ht="15.75" customHeight="1" x14ac:dyDescent="0.25">
      <c r="B30" s="19" t="s">
        <v>4</v>
      </c>
      <c r="C30" s="99">
        <v>8.5390918999999996E-2</v>
      </c>
    </row>
    <row r="31" spans="1:8" ht="15.75" customHeight="1" x14ac:dyDescent="0.25">
      <c r="B31" s="19" t="s">
        <v>99</v>
      </c>
      <c r="C31" s="99">
        <v>0.13704649199999999</v>
      </c>
    </row>
    <row r="32" spans="1:8" ht="15.75" customHeight="1" x14ac:dyDescent="0.25">
      <c r="B32" s="19" t="s">
        <v>104</v>
      </c>
      <c r="C32" s="99">
        <v>1.3877614E-2</v>
      </c>
    </row>
    <row r="33" spans="2:3" ht="15.75" customHeight="1" x14ac:dyDescent="0.25">
      <c r="B33" s="19" t="s">
        <v>119</v>
      </c>
      <c r="C33" s="99">
        <v>0.162878947</v>
      </c>
    </row>
    <row r="34" spans="2:3" ht="15.75" customHeight="1" x14ac:dyDescent="0.25">
      <c r="B34" s="19" t="s">
        <v>106</v>
      </c>
      <c r="C34" s="99">
        <v>0.281458027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kpSuyLrH1RcvDWBS+GyzTxZEkz/ZKuiaqP2F93ImV/9AiQf74QyEvKcgPSRM05WaLSAaZuaCJLhG9ml9eze2wg==" saltValue="ZI45kAuISbiYCVQHt3AQM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0.66907221117541471</v>
      </c>
      <c r="D2" s="52">
        <f>IFERROR(1-_xlfn.NORM.DIST(_xlfn.NORM.INV(SUM(D4:D5), 0, 1) + 1, 0, 1, TRUE), "")</f>
        <v>0.66907221117541471</v>
      </c>
      <c r="E2" s="52">
        <f>IFERROR(1-_xlfn.NORM.DIST(_xlfn.NORM.INV(SUM(E4:E5), 0, 1) + 1, 0, 1, TRUE), "")</f>
        <v>0.61858610074099551</v>
      </c>
      <c r="F2" s="52">
        <f>IFERROR(1-_xlfn.NORM.DIST(_xlfn.NORM.INV(SUM(F4:F5), 0, 1) + 1, 0, 1, TRUE), "")</f>
        <v>0.45590429923977593</v>
      </c>
      <c r="G2" s="52">
        <f>IFERROR(1-_xlfn.NORM.DIST(_xlfn.NORM.INV(SUM(G4:G5), 0, 1) + 1, 0, 1, TRUE), "")</f>
        <v>0.43778270998959623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0.25561888882458528</v>
      </c>
      <c r="D3" s="52">
        <f>IFERROR(_xlfn.NORM.DIST(_xlfn.NORM.INV(SUM(D4:D5), 0, 1) + 1, 0, 1, TRUE) - SUM(D4:D5), "")</f>
        <v>0.25561888882458528</v>
      </c>
      <c r="E3" s="52">
        <f>IFERROR(_xlfn.NORM.DIST(_xlfn.NORM.INV(SUM(E4:E5), 0, 1) + 1, 0, 1, TRUE) - SUM(E4:E5), "")</f>
        <v>0.28491629925900447</v>
      </c>
      <c r="F3" s="52">
        <f>IFERROR(_xlfn.NORM.DIST(_xlfn.NORM.INV(SUM(F4:F5), 0, 1) + 1, 0, 1, TRUE) - SUM(F4:F5), "")</f>
        <v>0.35715930076022406</v>
      </c>
      <c r="G3" s="52">
        <f>IFERROR(_xlfn.NORM.DIST(_xlfn.NORM.INV(SUM(G4:G5), 0, 1) + 1, 0, 1, TRUE) - SUM(G4:G5), "")</f>
        <v>0.36271679001040374</v>
      </c>
    </row>
    <row r="4" spans="1:15" ht="15.75" customHeight="1" x14ac:dyDescent="0.25">
      <c r="B4" s="5" t="s">
        <v>129</v>
      </c>
      <c r="C4" s="45">
        <v>4.8323999999999999E-2</v>
      </c>
      <c r="D4" s="53">
        <v>4.8323999999999999E-2</v>
      </c>
      <c r="E4" s="53">
        <v>7.00075E-2</v>
      </c>
      <c r="F4" s="53">
        <v>0.13699249999999999</v>
      </c>
      <c r="G4" s="53">
        <v>0.14552480000000001</v>
      </c>
    </row>
    <row r="5" spans="1:15" ht="15.75" customHeight="1" x14ac:dyDescent="0.25">
      <c r="B5" s="5" t="s">
        <v>125</v>
      </c>
      <c r="C5" s="45">
        <v>2.6984899999999999E-2</v>
      </c>
      <c r="D5" s="53">
        <v>2.6984899999999999E-2</v>
      </c>
      <c r="E5" s="53">
        <v>2.6490099999999999E-2</v>
      </c>
      <c r="F5" s="53">
        <v>4.9943899999999999E-2</v>
      </c>
      <c r="G5" s="53">
        <v>5.3975700000000001E-2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0.54336582884235329</v>
      </c>
      <c r="D8" s="52">
        <f>IFERROR(1-_xlfn.NORM.DIST(_xlfn.NORM.INV(SUM(D10:D11), 0, 1) + 1, 0, 1, TRUE), "")</f>
        <v>0.54336582884235329</v>
      </c>
      <c r="E8" s="52">
        <f>IFERROR(1-_xlfn.NORM.DIST(_xlfn.NORM.INV(SUM(E10:E11), 0, 1) + 1, 0, 1, TRUE), "")</f>
        <v>0.51614816595486235</v>
      </c>
      <c r="F8" s="52">
        <f>IFERROR(1-_xlfn.NORM.DIST(_xlfn.NORM.INV(SUM(F10:F11), 0, 1) + 1, 0, 1, TRUE), "")</f>
        <v>0.60643135268855997</v>
      </c>
      <c r="G8" s="52">
        <f>IFERROR(1-_xlfn.NORM.DIST(_xlfn.NORM.INV(SUM(G10:G11), 0, 1) + 1, 0, 1, TRUE), "")</f>
        <v>0.79123157495557583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0.32290117115764672</v>
      </c>
      <c r="D9" s="52">
        <f>IFERROR(_xlfn.NORM.DIST(_xlfn.NORM.INV(SUM(D10:D11), 0, 1) + 1, 0, 1, TRUE) - SUM(D10:D11), "")</f>
        <v>0.32290117115764672</v>
      </c>
      <c r="E9" s="52">
        <f>IFERROR(_xlfn.NORM.DIST(_xlfn.NORM.INV(SUM(E10:E11), 0, 1) + 1, 0, 1, TRUE) - SUM(E10:E11), "")</f>
        <v>0.33479533404513762</v>
      </c>
      <c r="F9" s="52">
        <f>IFERROR(_xlfn.NORM.DIST(_xlfn.NORM.INV(SUM(F10:F11), 0, 1) + 1, 0, 1, TRUE) - SUM(F10:F11), "")</f>
        <v>0.29153164731144005</v>
      </c>
      <c r="G9" s="52">
        <f>IFERROR(_xlfn.NORM.DIST(_xlfn.NORM.INV(SUM(G10:G11), 0, 1) + 1, 0, 1, TRUE) - SUM(G10:G11), "")</f>
        <v>0.17367492504442417</v>
      </c>
    </row>
    <row r="10" spans="1:15" ht="15.75" customHeight="1" x14ac:dyDescent="0.25">
      <c r="B10" s="5" t="s">
        <v>126</v>
      </c>
      <c r="C10" s="45">
        <v>8.9863300000000007E-2</v>
      </c>
      <c r="D10" s="53">
        <v>8.9863300000000007E-2</v>
      </c>
      <c r="E10" s="53">
        <v>0.12234349999999999</v>
      </c>
      <c r="F10" s="53">
        <v>8.4030900000000006E-2</v>
      </c>
      <c r="G10" s="53">
        <v>3.2996200000000003E-2</v>
      </c>
    </row>
    <row r="11" spans="1:15" ht="15.75" customHeight="1" x14ac:dyDescent="0.25">
      <c r="B11" s="5" t="s">
        <v>138</v>
      </c>
      <c r="C11" s="45">
        <v>4.3869699999999998E-2</v>
      </c>
      <c r="D11" s="53">
        <v>4.3869699999999998E-2</v>
      </c>
      <c r="E11" s="53">
        <v>2.6713000000000001E-2</v>
      </c>
      <c r="F11" s="53">
        <v>1.8006100000000001E-2</v>
      </c>
      <c r="G11" s="53">
        <v>2.0972999999999999E-3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0.76397983049999996</v>
      </c>
      <c r="D14" s="54">
        <v>0.75075595181599997</v>
      </c>
      <c r="E14" s="54">
        <v>0.75075595181599997</v>
      </c>
      <c r="F14" s="54">
        <v>0.65965136567799998</v>
      </c>
      <c r="G14" s="54">
        <v>0.65965136567799998</v>
      </c>
      <c r="H14" s="45">
        <v>0.54299999999999993</v>
      </c>
      <c r="I14" s="55">
        <v>0.54299999999999993</v>
      </c>
      <c r="J14" s="55">
        <v>0.54299999999999993</v>
      </c>
      <c r="K14" s="55">
        <v>0.54299999999999993</v>
      </c>
      <c r="L14" s="45">
        <v>0.45700000000000002</v>
      </c>
      <c r="M14" s="55">
        <v>0.45700000000000002</v>
      </c>
      <c r="N14" s="55">
        <v>0.45700000000000002</v>
      </c>
      <c r="O14" s="55">
        <v>0.45700000000000002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0.29862138022651807</v>
      </c>
      <c r="D15" s="52">
        <f t="shared" si="0"/>
        <v>0.2934524834220309</v>
      </c>
      <c r="E15" s="52">
        <f t="shared" si="0"/>
        <v>0.2934524834220309</v>
      </c>
      <c r="F15" s="52">
        <f t="shared" si="0"/>
        <v>0.25784188721075402</v>
      </c>
      <c r="G15" s="52">
        <f t="shared" si="0"/>
        <v>0.25784188721075402</v>
      </c>
      <c r="H15" s="52">
        <f t="shared" si="0"/>
        <v>0.21224566800000003</v>
      </c>
      <c r="I15" s="52">
        <f t="shared" si="0"/>
        <v>0.21224566800000003</v>
      </c>
      <c r="J15" s="52">
        <f t="shared" si="0"/>
        <v>0.21224566800000003</v>
      </c>
      <c r="K15" s="52">
        <f t="shared" si="0"/>
        <v>0.21224566800000003</v>
      </c>
      <c r="L15" s="52">
        <f t="shared" si="0"/>
        <v>0.17863033200000006</v>
      </c>
      <c r="M15" s="52">
        <f t="shared" si="0"/>
        <v>0.17863033200000006</v>
      </c>
      <c r="N15" s="52">
        <f t="shared" si="0"/>
        <v>0.17863033200000006</v>
      </c>
      <c r="O15" s="52">
        <f t="shared" si="0"/>
        <v>0.17863033200000006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EGoTQfGPFO+FYgO9WJ5yNhXbLHifFecRHkzW2wVwkZHEFSHttfjsfHZXTSfPjfsdz6h11vmp6dMx+2n5hu97g==" saltValue="wImCwObiQ5h910W6sbJ+5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0.63748349999999998</v>
      </c>
      <c r="D2" s="53">
        <v>0.38182569999999999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0.210618</v>
      </c>
      <c r="D3" s="53">
        <v>0.211954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0.1174632</v>
      </c>
      <c r="D4" s="53">
        <v>0.38791469999999989</v>
      </c>
      <c r="E4" s="53">
        <v>0.98155690000000007</v>
      </c>
      <c r="F4" s="53">
        <v>0.66134090000000001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3.4435300000000058E-2</v>
      </c>
      <c r="D5" s="52">
        <f t="shared" si="0"/>
        <v>1.8305600000000144E-2</v>
      </c>
      <c r="E5" s="52">
        <f>1-SUM(E2:E4)</f>
        <v>1.8443099999999935E-2</v>
      </c>
      <c r="F5" s="52">
        <f>1-SUM(F2:F4)</f>
        <v>0.33865909999999999</v>
      </c>
      <c r="G5" s="52">
        <f>1-SUM(G2:G4)</f>
        <v>1</v>
      </c>
    </row>
  </sheetData>
  <sheetProtection algorithmName="SHA-512" hashValue="YKEEEddVBGarl61ur6WLDCK25gTF38c/3tfb97GGT4s5Siwq9B7TjEyqhoTHgLsAWE3JsKnqgqj4PBWqgfkFuw==" saltValue="ieord19oCm6wKyYZLJpBK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5/tCsu9KdQeuxZJdLx75ffcmYQXipWZIpRxCXjDA0MWfkoaNdctWST6M0Oy9ntQKhXXeJiqhR6VINPdExcD5gw==" saltValue="CN+S7TH1I/7fivZpancdZ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2203.5589351830299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0.43444000000000005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0.67138000000000009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1.8898219911506978E-2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95359.817079999993</v>
      </c>
      <c r="C22" s="107">
        <v>94789.126390000005</v>
      </c>
      <c r="D22" s="107">
        <v>94341.435490000003</v>
      </c>
      <c r="E22" s="107">
        <v>93747.501260000005</v>
      </c>
      <c r="F22" s="107">
        <v>92936.389540000004</v>
      </c>
      <c r="G22" s="107">
        <v>91950.157709999999</v>
      </c>
      <c r="H22" s="107">
        <v>90634.840890000007</v>
      </c>
      <c r="I22" s="107">
        <v>88818.978730000003</v>
      </c>
      <c r="J22" s="107">
        <v>86286.058080000003</v>
      </c>
      <c r="K22" s="107">
        <v>82950.622090000004</v>
      </c>
      <c r="L22" s="107">
        <v>78448.747640000001</v>
      </c>
      <c r="M22" s="107">
        <v>72602.058780000007</v>
      </c>
      <c r="N22" s="107">
        <v>64679.092329999999</v>
      </c>
      <c r="O22" s="107">
        <v>54745.002439999997</v>
      </c>
    </row>
  </sheetData>
  <sheetProtection algorithmName="SHA-512" hashValue="XgUBzA+Wa4cllqqFbuAGIcfUZgQz/34Gtk3T/rBf6nQwj8PVn+FCIaMaBgkA4hRhugRAKtePqCXw1WZ+3WinkA==" saltValue="z5MxsTt8ODH6Lh9OxpOnD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SgdQPqI/zxeUkFaE9fs3FWaue+9J1JLpHSKEC7lToeiqY9jVUW58QC6TeCQ1nMj6vpLRxLthBLdUaj18WhUHVw==" saltValue="d9d8Nvr74EhstlNEJTWSP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eGnvZ6dYz6WdwuSEIH3Pfhd9f+vUyKZmmuXSl7yWTNZXM3O0fZ1/8Rit8lBldkVevPu51opdbkFQvv3oe19aaQ==" saltValue="7f/uo+yPErigLFgfeCmgR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0.10284547803181469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7.7133394664213428E-2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0.5936245</v>
      </c>
      <c r="C10" s="96">
        <v>0.95</v>
      </c>
      <c r="D10" s="56">
        <v>13.61384665422082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13.61384665422082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13.61384665422082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13.61384665422082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0.5936245</v>
      </c>
      <c r="C14" s="96">
        <v>0.95</v>
      </c>
      <c r="D14" s="56">
        <v>13.61384665422082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13.61384665422082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0.79167399999999999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0.28066999999999998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0.38182569999999999</v>
      </c>
      <c r="C19" s="96">
        <v>0.95</v>
      </c>
      <c r="D19" s="56">
        <v>7.2861200073283072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0.7480929999999999</v>
      </c>
      <c r="C23" s="96">
        <v>0.95</v>
      </c>
      <c r="D23" s="56">
        <v>4.5073761426825563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0.58759262855713601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0.5936245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0.47842659999999998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0.25902579999999997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0.41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0.41689387992765697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0.23128789999999999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3.4973999999999999E-3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0.5667259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0.24299999999999999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m61e7WGj9oynGj2n4mCoOlcejoUb9v1QjXiHuTT0OM5euZWO0NEOSgietMT3m5c9nmValbkmver40U6IGxMTXw==" saltValue="Sj3KdgrsilQhJLmNYTjj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pOmdnA9BnwUjHxEB01jX/OBWJdY6BZC9yd5XfE8sjfZM29+zQX6fphuM48//qbHMcrVXvQCFhG5AAX5Z6kqAQ==" saltValue="/1R71izKpb/z9xerhGOp3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vR6GbsAPSrFk/NKidETQt/0VJklDbpGl2RY2g1iI7VkamLwgIZsLuinymJ0RqGeGNGsr5rueTnWWlujpyXlRhg==" saltValue="RTMfpG+aFnePgdUIG2Mem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2.4180000000000001</v>
      </c>
      <c r="C2" s="21">
        <f>'Entradas de población-año base'!C52</f>
        <v>2.4180000000000001</v>
      </c>
      <c r="D2" s="21">
        <f>'Entradas de población-año base'!C53</f>
        <v>4.3680000000000003</v>
      </c>
      <c r="E2" s="21">
        <f>'Entradas de población-año base'!C54</f>
        <v>4.992</v>
      </c>
      <c r="F2" s="21">
        <f>'Entradas de población-año base'!C55</f>
        <v>2.6173333333333328</v>
      </c>
    </row>
    <row r="3" spans="1:6" ht="15.75" customHeight="1" x14ac:dyDescent="0.25">
      <c r="A3" s="3" t="s">
        <v>6</v>
      </c>
      <c r="B3" s="21">
        <f>frac_mam_1month * 2.6</f>
        <v>0.23364458000000002</v>
      </c>
      <c r="C3" s="21">
        <f>frac_mam_1_5months * 2.6</f>
        <v>0.23364458000000002</v>
      </c>
      <c r="D3" s="21">
        <f>frac_mam_6_11months * 2.6</f>
        <v>0.31809310000000002</v>
      </c>
      <c r="E3" s="21">
        <f>frac_mam_12_23months * 2.6</f>
        <v>0.21848034000000002</v>
      </c>
      <c r="F3" s="21">
        <f>frac_mam_24_59months * 2.6</f>
        <v>8.5790120000000011E-2</v>
      </c>
    </row>
    <row r="4" spans="1:6" ht="15.75" customHeight="1" x14ac:dyDescent="0.25">
      <c r="A4" s="3" t="s">
        <v>236</v>
      </c>
      <c r="B4" s="21">
        <f>frac_sam_1month * 2.6</f>
        <v>0.11406121999999999</v>
      </c>
      <c r="C4" s="21">
        <f>frac_sam_1_5months * 2.6</f>
        <v>0.11406121999999999</v>
      </c>
      <c r="D4" s="21">
        <f>frac_sam_6_11months * 2.6</f>
        <v>6.945380000000001E-2</v>
      </c>
      <c r="E4" s="21">
        <f>frac_sam_12_23months * 2.6</f>
        <v>4.6815860000000001E-2</v>
      </c>
      <c r="F4" s="21">
        <f>frac_sam_24_59months * 2.6</f>
        <v>5.4529799999999996E-3</v>
      </c>
    </row>
  </sheetData>
  <sheetProtection algorithmName="SHA-512" hashValue="Ak3b6mxFxeh77zBGY5AnxbXtPSqyd/BGsu85SLl+VnaBFc91RW3YnbPHbZMR+id8nf5WuCzkw7BqHBSppUWczA==" saltValue="pb8WE0MkcUFwarLDt+xrN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0.38300000000000001</v>
      </c>
      <c r="F2" s="60">
        <f>food_insecure</f>
        <v>0.38300000000000001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0.38300000000000001</v>
      </c>
      <c r="F5" s="60">
        <f>food_insecure</f>
        <v>0.38300000000000001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5.2756363636363643E-2</v>
      </c>
      <c r="D7" s="60">
        <f>diarrhoea_1_5mo*frac_diarrhea_severe</f>
        <v>5.2756363636363643E-2</v>
      </c>
      <c r="E7" s="60">
        <f>diarrhoea_6_11mo*frac_diarrhea_severe</f>
        <v>9.5301818181818196E-2</v>
      </c>
      <c r="F7" s="60">
        <f>diarrhoea_12_23mo*frac_diarrhea_severe</f>
        <v>0.10891636363636364</v>
      </c>
      <c r="G7" s="60">
        <f>diarrhoea_24_59mo*frac_diarrhea_severe</f>
        <v>5.7105454545454543E-2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0.38300000000000001</v>
      </c>
      <c r="F8" s="60">
        <f>food_insecure</f>
        <v>0.38300000000000001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0.38300000000000001</v>
      </c>
      <c r="F9" s="60">
        <f>food_insecure</f>
        <v>0.38300000000000001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5.2756363636363643E-2</v>
      </c>
      <c r="D12" s="60">
        <f>diarrhoea_1_5mo*frac_diarrhea_severe</f>
        <v>5.2756363636363643E-2</v>
      </c>
      <c r="E12" s="60">
        <f>diarrhoea_6_11mo*frac_diarrhea_severe</f>
        <v>9.5301818181818196E-2</v>
      </c>
      <c r="F12" s="60">
        <f>diarrhoea_12_23mo*frac_diarrhea_severe</f>
        <v>0.10891636363636364</v>
      </c>
      <c r="G12" s="60">
        <f>diarrhoea_24_59mo*frac_diarrhea_severe</f>
        <v>5.7105454545454543E-2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0.38300000000000001</v>
      </c>
      <c r="I15" s="60">
        <f t="shared" si="0"/>
        <v>0.38300000000000001</v>
      </c>
      <c r="J15" s="60">
        <f t="shared" si="0"/>
        <v>0.38300000000000001</v>
      </c>
      <c r="K15" s="60">
        <f t="shared" si="0"/>
        <v>0.38300000000000001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0.38300000000000001</v>
      </c>
      <c r="I16" s="60">
        <f t="shared" si="0"/>
        <v>0.38300000000000001</v>
      </c>
      <c r="J16" s="60">
        <f t="shared" si="0"/>
        <v>0.38300000000000001</v>
      </c>
      <c r="K16" s="60">
        <f t="shared" si="0"/>
        <v>0.38300000000000001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0.98</v>
      </c>
      <c r="I19" s="60">
        <f>frac_malaria_risk</f>
        <v>0.98</v>
      </c>
      <c r="J19" s="60">
        <f>frac_malaria_risk</f>
        <v>0.98</v>
      </c>
      <c r="K19" s="60">
        <f>frac_malaria_risk</f>
        <v>0.98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0.29899999999999999</v>
      </c>
      <c r="M24" s="60">
        <f>famplan_unmet_need</f>
        <v>0.29899999999999999</v>
      </c>
      <c r="N24" s="60">
        <f>famplan_unmet_need</f>
        <v>0.29899999999999999</v>
      </c>
      <c r="O24" s="60">
        <f>famplan_unmet_need</f>
        <v>0.29899999999999999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0.27726149450999998</v>
      </c>
      <c r="M25" s="60">
        <f>(1-food_insecure)*(0.49)+food_insecure*(0.7)</f>
        <v>0.57042999999999999</v>
      </c>
      <c r="N25" s="60">
        <f>(1-food_insecure)*(0.49)+food_insecure*(0.7)</f>
        <v>0.57042999999999999</v>
      </c>
      <c r="O25" s="60">
        <f>(1-food_insecure)*(0.49)+food_insecure*(0.7)</f>
        <v>0.57042999999999999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0.11882635478999998</v>
      </c>
      <c r="M26" s="60">
        <f>(1-food_insecure)*(0.21)+food_insecure*(0.3)</f>
        <v>0.24446999999999999</v>
      </c>
      <c r="N26" s="60">
        <f>(1-food_insecure)*(0.21)+food_insecure*(0.3)</f>
        <v>0.24446999999999999</v>
      </c>
      <c r="O26" s="60">
        <f>(1-food_insecure)*(0.21)+food_insecure*(0.3)</f>
        <v>0.24446999999999999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8.9969150699999986E-2</v>
      </c>
      <c r="M27" s="60">
        <f>(1-food_insecure)*(0.3)</f>
        <v>0.18509999999999999</v>
      </c>
      <c r="N27" s="60">
        <f>(1-food_insecure)*(0.3)</f>
        <v>0.18509999999999999</v>
      </c>
      <c r="O27" s="60">
        <f>(1-food_insecure)*(0.3)</f>
        <v>0.18509999999999999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0.51394300000000004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0.98</v>
      </c>
      <c r="D34" s="60">
        <f t="shared" si="4"/>
        <v>0.98</v>
      </c>
      <c r="E34" s="60">
        <f t="shared" si="4"/>
        <v>0.98</v>
      </c>
      <c r="F34" s="60">
        <f t="shared" si="4"/>
        <v>0.98</v>
      </c>
      <c r="G34" s="60">
        <f t="shared" si="4"/>
        <v>0.98</v>
      </c>
      <c r="H34" s="60">
        <f t="shared" si="4"/>
        <v>0.98</v>
      </c>
      <c r="I34" s="60">
        <f t="shared" si="4"/>
        <v>0.98</v>
      </c>
      <c r="J34" s="60">
        <f t="shared" si="4"/>
        <v>0.98</v>
      </c>
      <c r="K34" s="60">
        <f t="shared" si="4"/>
        <v>0.98</v>
      </c>
      <c r="L34" s="60">
        <f t="shared" si="4"/>
        <v>0.98</v>
      </c>
      <c r="M34" s="60">
        <f t="shared" si="4"/>
        <v>0.98</v>
      </c>
      <c r="N34" s="60">
        <f t="shared" si="4"/>
        <v>0.98</v>
      </c>
      <c r="O34" s="60">
        <f t="shared" si="4"/>
        <v>0.98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RmSVT66qBC5XvpgkkMikn4ruuKNUFHxpzXJXZR0i9YlD7DRULhUCFfaOI83ZigB0as+i0uO2iAMMR+OrIXWyA==" saltValue="9FLB3bG43m6gH8Y7IOEXS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TDBW5L5wHiYSMKmv1p6cMXacQzTYjLrDgf5uQrBJyeCLc3l5UciNpb88AaTWTLtgnEMEqIARGfZKOuwzL/ULlw==" saltValue="xPR0U9irn3/Sr5klGLk+A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Ti5ANB3xcsCFxT62vNOw89OO5+UcIJttOKpfaATTp5Z+kSerE4vpECk/LcHerMn3mrbq0/jDZyqQv8TTUOWDg==" saltValue="Si+Fr7guwtfhrSdz/Bh37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0sfdCqpI6Z4bxTZQVA//q/ModR5VkGzileZrBhicUeon7gsx0CuFxULE1dACMCXtADmqBdlEjRsp4NtgEbnCQ==" saltValue="fxHjECH2q0XRtfI8TmpwI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M1Vb+wvNxNRQtAqiWvuooNlWtZEgDYg2XQUVrz7I4j38i4ZLTL0+lBE+32O/7ril7CLLnnbVFqQW4n9Dc1C9ew==" saltValue="9MVquUNuABX6jK6IcJt/6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YtE0noj8Rj8X5WUVI1lYR0AINtG81mDVP377KJjR4LHjo2iPv3JcyxvXFwVBTwApnetkuw9qtV1OhywXyOrMCA==" saltValue="io+btYvkhHOVX0dBv/ulM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eFkTSodd7t2E0zMALtgYYJVhjC2e9xTRdcEFS5ns8LJASlgAu3Wh/JPu9uvPK4D0EILzMyfYmYRo+lh2nFuvPA==" saltValue="XX04NBXwv6JcY3URV3CQL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fpyjN0fwAs7FD5/pwL/xgTjOwPHDUgHZa7wDJb5IJ+fwN0jCozc2t4qm8gJL2CQrUEzp6VGK8n8PS7z0GdDlWw==" saltValue="pLrrX6cxSQmB9Fg5Gyhz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9f7lthoMHayBk9IPb6ahoip3ok62ARELRJ72nYWSpprTPp+7uTT3tDRz290ZyqDj5slalVLWPxHcr8OKS9zksw==" saltValue="hKp0yHoFPLrBRKGFfpt1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oL3q/gyjkscGd4roc2tHbkxAdx7yfhRl2j554ScRO236XjTVJIH1PuWdjYy48hHjz84TSPi/gVcxzP0Pbs4pg==" saltValue="B8z3f84WpLOB0AGpccPJ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4b0mGJjxMiQU+rtKxR+VZBx5rDjIgTInDCi3+fPtp9/uvzjs3SehnMro+07lGBt47emre3tVNdr56vLj3xqxA==" saltValue="vvtV6SV0gRmDfIxx+NFN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GFKZDREWErnYJ4qrF2cdJKhz/TXaGlEzfPSnhFAEs6qt0hxNuxv80S1N8FXSr7guUDg31Mhh603ZJatBGlUJ/w==" saltValue="gLe+x3xC/aomRSUw8XAy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rlq0RsWUNVL9+krqZEZ7Wz5WYC+IuuFNEJUjJvMI7NSgmy+MIT+5veXnda9JDuN9VmjOpFlLwXUYfcUIsr+0g==" saltValue="6ie0VKecnHs+zDiCdN1zs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jWSpZ3BUT+xnjUbGgSKiQGlQnvn8DlJ6FNmeSqR74BWxG7UpmCPeg++8clYolYclhsL/rM/rx3XcJsSXb1Moqg==" saltValue="MDP6HIrGEZJmhiJUxcie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i9Yu/+rKOWSvXkoKuVgHj9wmPI1v9kJJSOnCgdqluWpShj4sz0oQzkPvk4QaVcTysCTF2YksniAzsbre5OJDCg==" saltValue="4dTdqdKaNBsDOZ3oxO6n3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2026-04-29T02:15:12Z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