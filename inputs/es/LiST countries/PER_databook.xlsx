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EEA0F590-58CB-4D1E-BE44-A6CC124A5BC0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2" i="2" l="1"/>
  <c r="A25" i="2"/>
  <c r="A36" i="2"/>
  <c r="A26" i="2"/>
  <c r="I9" i="2"/>
  <c r="I13" i="2"/>
  <c r="A31" i="2"/>
  <c r="A34" i="2"/>
  <c r="A40" i="2"/>
  <c r="I2" i="2"/>
  <c r="I6" i="2"/>
  <c r="A19" i="2"/>
  <c r="A35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<sst xmlns="http://schemas.openxmlformats.org/spreadsheetml/2006/main" count="2169" uniqueCount="373">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</sst>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2677059</v>
      </c>
    </row>
    <row r="8" spans="1:3" ht="15" customHeight="1" x14ac:dyDescent="0.25">
      <c r="B8" s="5" t="s">
        <v>63</v>
      </c>
      <c r="C8" s="44">
        <v>2.5999999999999999E-2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0.81257881164550794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0.33900000000000002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0.1017</v>
      </c>
    </row>
    <row r="24" spans="1:3" ht="15" customHeight="1" x14ac:dyDescent="0.25">
      <c r="B24" s="15" t="s">
        <v>65</v>
      </c>
      <c r="C24" s="45">
        <v>0.4788</v>
      </c>
    </row>
    <row r="25" spans="1:3" ht="15" customHeight="1" x14ac:dyDescent="0.25">
      <c r="B25" s="15" t="s">
        <v>66</v>
      </c>
      <c r="C25" s="45">
        <v>0.3508</v>
      </c>
    </row>
    <row r="26" spans="1:3" ht="15" customHeight="1" x14ac:dyDescent="0.25">
      <c r="B26" s="15" t="s">
        <v>67</v>
      </c>
      <c r="C26" s="45">
        <v>6.8699999999999997E-2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0.35066608906841101</v>
      </c>
    </row>
    <row r="30" spans="1:3" ht="14.25" customHeight="1" x14ac:dyDescent="0.25">
      <c r="B30" s="25" t="s">
        <v>82</v>
      </c>
      <c r="C30" s="97">
        <v>2.06592801300131E-2</v>
      </c>
    </row>
    <row r="31" spans="1:3" ht="14.25" customHeight="1" x14ac:dyDescent="0.25">
      <c r="B31" s="25" t="s">
        <v>29</v>
      </c>
      <c r="C31" s="97">
        <v>5.6103010463544101E-2</v>
      </c>
    </row>
    <row r="32" spans="1:3" ht="14.25" customHeight="1" x14ac:dyDescent="0.25">
      <c r="B32" s="25" t="s">
        <v>30</v>
      </c>
      <c r="C32" s="97">
        <v>0.57257162033803199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7.1367700000000003</v>
      </c>
    </row>
    <row r="38" spans="1:5" ht="15" customHeight="1" x14ac:dyDescent="0.25">
      <c r="B38" s="11" t="s">
        <v>54</v>
      </c>
      <c r="C38" s="43">
        <v>10.960900000000001</v>
      </c>
      <c r="D38" s="12"/>
      <c r="E38" s="13"/>
    </row>
    <row r="39" spans="1:5" ht="15" customHeight="1" x14ac:dyDescent="0.25">
      <c r="B39" s="11" t="s">
        <v>80</v>
      </c>
      <c r="C39" s="43">
        <v>14.12261</v>
      </c>
      <c r="D39" s="12"/>
      <c r="E39" s="12"/>
    </row>
    <row r="40" spans="1:5" ht="15" customHeight="1" x14ac:dyDescent="0.25">
      <c r="B40" s="11" t="s">
        <v>55</v>
      </c>
      <c r="C40" s="98">
        <v>0.69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6.6315799999999996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5.8412000000000004E-3</v>
      </c>
      <c r="D45" s="12"/>
    </row>
    <row r="46" spans="1:5" ht="15.75" customHeight="1" x14ac:dyDescent="0.25">
      <c r="B46" s="11" t="s">
        <v>70</v>
      </c>
      <c r="C46" s="45">
        <v>6.0999800000000007E-2</v>
      </c>
      <c r="D46" s="12"/>
    </row>
    <row r="47" spans="1:5" ht="15.75" customHeight="1" x14ac:dyDescent="0.25">
      <c r="B47" s="11" t="s">
        <v>78</v>
      </c>
      <c r="C47" s="45">
        <v>4.6633800000000003E-2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0.60645700000000002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9.4036293000000007E-2</v>
      </c>
    </row>
    <row r="63" spans="1:4" ht="15.75" customHeight="1" x14ac:dyDescent="0.3">
      <c r="A63" s="4"/>
    </row>
  </sheetData>
  <sheetProtection algorithmName="SHA-512" hashValue="hpjPe3N9fnLnBsG9djiz+xWWcVyh6Av+jE4Jal9wMbuisP5xMry6AlriZCkQ/wP/K2rHnRBVKT0l0Apo+No6vQ==" saltValue="Y63WRllduAaSFMT150DF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538952</v>
      </c>
      <c r="C2" s="49">
        <v>1426948</v>
      </c>
      <c r="D2" s="49">
        <v>2789217</v>
      </c>
      <c r="E2" s="49">
        <v>2698483</v>
      </c>
      <c r="F2" s="49">
        <v>2202037.0000000005</v>
      </c>
      <c r="G2" s="17">
        <f t="shared" ref="G2:G13" si="0">C2+D2+E2+F2</f>
        <v>9116685</v>
      </c>
      <c r="H2" s="17">
        <f t="shared" ref="H2:H13" si="1">(B2 + stillbirth*B2/(1000-stillbirth))/(1-abortion)</f>
        <v>616534.04941688653</v>
      </c>
      <c r="I2" s="17">
        <f t="shared" ref="I2:I13" si="2">G2-H2</f>
        <v>8500150.9505831134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535695</v>
      </c>
      <c r="C3" s="50">
        <v>1421672.5</v>
      </c>
      <c r="D3" s="50">
        <v>2793505.5</v>
      </c>
      <c r="E3" s="50">
        <v>2728333.4999999995</v>
      </c>
      <c r="F3" s="50">
        <v>2247316</v>
      </c>
      <c r="G3" s="17">
        <f t="shared" si="0"/>
        <v>9190827.5</v>
      </c>
      <c r="H3" s="17">
        <f t="shared" si="1"/>
        <v>612808.20481671661</v>
      </c>
      <c r="I3" s="17">
        <f t="shared" si="2"/>
        <v>8578019.2951832842</v>
      </c>
    </row>
    <row r="4" spans="1:9" ht="15.75" customHeight="1" x14ac:dyDescent="0.25">
      <c r="A4" s="5">
        <f t="shared" si="3"/>
        <v>2026</v>
      </c>
      <c r="B4" s="49">
        <v>532846</v>
      </c>
      <c r="C4" s="50">
        <v>1413492.5</v>
      </c>
      <c r="D4" s="50">
        <v>2798974.5</v>
      </c>
      <c r="E4" s="50">
        <v>2751090.5000000005</v>
      </c>
      <c r="F4" s="50">
        <v>2294620.5</v>
      </c>
      <c r="G4" s="17">
        <f t="shared" si="0"/>
        <v>9258178</v>
      </c>
      <c r="H4" s="17">
        <f t="shared" si="1"/>
        <v>609549.0917476702</v>
      </c>
      <c r="I4" s="17">
        <f t="shared" si="2"/>
        <v>8648628.9082523305</v>
      </c>
    </row>
    <row r="5" spans="1:9" ht="15.75" customHeight="1" x14ac:dyDescent="0.25">
      <c r="A5" s="5">
        <f t="shared" si="3"/>
        <v>2027</v>
      </c>
      <c r="B5" s="49">
        <v>530375</v>
      </c>
      <c r="C5" s="50">
        <v>1402817.5</v>
      </c>
      <c r="D5" s="50">
        <v>2805019.5000000005</v>
      </c>
      <c r="E5" s="50">
        <v>2767576</v>
      </c>
      <c r="F5" s="50">
        <v>2343605.5</v>
      </c>
      <c r="G5" s="17">
        <f t="shared" si="0"/>
        <v>9319018.5</v>
      </c>
      <c r="H5" s="17">
        <f t="shared" si="1"/>
        <v>606722.39171481167</v>
      </c>
      <c r="I5" s="17">
        <f t="shared" si="2"/>
        <v>8712296.1082851887</v>
      </c>
    </row>
    <row r="6" spans="1:9" ht="15.75" customHeight="1" x14ac:dyDescent="0.25">
      <c r="A6" s="5">
        <f t="shared" si="3"/>
        <v>2028</v>
      </c>
      <c r="B6" s="49">
        <v>527850</v>
      </c>
      <c r="C6" s="50">
        <v>1389986</v>
      </c>
      <c r="D6" s="50">
        <v>2809589</v>
      </c>
      <c r="E6" s="50">
        <v>2778431</v>
      </c>
      <c r="F6" s="50">
        <v>2393756.0000000005</v>
      </c>
      <c r="G6" s="17">
        <f t="shared" si="0"/>
        <v>9371762</v>
      </c>
      <c r="H6" s="17">
        <f t="shared" si="1"/>
        <v>603833.91839106928</v>
      </c>
      <c r="I6" s="17">
        <f t="shared" si="2"/>
        <v>8767928.0816089306</v>
      </c>
    </row>
    <row r="7" spans="1:9" ht="15.75" customHeight="1" x14ac:dyDescent="0.25">
      <c r="A7" s="5">
        <f t="shared" si="3"/>
        <v>2029</v>
      </c>
      <c r="B7" s="49">
        <v>524403</v>
      </c>
      <c r="C7" s="50">
        <v>1377260</v>
      </c>
      <c r="D7" s="50">
        <v>2811580.5</v>
      </c>
      <c r="E7" s="50">
        <v>2784423</v>
      </c>
      <c r="F7" s="50">
        <v>2444131.0000000005</v>
      </c>
      <c r="G7" s="17">
        <f t="shared" si="0"/>
        <v>9417394.5</v>
      </c>
      <c r="H7" s="17">
        <f t="shared" si="1"/>
        <v>599890.72332297417</v>
      </c>
      <c r="I7" s="17">
        <f t="shared" si="2"/>
        <v>8817503.7766770255</v>
      </c>
    </row>
    <row r="8" spans="1:9" ht="15.75" customHeight="1" x14ac:dyDescent="0.25">
      <c r="A8" s="5">
        <f t="shared" si="3"/>
        <v>2030</v>
      </c>
      <c r="B8" s="49">
        <v>520799</v>
      </c>
      <c r="C8" s="50">
        <v>1365340.5</v>
      </c>
      <c r="D8" s="50">
        <v>2810185.4999999995</v>
      </c>
      <c r="E8" s="50">
        <v>2786849.5000000005</v>
      </c>
      <c r="F8" s="50">
        <v>2493729.0000000005</v>
      </c>
      <c r="G8" s="17">
        <f t="shared" si="0"/>
        <v>9456104.5</v>
      </c>
      <c r="H8" s="17">
        <f t="shared" si="1"/>
        <v>595767.92813138291</v>
      </c>
      <c r="I8" s="17">
        <f t="shared" si="2"/>
        <v>8860336.5718686171</v>
      </c>
    </row>
    <row r="9" spans="1:9" ht="15.75" customHeight="1" x14ac:dyDescent="0.25">
      <c r="A9" s="5">
        <f t="shared" si="3"/>
        <v>2031</v>
      </c>
      <c r="B9" s="49">
        <v>517203.99999999994</v>
      </c>
      <c r="C9" s="50">
        <v>1352918.5</v>
      </c>
      <c r="D9" s="50">
        <v>2809417.9999999995</v>
      </c>
      <c r="E9" s="50">
        <v>2784442.5</v>
      </c>
      <c r="F9" s="50">
        <v>2541618</v>
      </c>
      <c r="G9" s="17">
        <f t="shared" si="0"/>
        <v>9488397</v>
      </c>
      <c r="H9" s="17">
        <f t="shared" si="1"/>
        <v>591655.42848827236</v>
      </c>
      <c r="I9" s="17">
        <f t="shared" si="2"/>
        <v>8896741.5715117268</v>
      </c>
    </row>
    <row r="10" spans="1:9" ht="15.75" customHeight="1" x14ac:dyDescent="0.25">
      <c r="A10" s="5">
        <f t="shared" si="3"/>
        <v>2032</v>
      </c>
      <c r="B10" s="49">
        <v>514086</v>
      </c>
      <c r="C10" s="50">
        <v>1341241.5</v>
      </c>
      <c r="D10" s="50">
        <v>2808822</v>
      </c>
      <c r="E10" s="50">
        <v>2777990.5</v>
      </c>
      <c r="F10" s="50">
        <v>2586488.5000000005</v>
      </c>
      <c r="G10" s="17">
        <f t="shared" si="0"/>
        <v>9514542.5</v>
      </c>
      <c r="H10" s="17">
        <f t="shared" si="1"/>
        <v>588088.59291463718</v>
      </c>
      <c r="I10" s="17">
        <f t="shared" si="2"/>
        <v>8926453.9070853628</v>
      </c>
    </row>
    <row r="11" spans="1:9" ht="15.75" customHeight="1" x14ac:dyDescent="0.25">
      <c r="A11" s="5">
        <f t="shared" si="3"/>
        <v>2033</v>
      </c>
      <c r="B11" s="49">
        <v>511252</v>
      </c>
      <c r="C11" s="50">
        <v>1332616</v>
      </c>
      <c r="D11" s="50">
        <v>2803426.9999999995</v>
      </c>
      <c r="E11" s="50">
        <v>2771607.5</v>
      </c>
      <c r="F11" s="50">
        <v>2626949</v>
      </c>
      <c r="G11" s="17">
        <f t="shared" si="0"/>
        <v>9534599.5</v>
      </c>
      <c r="H11" s="17">
        <f t="shared" si="1"/>
        <v>584846.63909305853</v>
      </c>
      <c r="I11" s="17">
        <f t="shared" si="2"/>
        <v>8949752.8609069418</v>
      </c>
    </row>
    <row r="12" spans="1:9" ht="15.75" customHeight="1" x14ac:dyDescent="0.25">
      <c r="A12" s="5">
        <f t="shared" si="3"/>
        <v>2034</v>
      </c>
      <c r="B12" s="49">
        <v>508042</v>
      </c>
      <c r="C12" s="50">
        <v>1326704.5</v>
      </c>
      <c r="D12" s="50">
        <v>2791413.4999999995</v>
      </c>
      <c r="E12" s="50">
        <v>2769103.5</v>
      </c>
      <c r="F12" s="50">
        <v>2661790.5</v>
      </c>
      <c r="G12" s="17">
        <f t="shared" si="0"/>
        <v>9549012</v>
      </c>
      <c r="H12" s="17">
        <f t="shared" si="1"/>
        <v>581174.56013495428</v>
      </c>
      <c r="I12" s="17">
        <f t="shared" si="2"/>
        <v>8967837.4398650452</v>
      </c>
    </row>
    <row r="13" spans="1:9" ht="15.75" customHeight="1" x14ac:dyDescent="0.25">
      <c r="A13" s="5">
        <f t="shared" si="3"/>
        <v>2035</v>
      </c>
      <c r="B13" s="49">
        <v>504811</v>
      </c>
      <c r="C13" s="50">
        <v>1323286</v>
      </c>
      <c r="D13" s="50">
        <v>2773301.0000000005</v>
      </c>
      <c r="E13" s="50">
        <v>2770639.5</v>
      </c>
      <c r="F13" s="50">
        <v>2690171.5</v>
      </c>
      <c r="G13" s="17">
        <f t="shared" si="0"/>
        <v>9557398</v>
      </c>
      <c r="H13" s="17">
        <f t="shared" si="1"/>
        <v>577478.4582303951</v>
      </c>
      <c r="I13" s="17">
        <f t="shared" si="2"/>
        <v>8979919.5417696051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M3rQe9fjL2UQ54HmfsR41Sdut31GEppaMkP3qMEbj9EqM8Iz25MuvG55iJJwOPr0Yf4KBToy7kUZrWGZEBGcg==" saltValue="sJ0j4yLTcZ+K7y72JIBXu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6.8213585686113243E-2</v>
      </c>
    </row>
    <row r="5" spans="1:8" ht="15.75" customHeight="1" x14ac:dyDescent="0.25">
      <c r="B5" s="19" t="s">
        <v>114</v>
      </c>
      <c r="C5" s="99">
        <v>2.0191202959532081E-2</v>
      </c>
    </row>
    <row r="6" spans="1:8" ht="15.75" customHeight="1" x14ac:dyDescent="0.25">
      <c r="B6" s="19" t="s">
        <v>110</v>
      </c>
      <c r="C6" s="99">
        <v>0.1647395441538852</v>
      </c>
    </row>
    <row r="7" spans="1:8" ht="15.75" customHeight="1" x14ac:dyDescent="0.25">
      <c r="B7" s="19" t="s">
        <v>115</v>
      </c>
      <c r="C7" s="99">
        <v>0.40726092353651949</v>
      </c>
    </row>
    <row r="8" spans="1:8" ht="15.75" customHeight="1" x14ac:dyDescent="0.25">
      <c r="B8" s="19" t="s">
        <v>117</v>
      </c>
      <c r="C8" s="99">
        <v>1.1011728567132039E-2</v>
      </c>
    </row>
    <row r="9" spans="1:8" ht="15.75" customHeight="1" x14ac:dyDescent="0.25">
      <c r="B9" s="19" t="s">
        <v>111</v>
      </c>
      <c r="C9" s="99">
        <v>0.22914229320527599</v>
      </c>
    </row>
    <row r="10" spans="1:8" ht="15.75" customHeight="1" x14ac:dyDescent="0.25">
      <c r="B10" s="19" t="s">
        <v>113</v>
      </c>
      <c r="C10" s="99">
        <v>9.9440721891541795E-2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7.8720322230260348E-2</v>
      </c>
      <c r="D14" s="55">
        <v>7.8720322230260348E-2</v>
      </c>
      <c r="E14" s="55">
        <v>7.8720322230260348E-2</v>
      </c>
      <c r="F14" s="55">
        <v>7.8720322230260348E-2</v>
      </c>
    </row>
    <row r="15" spans="1:8" ht="15.75" customHeight="1" x14ac:dyDescent="0.25">
      <c r="B15" s="19" t="s">
        <v>121</v>
      </c>
      <c r="C15" s="99">
        <v>0.30279653142205609</v>
      </c>
      <c r="D15" s="99">
        <v>0.30279653142205609</v>
      </c>
      <c r="E15" s="99">
        <v>0.30279653142205609</v>
      </c>
      <c r="F15" s="99">
        <v>0.30279653142205609</v>
      </c>
    </row>
    <row r="16" spans="1:8" ht="15.75" customHeight="1" x14ac:dyDescent="0.25">
      <c r="B16" s="19" t="s">
        <v>2</v>
      </c>
      <c r="C16" s="99">
        <v>2.3327980127058529E-2</v>
      </c>
      <c r="D16" s="99">
        <v>2.3327980127058529E-2</v>
      </c>
      <c r="E16" s="99">
        <v>2.3327980127058529E-2</v>
      </c>
      <c r="F16" s="99">
        <v>2.3327980127058529E-2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3.8316375366036931E-3</v>
      </c>
      <c r="D18" s="99">
        <v>3.8316375366036931E-3</v>
      </c>
      <c r="E18" s="99">
        <v>3.8316375366036931E-3</v>
      </c>
      <c r="F18" s="99">
        <v>3.8316375366036931E-3</v>
      </c>
    </row>
    <row r="19" spans="1:8" ht="15.75" customHeight="1" x14ac:dyDescent="0.25">
      <c r="B19" s="19" t="s">
        <v>120</v>
      </c>
      <c r="C19" s="99">
        <v>2.6632053203642779E-2</v>
      </c>
      <c r="D19" s="99">
        <v>2.6632053203642779E-2</v>
      </c>
      <c r="E19" s="99">
        <v>2.6632053203642779E-2</v>
      </c>
      <c r="F19" s="99">
        <v>2.6632053203642779E-2</v>
      </c>
    </row>
    <row r="20" spans="1:8" ht="15.75" customHeight="1" x14ac:dyDescent="0.25">
      <c r="B20" s="19" t="s">
        <v>98</v>
      </c>
      <c r="C20" s="99">
        <v>3.7244085545977627E-2</v>
      </c>
      <c r="D20" s="99">
        <v>3.7244085545977627E-2</v>
      </c>
      <c r="E20" s="99">
        <v>3.7244085545977627E-2</v>
      </c>
      <c r="F20" s="99">
        <v>3.7244085545977627E-2</v>
      </c>
    </row>
    <row r="21" spans="1:8" ht="15.75" customHeight="1" x14ac:dyDescent="0.25">
      <c r="B21" s="19" t="s">
        <v>107</v>
      </c>
      <c r="C21" s="99">
        <v>0.39295376627483958</v>
      </c>
      <c r="D21" s="99">
        <v>0.39295376627483958</v>
      </c>
      <c r="E21" s="99">
        <v>0.39295376627483958</v>
      </c>
      <c r="F21" s="99">
        <v>0.39295376627483958</v>
      </c>
    </row>
    <row r="22" spans="1:8" ht="15.75" customHeight="1" x14ac:dyDescent="0.25">
      <c r="B22" s="19" t="s">
        <v>118</v>
      </c>
      <c r="C22" s="99">
        <v>0.1344936236595613</v>
      </c>
      <c r="D22" s="99">
        <v>0.1344936236595613</v>
      </c>
      <c r="E22" s="99">
        <v>0.1344936236595613</v>
      </c>
      <c r="F22" s="99">
        <v>0.1344936236595613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5.9206632000000002E-2</v>
      </c>
    </row>
    <row r="27" spans="1:8" ht="15.75" customHeight="1" x14ac:dyDescent="0.25">
      <c r="B27" s="19" t="s">
        <v>108</v>
      </c>
      <c r="C27" s="99">
        <v>5.4331326999999999E-2</v>
      </c>
    </row>
    <row r="28" spans="1:8" ht="15.75" customHeight="1" x14ac:dyDescent="0.25">
      <c r="B28" s="19" t="s">
        <v>122</v>
      </c>
      <c r="C28" s="99">
        <v>8.2001606000000005E-2</v>
      </c>
    </row>
    <row r="29" spans="1:8" ht="15.75" customHeight="1" x14ac:dyDescent="0.25">
      <c r="B29" s="19" t="s">
        <v>105</v>
      </c>
      <c r="C29" s="99">
        <v>0.17244879399999999</v>
      </c>
    </row>
    <row r="30" spans="1:8" ht="15.75" customHeight="1" x14ac:dyDescent="0.25">
      <c r="B30" s="19" t="s">
        <v>4</v>
      </c>
      <c r="C30" s="99">
        <v>0.28298384500000001</v>
      </c>
    </row>
    <row r="31" spans="1:8" ht="15.75" customHeight="1" x14ac:dyDescent="0.25">
      <c r="B31" s="19" t="s">
        <v>99</v>
      </c>
      <c r="C31" s="99">
        <v>5.2443504000000002E-2</v>
      </c>
    </row>
    <row r="32" spans="1:8" ht="15.75" customHeight="1" x14ac:dyDescent="0.25">
      <c r="B32" s="19" t="s">
        <v>104</v>
      </c>
      <c r="C32" s="99">
        <v>1.1239091E-2</v>
      </c>
    </row>
    <row r="33" spans="2:3" ht="15.75" customHeight="1" x14ac:dyDescent="0.25">
      <c r="B33" s="19" t="s">
        <v>119</v>
      </c>
      <c r="C33" s="99">
        <v>0.207844573</v>
      </c>
    </row>
    <row r="34" spans="2:3" ht="15.75" customHeight="1" x14ac:dyDescent="0.25">
      <c r="B34" s="19" t="s">
        <v>106</v>
      </c>
      <c r="C34" s="99">
        <v>7.7500629000000015E-2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XyaZN8jWbZVFblaPJOSCErwlD2/h26SRvhkFo8mZBhfLg6HFd3VJ4Xxl+BzUrYvaFe5LZr4FyH6UUPqWU5DLjQ==" saltValue="/odi7ZcdVJzNlRUaCAyW6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0.5921916963497369</v>
      </c>
      <c r="D2" s="52">
        <f>IFERROR(1-_xlfn.NORM.DIST(_xlfn.NORM.INV(SUM(D4:D5), 0, 1) + 1, 0, 1, TRUE), "")</f>
        <v>0.5921916963497369</v>
      </c>
      <c r="E2" s="52">
        <f>IFERROR(1-_xlfn.NORM.DIST(_xlfn.NORM.INV(SUM(E4:E5), 0, 1) + 1, 0, 1, TRUE), "")</f>
        <v>0.60621154473411054</v>
      </c>
      <c r="F2" s="52">
        <f>IFERROR(1-_xlfn.NORM.DIST(_xlfn.NORM.INV(SUM(F4:F5), 0, 1) + 1, 0, 1, TRUE), "")</f>
        <v>0.51041057710690996</v>
      </c>
      <c r="G2" s="52">
        <f>IFERROR(1-_xlfn.NORM.DIST(_xlfn.NORM.INV(SUM(G4:G5), 0, 1) + 1, 0, 1, TRUE), "")</f>
        <v>0.60111890850032568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0.29905520365026306</v>
      </c>
      <c r="D3" s="52">
        <f>IFERROR(_xlfn.NORM.DIST(_xlfn.NORM.INV(SUM(D4:D5), 0, 1) + 1, 0, 1, TRUE) - SUM(D4:D5), "")</f>
        <v>0.29905520365026306</v>
      </c>
      <c r="E3" s="52">
        <f>IFERROR(_xlfn.NORM.DIST(_xlfn.NORM.INV(SUM(E4:E5), 0, 1) + 1, 0, 1, TRUE) - SUM(E4:E5), "")</f>
        <v>0.29164965526588948</v>
      </c>
      <c r="F3" s="52">
        <f>IFERROR(_xlfn.NORM.DIST(_xlfn.NORM.INV(SUM(F4:F5), 0, 1) + 1, 0, 1, TRUE) - SUM(F4:F5), "")</f>
        <v>0.33716682289309008</v>
      </c>
      <c r="G3" s="52">
        <f>IFERROR(_xlfn.NORM.DIST(_xlfn.NORM.INV(SUM(G4:G5), 0, 1) + 1, 0, 1, TRUE) - SUM(G4:G5), "")</f>
        <v>0.29436739149967428</v>
      </c>
    </row>
    <row r="4" spans="1:15" ht="15.75" customHeight="1" x14ac:dyDescent="0.25">
      <c r="B4" s="5" t="s">
        <v>129</v>
      </c>
      <c r="C4" s="45">
        <v>9.1949900000000001E-2</v>
      </c>
      <c r="D4" s="53">
        <v>9.1949900000000001E-2</v>
      </c>
      <c r="E4" s="53">
        <v>8.9927399999999991E-2</v>
      </c>
      <c r="F4" s="53">
        <v>0.1284496</v>
      </c>
      <c r="G4" s="53">
        <v>9.2411399999999991E-2</v>
      </c>
    </row>
    <row r="5" spans="1:15" ht="15.75" customHeight="1" x14ac:dyDescent="0.25">
      <c r="B5" s="5" t="s">
        <v>125</v>
      </c>
      <c r="C5" s="45">
        <v>1.6803200000000001E-2</v>
      </c>
      <c r="D5" s="53">
        <v>1.6803200000000001E-2</v>
      </c>
      <c r="E5" s="53">
        <v>1.2211400000000001E-2</v>
      </c>
      <c r="F5" s="53">
        <v>2.3973000000000001E-2</v>
      </c>
      <c r="G5" s="53">
        <v>1.21023E-2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0.90475779701711179</v>
      </c>
      <c r="D8" s="52">
        <f>IFERROR(1-_xlfn.NORM.DIST(_xlfn.NORM.INV(SUM(D10:D11), 0, 1) + 1, 0, 1, TRUE), "")</f>
        <v>0.90475779701711179</v>
      </c>
      <c r="E8" s="52">
        <f>IFERROR(1-_xlfn.NORM.DIST(_xlfn.NORM.INV(SUM(E10:E11), 0, 1) + 1, 0, 1, TRUE), "")</f>
        <v>0.94087382088702665</v>
      </c>
      <c r="F8" s="52">
        <f>IFERROR(1-_xlfn.NORM.DIST(_xlfn.NORM.INV(SUM(F10:F11), 0, 1) + 1, 0, 1, TRUE), "")</f>
        <v>0.94899462602511231</v>
      </c>
      <c r="G8" s="52">
        <f>IFERROR(1-_xlfn.NORM.DIST(_xlfn.NORM.INV(SUM(G10:G11), 0, 1) + 1, 0, 1, TRUE), "")</f>
        <v>0.95969227345541575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8.4774502982888231E-2</v>
      </c>
      <c r="D9" s="52">
        <f>IFERROR(_xlfn.NORM.DIST(_xlfn.NORM.INV(SUM(D10:D11), 0, 1) + 1, 0, 1, TRUE) - SUM(D10:D11), "")</f>
        <v>8.4774502982888231E-2</v>
      </c>
      <c r="E9" s="52">
        <f>IFERROR(_xlfn.NORM.DIST(_xlfn.NORM.INV(SUM(E10:E11), 0, 1) + 1, 0, 1, TRUE) - SUM(E10:E11), "")</f>
        <v>5.3924879112973362E-2</v>
      </c>
      <c r="F9" s="52">
        <f>IFERROR(_xlfn.NORM.DIST(_xlfn.NORM.INV(SUM(F10:F11), 0, 1) + 1, 0, 1, TRUE) - SUM(F10:F11), "")</f>
        <v>4.6800773974887661E-2</v>
      </c>
      <c r="G9" s="52">
        <f>IFERROR(_xlfn.NORM.DIST(_xlfn.NORM.INV(SUM(G10:G11), 0, 1) + 1, 0, 1, TRUE) - SUM(G10:G11), "")</f>
        <v>3.7301726544584225E-2</v>
      </c>
    </row>
    <row r="10" spans="1:15" ht="15.75" customHeight="1" x14ac:dyDescent="0.25">
      <c r="B10" s="5" t="s">
        <v>126</v>
      </c>
      <c r="C10" s="45">
        <v>4.8057999999999998E-3</v>
      </c>
      <c r="D10" s="53">
        <v>4.8057999999999998E-3</v>
      </c>
      <c r="E10" s="53">
        <v>2.5625999999999999E-3</v>
      </c>
      <c r="F10" s="53">
        <v>2.9545999999999999E-3</v>
      </c>
      <c r="G10" s="53">
        <v>2.8151000000000001E-3</v>
      </c>
    </row>
    <row r="11" spans="1:15" ht="15.75" customHeight="1" x14ac:dyDescent="0.25">
      <c r="B11" s="5" t="s">
        <v>138</v>
      </c>
      <c r="C11" s="45">
        <v>5.6619000000000001E-3</v>
      </c>
      <c r="D11" s="53">
        <v>5.6619000000000001E-3</v>
      </c>
      <c r="E11" s="53">
        <v>2.6386999999999999E-3</v>
      </c>
      <c r="F11" s="53">
        <v>1.25E-3</v>
      </c>
      <c r="G11" s="53">
        <v>1.9090000000000001E-4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0.90798535650000001</v>
      </c>
      <c r="D14" s="54">
        <v>0.87176858063600005</v>
      </c>
      <c r="E14" s="54">
        <v>0.87176858063600005</v>
      </c>
      <c r="F14" s="54">
        <v>0.44194822078700002</v>
      </c>
      <c r="G14" s="54">
        <v>0.44194822078700002</v>
      </c>
      <c r="H14" s="45">
        <v>0.25800000000000001</v>
      </c>
      <c r="I14" s="55">
        <v>0.25800000000000001</v>
      </c>
      <c r="J14" s="55">
        <v>0.25800000000000001</v>
      </c>
      <c r="K14" s="55">
        <v>0.25800000000000001</v>
      </c>
      <c r="L14" s="45">
        <v>0.18099999999999999</v>
      </c>
      <c r="M14" s="55">
        <v>0.18099999999999999</v>
      </c>
      <c r="N14" s="55">
        <v>0.18099999999999999</v>
      </c>
      <c r="O14" s="55">
        <v>0.18099999999999999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0.55065407534692057</v>
      </c>
      <c r="D15" s="52">
        <f t="shared" si="0"/>
        <v>0.52869015810676667</v>
      </c>
      <c r="E15" s="52">
        <f t="shared" si="0"/>
        <v>0.52869015810676667</v>
      </c>
      <c r="F15" s="52">
        <f t="shared" si="0"/>
        <v>0.26802259213382168</v>
      </c>
      <c r="G15" s="52">
        <f t="shared" si="0"/>
        <v>0.26802259213382168</v>
      </c>
      <c r="H15" s="52">
        <f t="shared" si="0"/>
        <v>0.15646590600000002</v>
      </c>
      <c r="I15" s="52">
        <f t="shared" si="0"/>
        <v>0.15646590600000002</v>
      </c>
      <c r="J15" s="52">
        <f t="shared" si="0"/>
        <v>0.15646590600000002</v>
      </c>
      <c r="K15" s="52">
        <f t="shared" si="0"/>
        <v>0.15646590600000002</v>
      </c>
      <c r="L15" s="52">
        <f t="shared" si="0"/>
        <v>0.109768717</v>
      </c>
      <c r="M15" s="52">
        <f t="shared" si="0"/>
        <v>0.109768717</v>
      </c>
      <c r="N15" s="52">
        <f t="shared" si="0"/>
        <v>0.109768717</v>
      </c>
      <c r="O15" s="52">
        <f t="shared" si="0"/>
        <v>0.109768717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1x4RSNzv9uSt0isWnVYipE9m9/TZ+oYN9JBnfPfeqxA4rvNs5SRWCHJ71bLPQVSgIHKYEfKQa66xq8jZsm3F2Q==" saltValue="CIGtFMQgMbPeM0D458Sa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0.76569710000000002</v>
      </c>
      <c r="D2" s="53">
        <v>0.62137850000000006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1.6957400000000001E-2</v>
      </c>
      <c r="D3" s="53">
        <v>6.7201399999999994E-2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0.21405959999999999</v>
      </c>
      <c r="D4" s="53">
        <v>0.28064060000000002</v>
      </c>
      <c r="E4" s="53">
        <v>0.92909400000000009</v>
      </c>
      <c r="F4" s="53">
        <v>0.71526470000000009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3.2858999999999527E-3</v>
      </c>
      <c r="D5" s="52">
        <f t="shared" si="0"/>
        <v>3.077949999999996E-2</v>
      </c>
      <c r="E5" s="52">
        <f>1-SUM(E2:E4)</f>
        <v>7.0905999999999914E-2</v>
      </c>
      <c r="F5" s="52">
        <f>1-SUM(F2:F4)</f>
        <v>0.28473529999999991</v>
      </c>
      <c r="G5" s="52">
        <f>1-SUM(G2:G4)</f>
        <v>1</v>
      </c>
    </row>
  </sheetData>
  <sheetProtection algorithmName="SHA-512" hashValue="NwgNDOPKVvF1tKEIgDz/GFoH0FT1aP5j0+LglMb8Hng6cw55Yp2ssdo0kl/6bvmu4auoZR25MmDRfyHYaBkV8w==" saltValue="J7KsGFXEaJ3lggBG6FpT/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2bU9MfZH5Th2Xu2FTIspZHwX6T8MiHJmN6GXcsm9SIYOj6zzbEGJWbVhia1llnJ2dDwq2xsRm1dC9Q67vmKjUA==" saltValue="CM3Tq82DrMs+SABMcHCXV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7125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0.40991999999999995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0.69590000000000007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1.2463618005278678E-2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98748.083570000003</v>
      </c>
      <c r="C22" s="107">
        <v>98611.810440000001</v>
      </c>
      <c r="D22" s="107">
        <v>98467.933009999993</v>
      </c>
      <c r="E22" s="107">
        <v>98208.162750000003</v>
      </c>
      <c r="F22" s="107">
        <v>97823.091579999993</v>
      </c>
      <c r="G22" s="107">
        <v>97346.762789999993</v>
      </c>
      <c r="H22" s="107">
        <v>96795.648430000001</v>
      </c>
      <c r="I22" s="107">
        <v>96127.660619999995</v>
      </c>
      <c r="J22" s="107">
        <v>95262.577999999994</v>
      </c>
      <c r="K22" s="107">
        <v>94101.532789999997</v>
      </c>
      <c r="L22" s="107">
        <v>92460.247180000006</v>
      </c>
      <c r="M22" s="107">
        <v>90108.656659999993</v>
      </c>
      <c r="N22" s="107">
        <v>86635.609119999994</v>
      </c>
      <c r="O22" s="107">
        <v>81499.982459999999</v>
      </c>
    </row>
  </sheetData>
  <sheetProtection algorithmName="SHA-512" hashValue="0oPS2ovzi/3pxjPl3f4Vwr9qI8o+IIrRsaQPWugVIUb2QKPgqI/ouVE2ptUfJoul3DOgt9BuiAdwxHzBBKZaUg==" saltValue="OMPEfFecfaq4ZbugUBVUJ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G1exsGXVSDWXapK+DO+tVuVZFgV5QOc5MTur+pFlzOLvJUrKOyaABPD3ObSwl1lY+Wg85K96uCS7BYGkNbJIQw==" saltValue="km0IKwZtH5ggE4++DQFHk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RSL4aqDGxegzW8dtrZb8gwaaENKaLik3XzuTPjBAR+fara7GgJmK1jFL6XvSBQ5sOnsEpoR057kI+rvdtDy6qg==" saltValue="LSSuKMYY8ujYAgGZl683e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0.67937290000000006</v>
      </c>
      <c r="C10" s="96">
        <v>0.95</v>
      </c>
      <c r="D10" s="56">
        <v>13.2848109011973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13.2848109011973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13.2848109011973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13.2848109011973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0.67937290000000006</v>
      </c>
      <c r="C14" s="96">
        <v>0.95</v>
      </c>
      <c r="D14" s="56">
        <v>13.2848109011973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13.2848109011973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5.1057523E-2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0.62137850000000006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0.62137850000000006</v>
      </c>
      <c r="C19" s="96">
        <v>0.95</v>
      </c>
      <c r="D19" s="56">
        <v>13.888305673904391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4.4497323231020474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0.65966240376217999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0.67937290000000006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0.316662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0.84173100000000001</v>
      </c>
      <c r="C29" s="96">
        <v>0.95</v>
      </c>
      <c r="D29" s="56">
        <v>141.38404679872559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4.4999999999999998E-2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0.14000000000000001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0.115588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1.14398E-2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0.91945449999999995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1.4E-2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11X0iA0DPzRd0iG61Grr/HQ6PcLwWPRvMdlRbJWsx58Xo1bCnlR5CA5jPzMr9gl1x6liCQ6MEf60slS4L6YOqg==" saltValue="WN/RpC/+/0AbApv70n5Z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22yQvUv9zKwLJfCjIR31HhKGXQT3vqzE8c5nP9W8oPMgn1T2wyVXYJW0AK5z2bCXAZeDWk4WRDKOhxIX3xLTA==" saltValue="C0jEfxPer4T8H3gFaQIm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3SL240go8Qd4P9Lmio5lEWZ5B8QA3ypJ0EuFSiTQUQQA03Q5R2MtQUL/VGBC9AoH6g714PmfhxZb06OAxEF9A==" saltValue="Hmy37E6aWZa25ij16vRu0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1.249508E-2</v>
      </c>
      <c r="C3" s="21">
        <f>frac_mam_1_5months * 2.6</f>
        <v>1.249508E-2</v>
      </c>
      <c r="D3" s="21">
        <f>frac_mam_6_11months * 2.6</f>
        <v>6.6627600000000002E-3</v>
      </c>
      <c r="E3" s="21">
        <f>frac_mam_12_23months * 2.6</f>
        <v>7.6819599999999998E-3</v>
      </c>
      <c r="F3" s="21">
        <f>frac_mam_24_59months * 2.6</f>
        <v>7.3192600000000002E-3</v>
      </c>
    </row>
    <row r="4" spans="1:6" ht="15.75" customHeight="1" x14ac:dyDescent="0.25">
      <c r="A4" s="3" t="s">
        <v>236</v>
      </c>
      <c r="B4" s="21">
        <f>frac_sam_1month * 2.6</f>
        <v>1.472094E-2</v>
      </c>
      <c r="C4" s="21">
        <f>frac_sam_1_5months * 2.6</f>
        <v>1.472094E-2</v>
      </c>
      <c r="D4" s="21">
        <f>frac_sam_6_11months * 2.6</f>
        <v>6.8606199999999996E-3</v>
      </c>
      <c r="E4" s="21">
        <f>frac_sam_12_23months * 2.6</f>
        <v>3.2500000000000003E-3</v>
      </c>
      <c r="F4" s="21">
        <f>frac_sam_24_59months * 2.6</f>
        <v>4.9634000000000006E-4</v>
      </c>
    </row>
  </sheetData>
  <sheetProtection algorithmName="SHA-512" hashValue="2//k1glbnU86LHl+Fb0RWIqk0bT3p67kAFisdsywNsFXvsXHRinPA75ve37rLRGBvOz1O+hDjKQ3vMBAthYLxA==" saltValue="hl9Q/0zlojAgCdlBsIEUf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2.5999999999999999E-2</v>
      </c>
      <c r="F2" s="60">
        <f>food_insecure</f>
        <v>2.5999999999999999E-2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2.5999999999999999E-2</v>
      </c>
      <c r="F5" s="60">
        <f>food_insecure</f>
        <v>2.5999999999999999E-2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2.5999999999999999E-2</v>
      </c>
      <c r="F8" s="60">
        <f>food_insecure</f>
        <v>2.5999999999999999E-2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2.5999999999999999E-2</v>
      </c>
      <c r="F9" s="60">
        <f>food_insecure</f>
        <v>2.5999999999999999E-2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2.5999999999999999E-2</v>
      </c>
      <c r="I15" s="60">
        <f t="shared" si="0"/>
        <v>2.5999999999999999E-2</v>
      </c>
      <c r="J15" s="60">
        <f t="shared" si="0"/>
        <v>2.5999999999999999E-2</v>
      </c>
      <c r="K15" s="60">
        <f t="shared" si="0"/>
        <v>2.5999999999999999E-2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2.5999999999999999E-2</v>
      </c>
      <c r="I16" s="60">
        <f t="shared" si="0"/>
        <v>2.5999999999999999E-2</v>
      </c>
      <c r="J16" s="60">
        <f t="shared" si="0"/>
        <v>2.5999999999999999E-2</v>
      </c>
      <c r="K16" s="60">
        <f t="shared" si="0"/>
        <v>2.5999999999999999E-2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0.33900000000000002</v>
      </c>
      <c r="M24" s="60">
        <f>famplan_unmet_need</f>
        <v>0.33900000000000002</v>
      </c>
      <c r="N24" s="60">
        <f>famplan_unmet_need</f>
        <v>0.33900000000000002</v>
      </c>
      <c r="O24" s="60">
        <f>famplan_unmet_need</f>
        <v>0.33900000000000002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9.2859701982116627E-2</v>
      </c>
      <c r="M25" s="60">
        <f>(1-food_insecure)*(0.49)+food_insecure*(0.7)</f>
        <v>0.49545999999999996</v>
      </c>
      <c r="N25" s="60">
        <f>(1-food_insecure)*(0.49)+food_insecure*(0.7)</f>
        <v>0.49545999999999996</v>
      </c>
      <c r="O25" s="60">
        <f>(1-food_insecure)*(0.49)+food_insecure*(0.7)</f>
        <v>0.49545999999999996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3.9797015135192848E-2</v>
      </c>
      <c r="M26" s="60">
        <f>(1-food_insecure)*(0.21)+food_insecure*(0.3)</f>
        <v>0.21234</v>
      </c>
      <c r="N26" s="60">
        <f>(1-food_insecure)*(0.21)+food_insecure*(0.3)</f>
        <v>0.21234</v>
      </c>
      <c r="O26" s="60">
        <f>(1-food_insecure)*(0.21)+food_insecure*(0.3)</f>
        <v>0.21234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5.4764471237182574E-2</v>
      </c>
      <c r="M27" s="60">
        <f>(1-food_insecure)*(0.3)</f>
        <v>0.29219999999999996</v>
      </c>
      <c r="N27" s="60">
        <f>(1-food_insecure)*(0.3)</f>
        <v>0.29219999999999996</v>
      </c>
      <c r="O27" s="60">
        <f>(1-food_insecure)*(0.3)</f>
        <v>0.29219999999999996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0.81257881164550794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OEmgHg43EaldAXxG0Ahr7q6PyULSr5WAdbf64y2pG/OD47pp1WQDQQvxjgAMJ8A/KmIb8T+MMvzcdAY5EkDYQ==" saltValue="jLUXj4nQ7POVuCxAm9c3g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YHB86ldsZYzA3x3hW6xQtwyAvahwj6SYEIh5p4YNbDL9LpfyugPBeS0fPbaKMGlevnLXNhQbwzXSAU0ymjZRPw==" saltValue="HTKBn3Ph/sGe2/wUqrt1z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Qabgr9mPppUSE9COgBWBNwgEKTRViQKVSdvifbwQ3BriPeof6bSQHGuqf9S7QXWlWRfly+sqKx+sZpRCs9MTQ==" saltValue="ItuWctrhvANAx/HDqkaCo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0k4j2vhVlHHUIa5zYny6ttxnjmO/UMFx4mJKzas/qLHMlCh1hXsvQwW3uERVlYeLikmC9rAN4IkThh4aTCLmrw==" saltValue="XhGhlFxEk+hgk0Mf3U5lJ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mJPwxD5CuRP4mzcH4KAhatj9y37PjeGns+TeMJhHkVfsJO91MHNbmhgJYAmlg2k1F/G2XAVlodQ3jWHbPUhXuQ==" saltValue="mj0NPia13A/ECG6StI5eF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c8kFNa23+yANFptpvr4eF7qKfzMCB8pHeZp5RgezoH44uqExoZn4XIYHeZNBFkltxnM4mqTg3RWZAHdoqedkTQ==" saltValue="z+lSFnrEq63bhQMobRijM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KGxsksNWv6cjtaOGE2Udd3t84moTr19HwUweHzaArESzd6MUAboPnNq7/8u0vfTmtgXSzijfClxn+SN5PUGHw==" saltValue="u8uZvE0j/PaAf/sEFH/Lv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EWlCTgqlmXbhRftJMpbNBkdqKKbETOXGpINgqhKUU8NQppxzTGyZc1WUSOdM9EVWlaTHRQ/mvVzjaSIWa8piA==" saltValue="8gk/6auGbxbd1kkFJfkO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C4HRaFM1iHYocq33ku6rfQWE0zukIsGVHv6BgVuBSSx+22kgftuUXSoUT5zUUSQtowB0d+kcF0uYGSGIpT2BDQ==" saltValue="Y73bU1UPKKZP+FeaxQry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4jFT+A1W6hSN4ZvF6OM12ENnaZ27i19ET59pD0anWgsI7nru3BMwDXn+MzBaV2JOyvEeFbVi3XnUEY6FGCF9iw==" saltValue="5MqIwOlfPBITpgUIl/sV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eTh2iZV9RpEV7m95lREcVh+1wzxsI9Fpuz7r15fm6de+0Vica99RgPV/5QBjXA47uaB5HsqQsa6rTO6G5cJNw==" saltValue="MoX6U6dYDDl5BKd34jzd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Ahf1sgppXYXgyginOO70mxMZjFxAYNuibjOW3gt7n9a7MsIan1nOYY6twVAnGVR9UpBvn1C2OkZ5oShZYnEnw==" saltValue="sucGHTvcxPjAmn2tYL8r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Q/0Gul8c/142NQMAF1SuaGC2I0PcxGBGE5tuL6vMjYCp90VK/Yi35QNc0dkZdUaGzvPmT2RYZyjwUzfJM+ZKg==" saltValue="0uRqwVgKjlkD7hw+1gYSG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Fpjz2IjmrrM2VY4UUMTR43WY4cbHEn3ShrJuqCBMTskZiOkPA0tF2U9zxztXpbLh96MoYC/YOigC0uKFI9SbNg==" saltValue="luSh7CxcvsSFyZOX1oNf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LYaI1AkyW5me6Kh3hDXytDC5mj3faTpvvuKB6bRK6WKj/4QFApE0sNF3JsXhmexcQ082uNa/GKYclzXy6r/TLg==" saltValue="X3MSEzJ2iPZ/C2an2z1S6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2025-07-30T00:55:22Z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