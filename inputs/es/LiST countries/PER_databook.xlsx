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E7298E3C-AC1B-4298-8CCB-473DE94DD59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A37" i="2"/>
  <c r="A29" i="2"/>
  <c r="A28" i="2"/>
  <c r="A20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21" i="2" l="1"/>
  <c r="A31" i="2"/>
  <c r="A23" i="2"/>
  <c r="A32" i="2"/>
  <c r="A15" i="2"/>
  <c r="A24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6" i="2"/>
  <c r="A25" i="2"/>
  <c r="A34" i="2"/>
  <c r="A17" i="2"/>
  <c r="A26" i="2"/>
  <c r="A35" i="2"/>
  <c r="A18" i="2"/>
  <c r="A27" i="2"/>
  <c r="A36" i="2"/>
  <c r="A39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<sst xmlns="http://schemas.openxmlformats.org/spreadsheetml/2006/main" count="2101" uniqueCount="341">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</sst>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2912960.34375</v>
      </c>
    </row>
    <row r="8" spans="1:3" ht="15" customHeight="1" x14ac:dyDescent="0.25">
      <c r="B8" s="5" t="s">
        <v>44</v>
      </c>
      <c r="C8" s="44">
        <v>2.5999999999999999E-2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0.81257881164550794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0.33900000000000002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0.1017</v>
      </c>
    </row>
    <row r="24" spans="1:3" ht="15" customHeight="1" x14ac:dyDescent="0.25">
      <c r="B24" s="15" t="s">
        <v>46</v>
      </c>
      <c r="C24" s="45">
        <v>0.4788</v>
      </c>
    </row>
    <row r="25" spans="1:3" ht="15" customHeight="1" x14ac:dyDescent="0.25">
      <c r="B25" s="15" t="s">
        <v>47</v>
      </c>
      <c r="C25" s="45">
        <v>0.3508</v>
      </c>
    </row>
    <row r="26" spans="1:3" ht="15" customHeight="1" x14ac:dyDescent="0.25">
      <c r="B26" s="15" t="s">
        <v>48</v>
      </c>
      <c r="C26" s="45">
        <v>6.8699999999999997E-2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0.35066608906841101</v>
      </c>
    </row>
    <row r="30" spans="1:3" ht="14.25" customHeight="1" x14ac:dyDescent="0.25">
      <c r="B30" s="25" t="s">
        <v>63</v>
      </c>
      <c r="C30" s="99">
        <v>2.06592801300131E-2</v>
      </c>
    </row>
    <row r="31" spans="1:3" ht="14.25" customHeight="1" x14ac:dyDescent="0.25">
      <c r="B31" s="25" t="s">
        <v>10</v>
      </c>
      <c r="C31" s="99">
        <v>5.6103010463544101E-2</v>
      </c>
    </row>
    <row r="32" spans="1:3" ht="14.25" customHeight="1" x14ac:dyDescent="0.25">
      <c r="B32" s="25" t="s">
        <v>11</v>
      </c>
      <c r="C32" s="99">
        <v>0.57257162033803199</v>
      </c>
    </row>
    <row r="33" spans="1:5" ht="13" customHeight="1" x14ac:dyDescent="0.25">
      <c r="B33" s="27" t="s">
        <v>60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7.1367700000000003</v>
      </c>
    </row>
    <row r="38" spans="1:5" ht="15" customHeight="1" x14ac:dyDescent="0.25">
      <c r="B38" s="11" t="s">
        <v>35</v>
      </c>
      <c r="C38" s="43">
        <v>10.960900000000001</v>
      </c>
      <c r="D38" s="12"/>
      <c r="E38" s="13"/>
    </row>
    <row r="39" spans="1:5" ht="15" customHeight="1" x14ac:dyDescent="0.25">
      <c r="B39" s="11" t="s">
        <v>61</v>
      </c>
      <c r="C39" s="43">
        <v>14.12261</v>
      </c>
      <c r="D39" s="12"/>
      <c r="E39" s="12"/>
    </row>
    <row r="40" spans="1:5" ht="15" customHeight="1" x14ac:dyDescent="0.25">
      <c r="B40" s="11" t="s">
        <v>36</v>
      </c>
      <c r="C40" s="100">
        <v>0.69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6.6315799999999996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5.8412000000000004E-3</v>
      </c>
      <c r="D45" s="12"/>
    </row>
    <row r="46" spans="1:5" ht="15.75" customHeight="1" x14ac:dyDescent="0.25">
      <c r="B46" s="11" t="s">
        <v>51</v>
      </c>
      <c r="C46" s="45">
        <v>6.0999800000000007E-2</v>
      </c>
      <c r="D46" s="12"/>
    </row>
    <row r="47" spans="1:5" ht="15.75" customHeight="1" x14ac:dyDescent="0.25">
      <c r="B47" s="11" t="s">
        <v>59</v>
      </c>
      <c r="C47" s="45">
        <v>4.6633800000000003E-2</v>
      </c>
      <c r="D47" s="12"/>
      <c r="E47" s="13"/>
    </row>
    <row r="48" spans="1:5" ht="15" customHeight="1" x14ac:dyDescent="0.25">
      <c r="B48" s="11" t="s">
        <v>58</v>
      </c>
      <c r="C48" s="46">
        <v>0.8865251999999999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0.60645700000000002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9.4036293000000007E-2</v>
      </c>
    </row>
    <row r="63" spans="1:4" ht="15.75" customHeight="1" x14ac:dyDescent="0.3">
      <c r="A63" s="4"/>
    </row>
  </sheetData>
  <sheetProtection algorithmName="SHA-512" hashValue="EHWd3ckv6h9hEoQ2ZCnatZf64UAzwyaE/Rp3hurWSTN0wdqYG38zz4tUplYVowQmyM1q2VlnDkZNpAAc6h5C3w==" saltValue="AQv0mW2S12N0Y/cmYfo3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583908</v>
      </c>
      <c r="C2" s="49">
        <v>1773148</v>
      </c>
      <c r="D2" s="49">
        <v>2777762.5</v>
      </c>
      <c r="E2" s="49">
        <v>2689175.5</v>
      </c>
      <c r="F2" s="49">
        <v>1977128</v>
      </c>
      <c r="G2" s="17">
        <f t="shared" ref="G2:G13" si="0">C2+D2+E2+F2</f>
        <v>9217214</v>
      </c>
      <c r="H2" s="17">
        <f t="shared" ref="H2:H13" si="1">(B2 + stillbirth*B2/(1000-stillbirth))/(1-abortion)</f>
        <v>667961.45802764513</v>
      </c>
      <c r="I2" s="17">
        <f t="shared" ref="I2:I13" si="2">G2-H2</f>
        <v>8549252.5419723541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579726</v>
      </c>
      <c r="C3" s="50">
        <v>1777934</v>
      </c>
      <c r="D3" s="50">
        <v>2776197.5</v>
      </c>
      <c r="E3" s="50">
        <v>2708054.5</v>
      </c>
      <c r="F3" s="50">
        <v>2014024.5</v>
      </c>
      <c r="G3" s="17">
        <f t="shared" si="0"/>
        <v>9276210.5</v>
      </c>
      <c r="H3" s="17">
        <f t="shared" si="1"/>
        <v>663177.45983362896</v>
      </c>
      <c r="I3" s="17">
        <f t="shared" si="2"/>
        <v>8613033.0401663706</v>
      </c>
    </row>
    <row r="4" spans="1:9" ht="15.75" customHeight="1" x14ac:dyDescent="0.25">
      <c r="A4" s="5">
        <f t="shared" si="3"/>
        <v>2026</v>
      </c>
      <c r="B4" s="49">
        <v>577184</v>
      </c>
      <c r="C4" s="50">
        <v>1775517</v>
      </c>
      <c r="D4" s="50">
        <v>2782404</v>
      </c>
      <c r="E4" s="50">
        <v>2721671</v>
      </c>
      <c r="F4" s="50">
        <v>2053356.5</v>
      </c>
      <c r="G4" s="17">
        <f t="shared" si="0"/>
        <v>9332948.5</v>
      </c>
      <c r="H4" s="17">
        <f t="shared" si="1"/>
        <v>660269.53936275642</v>
      </c>
      <c r="I4" s="17">
        <f t="shared" si="2"/>
        <v>8672678.9606372435</v>
      </c>
    </row>
    <row r="5" spans="1:9" ht="15.75" customHeight="1" x14ac:dyDescent="0.25">
      <c r="A5" s="5">
        <f t="shared" si="3"/>
        <v>2027</v>
      </c>
      <c r="B5" s="49">
        <v>573296</v>
      </c>
      <c r="C5" s="50">
        <v>1766627</v>
      </c>
      <c r="D5" s="50">
        <v>2793923</v>
      </c>
      <c r="E5" s="50">
        <v>2730941.5</v>
      </c>
      <c r="F5" s="50">
        <v>2094922</v>
      </c>
      <c r="G5" s="17">
        <f t="shared" si="0"/>
        <v>9386413.5</v>
      </c>
      <c r="H5" s="17">
        <f t="shared" si="1"/>
        <v>655821.86241910863</v>
      </c>
      <c r="I5" s="17">
        <f t="shared" si="2"/>
        <v>8730591.6375808921</v>
      </c>
    </row>
    <row r="6" spans="1:9" ht="15.75" customHeight="1" x14ac:dyDescent="0.25">
      <c r="A6" s="5">
        <f t="shared" si="3"/>
        <v>2028</v>
      </c>
      <c r="B6" s="49">
        <v>571853</v>
      </c>
      <c r="C6" s="50">
        <v>1754211</v>
      </c>
      <c r="D6" s="50">
        <v>2808037.5</v>
      </c>
      <c r="E6" s="50">
        <v>2736137.5</v>
      </c>
      <c r="F6" s="50">
        <v>2137794</v>
      </c>
      <c r="G6" s="17">
        <f t="shared" si="0"/>
        <v>9436180</v>
      </c>
      <c r="H6" s="17">
        <f t="shared" si="1"/>
        <v>654171.14281270851</v>
      </c>
      <c r="I6" s="17">
        <f t="shared" si="2"/>
        <v>8782008.8571872916</v>
      </c>
    </row>
    <row r="7" spans="1:9" ht="15.75" customHeight="1" x14ac:dyDescent="0.25">
      <c r="A7" s="5">
        <f t="shared" si="3"/>
        <v>2029</v>
      </c>
      <c r="B7" s="49">
        <v>569527</v>
      </c>
      <c r="C7" s="50">
        <v>1739028.5</v>
      </c>
      <c r="D7" s="50">
        <v>2823968</v>
      </c>
      <c r="E7" s="50">
        <v>2737972.5</v>
      </c>
      <c r="F7" s="50">
        <v>2180867.5</v>
      </c>
      <c r="G7" s="17">
        <f t="shared" si="0"/>
        <v>9481836.5</v>
      </c>
      <c r="H7" s="17">
        <f t="shared" si="1"/>
        <v>651510.31550537178</v>
      </c>
      <c r="I7" s="17">
        <f t="shared" si="2"/>
        <v>8830326.1844946276</v>
      </c>
    </row>
    <row r="8" spans="1:9" ht="15.75" customHeight="1" x14ac:dyDescent="0.25">
      <c r="A8" s="5">
        <f t="shared" si="3"/>
        <v>2030</v>
      </c>
      <c r="B8" s="49">
        <v>566809</v>
      </c>
      <c r="C8" s="50">
        <v>1722680.5</v>
      </c>
      <c r="D8" s="50">
        <v>2840629.5</v>
      </c>
      <c r="E8" s="50">
        <v>2737671</v>
      </c>
      <c r="F8" s="50">
        <v>2222879.5</v>
      </c>
      <c r="G8" s="17">
        <f t="shared" si="0"/>
        <v>9523860.5</v>
      </c>
      <c r="H8" s="17">
        <f t="shared" si="1"/>
        <v>648401.05986421055</v>
      </c>
      <c r="I8" s="17">
        <f t="shared" si="2"/>
        <v>8875459.44013579</v>
      </c>
    </row>
    <row r="9" spans="1:9" ht="15.75" customHeight="1" x14ac:dyDescent="0.25">
      <c r="A9" s="5">
        <f t="shared" si="3"/>
        <v>2031</v>
      </c>
      <c r="B9" s="49">
        <v>561642</v>
      </c>
      <c r="C9" s="50">
        <v>1707937.5</v>
      </c>
      <c r="D9" s="50">
        <v>2858834</v>
      </c>
      <c r="E9" s="50">
        <v>2733370.5</v>
      </c>
      <c r="F9" s="50">
        <v>2262864</v>
      </c>
      <c r="G9" s="17">
        <f t="shared" si="0"/>
        <v>9563006</v>
      </c>
      <c r="H9" s="17">
        <f t="shared" si="1"/>
        <v>642490.27108647709</v>
      </c>
      <c r="I9" s="17">
        <f t="shared" si="2"/>
        <v>8920515.7289135233</v>
      </c>
    </row>
    <row r="10" spans="1:9" ht="15.75" customHeight="1" x14ac:dyDescent="0.25">
      <c r="A10" s="5">
        <f t="shared" si="3"/>
        <v>2032</v>
      </c>
      <c r="B10" s="49">
        <v>558027</v>
      </c>
      <c r="C10" s="50">
        <v>1697433.5</v>
      </c>
      <c r="D10" s="50">
        <v>2876635</v>
      </c>
      <c r="E10" s="50">
        <v>2726021</v>
      </c>
      <c r="F10" s="50">
        <v>2300357.5</v>
      </c>
      <c r="G10" s="17">
        <f t="shared" si="0"/>
        <v>9600447</v>
      </c>
      <c r="H10" s="17">
        <f t="shared" si="1"/>
        <v>638354.89244674286</v>
      </c>
      <c r="I10" s="17">
        <f t="shared" si="2"/>
        <v>8962092.1075532567</v>
      </c>
    </row>
    <row r="11" spans="1:9" ht="15.75" customHeight="1" x14ac:dyDescent="0.25">
      <c r="A11" s="5">
        <f t="shared" si="3"/>
        <v>2033</v>
      </c>
      <c r="B11" s="49">
        <v>556016</v>
      </c>
      <c r="C11" s="50">
        <v>1693525</v>
      </c>
      <c r="D11" s="50">
        <v>2889043</v>
      </c>
      <c r="E11" s="50">
        <v>2719849</v>
      </c>
      <c r="F11" s="50">
        <v>2333965.5</v>
      </c>
      <c r="G11" s="17">
        <f t="shared" si="0"/>
        <v>9636382.5</v>
      </c>
      <c r="H11" s="17">
        <f t="shared" si="1"/>
        <v>636054.40933622967</v>
      </c>
      <c r="I11" s="17">
        <f t="shared" si="2"/>
        <v>9000328.0906637702</v>
      </c>
    </row>
    <row r="12" spans="1:9" ht="15.75" customHeight="1" x14ac:dyDescent="0.25">
      <c r="A12" s="5">
        <f t="shared" si="3"/>
        <v>2034</v>
      </c>
      <c r="B12" s="49">
        <v>553000</v>
      </c>
      <c r="C12" s="50">
        <v>1694669</v>
      </c>
      <c r="D12" s="50">
        <v>2893722</v>
      </c>
      <c r="E12" s="50">
        <v>2718279.5</v>
      </c>
      <c r="F12" s="50">
        <v>2362564</v>
      </c>
      <c r="G12" s="17">
        <f t="shared" si="0"/>
        <v>9669234.5</v>
      </c>
      <c r="H12" s="17">
        <f t="shared" si="1"/>
        <v>632604.25664537528</v>
      </c>
      <c r="I12" s="17">
        <f t="shared" si="2"/>
        <v>9036630.2433546241</v>
      </c>
    </row>
    <row r="13" spans="1:9" ht="15.75" customHeight="1" x14ac:dyDescent="0.25">
      <c r="A13" s="5">
        <f t="shared" si="3"/>
        <v>2035</v>
      </c>
      <c r="B13" s="49">
        <v>549782</v>
      </c>
      <c r="C13" s="50">
        <v>1698404.5</v>
      </c>
      <c r="D13" s="50">
        <v>2889349</v>
      </c>
      <c r="E13" s="50">
        <v>2723767</v>
      </c>
      <c r="F13" s="50">
        <v>2385680.5</v>
      </c>
      <c r="G13" s="17">
        <f t="shared" si="0"/>
        <v>9697201</v>
      </c>
      <c r="H13" s="17">
        <f t="shared" si="1"/>
        <v>628923.02608862147</v>
      </c>
      <c r="I13" s="17">
        <f t="shared" si="2"/>
        <v>9068277.9739113785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k0z7OrGUl0egk0z4JNoqbBBtuuAt0JShKTriGQMP6Q2zTX6i1WXyzRNDOJTSYfq/3iwcfYspg5F14CuqL6gIQ==" saltValue="Mqc/NiyUc8WY3gRIrDwMg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6.8213585686113243E-2</v>
      </c>
    </row>
    <row r="5" spans="1:8" ht="15.75" customHeight="1" x14ac:dyDescent="0.25">
      <c r="B5" s="19" t="s">
        <v>95</v>
      </c>
      <c r="C5" s="101">
        <v>2.0191202959532081E-2</v>
      </c>
    </row>
    <row r="6" spans="1:8" ht="15.75" customHeight="1" x14ac:dyDescent="0.25">
      <c r="B6" s="19" t="s">
        <v>91</v>
      </c>
      <c r="C6" s="101">
        <v>0.1647395441538852</v>
      </c>
    </row>
    <row r="7" spans="1:8" ht="15.75" customHeight="1" x14ac:dyDescent="0.25">
      <c r="B7" s="19" t="s">
        <v>96</v>
      </c>
      <c r="C7" s="101">
        <v>0.40726092353651949</v>
      </c>
    </row>
    <row r="8" spans="1:8" ht="15.75" customHeight="1" x14ac:dyDescent="0.25">
      <c r="B8" s="19" t="s">
        <v>98</v>
      </c>
      <c r="C8" s="101">
        <v>1.1011728567132039E-2</v>
      </c>
    </row>
    <row r="9" spans="1:8" ht="15.75" customHeight="1" x14ac:dyDescent="0.25">
      <c r="B9" s="19" t="s">
        <v>92</v>
      </c>
      <c r="C9" s="101">
        <v>0.22914229320527599</v>
      </c>
    </row>
    <row r="10" spans="1:8" ht="15.75" customHeight="1" x14ac:dyDescent="0.25">
      <c r="B10" s="19" t="s">
        <v>94</v>
      </c>
      <c r="C10" s="101">
        <v>9.9440721891541795E-2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7.8720322230260348E-2</v>
      </c>
      <c r="D14" s="55">
        <v>7.8720322230260348E-2</v>
      </c>
      <c r="E14" s="55">
        <v>7.8720322230260348E-2</v>
      </c>
      <c r="F14" s="55">
        <v>7.8720322230260348E-2</v>
      </c>
    </row>
    <row r="15" spans="1:8" ht="15.75" customHeight="1" x14ac:dyDescent="0.25">
      <c r="B15" s="19" t="s">
        <v>102</v>
      </c>
      <c r="C15" s="101">
        <v>0.30279653142205609</v>
      </c>
      <c r="D15" s="101">
        <v>0.30279653142205609</v>
      </c>
      <c r="E15" s="101">
        <v>0.30279653142205609</v>
      </c>
      <c r="F15" s="101">
        <v>0.30279653142205609</v>
      </c>
    </row>
    <row r="16" spans="1:8" ht="15.75" customHeight="1" x14ac:dyDescent="0.25">
      <c r="B16" s="19" t="s">
        <v>2</v>
      </c>
      <c r="C16" s="101">
        <v>2.3327980127058529E-2</v>
      </c>
      <c r="D16" s="101">
        <v>2.3327980127058529E-2</v>
      </c>
      <c r="E16" s="101">
        <v>2.3327980127058529E-2</v>
      </c>
      <c r="F16" s="101">
        <v>2.3327980127058529E-2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3.8316375366036931E-3</v>
      </c>
      <c r="D18" s="101">
        <v>3.8316375366036931E-3</v>
      </c>
      <c r="E18" s="101">
        <v>3.8316375366036931E-3</v>
      </c>
      <c r="F18" s="101">
        <v>3.8316375366036931E-3</v>
      </c>
    </row>
    <row r="19" spans="1:8" ht="15.75" customHeight="1" x14ac:dyDescent="0.25">
      <c r="B19" s="19" t="s">
        <v>101</v>
      </c>
      <c r="C19" s="101">
        <v>2.6632053203642779E-2</v>
      </c>
      <c r="D19" s="101">
        <v>2.6632053203642779E-2</v>
      </c>
      <c r="E19" s="101">
        <v>2.6632053203642779E-2</v>
      </c>
      <c r="F19" s="101">
        <v>2.6632053203642779E-2</v>
      </c>
    </row>
    <row r="20" spans="1:8" ht="15.75" customHeight="1" x14ac:dyDescent="0.25">
      <c r="B20" s="19" t="s">
        <v>79</v>
      </c>
      <c r="C20" s="101">
        <v>3.7244085545977627E-2</v>
      </c>
      <c r="D20" s="101">
        <v>3.7244085545977627E-2</v>
      </c>
      <c r="E20" s="101">
        <v>3.7244085545977627E-2</v>
      </c>
      <c r="F20" s="101">
        <v>3.7244085545977627E-2</v>
      </c>
    </row>
    <row r="21" spans="1:8" ht="15.75" customHeight="1" x14ac:dyDescent="0.25">
      <c r="B21" s="19" t="s">
        <v>88</v>
      </c>
      <c r="C21" s="101">
        <v>0.39295376627483958</v>
      </c>
      <c r="D21" s="101">
        <v>0.39295376627483958</v>
      </c>
      <c r="E21" s="101">
        <v>0.39295376627483958</v>
      </c>
      <c r="F21" s="101">
        <v>0.39295376627483958</v>
      </c>
    </row>
    <row r="22" spans="1:8" ht="15.75" customHeight="1" x14ac:dyDescent="0.25">
      <c r="B22" s="19" t="s">
        <v>99</v>
      </c>
      <c r="C22" s="101">
        <v>0.1344936236595613</v>
      </c>
      <c r="D22" s="101">
        <v>0.1344936236595613</v>
      </c>
      <c r="E22" s="101">
        <v>0.1344936236595613</v>
      </c>
      <c r="F22" s="101">
        <v>0.1344936236595613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5.9206632000000002E-2</v>
      </c>
    </row>
    <row r="27" spans="1:8" ht="15.75" customHeight="1" x14ac:dyDescent="0.25">
      <c r="B27" s="19" t="s">
        <v>89</v>
      </c>
      <c r="C27" s="101">
        <v>5.4331326999999999E-2</v>
      </c>
    </row>
    <row r="28" spans="1:8" ht="15.75" customHeight="1" x14ac:dyDescent="0.25">
      <c r="B28" s="19" t="s">
        <v>103</v>
      </c>
      <c r="C28" s="101">
        <v>8.2001606000000005E-2</v>
      </c>
    </row>
    <row r="29" spans="1:8" ht="15.75" customHeight="1" x14ac:dyDescent="0.25">
      <c r="B29" s="19" t="s">
        <v>86</v>
      </c>
      <c r="C29" s="101">
        <v>0.17244879399999999</v>
      </c>
    </row>
    <row r="30" spans="1:8" ht="15.75" customHeight="1" x14ac:dyDescent="0.25">
      <c r="B30" s="19" t="s">
        <v>4</v>
      </c>
      <c r="C30" s="101">
        <v>0.28298384500000001</v>
      </c>
    </row>
    <row r="31" spans="1:8" ht="15.75" customHeight="1" x14ac:dyDescent="0.25">
      <c r="B31" s="19" t="s">
        <v>80</v>
      </c>
      <c r="C31" s="101">
        <v>5.2443504000000002E-2</v>
      </c>
    </row>
    <row r="32" spans="1:8" ht="15.75" customHeight="1" x14ac:dyDescent="0.25">
      <c r="B32" s="19" t="s">
        <v>85</v>
      </c>
      <c r="C32" s="101">
        <v>1.1239091E-2</v>
      </c>
    </row>
    <row r="33" spans="2:3" ht="15.75" customHeight="1" x14ac:dyDescent="0.25">
      <c r="B33" s="19" t="s">
        <v>100</v>
      </c>
      <c r="C33" s="101">
        <v>0.207844573</v>
      </c>
    </row>
    <row r="34" spans="2:3" ht="15.75" customHeight="1" x14ac:dyDescent="0.25">
      <c r="B34" s="19" t="s">
        <v>87</v>
      </c>
      <c r="C34" s="101">
        <v>7.7500629000000015E-2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nYNRfYAHp7WlhrlS52QEl2M1cnwpoH9fKjPJfOZNCOQPjEkyGDRLDD0XaHDOTeGpgoMy7OiRiI3TNys8nLxkqw==" saltValue="wIJF4IQ0Z2rImlkqL+37u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0.5921916963497369</v>
      </c>
      <c r="D2" s="52">
        <f>IFERROR(1-_xlfn.NORM.DIST(_xlfn.NORM.INV(SUM(D4:D5), 0, 1) + 1, 0, 1, TRUE), "")</f>
        <v>0.5921916963497369</v>
      </c>
      <c r="E2" s="52">
        <f>IFERROR(1-_xlfn.NORM.DIST(_xlfn.NORM.INV(SUM(E4:E5), 0, 1) + 1, 0, 1, TRUE), "")</f>
        <v>0.60621154473411054</v>
      </c>
      <c r="F2" s="52">
        <f>IFERROR(1-_xlfn.NORM.DIST(_xlfn.NORM.INV(SUM(F4:F5), 0, 1) + 1, 0, 1, TRUE), "")</f>
        <v>0.51041057710690996</v>
      </c>
      <c r="G2" s="52">
        <f>IFERROR(1-_xlfn.NORM.DIST(_xlfn.NORM.INV(SUM(G4:G5), 0, 1) + 1, 0, 1, TRUE), "")</f>
        <v>0.60111890850032568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0.29905520365026306</v>
      </c>
      <c r="D3" s="52">
        <f>IFERROR(_xlfn.NORM.DIST(_xlfn.NORM.INV(SUM(D4:D5), 0, 1) + 1, 0, 1, TRUE) - SUM(D4:D5), "")</f>
        <v>0.29905520365026306</v>
      </c>
      <c r="E3" s="52">
        <f>IFERROR(_xlfn.NORM.DIST(_xlfn.NORM.INV(SUM(E4:E5), 0, 1) + 1, 0, 1, TRUE) - SUM(E4:E5), "")</f>
        <v>0.29164965526588948</v>
      </c>
      <c r="F3" s="52">
        <f>IFERROR(_xlfn.NORM.DIST(_xlfn.NORM.INV(SUM(F4:F5), 0, 1) + 1, 0, 1, TRUE) - SUM(F4:F5), "")</f>
        <v>0.33716682289309008</v>
      </c>
      <c r="G3" s="52">
        <f>IFERROR(_xlfn.NORM.DIST(_xlfn.NORM.INV(SUM(G4:G5), 0, 1) + 1, 0, 1, TRUE) - SUM(G4:G5), "")</f>
        <v>0.29436739149967428</v>
      </c>
    </row>
    <row r="4" spans="1:15" ht="15.75" customHeight="1" x14ac:dyDescent="0.25">
      <c r="B4" s="5" t="s">
        <v>110</v>
      </c>
      <c r="C4" s="45">
        <v>9.1949900000000001E-2</v>
      </c>
      <c r="D4" s="53">
        <v>9.1949900000000001E-2</v>
      </c>
      <c r="E4" s="53">
        <v>8.9927399999999991E-2</v>
      </c>
      <c r="F4" s="53">
        <v>0.1284496</v>
      </c>
      <c r="G4" s="53">
        <v>9.2411399999999991E-2</v>
      </c>
    </row>
    <row r="5" spans="1:15" ht="15.75" customHeight="1" x14ac:dyDescent="0.25">
      <c r="B5" s="5" t="s">
        <v>106</v>
      </c>
      <c r="C5" s="45">
        <v>1.6803200000000001E-2</v>
      </c>
      <c r="D5" s="53">
        <v>1.6803200000000001E-2</v>
      </c>
      <c r="E5" s="53">
        <v>1.2211400000000001E-2</v>
      </c>
      <c r="F5" s="53">
        <v>2.3973000000000001E-2</v>
      </c>
      <c r="G5" s="53">
        <v>1.21023E-2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0.90475779701711179</v>
      </c>
      <c r="D8" s="52">
        <f>IFERROR(1-_xlfn.NORM.DIST(_xlfn.NORM.INV(SUM(D10:D11), 0, 1) + 1, 0, 1, TRUE), "")</f>
        <v>0.90475779701711179</v>
      </c>
      <c r="E8" s="52">
        <f>IFERROR(1-_xlfn.NORM.DIST(_xlfn.NORM.INV(SUM(E10:E11), 0, 1) + 1, 0, 1, TRUE), "")</f>
        <v>0.94087382088702665</v>
      </c>
      <c r="F8" s="52">
        <f>IFERROR(1-_xlfn.NORM.DIST(_xlfn.NORM.INV(SUM(F10:F11), 0, 1) + 1, 0, 1, TRUE), "")</f>
        <v>0.94899462602511231</v>
      </c>
      <c r="G8" s="52">
        <f>IFERROR(1-_xlfn.NORM.DIST(_xlfn.NORM.INV(SUM(G10:G11), 0, 1) + 1, 0, 1, TRUE), "")</f>
        <v>0.95969227345541575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8.4774502982888231E-2</v>
      </c>
      <c r="D9" s="52">
        <f>IFERROR(_xlfn.NORM.DIST(_xlfn.NORM.INV(SUM(D10:D11), 0, 1) + 1, 0, 1, TRUE) - SUM(D10:D11), "")</f>
        <v>8.4774502982888231E-2</v>
      </c>
      <c r="E9" s="52">
        <f>IFERROR(_xlfn.NORM.DIST(_xlfn.NORM.INV(SUM(E10:E11), 0, 1) + 1, 0, 1, TRUE) - SUM(E10:E11), "")</f>
        <v>5.3924879112973362E-2</v>
      </c>
      <c r="F9" s="52">
        <f>IFERROR(_xlfn.NORM.DIST(_xlfn.NORM.INV(SUM(F10:F11), 0, 1) + 1, 0, 1, TRUE) - SUM(F10:F11), "")</f>
        <v>4.6800773974887661E-2</v>
      </c>
      <c r="G9" s="52">
        <f>IFERROR(_xlfn.NORM.DIST(_xlfn.NORM.INV(SUM(G10:G11), 0, 1) + 1, 0, 1, TRUE) - SUM(G10:G11), "")</f>
        <v>3.7301726544584225E-2</v>
      </c>
    </row>
    <row r="10" spans="1:15" ht="15.75" customHeight="1" x14ac:dyDescent="0.25">
      <c r="B10" s="5" t="s">
        <v>107</v>
      </c>
      <c r="C10" s="45">
        <v>4.8057999999999998E-3</v>
      </c>
      <c r="D10" s="53">
        <v>4.8057999999999998E-3</v>
      </c>
      <c r="E10" s="53">
        <v>2.5625999999999999E-3</v>
      </c>
      <c r="F10" s="53">
        <v>2.9545999999999999E-3</v>
      </c>
      <c r="G10" s="53">
        <v>2.8151000000000001E-3</v>
      </c>
    </row>
    <row r="11" spans="1:15" ht="15.75" customHeight="1" x14ac:dyDescent="0.25">
      <c r="B11" s="5" t="s">
        <v>119</v>
      </c>
      <c r="C11" s="45">
        <v>5.6619000000000001E-3</v>
      </c>
      <c r="D11" s="53">
        <v>5.6619000000000001E-3</v>
      </c>
      <c r="E11" s="53">
        <v>2.6386999999999999E-3</v>
      </c>
      <c r="F11" s="53">
        <v>1.25E-3</v>
      </c>
      <c r="G11" s="53">
        <v>1.9090000000000001E-4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0.90798535650000001</v>
      </c>
      <c r="D14" s="54">
        <v>0.87176858063600005</v>
      </c>
      <c r="E14" s="54">
        <v>0.87176858063600005</v>
      </c>
      <c r="F14" s="54">
        <v>0.44194822078700002</v>
      </c>
      <c r="G14" s="54">
        <v>0.44194822078700002</v>
      </c>
      <c r="H14" s="45">
        <v>0.25800000000000001</v>
      </c>
      <c r="I14" s="55">
        <v>0.25800000000000001</v>
      </c>
      <c r="J14" s="55">
        <v>0.25800000000000001</v>
      </c>
      <c r="K14" s="55">
        <v>0.25800000000000001</v>
      </c>
      <c r="L14" s="45">
        <v>0.18099999999999999</v>
      </c>
      <c r="M14" s="55">
        <v>0.18099999999999999</v>
      </c>
      <c r="N14" s="55">
        <v>0.18099999999999999</v>
      </c>
      <c r="O14" s="55">
        <v>0.18099999999999999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0.55065407534692057</v>
      </c>
      <c r="D15" s="52">
        <f t="shared" si="0"/>
        <v>0.52869015810676667</v>
      </c>
      <c r="E15" s="52">
        <f t="shared" si="0"/>
        <v>0.52869015810676667</v>
      </c>
      <c r="F15" s="52">
        <f t="shared" si="0"/>
        <v>0.26802259213382168</v>
      </c>
      <c r="G15" s="52">
        <f t="shared" si="0"/>
        <v>0.26802259213382168</v>
      </c>
      <c r="H15" s="52">
        <f t="shared" si="0"/>
        <v>0.15646590600000002</v>
      </c>
      <c r="I15" s="52">
        <f t="shared" si="0"/>
        <v>0.15646590600000002</v>
      </c>
      <c r="J15" s="52">
        <f t="shared" si="0"/>
        <v>0.15646590600000002</v>
      </c>
      <c r="K15" s="52">
        <f t="shared" si="0"/>
        <v>0.15646590600000002</v>
      </c>
      <c r="L15" s="52">
        <f t="shared" si="0"/>
        <v>0.109768717</v>
      </c>
      <c r="M15" s="52">
        <f t="shared" si="0"/>
        <v>0.109768717</v>
      </c>
      <c r="N15" s="52">
        <f t="shared" si="0"/>
        <v>0.109768717</v>
      </c>
      <c r="O15" s="52">
        <f t="shared" si="0"/>
        <v>0.109768717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zKtaRrtdDsexGhi7yPE0UvGntWWm8O0sj2esfSV6pHdf/gqYSC+FwMERiUV8h4Q12q5NPJuzmYjB69pX6W/fA==" saltValue="HnD7d3/zWsp/wZeiIyQf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0.76569710000000002</v>
      </c>
      <c r="D2" s="53">
        <v>0.62137850000000006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1.6957400000000001E-2</v>
      </c>
      <c r="D3" s="53">
        <v>6.7201399999999994E-2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0.21405959999999999</v>
      </c>
      <c r="D4" s="53">
        <v>0.28064060000000002</v>
      </c>
      <c r="E4" s="53">
        <v>0.92909400000000009</v>
      </c>
      <c r="F4" s="53">
        <v>0.71526470000000009</v>
      </c>
      <c r="G4" s="53">
        <v>0</v>
      </c>
    </row>
    <row r="5" spans="1:7" x14ac:dyDescent="0.25">
      <c r="B5" s="3" t="s">
        <v>125</v>
      </c>
      <c r="C5" s="52">
        <v>3.2858000000000002E-3</v>
      </c>
      <c r="D5" s="52">
        <v>3.0779500000000001E-2</v>
      </c>
      <c r="E5" s="52">
        <f>1-SUM(E2:E4)</f>
        <v>7.0905999999999914E-2</v>
      </c>
      <c r="F5" s="52">
        <f>1-SUM(F2:F4)</f>
        <v>0.28473529999999991</v>
      </c>
      <c r="G5" s="52">
        <f>1-SUM(G2:G4)</f>
        <v>1</v>
      </c>
    </row>
  </sheetData>
  <sheetProtection algorithmName="SHA-512" hashValue="hhrJF17sAPLeMBKFFSjMZyes4yGix17NjBfNgr+UnUmbusEvi5+q89sqYr3xAtpBVGoyOju8vb0yDDe8XsCLAA==" saltValue="Ivu3TIEJ1//axx9ZH8/iz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jFruy3zmvtXkZocmyssRnNOSALR50k7GpuQSkyAUg6rhyjLF/xK/cDd+Jc9h50uZ8n8omQtYITEXdrF6/1gBg==" saltValue="sDH1Dx9NGSDktnkNsgp/J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uA5Eq+QpG1cFY6tOVjBmaM/JR9O+k72jcWQMfjT20XksIfo1pL5sEtcAo/BtpCP0BaP+RZ1BfPn+p7SJrVd3TA==" saltValue="ZAZJ5RMiLRnW9RlqC6M/m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aVBOszEgCXnW1Oierg1h+dZxX1J/kYkmWMpHResN3ggC/D8nF0mNYg2QoNsx0zVzVTN3kAZlOHF/jptR7BM2RA==" saltValue="3EeY1yR4gJsESxbyr33vO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oMOAC/kerXxX4e706kuthCZJh5eVj/amJtDRT/4rgOs2eH6LpksWloNINkCClfbAKWgfC90QI9vAQUI1XZuxUg==" saltValue="p5uUSS9kRNUPDAkBpPilO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70.181806402202682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40.152511457401388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604.92325779293253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1.53299276305385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0.67937290000000006</v>
      </c>
      <c r="C10" s="98">
        <v>0.95</v>
      </c>
      <c r="D10" s="56">
        <v>13.2848109011973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13.2848109011973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13.2848109011973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13.2848109011973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0.67937290000000006</v>
      </c>
      <c r="C14" s="98">
        <v>0.95</v>
      </c>
      <c r="D14" s="56">
        <v>13.2848109011973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13.2848109011973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0.99157670109264429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5.1057523E-2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0.62137850000000006</v>
      </c>
      <c r="C18" s="98">
        <v>0.95</v>
      </c>
      <c r="D18" s="56">
        <v>13.888305673904391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0.62137850000000006</v>
      </c>
      <c r="C19" s="98">
        <v>0.95</v>
      </c>
      <c r="D19" s="56">
        <v>13.888305673904391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18.808752269215748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23.06828735815467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4.4497323231020474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0.65966240376217999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0.67937290000000006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18.846234054877879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0.316662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0.84173100000000001</v>
      </c>
      <c r="C29" s="98">
        <v>0.95</v>
      </c>
      <c r="D29" s="56">
        <v>141.38404679872559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0.1134191936683344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4.4999999999999998E-2</v>
      </c>
      <c r="C32" s="98">
        <v>0.95</v>
      </c>
      <c r="D32" s="56">
        <v>2.157105321486398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0.14000000000000001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0.115588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1.14398E-2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0.91945449999999995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1.05979E-2</v>
      </c>
      <c r="C38" s="98">
        <v>0.95</v>
      </c>
      <c r="D38" s="56">
        <v>4.5674280063597514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NptvzSXw/6NhaArX/PWs3svJOWX/8FKeKirU/D/6oKw9TDbQV8zz423N3u/I0rxt4C0IGDv6xc0qFxWyvBZNuQ==" saltValue="vR4+P5/UiWorC1B5iB3K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0bqdWYEUx8URkjGjyO7FCHKPpJu5mWREUSg51xjAlzC1ypqCDQhbZLRnXa3Ryox3/6eoDKlEEUIkJ9wzag5+FA==" saltValue="jgiXm3bOggbZ/3SBzVLfD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QvmOua1MJHzd5cCJzsgPi/zbU1lucwxddN4HB6N8o+2XX9bPvarenVl3ifSTYa6y2sZispehMn/AKFVwa7tYSg==" saltValue="NNmbqT5K0Jf813C5S4cc0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1.249508E-2</v>
      </c>
      <c r="C3" s="21">
        <f>frac_mam_1_5months * 2.6</f>
        <v>1.249508E-2</v>
      </c>
      <c r="D3" s="21">
        <f>frac_mam_6_11months * 2.6</f>
        <v>6.6627600000000002E-3</v>
      </c>
      <c r="E3" s="21">
        <f>frac_mam_12_23months * 2.6</f>
        <v>7.6819599999999998E-3</v>
      </c>
      <c r="F3" s="21">
        <f>frac_mam_24_59months * 2.6</f>
        <v>7.3192600000000002E-3</v>
      </c>
    </row>
    <row r="4" spans="1:6" ht="15.75" customHeight="1" x14ac:dyDescent="0.25">
      <c r="A4" s="3" t="s">
        <v>207</v>
      </c>
      <c r="B4" s="21">
        <f>frac_sam_1month * 2.6</f>
        <v>1.472094E-2</v>
      </c>
      <c r="C4" s="21">
        <f>frac_sam_1_5months * 2.6</f>
        <v>1.472094E-2</v>
      </c>
      <c r="D4" s="21">
        <f>frac_sam_6_11months * 2.6</f>
        <v>6.8606199999999996E-3</v>
      </c>
      <c r="E4" s="21">
        <f>frac_sam_12_23months * 2.6</f>
        <v>3.2500000000000003E-3</v>
      </c>
      <c r="F4" s="21">
        <f>frac_sam_24_59months * 2.6</f>
        <v>4.9634000000000006E-4</v>
      </c>
    </row>
  </sheetData>
  <sheetProtection algorithmName="SHA-512" hashValue="qDw0I+5hT6/2KMiVfQrkY4obQyvMnC0KKjKRqufFayNjZ2VBWKHIRZPjeCSE5qeX47sdqrQEZbgwbZxhwezyTg==" saltValue="7P1GDC8bSJfv07ls4IlRy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2.5999999999999999E-2</v>
      </c>
      <c r="E2" s="60">
        <f>food_insecure</f>
        <v>2.5999999999999999E-2</v>
      </c>
      <c r="F2" s="60">
        <f>food_insecure</f>
        <v>2.5999999999999999E-2</v>
      </c>
      <c r="G2" s="60">
        <f>food_insecure</f>
        <v>2.5999999999999999E-2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2.5999999999999999E-2</v>
      </c>
      <c r="F5" s="60">
        <f>food_insecure</f>
        <v>2.5999999999999999E-2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2.5999999999999999E-2</v>
      </c>
      <c r="F8" s="60">
        <f>food_insecure</f>
        <v>2.5999999999999999E-2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2.5999999999999999E-2</v>
      </c>
      <c r="F9" s="60">
        <f>food_insecure</f>
        <v>2.5999999999999999E-2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2.5999999999999999E-2</v>
      </c>
      <c r="I15" s="60">
        <f>food_insecure</f>
        <v>2.5999999999999999E-2</v>
      </c>
      <c r="J15" s="60">
        <f>food_insecure</f>
        <v>2.5999999999999999E-2</v>
      </c>
      <c r="K15" s="60">
        <f>food_insecure</f>
        <v>2.5999999999999999E-2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0.33900000000000002</v>
      </c>
      <c r="M24" s="60">
        <f>famplan_unmet_need</f>
        <v>0.33900000000000002</v>
      </c>
      <c r="N24" s="60">
        <f>famplan_unmet_need</f>
        <v>0.33900000000000002</v>
      </c>
      <c r="O24" s="60">
        <f>famplan_unmet_need</f>
        <v>0.33900000000000002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9.2859701982116627E-2</v>
      </c>
      <c r="M25" s="60">
        <f>(1-food_insecure)*(0.49)+food_insecure*(0.7)</f>
        <v>0.49545999999999996</v>
      </c>
      <c r="N25" s="60">
        <f>(1-food_insecure)*(0.49)+food_insecure*(0.7)</f>
        <v>0.49545999999999996</v>
      </c>
      <c r="O25" s="60">
        <f>(1-food_insecure)*(0.49)+food_insecure*(0.7)</f>
        <v>0.49545999999999996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3.9797015135192848E-2</v>
      </c>
      <c r="M26" s="60">
        <f>(1-food_insecure)*(0.21)+food_insecure*(0.3)</f>
        <v>0.21234</v>
      </c>
      <c r="N26" s="60">
        <f>(1-food_insecure)*(0.21)+food_insecure*(0.3)</f>
        <v>0.21234</v>
      </c>
      <c r="O26" s="60">
        <f>(1-food_insecure)*(0.21)+food_insecure*(0.3)</f>
        <v>0.21234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5.4764471237182574E-2</v>
      </c>
      <c r="M27" s="60">
        <f>(1-food_insecure)*(0.3)</f>
        <v>0.29219999999999996</v>
      </c>
      <c r="N27" s="60">
        <f>(1-food_insecure)*(0.3)</f>
        <v>0.29219999999999996</v>
      </c>
      <c r="O27" s="60">
        <f>(1-food_insecure)*(0.3)</f>
        <v>0.29219999999999996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0.81257881164550794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ixTdQ9cyASI4Gf95LzfrSTWbqkK7/EwBgFQ7eYa2KWfa2VsiT843ZdVCFeazv66C9fsgs2KQ63o6g2rAfm9hw==" saltValue="RU6Su7hUgUXL2J+u42Jnu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eEZbsenBcRktdnLBbF7AtjIOCuBT2kZFWu8At2bVByHp7OAZpnbuH06tr25Yc5n2GOuvlgFcMQqi2oIIgCXw+Q==" saltValue="sdM/sBojcJy/48DNtPJEy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qrD3fs/XRTi56rN9pMNNU1+CEoNRPqLPKph1cMnvLYC+okVheD24NrKdok/o3F0HefwN8C1XUO78oaZlDrNqA==" saltValue="ONm1WFU5iKPxh6uWXTjvJ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/8So79qohUrpPG0VH927KlFD1RMQ0CPvcCu17ZJtSuPVq1uPjwtZoGIg3nqaN5dhY9NZQvCMDHgAG4QHA7XHw==" saltValue="o30Gh1Jqqhm3P8r78KLjL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kcEcsWCU5naKg4eO46Oijo/A5D+5EQD0qe4tyuDSiQ1CeAQvcwE7Jj2w7U+inMkVD5TPjkoK6L85l1HHsbt+Yw==" saltValue="oXY/rJ8YlCOasTKgBxMfj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GOVl4lrg3asm13zp4m+oYkncqwZcotZzz7MzNi6vPk4sjfPVKQ/rZaFGa6uIx9dH9NsY7Fo83Vq7V5K1vS8UXA==" saltValue="SeAz/WP4wezDUr3d79Ml8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/0qQYvE9y9yiVX2md4DXQdf0Z4U+Q3FS4KIk8fBjxERtr0FZi9aKal7LDEP7+V/8tUmV6TO7Os0gVbf5sRplw==" saltValue="kAbjQyr92adWWcTr5jmZR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GipbHqcX3KPXbtH8reOAn/vC96yfauhqowCFxePfxsJnKByBLY0g/sFWcUoGdvA0CtQlZyjHlN2tbDuWKDX4g==" saltValue="NDYwSt4CngwxvJBL+wMX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9cygNeQf9KjYKW61YeUA/GLBoP/0/kcaIVLBKcIMT3vqWgjIbMnfks0Uo/WXwCOug6N2+9zW6pNm60gZlU9Zg==" saltValue="OAlR1ys83kAQ8BkLpIlZ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qT/HAeY59vIGhu93s2JlO/bPuinbn3GoIGmP90QU7KqVFL2xoTpivGpqQz4XUY4iZhUsh6VuMbuUyxlFFlSxpw==" saltValue="Q4qTKXmtu5Xw9irWRQqv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KcjXFLoRCqeKWZzfM7jnmwBqDjf3Cg7eWpfL9Phk6YJUf5GEoj3UEEoyuNt0jj/gtHSXqGjtq5aV2g+4NvRrw==" saltValue="Pq7h7TumJ2wYZvrEJszH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x7yi35vYOQgLIZDE8iJviShOgjbza0S6qgPv7NGnLKUxs44jDr+5TD9yr1fim1IhyfjvlWo3qTE53gbaDpuyQ==" saltValue="YUPD4RheTPpWLgw9Jk1H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S67e1xXVe3/RoOFTSe2R/dmCuQlJvObSgWHlQRXvxM/1RQKkQsnNGy8opDRVp5zKNAkNjUP8FDuLnXu6blg7A==" saltValue="7fVOeZTmDupx1cXk840r4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0.10974159626650759</v>
      </c>
      <c r="G18" s="90">
        <f>MIN(MAX(1-0.89/(1-frac_sam_12_23months+(frac_sam_12_23months*0.89)),0),1)</f>
        <v>0.10987760817112346</v>
      </c>
      <c r="H18" s="90">
        <f>MIN(MAX(1-0.89/(1-frac_sam_24_59months+(frac_sam_24_59months*0.89)),0),1)</f>
        <v>0.10998131049753912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0.10974905072091146</v>
      </c>
      <c r="G20" s="90">
        <f>MIN(MAX(1-0.89/(1-frac_mam_12_23months+(frac_mam_12_23months*0.89)),0),1)</f>
        <v>0.10971065061971519</v>
      </c>
      <c r="H20" s="90">
        <f>MIN(MAX(1-0.89/(1-frac_mam_24_59months+(frac_mam_24_59months*0.89)),0),1)</f>
        <v>0.10972431634152269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9.9738761806708043E-3</v>
      </c>
      <c r="G73" s="90">
        <f>MIN(MAX(1-0.99/(1-frac_sam_12_23months+(frac_sam_12_23months*0.99)),0),1)</f>
        <v>9.987624845310572E-3</v>
      </c>
      <c r="H73" s="90">
        <f>MIN(MAX(1-0.99/(1-frac_sam_24_59months+(frac_sam_24_59months*0.99)),0),1)</f>
        <v>9.9981100863921757E-3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9.9746296098583986E-3</v>
      </c>
      <c r="G75" s="90">
        <f>MIN(MAX(1-0.99/(1-frac_mam_12_23months+(frac_mam_12_23months*0.99)),0),1)</f>
        <v>9.9707485957379882E-3</v>
      </c>
      <c r="H75" s="90">
        <f>MIN(MAX(1-0.99/(1-frac_mam_24_59months+(frac_mam_24_59months*0.99)),0),1)</f>
        <v>9.9721297254239394E-3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0.19957758507474732</v>
      </c>
      <c r="G128" s="90">
        <f>MIN(MAX(1-0.8/(1-frac_sam_12_23months+(frac_sam_12_23months*0.8)),0),1)</f>
        <v>0.19979994998749684</v>
      </c>
      <c r="H128" s="90">
        <f>MIN(MAX(1-0.8/(1-frac_sam_24_59months+(frac_sam_24_59months*0.8)),0),1)</f>
        <v>0.19996945483378548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0.19958977375084275</v>
      </c>
      <c r="G130" s="90">
        <f>MIN(MAX(1-0.8/(1-frac_mam_12_23months+(frac_mam_12_23months*0.8)),0),1)</f>
        <v>0.19952698448567219</v>
      </c>
      <c r="H130" s="90">
        <f>MIN(MAX(1-0.8/(1-frac_mam_24_59months+(frac_mam_24_59months*0.8)),0),1)</f>
        <v>0.19954933026392518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URb5WDEWc3ZdjD8V3KnWfpYBgZM2L+gUP3rwnFgHVaK8DM+LH+YgZxYzMeqHIF42cm8TWLazgz3/d7VuYWgWA==" saltValue="ANyBcqlAcmbJvKdo/CCk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LM+l4kQzkWxypxCcezQ+omQ4cqUFp1Q7Idxi/jsmVsm1XMhxqnRR/GW5iSeSXF0nSVdOmGHwPHRt+HSJDSIjiA==" saltValue="JU/NBZSazSn9kkIVid4nZ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2024-08-06T08:09:22Z</dcterms:modified>
</cp:coreProperties>
</file>