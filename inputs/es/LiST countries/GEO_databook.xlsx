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C64EE8A-015D-4D07-8F37-768E62F1CD5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A32" i="2"/>
  <c r="A20" i="2"/>
  <c r="H13" i="2"/>
  <c r="G13" i="2"/>
  <c r="I13" i="2" s="1"/>
  <c r="H12" i="2"/>
  <c r="G12" i="2"/>
  <c r="H11" i="2"/>
  <c r="G11" i="2"/>
  <c r="H10" i="2"/>
  <c r="G10" i="2"/>
  <c r="I10" i="2" s="1"/>
  <c r="H9" i="2"/>
  <c r="G9" i="2"/>
  <c r="I9" i="2" s="1"/>
  <c r="H8" i="2"/>
  <c r="G8" i="2"/>
  <c r="H7" i="2"/>
  <c r="G7" i="2"/>
  <c r="H6" i="2"/>
  <c r="G6" i="2"/>
  <c r="I6" i="2" s="1"/>
  <c r="H5" i="2"/>
  <c r="G5" i="2"/>
  <c r="I5" i="2" s="1"/>
  <c r="H4" i="2"/>
  <c r="G4" i="2"/>
  <c r="H3" i="2"/>
  <c r="G3" i="2"/>
  <c r="H2" i="2"/>
  <c r="G2" i="2"/>
  <c r="I2" i="2" s="1"/>
  <c r="A2" i="2"/>
  <c r="A40" i="2" s="1"/>
  <c r="C33" i="1"/>
  <c r="C20" i="1"/>
  <c r="A34" i="2" l="1"/>
  <c r="A15" i="2"/>
  <c r="A35" i="2"/>
  <c r="A3" i="2"/>
  <c r="A16" i="2"/>
  <c r="A26" i="2"/>
  <c r="A36" i="2"/>
  <c r="I3" i="2"/>
  <c r="I7" i="2"/>
  <c r="I11" i="2"/>
  <c r="A17" i="2"/>
  <c r="A27" i="2"/>
  <c r="I38" i="2"/>
  <c r="A23" i="2"/>
  <c r="A33" i="2"/>
  <c r="A24" i="2"/>
  <c r="A25" i="2"/>
  <c r="A18" i="2"/>
  <c r="A28" i="2"/>
  <c r="I4" i="2"/>
  <c r="I8" i="2"/>
  <c r="I12" i="2"/>
  <c r="A19" i="2"/>
  <c r="A31" i="2"/>
  <c r="A39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<sst xmlns="http://schemas.openxmlformats.org/spreadsheetml/2006/main" count="2101" uniqueCount="341">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</sst>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239831.673828125</v>
      </c>
    </row>
    <row r="8" spans="1:3" ht="15" customHeight="1" x14ac:dyDescent="0.25">
      <c r="B8" s="5" t="s">
        <v>44</v>
      </c>
      <c r="C8" s="44">
        <v>4.4999999999999998E-2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0.98864250183105495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0.1278</v>
      </c>
    </row>
    <row r="24" spans="1:3" ht="15" customHeight="1" x14ac:dyDescent="0.25">
      <c r="B24" s="15" t="s">
        <v>46</v>
      </c>
      <c r="C24" s="45">
        <v>0.60719999999999996</v>
      </c>
    </row>
    <row r="25" spans="1:3" ht="15" customHeight="1" x14ac:dyDescent="0.25">
      <c r="B25" s="15" t="s">
        <v>47</v>
      </c>
      <c r="C25" s="45">
        <v>0.2432</v>
      </c>
    </row>
    <row r="26" spans="1:3" ht="15" customHeight="1" x14ac:dyDescent="0.25">
      <c r="B26" s="15" t="s">
        <v>48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0.443381353500297</v>
      </c>
    </row>
    <row r="30" spans="1:3" ht="14.25" customHeight="1" x14ac:dyDescent="0.25">
      <c r="B30" s="25" t="s">
        <v>63</v>
      </c>
      <c r="C30" s="99">
        <v>5.9529082105141198E-2</v>
      </c>
    </row>
    <row r="31" spans="1:3" ht="14.25" customHeight="1" x14ac:dyDescent="0.25">
      <c r="B31" s="25" t="s">
        <v>10</v>
      </c>
      <c r="C31" s="99">
        <v>6.7946136004371396E-2</v>
      </c>
    </row>
    <row r="32" spans="1:3" ht="14.25" customHeight="1" x14ac:dyDescent="0.25">
      <c r="B32" s="25" t="s">
        <v>11</v>
      </c>
      <c r="C32" s="99">
        <v>0.42914342839018998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5.4023899999999996</v>
      </c>
    </row>
    <row r="38" spans="1:5" ht="15" customHeight="1" x14ac:dyDescent="0.25">
      <c r="B38" s="11" t="s">
        <v>35</v>
      </c>
      <c r="C38" s="43">
        <v>8.4329999999999998</v>
      </c>
      <c r="D38" s="12"/>
      <c r="E38" s="13"/>
    </row>
    <row r="39" spans="1:5" ht="15" customHeight="1" x14ac:dyDescent="0.25">
      <c r="B39" s="11" t="s">
        <v>61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6.6381999999999986E-3</v>
      </c>
      <c r="D45" s="12"/>
    </row>
    <row r="46" spans="1:5" ht="15.75" customHeight="1" x14ac:dyDescent="0.25">
      <c r="B46" s="11" t="s">
        <v>51</v>
      </c>
      <c r="C46" s="45">
        <v>7.1327000000000002E-2</v>
      </c>
      <c r="D46" s="12"/>
    </row>
    <row r="47" spans="1:5" ht="15.75" customHeight="1" x14ac:dyDescent="0.25">
      <c r="B47" s="11" t="s">
        <v>59</v>
      </c>
      <c r="C47" s="45">
        <v>7.4688299999999999E-2</v>
      </c>
      <c r="D47" s="12"/>
      <c r="E47" s="13"/>
    </row>
    <row r="48" spans="1:5" ht="15" customHeight="1" x14ac:dyDescent="0.25">
      <c r="B48" s="11" t="s">
        <v>58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0.61720999999999993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Xpo0pU3L8L6tYKwtthcQCu71PZ5YrcJ2nGWSN5mQ6odI4qUrZUpYHzPa53JkVy+OwGmX56SOR3EC3ASFRil1vw==" saltValue="oYEYB4zhwnY9FCVXqdf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MAZUgNzdbMx+kudoSV/qFbBHYs7VsPmp1hSbj2xB+C1PHLNSPhBusFndLHe9H3mJ198RCMILsodSIntIKtLtA==" saltValue="DINt8FKeJuna0AnqoN8Qb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6.1434500000000017E-2</v>
      </c>
    </row>
    <row r="5" spans="1:8" ht="15.75" customHeight="1" x14ac:dyDescent="0.25">
      <c r="B5" s="19" t="s">
        <v>95</v>
      </c>
      <c r="C5" s="101">
        <v>3.080959999999993E-2</v>
      </c>
    </row>
    <row r="6" spans="1:8" ht="15.75" customHeight="1" x14ac:dyDescent="0.25">
      <c r="B6" s="19" t="s">
        <v>91</v>
      </c>
      <c r="C6" s="101">
        <v>0.15788579999999999</v>
      </c>
    </row>
    <row r="7" spans="1:8" ht="15.75" customHeight="1" x14ac:dyDescent="0.25">
      <c r="B7" s="19" t="s">
        <v>96</v>
      </c>
      <c r="C7" s="101">
        <v>0.42719720000000078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0.24526179999999931</v>
      </c>
    </row>
    <row r="10" spans="1:8" ht="15.75" customHeight="1" x14ac:dyDescent="0.25">
      <c r="B10" s="19" t="s">
        <v>94</v>
      </c>
      <c r="C10" s="101">
        <v>7.7411100000000052E-2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102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2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79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99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3.5118521999999999E-2</v>
      </c>
    </row>
    <row r="27" spans="1:8" ht="15.75" customHeight="1" x14ac:dyDescent="0.25">
      <c r="B27" s="19" t="s">
        <v>89</v>
      </c>
      <c r="C27" s="101">
        <v>3.0268353000000001E-2</v>
      </c>
    </row>
    <row r="28" spans="1:8" ht="15.75" customHeight="1" x14ac:dyDescent="0.25">
      <c r="B28" s="19" t="s">
        <v>103</v>
      </c>
      <c r="C28" s="101">
        <v>4.2532465999999998E-2</v>
      </c>
    </row>
    <row r="29" spans="1:8" ht="15.75" customHeight="1" x14ac:dyDescent="0.25">
      <c r="B29" s="19" t="s">
        <v>86</v>
      </c>
      <c r="C29" s="101">
        <v>0.11442039499999999</v>
      </c>
    </row>
    <row r="30" spans="1:8" ht="15.75" customHeight="1" x14ac:dyDescent="0.25">
      <c r="B30" s="19" t="s">
        <v>4</v>
      </c>
      <c r="C30" s="101">
        <v>6.6051589999999993E-2</v>
      </c>
    </row>
    <row r="31" spans="1:8" ht="15.75" customHeight="1" x14ac:dyDescent="0.25">
      <c r="B31" s="19" t="s">
        <v>80</v>
      </c>
      <c r="C31" s="101">
        <v>4.992891800000001E-2</v>
      </c>
    </row>
    <row r="32" spans="1:8" ht="15.75" customHeight="1" x14ac:dyDescent="0.25">
      <c r="B32" s="19" t="s">
        <v>85</v>
      </c>
      <c r="C32" s="101">
        <v>0.10155209799999999</v>
      </c>
    </row>
    <row r="33" spans="2:3" ht="15.75" customHeight="1" x14ac:dyDescent="0.25">
      <c r="B33" s="19" t="s">
        <v>100</v>
      </c>
      <c r="C33" s="101">
        <v>0.24299047300000001</v>
      </c>
    </row>
    <row r="34" spans="2:3" ht="15.75" customHeight="1" x14ac:dyDescent="0.25">
      <c r="B34" s="19" t="s">
        <v>87</v>
      </c>
      <c r="C34" s="101">
        <v>0.31713718499999999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Qdfmn2W91Esbo3fkIIyVYPZq/bQZ8rH8smHiv70vhgr7V3ibUyJBAoFDBl112MM2cSk/yHijG0pN/pcXkA5Bg==" saltValue="DTiVcE3nG/fFmXcpB7oN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110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106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107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119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kKCqGilRLlUP3Lh++pasc41D5d708paPv86E5tTRpnDjTPIQwheXcrc4zHtr1MVYcAjIqJ7o2sT9If0ey0PZg==" saltValue="gn/cCAociPfme25f+hea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125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GiBKNc3SBb3/eLuJbQE4bGvi9lEDVhXyh8hq20itffkEKwrGWUr0dmZaaYi0ycgSmwln4P7BRO3CYcxA5gjSfg==" saltValue="95zAT8QSpV/yHc5RMVU7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5pwSB3hEc3AFKKnOAUzSoALPCxPPfMaKUYylN5zas6aHHpPyNWXuPg7/p0vD1BBGacYKbJjS9dpaf6kOBkolA==" saltValue="drtVxYDW6OlakW9wAzRn4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EWZsYRdg4lShiEXEM6VxojgRKrxSXTcrqqqufN/YnfZJPrvilEzvE1AhMrMtKH8ib8kyccIFnjI/1dcvvaUXQ==" saltValue="mY6Uu3SodNyjtdM98TDpt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PZDFKiAxL+Q1JmYOvABj17G8zZUXd9sMAP/zGW43WBdEGdzYPs3QZMMLeSWsOVbu8FcqWy89UNPyMbyfY7iSA==" saltValue="+vR5nWUwUj3hFSRS9lmm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wMldDzYIShGLv6vO54plKJlX/57i8oEO4J19O6aBeNbXUesmtXQ8NJLeVmS0Kh/ZTIhV+6sEDYSOg5nCY5IBA==" saltValue="sG9zwAcqZzWObKXjrzNm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56.254705436031671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39.840352237471023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386.57856933182762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4.1173102961713033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12.97265168126693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12.97265168126693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12.97265168126693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12.97265168126693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12.97265168126693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12.97265168126693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0.67941748116227962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0.182699</v>
      </c>
      <c r="C18" s="98">
        <v>0.95</v>
      </c>
      <c r="D18" s="56">
        <v>8.9203956176994357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0.182699</v>
      </c>
      <c r="C19" s="98">
        <v>0.95</v>
      </c>
      <c r="D19" s="56">
        <v>8.9203956176994357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44.23052776081574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22.365929113311349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4.2546328106455702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0.71086051360217994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18.548511011776839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0.42392999999999997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0.49874190000000002</v>
      </c>
      <c r="C29" s="98">
        <v>0.95</v>
      </c>
      <c r="D29" s="56">
        <v>109.5975303040908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0.66646007760184001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1.454747276626283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0.91757350000000004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0.28326289999999998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3.0968200000000001E-2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0.84712010000000004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0.10861270000000001</v>
      </c>
      <c r="C38" s="98">
        <v>0.95</v>
      </c>
      <c r="D38" s="56">
        <v>1.036071241780949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wdyTsPQnQOHqqmNKJ69LM1B+x8RtIscxXpHPV5oZP5RgbMVtjQiCG6YKfUGi1bRFSNNE2xxYOcPLSHxh+ryzDg==" saltValue="BoDhJ2H7IDudO741ou9V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JxtzJkO76wCGzDg6FrfAf0TQrD985HGNeIoj7yvy/3VL6i6PAlJAZCXwhImWkokHr4/klMoyWxcPcB1FJBJNA==" saltValue="cJSvQIjDnf6xPIxk/myr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ccLIsA03dXa4JTRhnpS+i55Zh+6rOqDClRlfcMUDl7lcV37nQkevBONqvlsBNdn7EuzKII2Vwd2tt8b9gmWGQ==" saltValue="12NPsu0+EVH2HpWd0vb4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dytBuDLPqqBxeNBZaW9up9PqwAjqAtT9r+6aAF5OKuDmsPrGPYCyxm9IE7HKYHPjdz1Kjcl+M6CxAVdeYyARaA==" saltValue="71wrzG+3L59LVWl3Xr/B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5ny6UNTE2GmUrlC3vhsvA/HTYGNN4FhIcmPXfTrpMErgLyOkh3KblbBvD4iqeNVZYfID/ii1102KptpTy0Ovw==" saltValue="EseSnficyx0wBYXdkxaJ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GOCbD5k8XrCTCnZSo1hcmi5SeHIZYpz8imlAJtRfZ6CMBY6UpG0/9y3iYmdE19sFm0iM9hWJLRNeWUN+V+Iqw==" saltValue="sjyM/VSvCx+hEIX1RzCG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lxMZDnRgu6N5WW4Fmc3pFoRS77WWPubeYIUdhaofpuPb7r+coqGIoXRdeW7LPWe7KaU7brG7Zbgph/C4wNvvg==" saltValue="WaANK0WaAd1CNqA8JZuG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UPurkYliDoaxYtSmLe1SZCuc+D0D70af6mqalsV5OpE9mpBkqBJLUuLG2aajbk9OjvJBgVPeFXWGS8nQLBwIA==" saltValue="YRXNWw0HJpgj/4QhcNid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7qCb6y5vEcaArqUEI/D9kuyxtIeA4XpWoT23lquuJCfFMRaRyuaBMajpHhwpOg4w/dX8bNSn+jAiUEXijkKyQ==" saltValue="m2dOxSOLNdDxJYLcwG52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1yQMKzsmOEQfcgcYTow/IpRGjjT6PBWsALbHSMmUEEjBn83QGEinepLJ+bNFyNYXkDX5qJBSZLYaHGs1EKbag==" saltValue="FF11xhsIDo5mGR4Ywjq3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n1ZZeCq1JmwAop2I4iyIesH1hpjEQNZDEm0E0HgvOqUw2uyNlGKO8F/y0AgmJ8Vow7zKRc4AGcSudCrWbsi0Q==" saltValue="H51W6pqgTPEWu5P9STz4w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9yvTYYpYEVLB3tj7oBbuaFBkc6lqfBvdF+EYq63SHA0llohcIveyclByZIMEM4rOHwkOkzdSOlQtSiVIqd47w==" saltValue="ou7f8HKgraQ2Q1tdfcux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8fVLQs8sEWbPoXFbBnFH7+lWRjvceckZTF1MIRNoxG2FKFjL9o4Jf1tLQ6qTs4iLp1fpIfU+svrf94/ScDB5Q==" saltValue="Au5HZ0y1GFgNN+S0gGVz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YG9ajcpuPHmLu+bbkK9E6Dqr+l10fz9qxNlb6j4fsqCsd5QmTXIxP71nDtvkGHi60S3LYPbRGV0pnE6IAJuZQ==" saltValue="y/mr3fUHbirk+2k2VouO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s7qenb0GJ6Jcz7RjL1YSjXhbFthkWDAtaMXRRdu8w+zjb1wR/Xmg3MHliY97Lr9fuPE5RnPXDSi7DebcRxgdQ==" saltValue="Hh5jSQKXfI6WpNKs3bTW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p5kVF5bQir73mNIdCDMQSGkfyLJXROXlNbpdH5dC1Z0wVvEB32s/vduWd3jO5FrjeZppCzUVz8+R3s/zeiVYg==" saltValue="Ar5vbTwIKI71GTokEAPm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+TQEK5IJCq32WNb9gfYH+LK7jbLshQ/QYKc2U/MtXvhwFNBNY9Dkyz+PwSoki6STTexJ8LXJYkdMmGZnpFBXA==" saltValue="fcS/0i5TE+ELzHI+BZdQ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0.10991327172937071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0.10951023062684473</v>
      </c>
      <c r="G20" s="90">
        <f>MIN(MAX(1-0.89/(1-frac_mam_12_23months+(frac_mam_12_23months*0.89)),0),1)</f>
        <v>0.10974475046612986</v>
      </c>
      <c r="H20" s="90">
        <f>MIN(MAX(1-0.89/(1-frac_mam_24_59months+(frac_mam_24_59months*0.89)),0),1)</f>
        <v>0.10994763020861376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9.991230502319759E-3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9.9504975248763117E-3</v>
      </c>
      <c r="G75" s="90">
        <f>MIN(MAX(1-0.99/(1-frac_mam_12_23months+(frac_mam_12_23months*0.99)),0),1)</f>
        <v>9.974194977392159E-3</v>
      </c>
      <c r="H75" s="90">
        <f>MIN(MAX(1-0.99/(1-frac_mam_24_59months+(frac_mam_24_59months*0.99)),0),1)</f>
        <v>9.9947044616741643E-3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0.19985824688701848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0.19919919919919915</v>
      </c>
      <c r="G130" s="90">
        <f>MIN(MAX(1-0.8/(1-frac_mam_12_23months+(frac_mam_12_23months*0.8)),0),1)</f>
        <v>0.19958274248365671</v>
      </c>
      <c r="H130" s="90">
        <f>MIN(MAX(1-0.8/(1-frac_mam_24_59months+(frac_mam_24_59months*0.8)),0),1)</f>
        <v>0.19991440684324402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3+GlT1/fShVjgqno0y/TYq/bWMf/eLYC3h2DDrKKQ1ii8kijPnhtzPAIHmiM1vGpltUhUvWi/AfHFBzk41FIQ==" saltValue="N2ZCir1FBva0PJwFHqZB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NslH8NCSyzoM61vfGZMPWa8omRgBlsSr2YoNJmJrCEl5N04yiZRG/orYGshBo8Kw1KgJL92WxXHNAgHqoXcqg==" saltValue="ZFs7gMm/pFKLzhIE5UGeF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2024-08-06T07:37:58Z</dcterms:modified>
</cp:coreProperties>
</file>