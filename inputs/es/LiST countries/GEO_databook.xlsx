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E89386E7-E4B2-4721-AB67-1691F13B2C2D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<sst xmlns="http://schemas.openxmlformats.org/spreadsheetml/2006/main" count="2102" uniqueCount="341">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</sst>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239831.673828125</v>
      </c>
    </row>
    <row r="8" spans="1:3" ht="15" customHeight="1" x14ac:dyDescent="0.25">
      <c r="B8" s="5" t="s">
        <v>44</v>
      </c>
      <c r="C8" s="44">
        <v>4.4999999999999998E-2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0.98864250183105495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0.1278</v>
      </c>
    </row>
    <row r="24" spans="1:3" ht="15" customHeight="1" x14ac:dyDescent="0.25">
      <c r="B24" s="15" t="s">
        <v>46</v>
      </c>
      <c r="C24" s="45">
        <v>0.60719999999999996</v>
      </c>
    </row>
    <row r="25" spans="1:3" ht="15" customHeight="1" x14ac:dyDescent="0.25">
      <c r="B25" s="15" t="s">
        <v>47</v>
      </c>
      <c r="C25" s="45">
        <v>0.2432</v>
      </c>
    </row>
    <row r="26" spans="1:3" ht="15" customHeight="1" x14ac:dyDescent="0.25">
      <c r="B26" s="15" t="s">
        <v>48</v>
      </c>
      <c r="C26" s="45">
        <v>2.18E-2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0.443381353500297</v>
      </c>
    </row>
    <row r="30" spans="1:3" ht="14.25" customHeight="1" x14ac:dyDescent="0.25">
      <c r="B30" s="25" t="s">
        <v>63</v>
      </c>
      <c r="C30" s="99">
        <v>5.9529082105141198E-2</v>
      </c>
    </row>
    <row r="31" spans="1:3" ht="14.25" customHeight="1" x14ac:dyDescent="0.25">
      <c r="B31" s="25" t="s">
        <v>10</v>
      </c>
      <c r="C31" s="99">
        <v>6.7946136004371396E-2</v>
      </c>
    </row>
    <row r="32" spans="1:3" ht="14.25" customHeight="1" x14ac:dyDescent="0.25">
      <c r="B32" s="25" t="s">
        <v>11</v>
      </c>
      <c r="C32" s="99">
        <v>0.42914342839018998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5.4023899999999996</v>
      </c>
    </row>
    <row r="38" spans="1:5" ht="15" customHeight="1" x14ac:dyDescent="0.25">
      <c r="B38" s="11" t="s">
        <v>35</v>
      </c>
      <c r="C38" s="43">
        <v>8.4329999999999998</v>
      </c>
      <c r="D38" s="12"/>
      <c r="E38" s="13"/>
    </row>
    <row r="39" spans="1:5" ht="15" customHeight="1" x14ac:dyDescent="0.25">
      <c r="B39" s="11" t="s">
        <v>61</v>
      </c>
      <c r="C39" s="43">
        <v>9.4797799999999999</v>
      </c>
      <c r="D39" s="12"/>
      <c r="E39" s="12"/>
    </row>
    <row r="40" spans="1:5" ht="15" customHeight="1" x14ac:dyDescent="0.25">
      <c r="B40" s="11" t="s">
        <v>36</v>
      </c>
      <c r="C40" s="100">
        <v>0.28000000000000003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5.6737099999999998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6.6381999999999986E-3</v>
      </c>
      <c r="D45" s="12"/>
    </row>
    <row r="46" spans="1:5" ht="15.75" customHeight="1" x14ac:dyDescent="0.25">
      <c r="B46" s="11" t="s">
        <v>51</v>
      </c>
      <c r="C46" s="45">
        <v>7.1327000000000002E-2</v>
      </c>
      <c r="D46" s="12"/>
    </row>
    <row r="47" spans="1:5" ht="15.75" customHeight="1" x14ac:dyDescent="0.25">
      <c r="B47" s="11" t="s">
        <v>59</v>
      </c>
      <c r="C47" s="45">
        <v>7.4688299999999999E-2</v>
      </c>
      <c r="D47" s="12"/>
      <c r="E47" s="13"/>
    </row>
    <row r="48" spans="1:5" ht="15" customHeight="1" x14ac:dyDescent="0.25">
      <c r="B48" s="11" t="s">
        <v>58</v>
      </c>
      <c r="C48" s="46">
        <v>0.8473465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0.61720999999999993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6.11720129999999E-2</v>
      </c>
    </row>
    <row r="63" spans="1:4" ht="15.75" customHeight="1" x14ac:dyDescent="0.3">
      <c r="A63" s="4"/>
    </row>
  </sheetData>
  <sheetProtection algorithmName="SHA-512" hashValue="yPfn6+LBgez2WQ0qrcOg2nbdNkpRVhmqtAzsmljeaa7EoneKvPqyShQb6nV6fdNjjVPau/NrAVVYrx/zv8hr0g==" saltValue="CqO/K9pkrWK5TH7e1Vcsi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46526</v>
      </c>
      <c r="C2" s="49">
        <v>135776.5</v>
      </c>
      <c r="D2" s="49">
        <v>201418.5</v>
      </c>
      <c r="E2" s="49">
        <v>272509</v>
      </c>
      <c r="F2" s="49">
        <v>229807.5</v>
      </c>
      <c r="G2" s="17">
        <f t="shared" ref="G2:G13" si="0">C2+D2+E2+F2</f>
        <v>839511.5</v>
      </c>
      <c r="H2" s="17">
        <f t="shared" ref="H2:H13" si="1">(B2 + stillbirth*B2/(1000-stillbirth))/(1-abortion)</f>
        <v>53172.137835613845</v>
      </c>
      <c r="I2" s="17">
        <f t="shared" ref="I2:I13" si="2">G2-H2</f>
        <v>786339.3621643862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45328</v>
      </c>
      <c r="C3" s="50">
        <v>141242</v>
      </c>
      <c r="D3" s="50">
        <v>197405</v>
      </c>
      <c r="E3" s="50">
        <v>264984</v>
      </c>
      <c r="F3" s="50">
        <v>231605</v>
      </c>
      <c r="G3" s="17">
        <f t="shared" si="0"/>
        <v>835236</v>
      </c>
      <c r="H3" s="17">
        <f t="shared" si="1"/>
        <v>51803.006143074934</v>
      </c>
      <c r="I3" s="17">
        <f t="shared" si="2"/>
        <v>783432.99385692505</v>
      </c>
    </row>
    <row r="4" spans="1:9" ht="15.75" customHeight="1" x14ac:dyDescent="0.25">
      <c r="A4" s="5">
        <f t="shared" si="3"/>
        <v>2026</v>
      </c>
      <c r="B4" s="49">
        <v>44305</v>
      </c>
      <c r="C4" s="50">
        <v>145874.5</v>
      </c>
      <c r="D4" s="50">
        <v>194549</v>
      </c>
      <c r="E4" s="50">
        <v>256613.5</v>
      </c>
      <c r="F4" s="50">
        <v>233892.5</v>
      </c>
      <c r="G4" s="17">
        <f t="shared" si="0"/>
        <v>830929.5</v>
      </c>
      <c r="H4" s="17">
        <f t="shared" si="1"/>
        <v>50633.872819646465</v>
      </c>
      <c r="I4" s="17">
        <f t="shared" si="2"/>
        <v>780295.62718035351</v>
      </c>
    </row>
    <row r="5" spans="1:9" ht="15.75" customHeight="1" x14ac:dyDescent="0.25">
      <c r="A5" s="5">
        <f t="shared" si="3"/>
        <v>2027</v>
      </c>
      <c r="B5" s="49">
        <v>43484</v>
      </c>
      <c r="C5" s="50">
        <v>150049</v>
      </c>
      <c r="D5" s="50">
        <v>192887.5</v>
      </c>
      <c r="E5" s="50">
        <v>248059.5</v>
      </c>
      <c r="F5" s="50">
        <v>236400.5</v>
      </c>
      <c r="G5" s="17">
        <f t="shared" si="0"/>
        <v>827396.5</v>
      </c>
      <c r="H5" s="17">
        <f t="shared" si="1"/>
        <v>49695.594756562619</v>
      </c>
      <c r="I5" s="17">
        <f t="shared" si="2"/>
        <v>777700.90524343739</v>
      </c>
    </row>
    <row r="6" spans="1:9" ht="15.75" customHeight="1" x14ac:dyDescent="0.25">
      <c r="A6" s="5">
        <f t="shared" si="3"/>
        <v>2028</v>
      </c>
      <c r="B6" s="49">
        <v>42705</v>
      </c>
      <c r="C6" s="50">
        <v>153676</v>
      </c>
      <c r="D6" s="50">
        <v>193356</v>
      </c>
      <c r="E6" s="50">
        <v>239158.5</v>
      </c>
      <c r="F6" s="50">
        <v>238732</v>
      </c>
      <c r="G6" s="17">
        <f t="shared" si="0"/>
        <v>824922.5</v>
      </c>
      <c r="H6" s="17">
        <f t="shared" si="1"/>
        <v>48805.316302065279</v>
      </c>
      <c r="I6" s="17">
        <f t="shared" si="2"/>
        <v>776117.18369793473</v>
      </c>
    </row>
    <row r="7" spans="1:9" ht="15.75" customHeight="1" x14ac:dyDescent="0.25">
      <c r="A7" s="5">
        <f t="shared" si="3"/>
        <v>2029</v>
      </c>
      <c r="B7" s="49">
        <v>41964</v>
      </c>
      <c r="C7" s="50">
        <v>156328.5</v>
      </c>
      <c r="D7" s="50">
        <v>196657.5</v>
      </c>
      <c r="E7" s="50">
        <v>229304</v>
      </c>
      <c r="F7" s="50">
        <v>240667.5</v>
      </c>
      <c r="G7" s="17">
        <f t="shared" si="0"/>
        <v>822957.5</v>
      </c>
      <c r="H7" s="17">
        <f t="shared" si="1"/>
        <v>47958.466064860491</v>
      </c>
      <c r="I7" s="17">
        <f t="shared" si="2"/>
        <v>774999.03393513954</v>
      </c>
    </row>
    <row r="8" spans="1:9" ht="15.75" customHeight="1" x14ac:dyDescent="0.25">
      <c r="A8" s="5">
        <f t="shared" si="3"/>
        <v>2030</v>
      </c>
      <c r="B8" s="49">
        <v>41674</v>
      </c>
      <c r="C8" s="50">
        <v>158001</v>
      </c>
      <c r="D8" s="50">
        <v>201730.5</v>
      </c>
      <c r="E8" s="50">
        <v>218575</v>
      </c>
      <c r="F8" s="50">
        <v>242379.5</v>
      </c>
      <c r="G8" s="17">
        <f t="shared" si="0"/>
        <v>820686</v>
      </c>
      <c r="H8" s="17">
        <f t="shared" si="1"/>
        <v>47627.040196048911</v>
      </c>
      <c r="I8" s="17">
        <f t="shared" si="2"/>
        <v>773058.95980395109</v>
      </c>
    </row>
    <row r="9" spans="1:9" ht="15.75" customHeight="1" x14ac:dyDescent="0.25">
      <c r="A9" s="5">
        <f t="shared" si="3"/>
        <v>2031</v>
      </c>
      <c r="B9" s="49">
        <v>41205</v>
      </c>
      <c r="C9" s="50">
        <v>159035.5</v>
      </c>
      <c r="D9" s="50">
        <v>206945</v>
      </c>
      <c r="E9" s="50">
        <v>207908.5</v>
      </c>
      <c r="F9" s="50">
        <v>244042.5</v>
      </c>
      <c r="G9" s="17">
        <f t="shared" si="0"/>
        <v>817931.5</v>
      </c>
      <c r="H9" s="17">
        <f t="shared" si="1"/>
        <v>47091.044566832919</v>
      </c>
      <c r="I9" s="17">
        <f t="shared" si="2"/>
        <v>770840.45543316705</v>
      </c>
    </row>
    <row r="10" spans="1:9" ht="15.75" customHeight="1" x14ac:dyDescent="0.25">
      <c r="A10" s="5">
        <f t="shared" si="3"/>
        <v>2032</v>
      </c>
      <c r="B10" s="49">
        <v>40988</v>
      </c>
      <c r="C10" s="50">
        <v>159466.5</v>
      </c>
      <c r="D10" s="50">
        <v>212065</v>
      </c>
      <c r="E10" s="50">
        <v>198402.5</v>
      </c>
      <c r="F10" s="50">
        <v>245053</v>
      </c>
      <c r="G10" s="17">
        <f t="shared" si="0"/>
        <v>814987</v>
      </c>
      <c r="H10" s="17">
        <f t="shared" si="1"/>
        <v>46843.046589135971</v>
      </c>
      <c r="I10" s="17">
        <f t="shared" si="2"/>
        <v>768143.95341086399</v>
      </c>
    </row>
    <row r="11" spans="1:9" ht="15.75" customHeight="1" x14ac:dyDescent="0.25">
      <c r="A11" s="5">
        <f t="shared" si="3"/>
        <v>2033</v>
      </c>
      <c r="B11" s="49">
        <v>40783</v>
      </c>
      <c r="C11" s="50">
        <v>158289.5</v>
      </c>
      <c r="D11" s="50">
        <v>217764.5</v>
      </c>
      <c r="E11" s="50">
        <v>190725.5</v>
      </c>
      <c r="F11" s="50">
        <v>244183</v>
      </c>
      <c r="G11" s="17">
        <f t="shared" si="0"/>
        <v>810962.5</v>
      </c>
      <c r="H11" s="17">
        <f t="shared" si="1"/>
        <v>46608.762785320883</v>
      </c>
      <c r="I11" s="17">
        <f t="shared" si="2"/>
        <v>764353.73721467913</v>
      </c>
    </row>
    <row r="12" spans="1:9" ht="15.75" customHeight="1" x14ac:dyDescent="0.25">
      <c r="A12" s="5">
        <f t="shared" si="3"/>
        <v>2034</v>
      </c>
      <c r="B12" s="49">
        <v>40786</v>
      </c>
      <c r="C12" s="50">
        <v>154908</v>
      </c>
      <c r="D12" s="50">
        <v>224378.5</v>
      </c>
      <c r="E12" s="50">
        <v>185037.5</v>
      </c>
      <c r="F12" s="50">
        <v>240657</v>
      </c>
      <c r="G12" s="17">
        <f t="shared" si="0"/>
        <v>804981</v>
      </c>
      <c r="H12" s="17">
        <f t="shared" si="1"/>
        <v>46612.191328791348</v>
      </c>
      <c r="I12" s="17">
        <f t="shared" si="2"/>
        <v>758368.80867120868</v>
      </c>
    </row>
    <row r="13" spans="1:9" ht="15.75" customHeight="1" x14ac:dyDescent="0.25">
      <c r="A13" s="5">
        <f t="shared" si="3"/>
        <v>2035</v>
      </c>
      <c r="B13" s="49">
        <v>40747</v>
      </c>
      <c r="C13" s="50">
        <v>150580</v>
      </c>
      <c r="D13" s="50">
        <v>231558</v>
      </c>
      <c r="E13" s="50">
        <v>181056.5</v>
      </c>
      <c r="F13" s="50">
        <v>234636</v>
      </c>
      <c r="G13" s="17">
        <f t="shared" si="0"/>
        <v>797830.5</v>
      </c>
      <c r="H13" s="17">
        <f t="shared" si="1"/>
        <v>46567.620263675308</v>
      </c>
      <c r="I13" s="17">
        <f t="shared" si="2"/>
        <v>751262.87973632466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SerLeMJiURa3jSJbmm9kOHOPHctJz49PTzf/FHCztTpSZ7tnQ6auhAu7HpDzO0h/Y9RJdiRjHRTPaEHncyRnaw==" saltValue="/rbAFy22U+F5aKiHndXAQ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6.1434500000000017E-2</v>
      </c>
    </row>
    <row r="5" spans="1:8" ht="15.75" customHeight="1" x14ac:dyDescent="0.25">
      <c r="B5" s="19" t="s">
        <v>95</v>
      </c>
      <c r="C5" s="101">
        <v>3.080959999999993E-2</v>
      </c>
    </row>
    <row r="6" spans="1:8" ht="15.75" customHeight="1" x14ac:dyDescent="0.25">
      <c r="B6" s="19" t="s">
        <v>91</v>
      </c>
      <c r="C6" s="101">
        <v>0.15788579999999999</v>
      </c>
    </row>
    <row r="7" spans="1:8" ht="15.75" customHeight="1" x14ac:dyDescent="0.25">
      <c r="B7" s="19" t="s">
        <v>96</v>
      </c>
      <c r="C7" s="101">
        <v>0.42719720000000078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0.24526179999999931</v>
      </c>
    </row>
    <row r="10" spans="1:8" ht="15.75" customHeight="1" x14ac:dyDescent="0.25">
      <c r="B10" s="19" t="s">
        <v>94</v>
      </c>
      <c r="C10" s="101">
        <v>7.7411100000000052E-2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2.7543722512431212E-2</v>
      </c>
      <c r="D14" s="55">
        <v>2.7543722512431212E-2</v>
      </c>
      <c r="E14" s="55">
        <v>2.7543722512431212E-2</v>
      </c>
      <c r="F14" s="55">
        <v>2.7543722512431212E-2</v>
      </c>
    </row>
    <row r="15" spans="1:8" ht="15.75" customHeight="1" x14ac:dyDescent="0.25">
      <c r="B15" s="19" t="s">
        <v>102</v>
      </c>
      <c r="C15" s="101">
        <v>0.19736594576080069</v>
      </c>
      <c r="D15" s="101">
        <v>0.19736594576080069</v>
      </c>
      <c r="E15" s="101">
        <v>0.19736594576080069</v>
      </c>
      <c r="F15" s="101">
        <v>0.19736594576080069</v>
      </c>
    </row>
    <row r="16" spans="1:8" ht="15.75" customHeight="1" x14ac:dyDescent="0.25">
      <c r="B16" s="19" t="s">
        <v>2</v>
      </c>
      <c r="C16" s="101">
        <v>5.4692018848222272E-2</v>
      </c>
      <c r="D16" s="101">
        <v>5.4692018848222272E-2</v>
      </c>
      <c r="E16" s="101">
        <v>5.4692018848222272E-2</v>
      </c>
      <c r="F16" s="101">
        <v>5.4692018848222272E-2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5.4498051902628193E-2</v>
      </c>
      <c r="D19" s="101">
        <v>5.4498051902628193E-2</v>
      </c>
      <c r="E19" s="101">
        <v>5.4498051902628193E-2</v>
      </c>
      <c r="F19" s="101">
        <v>5.4498051902628193E-2</v>
      </c>
    </row>
    <row r="20" spans="1:8" ht="15.75" customHeight="1" x14ac:dyDescent="0.25">
      <c r="B20" s="19" t="s">
        <v>79</v>
      </c>
      <c r="C20" s="101">
        <v>0.13982589993096289</v>
      </c>
      <c r="D20" s="101">
        <v>0.13982589993096289</v>
      </c>
      <c r="E20" s="101">
        <v>0.13982589993096289</v>
      </c>
      <c r="F20" s="101">
        <v>0.13982589993096289</v>
      </c>
    </row>
    <row r="21" spans="1:8" ht="15.75" customHeight="1" x14ac:dyDescent="0.25">
      <c r="B21" s="19" t="s">
        <v>88</v>
      </c>
      <c r="C21" s="101">
        <v>0.36947144300070628</v>
      </c>
      <c r="D21" s="101">
        <v>0.36947144300070628</v>
      </c>
      <c r="E21" s="101">
        <v>0.36947144300070628</v>
      </c>
      <c r="F21" s="101">
        <v>0.36947144300070628</v>
      </c>
    </row>
    <row r="22" spans="1:8" ht="15.75" customHeight="1" x14ac:dyDescent="0.25">
      <c r="B22" s="19" t="s">
        <v>99</v>
      </c>
      <c r="C22" s="101">
        <v>0.1566029180442485</v>
      </c>
      <c r="D22" s="101">
        <v>0.1566029180442485</v>
      </c>
      <c r="E22" s="101">
        <v>0.1566029180442485</v>
      </c>
      <c r="F22" s="101">
        <v>0.1566029180442485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3.5118521999999999E-2</v>
      </c>
    </row>
    <row r="27" spans="1:8" ht="15.75" customHeight="1" x14ac:dyDescent="0.25">
      <c r="B27" s="19" t="s">
        <v>89</v>
      </c>
      <c r="C27" s="101">
        <v>3.0268353000000001E-2</v>
      </c>
    </row>
    <row r="28" spans="1:8" ht="15.75" customHeight="1" x14ac:dyDescent="0.25">
      <c r="B28" s="19" t="s">
        <v>103</v>
      </c>
      <c r="C28" s="101">
        <v>4.2532465999999998E-2</v>
      </c>
    </row>
    <row r="29" spans="1:8" ht="15.75" customHeight="1" x14ac:dyDescent="0.25">
      <c r="B29" s="19" t="s">
        <v>86</v>
      </c>
      <c r="C29" s="101">
        <v>0.11442039499999999</v>
      </c>
    </row>
    <row r="30" spans="1:8" ht="15.75" customHeight="1" x14ac:dyDescent="0.25">
      <c r="B30" s="19" t="s">
        <v>4</v>
      </c>
      <c r="C30" s="101">
        <v>6.6051589999999993E-2</v>
      </c>
    </row>
    <row r="31" spans="1:8" ht="15.75" customHeight="1" x14ac:dyDescent="0.25">
      <c r="B31" s="19" t="s">
        <v>80</v>
      </c>
      <c r="C31" s="101">
        <v>4.992891800000001E-2</v>
      </c>
    </row>
    <row r="32" spans="1:8" ht="15.75" customHeight="1" x14ac:dyDescent="0.25">
      <c r="B32" s="19" t="s">
        <v>85</v>
      </c>
      <c r="C32" s="101">
        <v>0.10155209799999999</v>
      </c>
    </row>
    <row r="33" spans="2:3" ht="15.75" customHeight="1" x14ac:dyDescent="0.25">
      <c r="B33" s="19" t="s">
        <v>100</v>
      </c>
      <c r="C33" s="101">
        <v>0.24299047300000001</v>
      </c>
    </row>
    <row r="34" spans="2:3" ht="15.75" customHeight="1" x14ac:dyDescent="0.25">
      <c r="B34" s="19" t="s">
        <v>87</v>
      </c>
      <c r="C34" s="101">
        <v>0.31713718499999999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4rlxkDewQmaRXubjlgbgrevCrWrj4tvH086NssJaWGiraYvRwphYkjjZZZN03/xRPc1Og+WlrEM1oc5LmNrDQg==" saltValue="zqGhPaf6ZchefUuq7Uawb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0.83710119140353823</v>
      </c>
      <c r="D2" s="52">
        <f>IFERROR(1-_xlfn.NORM.DIST(_xlfn.NORM.INV(SUM(D4:D5), 0, 1) + 1, 0, 1, TRUE), "")</f>
        <v>0.83710119140353823</v>
      </c>
      <c r="E2" s="52">
        <f>IFERROR(1-_xlfn.NORM.DIST(_xlfn.NORM.INV(SUM(E4:E5), 0, 1) + 1, 0, 1, TRUE), "")</f>
        <v>0.86637734241792741</v>
      </c>
      <c r="F2" s="52">
        <f>IFERROR(1-_xlfn.NORM.DIST(_xlfn.NORM.INV(SUM(F4:F5), 0, 1) + 1, 0, 1, TRUE), "")</f>
        <v>0.73699789900702506</v>
      </c>
      <c r="G2" s="52">
        <f>IFERROR(1-_xlfn.NORM.DIST(_xlfn.NORM.INV(SUM(G4:G5), 0, 1) + 1, 0, 1, TRUE), "")</f>
        <v>0.68230989620481175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0.13919350859646185</v>
      </c>
      <c r="D3" s="52">
        <f>IFERROR(_xlfn.NORM.DIST(_xlfn.NORM.INV(SUM(D4:D5), 0, 1) + 1, 0, 1, TRUE) - SUM(D4:D5), "")</f>
        <v>0.13919350859646185</v>
      </c>
      <c r="E3" s="52">
        <f>IFERROR(_xlfn.NORM.DIST(_xlfn.NORM.INV(SUM(E4:E5), 0, 1) + 1, 0, 1, TRUE) - SUM(E4:E5), "")</f>
        <v>0.11616885758207256</v>
      </c>
      <c r="F3" s="52">
        <f>IFERROR(_xlfn.NORM.DIST(_xlfn.NORM.INV(SUM(F4:F5), 0, 1) + 1, 0, 1, TRUE) - SUM(F4:F5), "")</f>
        <v>0.21188500099297494</v>
      </c>
      <c r="G3" s="52">
        <f>IFERROR(_xlfn.NORM.DIST(_xlfn.NORM.INV(SUM(G4:G5), 0, 1) + 1, 0, 1, TRUE) - SUM(G4:G5), "")</f>
        <v>0.2474719037951883</v>
      </c>
    </row>
    <row r="4" spans="1:15" ht="15.75" customHeight="1" x14ac:dyDescent="0.25">
      <c r="B4" s="5" t="s">
        <v>110</v>
      </c>
      <c r="C4" s="45">
        <v>1.5584300000000001E-2</v>
      </c>
      <c r="D4" s="53">
        <v>1.5584300000000001E-2</v>
      </c>
      <c r="E4" s="53">
        <v>9.9590000000000008E-3</v>
      </c>
      <c r="F4" s="53">
        <v>3.1561400000000003E-2</v>
      </c>
      <c r="G4" s="53">
        <v>5.6891999999999998E-2</v>
      </c>
    </row>
    <row r="5" spans="1:15" ht="15.75" customHeight="1" x14ac:dyDescent="0.25">
      <c r="B5" s="5" t="s">
        <v>106</v>
      </c>
      <c r="C5" s="45">
        <v>8.1209999999999997E-3</v>
      </c>
      <c r="D5" s="53">
        <v>8.1209999999999997E-3</v>
      </c>
      <c r="E5" s="53">
        <v>7.4948000000000002E-3</v>
      </c>
      <c r="F5" s="53">
        <v>1.9555699999999999E-2</v>
      </c>
      <c r="G5" s="53">
        <v>1.33262E-2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0.74858039018781819</v>
      </c>
      <c r="D8" s="52">
        <f>IFERROR(1-_xlfn.NORM.DIST(_xlfn.NORM.INV(SUM(D10:D11), 0, 1) + 1, 0, 1, TRUE), "")</f>
        <v>0.74858039018781819</v>
      </c>
      <c r="E8" s="52">
        <f>IFERROR(1-_xlfn.NORM.DIST(_xlfn.NORM.INV(SUM(E10:E11), 0, 1) + 1, 0, 1, TRUE), "")</f>
        <v>0.9424674264231786</v>
      </c>
      <c r="F8" s="52">
        <f>IFERROR(1-_xlfn.NORM.DIST(_xlfn.NORM.INV(SUM(F10:F11), 0, 1) + 1, 0, 1, TRUE), "")</f>
        <v>0.96355895950318393</v>
      </c>
      <c r="G8" s="52">
        <f>IFERROR(1-_xlfn.NORM.DIST(_xlfn.NORM.INV(SUM(G10:G11), 0, 1) + 1, 0, 1, TRUE), "")</f>
        <v>0.9763940707354769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0.20396280981218182</v>
      </c>
      <c r="D9" s="52">
        <f>IFERROR(_xlfn.NORM.DIST(_xlfn.NORM.INV(SUM(D10:D11), 0, 1) + 1, 0, 1, TRUE) - SUM(D10:D11), "")</f>
        <v>0.20396280981218182</v>
      </c>
      <c r="E9" s="52">
        <f>IFERROR(_xlfn.NORM.DIST(_xlfn.NORM.INV(SUM(E10:E11), 0, 1) + 1, 0, 1, TRUE) - SUM(E10:E11), "")</f>
        <v>5.253257357682143E-2</v>
      </c>
      <c r="F9" s="52">
        <f>IFERROR(_xlfn.NORM.DIST(_xlfn.NORM.INV(SUM(F10:F11), 0, 1) + 1, 0, 1, TRUE) - SUM(F10:F11), "")</f>
        <v>3.3834540496816098E-2</v>
      </c>
      <c r="G9" s="52">
        <f>IFERROR(_xlfn.NORM.DIST(_xlfn.NORM.INV(SUM(G10:G11), 0, 1) + 1, 0, 1, TRUE) - SUM(G10:G11), "")</f>
        <v>2.2185229264523147E-2</v>
      </c>
    </row>
    <row r="10" spans="1:15" ht="15.75" customHeight="1" x14ac:dyDescent="0.25">
      <c r="B10" s="5" t="s">
        <v>107</v>
      </c>
      <c r="C10" s="45">
        <v>4.74568E-2</v>
      </c>
      <c r="D10" s="53">
        <v>4.74568E-2</v>
      </c>
      <c r="E10" s="53">
        <v>5.0000000000000001E-3</v>
      </c>
      <c r="F10" s="53">
        <v>2.6064999999999999E-3</v>
      </c>
      <c r="G10" s="53">
        <v>5.3490000000000005E-4</v>
      </c>
    </row>
    <row r="11" spans="1:15" ht="15.75" customHeight="1" x14ac:dyDescent="0.25">
      <c r="B11" s="5" t="s">
        <v>119</v>
      </c>
      <c r="C11" s="45">
        <v>0</v>
      </c>
      <c r="D11" s="53">
        <v>0</v>
      </c>
      <c r="E11" s="53">
        <v>0</v>
      </c>
      <c r="F11" s="53">
        <v>0</v>
      </c>
      <c r="G11" s="53">
        <v>8.8580000000000006E-4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0.11741428550000001</v>
      </c>
      <c r="D14" s="54">
        <v>0.104521495984</v>
      </c>
      <c r="E14" s="54">
        <v>0.104521495984</v>
      </c>
      <c r="F14" s="54">
        <v>7.1872665149799994E-2</v>
      </c>
      <c r="G14" s="54">
        <v>7.1872665149799994E-2</v>
      </c>
      <c r="H14" s="45">
        <v>0.30099999999999999</v>
      </c>
      <c r="I14" s="55">
        <v>0.30099999999999999</v>
      </c>
      <c r="J14" s="55">
        <v>0.30099999999999999</v>
      </c>
      <c r="K14" s="55">
        <v>0.30099999999999999</v>
      </c>
      <c r="L14" s="45">
        <v>0.27400000000000002</v>
      </c>
      <c r="M14" s="55">
        <v>0.27400000000000002</v>
      </c>
      <c r="N14" s="55">
        <v>0.27400000000000002</v>
      </c>
      <c r="O14" s="55">
        <v>0.27400000000000002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7.2469271153455E-2</v>
      </c>
      <c r="D15" s="52">
        <f t="shared" si="0"/>
        <v>6.4511712536284627E-2</v>
      </c>
      <c r="E15" s="52">
        <f t="shared" si="0"/>
        <v>6.4511712536284627E-2</v>
      </c>
      <c r="F15" s="52">
        <f t="shared" si="0"/>
        <v>4.4360527657108052E-2</v>
      </c>
      <c r="G15" s="52">
        <f t="shared" si="0"/>
        <v>4.4360527657108052E-2</v>
      </c>
      <c r="H15" s="52">
        <f t="shared" si="0"/>
        <v>0.18578020999999997</v>
      </c>
      <c r="I15" s="52">
        <f t="shared" si="0"/>
        <v>0.18578020999999997</v>
      </c>
      <c r="J15" s="52">
        <f t="shared" si="0"/>
        <v>0.18578020999999997</v>
      </c>
      <c r="K15" s="52">
        <f t="shared" si="0"/>
        <v>0.18578020999999997</v>
      </c>
      <c r="L15" s="52">
        <f t="shared" si="0"/>
        <v>0.16911553999999998</v>
      </c>
      <c r="M15" s="52">
        <f t="shared" si="0"/>
        <v>0.16911553999999998</v>
      </c>
      <c r="N15" s="52">
        <f t="shared" si="0"/>
        <v>0.16911553999999998</v>
      </c>
      <c r="O15" s="52">
        <f t="shared" si="0"/>
        <v>0.16911553999999998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w9NFcL5GVgJm9/uS5s1B9olUwzLalnYjpXrahASCtnunKxK6RbB0NRaIyEGRUIt6yxUcZXC0Nyr42YNJtgNkTA==" saltValue="/6pGcLIG40EwNuz5OQD1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0.26981300000000003</v>
      </c>
      <c r="D2" s="53">
        <v>0.182699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0.23890230000000001</v>
      </c>
      <c r="D3" s="53">
        <v>0.15771360000000001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0.36290050000000001</v>
      </c>
      <c r="D4" s="53">
        <v>0.36913839999999998</v>
      </c>
      <c r="E4" s="53">
        <v>0.57016309999999992</v>
      </c>
      <c r="F4" s="53">
        <v>0.2526948</v>
      </c>
      <c r="G4" s="53">
        <v>0</v>
      </c>
    </row>
    <row r="5" spans="1:7" x14ac:dyDescent="0.25">
      <c r="B5" s="3" t="s">
        <v>125</v>
      </c>
      <c r="C5" s="52">
        <v>0.1283841</v>
      </c>
      <c r="D5" s="52">
        <v>0.29044900000000001</v>
      </c>
      <c r="E5" s="52">
        <f>1-SUM(E2:E4)</f>
        <v>0.42983690000000008</v>
      </c>
      <c r="F5" s="52">
        <f>1-SUM(F2:F4)</f>
        <v>0.7473052</v>
      </c>
      <c r="G5" s="52">
        <f>1-SUM(G2:G4)</f>
        <v>1</v>
      </c>
    </row>
  </sheetData>
  <sheetProtection algorithmName="SHA-512" hashValue="C0ZHaOJ7ZKgSXneAPrk/kwPcHI9lZb+NIXAgXvD01SCwsIy8WLm3oiFbyRD+K312PNWri3mE3UNwk5YwzppfgQ==" saltValue="8RnvZUOSUEh7Bx3TUnLiB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fSIxUbtbjc5crKPk7g3lXVzHx20lrrROg6NSmovCUqN8y7WJap+iViJ+Fmvm115kyeo2IpyNLL5iudlJqB3YMA==" saltValue="diqM0bJ22B9sypAopu+6r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JhpMiuDdnobKZcoNfFUAsYLNqpVyLzjhYvez5fwgtFkDSBw0fJ4ibZC3HBGGm9k7PgvV4kpuz/4fAowFZzV7FQ==" saltValue="WR49ZWXYodUEAQ7f0Nmyy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EwmtdkNVmgPqdfnrOt9x9FbpRP2EE51DolyV3K4Jf4ru17sHMUDGVhMwfFL1mjr9gkF36XyIq/XDXptPv945HA==" saltValue="aDnWM9KyAqOhJ8EZIB8o5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rOYXdDEQagi/q2krEz/FEQCYR755p7+PF07yZp1wENpCyPkGG6o8IT7uxD16Bhs4WwCw0dIv7loYFMvVBhTOlA==" saltValue="M1ZQvB//rtT5BfhI3yGg9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56.254705436031671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0.208164292</v>
      </c>
      <c r="C3" s="98">
        <v>0.95</v>
      </c>
      <c r="D3" s="56">
        <v>39.840352237471023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386.57856933182762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4.1173102961713033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12.97265168126693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12.97265168126693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12.97265168126693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12.97265168126693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12.97265168126693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12.97265168126693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0.67941748116227962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0.12518998433337</v>
      </c>
      <c r="C18" s="98">
        <v>0.95</v>
      </c>
      <c r="D18" s="56">
        <v>8.9203956176994357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0.86258020000000002</v>
      </c>
      <c r="C19" s="98">
        <v>0.95</v>
      </c>
      <c r="D19" s="56">
        <v>8.9203956176994357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0.84712010000000004</v>
      </c>
      <c r="C21" s="98">
        <v>0.95</v>
      </c>
      <c r="D21" s="56">
        <v>44.23052776081574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22.365929113311349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4.2546328106455702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0.94864842517044001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18.548511011776839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0.74392798483707001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109.5975303040908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0.66646007760184001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1.454747276626283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0.49874190000000002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0.42392999999999997</v>
      </c>
      <c r="C38" s="98">
        <v>0.95</v>
      </c>
      <c r="D38" s="56">
        <v>1.036071241780949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YAtDViwq3+zrsUQFIIkIy/i1RZzHdQorNKXlxtZvHHajWAyfAjp15I+ooft5cq03UxgGcWtS4eUjIe2p7brpuQ==" saltValue="mMw59ItP5BrSt4kduC8n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6Suw5emN7z+ckWPofE/aTdkaQeMOvqEa4wquHPsg3NmGQ3kDs4ddWLJntczSsoAoCjG5G2rv/oj1mjRzAXnBVA==" saltValue="kl/Jo0q/7miREoeE5w7en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nCF46WrnrdAwv+p0O0ZH4fYKz3rI86n4PAxZh29X0M7LCd+1OXnnHggCHkR17j7iP1UL9zNzQtPKDWXQ+xhKQ==" saltValue="RvAHP7L7llhF1/RpED+o2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0.12338768</v>
      </c>
      <c r="C3" s="21">
        <f>frac_mam_1_5months * 2.6</f>
        <v>0.12338768</v>
      </c>
      <c r="D3" s="21">
        <f>frac_mam_6_11months * 2.6</f>
        <v>1.3000000000000001E-2</v>
      </c>
      <c r="E3" s="21">
        <f>frac_mam_12_23months * 2.6</f>
        <v>6.7768999999999998E-3</v>
      </c>
      <c r="F3" s="21">
        <f>frac_mam_24_59months * 2.6</f>
        <v>1.3907400000000001E-3</v>
      </c>
    </row>
    <row r="4" spans="1:6" ht="15.75" customHeight="1" x14ac:dyDescent="0.25">
      <c r="A4" s="3" t="s">
        <v>207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2.3030800000000003E-3</v>
      </c>
    </row>
  </sheetData>
  <sheetProtection algorithmName="SHA-512" hashValue="Z26lmK0lxr0zsOSnHgLS74t3rfL6rx0avmrh44SEgz9CEfnJEp0Lqlo8hCbCgcRDoz/IfkRMqRB1heCyvYF+Xg==" saltValue="HXugNfydXEim0uhzXXIF/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4.4999999999999998E-2</v>
      </c>
      <c r="E2" s="60">
        <f>food_insecure</f>
        <v>4.4999999999999998E-2</v>
      </c>
      <c r="F2" s="60">
        <f>food_insecure</f>
        <v>4.4999999999999998E-2</v>
      </c>
      <c r="G2" s="60">
        <f>food_insecure</f>
        <v>4.4999999999999998E-2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4.4999999999999998E-2</v>
      </c>
      <c r="F5" s="60">
        <f>food_insecure</f>
        <v>4.4999999999999998E-2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4.4999999999999998E-2</v>
      </c>
      <c r="F8" s="60">
        <f>food_insecure</f>
        <v>4.4999999999999998E-2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4.4999999999999998E-2</v>
      </c>
      <c r="F9" s="60">
        <f>food_insecure</f>
        <v>4.4999999999999998E-2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4.4999999999999998E-2</v>
      </c>
      <c r="I15" s="60">
        <f>food_insecure</f>
        <v>4.4999999999999998E-2</v>
      </c>
      <c r="J15" s="60">
        <f>food_insecure</f>
        <v>4.4999999999999998E-2</v>
      </c>
      <c r="K15" s="60">
        <f>food_insecure</f>
        <v>4.4999999999999998E-2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5.6725024604796026E-3</v>
      </c>
      <c r="M25" s="60">
        <f>(1-food_insecure)*(0.49)+food_insecure*(0.7)</f>
        <v>0.49944999999999995</v>
      </c>
      <c r="N25" s="60">
        <f>(1-food_insecure)*(0.49)+food_insecure*(0.7)</f>
        <v>0.49944999999999995</v>
      </c>
      <c r="O25" s="60">
        <f>(1-food_insecure)*(0.49)+food_insecure*(0.7)</f>
        <v>0.49944999999999995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2.4310724830626869E-3</v>
      </c>
      <c r="M26" s="60">
        <f>(1-food_insecure)*(0.21)+food_insecure*(0.3)</f>
        <v>0.21404999999999999</v>
      </c>
      <c r="N26" s="60">
        <f>(1-food_insecure)*(0.21)+food_insecure*(0.3)</f>
        <v>0.21404999999999999</v>
      </c>
      <c r="O26" s="60">
        <f>(1-food_insecure)*(0.21)+food_insecure*(0.3)</f>
        <v>0.21404999999999999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3.2539232254027556E-3</v>
      </c>
      <c r="M27" s="60">
        <f>(1-food_insecure)*(0.3)</f>
        <v>0.28649999999999998</v>
      </c>
      <c r="N27" s="60">
        <f>(1-food_insecure)*(0.3)</f>
        <v>0.28649999999999998</v>
      </c>
      <c r="O27" s="60">
        <f>(1-food_insecure)*(0.3)</f>
        <v>0.28649999999999998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0.98864250183105495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PBQxwQO6bNTs3aiEDfeG3EN9qIq1TNI22Ad5022/yJghOabtvdeSH3+nBBzsGD7ZK10cGQf3cqad9XEWbpYzw==" saltValue="415YkhYgpmGqUOpsEOJcT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yNBqYh2DJcNTKceVU5aalMx7ltzR56liH+gN2b02oW7Wp1lmPUScCjgKyPmHwqLFVdFGKquLWt0MzyS0kPuWhg==" saltValue="TE1Vci1mHRQ1MHtaDXeG6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TsxNRYYmznROae/YYhOZ3I+RICSMaQuVseon1dHAIrz1cgIKDJiFAdROm73B63ACNGuJVGJAokNhMPDoKEiDDg==" saltValue="0VTBRGwNXIuuDRqvnQyii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7OsETLIGTx48lxTwX/b/8l/nPeXIhpGLZpnk28jyAC6LJxilT/FGL4Bs7DIGPHGk56cGDBam9pgQVCSkx3wfw==" saltValue="crPadZ3MHSatKo0XocZp+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uEWoz6F57nFCnZhubEvdPDqzXj6pLyIwH43qIUYCq6UpjTOySJAAB5HaLERPRuDf184W6taGHlM6MVGSN2Qe5A==" saltValue="55OrRjIIv4PBv354z/mah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fTQPy8RVRn8+nOYh4vWvEk9na5e0YI/C2wluwS6QioVgIk1pgRwfHiMiIrArQ4mQ4SKEivhE5cG/8bGlLYUejA==" saltValue="qHlFGRZnqBKXyPfECR92G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I9m4vwwPaVoNZKt0oFv4VOSs5VBT3a4U9E3GqFd6l9CQl5KKGIF9XtXXIWJC18DT8fDs+prAbE/nfnmVN1rRtA==" saltValue="aEqA1d/gGeYqTjojjSdbN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uF3hqUXcuDqOdhgSY1GrUhg4PLyf/Aft4uAUEE2UNi1jZwFFRZXuRAwXyOvm5cEndWmqlY7UMjdu63h9mf0xsQ==" saltValue="lcNyEAaW34857fswQY5O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GpchLBeRUe0HvhNFXP9UVJfTB/q5MGfmwXPaSa/l3H8uMJsVZldgqc9zxshrh2h5R/VBmLbgvcM/kO1+yg91RQ==" saltValue="7gCmFqZ7CRObzC3mwMbX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VXr584oMEXBWmPvhL9lxIs97EoOzpXeoLjogoqrg8WzEzY01P/UKs5D+HveEWYseYWK3qpLifsU74xZFyOGh5w==" saltValue="zRHa/xED5UxwgmEA1GNb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W5+LVhqC5YS+UOqyzo9FJ2pIb7BmAPRmTNYmJWWdXl1dcXF4UfCsvT4dRU7L5bgpHcmwg4isANraB49F0clP6Q==" saltValue="ZxdDk+vzLvCOSUdYoRSy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SKZCX8aEa8z9rez//vNQ9H6EyxYRWZ0guEbn1k6/DKSSD7ss17QajQvqYg0pxapIsm7i0+9NKrPeoTsNRXXqA==" saltValue="dTTBdLQiMOM9N3FJ9PQq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u2AVmAsgczR9SKcKsFB4RIpo1zdhWdzpPu2KnkjvB/do21wYEgZMZUowRf1s5I/WLbyGWMpoASeXz4pkkrXEg==" saltValue="qjm6yCYkdeJu9QP+ONSj+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wD/VYcdc/OC0Na9Lq2AS/oTbSPTTBAfkRb0aT5C9rnhCp8eUVtSCOEB1pAnToOcNI7KyDI/kR6Tf7s3KCJ0wXg==" saltValue="/Ehnsj6g/8+ENCBHkGxc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mHmRGPPWyxnXFGveX7PKVgzPw4rgBmQU5bQWojy+YBYMV4ZqeRcwbylAPjhcZ5oR+5lFd7tm2qL1bao6Lljnaw==" saltValue="rgYon/+25lEdw6SkvaJzR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2024-05-16T23:33:00Z</dcterms:modified>
</cp:coreProperties>
</file>