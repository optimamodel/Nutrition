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0A33A1C9-0AB5-4788-8A81-13F4F25BC8CE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19" i="2" l="1"/>
  <c r="A24" i="2"/>
  <c r="A26" i="2"/>
  <c r="A35" i="2"/>
  <c r="I4" i="2"/>
  <c r="I8" i="2"/>
  <c r="I12" i="2"/>
  <c r="A25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<sst xmlns="http://schemas.openxmlformats.org/spreadsheetml/2006/main" count="2159" uniqueCount="372">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</sst>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224805.5</v>
      </c>
    </row>
    <row r="8" spans="1:3" ht="15" customHeight="1" x14ac:dyDescent="0.25">
      <c r="B8" s="5" t="s">
        <v>63</v>
      </c>
      <c r="C8" s="44">
        <v>4.4999999999999998E-2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0.98864250183105495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0.1278</v>
      </c>
    </row>
    <row r="24" spans="1:3" ht="15" customHeight="1" x14ac:dyDescent="0.25">
      <c r="B24" s="15" t="s">
        <v>65</v>
      </c>
      <c r="C24" s="45">
        <v>0.60719999999999996</v>
      </c>
    </row>
    <row r="25" spans="1:3" ht="15" customHeight="1" x14ac:dyDescent="0.25">
      <c r="B25" s="15" t="s">
        <v>66</v>
      </c>
      <c r="C25" s="45">
        <v>0.2432</v>
      </c>
    </row>
    <row r="26" spans="1:3" ht="15" customHeight="1" x14ac:dyDescent="0.25">
      <c r="B26" s="15" t="s">
        <v>67</v>
      </c>
      <c r="C26" s="45">
        <v>2.18E-2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0.443381353500297</v>
      </c>
    </row>
    <row r="30" spans="1:3" ht="14.25" customHeight="1" x14ac:dyDescent="0.25">
      <c r="B30" s="25" t="s">
        <v>82</v>
      </c>
      <c r="C30" s="99">
        <v>5.9529082105141198E-2</v>
      </c>
    </row>
    <row r="31" spans="1:3" ht="14.25" customHeight="1" x14ac:dyDescent="0.25">
      <c r="B31" s="25" t="s">
        <v>29</v>
      </c>
      <c r="C31" s="99">
        <v>6.7946136004371396E-2</v>
      </c>
    </row>
    <row r="32" spans="1:3" ht="14.25" customHeight="1" x14ac:dyDescent="0.25">
      <c r="B32" s="25" t="s">
        <v>30</v>
      </c>
      <c r="C32" s="99">
        <v>0.42914342839018998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5.4023899999999996</v>
      </c>
    </row>
    <row r="38" spans="1:5" ht="15" customHeight="1" x14ac:dyDescent="0.25">
      <c r="B38" s="11" t="s">
        <v>54</v>
      </c>
      <c r="C38" s="43">
        <v>8.4329999999999998</v>
      </c>
      <c r="D38" s="12"/>
      <c r="E38" s="13"/>
    </row>
    <row r="39" spans="1:5" ht="15" customHeight="1" x14ac:dyDescent="0.25">
      <c r="B39" s="11" t="s">
        <v>80</v>
      </c>
      <c r="C39" s="43">
        <v>9.4797799999999999</v>
      </c>
      <c r="D39" s="12"/>
      <c r="E39" s="12"/>
    </row>
    <row r="40" spans="1:5" ht="15" customHeight="1" x14ac:dyDescent="0.25">
      <c r="B40" s="11" t="s">
        <v>55</v>
      </c>
      <c r="C40" s="100">
        <v>0.28000000000000003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5.6737099999999998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6.6381999999999986E-3</v>
      </c>
      <c r="D45" s="12"/>
    </row>
    <row r="46" spans="1:5" ht="15.75" customHeight="1" x14ac:dyDescent="0.25">
      <c r="B46" s="11" t="s">
        <v>70</v>
      </c>
      <c r="C46" s="45">
        <v>7.1327000000000002E-2</v>
      </c>
      <c r="D46" s="12"/>
    </row>
    <row r="47" spans="1:5" ht="15.75" customHeight="1" x14ac:dyDescent="0.25">
      <c r="B47" s="11" t="s">
        <v>78</v>
      </c>
      <c r="C47" s="45">
        <v>7.4688299999999999E-2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0.61720999999999993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6.11720129999999E-2</v>
      </c>
    </row>
    <row r="63" spans="1:4" ht="15.75" customHeight="1" x14ac:dyDescent="0.3">
      <c r="A63" s="4"/>
    </row>
  </sheetData>
  <sheetProtection algorithmName="SHA-512" hashValue="DEJpmSZugpQlc5nBo9O6zdJOvTdQnRRaLK2tWsWrtRAsIVjwC8BLgwi+NxfqBFKPjHJaNCQuDL167m9ngXKpLQ==" saltValue="N6w18Z/2uvyrvOOWdxMc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42983</v>
      </c>
      <c r="C2" s="49">
        <v>113208</v>
      </c>
      <c r="D2" s="49">
        <v>212789</v>
      </c>
      <c r="E2" s="49">
        <v>282776.5</v>
      </c>
      <c r="F2" s="49">
        <v>264322.5</v>
      </c>
      <c r="G2" s="17">
        <f t="shared" ref="G2:G13" si="0">C2+D2+E2+F2</f>
        <v>873096</v>
      </c>
      <c r="H2" s="17">
        <f t="shared" ref="H2:H13" si="1">(B2 + stillbirth*B2/(1000-stillbirth))/(1-abortion)</f>
        <v>49123.027996995013</v>
      </c>
      <c r="I2" s="17">
        <f t="shared" ref="I2:I13" si="2">G2-H2</f>
        <v>823972.97200300498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42089</v>
      </c>
      <c r="C3" s="50">
        <v>119119</v>
      </c>
      <c r="D3" s="50">
        <v>210594</v>
      </c>
      <c r="E3" s="50">
        <v>276753.50000000006</v>
      </c>
      <c r="F3" s="50">
        <v>267644</v>
      </c>
      <c r="G3" s="17">
        <f t="shared" si="0"/>
        <v>874110.5</v>
      </c>
      <c r="H3" s="17">
        <f t="shared" si="1"/>
        <v>48101.322042796528</v>
      </c>
      <c r="I3" s="17">
        <f t="shared" si="2"/>
        <v>826009.17795720347</v>
      </c>
    </row>
    <row r="4" spans="1:9" ht="15.75" customHeight="1" x14ac:dyDescent="0.25">
      <c r="A4" s="5">
        <f t="shared" si="3"/>
        <v>2026</v>
      </c>
      <c r="B4" s="49">
        <v>41353</v>
      </c>
      <c r="C4" s="50">
        <v>124241</v>
      </c>
      <c r="D4" s="50">
        <v>209269</v>
      </c>
      <c r="E4" s="50">
        <v>269953.5</v>
      </c>
      <c r="F4" s="50">
        <v>271255.5</v>
      </c>
      <c r="G4" s="17">
        <f t="shared" si="0"/>
        <v>874719</v>
      </c>
      <c r="H4" s="17">
        <f t="shared" si="1"/>
        <v>47260.186044709182</v>
      </c>
      <c r="I4" s="17">
        <f t="shared" si="2"/>
        <v>827458.81395529083</v>
      </c>
    </row>
    <row r="5" spans="1:9" ht="15.75" customHeight="1" x14ac:dyDescent="0.25">
      <c r="A5" s="5">
        <f t="shared" si="3"/>
        <v>2027</v>
      </c>
      <c r="B5" s="49">
        <v>40720</v>
      </c>
      <c r="C5" s="50">
        <v>128139.5</v>
      </c>
      <c r="D5" s="50">
        <v>208880.49999999997</v>
      </c>
      <c r="E5" s="50">
        <v>263079.5</v>
      </c>
      <c r="F5" s="50">
        <v>274786.5</v>
      </c>
      <c r="G5" s="17">
        <f t="shared" si="0"/>
        <v>874886</v>
      </c>
      <c r="H5" s="17">
        <f t="shared" si="1"/>
        <v>46536.763372441128</v>
      </c>
      <c r="I5" s="17">
        <f t="shared" si="2"/>
        <v>828349.23662755883</v>
      </c>
    </row>
    <row r="6" spans="1:9" ht="15.75" customHeight="1" x14ac:dyDescent="0.25">
      <c r="A6" s="5">
        <f t="shared" si="3"/>
        <v>2028</v>
      </c>
      <c r="B6" s="49">
        <v>40247</v>
      </c>
      <c r="C6" s="50">
        <v>131056.00000000001</v>
      </c>
      <c r="D6" s="50">
        <v>210404</v>
      </c>
      <c r="E6" s="50">
        <v>256279</v>
      </c>
      <c r="F6" s="50">
        <v>277856</v>
      </c>
      <c r="G6" s="17">
        <f t="shared" si="0"/>
        <v>875595</v>
      </c>
      <c r="H6" s="17">
        <f t="shared" si="1"/>
        <v>45996.19635193119</v>
      </c>
      <c r="I6" s="17">
        <f t="shared" si="2"/>
        <v>829598.8036480688</v>
      </c>
    </row>
    <row r="7" spans="1:9" ht="15.75" customHeight="1" x14ac:dyDescent="0.25">
      <c r="A7" s="5">
        <f t="shared" si="3"/>
        <v>2029</v>
      </c>
      <c r="B7" s="49">
        <v>39936</v>
      </c>
      <c r="C7" s="50">
        <v>133397</v>
      </c>
      <c r="D7" s="50">
        <v>214596.99999999997</v>
      </c>
      <c r="E7" s="50">
        <v>248585</v>
      </c>
      <c r="F7" s="50">
        <v>280887</v>
      </c>
      <c r="G7" s="17">
        <f t="shared" si="0"/>
        <v>877466</v>
      </c>
      <c r="H7" s="17">
        <f t="shared" si="1"/>
        <v>45640.770678826346</v>
      </c>
      <c r="I7" s="17">
        <f t="shared" si="2"/>
        <v>831825.22932117363</v>
      </c>
    </row>
    <row r="8" spans="1:9" ht="15.75" customHeight="1" x14ac:dyDescent="0.25">
      <c r="A8" s="5">
        <f t="shared" si="3"/>
        <v>2030</v>
      </c>
      <c r="B8" s="49">
        <v>39699</v>
      </c>
      <c r="C8" s="50">
        <v>135500</v>
      </c>
      <c r="D8" s="50">
        <v>220284</v>
      </c>
      <c r="E8" s="50">
        <v>239788.5</v>
      </c>
      <c r="F8" s="50">
        <v>284128.50000000006</v>
      </c>
      <c r="G8" s="17">
        <f t="shared" si="0"/>
        <v>879701</v>
      </c>
      <c r="H8" s="17">
        <f t="shared" si="1"/>
        <v>45369.915744659629</v>
      </c>
      <c r="I8" s="17">
        <f t="shared" si="2"/>
        <v>834331.08425534039</v>
      </c>
    </row>
    <row r="9" spans="1:9" ht="15.75" customHeight="1" x14ac:dyDescent="0.25">
      <c r="A9" s="5">
        <f t="shared" si="3"/>
        <v>2031</v>
      </c>
      <c r="B9" s="49">
        <v>39600</v>
      </c>
      <c r="C9" s="50">
        <v>137764</v>
      </c>
      <c r="D9" s="50">
        <v>225742.5</v>
      </c>
      <c r="E9" s="50">
        <v>231132</v>
      </c>
      <c r="F9" s="50">
        <v>286688.99999999994</v>
      </c>
      <c r="G9" s="17">
        <f t="shared" si="0"/>
        <v>881327.5</v>
      </c>
      <c r="H9" s="17">
        <f t="shared" si="1"/>
        <v>45256.773810134298</v>
      </c>
      <c r="I9" s="17">
        <f t="shared" si="2"/>
        <v>836070.72618986573</v>
      </c>
    </row>
    <row r="10" spans="1:9" ht="15.75" customHeight="1" x14ac:dyDescent="0.25">
      <c r="A10" s="5">
        <f t="shared" si="3"/>
        <v>2032</v>
      </c>
      <c r="B10" s="49">
        <v>39624</v>
      </c>
      <c r="C10" s="50">
        <v>139514</v>
      </c>
      <c r="D10" s="50">
        <v>230943.5</v>
      </c>
      <c r="E10" s="50">
        <v>223725.00000000003</v>
      </c>
      <c r="F10" s="50">
        <v>287456</v>
      </c>
      <c r="G10" s="17">
        <f t="shared" si="0"/>
        <v>881638.5</v>
      </c>
      <c r="H10" s="17">
        <f t="shared" si="1"/>
        <v>45284.202157898013</v>
      </c>
      <c r="I10" s="17">
        <f t="shared" si="2"/>
        <v>836354.29784210201</v>
      </c>
    </row>
    <row r="11" spans="1:9" ht="15.75" customHeight="1" x14ac:dyDescent="0.25">
      <c r="A11" s="5">
        <f t="shared" si="3"/>
        <v>2033</v>
      </c>
      <c r="B11" s="49">
        <v>39714</v>
      </c>
      <c r="C11" s="50">
        <v>139495.5</v>
      </c>
      <c r="D11" s="50">
        <v>236887</v>
      </c>
      <c r="E11" s="50">
        <v>218152</v>
      </c>
      <c r="F11" s="50">
        <v>285721</v>
      </c>
      <c r="G11" s="17">
        <f t="shared" si="0"/>
        <v>880255.5</v>
      </c>
      <c r="H11" s="17">
        <f t="shared" si="1"/>
        <v>45387.058462011963</v>
      </c>
      <c r="I11" s="17">
        <f t="shared" si="2"/>
        <v>834868.44153798802</v>
      </c>
    </row>
    <row r="12" spans="1:9" ht="15.75" customHeight="1" x14ac:dyDescent="0.25">
      <c r="A12" s="5">
        <f t="shared" si="3"/>
        <v>2034</v>
      </c>
      <c r="B12" s="49">
        <v>39861</v>
      </c>
      <c r="C12" s="50">
        <v>136965</v>
      </c>
      <c r="D12" s="50">
        <v>244152.5</v>
      </c>
      <c r="E12" s="50">
        <v>214329.5</v>
      </c>
      <c r="F12" s="50">
        <v>281455</v>
      </c>
      <c r="G12" s="17">
        <f t="shared" si="0"/>
        <v>876902</v>
      </c>
      <c r="H12" s="17">
        <f t="shared" si="1"/>
        <v>45555.057092064722</v>
      </c>
      <c r="I12" s="17">
        <f t="shared" si="2"/>
        <v>831346.94290793524</v>
      </c>
    </row>
    <row r="13" spans="1:9" ht="15.75" customHeight="1" x14ac:dyDescent="0.25">
      <c r="A13" s="5">
        <f t="shared" si="3"/>
        <v>2035</v>
      </c>
      <c r="B13" s="49">
        <v>40131</v>
      </c>
      <c r="C13" s="50">
        <v>132498.5</v>
      </c>
      <c r="D13" s="50">
        <v>251928.99999999997</v>
      </c>
      <c r="E13" s="50">
        <v>211877</v>
      </c>
      <c r="F13" s="50">
        <v>275381.49999999994</v>
      </c>
      <c r="G13" s="17">
        <f t="shared" si="0"/>
        <v>871686</v>
      </c>
      <c r="H13" s="17">
        <f t="shared" si="1"/>
        <v>45863.626004406549</v>
      </c>
      <c r="I13" s="17">
        <f t="shared" si="2"/>
        <v>825822.3739955934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lE61enzZGsskDl7emeB04QkNuJYafnvlB0uRdvJ3qGsPcZQiEuJB8R+cCd/e3kLnPrBnivBPm7KVFzUlK67yQ==" saltValue="Y89CVHlS9Ys/LvHSPbfgE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6.1434500000000017E-2</v>
      </c>
    </row>
    <row r="5" spans="1:8" ht="15.75" customHeight="1" x14ac:dyDescent="0.25">
      <c r="B5" s="19" t="s">
        <v>114</v>
      </c>
      <c r="C5" s="101">
        <v>3.080959999999993E-2</v>
      </c>
    </row>
    <row r="6" spans="1:8" ht="15.75" customHeight="1" x14ac:dyDescent="0.25">
      <c r="B6" s="19" t="s">
        <v>110</v>
      </c>
      <c r="C6" s="101">
        <v>0.15788579999999999</v>
      </c>
    </row>
    <row r="7" spans="1:8" ht="15.75" customHeight="1" x14ac:dyDescent="0.25">
      <c r="B7" s="19" t="s">
        <v>115</v>
      </c>
      <c r="C7" s="101">
        <v>0.42719720000000078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0.24526179999999931</v>
      </c>
    </row>
    <row r="10" spans="1:8" ht="15.75" customHeight="1" x14ac:dyDescent="0.25">
      <c r="B10" s="19" t="s">
        <v>113</v>
      </c>
      <c r="C10" s="101">
        <v>7.7411100000000052E-2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2.7543722512431212E-2</v>
      </c>
      <c r="D14" s="55">
        <v>2.7543722512431212E-2</v>
      </c>
      <c r="E14" s="55">
        <v>2.7543722512431212E-2</v>
      </c>
      <c r="F14" s="55">
        <v>2.7543722512431212E-2</v>
      </c>
    </row>
    <row r="15" spans="1:8" ht="15.75" customHeight="1" x14ac:dyDescent="0.25">
      <c r="B15" s="19" t="s">
        <v>121</v>
      </c>
      <c r="C15" s="101">
        <v>0.19736594576080069</v>
      </c>
      <c r="D15" s="101">
        <v>0.19736594576080069</v>
      </c>
      <c r="E15" s="101">
        <v>0.19736594576080069</v>
      </c>
      <c r="F15" s="101">
        <v>0.19736594576080069</v>
      </c>
    </row>
    <row r="16" spans="1:8" ht="15.75" customHeight="1" x14ac:dyDescent="0.25">
      <c r="B16" s="19" t="s">
        <v>2</v>
      </c>
      <c r="C16" s="101">
        <v>5.4692018848222272E-2</v>
      </c>
      <c r="D16" s="101">
        <v>5.4692018848222272E-2</v>
      </c>
      <c r="E16" s="101">
        <v>5.4692018848222272E-2</v>
      </c>
      <c r="F16" s="101">
        <v>5.4692018848222272E-2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5.4498051902628193E-2</v>
      </c>
      <c r="D19" s="101">
        <v>5.4498051902628193E-2</v>
      </c>
      <c r="E19" s="101">
        <v>5.4498051902628193E-2</v>
      </c>
      <c r="F19" s="101">
        <v>5.4498051902628193E-2</v>
      </c>
    </row>
    <row r="20" spans="1:8" ht="15.75" customHeight="1" x14ac:dyDescent="0.25">
      <c r="B20" s="19" t="s">
        <v>98</v>
      </c>
      <c r="C20" s="101">
        <v>0.13982589993096289</v>
      </c>
      <c r="D20" s="101">
        <v>0.13982589993096289</v>
      </c>
      <c r="E20" s="101">
        <v>0.13982589993096289</v>
      </c>
      <c r="F20" s="101">
        <v>0.13982589993096289</v>
      </c>
    </row>
    <row r="21" spans="1:8" ht="15.75" customHeight="1" x14ac:dyDescent="0.25">
      <c r="B21" s="19" t="s">
        <v>107</v>
      </c>
      <c r="C21" s="101">
        <v>0.36947144300070628</v>
      </c>
      <c r="D21" s="101">
        <v>0.36947144300070628</v>
      </c>
      <c r="E21" s="101">
        <v>0.36947144300070628</v>
      </c>
      <c r="F21" s="101">
        <v>0.36947144300070628</v>
      </c>
    </row>
    <row r="22" spans="1:8" ht="15.75" customHeight="1" x14ac:dyDescent="0.25">
      <c r="B22" s="19" t="s">
        <v>118</v>
      </c>
      <c r="C22" s="101">
        <v>0.1566029180442485</v>
      </c>
      <c r="D22" s="101">
        <v>0.1566029180442485</v>
      </c>
      <c r="E22" s="101">
        <v>0.1566029180442485</v>
      </c>
      <c r="F22" s="101">
        <v>0.1566029180442485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3.5118521999999999E-2</v>
      </c>
    </row>
    <row r="27" spans="1:8" ht="15.75" customHeight="1" x14ac:dyDescent="0.25">
      <c r="B27" s="19" t="s">
        <v>108</v>
      </c>
      <c r="C27" s="101">
        <v>3.0268353000000001E-2</v>
      </c>
    </row>
    <row r="28" spans="1:8" ht="15.75" customHeight="1" x14ac:dyDescent="0.25">
      <c r="B28" s="19" t="s">
        <v>122</v>
      </c>
      <c r="C28" s="101">
        <v>4.2532465999999998E-2</v>
      </c>
    </row>
    <row r="29" spans="1:8" ht="15.75" customHeight="1" x14ac:dyDescent="0.25">
      <c r="B29" s="19" t="s">
        <v>105</v>
      </c>
      <c r="C29" s="101">
        <v>0.11442039499999999</v>
      </c>
    </row>
    <row r="30" spans="1:8" ht="15.75" customHeight="1" x14ac:dyDescent="0.25">
      <c r="B30" s="19" t="s">
        <v>4</v>
      </c>
      <c r="C30" s="101">
        <v>6.6051589999999993E-2</v>
      </c>
    </row>
    <row r="31" spans="1:8" ht="15.75" customHeight="1" x14ac:dyDescent="0.25">
      <c r="B31" s="19" t="s">
        <v>99</v>
      </c>
      <c r="C31" s="101">
        <v>4.992891800000001E-2</v>
      </c>
    </row>
    <row r="32" spans="1:8" ht="15.75" customHeight="1" x14ac:dyDescent="0.25">
      <c r="B32" s="19" t="s">
        <v>104</v>
      </c>
      <c r="C32" s="101">
        <v>0.10155209799999999</v>
      </c>
    </row>
    <row r="33" spans="2:3" ht="15.75" customHeight="1" x14ac:dyDescent="0.25">
      <c r="B33" s="19" t="s">
        <v>119</v>
      </c>
      <c r="C33" s="101">
        <v>0.24299047300000001</v>
      </c>
    </row>
    <row r="34" spans="2:3" ht="15.75" customHeight="1" x14ac:dyDescent="0.25">
      <c r="B34" s="19" t="s">
        <v>106</v>
      </c>
      <c r="C34" s="101">
        <v>0.31713718499999999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EDjGKX/P5OPn2keZhOyPAWc/z2OCGYx98vagd5DYwV+sHt0voW8dEXaVjjYv1VxE+8I5uEKcN5B58z8UsuUG/Q==" saltValue="Dns1LWlhaWiiaSprjXTCw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0.83710119140353823</v>
      </c>
      <c r="D2" s="52">
        <f>IFERROR(1-_xlfn.NORM.DIST(_xlfn.NORM.INV(SUM(D4:D5), 0, 1) + 1, 0, 1, TRUE), "")</f>
        <v>0.83710119140353823</v>
      </c>
      <c r="E2" s="52">
        <f>IFERROR(1-_xlfn.NORM.DIST(_xlfn.NORM.INV(SUM(E4:E5), 0, 1) + 1, 0, 1, TRUE), "")</f>
        <v>0.86637734241792741</v>
      </c>
      <c r="F2" s="52">
        <f>IFERROR(1-_xlfn.NORM.DIST(_xlfn.NORM.INV(SUM(F4:F5), 0, 1) + 1, 0, 1, TRUE), "")</f>
        <v>0.73699789900702506</v>
      </c>
      <c r="G2" s="52">
        <f>IFERROR(1-_xlfn.NORM.DIST(_xlfn.NORM.INV(SUM(G4:G5), 0, 1) + 1, 0, 1, TRUE), "")</f>
        <v>0.68230989620481175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0.13919350859646185</v>
      </c>
      <c r="D3" s="52">
        <f>IFERROR(_xlfn.NORM.DIST(_xlfn.NORM.INV(SUM(D4:D5), 0, 1) + 1, 0, 1, TRUE) - SUM(D4:D5), "")</f>
        <v>0.13919350859646185</v>
      </c>
      <c r="E3" s="52">
        <f>IFERROR(_xlfn.NORM.DIST(_xlfn.NORM.INV(SUM(E4:E5), 0, 1) + 1, 0, 1, TRUE) - SUM(E4:E5), "")</f>
        <v>0.11616885758207256</v>
      </c>
      <c r="F3" s="52">
        <f>IFERROR(_xlfn.NORM.DIST(_xlfn.NORM.INV(SUM(F4:F5), 0, 1) + 1, 0, 1, TRUE) - SUM(F4:F5), "")</f>
        <v>0.21188500099297494</v>
      </c>
      <c r="G3" s="52">
        <f>IFERROR(_xlfn.NORM.DIST(_xlfn.NORM.INV(SUM(G4:G5), 0, 1) + 1, 0, 1, TRUE) - SUM(G4:G5), "")</f>
        <v>0.2474719037951883</v>
      </c>
    </row>
    <row r="4" spans="1:15" ht="15.75" customHeight="1" x14ac:dyDescent="0.25">
      <c r="B4" s="5" t="s">
        <v>129</v>
      </c>
      <c r="C4" s="45">
        <v>1.5584300000000001E-2</v>
      </c>
      <c r="D4" s="53">
        <v>1.5584300000000001E-2</v>
      </c>
      <c r="E4" s="53">
        <v>9.9590000000000008E-3</v>
      </c>
      <c r="F4" s="53">
        <v>3.1561400000000003E-2</v>
      </c>
      <c r="G4" s="53">
        <v>5.6891999999999998E-2</v>
      </c>
    </row>
    <row r="5" spans="1:15" ht="15.75" customHeight="1" x14ac:dyDescent="0.25">
      <c r="B5" s="5" t="s">
        <v>125</v>
      </c>
      <c r="C5" s="45">
        <v>8.1209999999999997E-3</v>
      </c>
      <c r="D5" s="53">
        <v>8.1209999999999997E-3</v>
      </c>
      <c r="E5" s="53">
        <v>7.4948000000000002E-3</v>
      </c>
      <c r="F5" s="53">
        <v>1.9555699999999999E-2</v>
      </c>
      <c r="G5" s="53">
        <v>1.33262E-2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0.74858039018781819</v>
      </c>
      <c r="D8" s="52">
        <f>IFERROR(1-_xlfn.NORM.DIST(_xlfn.NORM.INV(SUM(D10:D11), 0, 1) + 1, 0, 1, TRUE), "")</f>
        <v>0.74858039018781819</v>
      </c>
      <c r="E8" s="52">
        <f>IFERROR(1-_xlfn.NORM.DIST(_xlfn.NORM.INV(SUM(E10:E11), 0, 1) + 1, 0, 1, TRUE), "")</f>
        <v>0.9424674264231786</v>
      </c>
      <c r="F8" s="52">
        <f>IFERROR(1-_xlfn.NORM.DIST(_xlfn.NORM.INV(SUM(F10:F11), 0, 1) + 1, 0, 1, TRUE), "")</f>
        <v>0.96355895950318393</v>
      </c>
      <c r="G8" s="52">
        <f>IFERROR(1-_xlfn.NORM.DIST(_xlfn.NORM.INV(SUM(G10:G11), 0, 1) + 1, 0, 1, TRUE), "")</f>
        <v>0.9763940707354769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0.20396280981218182</v>
      </c>
      <c r="D9" s="52">
        <f>IFERROR(_xlfn.NORM.DIST(_xlfn.NORM.INV(SUM(D10:D11), 0, 1) + 1, 0, 1, TRUE) - SUM(D10:D11), "")</f>
        <v>0.20396280981218182</v>
      </c>
      <c r="E9" s="52">
        <f>IFERROR(_xlfn.NORM.DIST(_xlfn.NORM.INV(SUM(E10:E11), 0, 1) + 1, 0, 1, TRUE) - SUM(E10:E11), "")</f>
        <v>5.253257357682143E-2</v>
      </c>
      <c r="F9" s="52">
        <f>IFERROR(_xlfn.NORM.DIST(_xlfn.NORM.INV(SUM(F10:F11), 0, 1) + 1, 0, 1, TRUE) - SUM(F10:F11), "")</f>
        <v>3.3834540496816098E-2</v>
      </c>
      <c r="G9" s="52">
        <f>IFERROR(_xlfn.NORM.DIST(_xlfn.NORM.INV(SUM(G10:G11), 0, 1) + 1, 0, 1, TRUE) - SUM(G10:G11), "")</f>
        <v>2.2185229264523147E-2</v>
      </c>
    </row>
    <row r="10" spans="1:15" ht="15.75" customHeight="1" x14ac:dyDescent="0.25">
      <c r="B10" s="5" t="s">
        <v>126</v>
      </c>
      <c r="C10" s="45">
        <v>4.74568E-2</v>
      </c>
      <c r="D10" s="53">
        <v>4.74568E-2</v>
      </c>
      <c r="E10" s="53">
        <v>5.0000000000000001E-3</v>
      </c>
      <c r="F10" s="53">
        <v>2.6064999999999999E-3</v>
      </c>
      <c r="G10" s="53">
        <v>5.3490000000000005E-4</v>
      </c>
    </row>
    <row r="11" spans="1:15" ht="15.75" customHeight="1" x14ac:dyDescent="0.25">
      <c r="B11" s="5" t="s">
        <v>138</v>
      </c>
      <c r="C11" s="45">
        <v>0</v>
      </c>
      <c r="D11" s="53">
        <v>0</v>
      </c>
      <c r="E11" s="53">
        <v>0</v>
      </c>
      <c r="F11" s="53">
        <v>0</v>
      </c>
      <c r="G11" s="53">
        <v>8.8580000000000006E-4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0.11741428550000001</v>
      </c>
      <c r="D14" s="54">
        <v>0.104521495984</v>
      </c>
      <c r="E14" s="54">
        <v>0.104521495984</v>
      </c>
      <c r="F14" s="54">
        <v>7.1872665149799994E-2</v>
      </c>
      <c r="G14" s="54">
        <v>7.1872665149799994E-2</v>
      </c>
      <c r="H14" s="45">
        <v>0.30099999999999999</v>
      </c>
      <c r="I14" s="55">
        <v>0.30099999999999999</v>
      </c>
      <c r="J14" s="55">
        <v>0.30099999999999999</v>
      </c>
      <c r="K14" s="55">
        <v>0.30099999999999999</v>
      </c>
      <c r="L14" s="45">
        <v>0.27400000000000002</v>
      </c>
      <c r="M14" s="55">
        <v>0.27400000000000002</v>
      </c>
      <c r="N14" s="55">
        <v>0.27400000000000002</v>
      </c>
      <c r="O14" s="55">
        <v>0.27400000000000002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7.2469271153455E-2</v>
      </c>
      <c r="D15" s="52">
        <f t="shared" si="0"/>
        <v>6.4511712536284627E-2</v>
      </c>
      <c r="E15" s="52">
        <f t="shared" si="0"/>
        <v>6.4511712536284627E-2</v>
      </c>
      <c r="F15" s="52">
        <f t="shared" si="0"/>
        <v>4.4360527657108052E-2</v>
      </c>
      <c r="G15" s="52">
        <f t="shared" si="0"/>
        <v>4.4360527657108052E-2</v>
      </c>
      <c r="H15" s="52">
        <f t="shared" si="0"/>
        <v>0.18578020999999997</v>
      </c>
      <c r="I15" s="52">
        <f t="shared" si="0"/>
        <v>0.18578020999999997</v>
      </c>
      <c r="J15" s="52">
        <f t="shared" si="0"/>
        <v>0.18578020999999997</v>
      </c>
      <c r="K15" s="52">
        <f t="shared" si="0"/>
        <v>0.18578020999999997</v>
      </c>
      <c r="L15" s="52">
        <f t="shared" si="0"/>
        <v>0.16911553999999998</v>
      </c>
      <c r="M15" s="52">
        <f t="shared" si="0"/>
        <v>0.16911553999999998</v>
      </c>
      <c r="N15" s="52">
        <f t="shared" si="0"/>
        <v>0.16911553999999998</v>
      </c>
      <c r="O15" s="52">
        <f t="shared" si="0"/>
        <v>0.16911553999999998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3iqDxohn0ukKXuxSxCvrg6gXeSxUui/ZOQYLBNxLMC48FhDQzs1ZjDyhsph3FqLeJWwilnVjkApzOPSWNyIrQ==" saltValue="3JDnPTIZzNxeGKwCEclv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0.26981300000000003</v>
      </c>
      <c r="D2" s="53">
        <v>0.182699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0.23890230000000001</v>
      </c>
      <c r="D3" s="53">
        <v>0.15771360000000001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0.36290050000000001</v>
      </c>
      <c r="D4" s="53">
        <v>0.36913839999999998</v>
      </c>
      <c r="E4" s="53">
        <v>0.57016309999999992</v>
      </c>
      <c r="F4" s="53">
        <v>0.2526948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0.12838419999999995</v>
      </c>
      <c r="D5" s="52">
        <f t="shared" si="0"/>
        <v>0.29044899999999996</v>
      </c>
      <c r="E5" s="52">
        <f>1-SUM(E2:E4)</f>
        <v>0.42983690000000008</v>
      </c>
      <c r="F5" s="52">
        <f>1-SUM(F2:F4)</f>
        <v>0.7473052</v>
      </c>
      <c r="G5" s="52">
        <f>1-SUM(G2:G4)</f>
        <v>1</v>
      </c>
    </row>
  </sheetData>
  <sheetProtection algorithmName="SHA-512" hashValue="FHqB+Ec8yAyWS+xo1GDMETQU+9y0Zi9fsYECu0dzREuk9U2P0t6kMHS2GLd545GkRrnQCcr++dgzGWvs158xgw==" saltValue="GQznfGr8zOW17t7MtnWEG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1UH3dz9xOsXdXF9FGpeUKKm7NvFZMeYCiWritin40bnBFS5LpaAV9KhDawKjnukTMefJ96bq1Kq+U/sPB0sWQ==" saltValue="s8y/t0F4FaNPiTmrjGscn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6674.95695994589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0.50976999999999995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0.60799999999999998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1.484360453225831E-2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99002.072239999994</v>
      </c>
      <c r="C22" s="109">
        <v>98889.24424</v>
      </c>
      <c r="D22" s="109">
        <v>98763.162160000007</v>
      </c>
      <c r="E22" s="109">
        <v>98472.669899999994</v>
      </c>
      <c r="F22" s="109">
        <v>98088.782749999998</v>
      </c>
      <c r="G22" s="109">
        <v>97640.277740000005</v>
      </c>
      <c r="H22" s="109">
        <v>97053.135550000006</v>
      </c>
      <c r="I22" s="109">
        <v>96092.015090000001</v>
      </c>
      <c r="J22" s="109">
        <v>94650.674230000004</v>
      </c>
      <c r="K22" s="109">
        <v>92308.330870000005</v>
      </c>
      <c r="L22" s="109">
        <v>88873.305170000007</v>
      </c>
      <c r="M22" s="109">
        <v>83765.926439999996</v>
      </c>
      <c r="N22" s="109">
        <v>76750.407260000007</v>
      </c>
      <c r="O22" s="109">
        <v>67770.985329999996</v>
      </c>
    </row>
  </sheetData>
  <sheetProtection algorithmName="SHA-512" hashValue="6VaVnaVc+TVQf6mMTLvvdQIAlUX1AM7ASkuENEkDmGvl9lBJ2ox0Zsg2TJRX+cCjSoNyheVrDre9lxmK4ssxBw==" saltValue="F8m7gOz9gWvmtb26IUfVo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eMb2f9gb940heAfnDpKcl6xmmYFAflD3eZArKjL1nvOypoEvs2ZtdZ9zgo8hwGymHwQTy+38BQPFalznU267mw==" saltValue="mQ6f0TB7I88mWdsn1eOfy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6iGwwB3wg4hh2n8gjF67CxXuyDn38JZgE5n+Aih0URK7dnWy5etEv9pf4HfVzSu6Npmzsy9ZeTRgVpGupbsilA==" saltValue="juNZ1m5Pipl8HT/CE5WD9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12.97265168126693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12.97265168126693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12.97265168126693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12.97265168126693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12.97265168126693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12.97265168126693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0.182699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0.182699</v>
      </c>
      <c r="C19" s="98">
        <v>0.95</v>
      </c>
      <c r="D19" s="56">
        <v>8.9203956176994357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4.2546328106455702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0.71086051360217994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0.42392999999999997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0.49874190000000002</v>
      </c>
      <c r="C29" s="98">
        <v>0.95</v>
      </c>
      <c r="D29" s="56">
        <v>109.5975303040908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0.91757350000000004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0.28326289999999998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3.0968200000000001E-2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0.84712010000000004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0.10861270000000001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tidwzRsYOn6c0VK82ynp46fnwqh/Yfhf10fnxeibL2HqxMdZtQNKdt5eOwSHsMg59O3fpfmu1SnZJ7Xx820wxQ==" saltValue="RuvWfoh761EJVC/0fs56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a5rvqAeB1BvlEQ2SMSqY2bWKAth2G74V4hJt9USZTdYc9eqDNi12tEO9jvdX4k7ZvMEn+Dlx9e6LYA9MoqGYQ==" saltValue="LBgUG2QFR/Wu2qLpROtjG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+mcxRv9mVTWFy43jnsiwasMo5HvDXwGkVBCuVGs8CzF5PWnLDrnkUgpxYmaZLpBwQhaES9ulz8Jwv+EejSXtkQ==" saltValue="jHMJTL9EnMMoQXTMbIIJs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0.12338768</v>
      </c>
      <c r="C3" s="21">
        <f>frac_mam_1_5months * 2.6</f>
        <v>0.12338768</v>
      </c>
      <c r="D3" s="21">
        <f>frac_mam_6_11months * 2.6</f>
        <v>1.3000000000000001E-2</v>
      </c>
      <c r="E3" s="21">
        <f>frac_mam_12_23months * 2.6</f>
        <v>6.7768999999999998E-3</v>
      </c>
      <c r="F3" s="21">
        <f>frac_mam_24_59months * 2.6</f>
        <v>1.3907400000000001E-3</v>
      </c>
    </row>
    <row r="4" spans="1:6" ht="15.75" customHeight="1" x14ac:dyDescent="0.25">
      <c r="A4" s="3" t="s">
        <v>236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2.3030800000000003E-3</v>
      </c>
    </row>
  </sheetData>
  <sheetProtection algorithmName="SHA-512" hashValue="bKV6XI6503ETBaQmO/egYwpTo3ZSA+KJI/ErTE7Jv1kJz38ZG52wE6BJOnw1f9fkqgTBUPQ7ZlDTe881MMYZJw==" saltValue="n/mVc1mFkqQVLpPnaBFQw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4.4999999999999998E-2</v>
      </c>
      <c r="F2" s="60">
        <f>food_insecure</f>
        <v>4.4999999999999998E-2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4.4999999999999998E-2</v>
      </c>
      <c r="I15" s="60">
        <f t="shared" si="0"/>
        <v>4.4999999999999998E-2</v>
      </c>
      <c r="J15" s="60">
        <f t="shared" si="0"/>
        <v>4.4999999999999998E-2</v>
      </c>
      <c r="K15" s="60">
        <f t="shared" si="0"/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4.4999999999999998E-2</v>
      </c>
      <c r="I16" s="60">
        <f t="shared" si="0"/>
        <v>4.4999999999999998E-2</v>
      </c>
      <c r="J16" s="60">
        <f t="shared" si="0"/>
        <v>4.4999999999999998E-2</v>
      </c>
      <c r="K16" s="60">
        <f t="shared" si="0"/>
        <v>4.4999999999999998E-2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5.6725024604796026E-3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2.4310724830626869E-3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3.2539232254027556E-3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0.98864250183105495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SAkYENS9Hb/LfeGy/xIUUdkUsGqO1fIGC/cKcgIgutYvQLXi9kAzY97SWle3VEeIkMT4kMHpYr2m7Yshd9Ubg==" saltValue="hzInohhY2tmoymOqb3Y7v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8ha6rOe1+6QHbQlALvkltge0Wx4iSBtseuY0GN7oOiAjCKvP8XzWurnjmsHuYIaaDSxEJURgwWhWnXerIvtmLQ==" saltValue="xU8nTk612bETT4fCE9/Y+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5sp6FTSbXaBtWP7NjG2qlxCyYPd0yRq2ebxZh7vq/6srtuy/wXh/ZOSGs6lyE2Z6Ss3RYySc2MW3mTV71wdhug==" saltValue="YeYIyEJioa4pocCYl+deg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4DfZLhCmHWY5eMaeetz+mjgAFXW7ZC5ZoSsEaCBc+N5P9af0SeImnnDy3ZRUnodhefTzM6FLMsnSojDE3aq8Gw==" saltValue="L03saOg3AZqFDswnArUnS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8JuUiKDTuNrVLx3IRffKaAOhap0JdWysvQsS9Fg9PDTaqsBtTaMbXiWT3HrF/2Vc7Ww4r5rS85mMAPMC46Befg==" saltValue="lcT/mAbpPtoRsDJTUP8lb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7wDCfbzP5YmO7vv6l6Tcmd47XcBDG/8yVtR8UveWiQmat1GuwWSnAPI3RI5Byixgr1oPlIa8XjviXJd7JMqm9g==" saltValue="xwHozOd3eiNOV1dtNT+n9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IMZ+zwW/v6YGbaKjSC5YSnqJ/I1OTC5lqtYSdkEhbIGJdeXgJ+sQLzpxKUmrSFwiD7yCMdJymK1gbYU7oOS9w==" saltValue="zAigD9TMDFPNZLP316HNW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flV9xMF6cPyxB5KnpED6V7fF80pYl4iW9OBPu6kk42GiXdI/+QbUOcSmIlP5q/vBPlGn52prkclBMv2zILO61A==" saltValue="uFUD73e81KnSsYXwqxvQ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cIp06SAivknWIG8ioph5B94gGmFJfXk4SlxGYC6FRcRtpzd1zou8HWiTp1zVjJmhIHvVKuwDncnqhDIyEEV2Lg==" saltValue="nEsgh9NQsRVO1Sj0g1pf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1hr6F1sc+UVQlax5JONPkHdhvo8TlGyn5rAHkcH5glHUy8Rv49GetEiSe3lIu4e7UylB4XlnjyCcUNsasYzsg==" saltValue="M0zqj8BgrkLPIw/dHO9h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cH2NP7+fdxUdi0AP200JcDgO7HPZAJqMwPR8AMg5/tQq8sXvzRYm2kV7slXf6KIrDkr5J5PVf6552kEEv9T2Q==" saltValue="IE20DnL5a9Irx5UG0YV2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S3fFy/idDwJlSsr6+pOXk65qbM81NiT2a9BBd3nayPenB6WN/80UzHgt3KoTYSJIJr6EgxfX7qZb2HjMQZLdw==" saltValue="a7qBZMzqOL+ASgIuZXnX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l4pjCU+Uai3cNsBPO/kdRy95XNyaX+XGnUY9dN13PTD8a1DxtaeZgPIlRl8zqEAvQmNnjobSbO+GLFiXlxHGQ==" saltValue="AVy/46crJKkmZxr5rXHKR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HAmpYTiEHyO/O28GSS1b1UTPBfjc7MEZ5BsqKIssZnU+FxtzR24vFNIVKGNznpvR0fTZdk/uKpk2c2Zbeyj2A==" saltValue="BdW3a/0H0gtrpCa+6ADl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YT6YOCf7GiQqQK/5j8hjnyyhpqWSVS7b2cFFInERhY0+2LycNwhOMq1UZd1RhAqFgLXL1YHAya2BcrhaEaIl2Q==" saltValue="EyeM/RqrCJJC1+RGoMOmP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