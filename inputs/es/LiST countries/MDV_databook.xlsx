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0160E380-2007-4404-8E74-EEFA2FBB7F6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33" i="2"/>
  <c r="A31" i="2"/>
  <c r="A29" i="2"/>
  <c r="A25" i="2"/>
  <c r="A23" i="2"/>
  <c r="A21" i="2"/>
  <c r="H13" i="2"/>
  <c r="I13" i="2" s="1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A37" i="2"/>
  <c r="I8" i="2"/>
  <c r="A17" i="2"/>
  <c r="I38" i="2"/>
  <c r="A16" i="2"/>
  <c r="A24" i="2"/>
  <c r="A32" i="2"/>
  <c r="A3" i="2"/>
  <c r="A18" i="2"/>
  <c r="A26" i="2"/>
  <c r="A34" i="2"/>
  <c r="A39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<sst xmlns="http://schemas.openxmlformats.org/spreadsheetml/2006/main" count="2101" uniqueCount="341">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</sst>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34364.923828125029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0.59512580869999998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0.57299999999999995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4.9799999999999997E-2</v>
      </c>
    </row>
    <row r="24" spans="1:3" ht="15" customHeight="1" x14ac:dyDescent="0.25">
      <c r="B24" s="15" t="s">
        <v>46</v>
      </c>
      <c r="C24" s="45">
        <v>0.55979999999999996</v>
      </c>
    </row>
    <row r="25" spans="1:3" ht="15" customHeight="1" x14ac:dyDescent="0.25">
      <c r="B25" s="15" t="s">
        <v>47</v>
      </c>
      <c r="C25" s="45">
        <v>0.36509999999999998</v>
      </c>
    </row>
    <row r="26" spans="1:3" ht="15" customHeight="1" x14ac:dyDescent="0.25">
      <c r="B26" s="15" t="s">
        <v>48</v>
      </c>
      <c r="C26" s="45">
        <v>2.53E-2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0.39599847873399902</v>
      </c>
    </row>
    <row r="30" spans="1:3" ht="14.25" customHeight="1" x14ac:dyDescent="0.25">
      <c r="B30" s="25" t="s">
        <v>63</v>
      </c>
      <c r="C30" s="99">
        <v>2.7072411186337599E-2</v>
      </c>
    </row>
    <row r="31" spans="1:3" ht="14.25" customHeight="1" x14ac:dyDescent="0.25">
      <c r="B31" s="25" t="s">
        <v>10</v>
      </c>
      <c r="C31" s="99">
        <v>4.2587227841301499E-2</v>
      </c>
    </row>
    <row r="32" spans="1:3" ht="14.25" customHeight="1" x14ac:dyDescent="0.25">
      <c r="B32" s="25" t="s">
        <v>11</v>
      </c>
      <c r="C32" s="99">
        <v>0.53434188223836199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4.0605599999999997</v>
      </c>
    </row>
    <row r="38" spans="1:5" ht="15" customHeight="1" x14ac:dyDescent="0.25">
      <c r="B38" s="11" t="s">
        <v>35</v>
      </c>
      <c r="C38" s="43">
        <v>5.0968799999999996</v>
      </c>
      <c r="D38" s="12"/>
      <c r="E38" s="13"/>
    </row>
    <row r="39" spans="1:5" ht="15" customHeight="1" x14ac:dyDescent="0.25">
      <c r="B39" s="11" t="s">
        <v>61</v>
      </c>
      <c r="C39" s="43">
        <v>5.9616100000000003</v>
      </c>
      <c r="D39" s="12"/>
      <c r="E39" s="12"/>
    </row>
    <row r="40" spans="1:5" ht="15" customHeight="1" x14ac:dyDescent="0.25">
      <c r="B40" s="11" t="s">
        <v>36</v>
      </c>
      <c r="C40" s="100">
        <v>0.56999999999999995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4.81996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8.3797999999999997E-3</v>
      </c>
      <c r="D45" s="12"/>
    </row>
    <row r="46" spans="1:5" ht="15.75" customHeight="1" x14ac:dyDescent="0.25">
      <c r="B46" s="11" t="s">
        <v>51</v>
      </c>
      <c r="C46" s="45">
        <v>9.0039499999999995E-2</v>
      </c>
      <c r="D46" s="12"/>
    </row>
    <row r="47" spans="1:5" ht="15.75" customHeight="1" x14ac:dyDescent="0.25">
      <c r="B47" s="11" t="s">
        <v>59</v>
      </c>
      <c r="C47" s="45">
        <v>7.3031499999999999E-2</v>
      </c>
      <c r="D47" s="12"/>
      <c r="E47" s="13"/>
    </row>
    <row r="48" spans="1:5" ht="15" customHeight="1" x14ac:dyDescent="0.25">
      <c r="B48" s="11" t="s">
        <v>58</v>
      </c>
      <c r="C48" s="46">
        <v>0.8285492000000001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0.55161899999999997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0.11717912999999899</v>
      </c>
    </row>
    <row r="63" spans="1:4" ht="15.75" customHeight="1" x14ac:dyDescent="0.3">
      <c r="A63" s="4"/>
    </row>
  </sheetData>
  <sheetProtection algorithmName="SHA-512" hashValue="Yd7QWdfNkonuuD48nTVVodLRyJvVf3FvEis/H4QrPZm6vH9Jb3m/RQRoGK9VcKhXrZEHUkuqASD4lovkawqvYQ==" saltValue="ZzyOBpjxQFK1xiv3CK7e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6554</v>
      </c>
      <c r="C2" s="49">
        <v>18618.5</v>
      </c>
      <c r="D2" s="49">
        <v>31940</v>
      </c>
      <c r="E2" s="49">
        <v>46661</v>
      </c>
      <c r="F2" s="49">
        <v>28496</v>
      </c>
      <c r="G2" s="17">
        <f t="shared" ref="G2:G13" si="0">C2+D2+E2+F2</f>
        <v>125715.5</v>
      </c>
      <c r="H2" s="17">
        <f t="shared" ref="H2:H13" si="1">(B2 + stillbirth*B2/(1000-stillbirth))/(1-abortion)</f>
        <v>7483.798883996179</v>
      </c>
      <c r="I2" s="17">
        <f t="shared" ref="I2:I13" si="2">G2-H2</f>
        <v>118231.70111600382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6245</v>
      </c>
      <c r="C3" s="50">
        <v>19214</v>
      </c>
      <c r="D3" s="50">
        <v>29507</v>
      </c>
      <c r="E3" s="50">
        <v>45546.5</v>
      </c>
      <c r="F3" s="50">
        <v>30128</v>
      </c>
      <c r="G3" s="17">
        <f t="shared" si="0"/>
        <v>124395.5</v>
      </c>
      <c r="H3" s="17">
        <f t="shared" si="1"/>
        <v>7130.96186001772</v>
      </c>
      <c r="I3" s="17">
        <f t="shared" si="2"/>
        <v>117264.53813998228</v>
      </c>
    </row>
    <row r="4" spans="1:9" ht="15.75" customHeight="1" x14ac:dyDescent="0.25">
      <c r="A4" s="5">
        <f t="shared" si="3"/>
        <v>2026</v>
      </c>
      <c r="B4" s="49">
        <v>5951</v>
      </c>
      <c r="C4" s="50">
        <v>19803</v>
      </c>
      <c r="D4" s="50">
        <v>27564.5</v>
      </c>
      <c r="E4" s="50">
        <v>44112.5</v>
      </c>
      <c r="F4" s="50">
        <v>31890</v>
      </c>
      <c r="G4" s="17">
        <f t="shared" si="0"/>
        <v>123370</v>
      </c>
      <c r="H4" s="17">
        <f t="shared" si="1"/>
        <v>6795.2528469120025</v>
      </c>
      <c r="I4" s="17">
        <f t="shared" si="2"/>
        <v>116574.747153088</v>
      </c>
    </row>
    <row r="5" spans="1:9" ht="15.75" customHeight="1" x14ac:dyDescent="0.25">
      <c r="A5" s="5">
        <f t="shared" si="3"/>
        <v>2027</v>
      </c>
      <c r="B5" s="49">
        <v>5673</v>
      </c>
      <c r="C5" s="50">
        <v>20305</v>
      </c>
      <c r="D5" s="50">
        <v>26203</v>
      </c>
      <c r="E5" s="50">
        <v>42414</v>
      </c>
      <c r="F5" s="50">
        <v>33731.5</v>
      </c>
      <c r="G5" s="17">
        <f t="shared" si="0"/>
        <v>122653.5</v>
      </c>
      <c r="H5" s="17">
        <f t="shared" si="1"/>
        <v>6477.8137120705405</v>
      </c>
      <c r="I5" s="17">
        <f t="shared" si="2"/>
        <v>116175.68628792946</v>
      </c>
    </row>
    <row r="6" spans="1:9" ht="15.75" customHeight="1" x14ac:dyDescent="0.25">
      <c r="A6" s="5">
        <f t="shared" si="3"/>
        <v>2028</v>
      </c>
      <c r="B6" s="49">
        <v>5414</v>
      </c>
      <c r="C6" s="50">
        <v>20773</v>
      </c>
      <c r="D6" s="50">
        <v>25411.5</v>
      </c>
      <c r="E6" s="50">
        <v>40497</v>
      </c>
      <c r="F6" s="50">
        <v>35534</v>
      </c>
      <c r="G6" s="17">
        <f t="shared" si="0"/>
        <v>122215.5</v>
      </c>
      <c r="H6" s="17">
        <f t="shared" si="1"/>
        <v>6182.0700576678837</v>
      </c>
      <c r="I6" s="17">
        <f t="shared" si="2"/>
        <v>116033.42994233212</v>
      </c>
    </row>
    <row r="7" spans="1:9" ht="15.75" customHeight="1" x14ac:dyDescent="0.25">
      <c r="A7" s="5">
        <f t="shared" si="3"/>
        <v>2029</v>
      </c>
      <c r="B7" s="49">
        <v>5188</v>
      </c>
      <c r="C7" s="50">
        <v>21220.5</v>
      </c>
      <c r="D7" s="50">
        <v>25183.5</v>
      </c>
      <c r="E7" s="50">
        <v>38398</v>
      </c>
      <c r="F7" s="50">
        <v>37167.5</v>
      </c>
      <c r="G7" s="17">
        <f t="shared" si="0"/>
        <v>121969.5</v>
      </c>
      <c r="H7" s="17">
        <f t="shared" si="1"/>
        <v>5924.0080271852567</v>
      </c>
      <c r="I7" s="17">
        <f t="shared" si="2"/>
        <v>116045.49197281475</v>
      </c>
    </row>
    <row r="8" spans="1:9" ht="15.75" customHeight="1" x14ac:dyDescent="0.25">
      <c r="A8" s="5">
        <f t="shared" si="3"/>
        <v>2030</v>
      </c>
      <c r="B8" s="49">
        <v>5008</v>
      </c>
      <c r="C8" s="50">
        <v>21586</v>
      </c>
      <c r="D8" s="50">
        <v>25529</v>
      </c>
      <c r="E8" s="50">
        <v>36188.5</v>
      </c>
      <c r="F8" s="50">
        <v>38544</v>
      </c>
      <c r="G8" s="17">
        <f t="shared" si="0"/>
        <v>121847.5</v>
      </c>
      <c r="H8" s="17">
        <f t="shared" si="1"/>
        <v>5718.4718967123681</v>
      </c>
      <c r="I8" s="17">
        <f t="shared" si="2"/>
        <v>116129.02810328764</v>
      </c>
    </row>
    <row r="9" spans="1:9" ht="15.75" customHeight="1" x14ac:dyDescent="0.25">
      <c r="A9" s="5">
        <f t="shared" si="3"/>
        <v>2031</v>
      </c>
      <c r="B9" s="49">
        <v>4871</v>
      </c>
      <c r="C9" s="50">
        <v>21869</v>
      </c>
      <c r="D9" s="50">
        <v>26382.5</v>
      </c>
      <c r="E9" s="50">
        <v>33976.5</v>
      </c>
      <c r="F9" s="50">
        <v>39611.5</v>
      </c>
      <c r="G9" s="17">
        <f t="shared" si="0"/>
        <v>121839.5</v>
      </c>
      <c r="H9" s="17">
        <f t="shared" si="1"/>
        <v>5562.0360640746703</v>
      </c>
      <c r="I9" s="17">
        <f t="shared" si="2"/>
        <v>116277.46393592533</v>
      </c>
    </row>
    <row r="10" spans="1:9" ht="15.75" customHeight="1" x14ac:dyDescent="0.25">
      <c r="A10" s="5">
        <f t="shared" si="3"/>
        <v>2032</v>
      </c>
      <c r="B10" s="49">
        <v>4776</v>
      </c>
      <c r="C10" s="50">
        <v>22072</v>
      </c>
      <c r="D10" s="50">
        <v>27600</v>
      </c>
      <c r="E10" s="50">
        <v>31857.5</v>
      </c>
      <c r="F10" s="50">
        <v>40344</v>
      </c>
      <c r="G10" s="17">
        <f t="shared" si="0"/>
        <v>121873.5</v>
      </c>
      <c r="H10" s="17">
        <f t="shared" si="1"/>
        <v>5453.5586618806456</v>
      </c>
      <c r="I10" s="17">
        <f t="shared" si="2"/>
        <v>116419.94133811936</v>
      </c>
    </row>
    <row r="11" spans="1:9" ht="15.75" customHeight="1" x14ac:dyDescent="0.25">
      <c r="A11" s="5">
        <f t="shared" si="3"/>
        <v>2033</v>
      </c>
      <c r="B11" s="49">
        <v>4710</v>
      </c>
      <c r="C11" s="50">
        <v>22179.5</v>
      </c>
      <c r="D11" s="50">
        <v>29006</v>
      </c>
      <c r="E11" s="50">
        <v>29876</v>
      </c>
      <c r="F11" s="50">
        <v>40673</v>
      </c>
      <c r="G11" s="17">
        <f t="shared" si="0"/>
        <v>121734.5</v>
      </c>
      <c r="H11" s="17">
        <f t="shared" si="1"/>
        <v>5378.195414040586</v>
      </c>
      <c r="I11" s="17">
        <f t="shared" si="2"/>
        <v>116356.30458595941</v>
      </c>
    </row>
    <row r="12" spans="1:9" ht="15.75" customHeight="1" x14ac:dyDescent="0.25">
      <c r="A12" s="5">
        <f t="shared" si="3"/>
        <v>2034</v>
      </c>
      <c r="B12" s="49">
        <v>4689</v>
      </c>
      <c r="C12" s="50">
        <v>22095.5</v>
      </c>
      <c r="D12" s="50">
        <v>30538</v>
      </c>
      <c r="E12" s="50">
        <v>28081</v>
      </c>
      <c r="F12" s="50">
        <v>40567</v>
      </c>
      <c r="G12" s="17">
        <f t="shared" si="0"/>
        <v>121281.5</v>
      </c>
      <c r="H12" s="17">
        <f t="shared" si="1"/>
        <v>5354.2161988187499</v>
      </c>
      <c r="I12" s="17">
        <f t="shared" si="2"/>
        <v>115927.28380118126</v>
      </c>
    </row>
    <row r="13" spans="1:9" ht="15.75" customHeight="1" x14ac:dyDescent="0.25">
      <c r="A13" s="5">
        <f t="shared" si="3"/>
        <v>2035</v>
      </c>
      <c r="B13" s="49">
        <v>4698</v>
      </c>
      <c r="C13" s="50">
        <v>21808</v>
      </c>
      <c r="D13" s="50">
        <v>32093</v>
      </c>
      <c r="E13" s="50">
        <v>26557.5</v>
      </c>
      <c r="F13" s="50">
        <v>40071</v>
      </c>
      <c r="G13" s="17">
        <f t="shared" si="0"/>
        <v>120529.5</v>
      </c>
      <c r="H13" s="17">
        <f t="shared" si="1"/>
        <v>5364.4930053423941</v>
      </c>
      <c r="I13" s="17">
        <f t="shared" si="2"/>
        <v>115165.00699465761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Evb9nzLTRHL5P3XK4hecHy4x0nj7doZyDTXeCAPvXyM4xa+wKeXoRBUWtfD5013YCv6v2vnfN26M/lK5gNk8A==" saltValue="Elj6MTVDswLsaW+p4Tj/v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6.5867286826542651E-2</v>
      </c>
    </row>
    <row r="5" spans="1:8" ht="15.75" customHeight="1" x14ac:dyDescent="0.25">
      <c r="B5" s="19" t="s">
        <v>95</v>
      </c>
      <c r="C5" s="101">
        <v>2.445029510994097E-2</v>
      </c>
    </row>
    <row r="6" spans="1:8" ht="15.75" customHeight="1" x14ac:dyDescent="0.25">
      <c r="B6" s="19" t="s">
        <v>91</v>
      </c>
      <c r="C6" s="101">
        <v>0.1371583725683255</v>
      </c>
    </row>
    <row r="7" spans="1:8" ht="15.75" customHeight="1" x14ac:dyDescent="0.25">
      <c r="B7" s="19" t="s">
        <v>96</v>
      </c>
      <c r="C7" s="101">
        <v>0.42002271599545637</v>
      </c>
    </row>
    <row r="8" spans="1:8" ht="15.75" customHeight="1" x14ac:dyDescent="0.25">
      <c r="B8" s="19" t="s">
        <v>98</v>
      </c>
      <c r="C8" s="101">
        <v>4.8633990273201973E-3</v>
      </c>
    </row>
    <row r="9" spans="1:8" ht="15.75" customHeight="1" x14ac:dyDescent="0.25">
      <c r="B9" s="19" t="s">
        <v>92</v>
      </c>
      <c r="C9" s="101">
        <v>0.25171934965613052</v>
      </c>
    </row>
    <row r="10" spans="1:8" ht="15.75" customHeight="1" x14ac:dyDescent="0.25">
      <c r="B10" s="19" t="s">
        <v>94</v>
      </c>
      <c r="C10" s="101">
        <v>9.5918580816283766E-2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9.6620941854483972E-2</v>
      </c>
      <c r="D14" s="55">
        <v>9.6620941854483972E-2</v>
      </c>
      <c r="E14" s="55">
        <v>9.6620941854483972E-2</v>
      </c>
      <c r="F14" s="55">
        <v>9.6620941854483972E-2</v>
      </c>
    </row>
    <row r="15" spans="1:8" ht="15.75" customHeight="1" x14ac:dyDescent="0.25">
      <c r="B15" s="19" t="s">
        <v>102</v>
      </c>
      <c r="C15" s="101">
        <v>0.34415592372124182</v>
      </c>
      <c r="D15" s="101">
        <v>0.34415592372124182</v>
      </c>
      <c r="E15" s="101">
        <v>0.34415592372124182</v>
      </c>
      <c r="F15" s="101">
        <v>0.34415592372124182</v>
      </c>
    </row>
    <row r="16" spans="1:8" ht="15.75" customHeight="1" x14ac:dyDescent="0.25">
      <c r="B16" s="19" t="s">
        <v>2</v>
      </c>
      <c r="C16" s="101">
        <v>6.7951622788939819E-2</v>
      </c>
      <c r="D16" s="101">
        <v>6.7951622788939819E-2</v>
      </c>
      <c r="E16" s="101">
        <v>6.7951622788939819E-2</v>
      </c>
      <c r="F16" s="101">
        <v>6.7951622788939819E-2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5.2061214258508001E-2</v>
      </c>
      <c r="D19" s="101">
        <v>5.2061214258508001E-2</v>
      </c>
      <c r="E19" s="101">
        <v>5.2061214258508001E-2</v>
      </c>
      <c r="F19" s="101">
        <v>5.2061214258508001E-2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0.39264628016308611</v>
      </c>
      <c r="D21" s="101">
        <v>0.39264628016308611</v>
      </c>
      <c r="E21" s="101">
        <v>0.39264628016308611</v>
      </c>
      <c r="F21" s="101">
        <v>0.39264628016308611</v>
      </c>
    </row>
    <row r="22" spans="1:8" ht="15.75" customHeight="1" x14ac:dyDescent="0.25">
      <c r="B22" s="19" t="s">
        <v>99</v>
      </c>
      <c r="C22" s="101">
        <v>4.6564017213740219E-2</v>
      </c>
      <c r="D22" s="101">
        <v>4.6564017213740219E-2</v>
      </c>
      <c r="E22" s="101">
        <v>4.6564017213740219E-2</v>
      </c>
      <c r="F22" s="101">
        <v>4.6564017213740219E-2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3.7058319999999999E-2</v>
      </c>
    </row>
    <row r="27" spans="1:8" ht="15.75" customHeight="1" x14ac:dyDescent="0.25">
      <c r="B27" s="19" t="s">
        <v>89</v>
      </c>
      <c r="C27" s="101">
        <v>3.1722030000000002E-3</v>
      </c>
    </row>
    <row r="28" spans="1:8" ht="15.75" customHeight="1" x14ac:dyDescent="0.25">
      <c r="B28" s="19" t="s">
        <v>103</v>
      </c>
      <c r="C28" s="101">
        <v>0.26537214399999998</v>
      </c>
    </row>
    <row r="29" spans="1:8" ht="15.75" customHeight="1" x14ac:dyDescent="0.25">
      <c r="B29" s="19" t="s">
        <v>86</v>
      </c>
      <c r="C29" s="101">
        <v>8.9267518000000004E-2</v>
      </c>
    </row>
    <row r="30" spans="1:8" ht="15.75" customHeight="1" x14ac:dyDescent="0.25">
      <c r="B30" s="19" t="s">
        <v>4</v>
      </c>
      <c r="C30" s="101">
        <v>3.4850704000000003E-2</v>
      </c>
    </row>
    <row r="31" spans="1:8" ht="15.75" customHeight="1" x14ac:dyDescent="0.25">
      <c r="B31" s="19" t="s">
        <v>80</v>
      </c>
      <c r="C31" s="101">
        <v>5.2997323999999998E-2</v>
      </c>
    </row>
    <row r="32" spans="1:8" ht="15.75" customHeight="1" x14ac:dyDescent="0.25">
      <c r="B32" s="19" t="s">
        <v>85</v>
      </c>
      <c r="C32" s="101">
        <v>4.1757296000000013E-2</v>
      </c>
    </row>
    <row r="33" spans="2:3" ht="15.75" customHeight="1" x14ac:dyDescent="0.25">
      <c r="B33" s="19" t="s">
        <v>100</v>
      </c>
      <c r="C33" s="101">
        <v>5.6826768999999999E-2</v>
      </c>
    </row>
    <row r="34" spans="2:3" ht="15.75" customHeight="1" x14ac:dyDescent="0.25">
      <c r="B34" s="19" t="s">
        <v>87</v>
      </c>
      <c r="C34" s="101">
        <v>0.41869772199999999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MbTzyoVF/mPTmzenDydcdvBIu8du+z5fwExWfmbiVSnT11VOivE+XWt1X+p/Ulq7tqkAdWMH8XcsWU6eYqHE9w==" saltValue="t69ydrGMwoYMGIjTa/9Jf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0.4030891174365191</v>
      </c>
      <c r="D2" s="52">
        <f>IFERROR(1-_xlfn.NORM.DIST(_xlfn.NORM.INV(SUM(D4:D5), 0, 1) + 1, 0, 1, TRUE), "")</f>
        <v>0.4030891174365191</v>
      </c>
      <c r="E2" s="52">
        <f>IFERROR(1-_xlfn.NORM.DIST(_xlfn.NORM.INV(SUM(E4:E5), 0, 1) + 1, 0, 1, TRUE), "")</f>
        <v>0.46556671249017612</v>
      </c>
      <c r="F2" s="52">
        <f>IFERROR(1-_xlfn.NORM.DIST(_xlfn.NORM.INV(SUM(F4:F5), 0, 1) + 1, 0, 1, TRUE), "")</f>
        <v>0.41939665599499554</v>
      </c>
      <c r="G2" s="52">
        <f>IFERROR(1-_xlfn.NORM.DIST(_xlfn.NORM.INV(SUM(G4:G5), 0, 1) + 1, 0, 1, TRUE), "")</f>
        <v>0.56552022412391656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0.37167858256348091</v>
      </c>
      <c r="D3" s="52">
        <f>IFERROR(_xlfn.NORM.DIST(_xlfn.NORM.INV(SUM(D4:D5), 0, 1) + 1, 0, 1, TRUE) - SUM(D4:D5), "")</f>
        <v>0.37167858256348091</v>
      </c>
      <c r="E3" s="52">
        <f>IFERROR(_xlfn.NORM.DIST(_xlfn.NORM.INV(SUM(E4:E5), 0, 1) + 1, 0, 1, TRUE) - SUM(E4:E5), "")</f>
        <v>0.35396478750982391</v>
      </c>
      <c r="F3" s="52">
        <f>IFERROR(_xlfn.NORM.DIST(_xlfn.NORM.INV(SUM(F4:F5), 0, 1) + 1, 0, 1, TRUE) - SUM(F4:F5), "")</f>
        <v>0.36775084400500446</v>
      </c>
      <c r="G3" s="52">
        <f>IFERROR(_xlfn.NORM.DIST(_xlfn.NORM.INV(SUM(G4:G5), 0, 1) + 1, 0, 1, TRUE) - SUM(G4:G5), "")</f>
        <v>0.31246627587608344</v>
      </c>
    </row>
    <row r="4" spans="1:15" ht="15.75" customHeight="1" x14ac:dyDescent="0.25">
      <c r="B4" s="5" t="s">
        <v>110</v>
      </c>
      <c r="C4" s="45">
        <v>0.142876</v>
      </c>
      <c r="D4" s="53">
        <v>0.142876</v>
      </c>
      <c r="E4" s="53">
        <v>0.13257179999999999</v>
      </c>
      <c r="F4" s="53">
        <v>0.1496171</v>
      </c>
      <c r="G4" s="53">
        <v>9.5615699999999998E-2</v>
      </c>
    </row>
    <row r="5" spans="1:15" ht="15.75" customHeight="1" x14ac:dyDescent="0.25">
      <c r="B5" s="5" t="s">
        <v>106</v>
      </c>
      <c r="C5" s="45">
        <v>8.2356300000000007E-2</v>
      </c>
      <c r="D5" s="53">
        <v>8.2356300000000007E-2</v>
      </c>
      <c r="E5" s="53">
        <v>4.78967E-2</v>
      </c>
      <c r="F5" s="53">
        <v>6.3235399999999997E-2</v>
      </c>
      <c r="G5" s="53">
        <v>2.6397799999999999E-2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0.58170472684946239</v>
      </c>
      <c r="D8" s="52">
        <f>IFERROR(1-_xlfn.NORM.DIST(_xlfn.NORM.INV(SUM(D10:D11), 0, 1) + 1, 0, 1, TRUE), "")</f>
        <v>0.58170472684946239</v>
      </c>
      <c r="E8" s="52">
        <f>IFERROR(1-_xlfn.NORM.DIST(_xlfn.NORM.INV(SUM(E10:E11), 0, 1) + 1, 0, 1, TRUE), "")</f>
        <v>0.69291921359696806</v>
      </c>
      <c r="F8" s="52">
        <f>IFERROR(1-_xlfn.NORM.DIST(_xlfn.NORM.INV(SUM(F10:F11), 0, 1) + 1, 0, 1, TRUE), "")</f>
        <v>0.73646523833154964</v>
      </c>
      <c r="G8" s="52">
        <f>IFERROR(1-_xlfn.NORM.DIST(_xlfn.NORM.INV(SUM(G10:G11), 0, 1) + 1, 0, 1, TRUE), "")</f>
        <v>0.5992426661851642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0.30443597315053766</v>
      </c>
      <c r="D9" s="52">
        <f>IFERROR(_xlfn.NORM.DIST(_xlfn.NORM.INV(SUM(D10:D11), 0, 1) + 1, 0, 1, TRUE) - SUM(D10:D11), "")</f>
        <v>0.30443597315053766</v>
      </c>
      <c r="E9" s="52">
        <f>IFERROR(_xlfn.NORM.DIST(_xlfn.NORM.INV(SUM(E10:E11), 0, 1) + 1, 0, 1, TRUE) - SUM(E10:E11), "")</f>
        <v>0.24080838640303193</v>
      </c>
      <c r="F9" s="52">
        <f>IFERROR(_xlfn.NORM.DIST(_xlfn.NORM.INV(SUM(F10:F11), 0, 1) + 1, 0, 1, TRUE) - SUM(F10:F11), "")</f>
        <v>0.21224616166845034</v>
      </c>
      <c r="G9" s="52">
        <f>IFERROR(_xlfn.NORM.DIST(_xlfn.NORM.INV(SUM(G10:G11), 0, 1) + 1, 0, 1, TRUE) - SUM(G10:G11), "")</f>
        <v>0.2953607338148358</v>
      </c>
    </row>
    <row r="10" spans="1:15" ht="15.75" customHeight="1" x14ac:dyDescent="0.25">
      <c r="B10" s="5" t="s">
        <v>107</v>
      </c>
      <c r="C10" s="45">
        <v>3.9528899999999999E-2</v>
      </c>
      <c r="D10" s="53">
        <v>3.9528899999999999E-2</v>
      </c>
      <c r="E10" s="53">
        <v>4.3563900000000003E-2</v>
      </c>
      <c r="F10" s="53">
        <v>4.47409E-2</v>
      </c>
      <c r="G10" s="53">
        <v>8.80055E-2</v>
      </c>
    </row>
    <row r="11" spans="1:15" ht="15.75" customHeight="1" x14ac:dyDescent="0.25">
      <c r="B11" s="5" t="s">
        <v>119</v>
      </c>
      <c r="C11" s="45">
        <v>7.4330400000000005E-2</v>
      </c>
      <c r="D11" s="53">
        <v>7.4330400000000005E-2</v>
      </c>
      <c r="E11" s="53">
        <v>2.27085E-2</v>
      </c>
      <c r="F11" s="53">
        <v>6.5477E-3</v>
      </c>
      <c r="G11" s="53">
        <v>1.73911E-2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0.54814867350000007</v>
      </c>
      <c r="D14" s="54">
        <v>0.52809382599400001</v>
      </c>
      <c r="E14" s="54">
        <v>0.52809382599400001</v>
      </c>
      <c r="F14" s="54">
        <v>0.246947057985</v>
      </c>
      <c r="G14" s="54">
        <v>0.246947057985</v>
      </c>
      <c r="H14" s="45">
        <v>0.46899999999999997</v>
      </c>
      <c r="I14" s="55">
        <v>0.46899999999999997</v>
      </c>
      <c r="J14" s="55">
        <v>0.46899999999999997</v>
      </c>
      <c r="K14" s="55">
        <v>0.46899999999999997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0.3023692231273965</v>
      </c>
      <c r="D15" s="52">
        <f t="shared" si="0"/>
        <v>0.29130658820098426</v>
      </c>
      <c r="E15" s="52">
        <f t="shared" si="0"/>
        <v>0.29130658820098426</v>
      </c>
      <c r="F15" s="52">
        <f t="shared" si="0"/>
        <v>0.1362206891786277</v>
      </c>
      <c r="G15" s="52">
        <f t="shared" si="0"/>
        <v>0.1362206891786277</v>
      </c>
      <c r="H15" s="52">
        <f t="shared" si="0"/>
        <v>0.258709311</v>
      </c>
      <c r="I15" s="52">
        <f t="shared" si="0"/>
        <v>0.258709311</v>
      </c>
      <c r="J15" s="52">
        <f t="shared" si="0"/>
        <v>0.258709311</v>
      </c>
      <c r="K15" s="52">
        <f t="shared" si="0"/>
        <v>0.258709311</v>
      </c>
      <c r="L15" s="52">
        <f t="shared" si="0"/>
        <v>0.23388645599999999</v>
      </c>
      <c r="M15" s="52">
        <f t="shared" si="0"/>
        <v>0.23388645599999999</v>
      </c>
      <c r="N15" s="52">
        <f t="shared" si="0"/>
        <v>0.23388645599999999</v>
      </c>
      <c r="O15" s="52">
        <f t="shared" si="0"/>
        <v>0.23388645599999999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Kc8SkjuOYE1l6CxNWvSsDS9kVz/cdxIdwmeSQN8Sat60yKIvl2Mnyg+vT/COZEeiCgx4PxnvrhThOOBnuj/VQ==" saltValue="93qd1lYGwajKWUirhC3d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0.76553150000000003</v>
      </c>
      <c r="D2" s="53">
        <v>0.58960089999999998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0.1157657</v>
      </c>
      <c r="D3" s="53">
        <v>0.16178020000000001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0.1152965</v>
      </c>
      <c r="D4" s="53">
        <v>0.2179171</v>
      </c>
      <c r="E4" s="53">
        <v>0.86853899999999995</v>
      </c>
      <c r="F4" s="53">
        <v>0.72774000000000005</v>
      </c>
      <c r="G4" s="53">
        <v>0</v>
      </c>
    </row>
    <row r="5" spans="1:7" x14ac:dyDescent="0.25">
      <c r="B5" s="3" t="s">
        <v>125</v>
      </c>
      <c r="C5" s="52">
        <v>3.4064E-3</v>
      </c>
      <c r="D5" s="52">
        <v>3.0701800000000001E-2</v>
      </c>
      <c r="E5" s="52">
        <f>1-SUM(E2:E4)</f>
        <v>0.13146100000000005</v>
      </c>
      <c r="F5" s="52">
        <f>1-SUM(F2:F4)</f>
        <v>0.27225999999999995</v>
      </c>
      <c r="G5" s="52">
        <f>1-SUM(G2:G4)</f>
        <v>1</v>
      </c>
    </row>
  </sheetData>
  <sheetProtection algorithmName="SHA-512" hashValue="Nf0aReNp0dApeidG5/eCSmJit+XWX99XCJ2bbk11WabxW0swuWOuyDZhOYQ22jaPwC5GVT8XG6uJaxMPZu5lLA==" saltValue="qD35vh6qnKMj48SCjScJ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5SQfE7zKJ/s+A52InxZSBrJ/K0fi3NEsyQmEvRXJ+lOPCrr1tZh6RvkbhevXoymaxYx6atdwmsVKSJBgZK02w==" saltValue="zTyfOHgQHUi3hGEyraTR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0e2SrqxROyAVJAcA+TCAIh7BV4/h0Zk0TESOhAy7UEOFl8KwWXdqdsoReB7/T9oCz1FkWmfd85LQK6imYj4Trg==" saltValue="ePN2JCQ1NpqjAPKKFtq9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cYQX5naQvqiKmYDaYIX0TDuEW+enqborafAxH93FHHOSda+f0O8IST0l8dGywT0P2VpSJZO0SoEeGNg7Ai5f7A==" saltValue="BbgBXDTPO01mgM4X4tzqH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5TNXqhOIrwHp83zoLTqEhfwosZ3ToZR/4uRT2uvvvJ6Io5pMUe/tJh65s4IgSycUOESeot4rLgnkB11Qc0VUQ==" saltValue="wsMfDZZTHcIuLf0rJcFKo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94.586213594378066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40.699506896759281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987.5278427956996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7.5286638135477881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0.46280009999999999</v>
      </c>
      <c r="C10" s="98">
        <v>0.95</v>
      </c>
      <c r="D10" s="56">
        <v>13.83180634055519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13.83180634055519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13.83180634055519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13.83180634055519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0.46280009999999999</v>
      </c>
      <c r="C14" s="98">
        <v>0.95</v>
      </c>
      <c r="D14" s="56">
        <v>13.83180634055519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13.83180634055519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1.538572140450539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0.58960089999999998</v>
      </c>
      <c r="C18" s="98">
        <v>0.95</v>
      </c>
      <c r="D18" s="56">
        <v>22.59355597690848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0.58960089999999998</v>
      </c>
      <c r="C19" s="98">
        <v>0.95</v>
      </c>
      <c r="D19" s="56">
        <v>22.59355597690848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89.248141599385079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24.299027096709931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4.7916044727007323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0.67559760093265997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0.46280009999999999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19.508595698257331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0.74756310000000004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0.7137907</v>
      </c>
      <c r="C29" s="98">
        <v>0.95</v>
      </c>
      <c r="D29" s="56">
        <v>197.08344135615161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2.1314125469028462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0.69</v>
      </c>
      <c r="C32" s="98">
        <v>0.95</v>
      </c>
      <c r="D32" s="56">
        <v>3.387837434899573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0.95839099999999999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9.0976199999999993E-2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0.17225019999999999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0.52304919999999999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0.48344549999999997</v>
      </c>
      <c r="C38" s="98">
        <v>0.95</v>
      </c>
      <c r="D38" s="56">
        <v>2.7208464683869868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hM4bv5H3W3JXmPKDQZDf4EsQRngJ350LY2Dasyoh80j7vViCG2Y+ZYczMtefrcaryZzJIS2hzUxg9DLZlTuVcA==" saltValue="EVWevuMgNdkkr4gV6dgR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Ysj06KPjLwYaFgQy25Hq1/5nwIo4EkeWbxER47nHrPfS8OZDIUOxdkCMu1xqudfW4FpT85flSpJxtK7OY0n88w==" saltValue="5I0gQsJ8aWy98D7+1ToN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B7UBISdk40IxhXRLO07bDVkDm2qFdORan2MLlL0pQsNIybdrQXrrL1+mSmcK2Q/1z8lxEADJ7ciUrsVebAhoQ==" saltValue="ETWhRpIudqt01XekQmfi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0.10277514</v>
      </c>
      <c r="C3" s="21">
        <f>frac_mam_1_5months * 2.6</f>
        <v>0.10277514</v>
      </c>
      <c r="D3" s="21">
        <f>frac_mam_6_11months * 2.6</f>
        <v>0.11326614000000002</v>
      </c>
      <c r="E3" s="21">
        <f>frac_mam_12_23months * 2.6</f>
        <v>0.11632634</v>
      </c>
      <c r="F3" s="21">
        <f>frac_mam_24_59months * 2.6</f>
        <v>0.2288143</v>
      </c>
    </row>
    <row r="4" spans="1:6" ht="15.75" customHeight="1" x14ac:dyDescent="0.25">
      <c r="A4" s="3" t="s">
        <v>207</v>
      </c>
      <c r="B4" s="21">
        <f>frac_sam_1month * 2.6</f>
        <v>0.19325904000000002</v>
      </c>
      <c r="C4" s="21">
        <f>frac_sam_1_5months * 2.6</f>
        <v>0.19325904000000002</v>
      </c>
      <c r="D4" s="21">
        <f>frac_sam_6_11months * 2.6</f>
        <v>5.90421E-2</v>
      </c>
      <c r="E4" s="21">
        <f>frac_sam_12_23months * 2.6</f>
        <v>1.7024020000000001E-2</v>
      </c>
      <c r="F4" s="21">
        <f>frac_sam_24_59months * 2.6</f>
        <v>4.5216859999999998E-2</v>
      </c>
    </row>
  </sheetData>
  <sheetProtection algorithmName="SHA-512" hashValue="utqsd2G1UXOUJBqbrNPKAkyTGP8IhKqWyms9gXoM/4dYj5PchwsGgNhKSgIiTClwhbp+vv6pu9GlZI0EQjN5Ow==" saltValue="bG7V6qAp+oonOwAt7OsA0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0.57299999999999995</v>
      </c>
      <c r="M24" s="60">
        <f>famplan_unmet_need</f>
        <v>0.57299999999999995</v>
      </c>
      <c r="N24" s="60">
        <f>famplan_unmet_need</f>
        <v>0.57299999999999995</v>
      </c>
      <c r="O24" s="60">
        <f>famplan_unmet_need</f>
        <v>0.57299999999999995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0.19838835373700001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8.5023580173000005E-2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0.12146225738999999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0.59512580869999998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MojqiYc4RaOCDdp9RAs//3K53MOjJE0OlfdHH3LF0cJrWDMiGPT0m8A7aChrcGZXa6SWVoNCn6baD/llQuB2Q==" saltValue="Qz1oiLRSmQGF7pooym4jP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v5VGk19EUUIi6UAM97lL/5X6TsxiNFJqbEOINnUSfiUwKXXnLy2MwRfNdZ6lv77WUMxZPvpFsXU0um+GGBGWw==" saltValue="yscNv7x2eGIM5qpAAnTVi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l/TMqyBPtgHT7Pr56xXZxTA5HBjFbqrjmn6s+eXTkiPpvZy61SvInTGt0l2mgcXU4paaa4f5aom/YbunzWSnA==" saltValue="S8UuQukRXUw+0UWm3Bwzi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QgOSnzzYy///th82wWqTWr0n7j66UcTr8JAKULZgrdxg1L+4+uisUkAI1RQv7APkKBK5kLLlbh6AeCkjKGT2Q==" saltValue="nch+BPMgOUjgg++78gguz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3osAuR+iIouZztAaIZJRlvl7Ea2tGVdsKKvY5REGVi7iuRegWN4ztEJZVUtkVL4BhOgX8gKh+W+9Xcl83Tf4Q==" saltValue="fyX8CV0rLbD5PGHUBz2k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XWroevYk02q/rrp8MPgIAgRafPz8W/vtJmTmMX+7itEhxHOGt67MPrDAJFvN+JBrpUnautg3vV47x05pjlUFA==" saltValue="JyW++pgKm783XF7IOwSS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cO+pl1tYUdv8LV7o8NKrhRfLy1kBBUYkPXiWvkBzuMuwozmi/psJWqr57iYSQ2iDisYNZArlNjGpX1Ax0FXqg==" saltValue="1S+C7GIZaERvKubY6ZKy7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/V21nHGnCFTI7+bB2DIua95itbMFNrHC8fGzP/lpaa0gSPP3hTmpARRPEsC/FE5R1WL+ueqV6yW97DyJHZ/iA==" saltValue="Tl8ZOacku97kXvhjMulr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GMVbC+yVC0ITfrez9zKOWa9QACZTQjzaYGdWzCw+xAt/DOItjgrXlUBu0hvoJXNTQJq2tQhJFDqo79qrjSzCw==" saltValue="HZhIFheN/rf2Gfu9/JuE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hGnyA9UfnwmBWEdFQiMIVE3mzbQTc+rqBlVxa6JshQenyL/51iSh1rXQxuxoNBST588ZQzfOEblWYWPmSUoJg==" saltValue="thZJegIgWsjI90WC6yNz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3uN4muSK3Og/C8gLsVc8xWShEbGT4q7nDPuCtsgxd7/AUnAvCF69nG6TuVfjMASTWEguafQvOILDPUwk00CUg==" saltValue="IIcwiMWH023rJTihhtwV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/ZiXQcoBBZ0Kof1OzUW2qNFL61BX47q49zzg0Zdemk+2nfIH1rNTGxc/IiiZlfXihGpsA153onol+cQvQAGQw==" saltValue="bHf0LFw9pKKlOKLtJYYS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uvVIP7RE2O/ErY2mO+JLbboCNq4ZKLsmXLQNOv4iEdlD7mIKJXdQZSBxMy9B9+fJRnT/AjCii7hktVJhnbO7w==" saltValue="hG5Ksc2+9O+GoymkEOHP6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0.10777127062889835</v>
      </c>
      <c r="G18" s="90">
        <f>MIN(MAX(1-0.89/(1-frac_sam_12_23months+(frac_sam_12_23months*0.89)),0),1)</f>
        <v>0.10935851814461806</v>
      </c>
      <c r="H18" s="90">
        <f>MIN(MAX(1-0.89/(1-frac_sam_24_59months+(frac_sam_24_59months*0.89)),0),1)</f>
        <v>0.1082941479792614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0.10571455822875442</v>
      </c>
      <c r="G20" s="90">
        <f>MIN(MAX(1-0.89/(1-frac_mam_12_23months+(frac_mam_12_23months*0.89)),0),1)</f>
        <v>0.10559820244774842</v>
      </c>
      <c r="H20" s="90">
        <f>MIN(MAX(1-0.89/(1-frac_mam_24_59months+(frac_mam_24_59months*0.89)),0),1)</f>
        <v>0.10130004068030996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9.775134786482953E-3</v>
      </c>
      <c r="G73" s="90">
        <f>MIN(MAX(1-0.99/(1-frac_sam_12_23months+(frac_sam_12_23months*0.99)),0),1)</f>
        <v>9.9351735253568885E-3</v>
      </c>
      <c r="H73" s="90">
        <f>MIN(MAX(1-0.99/(1-frac_sam_24_59months+(frac_sam_24_59months*0.99)),0),1)</f>
        <v>9.8277981622062471E-3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9.5685294245899666E-3</v>
      </c>
      <c r="G75" s="90">
        <f>MIN(MAX(1-0.99/(1-frac_mam_12_23months+(frac_mam_12_23months*0.99)),0),1)</f>
        <v>9.5568668282307589E-3</v>
      </c>
      <c r="H75" s="90">
        <f>MIN(MAX(1-0.99/(1-frac_mam_24_59months+(frac_mam_24_59months*0.99)),0),1)</f>
        <v>9.1279781227868728E-3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0.19635006308149716</v>
      </c>
      <c r="G128" s="90">
        <f>MIN(MAX(1-0.8/(1-frac_sam_12_23months+(frac_sam_12_23months*0.8)),0),1)</f>
        <v>0.19895099428505592</v>
      </c>
      <c r="H128" s="90">
        <f>MIN(MAX(1-0.8/(1-frac_sam_24_59months+(frac_sam_24_59months*0.8)),0),1)</f>
        <v>0.19720771180736263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0.19296851219367073</v>
      </c>
      <c r="G130" s="90">
        <f>MIN(MAX(1-0.8/(1-frac_mam_12_23months+(frac_mam_12_23months*0.8)),0),1)</f>
        <v>0.19277682170040311</v>
      </c>
      <c r="H130" s="90">
        <f>MIN(MAX(1-0.8/(1-frac_mam_24_59months+(frac_mam_24_59months*0.8)),0),1)</f>
        <v>0.18566684062858785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ON8HR7W1Pl/H2q05KpRTLxK+5ph72hwQTden+WjKvoJT1MgSapa+qkj0ObMrdHUAZ1u6XaOWQBeUXXCPuDZ7A==" saltValue="kl0jLfHkqq0jjvPedy18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Dd+cYFPQM7Dwfj92ueAEr/nyuPL68rwAqiq3srumhn7xXLVIxt/khcNUUW1RjMM6K5qd1XiYOwQ4fXswPONFA==" saltValue="XGHjzZvIQBXzJ/0tNSal5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2024-08-06T07:57:33Z</dcterms:modified>
</cp:coreProperties>
</file>