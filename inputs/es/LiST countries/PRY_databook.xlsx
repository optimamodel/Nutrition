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6DDC6250-C02D-4536-BFCC-44FAA119319D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G39" i="2"/>
  <c r="I39" i="2" s="1"/>
  <c r="A39" i="2"/>
  <c r="H38" i="2"/>
  <c r="G38" i="2"/>
  <c r="I38" i="2" s="1"/>
  <c r="A35" i="2"/>
  <c r="A27" i="2"/>
  <c r="A26" i="2"/>
  <c r="A23" i="2"/>
  <c r="A19" i="2"/>
  <c r="A18" i="2"/>
  <c r="A15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A3" i="2"/>
  <c r="H2" i="2"/>
  <c r="G2" i="2"/>
  <c r="A2" i="2"/>
  <c r="A40" i="2" s="1"/>
  <c r="C33" i="1"/>
  <c r="C20" i="1"/>
  <c r="A31" i="2" l="1"/>
  <c r="I2" i="2"/>
  <c r="A34" i="2"/>
  <c r="A16" i="2"/>
  <c r="A24" i="2"/>
  <c r="A32" i="2"/>
  <c r="A17" i="2"/>
  <c r="A25" i="2"/>
  <c r="A33" i="2"/>
  <c r="A20" i="2"/>
  <c r="A28" i="2"/>
  <c r="A36" i="2"/>
  <c r="A21" i="2"/>
  <c r="A29" i="2"/>
  <c r="A37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<sst xmlns="http://schemas.openxmlformats.org/spreadsheetml/2006/main" count="2101" uniqueCount="341">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</sst>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674530.5234375</v>
      </c>
    </row>
    <row r="8" spans="1:3" ht="15" customHeight="1" x14ac:dyDescent="0.25">
      <c r="B8" s="5" t="s">
        <v>44</v>
      </c>
      <c r="C8" s="44">
        <v>1.6E-2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0.66318046569824207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0.17399999999999999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0.1144</v>
      </c>
    </row>
    <row r="24" spans="1:3" ht="15" customHeight="1" x14ac:dyDescent="0.25">
      <c r="B24" s="15" t="s">
        <v>46</v>
      </c>
      <c r="C24" s="45">
        <v>0.50659999999999994</v>
      </c>
    </row>
    <row r="25" spans="1:3" ht="15" customHeight="1" x14ac:dyDescent="0.25">
      <c r="B25" s="15" t="s">
        <v>47</v>
      </c>
      <c r="C25" s="45">
        <v>0.32169999999999999</v>
      </c>
    </row>
    <row r="26" spans="1:3" ht="15" customHeight="1" x14ac:dyDescent="0.25">
      <c r="B26" s="15" t="s">
        <v>48</v>
      </c>
      <c r="C26" s="45">
        <v>5.7299999999999997E-2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0.247134217009016</v>
      </c>
    </row>
    <row r="30" spans="1:3" ht="14.25" customHeight="1" x14ac:dyDescent="0.25">
      <c r="B30" s="25" t="s">
        <v>63</v>
      </c>
      <c r="C30" s="99">
        <v>0.12625974442754401</v>
      </c>
    </row>
    <row r="31" spans="1:3" ht="14.25" customHeight="1" x14ac:dyDescent="0.25">
      <c r="B31" s="25" t="s">
        <v>10</v>
      </c>
      <c r="C31" s="99">
        <v>0.15756466930712501</v>
      </c>
    </row>
    <row r="32" spans="1:3" ht="14.25" customHeight="1" x14ac:dyDescent="0.25">
      <c r="B32" s="25" t="s">
        <v>11</v>
      </c>
      <c r="C32" s="99">
        <v>0.46904136925631501</v>
      </c>
    </row>
    <row r="33" spans="1:5" ht="13" customHeight="1" x14ac:dyDescent="0.25">
      <c r="B33" s="27" t="s">
        <v>60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9.6517900000000001</v>
      </c>
    </row>
    <row r="38" spans="1:5" ht="15" customHeight="1" x14ac:dyDescent="0.25">
      <c r="B38" s="11" t="s">
        <v>35</v>
      </c>
      <c r="C38" s="43">
        <v>15.57174</v>
      </c>
      <c r="D38" s="12"/>
      <c r="E38" s="13"/>
    </row>
    <row r="39" spans="1:5" ht="15" customHeight="1" x14ac:dyDescent="0.25">
      <c r="B39" s="11" t="s">
        <v>61</v>
      </c>
      <c r="C39" s="43">
        <v>18.157489999999999</v>
      </c>
      <c r="D39" s="12"/>
      <c r="E39" s="12"/>
    </row>
    <row r="40" spans="1:5" ht="15" customHeight="1" x14ac:dyDescent="0.25">
      <c r="B40" s="11" t="s">
        <v>36</v>
      </c>
      <c r="C40" s="100">
        <v>0.71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10.015330000000001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6.6461999999999997E-3</v>
      </c>
      <c r="D45" s="12"/>
    </row>
    <row r="46" spans="1:5" ht="15.75" customHeight="1" x14ac:dyDescent="0.25">
      <c r="B46" s="11" t="s">
        <v>51</v>
      </c>
      <c r="C46" s="45">
        <v>7.1412900000000001E-2</v>
      </c>
      <c r="D46" s="12"/>
    </row>
    <row r="47" spans="1:5" ht="15.75" customHeight="1" x14ac:dyDescent="0.25">
      <c r="B47" s="11" t="s">
        <v>59</v>
      </c>
      <c r="C47" s="45">
        <v>7.4680700000000003E-2</v>
      </c>
      <c r="D47" s="12"/>
      <c r="E47" s="13"/>
    </row>
    <row r="48" spans="1:5" ht="15" customHeight="1" x14ac:dyDescent="0.25">
      <c r="B48" s="11" t="s">
        <v>58</v>
      </c>
      <c r="C48" s="46">
        <v>0.84726020000000002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3.2</v>
      </c>
      <c r="D51" s="12"/>
    </row>
    <row r="52" spans="1:4" ht="15" customHeight="1" x14ac:dyDescent="0.25">
      <c r="B52" s="11" t="s">
        <v>13</v>
      </c>
      <c r="C52" s="100">
        <v>3.2</v>
      </c>
    </row>
    <row r="53" spans="1:4" ht="15.75" customHeight="1" x14ac:dyDescent="0.25">
      <c r="B53" s="11" t="s">
        <v>16</v>
      </c>
      <c r="C53" s="100">
        <v>3.2</v>
      </c>
    </row>
    <row r="54" spans="1:4" ht="15.75" customHeight="1" x14ac:dyDescent="0.25">
      <c r="B54" s="11" t="s">
        <v>14</v>
      </c>
      <c r="C54" s="100">
        <v>3.2</v>
      </c>
    </row>
    <row r="55" spans="1:4" ht="15.75" customHeight="1" x14ac:dyDescent="0.25">
      <c r="B55" s="11" t="s">
        <v>15</v>
      </c>
      <c r="C55" s="100">
        <v>3.2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1.9375E-2</v>
      </c>
    </row>
    <row r="59" spans="1:4" ht="15.75" customHeight="1" x14ac:dyDescent="0.25">
      <c r="B59" s="11" t="s">
        <v>40</v>
      </c>
      <c r="C59" s="45">
        <v>0.56980299999999995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8.0900145000000007E-2</v>
      </c>
    </row>
    <row r="63" spans="1:4" ht="15.75" customHeight="1" x14ac:dyDescent="0.3">
      <c r="A63" s="4"/>
    </row>
  </sheetData>
  <sheetProtection algorithmName="SHA-512" hashValue="ht3P/UPsh3G6hdr5DRx3SCI+uw/Sax+qH/uvjab0AiOjLfi+5s9hXxM2JCbQgrwr5rD56ps9tTLKtqNYF874RA==" saltValue="QbhxSKCaE0HmlEvDQ4fqB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136586</v>
      </c>
      <c r="C2" s="49">
        <v>355057.5</v>
      </c>
      <c r="D2" s="49">
        <v>585919</v>
      </c>
      <c r="E2" s="49">
        <v>545690</v>
      </c>
      <c r="F2" s="49">
        <v>350057</v>
      </c>
      <c r="G2" s="17">
        <f t="shared" ref="G2:G13" si="0">C2+D2+E2+F2</f>
        <v>1836723.5</v>
      </c>
      <c r="H2" s="17">
        <f t="shared" ref="H2:H13" si="1">(B2 + stillbirth*B2/(1000-stillbirth))/(1-abortion)</f>
        <v>156781.58292730295</v>
      </c>
      <c r="I2" s="17">
        <f t="shared" ref="I2:I13" si="2">G2-H2</f>
        <v>1679941.9170726971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135746</v>
      </c>
      <c r="C3" s="50">
        <v>356596.5</v>
      </c>
      <c r="D3" s="50">
        <v>582284.5</v>
      </c>
      <c r="E3" s="50">
        <v>553058.5</v>
      </c>
      <c r="F3" s="50">
        <v>362878</v>
      </c>
      <c r="G3" s="17">
        <f t="shared" si="0"/>
        <v>1854817.5</v>
      </c>
      <c r="H3" s="17">
        <f t="shared" si="1"/>
        <v>155817.38066895338</v>
      </c>
      <c r="I3" s="17">
        <f t="shared" si="2"/>
        <v>1699000.1193310467</v>
      </c>
    </row>
    <row r="4" spans="1:9" ht="15.75" customHeight="1" x14ac:dyDescent="0.25">
      <c r="A4" s="5">
        <f t="shared" si="3"/>
        <v>2026</v>
      </c>
      <c r="B4" s="49">
        <v>135253</v>
      </c>
      <c r="C4" s="50">
        <v>358223.5</v>
      </c>
      <c r="D4" s="50">
        <v>578843</v>
      </c>
      <c r="E4" s="50">
        <v>559152.5</v>
      </c>
      <c r="F4" s="50">
        <v>376414.5</v>
      </c>
      <c r="G4" s="17">
        <f t="shared" si="0"/>
        <v>1872633.5</v>
      </c>
      <c r="H4" s="17">
        <f t="shared" si="1"/>
        <v>155251.48577208869</v>
      </c>
      <c r="I4" s="17">
        <f t="shared" si="2"/>
        <v>1717382.0142279114</v>
      </c>
    </row>
    <row r="5" spans="1:9" ht="15.75" customHeight="1" x14ac:dyDescent="0.25">
      <c r="A5" s="5">
        <f t="shared" si="3"/>
        <v>2027</v>
      </c>
      <c r="B5" s="49">
        <v>134015</v>
      </c>
      <c r="C5" s="50">
        <v>360497.5</v>
      </c>
      <c r="D5" s="50">
        <v>575855.5</v>
      </c>
      <c r="E5" s="50">
        <v>563972.5</v>
      </c>
      <c r="F5" s="50">
        <v>390259</v>
      </c>
      <c r="G5" s="17">
        <f t="shared" si="0"/>
        <v>1890584.5</v>
      </c>
      <c r="H5" s="17">
        <f t="shared" si="1"/>
        <v>153830.43530085444</v>
      </c>
      <c r="I5" s="17">
        <f t="shared" si="2"/>
        <v>1736754.0646991455</v>
      </c>
    </row>
    <row r="6" spans="1:9" ht="15.75" customHeight="1" x14ac:dyDescent="0.25">
      <c r="A6" s="5">
        <f t="shared" si="3"/>
        <v>2028</v>
      </c>
      <c r="B6" s="49">
        <v>133242</v>
      </c>
      <c r="C6" s="50">
        <v>363985.50000000012</v>
      </c>
      <c r="D6" s="50">
        <v>573514.5</v>
      </c>
      <c r="E6" s="50">
        <v>567361</v>
      </c>
      <c r="F6" s="50">
        <v>404181.5</v>
      </c>
      <c r="G6" s="17">
        <f t="shared" si="0"/>
        <v>1909042.5</v>
      </c>
      <c r="H6" s="17">
        <f t="shared" si="1"/>
        <v>152943.13965120655</v>
      </c>
      <c r="I6" s="17">
        <f t="shared" si="2"/>
        <v>1756099.3603487934</v>
      </c>
    </row>
    <row r="7" spans="1:9" ht="15.75" customHeight="1" x14ac:dyDescent="0.25">
      <c r="A7" s="5">
        <f t="shared" si="3"/>
        <v>2029</v>
      </c>
      <c r="B7" s="49">
        <v>131980</v>
      </c>
      <c r="C7" s="50">
        <v>368489.5</v>
      </c>
      <c r="D7" s="50">
        <v>571956.5</v>
      </c>
      <c r="E7" s="50">
        <v>569416.5</v>
      </c>
      <c r="F7" s="50">
        <v>417897.5</v>
      </c>
      <c r="G7" s="17">
        <f t="shared" si="0"/>
        <v>1927760</v>
      </c>
      <c r="H7" s="17">
        <f t="shared" si="1"/>
        <v>151494.54054401946</v>
      </c>
      <c r="I7" s="17">
        <f t="shared" si="2"/>
        <v>1776265.4594559805</v>
      </c>
    </row>
    <row r="8" spans="1:9" ht="15.75" customHeight="1" x14ac:dyDescent="0.25">
      <c r="A8" s="5">
        <f t="shared" si="3"/>
        <v>2030</v>
      </c>
      <c r="B8" s="49">
        <v>131206</v>
      </c>
      <c r="C8" s="50">
        <v>373690</v>
      </c>
      <c r="D8" s="50">
        <v>571146</v>
      </c>
      <c r="E8" s="50">
        <v>570176.5</v>
      </c>
      <c r="F8" s="50">
        <v>430736</v>
      </c>
      <c r="G8" s="17">
        <f t="shared" si="0"/>
        <v>1945748.5</v>
      </c>
      <c r="H8" s="17">
        <f t="shared" si="1"/>
        <v>150606.09703454023</v>
      </c>
      <c r="I8" s="17">
        <f t="shared" si="2"/>
        <v>1795142.4029654597</v>
      </c>
    </row>
    <row r="9" spans="1:9" ht="15.75" customHeight="1" x14ac:dyDescent="0.25">
      <c r="A9" s="5">
        <f t="shared" si="3"/>
        <v>2031</v>
      </c>
      <c r="B9" s="49">
        <v>129929</v>
      </c>
      <c r="C9" s="50">
        <v>379121.5</v>
      </c>
      <c r="D9" s="50">
        <v>571213.5</v>
      </c>
      <c r="E9" s="50">
        <v>569516.5</v>
      </c>
      <c r="F9" s="50">
        <v>442324</v>
      </c>
      <c r="G9" s="17">
        <f t="shared" si="0"/>
        <v>1962175.5</v>
      </c>
      <c r="H9" s="17">
        <f t="shared" si="1"/>
        <v>149140.28002988262</v>
      </c>
      <c r="I9" s="17">
        <f t="shared" si="2"/>
        <v>1813035.2199701173</v>
      </c>
    </row>
    <row r="10" spans="1:9" ht="15.75" customHeight="1" x14ac:dyDescent="0.25">
      <c r="A10" s="5">
        <f t="shared" si="3"/>
        <v>2032</v>
      </c>
      <c r="B10" s="49">
        <v>129556</v>
      </c>
      <c r="C10" s="50">
        <v>384437.50000000012</v>
      </c>
      <c r="D10" s="50">
        <v>572328</v>
      </c>
      <c r="E10" s="50">
        <v>567573</v>
      </c>
      <c r="F10" s="50">
        <v>452811</v>
      </c>
      <c r="G10" s="17">
        <f t="shared" si="0"/>
        <v>1977149.5</v>
      </c>
      <c r="H10" s="17">
        <f t="shared" si="1"/>
        <v>148712.12831278212</v>
      </c>
      <c r="I10" s="17">
        <f t="shared" si="2"/>
        <v>1828437.3716872178</v>
      </c>
    </row>
    <row r="11" spans="1:9" ht="15.75" customHeight="1" x14ac:dyDescent="0.25">
      <c r="A11" s="5">
        <f t="shared" si="3"/>
        <v>2033</v>
      </c>
      <c r="B11" s="49">
        <v>128809</v>
      </c>
      <c r="C11" s="50">
        <v>388779.5</v>
      </c>
      <c r="D11" s="50">
        <v>574894.5</v>
      </c>
      <c r="E11" s="50">
        <v>564747.5</v>
      </c>
      <c r="F11" s="50">
        <v>462279</v>
      </c>
      <c r="G11" s="17">
        <f t="shared" si="0"/>
        <v>1990700.5</v>
      </c>
      <c r="H11" s="17">
        <f t="shared" si="1"/>
        <v>147854.67701874982</v>
      </c>
      <c r="I11" s="17">
        <f t="shared" si="2"/>
        <v>1842845.8229812502</v>
      </c>
    </row>
    <row r="12" spans="1:9" ht="15.75" customHeight="1" x14ac:dyDescent="0.25">
      <c r="A12" s="5">
        <f t="shared" si="3"/>
        <v>2034</v>
      </c>
      <c r="B12" s="49">
        <v>128412</v>
      </c>
      <c r="C12" s="50">
        <v>391398</v>
      </c>
      <c r="D12" s="50">
        <v>579219</v>
      </c>
      <c r="E12" s="50">
        <v>561399.49999999988</v>
      </c>
      <c r="F12" s="50">
        <v>470573.5</v>
      </c>
      <c r="G12" s="17">
        <f t="shared" si="0"/>
        <v>2002590</v>
      </c>
      <c r="H12" s="17">
        <f t="shared" si="1"/>
        <v>147398.97666569651</v>
      </c>
      <c r="I12" s="17">
        <f t="shared" si="2"/>
        <v>1855191.0233343034</v>
      </c>
    </row>
    <row r="13" spans="1:9" ht="15.75" customHeight="1" x14ac:dyDescent="0.25">
      <c r="A13" s="5">
        <f t="shared" si="3"/>
        <v>2035</v>
      </c>
      <c r="B13" s="49">
        <v>127620</v>
      </c>
      <c r="C13" s="50">
        <v>392517.50000000012</v>
      </c>
      <c r="D13" s="50">
        <v>584908.5</v>
      </c>
      <c r="E13" s="50">
        <v>557852.5</v>
      </c>
      <c r="F13" s="50">
        <v>477711.5</v>
      </c>
      <c r="G13" s="17">
        <f t="shared" si="0"/>
        <v>2012990</v>
      </c>
      <c r="H13" s="17">
        <f t="shared" si="1"/>
        <v>146489.87167925265</v>
      </c>
      <c r="I13" s="17">
        <f t="shared" si="2"/>
        <v>1866500.1283207473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MWbteWQPVCwIFU3JI8gupwvGhQ1NQU8/t+YR8tkefSWyya9+ZBg39/wrJaXpqZ5+WnZVA5vLrEzeSdMgngjJUA==" saltValue="ZYICklObbx+xHENonbGqL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7.6678956102072828E-4</v>
      </c>
    </row>
    <row r="4" spans="1:8" ht="15.75" customHeight="1" x14ac:dyDescent="0.25">
      <c r="B4" s="19" t="s">
        <v>97</v>
      </c>
      <c r="C4" s="101">
        <v>6.4427525134935867E-2</v>
      </c>
    </row>
    <row r="5" spans="1:8" ht="15.75" customHeight="1" x14ac:dyDescent="0.25">
      <c r="B5" s="19" t="s">
        <v>95</v>
      </c>
      <c r="C5" s="101">
        <v>3.1018022905075229E-2</v>
      </c>
    </row>
    <row r="6" spans="1:8" ht="15.75" customHeight="1" x14ac:dyDescent="0.25">
      <c r="B6" s="19" t="s">
        <v>91</v>
      </c>
      <c r="C6" s="101">
        <v>0.1851606267612057</v>
      </c>
    </row>
    <row r="7" spans="1:8" ht="15.75" customHeight="1" x14ac:dyDescent="0.25">
      <c r="B7" s="19" t="s">
        <v>96</v>
      </c>
      <c r="C7" s="101">
        <v>0.44250568466396889</v>
      </c>
    </row>
    <row r="8" spans="1:8" ht="15.75" customHeight="1" x14ac:dyDescent="0.25">
      <c r="B8" s="19" t="s">
        <v>98</v>
      </c>
      <c r="C8" s="101">
        <v>1.07512557466712E-4</v>
      </c>
    </row>
    <row r="9" spans="1:8" ht="15.75" customHeight="1" x14ac:dyDescent="0.25">
      <c r="B9" s="19" t="s">
        <v>92</v>
      </c>
      <c r="C9" s="101">
        <v>0.17925163659115381</v>
      </c>
    </row>
    <row r="10" spans="1:8" ht="15.75" customHeight="1" x14ac:dyDescent="0.25">
      <c r="B10" s="19" t="s">
        <v>94</v>
      </c>
      <c r="C10" s="101">
        <v>9.6762201825173214E-2</v>
      </c>
    </row>
    <row r="11" spans="1:8" ht="15.75" customHeight="1" x14ac:dyDescent="0.25">
      <c r="B11" s="27" t="s">
        <v>60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0.1732830632560021</v>
      </c>
      <c r="D14" s="55">
        <v>0.1732830632560021</v>
      </c>
      <c r="E14" s="55">
        <v>0.1732830632560021</v>
      </c>
      <c r="F14" s="55">
        <v>0.1732830632560021</v>
      </c>
    </row>
    <row r="15" spans="1:8" ht="15.75" customHeight="1" x14ac:dyDescent="0.25">
      <c r="B15" s="19" t="s">
        <v>102</v>
      </c>
      <c r="C15" s="101">
        <v>0.36070214212649582</v>
      </c>
      <c r="D15" s="101">
        <v>0.36070214212649582</v>
      </c>
      <c r="E15" s="101">
        <v>0.36070214212649582</v>
      </c>
      <c r="F15" s="101">
        <v>0.36070214212649582</v>
      </c>
    </row>
    <row r="16" spans="1:8" ht="15.75" customHeight="1" x14ac:dyDescent="0.25">
      <c r="B16" s="19" t="s">
        <v>2</v>
      </c>
      <c r="C16" s="101">
        <v>3.7287091450664667E-2</v>
      </c>
      <c r="D16" s="101">
        <v>3.7287091450664667E-2</v>
      </c>
      <c r="E16" s="101">
        <v>3.7287091450664667E-2</v>
      </c>
      <c r="F16" s="101">
        <v>3.7287091450664667E-2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101</v>
      </c>
      <c r="C19" s="101">
        <v>0.104489465138261</v>
      </c>
      <c r="D19" s="101">
        <v>0.104489465138261</v>
      </c>
      <c r="E19" s="101">
        <v>0.104489465138261</v>
      </c>
      <c r="F19" s="101">
        <v>0.104489465138261</v>
      </c>
    </row>
    <row r="20" spans="1:8" ht="15.75" customHeight="1" x14ac:dyDescent="0.25">
      <c r="B20" s="19" t="s">
        <v>79</v>
      </c>
      <c r="C20" s="101">
        <v>3.0766079362013359E-2</v>
      </c>
      <c r="D20" s="101">
        <v>3.0766079362013359E-2</v>
      </c>
      <c r="E20" s="101">
        <v>3.0766079362013359E-2</v>
      </c>
      <c r="F20" s="101">
        <v>3.0766079362013359E-2</v>
      </c>
    </row>
    <row r="21" spans="1:8" ht="15.75" customHeight="1" x14ac:dyDescent="0.25">
      <c r="B21" s="19" t="s">
        <v>88</v>
      </c>
      <c r="C21" s="101">
        <v>0.28076527745822938</v>
      </c>
      <c r="D21" s="101">
        <v>0.28076527745822938</v>
      </c>
      <c r="E21" s="101">
        <v>0.28076527745822938</v>
      </c>
      <c r="F21" s="101">
        <v>0.28076527745822938</v>
      </c>
    </row>
    <row r="22" spans="1:8" ht="15.75" customHeight="1" x14ac:dyDescent="0.25">
      <c r="B22" s="19" t="s">
        <v>99</v>
      </c>
      <c r="C22" s="101">
        <v>1.2706881208333839E-2</v>
      </c>
      <c r="D22" s="101">
        <v>1.2706881208333839E-2</v>
      </c>
      <c r="E22" s="101">
        <v>1.2706881208333839E-2</v>
      </c>
      <c r="F22" s="101">
        <v>1.2706881208333839E-2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2.8053887999999999E-2</v>
      </c>
    </row>
    <row r="27" spans="1:8" ht="15.75" customHeight="1" x14ac:dyDescent="0.25">
      <c r="B27" s="19" t="s">
        <v>89</v>
      </c>
      <c r="C27" s="101">
        <v>2.2885193000000002E-2</v>
      </c>
    </row>
    <row r="28" spans="1:8" ht="15.75" customHeight="1" x14ac:dyDescent="0.25">
      <c r="B28" s="19" t="s">
        <v>103</v>
      </c>
      <c r="C28" s="101">
        <v>0.17241262399999999</v>
      </c>
    </row>
    <row r="29" spans="1:8" ht="15.75" customHeight="1" x14ac:dyDescent="0.25">
      <c r="B29" s="19" t="s">
        <v>86</v>
      </c>
      <c r="C29" s="101">
        <v>0.185358881</v>
      </c>
    </row>
    <row r="30" spans="1:8" ht="15.75" customHeight="1" x14ac:dyDescent="0.25">
      <c r="B30" s="19" t="s">
        <v>4</v>
      </c>
      <c r="C30" s="101">
        <v>0.10644221299999999</v>
      </c>
    </row>
    <row r="31" spans="1:8" ht="15.75" customHeight="1" x14ac:dyDescent="0.25">
      <c r="B31" s="19" t="s">
        <v>80</v>
      </c>
      <c r="C31" s="101">
        <v>0.22565471400000001</v>
      </c>
    </row>
    <row r="32" spans="1:8" ht="15.75" customHeight="1" x14ac:dyDescent="0.25">
      <c r="B32" s="19" t="s">
        <v>85</v>
      </c>
      <c r="C32" s="101">
        <v>2.5746142999999999E-2</v>
      </c>
    </row>
    <row r="33" spans="2:3" ht="15.75" customHeight="1" x14ac:dyDescent="0.25">
      <c r="B33" s="19" t="s">
        <v>100</v>
      </c>
      <c r="C33" s="101">
        <v>9.9438820999999997E-2</v>
      </c>
    </row>
    <row r="34" spans="2:3" ht="15.75" customHeight="1" x14ac:dyDescent="0.25">
      <c r="B34" s="19" t="s">
        <v>87</v>
      </c>
      <c r="C34" s="101">
        <v>0.13400752399999999</v>
      </c>
    </row>
    <row r="35" spans="2:3" ht="15.75" customHeight="1" x14ac:dyDescent="0.25">
      <c r="B35" s="27" t="s">
        <v>60</v>
      </c>
      <c r="C35" s="48">
        <f>SUM(C26:C34)</f>
        <v>1.0000000010000001</v>
      </c>
    </row>
  </sheetData>
  <sheetProtection algorithmName="SHA-512" hashValue="vt9d4o/TvKaAV2Ss4LLOq6R4GvUobUHgwVjEsb90wVZJdzGZz9pR5s3WJbBqLAiFBawQjScPJiwdXNonZKhFWA==" saltValue="3MR6evRf0/fsFcgieNPBV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0.67504211304196526</v>
      </c>
      <c r="D2" s="52">
        <f>IFERROR(1-_xlfn.NORM.DIST(_xlfn.NORM.INV(SUM(D4:D5), 0, 1) + 1, 0, 1, TRUE), "")</f>
        <v>0.67504211304196526</v>
      </c>
      <c r="E2" s="52">
        <f>IFERROR(1-_xlfn.NORM.DIST(_xlfn.NORM.INV(SUM(E4:E5), 0, 1) + 1, 0, 1, TRUE), "")</f>
        <v>0.75043817851002848</v>
      </c>
      <c r="F2" s="52">
        <f>IFERROR(1-_xlfn.NORM.DIST(_xlfn.NORM.INV(SUM(F4:F5), 0, 1) + 1, 0, 1, TRUE), "")</f>
        <v>0.66568741422070443</v>
      </c>
      <c r="G2" s="52">
        <f>IFERROR(1-_xlfn.NORM.DIST(_xlfn.NORM.INV(SUM(G4:G5), 0, 1) + 1, 0, 1, TRUE), "")</f>
        <v>0.74912990734345564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0.25196798695803474</v>
      </c>
      <c r="D3" s="52">
        <f>IFERROR(_xlfn.NORM.DIST(_xlfn.NORM.INV(SUM(D4:D5), 0, 1) + 1, 0, 1, TRUE) - SUM(D4:D5), "")</f>
        <v>0.25196798695803474</v>
      </c>
      <c r="E3" s="52">
        <f>IFERROR(_xlfn.NORM.DIST(_xlfn.NORM.INV(SUM(E4:E5), 0, 1) + 1, 0, 1, TRUE) - SUM(E4:E5), "")</f>
        <v>0.20267992148997147</v>
      </c>
      <c r="F3" s="52">
        <f>IFERROR(_xlfn.NORM.DIST(_xlfn.NORM.INV(SUM(F4:F5), 0, 1) + 1, 0, 1, TRUE) - SUM(F4:F5), "")</f>
        <v>0.25767178577929556</v>
      </c>
      <c r="G3" s="52">
        <f>IFERROR(_xlfn.NORM.DIST(_xlfn.NORM.INV(SUM(G4:G5), 0, 1) + 1, 0, 1, TRUE) - SUM(G4:G5), "")</f>
        <v>0.20358369265654436</v>
      </c>
    </row>
    <row r="4" spans="1:15" ht="15.75" customHeight="1" x14ac:dyDescent="0.25">
      <c r="B4" s="5" t="s">
        <v>110</v>
      </c>
      <c r="C4" s="45">
        <v>3.4070999999999997E-2</v>
      </c>
      <c r="D4" s="53">
        <v>3.4070999999999997E-2</v>
      </c>
      <c r="E4" s="53">
        <v>3.6088299999999997E-2</v>
      </c>
      <c r="F4" s="53">
        <v>6.3694899999999999E-2</v>
      </c>
      <c r="G4" s="53">
        <v>3.83731E-2</v>
      </c>
    </row>
    <row r="5" spans="1:15" ht="15.75" customHeight="1" x14ac:dyDescent="0.25">
      <c r="B5" s="5" t="s">
        <v>106</v>
      </c>
      <c r="C5" s="45">
        <v>3.8918899999999999E-2</v>
      </c>
      <c r="D5" s="53">
        <v>3.8918899999999999E-2</v>
      </c>
      <c r="E5" s="53">
        <v>1.07936E-2</v>
      </c>
      <c r="F5" s="53">
        <v>1.29459E-2</v>
      </c>
      <c r="G5" s="53">
        <v>8.913299999999999E-3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0.74089077144279414</v>
      </c>
      <c r="D8" s="52">
        <f>IFERROR(1-_xlfn.NORM.DIST(_xlfn.NORM.INV(SUM(D10:D11), 0, 1) + 1, 0, 1, TRUE), "")</f>
        <v>0.74089077144279414</v>
      </c>
      <c r="E8" s="52">
        <f>IFERROR(1-_xlfn.NORM.DIST(_xlfn.NORM.INV(SUM(E10:E11), 0, 1) + 1, 0, 1, TRUE), "")</f>
        <v>0.96677592100387766</v>
      </c>
      <c r="F8" s="52">
        <f>IFERROR(1-_xlfn.NORM.DIST(_xlfn.NORM.INV(SUM(F10:F11), 0, 1) + 1, 0, 1, TRUE), "")</f>
        <v>0.92383805480570158</v>
      </c>
      <c r="G8" s="52">
        <f>IFERROR(1-_xlfn.NORM.DIST(_xlfn.NORM.INV(SUM(G10:G11), 0, 1) + 1, 0, 1, TRUE), "")</f>
        <v>0.94012841859528262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0.20923702855720591</v>
      </c>
      <c r="D9" s="52">
        <f>IFERROR(_xlfn.NORM.DIST(_xlfn.NORM.INV(SUM(D10:D11), 0, 1) + 1, 0, 1, TRUE) - SUM(D10:D11), "")</f>
        <v>0.20923702855720591</v>
      </c>
      <c r="E9" s="52">
        <f>IFERROR(_xlfn.NORM.DIST(_xlfn.NORM.INV(SUM(E10:E11), 0, 1) + 1, 0, 1, TRUE) - SUM(E10:E11), "")</f>
        <v>3.0935578996122301E-2</v>
      </c>
      <c r="F9" s="52">
        <f>IFERROR(_xlfn.NORM.DIST(_xlfn.NORM.INV(SUM(F10:F11), 0, 1) + 1, 0, 1, TRUE) - SUM(F10:F11), "")</f>
        <v>6.8641045194298395E-2</v>
      </c>
      <c r="G9" s="52">
        <f>IFERROR(_xlfn.NORM.DIST(_xlfn.NORM.INV(SUM(G10:G11), 0, 1) + 1, 0, 1, TRUE) - SUM(G10:G11), "")</f>
        <v>5.4575181404717336E-2</v>
      </c>
    </row>
    <row r="10" spans="1:15" ht="15.75" customHeight="1" x14ac:dyDescent="0.25">
      <c r="B10" s="5" t="s">
        <v>107</v>
      </c>
      <c r="C10" s="45">
        <v>2.6520800000000001E-2</v>
      </c>
      <c r="D10" s="53">
        <v>2.6520800000000001E-2</v>
      </c>
      <c r="E10" s="53">
        <v>2.2885000000000002E-3</v>
      </c>
      <c r="F10" s="53">
        <v>5.0771999999999996E-3</v>
      </c>
      <c r="G10" s="53">
        <v>3.7767E-3</v>
      </c>
    </row>
    <row r="11" spans="1:15" ht="15.75" customHeight="1" x14ac:dyDescent="0.25">
      <c r="B11" s="5" t="s">
        <v>119</v>
      </c>
      <c r="C11" s="45">
        <v>2.3351400000000001E-2</v>
      </c>
      <c r="D11" s="53">
        <v>2.3351400000000001E-2</v>
      </c>
      <c r="E11" s="53">
        <v>0</v>
      </c>
      <c r="F11" s="53">
        <v>2.4437E-3</v>
      </c>
      <c r="G11" s="53">
        <v>1.5196999999999999E-3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0.33770807775</v>
      </c>
      <c r="D14" s="54">
        <v>0.33097332158499992</v>
      </c>
      <c r="E14" s="54">
        <v>0.33097332158499992</v>
      </c>
      <c r="F14" s="54">
        <v>0.254121780247</v>
      </c>
      <c r="G14" s="54">
        <v>0.254121780247</v>
      </c>
      <c r="H14" s="45">
        <v>0.32700000000000001</v>
      </c>
      <c r="I14" s="55">
        <v>0.32700000000000001</v>
      </c>
      <c r="J14" s="55">
        <v>0.32700000000000001</v>
      </c>
      <c r="K14" s="55">
        <v>0.32700000000000001</v>
      </c>
      <c r="L14" s="45">
        <v>0.223</v>
      </c>
      <c r="M14" s="55">
        <v>0.223</v>
      </c>
      <c r="N14" s="55">
        <v>0.223</v>
      </c>
      <c r="O14" s="55">
        <v>0.223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0.19242707582618324</v>
      </c>
      <c r="D15" s="52">
        <f t="shared" si="0"/>
        <v>0.18858959155909769</v>
      </c>
      <c r="E15" s="52">
        <f t="shared" si="0"/>
        <v>0.18858959155909769</v>
      </c>
      <c r="F15" s="52">
        <f t="shared" si="0"/>
        <v>0.14479935275008132</v>
      </c>
      <c r="G15" s="52">
        <f t="shared" si="0"/>
        <v>0.14479935275008132</v>
      </c>
      <c r="H15" s="52">
        <f t="shared" si="0"/>
        <v>0.18632558099999999</v>
      </c>
      <c r="I15" s="52">
        <f t="shared" si="0"/>
        <v>0.18632558099999999</v>
      </c>
      <c r="J15" s="52">
        <f t="shared" si="0"/>
        <v>0.18632558099999999</v>
      </c>
      <c r="K15" s="52">
        <f t="shared" si="0"/>
        <v>0.18632558099999999</v>
      </c>
      <c r="L15" s="52">
        <f t="shared" si="0"/>
        <v>0.127066069</v>
      </c>
      <c r="M15" s="52">
        <f t="shared" si="0"/>
        <v>0.127066069</v>
      </c>
      <c r="N15" s="52">
        <f t="shared" si="0"/>
        <v>0.127066069</v>
      </c>
      <c r="O15" s="52">
        <f t="shared" si="0"/>
        <v>0.127066069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AU/zcTy9R9Yifmivtdy3jMh2UuDU0KESlzFbwJCAEdjIXD1Dmy7ki2R0BYcv+bKnPnOtcJU75l5b+CDB8pRmnA==" saltValue="KvhIhum+jRUKWWqSnuclj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0.64318549999999997</v>
      </c>
      <c r="D2" s="53">
        <v>0.30086489999999999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0.1938405</v>
      </c>
      <c r="D3" s="53">
        <v>0.2158948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0.1472349</v>
      </c>
      <c r="D4" s="53">
        <v>0.39192640000000001</v>
      </c>
      <c r="E4" s="53">
        <v>0.77740080000000011</v>
      </c>
      <c r="F4" s="53">
        <v>0.32832830000000002</v>
      </c>
      <c r="G4" s="53">
        <v>0</v>
      </c>
    </row>
    <row r="5" spans="1:7" x14ac:dyDescent="0.25">
      <c r="B5" s="3" t="s">
        <v>125</v>
      </c>
      <c r="C5" s="52">
        <v>1.5739099999999999E-2</v>
      </c>
      <c r="D5" s="52">
        <v>9.1313900000000003E-2</v>
      </c>
      <c r="E5" s="52">
        <f>1-SUM(E2:E4)</f>
        <v>0.22259919999999989</v>
      </c>
      <c r="F5" s="52">
        <f>1-SUM(F2:F4)</f>
        <v>0.67167169999999998</v>
      </c>
      <c r="G5" s="52">
        <f>1-SUM(G2:G4)</f>
        <v>1</v>
      </c>
    </row>
  </sheetData>
  <sheetProtection algorithmName="SHA-512" hashValue="eLNynuB0CZaEPOnYvH+DG9oFGXXg2XgqITrkfpUHUZwQ3mv8C4F/ISWoZGaAqhiSLA9KyTLQ0Q1Reyyez7F9Mg==" saltValue="ESOxSqtpVEt8AbVcCKPRL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Gs+b1hj4LeHHkouNUbV4LGFU4wgYuvfEiusXasW7Iy5flxb8HJ7iZrAn69ziScPShQfWWdNsFfX+rAXdQO2Ycw==" saltValue="svNfLhJ8dMswKft5kB/MJ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ht="13.25" customHeight="1" x14ac:dyDescent="0.25">
      <c r="A2" s="8" t="s">
        <v>144</v>
      </c>
      <c r="B2" s="41">
        <v>10</v>
      </c>
    </row>
    <row r="3" spans="1:2" ht="13.25" customHeight="1" x14ac:dyDescent="0.25">
      <c r="A3" s="8" t="s">
        <v>143</v>
      </c>
      <c r="B3" s="41">
        <v>10</v>
      </c>
    </row>
    <row r="4" spans="1:2" ht="13.25" customHeight="1" x14ac:dyDescent="0.25">
      <c r="A4" s="8" t="s">
        <v>142</v>
      </c>
      <c r="B4" s="41">
        <v>10</v>
      </c>
    </row>
    <row r="5" spans="1:2" ht="13.25" customHeight="1" x14ac:dyDescent="0.25">
      <c r="A5" s="8" t="s">
        <v>146</v>
      </c>
      <c r="B5" s="41">
        <v>10</v>
      </c>
    </row>
    <row r="6" spans="1:2" ht="13.25" customHeight="1" x14ac:dyDescent="0.25">
      <c r="A6" s="8" t="s">
        <v>140</v>
      </c>
      <c r="B6" s="41">
        <v>10</v>
      </c>
    </row>
    <row r="7" spans="1:2" ht="13.25" customHeight="1" x14ac:dyDescent="0.25">
      <c r="A7" s="8" t="s">
        <v>141</v>
      </c>
      <c r="B7" s="41">
        <v>10</v>
      </c>
    </row>
  </sheetData>
  <sheetProtection algorithmName="SHA-512" hashValue="sNUNHJZSiz37HLSa0rq5CmrO/L7CkalGADwrmvsHO6hEiQ96+/eH3NwX4Pb+uP5/oS/5WJoWAye36m+q4Vme1Q==" saltValue="evmmGSZM63JvE2bTlfXV1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78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74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k07Gp1njfCRGBWlSJA5540a8wLDoBBU1dOvoNGnIdQTE6zNh68jMdMNvFvjQz9y2nabLVvIHhugWAfbGBEkBGA==" saltValue="6qrxTDpHMm8uaii/CUb9G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gX3p3WyUJ8l/9HKjdXv3dW1esw5/AuQeVQ+/mfNq7l7eLr7YbxnNcz/Ifrg9Ktj00TfbFHHSyE8+AvGPlhKK0w==" saltValue="xLYIhTZrkcmHwqPbzfdbD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57.606667746332491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39.870654846835578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407.77420725897531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1.021192076931364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</v>
      </c>
      <c r="C10" s="98">
        <v>0.95</v>
      </c>
      <c r="D10" s="56">
        <v>13.0029542906315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13.0029542906315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13.0029542906315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13.0029542906315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</v>
      </c>
      <c r="C14" s="98">
        <v>0.95</v>
      </c>
      <c r="D14" s="56">
        <v>13.0029542906315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13.0029542906315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</v>
      </c>
      <c r="C16" s="98">
        <v>0.95</v>
      </c>
      <c r="D16" s="56">
        <v>0.70972009052684637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0.20165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0.30086489999999999</v>
      </c>
      <c r="C18" s="98">
        <v>0.95</v>
      </c>
      <c r="D18" s="56">
        <v>9.4026515569123248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0.30086489999999999</v>
      </c>
      <c r="C19" s="98">
        <v>0.95</v>
      </c>
      <c r="D19" s="56">
        <v>9.4026515569123248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</v>
      </c>
      <c r="C21" s="98">
        <v>0.95</v>
      </c>
      <c r="D21" s="56">
        <v>12.07130746537854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22.434109984381621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4.2735719414984246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0.66650893535570011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18.56902833381691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0.28195290000000001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0.520675</v>
      </c>
      <c r="C29" s="98">
        <v>0.95</v>
      </c>
      <c r="D29" s="56">
        <v>112.6831812504641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0.38594540069210109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1.5229281476965579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0.80153059999999998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0.22192899999999999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2.98415E-2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0.99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7.1380600000000002E-2</v>
      </c>
      <c r="C38" s="98">
        <v>0.95</v>
      </c>
      <c r="D38" s="56">
        <v>5.5334670981932863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y9cQ9ldkt9aVD9btT/o9DY7AffHydS3QKvLzKHpv/Fpuay2LyGF5/OvSnFvvHEKuNWj9eXKN11jFFOX/aAGRuA==" saltValue="J5FnAKfNFPgA0V/0yoQOK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ht="13.25" customHeight="1" x14ac:dyDescent="0.25">
      <c r="A2" s="57" t="s">
        <v>178</v>
      </c>
      <c r="B2" s="47" t="s">
        <v>191</v>
      </c>
      <c r="C2" s="47"/>
    </row>
    <row r="3" spans="1:3" ht="13.25" customHeight="1" x14ac:dyDescent="0.25">
      <c r="A3" s="57" t="s">
        <v>179</v>
      </c>
      <c r="B3" s="47" t="s">
        <v>191</v>
      </c>
      <c r="C3" s="47"/>
    </row>
    <row r="4" spans="1:3" ht="13.25" customHeight="1" x14ac:dyDescent="0.25">
      <c r="A4" s="57" t="s">
        <v>193</v>
      </c>
      <c r="B4" s="47" t="s">
        <v>184</v>
      </c>
      <c r="C4" s="47"/>
    </row>
    <row r="5" spans="1:3" ht="13.25" customHeight="1" x14ac:dyDescent="0.25">
      <c r="A5" s="57" t="s">
        <v>190</v>
      </c>
      <c r="B5" s="47" t="s">
        <v>184</v>
      </c>
      <c r="C5" s="47"/>
    </row>
    <row r="6" spans="1:3" ht="13.25" customHeight="1" x14ac:dyDescent="0.25">
      <c r="A6" s="57" t="s">
        <v>193</v>
      </c>
      <c r="B6" s="58" t="s">
        <v>204</v>
      </c>
      <c r="C6" s="58"/>
    </row>
    <row r="7" spans="1:3" ht="13.25" customHeight="1" x14ac:dyDescent="0.25">
      <c r="A7" s="57" t="s">
        <v>190</v>
      </c>
      <c r="B7" s="58" t="s">
        <v>204</v>
      </c>
      <c r="C7" s="58"/>
    </row>
    <row r="8" spans="1:3" ht="13.25" customHeight="1" x14ac:dyDescent="0.25">
      <c r="A8" s="57" t="s">
        <v>203</v>
      </c>
      <c r="B8" s="58" t="s">
        <v>204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rYcQafmZYkXYyY8oXr7OTyTcMSmAB3p1QHlKjorGQAeb7ByLmnBS9Yx5QF3XZ4Q7t5mfrEcXFQZue/mSeXz4iQ==" saltValue="L5Wybo95GwP7gZucgcztq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ht="13.25" customHeight="1" x14ac:dyDescent="0.25">
      <c r="A2" s="33" t="s">
        <v>170</v>
      </c>
    </row>
    <row r="3" spans="1:1" ht="13.25" customHeight="1" x14ac:dyDescent="0.25">
      <c r="A3" s="33" t="s">
        <v>180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197</v>
      </c>
    </row>
    <row r="6" spans="1:1" ht="13.25" customHeight="1" x14ac:dyDescent="0.25">
      <c r="A6" s="33" t="s">
        <v>198</v>
      </c>
    </row>
    <row r="7" spans="1:1" ht="13.25" customHeight="1" x14ac:dyDescent="0.25">
      <c r="A7" s="33" t="s">
        <v>199</v>
      </c>
    </row>
    <row r="8" spans="1:1" ht="13.25" customHeight="1" x14ac:dyDescent="0.25">
      <c r="A8" s="33" t="s">
        <v>200</v>
      </c>
    </row>
    <row r="9" spans="1:1" ht="13.25" customHeight="1" x14ac:dyDescent="0.25">
      <c r="A9" s="33" t="s">
        <v>201</v>
      </c>
    </row>
    <row r="10" spans="1:1" ht="13.25" customHeight="1" x14ac:dyDescent="0.25">
      <c r="A10" s="33" t="s">
        <v>164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C7A5vlyAcpl3FJsQpGYqY7CgN5aLuH06mRY53ifTOMU1gTdjGThNDeIAeckp7//AtmrcZdCnQasD4S4Gd7RtUQ==" saltValue="AJed/AT1pLaZfqfa4T5Ya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6.8954080000000001E-2</v>
      </c>
      <c r="C3" s="21">
        <f>frac_mam_1_5months * 2.6</f>
        <v>6.8954080000000001E-2</v>
      </c>
      <c r="D3" s="21">
        <f>frac_mam_6_11months * 2.6</f>
        <v>5.9501000000000007E-3</v>
      </c>
      <c r="E3" s="21">
        <f>frac_mam_12_23months * 2.6</f>
        <v>1.3200719999999999E-2</v>
      </c>
      <c r="F3" s="21">
        <f>frac_mam_24_59months * 2.6</f>
        <v>9.8194200000000006E-3</v>
      </c>
    </row>
    <row r="4" spans="1:6" ht="15.75" customHeight="1" x14ac:dyDescent="0.25">
      <c r="A4" s="3" t="s">
        <v>207</v>
      </c>
      <c r="B4" s="21">
        <f>frac_sam_1month * 2.6</f>
        <v>6.0713640000000006E-2</v>
      </c>
      <c r="C4" s="21">
        <f>frac_sam_1_5months * 2.6</f>
        <v>6.0713640000000006E-2</v>
      </c>
      <c r="D4" s="21">
        <f>frac_sam_6_11months * 2.6</f>
        <v>0</v>
      </c>
      <c r="E4" s="21">
        <f>frac_sam_12_23months * 2.6</f>
        <v>6.3536199999999999E-3</v>
      </c>
      <c r="F4" s="21">
        <f>frac_sam_24_59months * 2.6</f>
        <v>3.9512200000000001E-3</v>
      </c>
    </row>
  </sheetData>
  <sheetProtection algorithmName="SHA-512" hashValue="p0J7IeWa7z8EWJemeLSqJQXBMACbVPmFXtC3FSgmc7hO7pUiRVKpkRjdDeiWYRzWmRXf0Jke9wgM8fhs8kHhBA==" saltValue="VCKxGG0qehdtGi7UmxDR3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1.6E-2</v>
      </c>
      <c r="E2" s="60">
        <f>food_insecure</f>
        <v>1.6E-2</v>
      </c>
      <c r="F2" s="60">
        <f>food_insecure</f>
        <v>1.6E-2</v>
      </c>
      <c r="G2" s="60">
        <f>food_insecure</f>
        <v>1.6E-2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1.6E-2</v>
      </c>
      <c r="F5" s="60">
        <f>food_insecure</f>
        <v>1.6E-2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1.6E-2</v>
      </c>
      <c r="F8" s="60">
        <f>food_insecure</f>
        <v>1.6E-2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1.6E-2</v>
      </c>
      <c r="F9" s="60">
        <f>food_insecure</f>
        <v>1.6E-2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1.6E-2</v>
      </c>
      <c r="I15" s="60">
        <f>food_insecure</f>
        <v>1.6E-2</v>
      </c>
      <c r="J15" s="60">
        <f>food_insecure</f>
        <v>1.6E-2</v>
      </c>
      <c r="K15" s="60">
        <f>food_insecure</f>
        <v>1.6E-2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0.17399999999999999</v>
      </c>
      <c r="M24" s="60">
        <f>famplan_unmet_need</f>
        <v>0.17399999999999999</v>
      </c>
      <c r="N24" s="60">
        <f>famplan_unmet_need</f>
        <v>0.17399999999999999</v>
      </c>
      <c r="O24" s="60">
        <f>famplan_unmet_need</f>
        <v>0.17399999999999999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0.16617328544311527</v>
      </c>
      <c r="M25" s="60">
        <f>(1-food_insecure)*(0.49)+food_insecure*(0.7)</f>
        <v>0.49335999999999997</v>
      </c>
      <c r="N25" s="60">
        <f>(1-food_insecure)*(0.49)+food_insecure*(0.7)</f>
        <v>0.49335999999999997</v>
      </c>
      <c r="O25" s="60">
        <f>(1-food_insecure)*(0.49)+food_insecure*(0.7)</f>
        <v>0.49335999999999997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7.1217122332763685E-2</v>
      </c>
      <c r="M26" s="60">
        <f>(1-food_insecure)*(0.21)+food_insecure*(0.3)</f>
        <v>0.21143999999999999</v>
      </c>
      <c r="N26" s="60">
        <f>(1-food_insecure)*(0.21)+food_insecure*(0.3)</f>
        <v>0.21143999999999999</v>
      </c>
      <c r="O26" s="60">
        <f>(1-food_insecure)*(0.21)+food_insecure*(0.3)</f>
        <v>0.21143999999999999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9.942912652587893E-2</v>
      </c>
      <c r="M27" s="60">
        <f>(1-food_insecure)*(0.3)</f>
        <v>0.29519999999999996</v>
      </c>
      <c r="N27" s="60">
        <f>(1-food_insecure)*(0.3)</f>
        <v>0.29519999999999996</v>
      </c>
      <c r="O27" s="60">
        <f>(1-food_insecure)*(0.3)</f>
        <v>0.29519999999999996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0.66318046569824207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xBvt0DdC7TV01YOQNgF3/DCf1sIJYkDtyhoYu89Qt1NRLGWAVh1/3QxsSEack8mDipWWFcZTqRqQ2cm+d9iErg==" saltValue="nP+hw4VYwVBSPo7vF4Pw0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kXi2U8qPzvn2qtW4P2v+LDH/rq0WoKMCB9914bow8pSHvdSOQsqEJO8D/amrBiDHtMJmCT6Cgw+lQks86QhF0g==" saltValue="d5TgN3fUsOvbBMgV0pRai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z2Ml64QepOlAxr/bEtHplj/KV+aDgGsjQ9sZG2W18v071mvNZrGQ5T+2XHQP65koBIWIVTruaGrupSiT+wsegQ==" saltValue="szrWQ9geETY5Cu4n1kasS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q2V77JnccLtELuyEMc/Eyw7WGWe2ZuAP5ywD776YfP7QrPbwmbN25I+7ILDtIiae6XIn7TsK1n78Q1w30RJ36g==" saltValue="Xg0jg9WrzHyuweUBVFe23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IXMiiX+y9hUfheLihp65+vOGbhPmtbJXtLaKBPwRXL1dNTkcC6sxttCSs54uoK3SnarwU5buFTcSW+Irav0Akg==" saltValue="w23xb9E0LXQK7POttn0Vi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XQAYemWFKA+XvCOd+WLrHJ/gk7WNSpf3WiOTiWsNRbR8MawfKsk383qHM7+VNPrjrxvErRHHfdVbh/OnUR1Dwg==" saltValue="wEN243c8wFQakLV8lO3aC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78</v>
      </c>
      <c r="C5" s="8" t="s">
        <v>150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74</v>
      </c>
      <c r="C8" s="8" t="s">
        <v>150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78</v>
      </c>
      <c r="C58" s="8" t="s">
        <v>150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74</v>
      </c>
      <c r="C61" s="8" t="s">
        <v>150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78</v>
      </c>
      <c r="C111" s="8" t="s">
        <v>150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74</v>
      </c>
      <c r="C114" s="8" t="s">
        <v>150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77</v>
      </c>
      <c r="C117" s="8" t="s">
        <v>150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75</v>
      </c>
      <c r="C120" s="8" t="s">
        <v>150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78</v>
      </c>
      <c r="C128" s="8" t="s">
        <v>150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74</v>
      </c>
      <c r="C131" s="8" t="s">
        <v>150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77</v>
      </c>
      <c r="C134" s="8" t="s">
        <v>150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75</v>
      </c>
      <c r="C137" s="8" t="s">
        <v>150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78</v>
      </c>
      <c r="C145" s="8" t="s">
        <v>150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74</v>
      </c>
      <c r="C148" s="8" t="s">
        <v>150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77</v>
      </c>
      <c r="C151" s="8" t="s">
        <v>150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75</v>
      </c>
      <c r="C154" s="8" t="s">
        <v>150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gFD4UwCBjOxvUF2oi9WgYo/RfX8rXIZDYCUY8lZ4xAiIRaz8CSfQJkoFuGhFAd0oLj6Uh48l2WnvGFDm2H7q6w==" saltValue="Xn+ZzOQoQDM0/mkyxryy7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TfepQJ39fHsSSTcVFjnphiuh5v5/iVUn4WZL8+AF3Svgz9hT62bn9YGxw0xOBlCAxBbAjeUK6vUdCtYXCXm5Bg==" saltValue="LVI8tGUZQxUSlRZ6LQAz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nQSU6oxc9orGe/fYlYjVw4zfscp1w75YV9W1XsH6yzZ56Fz+UnCneXBjjQr8fFrMY4CUx9LSpss3r4tUuTHr3w==" saltValue="VnHL2UYOqQPkFaBEISOia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291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105</v>
      </c>
      <c r="B40" s="11" t="s">
        <v>298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288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293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105</v>
      </c>
      <c r="B63" s="11" t="s">
        <v>299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DCOsk5ixjYeD0GpzUS3Qq4wTEl+KLUKlnAdPDDKhlmObsmWde8LnYhxkU44wAuvzaK+vr6QEbwjKeCeDBtAgtw==" saltValue="GP16MiSiDhcT7oPcInIxM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01l9FXsOuqd6/DtdzrWoCGN3VvGmUFEOMCIpC+YlwBzPax2CW+oUKGE05wX+0mx4WsoK4euZVhVpu1rDNSUxww==" saltValue="3cTDL74yBPrPFh+jIrTQg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174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175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176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177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178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191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172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181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174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175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176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177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178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191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172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181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boYuD2KDybbZ7YDlQuaSu9G1JlXmywRAbcKQNvuFG0LJSaPwL2X/HteE1IKECOY3cUEGvWKOBHluoEusV1nSQw==" saltValue="f2EeaGUPIGyrpIgzDtdSK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ht="13.25" customHeight="1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ht="13.25" customHeight="1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ht="13.25" customHeight="1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ycQyFo1IjHBEb7axHm0k3k7O8nKcbXnO647X3eNFnMGVyoSyrjJx3UaBF92ZF+Vro2F0x5N5bW0wqebqxgLdzg==" saltValue="VVMgM5ROjueHhpScVtWyp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ht="13.25" customHeight="1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338</v>
      </c>
      <c r="D18" s="90">
        <v>0</v>
      </c>
      <c r="E18" s="90">
        <v>0</v>
      </c>
      <c r="F18" s="90">
        <f>MIN(MAX(1-0.89/(1-frac_sam_6_11months+(frac_sam_6_11months*0.89)),0),1)</f>
        <v>0.10999999999999999</v>
      </c>
      <c r="G18" s="90">
        <f>MIN(MAX(1-0.89/(1-frac_sam_12_23months+(frac_sam_12_23months*0.89)),0),1)</f>
        <v>0.10976069744379768</v>
      </c>
      <c r="H18" s="90">
        <f>MIN(MAX(1-0.89/(1-frac_sam_24_59months+(frac_sam_24_59months*0.89)),0),1)</f>
        <v>0.10985119649496444</v>
      </c>
    </row>
    <row r="19" spans="1:8" ht="13.25" customHeight="1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338</v>
      </c>
      <c r="D20" s="90">
        <v>0</v>
      </c>
      <c r="E20" s="90">
        <v>0</v>
      </c>
      <c r="F20" s="90">
        <f>MIN(MAX(1-0.89/(1-frac_mam_6_11months+(frac_mam_6_11months*0.89)),0),1)</f>
        <v>0.10977589943604449</v>
      </c>
      <c r="G20" s="90">
        <f>MIN(MAX(1-0.89/(1-frac_mam_12_23months+(frac_mam_12_23months*0.89)),0),1)</f>
        <v>0.10950266436202483</v>
      </c>
      <c r="H20" s="90">
        <f>MIN(MAX(1-0.89/(1-frac_mam_24_59months+(frac_mam_24_59months*0.89)),0),1)</f>
        <v>0.10963010740292911</v>
      </c>
    </row>
    <row r="21" spans="1:8" ht="13.25" customHeight="1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1.0000000000000009E-2</v>
      </c>
      <c r="G73" s="90">
        <f>MIN(MAX(1-0.99/(1-frac_sam_12_23months+(frac_sam_12_23months*0.99)),0),1)</f>
        <v>9.975806778790175E-3</v>
      </c>
      <c r="H73" s="90">
        <f>MIN(MAX(1-0.99/(1-frac_sam_24_59months+(frac_sam_24_59months*0.99)),0),1)</f>
        <v>9.9849547413572992E-3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9.9773433315021309E-3</v>
      </c>
      <c r="G75" s="90">
        <f>MIN(MAX(1-0.99/(1-frac_mam_12_23months+(frac_mam_12_23months*0.99)),0),1)</f>
        <v>9.9497331678524148E-3</v>
      </c>
      <c r="H75" s="90">
        <f>MIN(MAX(1-0.99/(1-frac_mam_24_59months+(frac_mam_24_59months*0.99)),0),1)</f>
        <v>9.9626092578638525E-3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0.19999999999999996</v>
      </c>
      <c r="G128" s="90">
        <f>MIN(MAX(1-0.8/(1-frac_sam_12_23months+(frac_sam_12_23months*0.8)),0),1)</f>
        <v>0.19960881681312914</v>
      </c>
      <c r="H128" s="90">
        <f>MIN(MAX(1-0.8/(1-frac_sam_24_59months+(frac_sam_24_59months*0.8)),0),1)</f>
        <v>0.19975677407391201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0.19963367233182627</v>
      </c>
      <c r="G130" s="90">
        <f>MIN(MAX(1-0.8/(1-frac_mam_12_23months+(frac_mam_12_23months*0.8)),0),1)</f>
        <v>0.19918682226680262</v>
      </c>
      <c r="H130" s="90">
        <f>MIN(MAX(1-0.8/(1-frac_mam_24_59months+(frac_mam_24_59months*0.8)),0),1)</f>
        <v>0.19939527122416645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SkgrqUWVqwjbSSo55V3yeEIxJwwSVr2F6nL5zvdUcHzeajoKCCtFcOm+XbdPZg/4COTD0x1vFHBy2FCqpItJEw==" saltValue="mJ74LOzXHCIUkheLwbqyz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ht="13.25" customHeight="1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ht="13.25" customHeight="1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ht="13.25" customHeight="1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44QGfdH16VHuBr+UnFmh7dmUfU2X/2iv8ku5+T7nX6BzrhKl05nk/gESOxiZZv1g9GQMjqYqViei40ouhLSq0A==" saltValue="kJJgO14TeXLuJzKYn45P8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2024-08-06T08:12:58Z</dcterms:modified>
</cp:coreProperties>
</file>