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F63E307-F469-4D3D-927D-9D30868AE53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31" i="2"/>
  <c r="A36" i="2"/>
  <c r="I8" i="2"/>
  <c r="I12" i="2"/>
  <c r="I38" i="2"/>
  <c r="A26" i="2"/>
  <c r="I39" i="2"/>
  <c r="A34" i="2"/>
  <c r="A40" i="2"/>
  <c r="I2" i="2"/>
  <c r="I6" i="2"/>
  <c r="A19" i="2"/>
  <c r="A35" i="2"/>
  <c r="I3" i="2"/>
  <c r="I7" i="2"/>
  <c r="I11" i="2"/>
  <c r="A23" i="2"/>
  <c r="A37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<sst xmlns="http://schemas.openxmlformats.org/spreadsheetml/2006/main" count="2169" uniqueCount="373">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</sst>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65672</v>
      </c>
    </row>
    <row r="8" spans="1:3" ht="15" customHeight="1" x14ac:dyDescent="0.25">
      <c r="B8" s="5" t="s">
        <v>63</v>
      </c>
      <c r="C8" s="44">
        <v>0.10299999999999999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0.87056100000000003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9.3299999999999994E-2</v>
      </c>
    </row>
    <row r="24" spans="1:3" ht="15" customHeight="1" x14ac:dyDescent="0.25">
      <c r="B24" s="15" t="s">
        <v>65</v>
      </c>
      <c r="C24" s="45">
        <v>0.53799999999999992</v>
      </c>
    </row>
    <row r="25" spans="1:3" ht="15" customHeight="1" x14ac:dyDescent="0.25">
      <c r="B25" s="15" t="s">
        <v>66</v>
      </c>
      <c r="C25" s="45">
        <v>0.34460000000000002</v>
      </c>
    </row>
    <row r="26" spans="1:3" ht="15" customHeight="1" x14ac:dyDescent="0.25">
      <c r="B26" s="15" t="s">
        <v>67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0.28578644131437603</v>
      </c>
    </row>
    <row r="30" spans="1:3" ht="14.25" customHeight="1" x14ac:dyDescent="0.25">
      <c r="B30" s="25" t="s">
        <v>82</v>
      </c>
      <c r="C30" s="97">
        <v>6.9844134891047002E-2</v>
      </c>
    </row>
    <row r="31" spans="1:3" ht="14.25" customHeight="1" x14ac:dyDescent="0.25">
      <c r="B31" s="25" t="s">
        <v>29</v>
      </c>
      <c r="C31" s="97">
        <v>8.7209546463448695E-2</v>
      </c>
    </row>
    <row r="32" spans="1:3" ht="14.25" customHeight="1" x14ac:dyDescent="0.25">
      <c r="B32" s="25" t="s">
        <v>30</v>
      </c>
      <c r="C32" s="97">
        <v>0.55715987733112793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10.557169999999999</v>
      </c>
    </row>
    <row r="38" spans="1:5" ht="15" customHeight="1" x14ac:dyDescent="0.25">
      <c r="B38" s="11" t="s">
        <v>54</v>
      </c>
      <c r="C38" s="43">
        <v>15.31372</v>
      </c>
      <c r="D38" s="12"/>
      <c r="E38" s="13"/>
    </row>
    <row r="39" spans="1:5" ht="15" customHeight="1" x14ac:dyDescent="0.25">
      <c r="B39" s="11" t="s">
        <v>80</v>
      </c>
      <c r="C39" s="43">
        <v>16.61721</v>
      </c>
      <c r="D39" s="12"/>
      <c r="E39" s="12"/>
    </row>
    <row r="40" spans="1:5" ht="15" customHeight="1" x14ac:dyDescent="0.25">
      <c r="B40" s="11" t="s">
        <v>55</v>
      </c>
      <c r="C40" s="98">
        <v>0.84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7.9162E-3</v>
      </c>
      <c r="D45" s="12"/>
    </row>
    <row r="46" spans="1:5" ht="15.75" customHeight="1" x14ac:dyDescent="0.25">
      <c r="B46" s="11" t="s">
        <v>70</v>
      </c>
      <c r="C46" s="45">
        <v>8.5058299999999989E-2</v>
      </c>
      <c r="D46" s="12"/>
    </row>
    <row r="47" spans="1:5" ht="15.75" customHeight="1" x14ac:dyDescent="0.25">
      <c r="B47" s="11" t="s">
        <v>78</v>
      </c>
      <c r="C47" s="45">
        <v>7.3472499999999996E-2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0.55043399999999998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0.1869435005</v>
      </c>
    </row>
    <row r="63" spans="1:4" ht="15.75" customHeight="1" x14ac:dyDescent="0.3">
      <c r="A63" s="4"/>
    </row>
  </sheetData>
  <sheetProtection algorithmName="SHA-512" hashValue="eMut1sqxX9QJtBYIOhcm76Rzw1uUl0MQihswYTX9TyX7zrNUGTBCoyHpdnt6P8W1rnaSV5KbianPFddCpjUOyw==" saltValue="K1c7kmBbbFAPrgzsJ2tt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58788.5</v>
      </c>
      <c r="C2" s="49">
        <v>10136</v>
      </c>
      <c r="D2" s="49">
        <v>29851.5</v>
      </c>
      <c r="E2" s="49">
        <v>71008</v>
      </c>
      <c r="F2" s="49">
        <v>88924</v>
      </c>
      <c r="G2" s="17">
        <f t="shared" ref="G2:G13" si="0">C2+D2+E2+F2</f>
        <v>199919.5</v>
      </c>
      <c r="H2" s="17">
        <f t="shared" ref="H2:H13" si="1">(B2 + stillbirth*B2/(1000-stillbirth))/(1-abortion)</f>
        <v>67502.985147957574</v>
      </c>
      <c r="I2" s="17">
        <f t="shared" ref="I2:I13" si="2">G2-H2</f>
        <v>132416.51485204243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11600</v>
      </c>
      <c r="C3" s="50">
        <v>43204</v>
      </c>
      <c r="D3" s="50">
        <v>93240.5</v>
      </c>
      <c r="E3" s="50">
        <v>94393.5</v>
      </c>
      <c r="F3" s="50">
        <v>93335.5</v>
      </c>
      <c r="G3" s="17">
        <f t="shared" si="0"/>
        <v>324173.5</v>
      </c>
      <c r="H3" s="17">
        <f t="shared" si="1"/>
        <v>13319.520445602591</v>
      </c>
      <c r="I3" s="17">
        <f t="shared" si="2"/>
        <v>310853.9795543974</v>
      </c>
    </row>
    <row r="4" spans="1:9" ht="15.75" customHeight="1" x14ac:dyDescent="0.25">
      <c r="A4" s="5">
        <f t="shared" si="3"/>
        <v>2026</v>
      </c>
      <c r="B4" s="49">
        <v>11408</v>
      </c>
      <c r="C4" s="50">
        <v>41266.5</v>
      </c>
      <c r="D4" s="50">
        <v>92212</v>
      </c>
      <c r="E4" s="50">
        <v>95458.5</v>
      </c>
      <c r="F4" s="50">
        <v>92813</v>
      </c>
      <c r="G4" s="17">
        <f t="shared" si="0"/>
        <v>321750</v>
      </c>
      <c r="H4" s="17">
        <f t="shared" si="1"/>
        <v>13099.059417537444</v>
      </c>
      <c r="I4" s="17">
        <f t="shared" si="2"/>
        <v>308650.94058246253</v>
      </c>
    </row>
    <row r="5" spans="1:9" ht="15.75" customHeight="1" x14ac:dyDescent="0.25">
      <c r="A5" s="5">
        <f t="shared" si="3"/>
        <v>2027</v>
      </c>
      <c r="B5" s="49">
        <v>11254</v>
      </c>
      <c r="C5" s="50">
        <v>39244</v>
      </c>
      <c r="D5" s="50">
        <v>91138</v>
      </c>
      <c r="E5" s="50">
        <v>96268</v>
      </c>
      <c r="F5" s="50">
        <v>92012.5</v>
      </c>
      <c r="G5" s="17">
        <f t="shared" si="0"/>
        <v>318662.5</v>
      </c>
      <c r="H5" s="17">
        <f t="shared" si="1"/>
        <v>12922.231301276859</v>
      </c>
      <c r="I5" s="17">
        <f t="shared" si="2"/>
        <v>305740.26869872311</v>
      </c>
    </row>
    <row r="6" spans="1:9" ht="15.75" customHeight="1" x14ac:dyDescent="0.25">
      <c r="A6" s="5">
        <f t="shared" si="3"/>
        <v>2028</v>
      </c>
      <c r="B6" s="49">
        <v>11119</v>
      </c>
      <c r="C6" s="50">
        <v>37296.5</v>
      </c>
      <c r="D6" s="50">
        <v>89932.5</v>
      </c>
      <c r="E6" s="50">
        <v>96596</v>
      </c>
      <c r="F6" s="50">
        <v>91110.5</v>
      </c>
      <c r="G6" s="17">
        <f t="shared" si="0"/>
        <v>314935.5</v>
      </c>
      <c r="H6" s="17">
        <f t="shared" si="1"/>
        <v>12767.219640918551</v>
      </c>
      <c r="I6" s="17">
        <f t="shared" si="2"/>
        <v>302168.28035908146</v>
      </c>
    </row>
    <row r="7" spans="1:9" ht="15.75" customHeight="1" x14ac:dyDescent="0.25">
      <c r="A7" s="5">
        <f t="shared" si="3"/>
        <v>2029</v>
      </c>
      <c r="B7" s="49">
        <v>10975</v>
      </c>
      <c r="C7" s="50">
        <v>35530.5</v>
      </c>
      <c r="D7" s="50">
        <v>88538.5</v>
      </c>
      <c r="E7" s="50">
        <v>96306.000000000015</v>
      </c>
      <c r="F7" s="50">
        <v>90271.5</v>
      </c>
      <c r="G7" s="17">
        <f t="shared" si="0"/>
        <v>310646.5</v>
      </c>
      <c r="H7" s="17">
        <f t="shared" si="1"/>
        <v>12601.873869869692</v>
      </c>
      <c r="I7" s="17">
        <f t="shared" si="2"/>
        <v>298044.62613013032</v>
      </c>
    </row>
    <row r="8" spans="1:9" ht="15.75" customHeight="1" x14ac:dyDescent="0.25">
      <c r="A8" s="5">
        <f t="shared" si="3"/>
        <v>2030</v>
      </c>
      <c r="B8" s="49">
        <v>10842</v>
      </c>
      <c r="C8" s="50">
        <v>33995.5</v>
      </c>
      <c r="D8" s="50">
        <v>86881</v>
      </c>
      <c r="E8" s="50">
        <v>95487</v>
      </c>
      <c r="F8" s="50">
        <v>89620</v>
      </c>
      <c r="G8" s="17">
        <f t="shared" si="0"/>
        <v>305983.5</v>
      </c>
      <c r="H8" s="17">
        <f t="shared" si="1"/>
        <v>12449.158678553733</v>
      </c>
      <c r="I8" s="17">
        <f t="shared" si="2"/>
        <v>293534.34132144629</v>
      </c>
    </row>
    <row r="9" spans="1:9" ht="15.75" customHeight="1" x14ac:dyDescent="0.25">
      <c r="A9" s="5">
        <f t="shared" si="3"/>
        <v>2031</v>
      </c>
      <c r="B9" s="49">
        <v>10733</v>
      </c>
      <c r="C9" s="50">
        <v>32700.000000000004</v>
      </c>
      <c r="D9" s="50">
        <v>84942.5</v>
      </c>
      <c r="E9" s="50">
        <v>94337</v>
      </c>
      <c r="F9" s="50">
        <v>89259</v>
      </c>
      <c r="G9" s="17">
        <f t="shared" si="0"/>
        <v>301238.5</v>
      </c>
      <c r="H9" s="17">
        <f t="shared" si="1"/>
        <v>12324.001115745914</v>
      </c>
      <c r="I9" s="17">
        <f t="shared" si="2"/>
        <v>288914.49888425408</v>
      </c>
    </row>
    <row r="10" spans="1:9" ht="15.75" customHeight="1" x14ac:dyDescent="0.25">
      <c r="A10" s="5">
        <f t="shared" si="3"/>
        <v>2032</v>
      </c>
      <c r="B10" s="49">
        <v>10610</v>
      </c>
      <c r="C10" s="50">
        <v>31641.5</v>
      </c>
      <c r="D10" s="50">
        <v>82709</v>
      </c>
      <c r="E10" s="50">
        <v>93036.5</v>
      </c>
      <c r="F10" s="50">
        <v>89275.5</v>
      </c>
      <c r="G10" s="17">
        <f t="shared" si="0"/>
        <v>296662.5</v>
      </c>
      <c r="H10" s="17">
        <f t="shared" si="1"/>
        <v>12182.768269641681</v>
      </c>
      <c r="I10" s="17">
        <f t="shared" si="2"/>
        <v>284479.73173035833</v>
      </c>
    </row>
    <row r="11" spans="1:9" ht="15.75" customHeight="1" x14ac:dyDescent="0.25">
      <c r="A11" s="5">
        <f t="shared" si="3"/>
        <v>2033</v>
      </c>
      <c r="B11" s="49">
        <v>10501</v>
      </c>
      <c r="C11" s="50">
        <v>30822</v>
      </c>
      <c r="D11" s="50">
        <v>80132</v>
      </c>
      <c r="E11" s="50">
        <v>91780.499999999985</v>
      </c>
      <c r="F11" s="50">
        <v>89735.5</v>
      </c>
      <c r="G11" s="17">
        <f t="shared" si="0"/>
        <v>292470</v>
      </c>
      <c r="H11" s="17">
        <f t="shared" si="1"/>
        <v>12057.610706833861</v>
      </c>
      <c r="I11" s="17">
        <f t="shared" si="2"/>
        <v>280412.38929316611</v>
      </c>
    </row>
    <row r="12" spans="1:9" ht="15.75" customHeight="1" x14ac:dyDescent="0.25">
      <c r="A12" s="5">
        <f t="shared" si="3"/>
        <v>2034</v>
      </c>
      <c r="B12" s="49">
        <v>10377</v>
      </c>
      <c r="C12" s="50">
        <v>30248.5</v>
      </c>
      <c r="D12" s="50">
        <v>77240.5</v>
      </c>
      <c r="E12" s="50">
        <v>90693.999999999985</v>
      </c>
      <c r="F12" s="50">
        <v>90620</v>
      </c>
      <c r="G12" s="17">
        <f t="shared" si="0"/>
        <v>288803</v>
      </c>
      <c r="H12" s="17">
        <f t="shared" si="1"/>
        <v>11915.229626208456</v>
      </c>
      <c r="I12" s="17">
        <f t="shared" si="2"/>
        <v>276887.77037379157</v>
      </c>
    </row>
    <row r="13" spans="1:9" ht="15.75" customHeight="1" x14ac:dyDescent="0.25">
      <c r="A13" s="5">
        <f t="shared" si="3"/>
        <v>2035</v>
      </c>
      <c r="B13" s="49">
        <v>10261</v>
      </c>
      <c r="C13" s="50">
        <v>29925</v>
      </c>
      <c r="D13" s="50">
        <v>74146.5</v>
      </c>
      <c r="E13" s="50">
        <v>89771.5</v>
      </c>
      <c r="F13" s="50">
        <v>91757.5</v>
      </c>
      <c r="G13" s="17">
        <f t="shared" si="0"/>
        <v>285600.5</v>
      </c>
      <c r="H13" s="17">
        <f t="shared" si="1"/>
        <v>11782.034421752431</v>
      </c>
      <c r="I13" s="17">
        <f t="shared" si="2"/>
        <v>273818.46557824756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Z6fNgS+Ph4FlsDStfggvs7F1dCsVykpDlk9wPLjZv+wsUDM+VgaAr9AoS68e8EFHScyK3eqqKqwQnynUu8vQg==" saltValue="W4+3VXvaIAmT34TYVHfX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0.15682070000000009</v>
      </c>
    </row>
    <row r="5" spans="1:8" ht="15.75" customHeight="1" x14ac:dyDescent="0.25">
      <c r="B5" s="19" t="s">
        <v>114</v>
      </c>
      <c r="C5" s="99">
        <v>2.2275900000000019E-2</v>
      </c>
    </row>
    <row r="6" spans="1:8" ht="15.75" customHeight="1" x14ac:dyDescent="0.25">
      <c r="B6" s="19" t="s">
        <v>110</v>
      </c>
      <c r="C6" s="99">
        <v>0.13210289999999991</v>
      </c>
    </row>
    <row r="7" spans="1:8" ht="15.75" customHeight="1" x14ac:dyDescent="0.25">
      <c r="B7" s="19" t="s">
        <v>115</v>
      </c>
      <c r="C7" s="99">
        <v>0.37545339999999938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0.20337500000000061</v>
      </c>
    </row>
    <row r="10" spans="1:8" ht="15.75" customHeight="1" x14ac:dyDescent="0.25">
      <c r="B10" s="19" t="s">
        <v>113</v>
      </c>
      <c r="C10" s="99">
        <v>0.1099721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121</v>
      </c>
      <c r="C15" s="99">
        <v>0.34611365740641248</v>
      </c>
      <c r="D15" s="99">
        <v>0.34611365740641248</v>
      </c>
      <c r="E15" s="99">
        <v>0.34611365740641248</v>
      </c>
      <c r="F15" s="99">
        <v>0.34611365740641248</v>
      </c>
    </row>
    <row r="16" spans="1:8" ht="15.75" customHeight="1" x14ac:dyDescent="0.25">
      <c r="B16" s="19" t="s">
        <v>2</v>
      </c>
      <c r="C16" s="99">
        <v>5.3756684136619749E-2</v>
      </c>
      <c r="D16" s="99">
        <v>5.3756684136619749E-2</v>
      </c>
      <c r="E16" s="99">
        <v>5.3756684136619749E-2</v>
      </c>
      <c r="F16" s="99">
        <v>5.3756684136619749E-2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0.19577964262154141</v>
      </c>
      <c r="D20" s="99">
        <v>0.19577964262154141</v>
      </c>
      <c r="E20" s="99">
        <v>0.19577964262154141</v>
      </c>
      <c r="F20" s="99">
        <v>0.19577964262154141</v>
      </c>
    </row>
    <row r="21" spans="1:8" ht="15.75" customHeight="1" x14ac:dyDescent="0.25">
      <c r="B21" s="19" t="s">
        <v>107</v>
      </c>
      <c r="C21" s="99">
        <v>0.19692985592178661</v>
      </c>
      <c r="D21" s="99">
        <v>0.19692985592178661</v>
      </c>
      <c r="E21" s="99">
        <v>0.19692985592178661</v>
      </c>
      <c r="F21" s="99">
        <v>0.19692985592178661</v>
      </c>
    </row>
    <row r="22" spans="1:8" ht="15.75" customHeight="1" x14ac:dyDescent="0.25">
      <c r="B22" s="19" t="s">
        <v>118</v>
      </c>
      <c r="C22" s="99">
        <v>0.1620155783074424</v>
      </c>
      <c r="D22" s="99">
        <v>0.1620155783074424</v>
      </c>
      <c r="E22" s="99">
        <v>0.1620155783074424</v>
      </c>
      <c r="F22" s="99">
        <v>0.1620155783074424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6.3877289000000004E-2</v>
      </c>
    </row>
    <row r="27" spans="1:8" ht="15.75" customHeight="1" x14ac:dyDescent="0.25">
      <c r="B27" s="19" t="s">
        <v>108</v>
      </c>
      <c r="C27" s="99">
        <v>0.18947355599999999</v>
      </c>
    </row>
    <row r="28" spans="1:8" ht="15.75" customHeight="1" x14ac:dyDescent="0.25">
      <c r="B28" s="19" t="s">
        <v>122</v>
      </c>
      <c r="C28" s="99">
        <v>0.10579783700000001</v>
      </c>
    </row>
    <row r="29" spans="1:8" ht="15.75" customHeight="1" x14ac:dyDescent="0.25">
      <c r="B29" s="19" t="s">
        <v>105</v>
      </c>
      <c r="C29" s="99">
        <v>0.116400988</v>
      </c>
    </row>
    <row r="30" spans="1:8" ht="15.75" customHeight="1" x14ac:dyDescent="0.25">
      <c r="B30" s="19" t="s">
        <v>4</v>
      </c>
      <c r="C30" s="99">
        <v>5.2355714999999997E-2</v>
      </c>
    </row>
    <row r="31" spans="1:8" ht="15.75" customHeight="1" x14ac:dyDescent="0.25">
      <c r="B31" s="19" t="s">
        <v>99</v>
      </c>
      <c r="C31" s="99">
        <v>0.15858112799999999</v>
      </c>
    </row>
    <row r="32" spans="1:8" ht="15.75" customHeight="1" x14ac:dyDescent="0.25">
      <c r="B32" s="19" t="s">
        <v>104</v>
      </c>
      <c r="C32" s="99">
        <v>7.0649206000000006E-2</v>
      </c>
    </row>
    <row r="33" spans="2:3" ht="15.75" customHeight="1" x14ac:dyDescent="0.25">
      <c r="B33" s="19" t="s">
        <v>119</v>
      </c>
      <c r="C33" s="99">
        <v>0.120208732</v>
      </c>
    </row>
    <row r="34" spans="2:3" ht="15.75" customHeight="1" x14ac:dyDescent="0.25">
      <c r="B34" s="19" t="s">
        <v>106</v>
      </c>
      <c r="C34" s="99">
        <v>0.122655549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7W6AxX6kDCy2TON6wSCPpbPFTMZabklCYxvwsF5Rs0msKwJgftKGyVMo/dZPTbERtBSEx8WEML/Sm84kCcjR4Q==" saltValue="aHe0BNDLPNBy3wEXZGtC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Zq5cNR84mHeuvJc5rfeJKWCgMZ8T5z3//JzLZv3zql+xYOX+cQMVQlJCVz4+1ey0iIe49FtJ/6y/ohtIoAziA==" saltValue="GPcwsZ/8FZMtS3emXsl6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rznNDYfVrS39wDc3Ta+fD2NkZPv8MO2OOFAuFk6/i2TGkM00EX3yttPEwk/Lcsse+ahuwtD4816lz8AaIpGp3g==" saltValue="grJeh5Hiy2oeHAJQLw0oS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4jL54R0cxdWDyY6Jacxu6R3ij0NfM1t8U8iPho9yXTN6s8sL6GcIkipE/LGn+WU0xF+IZlvMJz9Hu1Z0ldD/Q==" saltValue="5lX4oGvWzHwETRjFRHTEn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10256.2303053576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0.43796000000000002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0.50395999999999996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1.2022314368715165E-2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98486.193859999999</v>
      </c>
      <c r="C22" s="107">
        <v>98398.145480000007</v>
      </c>
      <c r="D22" s="107">
        <v>98290.220329999996</v>
      </c>
      <c r="E22" s="107">
        <v>97995.128710000005</v>
      </c>
      <c r="F22" s="107">
        <v>97516.871679999997</v>
      </c>
      <c r="G22" s="107">
        <v>96917.520149999997</v>
      </c>
      <c r="H22" s="107">
        <v>96155.702959999995</v>
      </c>
      <c r="I22" s="107">
        <v>95030.257169999997</v>
      </c>
      <c r="J22" s="107">
        <v>93432.272140000001</v>
      </c>
      <c r="K22" s="107">
        <v>91113.732019999996</v>
      </c>
      <c r="L22" s="107">
        <v>87870.201350000003</v>
      </c>
      <c r="M22" s="107">
        <v>83555.23616</v>
      </c>
      <c r="N22" s="107">
        <v>77455.434309999997</v>
      </c>
      <c r="O22" s="107">
        <v>69115.379050000003</v>
      </c>
    </row>
  </sheetData>
  <sheetProtection algorithmName="SHA-512" hashValue="HrIPfiX+xTkyon8eHdkJ3aeUDPXVGukT4EgaVX1XWHz35IyIpZjbyS3yAWXIhZJAgoZJA1oumpSoNoszrLFiMw==" saltValue="sLvSQNJpXGIQYXr02eaq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c8i+ozuxrt2wizC9ZeA8+AW6I15gviNWeI4a2wDrNc5LMkDljSZ8J6b9XQOXRBCEosrNLo4rFN6oM2fzC2QQQ==" saltValue="AGlh0p8ang4564yFcpcT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wRfIwh8x2t5r2c61tg1Xt2LrPeDhWCiDBMbq2PlBrAPDonFevqviyz7rr7VLLHlriOZsfILQycpRRBVXZBhlw==" saltValue="MQqYPJ8OIucw8ijykojb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13.79687476693295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13.79687476693295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13.79687476693295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13.79687476693295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13.79687476693295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22.037631612682791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4.7697722391868336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0.70361648160000001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StS5ZCHjViMcB269SNRN10b/iLhtS4eMweYQGbLkA9MR/xy6ZsCeN8UMynQjos9El31cu4JpNoIaNJCwhSJ9vQ==" saltValue="9sEzfh4AkihOc7FX+lSW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/LKrxnr7WVa5n9CnK+ohbphmiZ+3zvg9pnLas3WOwiGV7ANSpl3Mo/ENwEKsglataKGyTDABS6Z4QhUJzaiHQ==" saltValue="7q3bHTdTTNLkWJMsOTHp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mbnn3tL6e8oD4Gtexz/0SuGpqk1zc2auCabDuu2Qz8btdRUwsoiRQ/38aWcUmSIwVDBayTfoXzADEBTlSxUkg==" saltValue="/7hoVAnaJTU7pmxVrZsF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/6/IR+ycqh5jUDOyTYAkATgCaL5xxKJi/6abw/Cn4J+ezzmrT5rxXWPg2Oa9rS5CPsys6KvuXakrjFskts3ikg==" saltValue="vSUHgTvayLLwKUsjBz/1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nebzBHx4dZuak44qAVTmNTsbtozQmL/LhV+BJp5yUrZnmD0NVWbBb7rhyUNAeo6fjrgtaQ0KcfnaCj17URUPA==" saltValue="8+CGaU6v3oifGOn0tgGr4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2MTa3OcPuJ3RhwT1CQewr40iaOw19mMYNk3pT559CVOjRc2H2E3khjJI7366od/Y35BDAO4VAlran/Y9kAhoxA==" saltValue="97N/ZJzxV1IGL+846g4P6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uDPw74X6MEVJAdMkCUT2akS+U5EfQVQ+h5QSsDJlJv7LC6ZIHec42zUoOqtWpzNgysvFS9fP5Q4EERerPqF/A==" saltValue="SH1njIu3bKUf1h9KoOn3N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LWA+mEPwKuOqGrk+YSEdaAKc20NAAp38Zvqa4i2IJvR0CSdl97RUDXivrTXSwx9lMUl5l5PbGdD6mYOj5FQBQ==" saltValue="sL7N46C9cXsBUC6br7Va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jBOQkDNyeYj7kUJW/jV1OI2W4fh+AKZge/eW5BhdTG5qHEP/e8sTFacIustLBExSbx9tCV4oMv05MWbWwm/vVw==" saltValue="9v6POGTFgmZj5wMK+pRN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bWaykkP58ZjeYyCwUO928JkGaG40WPPILAabRBmW89TwA3lXbzNKb0rb12Et+ioxUVCF01x5jff0qlYW41YYdw==" saltValue="eRjLnsrMgSoUnJ83rNaEV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H+9Let03asRF/2/7Gpl36KoDLrqr49zvqCLPq3OR0YUdHqsb7qpQa9aH6qwE8Z4cFKLzZ4WKo04wWsxHuqb3g==" saltValue="HYlUPoUzLg0UAWisNDBMl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XO0qQfz99Kvj0H5lFSfH78ExLoxU1QFCCGw47zpfk/5eIkz82E0Pj3W/DC7+8phkeeHs4wOMPzcu7fhHhW4Cw==" saltValue="Px24R6q09Pci42BqHQlq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9+OHP4o3ULD+qDLYk/SlC7f0R6LU0IE9HAOALmXiUhvtetgjtzgOsRHGfqN0dUC2UjigeF0FU+JEBI08QrTfQ==" saltValue="NlTCnKBdCPY/zNwIQhyw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kJvu4LezfRyvA2vHdEpPx62+QQ0HFiOnrGQpZQDT9qKK2HHgwPnrZP827mQkCLlIu1wM9fD7IgOLuPw/HIOZg==" saltValue="eKEQ8781Jw7N5GlXDEt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xdxmHN8T7amk/Buu9JHNTFtsUNUy+ESqdJenYjqxwi7zmECrSS79FwBJCvDKnvZdY2gI5jOO1sTTZoLIz1kbA==" saltValue="gq5cboWopOA4KVOIvNE3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ktGCL0+CGr5vq2mRtNiUMUEA0XRn4+Z+LRR6QbceQcejfmaXwmCDnO3XNXsrhSBuoC5yAjJpMFRCcenQEsXug==" saltValue="3yVWT1UVnzC6MmDxgL47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g6Mc2QEHa/7/jPcSctUPbheieAgI5C5mPlRM7xQ+EY6I5f0Fhp7dbQoeSv4PP1bw06sj3RbdeO0eTCHFfx1QQ==" saltValue="PlDZqH6hscwxQzUD1+Nh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u6CPDW3/Dn4hWvrlhkzmPFoc08+DDRh60XTzTEqEwL0+qYzyeC7X/3ulMlZCugPjHlk+gq5Ffm0DezufcaqEw==" saltValue="9TSLfDvBue7vtYTqdOuG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jMM/XSBi5/hdhtQ+ci2qUMM8ONf3OQhgvMutVm73ejGoRt2sBw5YrYaG7W0ZDLY2B/4RRPhdb1pafjwdtaMcA==" saltValue="NGuugTE+DdxhpJDdIzpyF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