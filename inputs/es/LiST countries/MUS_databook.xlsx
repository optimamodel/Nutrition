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D69BA9B3-5D16-4736-9F20-462897C9D6A8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I39" i="2" s="1"/>
  <c r="H38" i="2"/>
  <c r="G38" i="2"/>
  <c r="I38" i="2" s="1"/>
  <c r="A34" i="2"/>
  <c r="A31" i="2"/>
  <c r="A26" i="2"/>
  <c r="A24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2" i="2" l="1"/>
  <c r="I8" i="2"/>
  <c r="I6" i="2"/>
  <c r="I12" i="2"/>
  <c r="A35" i="2"/>
  <c r="A36" i="2"/>
  <c r="I13" i="2"/>
  <c r="A37" i="2"/>
  <c r="A19" i="2"/>
  <c r="A22" i="2"/>
  <c r="I3" i="2"/>
  <c r="I9" i="2"/>
  <c r="A23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<sst xmlns="http://schemas.openxmlformats.org/spreadsheetml/2006/main" count="2169" uniqueCount="373">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</sst>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65672</v>
      </c>
    </row>
    <row r="8" spans="1:3" ht="15" customHeight="1" x14ac:dyDescent="0.25">
      <c r="B8" s="5" t="s">
        <v>63</v>
      </c>
      <c r="C8" s="44">
        <v>0.10299999999999999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0.87056100000000003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0.125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9.3299999999999994E-2</v>
      </c>
    </row>
    <row r="24" spans="1:3" ht="15" customHeight="1" x14ac:dyDescent="0.25">
      <c r="B24" s="15" t="s">
        <v>65</v>
      </c>
      <c r="C24" s="45">
        <v>0.53799999999999992</v>
      </c>
    </row>
    <row r="25" spans="1:3" ht="15" customHeight="1" x14ac:dyDescent="0.25">
      <c r="B25" s="15" t="s">
        <v>66</v>
      </c>
      <c r="C25" s="45">
        <v>0.34460000000000002</v>
      </c>
    </row>
    <row r="26" spans="1:3" ht="15" customHeight="1" x14ac:dyDescent="0.25">
      <c r="B26" s="15" t="s">
        <v>67</v>
      </c>
      <c r="C26" s="45">
        <v>2.41E-2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0.28578644131437603</v>
      </c>
    </row>
    <row r="30" spans="1:3" ht="14.25" customHeight="1" x14ac:dyDescent="0.25">
      <c r="B30" s="25" t="s">
        <v>82</v>
      </c>
      <c r="C30" s="97">
        <v>6.9844134891047002E-2</v>
      </c>
    </row>
    <row r="31" spans="1:3" ht="14.25" customHeight="1" x14ac:dyDescent="0.25">
      <c r="B31" s="25" t="s">
        <v>29</v>
      </c>
      <c r="C31" s="97">
        <v>8.7209546463448695E-2</v>
      </c>
    </row>
    <row r="32" spans="1:3" ht="14.25" customHeight="1" x14ac:dyDescent="0.25">
      <c r="B32" s="25" t="s">
        <v>30</v>
      </c>
      <c r="C32" s="97">
        <v>0.55715987733112793</v>
      </c>
    </row>
    <row r="33" spans="1:5" ht="13.25" customHeight="1" x14ac:dyDescent="0.25">
      <c r="B33" s="27" t="s">
        <v>79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10.557169999999999</v>
      </c>
    </row>
    <row r="38" spans="1:5" ht="15" customHeight="1" x14ac:dyDescent="0.25">
      <c r="B38" s="11" t="s">
        <v>54</v>
      </c>
      <c r="C38" s="43">
        <v>15.31372</v>
      </c>
      <c r="D38" s="12"/>
      <c r="E38" s="13"/>
    </row>
    <row r="39" spans="1:5" ht="15" customHeight="1" x14ac:dyDescent="0.25">
      <c r="B39" s="11" t="s">
        <v>80</v>
      </c>
      <c r="C39" s="43">
        <v>16.61721</v>
      </c>
      <c r="D39" s="12"/>
      <c r="E39" s="12"/>
    </row>
    <row r="40" spans="1:5" ht="15" customHeight="1" x14ac:dyDescent="0.25">
      <c r="B40" s="11" t="s">
        <v>55</v>
      </c>
      <c r="C40" s="98">
        <v>0.84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10.338380000000001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7.9162E-3</v>
      </c>
      <c r="D45" s="12"/>
    </row>
    <row r="46" spans="1:5" ht="15.75" customHeight="1" x14ac:dyDescent="0.25">
      <c r="B46" s="11" t="s">
        <v>70</v>
      </c>
      <c r="C46" s="45">
        <v>8.5058299999999989E-2</v>
      </c>
      <c r="D46" s="12"/>
    </row>
    <row r="47" spans="1:5" ht="15.75" customHeight="1" x14ac:dyDescent="0.25">
      <c r="B47" s="11" t="s">
        <v>78</v>
      </c>
      <c r="C47" s="45">
        <v>7.3472499999999996E-2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3.3</v>
      </c>
      <c r="D51" s="12"/>
    </row>
    <row r="52" spans="1:4" ht="15" customHeight="1" x14ac:dyDescent="0.25">
      <c r="B52" s="11" t="s">
        <v>32</v>
      </c>
      <c r="C52" s="98">
        <v>3.3</v>
      </c>
    </row>
    <row r="53" spans="1:4" ht="15.75" customHeight="1" x14ac:dyDescent="0.25">
      <c r="B53" s="11" t="s">
        <v>35</v>
      </c>
      <c r="C53" s="98">
        <v>3.3</v>
      </c>
    </row>
    <row r="54" spans="1:4" ht="15.75" customHeight="1" x14ac:dyDescent="0.25">
      <c r="B54" s="11" t="s">
        <v>33</v>
      </c>
      <c r="C54" s="98">
        <v>3.3</v>
      </c>
    </row>
    <row r="55" spans="1:4" ht="15.75" customHeight="1" x14ac:dyDescent="0.25">
      <c r="B55" s="11" t="s">
        <v>34</v>
      </c>
      <c r="C55" s="98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0.55043399999999998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0.1869435005</v>
      </c>
    </row>
    <row r="63" spans="1:4" ht="15.75" customHeight="1" x14ac:dyDescent="0.3">
      <c r="A63" s="4"/>
    </row>
  </sheetData>
  <sheetProtection algorithmName="SHA-512" hashValue="qXJ+HfYRBy92LeAE/zkVoKJMJNMv0iRxNn+RWLsyROSNhMPOtjbbrpTyNW+MV6DJ10pDsfTcyyRmOi/kXUFBnw==" saltValue="gRCx1dl3Q6zCUW1sd6S4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11600</v>
      </c>
      <c r="C2" s="49">
        <v>43204</v>
      </c>
      <c r="D2" s="49">
        <v>93240.5</v>
      </c>
      <c r="E2" s="49">
        <v>94393.5</v>
      </c>
      <c r="F2" s="49">
        <v>93335.5</v>
      </c>
      <c r="G2" s="17">
        <f t="shared" ref="G2:G13" si="0">C2+D2+E2+F2</f>
        <v>324173.5</v>
      </c>
      <c r="H2" s="17">
        <f t="shared" ref="H2:H13" si="1">(B2 + stillbirth*B2/(1000-stillbirth))/(1-abortion)</f>
        <v>13319.520445602591</v>
      </c>
      <c r="I2" s="17">
        <f t="shared" ref="I2:I13" si="2">G2-H2</f>
        <v>310853.9795543974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11408</v>
      </c>
      <c r="C3" s="50">
        <v>41266.5</v>
      </c>
      <c r="D3" s="50">
        <v>92212</v>
      </c>
      <c r="E3" s="50">
        <v>95458.5</v>
      </c>
      <c r="F3" s="50">
        <v>92813</v>
      </c>
      <c r="G3" s="17">
        <f t="shared" si="0"/>
        <v>321750</v>
      </c>
      <c r="H3" s="17">
        <f t="shared" si="1"/>
        <v>13099.059417537444</v>
      </c>
      <c r="I3" s="17">
        <f t="shared" si="2"/>
        <v>308650.94058246253</v>
      </c>
    </row>
    <row r="4" spans="1:9" ht="15.75" customHeight="1" x14ac:dyDescent="0.25">
      <c r="A4" s="5">
        <f t="shared" si="3"/>
        <v>2026</v>
      </c>
      <c r="B4" s="49">
        <v>11254</v>
      </c>
      <c r="C4" s="50">
        <v>39244</v>
      </c>
      <c r="D4" s="50">
        <v>91138</v>
      </c>
      <c r="E4" s="50">
        <v>96268</v>
      </c>
      <c r="F4" s="50">
        <v>92012.5</v>
      </c>
      <c r="G4" s="17">
        <f t="shared" si="0"/>
        <v>318662.5</v>
      </c>
      <c r="H4" s="17">
        <f t="shared" si="1"/>
        <v>12922.231301276859</v>
      </c>
      <c r="I4" s="17">
        <f t="shared" si="2"/>
        <v>305740.26869872311</v>
      </c>
    </row>
    <row r="5" spans="1:9" ht="15.75" customHeight="1" x14ac:dyDescent="0.25">
      <c r="A5" s="5">
        <f t="shared" si="3"/>
        <v>2027</v>
      </c>
      <c r="B5" s="49">
        <v>11119</v>
      </c>
      <c r="C5" s="50">
        <v>37296.5</v>
      </c>
      <c r="D5" s="50">
        <v>89932.5</v>
      </c>
      <c r="E5" s="50">
        <v>96596</v>
      </c>
      <c r="F5" s="50">
        <v>91110.5</v>
      </c>
      <c r="G5" s="17">
        <f t="shared" si="0"/>
        <v>314935.5</v>
      </c>
      <c r="H5" s="17">
        <f t="shared" si="1"/>
        <v>12767.219640918551</v>
      </c>
      <c r="I5" s="17">
        <f t="shared" si="2"/>
        <v>302168.28035908146</v>
      </c>
    </row>
    <row r="6" spans="1:9" ht="15.75" customHeight="1" x14ac:dyDescent="0.25">
      <c r="A6" s="5">
        <f t="shared" si="3"/>
        <v>2028</v>
      </c>
      <c r="B6" s="49">
        <v>10975</v>
      </c>
      <c r="C6" s="50">
        <v>35530.5</v>
      </c>
      <c r="D6" s="50">
        <v>88538.5</v>
      </c>
      <c r="E6" s="50">
        <v>96306.000000000015</v>
      </c>
      <c r="F6" s="50">
        <v>90271.5</v>
      </c>
      <c r="G6" s="17">
        <f t="shared" si="0"/>
        <v>310646.5</v>
      </c>
      <c r="H6" s="17">
        <f t="shared" si="1"/>
        <v>12601.873869869692</v>
      </c>
      <c r="I6" s="17">
        <f t="shared" si="2"/>
        <v>298044.62613013032</v>
      </c>
    </row>
    <row r="7" spans="1:9" ht="15.75" customHeight="1" x14ac:dyDescent="0.25">
      <c r="A7" s="5">
        <f t="shared" si="3"/>
        <v>2029</v>
      </c>
      <c r="B7" s="49">
        <v>10842</v>
      </c>
      <c r="C7" s="50">
        <v>33995.5</v>
      </c>
      <c r="D7" s="50">
        <v>86881</v>
      </c>
      <c r="E7" s="50">
        <v>95487</v>
      </c>
      <c r="F7" s="50">
        <v>89620</v>
      </c>
      <c r="G7" s="17">
        <f t="shared" si="0"/>
        <v>305983.5</v>
      </c>
      <c r="H7" s="17">
        <f t="shared" si="1"/>
        <v>12449.158678553733</v>
      </c>
      <c r="I7" s="17">
        <f t="shared" si="2"/>
        <v>293534.34132144629</v>
      </c>
    </row>
    <row r="8" spans="1:9" ht="15.75" customHeight="1" x14ac:dyDescent="0.25">
      <c r="A8" s="5">
        <f t="shared" si="3"/>
        <v>2030</v>
      </c>
      <c r="B8" s="49">
        <v>10733</v>
      </c>
      <c r="C8" s="50">
        <v>32700</v>
      </c>
      <c r="D8" s="50">
        <v>84942.5</v>
      </c>
      <c r="E8" s="50">
        <v>94337</v>
      </c>
      <c r="F8" s="50">
        <v>89259</v>
      </c>
      <c r="G8" s="17">
        <f t="shared" si="0"/>
        <v>301238.5</v>
      </c>
      <c r="H8" s="17">
        <f t="shared" si="1"/>
        <v>12324.001115745914</v>
      </c>
      <c r="I8" s="17">
        <f t="shared" si="2"/>
        <v>288914.49888425408</v>
      </c>
    </row>
    <row r="9" spans="1:9" ht="15.75" customHeight="1" x14ac:dyDescent="0.25">
      <c r="A9" s="5">
        <f t="shared" si="3"/>
        <v>2031</v>
      </c>
      <c r="B9" s="49">
        <v>10610</v>
      </c>
      <c r="C9" s="50">
        <v>31641.5</v>
      </c>
      <c r="D9" s="50">
        <v>82709</v>
      </c>
      <c r="E9" s="50">
        <v>93036.5</v>
      </c>
      <c r="F9" s="50">
        <v>89275.5</v>
      </c>
      <c r="G9" s="17">
        <f t="shared" si="0"/>
        <v>296662.5</v>
      </c>
      <c r="H9" s="17">
        <f t="shared" si="1"/>
        <v>12182.768269641681</v>
      </c>
      <c r="I9" s="17">
        <f t="shared" si="2"/>
        <v>284479.73173035833</v>
      </c>
    </row>
    <row r="10" spans="1:9" ht="15.75" customHeight="1" x14ac:dyDescent="0.25">
      <c r="A10" s="5">
        <f t="shared" si="3"/>
        <v>2032</v>
      </c>
      <c r="B10" s="49">
        <v>10501</v>
      </c>
      <c r="C10" s="50">
        <v>30822</v>
      </c>
      <c r="D10" s="50">
        <v>80132</v>
      </c>
      <c r="E10" s="50">
        <v>91780.499999999985</v>
      </c>
      <c r="F10" s="50">
        <v>89735.5</v>
      </c>
      <c r="G10" s="17">
        <f t="shared" si="0"/>
        <v>292470</v>
      </c>
      <c r="H10" s="17">
        <f t="shared" si="1"/>
        <v>12057.610706833861</v>
      </c>
      <c r="I10" s="17">
        <f t="shared" si="2"/>
        <v>280412.38929316611</v>
      </c>
    </row>
    <row r="11" spans="1:9" ht="15.75" customHeight="1" x14ac:dyDescent="0.25">
      <c r="A11" s="5">
        <f t="shared" si="3"/>
        <v>2033</v>
      </c>
      <c r="B11" s="49">
        <v>10377</v>
      </c>
      <c r="C11" s="50">
        <v>30248.5</v>
      </c>
      <c r="D11" s="50">
        <v>77240.5</v>
      </c>
      <c r="E11" s="50">
        <v>90693.999999999985</v>
      </c>
      <c r="F11" s="50">
        <v>90620</v>
      </c>
      <c r="G11" s="17">
        <f t="shared" si="0"/>
        <v>288803</v>
      </c>
      <c r="H11" s="17">
        <f t="shared" si="1"/>
        <v>11915.229626208456</v>
      </c>
      <c r="I11" s="17">
        <f t="shared" si="2"/>
        <v>276887.77037379157</v>
      </c>
    </row>
    <row r="12" spans="1:9" ht="15.75" customHeight="1" x14ac:dyDescent="0.25">
      <c r="A12" s="5">
        <f t="shared" si="3"/>
        <v>2034</v>
      </c>
      <c r="B12" s="49">
        <v>10261</v>
      </c>
      <c r="C12" s="50">
        <v>29925</v>
      </c>
      <c r="D12" s="50">
        <v>74146.5</v>
      </c>
      <c r="E12" s="50">
        <v>89771.5</v>
      </c>
      <c r="F12" s="50">
        <v>91757.5</v>
      </c>
      <c r="G12" s="17">
        <f t="shared" si="0"/>
        <v>285600.5</v>
      </c>
      <c r="H12" s="17">
        <f t="shared" si="1"/>
        <v>11782.034421752431</v>
      </c>
      <c r="I12" s="17">
        <f t="shared" si="2"/>
        <v>273818.46557824756</v>
      </c>
    </row>
    <row r="13" spans="1:9" ht="15.75" customHeight="1" x14ac:dyDescent="0.25">
      <c r="A13" s="5">
        <f t="shared" si="3"/>
        <v>2035</v>
      </c>
      <c r="B13" s="49">
        <v>10136</v>
      </c>
      <c r="C13" s="50">
        <v>29851.5</v>
      </c>
      <c r="D13" s="50">
        <v>71008</v>
      </c>
      <c r="E13" s="50">
        <v>88924</v>
      </c>
      <c r="F13" s="50">
        <v>92895.999999999985</v>
      </c>
      <c r="G13" s="17">
        <f t="shared" si="0"/>
        <v>282679.5</v>
      </c>
      <c r="H13" s="17">
        <f t="shared" si="1"/>
        <v>11638.50510660585</v>
      </c>
      <c r="I13" s="17">
        <f t="shared" si="2"/>
        <v>271040.99489339418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u73638wMDbO2t8huMkm7OhKDCr78RqvChthN7R6JFwBHMwnNL9IoldFLzZ4jQZky6veH84GORIZiOwrkiqNzg==" saltValue="DGnGNL95w+GARLuuZlWNz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0.15682070000000009</v>
      </c>
    </row>
    <row r="5" spans="1:8" ht="15.75" customHeight="1" x14ac:dyDescent="0.25">
      <c r="B5" s="19" t="s">
        <v>114</v>
      </c>
      <c r="C5" s="99">
        <v>2.2275900000000019E-2</v>
      </c>
    </row>
    <row r="6" spans="1:8" ht="15.75" customHeight="1" x14ac:dyDescent="0.25">
      <c r="B6" s="19" t="s">
        <v>110</v>
      </c>
      <c r="C6" s="99">
        <v>0.13210289999999991</v>
      </c>
    </row>
    <row r="7" spans="1:8" ht="15.75" customHeight="1" x14ac:dyDescent="0.25">
      <c r="B7" s="19" t="s">
        <v>115</v>
      </c>
      <c r="C7" s="99">
        <v>0.37545339999999938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0.20337500000000061</v>
      </c>
    </row>
    <row r="10" spans="1:8" ht="15.75" customHeight="1" x14ac:dyDescent="0.25">
      <c r="B10" s="19" t="s">
        <v>113</v>
      </c>
      <c r="C10" s="99">
        <v>0.1099721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4.5404581606197217E-2</v>
      </c>
      <c r="D14" s="55">
        <v>4.5404581606197217E-2</v>
      </c>
      <c r="E14" s="55">
        <v>4.5404581606197217E-2</v>
      </c>
      <c r="F14" s="55">
        <v>4.5404581606197217E-2</v>
      </c>
    </row>
    <row r="15" spans="1:8" ht="15.75" customHeight="1" x14ac:dyDescent="0.25">
      <c r="B15" s="19" t="s">
        <v>121</v>
      </c>
      <c r="C15" s="99">
        <v>0.34611365740641248</v>
      </c>
      <c r="D15" s="99">
        <v>0.34611365740641248</v>
      </c>
      <c r="E15" s="99">
        <v>0.34611365740641248</v>
      </c>
      <c r="F15" s="99">
        <v>0.34611365740641248</v>
      </c>
    </row>
    <row r="16" spans="1:8" ht="15.75" customHeight="1" x14ac:dyDescent="0.25">
      <c r="B16" s="19" t="s">
        <v>2</v>
      </c>
      <c r="C16" s="99">
        <v>5.3756684136619749E-2</v>
      </c>
      <c r="D16" s="99">
        <v>5.3756684136619749E-2</v>
      </c>
      <c r="E16" s="99">
        <v>5.3756684136619749E-2</v>
      </c>
      <c r="F16" s="99">
        <v>5.3756684136619749E-2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98</v>
      </c>
      <c r="C20" s="99">
        <v>0.19577964262154141</v>
      </c>
      <c r="D20" s="99">
        <v>0.19577964262154141</v>
      </c>
      <c r="E20" s="99">
        <v>0.19577964262154141</v>
      </c>
      <c r="F20" s="99">
        <v>0.19577964262154141</v>
      </c>
    </row>
    <row r="21" spans="1:8" ht="15.75" customHeight="1" x14ac:dyDescent="0.25">
      <c r="B21" s="19" t="s">
        <v>107</v>
      </c>
      <c r="C21" s="99">
        <v>0.19692985592178661</v>
      </c>
      <c r="D21" s="99">
        <v>0.19692985592178661</v>
      </c>
      <c r="E21" s="99">
        <v>0.19692985592178661</v>
      </c>
      <c r="F21" s="99">
        <v>0.19692985592178661</v>
      </c>
    </row>
    <row r="22" spans="1:8" ht="15.75" customHeight="1" x14ac:dyDescent="0.25">
      <c r="B22" s="19" t="s">
        <v>118</v>
      </c>
      <c r="C22" s="99">
        <v>0.1620155783074424</v>
      </c>
      <c r="D22" s="99">
        <v>0.1620155783074424</v>
      </c>
      <c r="E22" s="99">
        <v>0.1620155783074424</v>
      </c>
      <c r="F22" s="99">
        <v>0.1620155783074424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6.3877289000000004E-2</v>
      </c>
    </row>
    <row r="27" spans="1:8" ht="15.75" customHeight="1" x14ac:dyDescent="0.25">
      <c r="B27" s="19" t="s">
        <v>108</v>
      </c>
      <c r="C27" s="99">
        <v>0.18947355599999999</v>
      </c>
    </row>
    <row r="28" spans="1:8" ht="15.75" customHeight="1" x14ac:dyDescent="0.25">
      <c r="B28" s="19" t="s">
        <v>122</v>
      </c>
      <c r="C28" s="99">
        <v>0.10579783700000001</v>
      </c>
    </row>
    <row r="29" spans="1:8" ht="15.75" customHeight="1" x14ac:dyDescent="0.25">
      <c r="B29" s="19" t="s">
        <v>105</v>
      </c>
      <c r="C29" s="99">
        <v>0.116400988</v>
      </c>
    </row>
    <row r="30" spans="1:8" ht="15.75" customHeight="1" x14ac:dyDescent="0.25">
      <c r="B30" s="19" t="s">
        <v>4</v>
      </c>
      <c r="C30" s="99">
        <v>5.2355714999999997E-2</v>
      </c>
    </row>
    <row r="31" spans="1:8" ht="15.75" customHeight="1" x14ac:dyDescent="0.25">
      <c r="B31" s="19" t="s">
        <v>99</v>
      </c>
      <c r="C31" s="99">
        <v>0.15858112799999999</v>
      </c>
    </row>
    <row r="32" spans="1:8" ht="15.75" customHeight="1" x14ac:dyDescent="0.25">
      <c r="B32" s="19" t="s">
        <v>104</v>
      </c>
      <c r="C32" s="99">
        <v>7.0649206000000006E-2</v>
      </c>
    </row>
    <row r="33" spans="2:3" ht="15.75" customHeight="1" x14ac:dyDescent="0.25">
      <c r="B33" s="19" t="s">
        <v>119</v>
      </c>
      <c r="C33" s="99">
        <v>0.120208732</v>
      </c>
    </row>
    <row r="34" spans="2:3" ht="15.75" customHeight="1" x14ac:dyDescent="0.25">
      <c r="B34" s="19" t="s">
        <v>106</v>
      </c>
      <c r="C34" s="99">
        <v>0.122655549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NDVuu5bMlTjhpZo5I08OPhEeJykMCPTsku7W2cCppMHhp5YGSAOVVLWXdnTdiADKRBKrI/R5tSYgqYasgJ7u0w==" saltValue="CEwmod0NOw22qYgn0FfLp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129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125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126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138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0.50235673049999996</v>
      </c>
      <c r="D14" s="54">
        <v>0.47946105178800003</v>
      </c>
      <c r="E14" s="54">
        <v>0.47946105178800003</v>
      </c>
      <c r="F14" s="54">
        <v>0.29359077824300001</v>
      </c>
      <c r="G14" s="54">
        <v>0.29359077824300001</v>
      </c>
      <c r="H14" s="45">
        <v>0.29299999999999998</v>
      </c>
      <c r="I14" s="55">
        <v>0.29299999999999998</v>
      </c>
      <c r="J14" s="55">
        <v>0.29299999999999998</v>
      </c>
      <c r="K14" s="55">
        <v>0.29299999999999998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0.27651422459603697</v>
      </c>
      <c r="D15" s="52">
        <f t="shared" si="0"/>
        <v>0.26391166457987597</v>
      </c>
      <c r="E15" s="52">
        <f t="shared" si="0"/>
        <v>0.26391166457987597</v>
      </c>
      <c r="F15" s="52">
        <f t="shared" si="0"/>
        <v>0.16160234643140745</v>
      </c>
      <c r="G15" s="52">
        <f t="shared" si="0"/>
        <v>0.16160234643140745</v>
      </c>
      <c r="H15" s="52">
        <f t="shared" si="0"/>
        <v>0.16127716199999997</v>
      </c>
      <c r="I15" s="52">
        <f t="shared" si="0"/>
        <v>0.16127716199999997</v>
      </c>
      <c r="J15" s="52">
        <f t="shared" si="0"/>
        <v>0.16127716199999997</v>
      </c>
      <c r="K15" s="52">
        <f t="shared" si="0"/>
        <v>0.16127716199999997</v>
      </c>
      <c r="L15" s="52">
        <f t="shared" si="0"/>
        <v>0.13760849999999999</v>
      </c>
      <c r="M15" s="52">
        <f t="shared" si="0"/>
        <v>0.13760849999999999</v>
      </c>
      <c r="N15" s="52">
        <f t="shared" si="0"/>
        <v>0.13760849999999999</v>
      </c>
      <c r="O15" s="52">
        <f t="shared" si="0"/>
        <v>0.13760849999999999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jNlYmKUtcYDv9e/7tXWFPb6KDeMQ3g5dhvxWSuIKC2am1+3oaB8igZZMWnwJVPGBGwenDB/JYvbFRXnam/9YQ==" saltValue="R6AmKOFtN9JcNUt9gmTq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0.71099749285714298</v>
      </c>
      <c r="D2" s="53">
        <v>0.49434740714285702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0.162410978571429</v>
      </c>
      <c r="D3" s="53">
        <v>0.18356257142857099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0.107555923809524</v>
      </c>
      <c r="D4" s="53">
        <v>0.30326668809523799</v>
      </c>
      <c r="E4" s="53">
        <v>0.96036435581395296</v>
      </c>
      <c r="F4" s="53">
        <v>0.79145990697674407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1.9035604761904024E-2</v>
      </c>
      <c r="D5" s="52">
        <f t="shared" si="0"/>
        <v>1.882333333333408E-2</v>
      </c>
      <c r="E5" s="52">
        <f>1-SUM(E2:E4)</f>
        <v>3.9635644186047037E-2</v>
      </c>
      <c r="F5" s="52">
        <f>1-SUM(F2:F4)</f>
        <v>0.20854009302325593</v>
      </c>
      <c r="G5" s="52">
        <f>1-SUM(G2:G4)</f>
        <v>1</v>
      </c>
    </row>
  </sheetData>
  <sheetProtection algorithmName="SHA-512" hashValue="67yYN0qusOCiO1mPzRh4d9c0OHkYpR/bMhJTR0WZYUAu/Czg6GsvBI3AlnT2KV5+xSOr9/jrisoWCaQiJz2/iw==" saltValue="N7YQxGb3aaa4RCagg6YDa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uvXUGOQ77wclAlfgwfTrUUJOhV0whb2zEUVjk2KmBeuM43aWKj1zCz03LQMl60eZ8r9GUimKT/G5D5gb/Csjw==" saltValue="UqeCPsjSr4Z9hChwKPvl8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10256.2303053576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0.43796000000000002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0.50395999999999996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1.2022314368715165E-2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98486.193859999999</v>
      </c>
      <c r="C22" s="107">
        <v>98398.145480000007</v>
      </c>
      <c r="D22" s="107">
        <v>98290.220329999996</v>
      </c>
      <c r="E22" s="107">
        <v>97995.128710000005</v>
      </c>
      <c r="F22" s="107">
        <v>97516.871679999997</v>
      </c>
      <c r="G22" s="107">
        <v>96917.520149999997</v>
      </c>
      <c r="H22" s="107">
        <v>96155.702959999995</v>
      </c>
      <c r="I22" s="107">
        <v>95030.257169999997</v>
      </c>
      <c r="J22" s="107">
        <v>93432.272140000001</v>
      </c>
      <c r="K22" s="107">
        <v>91113.732019999996</v>
      </c>
      <c r="L22" s="107">
        <v>87870.201350000003</v>
      </c>
      <c r="M22" s="107">
        <v>83555.23616</v>
      </c>
      <c r="N22" s="107">
        <v>77455.434309999997</v>
      </c>
      <c r="O22" s="107">
        <v>69115.379050000003</v>
      </c>
    </row>
  </sheetData>
  <sheetProtection algorithmName="SHA-512" hashValue="H8EtZpVvbWEesB7IURpn7EW8oL2MC22qoP177ky8/kFma9OmNBDnKt1rR/mvQVWOwUh7UeMVVJ5ustK04Eqreg==" saltValue="1NbGEH9hc6TtrfHDj8YVW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EKfCUskdfFzVHgQOQozykti/bvFnnk0TgSJsoHI1oLMn5hhfaEOmvDFN6UN2oQW1CUwoJznVUL7aQRjDsiPLLA==" saltValue="CwSB+7WYIcTJTDBKg8/7v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aEHcL0FQUGjkUSaw+v5Rmwk/3oyzGmAHM0SgocRuJbfmuMeXee48qmGlQiOUECiN3Vt+Klew2JfmyxmUqYNr1w==" saltValue="BzEG15arCcj5fwoWGjCAx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6.8747382117628364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0.2139553248340432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13.79687476693295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13.79687476693295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13.79687476693295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13.79687476693295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0.31330000000000002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13.79687476693295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</v>
      </c>
      <c r="C18" s="96">
        <v>0.95</v>
      </c>
      <c r="D18" s="56">
        <v>6.8747382117628364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</v>
      </c>
      <c r="C19" s="96">
        <v>0.95</v>
      </c>
      <c r="D19" s="56">
        <v>22.037631612682791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6.8747382117628364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4.7697722391868336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0.70361648160000001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2.2145073762257557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Y2COTT7WzukZlr3314BvBTJHeEUmzexLSoE8iXKMM3xEYpjKrX/WU6Sx/EAMTgUpclgY21/W6b9TKMHsPi9h8A==" saltValue="HV0SgiabUDHF0V/jOCPp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aORDg0JtgMseGjEcXGtg/+vAUDDanCRlQIZUIwyyctBpLn4QSDDIW6WWeuxTxvYcaedCqCuVyzXGJzUA32qBfw==" saltValue="qwv1RMu4zkZY3yvqyBNaG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itzhm6cTLuWWKfzgamBWW/zFoIm4ykF871FrQdFR+YAzWdrUYQTnZxxHDbX9xso7NBhYtR6CO77k9T3a4COjnA==" saltValue="v+qhUPtrHcjqWAviX61AN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236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sheetProtection algorithmName="SHA-512" hashValue="XX/auAaZNMXpXK0x6Z5gLyrJc3NVL59YSfnBsYNX/KCFv6KHyMtb1O8zqS9cg0VKzfoaOiQiYIszZ1DTBSfT/g==" saltValue="ft28kHDOdaiRo1OsVbPyv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0.10299999999999999</v>
      </c>
      <c r="F2" s="60">
        <f>food_insecure</f>
        <v>0.10299999999999999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0.10299999999999999</v>
      </c>
      <c r="F5" s="60">
        <f>food_insecure</f>
        <v>0.10299999999999999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0.10299999999999999</v>
      </c>
      <c r="F8" s="60">
        <f>food_insecure</f>
        <v>0.10299999999999999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0.10299999999999999</v>
      </c>
      <c r="F9" s="60">
        <f>food_insecure</f>
        <v>0.10299999999999999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0.10299999999999999</v>
      </c>
      <c r="I15" s="60">
        <f t="shared" si="0"/>
        <v>0.10299999999999999</v>
      </c>
      <c r="J15" s="60">
        <f t="shared" si="0"/>
        <v>0.10299999999999999</v>
      </c>
      <c r="K15" s="60">
        <f t="shared" si="0"/>
        <v>0.10299999999999999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0.10299999999999999</v>
      </c>
      <c r="I16" s="60">
        <f t="shared" si="0"/>
        <v>0.10299999999999999</v>
      </c>
      <c r="J16" s="60">
        <f t="shared" si="0"/>
        <v>0.10299999999999999</v>
      </c>
      <c r="K16" s="60">
        <f t="shared" si="0"/>
        <v>0.10299999999999999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0.125</v>
      </c>
      <c r="M24" s="60">
        <f>famplan_unmet_need</f>
        <v>0.125</v>
      </c>
      <c r="N24" s="60">
        <f>famplan_unmet_need</f>
        <v>0.125</v>
      </c>
      <c r="O24" s="60">
        <f>famplan_unmet_need</f>
        <v>0.125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6.622487556999998E-2</v>
      </c>
      <c r="M25" s="60">
        <f>(1-food_insecure)*(0.49)+food_insecure*(0.7)</f>
        <v>0.51163000000000003</v>
      </c>
      <c r="N25" s="60">
        <f>(1-food_insecure)*(0.49)+food_insecure*(0.7)</f>
        <v>0.51163000000000003</v>
      </c>
      <c r="O25" s="60">
        <f>(1-food_insecure)*(0.49)+food_insecure*(0.7)</f>
        <v>0.51163000000000003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2.8382089529999995E-2</v>
      </c>
      <c r="M26" s="60">
        <f>(1-food_insecure)*(0.21)+food_insecure*(0.3)</f>
        <v>0.21927000000000002</v>
      </c>
      <c r="N26" s="60">
        <f>(1-food_insecure)*(0.21)+food_insecure*(0.3)</f>
        <v>0.21927000000000002</v>
      </c>
      <c r="O26" s="60">
        <f>(1-food_insecure)*(0.21)+food_insecure*(0.3)</f>
        <v>0.21927000000000002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3.4832034899999996E-2</v>
      </c>
      <c r="M27" s="60">
        <f>(1-food_insecure)*(0.3)</f>
        <v>0.26910000000000001</v>
      </c>
      <c r="N27" s="60">
        <f>(1-food_insecure)*(0.3)</f>
        <v>0.26910000000000001</v>
      </c>
      <c r="O27" s="60">
        <f>(1-food_insecure)*(0.3)</f>
        <v>0.26910000000000001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0.87056100000000003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Ch1tqvHzTw0hM15V4KfZanT5vCmXqwVUqQS7OWYB+MP4GWe4n871meWtWgGNI5jbDhD6G8oCdi1sDNyUJv0AA==" saltValue="zX+UzEOeXq30+gyDIfWmk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aEzj0RO5GV2t/giROBXTpJlCtBPBRECUV61ukqeATE/P0OVBwmTqndW+vvTLA5GpEymTF05opEpzVtATkPuwMA==" saltValue="LZ4rE+52V+F+uU9qDePO/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6EdDI8LEMq5SkdnhkTKRQXSQWb84sm7znJ+NEGAhXjHhAaoWHwQIbmEJPYf0HQNSXx34JoyC7HY7bIhovDGLaA==" saltValue="uB+PH6pW4I9ta/tzNOAF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kMLuu0LdxHB3Sqm7It5JZODid+W67WuE/B4sjVvoGLYtIg/A3lsu05m5T8ywojpXtfbwwO+8JuwFAoAQ26XFA==" saltValue="roo42pjowpF7Uh4MwXMW5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+043JddgGG+MNcfIQOfwns5++iibGqR21Vp0zvCpqesbYCVbnz79l07944Mj3ksb/oQRoMgL6Z/9KDQa5RsGxA==" saltValue="R33H0c/wLnfWjEcXytFnd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Ywa6RTkLWmoF3KbdQinnDlUg9nskzOAx11rTBXPz4tKqBMgJZf9sHMWLiCZf5FWqdjNmD4No4611TLNuG34qDQ==" saltValue="XlRpTSZA7nHwvDQP+RqTH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/wYuJVUBAzBOYlp9EZbETcSdOZ7WyRQ7L3u/9v9qOxLxZFdgGKAy549MoXp5falqkPkCfhAlVDt+9++WlNoAg==" saltValue="//DZhlX8rzij2wFZ5/4YC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DU5c3uU5Eyo5fsjS9pMUnc3oTkf1NLbecYn2Hwd++KTKwr7dVsQIec39+jnPCMAp2EwJZHOFN8M4cdPFmMiBg==" saltValue="sa6SYJLfp1qE+VJEUOTu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KosoUocaNqZdKYoaj+5kP6DZIhqD6hZ0K60KB4Gr02w+pGYAw6tEiswIpCy6h2CFHukIAHgcqG5AAsRrq31zpA==" saltValue="efTeByhFGiZ4cn2GkadD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821ckW6+bKNkGtOMkscJ/4xuelXLbed73j+dIKUxyNNpORvYUSuRh51L5//357Vq14rid9lPEiGphuFL3AtSZA==" saltValue="T99K4PSTrfxhBVH0nBTK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TSKawdAB7YaiOgJxA0H8YwpPwF5h5DTyVSBHgAEkoT3K4mhpIAJz7oBxDe+lcHY62ZGN5sseFPQsDe6lreGOQ==" saltValue="wsDojNMKTRa/b3aLHn9Y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jVGQjJzuV7TLnLmsWFUETyDNyUkaa2BStxUpZHeZ7vdCiOmyfRBPi+zwzbpa9ifSWUNHtXCJZ+j0bYilAx5/g==" saltValue="ClYPTe6hy3VObKFIxD/a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RxS8LlwvEO8YJPJ5SwsG5txM5a5S8v4SOdkMP1shf2oiihP7nhxTNsH1NdIdXpnRLjE9EhmUF/f7MwFjxU4Drw==" saltValue="zGs41DFjEDLxGXxJ6FxtT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hGSVh249x9nOgaSpJTn5rqlocVZ3eic/FKH08ueKr9b/3fk10Phj2nxBw2fo9ezRbvr27Ke7L2AhU2taU10PKw==" saltValue="cLBBM1SnvYuHUewoMWDa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/VzGkZMjhqoCeYoUq/PExwSc3nXfUGJ9ctY1D/8NOIS3DPdFRLgPklIGOS708tnL7EwoCzyV48j6jIanlrXB4g==" saltValue="1CL6e0VeeYO6TBVfJVR0B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2026-04-29T03:10:16Z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