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F66B5235-0D29-4211-834D-6E2C02344E6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A31" i="2"/>
  <c r="A26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I2" i="2"/>
  <c r="I6" i="2"/>
  <c r="A19" i="2"/>
  <c r="A37" i="2"/>
  <c r="I4" i="2"/>
  <c r="I8" i="2"/>
  <c r="I12" i="2"/>
  <c r="A25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<sst xmlns="http://schemas.openxmlformats.org/spreadsheetml/2006/main" count="2159" uniqueCount="372">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</sst>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2494092</v>
      </c>
    </row>
    <row r="8" spans="1:3" ht="15" customHeight="1" x14ac:dyDescent="0.25">
      <c r="B8" s="5" t="s">
        <v>63</v>
      </c>
      <c r="C8" s="44">
        <v>0.39</v>
      </c>
    </row>
    <row r="9" spans="1:3" ht="15" customHeight="1" x14ac:dyDescent="0.25">
      <c r="B9" s="5" t="s">
        <v>62</v>
      </c>
      <c r="C9" s="45">
        <v>0.97</v>
      </c>
    </row>
    <row r="10" spans="1:3" ht="15" customHeight="1" x14ac:dyDescent="0.25">
      <c r="B10" s="5" t="s">
        <v>75</v>
      </c>
      <c r="C10" s="45">
        <v>0.39424589999999998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0.25600000000000001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7.9199999999999993E-2</v>
      </c>
    </row>
    <row r="24" spans="1:3" ht="15" customHeight="1" x14ac:dyDescent="0.25">
      <c r="B24" s="15" t="s">
        <v>65</v>
      </c>
      <c r="C24" s="45">
        <v>0.43070000000000003</v>
      </c>
    </row>
    <row r="25" spans="1:3" ht="15" customHeight="1" x14ac:dyDescent="0.25">
      <c r="B25" s="15" t="s">
        <v>66</v>
      </c>
      <c r="C25" s="45">
        <v>0.37840000000000001</v>
      </c>
    </row>
    <row r="26" spans="1:3" ht="15" customHeight="1" x14ac:dyDescent="0.25">
      <c r="B26" s="15" t="s">
        <v>67</v>
      </c>
      <c r="C26" s="45">
        <v>0.11169999999999999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0.242578564948118</v>
      </c>
    </row>
    <row r="30" spans="1:3" ht="14.25" customHeight="1" x14ac:dyDescent="0.25">
      <c r="B30" s="25" t="s">
        <v>82</v>
      </c>
      <c r="C30" s="99">
        <v>2.9913637194387301E-2</v>
      </c>
    </row>
    <row r="31" spans="1:3" ht="14.25" customHeight="1" x14ac:dyDescent="0.25">
      <c r="B31" s="25" t="s">
        <v>29</v>
      </c>
      <c r="C31" s="99">
        <v>7.7460320403722499E-2</v>
      </c>
    </row>
    <row r="32" spans="1:3" ht="14.25" customHeight="1" x14ac:dyDescent="0.25">
      <c r="B32" s="25" t="s">
        <v>30</v>
      </c>
      <c r="C32" s="99">
        <v>0.650047477453772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21.085819999999998</v>
      </c>
    </row>
    <row r="38" spans="1:5" ht="15" customHeight="1" x14ac:dyDescent="0.25">
      <c r="B38" s="11" t="s">
        <v>54</v>
      </c>
      <c r="C38" s="43">
        <v>29.13533</v>
      </c>
      <c r="D38" s="12"/>
      <c r="E38" s="13"/>
    </row>
    <row r="39" spans="1:5" ht="15" customHeight="1" x14ac:dyDescent="0.25">
      <c r="B39" s="11" t="s">
        <v>80</v>
      </c>
      <c r="C39" s="43">
        <v>38.59986</v>
      </c>
      <c r="D39" s="12"/>
      <c r="E39" s="12"/>
    </row>
    <row r="40" spans="1:5" ht="15" customHeight="1" x14ac:dyDescent="0.25">
      <c r="B40" s="11" t="s">
        <v>55</v>
      </c>
      <c r="C40" s="100">
        <v>2.61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19.10577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7.9200999999999994E-3</v>
      </c>
      <c r="D45" s="12"/>
    </row>
    <row r="46" spans="1:5" ht="15.75" customHeight="1" x14ac:dyDescent="0.25">
      <c r="B46" s="11" t="s">
        <v>70</v>
      </c>
      <c r="C46" s="45">
        <v>8.5099999999999995E-2</v>
      </c>
      <c r="D46" s="12"/>
    </row>
    <row r="47" spans="1:5" ht="15.75" customHeight="1" x14ac:dyDescent="0.25">
      <c r="B47" s="11" t="s">
        <v>78</v>
      </c>
      <c r="C47" s="45">
        <v>7.3468800000000001E-2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2.86</v>
      </c>
      <c r="D51" s="12"/>
    </row>
    <row r="52" spans="1:4" ht="15" customHeight="1" x14ac:dyDescent="0.25">
      <c r="B52" s="11" t="s">
        <v>32</v>
      </c>
      <c r="C52" s="100">
        <v>2.86</v>
      </c>
    </row>
    <row r="53" spans="1:4" ht="15.75" customHeight="1" x14ac:dyDescent="0.25">
      <c r="B53" s="11" t="s">
        <v>35</v>
      </c>
      <c r="C53" s="100">
        <v>5.07</v>
      </c>
    </row>
    <row r="54" spans="1:4" ht="15.75" customHeight="1" x14ac:dyDescent="0.25">
      <c r="B54" s="11" t="s">
        <v>33</v>
      </c>
      <c r="C54" s="100">
        <v>5.1219999999999999</v>
      </c>
    </row>
    <row r="55" spans="1:4" ht="15.75" customHeight="1" x14ac:dyDescent="0.25">
      <c r="B55" s="11" t="s">
        <v>34</v>
      </c>
      <c r="C55" s="100">
        <v>2.6173333333333342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0.39979100000000012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0.18459738000000001</v>
      </c>
    </row>
    <row r="63" spans="1:4" ht="15.75" customHeight="1" x14ac:dyDescent="0.3">
      <c r="A63" s="4"/>
    </row>
  </sheetData>
  <sheetProtection algorithmName="SHA-512" hashValue="Z3HcFOyplo43khCnyaJ8oK/NJvizqeC2lVOXUW+stLhp6rSIc0ZBGpiMCPOmoeaRKwPoCh1b3HkmHPV++fwsZw==" saltValue="YVEoTCaTYKG9NFrua7ce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539970</v>
      </c>
      <c r="C2" s="49">
        <v>989993.5</v>
      </c>
      <c r="D2" s="49">
        <v>1661601.9999999998</v>
      </c>
      <c r="E2" s="49">
        <v>1192042.5</v>
      </c>
      <c r="F2" s="49">
        <v>802549.50000000012</v>
      </c>
      <c r="G2" s="17">
        <f t="shared" ref="G2:G13" si="0">C2+D2+E2+F2</f>
        <v>4646187.5</v>
      </c>
      <c r="H2" s="17">
        <f t="shared" ref="H2:H13" si="1">(B2 + stillbirth*B2/(1000-stillbirth))/(1-abortion)</f>
        <v>625553.9628643475</v>
      </c>
      <c r="I2" s="17">
        <f t="shared" ref="I2:I13" si="2">G2-H2</f>
        <v>4020633.5371356523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547717</v>
      </c>
      <c r="C3" s="50">
        <v>1007154.5</v>
      </c>
      <c r="D3" s="50">
        <v>1697374.5</v>
      </c>
      <c r="E3" s="50">
        <v>1237650</v>
      </c>
      <c r="F3" s="50">
        <v>837357</v>
      </c>
      <c r="G3" s="17">
        <f t="shared" si="0"/>
        <v>4779536</v>
      </c>
      <c r="H3" s="17">
        <f t="shared" si="1"/>
        <v>634528.84396942763</v>
      </c>
      <c r="I3" s="17">
        <f t="shared" si="2"/>
        <v>4145007.1560305725</v>
      </c>
    </row>
    <row r="4" spans="1:9" ht="15.75" customHeight="1" x14ac:dyDescent="0.25">
      <c r="A4" s="5">
        <f t="shared" si="3"/>
        <v>2026</v>
      </c>
      <c r="B4" s="49">
        <v>554508</v>
      </c>
      <c r="C4" s="50">
        <v>1024482</v>
      </c>
      <c r="D4" s="50">
        <v>1729664.4999999998</v>
      </c>
      <c r="E4" s="50">
        <v>1284886</v>
      </c>
      <c r="F4" s="50">
        <v>873574.5</v>
      </c>
      <c r="G4" s="17">
        <f t="shared" si="0"/>
        <v>4912607</v>
      </c>
      <c r="H4" s="17">
        <f t="shared" si="1"/>
        <v>642396.20134448865</v>
      </c>
      <c r="I4" s="17">
        <f t="shared" si="2"/>
        <v>4270210.7986555118</v>
      </c>
    </row>
    <row r="5" spans="1:9" ht="15.75" customHeight="1" x14ac:dyDescent="0.25">
      <c r="A5" s="5">
        <f t="shared" si="3"/>
        <v>2027</v>
      </c>
      <c r="B5" s="49">
        <v>561854</v>
      </c>
      <c r="C5" s="50">
        <v>1040532.5</v>
      </c>
      <c r="D5" s="50">
        <v>1759675.4999999998</v>
      </c>
      <c r="E5" s="50">
        <v>1333868</v>
      </c>
      <c r="F5" s="50">
        <v>910863</v>
      </c>
      <c r="G5" s="17">
        <f t="shared" si="0"/>
        <v>5044939</v>
      </c>
      <c r="H5" s="17">
        <f t="shared" si="1"/>
        <v>650906.52490172628</v>
      </c>
      <c r="I5" s="17">
        <f t="shared" si="2"/>
        <v>4394032.4750982737</v>
      </c>
    </row>
    <row r="6" spans="1:9" ht="15.75" customHeight="1" x14ac:dyDescent="0.25">
      <c r="A6" s="5">
        <f t="shared" si="3"/>
        <v>2028</v>
      </c>
      <c r="B6" s="49">
        <v>569729</v>
      </c>
      <c r="C6" s="50">
        <v>1053732</v>
      </c>
      <c r="D6" s="50">
        <v>1788448.5</v>
      </c>
      <c r="E6" s="50">
        <v>1384460</v>
      </c>
      <c r="F6" s="50">
        <v>948849.5</v>
      </c>
      <c r="G6" s="17">
        <f t="shared" si="0"/>
        <v>5175490</v>
      </c>
      <c r="H6" s="17">
        <f t="shared" si="1"/>
        <v>660029.69370287587</v>
      </c>
      <c r="I6" s="17">
        <f t="shared" si="2"/>
        <v>4515460.3062971244</v>
      </c>
    </row>
    <row r="7" spans="1:9" ht="15.75" customHeight="1" x14ac:dyDescent="0.25">
      <c r="A7" s="5">
        <f t="shared" si="3"/>
        <v>2029</v>
      </c>
      <c r="B7" s="49">
        <v>576223</v>
      </c>
      <c r="C7" s="50">
        <v>1063259</v>
      </c>
      <c r="D7" s="50">
        <v>1816497.5</v>
      </c>
      <c r="E7" s="50">
        <v>1436074</v>
      </c>
      <c r="F7" s="50">
        <v>987299.5</v>
      </c>
      <c r="G7" s="17">
        <f t="shared" si="0"/>
        <v>5303130</v>
      </c>
      <c r="H7" s="17">
        <f t="shared" si="1"/>
        <v>667552.97728315077</v>
      </c>
      <c r="I7" s="17">
        <f t="shared" si="2"/>
        <v>4635577.0227168491</v>
      </c>
    </row>
    <row r="8" spans="1:9" ht="15.75" customHeight="1" x14ac:dyDescent="0.25">
      <c r="A8" s="5">
        <f t="shared" si="3"/>
        <v>2030</v>
      </c>
      <c r="B8" s="49">
        <v>582352</v>
      </c>
      <c r="C8" s="50">
        <v>1069768</v>
      </c>
      <c r="D8" s="50">
        <v>1844063.5</v>
      </c>
      <c r="E8" s="50">
        <v>1487766</v>
      </c>
      <c r="F8" s="50">
        <v>1026365.4999999999</v>
      </c>
      <c r="G8" s="17">
        <f t="shared" si="0"/>
        <v>5427963</v>
      </c>
      <c r="H8" s="17">
        <f t="shared" si="1"/>
        <v>674653.40923010255</v>
      </c>
      <c r="I8" s="17">
        <f t="shared" si="2"/>
        <v>4753309.5907698972</v>
      </c>
    </row>
    <row r="9" spans="1:9" ht="15.75" customHeight="1" x14ac:dyDescent="0.25">
      <c r="A9" s="5">
        <f t="shared" si="3"/>
        <v>2031</v>
      </c>
      <c r="B9" s="49">
        <v>586157</v>
      </c>
      <c r="C9" s="50">
        <v>1074621</v>
      </c>
      <c r="D9" s="50">
        <v>1871230.5000000002</v>
      </c>
      <c r="E9" s="50">
        <v>1538317.5</v>
      </c>
      <c r="F9" s="50">
        <v>1066314</v>
      </c>
      <c r="G9" s="17">
        <f t="shared" si="0"/>
        <v>5550483</v>
      </c>
      <c r="H9" s="17">
        <f t="shared" si="1"/>
        <v>679061.49269529292</v>
      </c>
      <c r="I9" s="17">
        <f t="shared" si="2"/>
        <v>4871421.5073047075</v>
      </c>
    </row>
    <row r="10" spans="1:9" ht="15.75" customHeight="1" x14ac:dyDescent="0.25">
      <c r="A10" s="5">
        <f t="shared" si="3"/>
        <v>2032</v>
      </c>
      <c r="B10" s="49">
        <v>591275</v>
      </c>
      <c r="C10" s="50">
        <v>1079238.5</v>
      </c>
      <c r="D10" s="50">
        <v>1897502</v>
      </c>
      <c r="E10" s="50">
        <v>1586377.5</v>
      </c>
      <c r="F10" s="50">
        <v>1107338</v>
      </c>
      <c r="G10" s="17">
        <f t="shared" si="0"/>
        <v>5670456</v>
      </c>
      <c r="H10" s="17">
        <f t="shared" si="1"/>
        <v>684990.68354282097</v>
      </c>
      <c r="I10" s="17">
        <f t="shared" si="2"/>
        <v>4985465.3164571794</v>
      </c>
    </row>
    <row r="11" spans="1:9" ht="15.75" customHeight="1" x14ac:dyDescent="0.25">
      <c r="A11" s="5">
        <f t="shared" si="3"/>
        <v>2033</v>
      </c>
      <c r="B11" s="49">
        <v>594657</v>
      </c>
      <c r="C11" s="50">
        <v>1085101.5</v>
      </c>
      <c r="D11" s="50">
        <v>1922300</v>
      </c>
      <c r="E11" s="50">
        <v>1630815.5</v>
      </c>
      <c r="F11" s="50">
        <v>1149697.9999999998</v>
      </c>
      <c r="G11" s="17">
        <f t="shared" si="0"/>
        <v>5787915</v>
      </c>
      <c r="H11" s="17">
        <f t="shared" si="1"/>
        <v>688908.72251240676</v>
      </c>
      <c r="I11" s="17">
        <f t="shared" si="2"/>
        <v>5099006.2774875928</v>
      </c>
    </row>
    <row r="12" spans="1:9" ht="15.75" customHeight="1" x14ac:dyDescent="0.25">
      <c r="A12" s="5">
        <f t="shared" si="3"/>
        <v>2034</v>
      </c>
      <c r="B12" s="49">
        <v>598875</v>
      </c>
      <c r="C12" s="50">
        <v>1093224.5</v>
      </c>
      <c r="D12" s="50">
        <v>1945360</v>
      </c>
      <c r="E12" s="50">
        <v>1671012.4999999998</v>
      </c>
      <c r="F12" s="50">
        <v>1193609</v>
      </c>
      <c r="G12" s="17">
        <f t="shared" si="0"/>
        <v>5903206</v>
      </c>
      <c r="H12" s="17">
        <f t="shared" si="1"/>
        <v>693795.26549694629</v>
      </c>
      <c r="I12" s="17">
        <f t="shared" si="2"/>
        <v>5209410.7345030541</v>
      </c>
    </row>
    <row r="13" spans="1:9" ht="15.75" customHeight="1" x14ac:dyDescent="0.25">
      <c r="A13" s="5">
        <f t="shared" si="3"/>
        <v>2035</v>
      </c>
      <c r="B13" s="49">
        <v>601511</v>
      </c>
      <c r="C13" s="50">
        <v>1103819</v>
      </c>
      <c r="D13" s="50">
        <v>1966943.5</v>
      </c>
      <c r="E13" s="50">
        <v>1707273</v>
      </c>
      <c r="F13" s="50">
        <v>1239236.5</v>
      </c>
      <c r="G13" s="17">
        <f t="shared" si="0"/>
        <v>6017272</v>
      </c>
      <c r="H13" s="17">
        <f t="shared" si="1"/>
        <v>696849.06523787719</v>
      </c>
      <c r="I13" s="17">
        <f t="shared" si="2"/>
        <v>5320422.934762123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Et0PQFjkfEtqAfUhREscSROFDv4jm5rX1cLESbiM1vLjJ7ofFHXoRKoW4mNAO1MJQFesEtzyThQySyzX9Ryyw==" saltValue="v5ix3dtKOswEAorewCVc5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1.9163107671874811E-2</v>
      </c>
    </row>
    <row r="4" spans="1:8" ht="15.75" customHeight="1" x14ac:dyDescent="0.25">
      <c r="B4" s="19" t="s">
        <v>116</v>
      </c>
      <c r="C4" s="101">
        <v>6.6585652585627084E-2</v>
      </c>
    </row>
    <row r="5" spans="1:8" ht="15.75" customHeight="1" x14ac:dyDescent="0.25">
      <c r="B5" s="19" t="s">
        <v>114</v>
      </c>
      <c r="C5" s="101">
        <v>9.5974679115321399E-2</v>
      </c>
    </row>
    <row r="6" spans="1:8" ht="15.75" customHeight="1" x14ac:dyDescent="0.25">
      <c r="B6" s="19" t="s">
        <v>110</v>
      </c>
      <c r="C6" s="101">
        <v>0.2538181028161321</v>
      </c>
    </row>
    <row r="7" spans="1:8" ht="15.75" customHeight="1" x14ac:dyDescent="0.25">
      <c r="B7" s="19" t="s">
        <v>115</v>
      </c>
      <c r="C7" s="101">
        <v>0.38359173784406131</v>
      </c>
    </row>
    <row r="8" spans="1:8" ht="15.75" customHeight="1" x14ac:dyDescent="0.25">
      <c r="B8" s="19" t="s">
        <v>117</v>
      </c>
      <c r="C8" s="101">
        <v>2.9726612985585608E-3</v>
      </c>
    </row>
    <row r="9" spans="1:8" ht="15.75" customHeight="1" x14ac:dyDescent="0.25">
      <c r="B9" s="19" t="s">
        <v>111</v>
      </c>
      <c r="C9" s="101">
        <v>6.6210256446675886E-2</v>
      </c>
    </row>
    <row r="10" spans="1:8" ht="15.75" customHeight="1" x14ac:dyDescent="0.25">
      <c r="B10" s="19" t="s">
        <v>113</v>
      </c>
      <c r="C10" s="101">
        <v>0.1116838022217489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0.1857196729069864</v>
      </c>
      <c r="D14" s="55">
        <v>0.1857196729069864</v>
      </c>
      <c r="E14" s="55">
        <v>0.1857196729069864</v>
      </c>
      <c r="F14" s="55">
        <v>0.1857196729069864</v>
      </c>
    </row>
    <row r="15" spans="1:8" ht="15.75" customHeight="1" x14ac:dyDescent="0.25">
      <c r="B15" s="19" t="s">
        <v>121</v>
      </c>
      <c r="C15" s="101">
        <v>0.26208816969300658</v>
      </c>
      <c r="D15" s="101">
        <v>0.26208816969300658</v>
      </c>
      <c r="E15" s="101">
        <v>0.26208816969300658</v>
      </c>
      <c r="F15" s="101">
        <v>0.26208816969300658</v>
      </c>
    </row>
    <row r="16" spans="1:8" ht="15.75" customHeight="1" x14ac:dyDescent="0.25">
      <c r="B16" s="19" t="s">
        <v>2</v>
      </c>
      <c r="C16" s="101">
        <v>2.3929564889798131E-2</v>
      </c>
      <c r="D16" s="101">
        <v>2.3929564889798131E-2</v>
      </c>
      <c r="E16" s="101">
        <v>2.3929564889798131E-2</v>
      </c>
      <c r="F16" s="101">
        <v>2.3929564889798131E-2</v>
      </c>
    </row>
    <row r="17" spans="1:8" ht="15.75" customHeight="1" x14ac:dyDescent="0.25">
      <c r="B17" s="19" t="s">
        <v>109</v>
      </c>
      <c r="C17" s="101">
        <v>1.366540706556877E-2</v>
      </c>
      <c r="D17" s="101">
        <v>1.366540706556877E-2</v>
      </c>
      <c r="E17" s="101">
        <v>1.366540706556877E-2</v>
      </c>
      <c r="F17" s="101">
        <v>1.366540706556877E-2</v>
      </c>
    </row>
    <row r="18" spans="1:8" ht="15.75" customHeight="1" x14ac:dyDescent="0.25">
      <c r="B18" s="19" t="s">
        <v>3</v>
      </c>
      <c r="C18" s="101">
        <v>0.1121344881000229</v>
      </c>
      <c r="D18" s="101">
        <v>0.1121344881000229</v>
      </c>
      <c r="E18" s="101">
        <v>0.1121344881000229</v>
      </c>
      <c r="F18" s="101">
        <v>0.1121344881000229</v>
      </c>
    </row>
    <row r="19" spans="1:8" ht="15.75" customHeight="1" x14ac:dyDescent="0.25">
      <c r="B19" s="19" t="s">
        <v>120</v>
      </c>
      <c r="C19" s="101">
        <v>4.3931608499606992E-2</v>
      </c>
      <c r="D19" s="101">
        <v>4.3931608499606992E-2</v>
      </c>
      <c r="E19" s="101">
        <v>4.3931608499606992E-2</v>
      </c>
      <c r="F19" s="101">
        <v>4.3931608499606992E-2</v>
      </c>
    </row>
    <row r="20" spans="1:8" ht="15.75" customHeight="1" x14ac:dyDescent="0.25">
      <c r="B20" s="19" t="s">
        <v>98</v>
      </c>
      <c r="C20" s="101">
        <v>1.9269942667465779E-2</v>
      </c>
      <c r="D20" s="101">
        <v>1.9269942667465779E-2</v>
      </c>
      <c r="E20" s="101">
        <v>1.9269942667465779E-2</v>
      </c>
      <c r="F20" s="101">
        <v>1.9269942667465779E-2</v>
      </c>
    </row>
    <row r="21" spans="1:8" ht="15.75" customHeight="1" x14ac:dyDescent="0.25">
      <c r="B21" s="19" t="s">
        <v>107</v>
      </c>
      <c r="C21" s="101">
        <v>0.1453562135370326</v>
      </c>
      <c r="D21" s="101">
        <v>0.1453562135370326</v>
      </c>
      <c r="E21" s="101">
        <v>0.1453562135370326</v>
      </c>
      <c r="F21" s="101">
        <v>0.1453562135370326</v>
      </c>
    </row>
    <row r="22" spans="1:8" ht="15.75" customHeight="1" x14ac:dyDescent="0.25">
      <c r="B22" s="19" t="s">
        <v>118</v>
      </c>
      <c r="C22" s="101">
        <v>0.1939049326405119</v>
      </c>
      <c r="D22" s="101">
        <v>0.1939049326405119</v>
      </c>
      <c r="E22" s="101">
        <v>0.1939049326405119</v>
      </c>
      <c r="F22" s="101">
        <v>0.1939049326405119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8.8209145000000003E-2</v>
      </c>
    </row>
    <row r="27" spans="1:8" ht="15.75" customHeight="1" x14ac:dyDescent="0.25">
      <c r="B27" s="19" t="s">
        <v>108</v>
      </c>
      <c r="C27" s="101">
        <v>8.6061309999999995E-3</v>
      </c>
    </row>
    <row r="28" spans="1:8" ht="15.75" customHeight="1" x14ac:dyDescent="0.25">
      <c r="B28" s="19" t="s">
        <v>122</v>
      </c>
      <c r="C28" s="101">
        <v>0.158177228</v>
      </c>
    </row>
    <row r="29" spans="1:8" ht="15.75" customHeight="1" x14ac:dyDescent="0.25">
      <c r="B29" s="19" t="s">
        <v>105</v>
      </c>
      <c r="C29" s="101">
        <v>0.16895537699999999</v>
      </c>
    </row>
    <row r="30" spans="1:8" ht="15.75" customHeight="1" x14ac:dyDescent="0.25">
      <c r="B30" s="19" t="s">
        <v>4</v>
      </c>
      <c r="C30" s="101">
        <v>0.10501387</v>
      </c>
    </row>
    <row r="31" spans="1:8" ht="15.75" customHeight="1" x14ac:dyDescent="0.25">
      <c r="B31" s="19" t="s">
        <v>99</v>
      </c>
      <c r="C31" s="101">
        <v>0.110556312</v>
      </c>
    </row>
    <row r="32" spans="1:8" ht="15.75" customHeight="1" x14ac:dyDescent="0.25">
      <c r="B32" s="19" t="s">
        <v>104</v>
      </c>
      <c r="C32" s="101">
        <v>1.8813532000000001E-2</v>
      </c>
    </row>
    <row r="33" spans="2:3" ht="15.75" customHeight="1" x14ac:dyDescent="0.25">
      <c r="B33" s="19" t="s">
        <v>119</v>
      </c>
      <c r="C33" s="101">
        <v>8.3149402999999997E-2</v>
      </c>
    </row>
    <row r="34" spans="2:3" ht="15.75" customHeight="1" x14ac:dyDescent="0.25">
      <c r="B34" s="19" t="s">
        <v>106</v>
      </c>
      <c r="C34" s="101">
        <v>0.25851900100000003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3FK5g81w3W0/hn/jdSfxJLCQRYGL3yCOJ2jDEc10VQ22cwrlntyo0zrCw46DfCRUDtMk3RFgQJcvqwWL/4nKlg==" saltValue="XCSEULcz8gwXPGq9zoWrD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0.53948153243197172</v>
      </c>
      <c r="D2" s="52">
        <f>IFERROR(1-_xlfn.NORM.DIST(_xlfn.NORM.INV(SUM(D4:D5), 0, 1) + 1, 0, 1, TRUE), "")</f>
        <v>0.53948153243197172</v>
      </c>
      <c r="E2" s="52">
        <f>IFERROR(1-_xlfn.NORM.DIST(_xlfn.NORM.INV(SUM(E4:E5), 0, 1) + 1, 0, 1, TRUE), "")</f>
        <v>0.5696752209710203</v>
      </c>
      <c r="F2" s="52">
        <f>IFERROR(1-_xlfn.NORM.DIST(_xlfn.NORM.INV(SUM(F4:F5), 0, 1) + 1, 0, 1, TRUE), "")</f>
        <v>0.38974161566414511</v>
      </c>
      <c r="G2" s="52">
        <f>IFERROR(1-_xlfn.NORM.DIST(_xlfn.NORM.INV(SUM(G4:G5), 0, 1) + 1, 0, 1, TRUE), "")</f>
        <v>0.46954204448859327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0.32466226756802835</v>
      </c>
      <c r="D3" s="52">
        <f>IFERROR(_xlfn.NORM.DIST(_xlfn.NORM.INV(SUM(D4:D5), 0, 1) + 1, 0, 1, TRUE) - SUM(D4:D5), "")</f>
        <v>0.32466226756802835</v>
      </c>
      <c r="E3" s="52">
        <f>IFERROR(_xlfn.NORM.DIST(_xlfn.NORM.INV(SUM(E4:E5), 0, 1) + 1, 0, 1, TRUE) - SUM(E4:E5), "")</f>
        <v>0.31043687902897965</v>
      </c>
      <c r="F3" s="52">
        <f>IFERROR(_xlfn.NORM.DIST(_xlfn.NORM.INV(SUM(F4:F5), 0, 1) + 1, 0, 1, TRUE) - SUM(F4:F5), "")</f>
        <v>0.37449818433585491</v>
      </c>
      <c r="G3" s="52">
        <f>IFERROR(_xlfn.NORM.DIST(_xlfn.NORM.INV(SUM(G4:G5), 0, 1) + 1, 0, 1, TRUE) - SUM(G4:G5), "")</f>
        <v>0.3526051555114067</v>
      </c>
    </row>
    <row r="4" spans="1:15" ht="15.75" customHeight="1" x14ac:dyDescent="0.25">
      <c r="B4" s="5" t="s">
        <v>129</v>
      </c>
      <c r="C4" s="45">
        <v>7.6703599999999997E-2</v>
      </c>
      <c r="D4" s="53">
        <v>7.6703599999999997E-2</v>
      </c>
      <c r="E4" s="53">
        <v>9.0018600000000004E-2</v>
      </c>
      <c r="F4" s="53">
        <v>0.17188490000000001</v>
      </c>
      <c r="G4" s="53">
        <v>0.13089200000000001</v>
      </c>
    </row>
    <row r="5" spans="1:15" ht="15.75" customHeight="1" x14ac:dyDescent="0.25">
      <c r="B5" s="5" t="s">
        <v>125</v>
      </c>
      <c r="C5" s="45">
        <v>5.91526E-2</v>
      </c>
      <c r="D5" s="53">
        <v>5.91526E-2</v>
      </c>
      <c r="E5" s="53">
        <v>2.9869300000000001E-2</v>
      </c>
      <c r="F5" s="53">
        <v>6.3875299999999996E-2</v>
      </c>
      <c r="G5" s="53">
        <v>4.6960799999999997E-2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0.70350174372810925</v>
      </c>
      <c r="D8" s="52">
        <f>IFERROR(1-_xlfn.NORM.DIST(_xlfn.NORM.INV(SUM(D10:D11), 0, 1) + 1, 0, 1, TRUE), "")</f>
        <v>0.70350174372810925</v>
      </c>
      <c r="E8" s="52">
        <f>IFERROR(1-_xlfn.NORM.DIST(_xlfn.NORM.INV(SUM(E10:E11), 0, 1) + 1, 0, 1, TRUE), "")</f>
        <v>0.65058349310231678</v>
      </c>
      <c r="F8" s="52">
        <f>IFERROR(1-_xlfn.NORM.DIST(_xlfn.NORM.INV(SUM(F10:F11), 0, 1) + 1, 0, 1, TRUE), "")</f>
        <v>0.65667966159705382</v>
      </c>
      <c r="G8" s="52">
        <f>IFERROR(1-_xlfn.NORM.DIST(_xlfn.NORM.INV(SUM(G10:G11), 0, 1) + 1, 0, 1, TRUE), "")</f>
        <v>0.64544367026514549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0.23404475627189075</v>
      </c>
      <c r="D9" s="52">
        <f>IFERROR(_xlfn.NORM.DIST(_xlfn.NORM.INV(SUM(D10:D11), 0, 1) + 1, 0, 1, TRUE) - SUM(D10:D11), "")</f>
        <v>0.23404475627189075</v>
      </c>
      <c r="E9" s="52">
        <f>IFERROR(_xlfn.NORM.DIST(_xlfn.NORM.INV(SUM(E10:E11), 0, 1) + 1, 0, 1, TRUE) - SUM(E10:E11), "")</f>
        <v>0.26667980689768322</v>
      </c>
      <c r="F9" s="52">
        <f>IFERROR(_xlfn.NORM.DIST(_xlfn.NORM.INV(SUM(F10:F11), 0, 1) + 1, 0, 1, TRUE) - SUM(F10:F11), "")</f>
        <v>0.26307423840294619</v>
      </c>
      <c r="G9" s="52">
        <f>IFERROR(_xlfn.NORM.DIST(_xlfn.NORM.INV(SUM(G10:G11), 0, 1) + 1, 0, 1, TRUE) - SUM(G10:G11), "")</f>
        <v>0.26968762973485449</v>
      </c>
    </row>
    <row r="10" spans="1:15" ht="15.75" customHeight="1" x14ac:dyDescent="0.25">
      <c r="B10" s="5" t="s">
        <v>126</v>
      </c>
      <c r="C10" s="45">
        <v>4.6631199999999998E-2</v>
      </c>
      <c r="D10" s="53">
        <v>4.6631199999999998E-2</v>
      </c>
      <c r="E10" s="53">
        <v>7.1761199999999997E-2</v>
      </c>
      <c r="F10" s="53">
        <v>6.1308799999999997E-2</v>
      </c>
      <c r="G10" s="53">
        <v>7.5502899999999998E-2</v>
      </c>
    </row>
    <row r="11" spans="1:15" ht="15.75" customHeight="1" x14ac:dyDescent="0.25">
      <c r="B11" s="5" t="s">
        <v>138</v>
      </c>
      <c r="C11" s="45">
        <v>1.5822300000000001E-2</v>
      </c>
      <c r="D11" s="53">
        <v>1.5822300000000001E-2</v>
      </c>
      <c r="E11" s="53">
        <v>1.0975499999999999E-2</v>
      </c>
      <c r="F11" s="53">
        <v>1.8937300000000001E-2</v>
      </c>
      <c r="G11" s="53">
        <v>9.3658000000000005E-3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0.89921624824999991</v>
      </c>
      <c r="D14" s="54">
        <v>0.88454178175099996</v>
      </c>
      <c r="E14" s="54">
        <v>0.88454178175099996</v>
      </c>
      <c r="F14" s="54">
        <v>0.71638189990300005</v>
      </c>
      <c r="G14" s="54">
        <v>0.71638189990300005</v>
      </c>
      <c r="H14" s="45">
        <v>0.58099999999999985</v>
      </c>
      <c r="I14" s="55">
        <v>0.58099999999999985</v>
      </c>
      <c r="J14" s="55">
        <v>0.58099999999999985</v>
      </c>
      <c r="K14" s="55">
        <v>0.58099999999999985</v>
      </c>
      <c r="L14" s="45">
        <v>0.49099999999999999</v>
      </c>
      <c r="M14" s="55">
        <v>0.49099999999999999</v>
      </c>
      <c r="N14" s="55">
        <v>0.49099999999999999</v>
      </c>
      <c r="O14" s="55">
        <v>0.49099999999999999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0.35949856310411582</v>
      </c>
      <c r="D15" s="52">
        <f t="shared" si="0"/>
        <v>0.35363184346801413</v>
      </c>
      <c r="E15" s="52">
        <f t="shared" si="0"/>
        <v>0.35363184346801413</v>
      </c>
      <c r="F15" s="52">
        <f t="shared" si="0"/>
        <v>0.28640303614412038</v>
      </c>
      <c r="G15" s="52">
        <f t="shared" si="0"/>
        <v>0.28640303614412038</v>
      </c>
      <c r="H15" s="52">
        <f t="shared" si="0"/>
        <v>0.23227857100000002</v>
      </c>
      <c r="I15" s="52">
        <f t="shared" si="0"/>
        <v>0.23227857100000002</v>
      </c>
      <c r="J15" s="52">
        <f t="shared" si="0"/>
        <v>0.23227857100000002</v>
      </c>
      <c r="K15" s="52">
        <f t="shared" si="0"/>
        <v>0.23227857100000002</v>
      </c>
      <c r="L15" s="52">
        <f t="shared" si="0"/>
        <v>0.19629738100000005</v>
      </c>
      <c r="M15" s="52">
        <f t="shared" si="0"/>
        <v>0.19629738100000005</v>
      </c>
      <c r="N15" s="52">
        <f t="shared" si="0"/>
        <v>0.19629738100000005</v>
      </c>
      <c r="O15" s="52">
        <f t="shared" si="0"/>
        <v>0.19629738100000005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2ftCA9VPO/+V7elioDhqjGFsOds/QFUs2UBznzLdpGbY6ig2fqvcf3+nMxhNTYjLQvgWnBu4NzC/xW2KM8VHw==" saltValue="ObgPmd3sty652OareFhr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0.60487789999999997</v>
      </c>
      <c r="D2" s="53">
        <v>0.34281080000000003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0.27744210000000002</v>
      </c>
      <c r="D3" s="53">
        <v>0.48379250000000001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9.1609400000000007E-2</v>
      </c>
      <c r="D4" s="53">
        <v>0.1704386</v>
      </c>
      <c r="E4" s="53">
        <v>0.99060590000000004</v>
      </c>
      <c r="F4" s="53">
        <v>0.71512950000000008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2.6070599999999944E-2</v>
      </c>
      <c r="D5" s="52">
        <f t="shared" si="0"/>
        <v>2.9580999999999635E-3</v>
      </c>
      <c r="E5" s="52">
        <f>1-SUM(E2:E4)</f>
        <v>9.3940999999999608E-3</v>
      </c>
      <c r="F5" s="52">
        <f>1-SUM(F2:F4)</f>
        <v>0.28487049999999992</v>
      </c>
      <c r="G5" s="52">
        <f>1-SUM(G2:G4)</f>
        <v>1</v>
      </c>
    </row>
  </sheetData>
  <sheetProtection algorithmName="SHA-512" hashValue="Uii5ofbYAWrM/VydFq+DAuVln7ZyJdYqiHkZZ+Ir/pIEt81C68HnG4AWgyYKsKpK9kY5qE0dPjSPrikop73l0g==" saltValue="MFjmrTwgOi/U24Zi8fB9P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9UqVPl3it0eTUuOlqZdaIC71tqDDAN2tFrt4gAaO7gaUdPyAzHXuBe4cRg7i5cN+iYNsvgntXxYe4ZwawWuKBQ==" saltValue="z9+8K9nn5COv4+yr5aFPU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1598.7264333601199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0.43664999999999998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0.38732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1.7766015389892271E-2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95468.383170000001</v>
      </c>
      <c r="C22" s="109">
        <v>94921.576360000006</v>
      </c>
      <c r="D22" s="109">
        <v>94485.240349999993</v>
      </c>
      <c r="E22" s="109">
        <v>94018.666400000002</v>
      </c>
      <c r="F22" s="109">
        <v>93352.835420000003</v>
      </c>
      <c r="G22" s="109">
        <v>92565.650320000001</v>
      </c>
      <c r="H22" s="109">
        <v>91574.268469999995</v>
      </c>
      <c r="I22" s="109">
        <v>90278.237789999999</v>
      </c>
      <c r="J22" s="109">
        <v>88443.745009999999</v>
      </c>
      <c r="K22" s="109">
        <v>85966.400680000006</v>
      </c>
      <c r="L22" s="109">
        <v>82363.543699999995</v>
      </c>
      <c r="M22" s="109">
        <v>77379.659270000004</v>
      </c>
      <c r="N22" s="109">
        <v>70119.644929999995</v>
      </c>
      <c r="O22" s="109">
        <v>60593.780740000002</v>
      </c>
    </row>
  </sheetData>
  <sheetProtection algorithmName="SHA-512" hashValue="Gv0biBUtmy39wFvEU+25pmo284JHDAk4cmhM+9EPk1ZpnYATmHfsXJsqfTH5rxgxjsg4uQUrd+QZFPakUA1s8A==" saltValue="PiEC1ChQnXtE9c8oq+Jwu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0yeUXSzClB0+EoXzTM4I4zC7HSHtGiKX//5FFDU+PcgjwosAH0j20y1O30dBH/H8xxGSnP2lu2D6A4b61Kfjxg==" saltValue="b00BxeQZ2FKTBJAKGfSG3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CSiAZ9R56PGp43+ef4isNUAvRmeIlD4SOlNca8gz2EpaE39Pmk2V5W1P5hT46QIsAfHiYzAV+tU0sP5kVZVamA==" saltValue="vjbpqF6Gcka/I6+ZugA6V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0.70706266146872643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8.3296326652261374E-2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0.64956370000000008</v>
      </c>
      <c r="C10" s="98">
        <v>0.95</v>
      </c>
      <c r="D10" s="56">
        <v>13.53368651819329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13.53368651819329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13.53368651819329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13.53368651819329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0.64956370000000008</v>
      </c>
      <c r="C14" s="98">
        <v>0.95</v>
      </c>
      <c r="D14" s="56">
        <v>13.53368651819329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13.53368651819329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0.68053489999999994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0.36730000000000002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0.60699999999999998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0.34281080000000003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0.80976389999999998</v>
      </c>
      <c r="C23" s="98">
        <v>0.95</v>
      </c>
      <c r="D23" s="56">
        <v>4.4572760576653501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0.67986386987520009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2.9000000000000001E-2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0.25979029999999997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0.1933213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0.56999999999999995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0.22246005946745701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0.59753959999999995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7.8305000000000007E-3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0.77336490000000002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0.19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7gGcAAFI/TQfk9f6/REqkO3mr17p5xzlUpxylgznLgbbw2B02dv6sPSJCQDgcz2kEkurug9NVqNDz6kVMExjkQ==" saltValue="9HFI0QBsXeAmSpf5OyOq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FhrHcNronnyFk3ebnuSRZgwB/6V7rYTWLxgv45GEsWCM93bXCcbnq/EIvHBpr9aKStzN9uaC+087OOoE4I7IQ==" saltValue="4LqJKCAa3j7Ur/jE1WW2f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ht21gfwGNu6aL1rw0IhMESE7Xnh51DpSjKEkb6O2mNcJfW+hjHRv4f/MjqcljctNJ1cj+T3JRIDSawvjggOKQ==" saltValue="gfiD9swupG7tC3R4jWFQb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2.86</v>
      </c>
      <c r="C2" s="21">
        <f>'Entradas de población-año base'!C52</f>
        <v>2.86</v>
      </c>
      <c r="D2" s="21">
        <f>'Entradas de población-año base'!C53</f>
        <v>5.07</v>
      </c>
      <c r="E2" s="21">
        <f>'Entradas de población-año base'!C54</f>
        <v>5.1219999999999999</v>
      </c>
      <c r="F2" s="21">
        <f>'Entradas de población-año base'!C55</f>
        <v>2.6173333333333342</v>
      </c>
    </row>
    <row r="3" spans="1:6" ht="15.75" customHeight="1" x14ac:dyDescent="0.25">
      <c r="A3" s="3" t="s">
        <v>6</v>
      </c>
      <c r="B3" s="21">
        <f>frac_mam_1month * 2.6</f>
        <v>0.12124111999999999</v>
      </c>
      <c r="C3" s="21">
        <f>frac_mam_1_5months * 2.6</f>
        <v>0.12124111999999999</v>
      </c>
      <c r="D3" s="21">
        <f>frac_mam_6_11months * 2.6</f>
        <v>0.18657911999999999</v>
      </c>
      <c r="E3" s="21">
        <f>frac_mam_12_23months * 2.6</f>
        <v>0.15940288</v>
      </c>
      <c r="F3" s="21">
        <f>frac_mam_24_59months * 2.6</f>
        <v>0.19630754</v>
      </c>
    </row>
    <row r="4" spans="1:6" ht="15.75" customHeight="1" x14ac:dyDescent="0.25">
      <c r="A4" s="3" t="s">
        <v>236</v>
      </c>
      <c r="B4" s="21">
        <f>frac_sam_1month * 2.6</f>
        <v>4.1137980000000005E-2</v>
      </c>
      <c r="C4" s="21">
        <f>frac_sam_1_5months * 2.6</f>
        <v>4.1137980000000005E-2</v>
      </c>
      <c r="D4" s="21">
        <f>frac_sam_6_11months * 2.6</f>
        <v>2.8536299999999997E-2</v>
      </c>
      <c r="E4" s="21">
        <f>frac_sam_12_23months * 2.6</f>
        <v>4.9236980000000007E-2</v>
      </c>
      <c r="F4" s="21">
        <f>frac_sam_24_59months * 2.6</f>
        <v>2.4351080000000001E-2</v>
      </c>
    </row>
  </sheetData>
  <sheetProtection algorithmName="SHA-512" hashValue="+3jPKb8/t6UeNQ1dLrWyYKAksG1laS7+AVc+ox1oXtTNM9b9myDrTVdLLMOsWzK9+b2Qhe6iv26R6ex4XYLqfw==" saltValue="Z8GJkF2ejiFYhQz5woRPL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0.39</v>
      </c>
      <c r="F2" s="60">
        <f>food_insecure</f>
        <v>0.39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0.39</v>
      </c>
      <c r="F5" s="60">
        <f>food_insecure</f>
        <v>0.39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6.2400000000000004E-2</v>
      </c>
      <c r="D7" s="60">
        <f>diarrhoea_1_5mo*frac_diarrhea_severe</f>
        <v>6.2400000000000004E-2</v>
      </c>
      <c r="E7" s="60">
        <f>diarrhoea_6_11mo*frac_diarrhea_severe</f>
        <v>0.11061818181818184</v>
      </c>
      <c r="F7" s="60">
        <f>diarrhoea_12_23mo*frac_diarrhea_severe</f>
        <v>0.11175272727272728</v>
      </c>
      <c r="G7" s="60">
        <f>diarrhoea_24_59mo*frac_diarrhea_severe</f>
        <v>5.710545454545457E-2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0.39</v>
      </c>
      <c r="F8" s="60">
        <f>food_insecure</f>
        <v>0.39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0.39</v>
      </c>
      <c r="F9" s="60">
        <f>food_insecure</f>
        <v>0.39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6.2400000000000004E-2</v>
      </c>
      <c r="D12" s="60">
        <f>diarrhoea_1_5mo*frac_diarrhea_severe</f>
        <v>6.2400000000000004E-2</v>
      </c>
      <c r="E12" s="60">
        <f>diarrhoea_6_11mo*frac_diarrhea_severe</f>
        <v>0.11061818181818184</v>
      </c>
      <c r="F12" s="60">
        <f>diarrhoea_12_23mo*frac_diarrhea_severe</f>
        <v>0.11175272727272728</v>
      </c>
      <c r="G12" s="60">
        <f>diarrhoea_24_59mo*frac_diarrhea_severe</f>
        <v>5.710545454545457E-2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0.39</v>
      </c>
      <c r="I15" s="60">
        <f t="shared" si="0"/>
        <v>0.39</v>
      </c>
      <c r="J15" s="60">
        <f t="shared" si="0"/>
        <v>0.39</v>
      </c>
      <c r="K15" s="60">
        <f t="shared" si="0"/>
        <v>0.39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0.39</v>
      </c>
      <c r="I16" s="60">
        <f t="shared" si="0"/>
        <v>0.39</v>
      </c>
      <c r="J16" s="60">
        <f t="shared" si="0"/>
        <v>0.39</v>
      </c>
      <c r="K16" s="60">
        <f t="shared" si="0"/>
        <v>0.39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0.25600000000000001</v>
      </c>
      <c r="M24" s="60">
        <f>famplan_unmet_need</f>
        <v>0.25600000000000001</v>
      </c>
      <c r="N24" s="60">
        <f>famplan_unmet_need</f>
        <v>0.25600000000000001</v>
      </c>
      <c r="O24" s="60">
        <f>famplan_unmet_need</f>
        <v>0.25600000000000001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0.34643076978999998</v>
      </c>
      <c r="M25" s="60">
        <f>(1-food_insecure)*(0.49)+food_insecure*(0.7)</f>
        <v>0.57189999999999996</v>
      </c>
      <c r="N25" s="60">
        <f>(1-food_insecure)*(0.49)+food_insecure*(0.7)</f>
        <v>0.57189999999999996</v>
      </c>
      <c r="O25" s="60">
        <f>(1-food_insecure)*(0.49)+food_insecure*(0.7)</f>
        <v>0.57189999999999996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0.14847032990999998</v>
      </c>
      <c r="M26" s="60">
        <f>(1-food_insecure)*(0.21)+food_insecure*(0.3)</f>
        <v>0.24509999999999998</v>
      </c>
      <c r="N26" s="60">
        <f>(1-food_insecure)*(0.21)+food_insecure*(0.3)</f>
        <v>0.24509999999999998</v>
      </c>
      <c r="O26" s="60">
        <f>(1-food_insecure)*(0.21)+food_insecure*(0.3)</f>
        <v>0.24509999999999998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0.11085300029999999</v>
      </c>
      <c r="M27" s="60">
        <f>(1-food_insecure)*(0.3)</f>
        <v>0.183</v>
      </c>
      <c r="N27" s="60">
        <f>(1-food_insecure)*(0.3)</f>
        <v>0.183</v>
      </c>
      <c r="O27" s="60">
        <f>(1-food_insecure)*(0.3)</f>
        <v>0.183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0.39424589999999998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0.97</v>
      </c>
      <c r="D34" s="60">
        <f t="shared" si="4"/>
        <v>0.97</v>
      </c>
      <c r="E34" s="60">
        <f t="shared" si="4"/>
        <v>0.97</v>
      </c>
      <c r="F34" s="60">
        <f t="shared" si="4"/>
        <v>0.97</v>
      </c>
      <c r="G34" s="60">
        <f t="shared" si="4"/>
        <v>0.97</v>
      </c>
      <c r="H34" s="60">
        <f t="shared" si="4"/>
        <v>0.97</v>
      </c>
      <c r="I34" s="60">
        <f t="shared" si="4"/>
        <v>0.97</v>
      </c>
      <c r="J34" s="60">
        <f t="shared" si="4"/>
        <v>0.97</v>
      </c>
      <c r="K34" s="60">
        <f t="shared" si="4"/>
        <v>0.97</v>
      </c>
      <c r="L34" s="60">
        <f t="shared" si="4"/>
        <v>0.97</v>
      </c>
      <c r="M34" s="60">
        <f t="shared" si="4"/>
        <v>0.97</v>
      </c>
      <c r="N34" s="60">
        <f t="shared" si="4"/>
        <v>0.97</v>
      </c>
      <c r="O34" s="60">
        <f t="shared" si="4"/>
        <v>0.97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ZnuE0AMNkwphcCYjdor2KwdcuPd1f+K8Ei0S01RwyVymETv5lN9MkWlltzEk/O3rvP9tFh18mCtwslVBlxEKQ==" saltValue="oiazBQxllkiMpHXLAUVqW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+CVDqhzNJdx2Df0IWdUwXhr6/FpyvEflZ+HTRDOn6vaTazWTqSh+C5IVbTYq4EUrS0q/Np0SyeVVKALLdyd5LA==" saltValue="wSw0Oh72Z8HW+Z7ej8M6W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GmyG9A9TBor8wjuqwAFjUaqSvrQJyYl16qDO0DIwesa4nrOk7e9XqVkv/jfvmiBGVGMuHgm6aAV4cdibDvB0Q==" saltValue="yRHEsEElXXgpOIobHFzNq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dEJtC5J77CS/nApp6BTF/LjsdrJo5h8sRCU51H7atfS5xVwAODyWZ8OA268YSONZyIOat0GWAhrJ+BysNLrEQ==" saltValue="Q7/TtddtLTx5SphrfPNSu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shii1xXixGm70sjoMe/+dbTQGaRUZNgM0WawJQPP8Bo/6+GvXhSk55JLhhqdj6Dc6YKLXZ1s4k5i1GIYZvg3mA==" saltValue="kbOmtEnWq9CH/Sorw8Tbq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Y4XvaDyc8sToh9fmLCpb9zVbDAXQoFrsBsYIDi2n1TPJW9rAZPV1A89kvwBZIgyNZ/u/nxPCx3hancb1UnyPoA==" saltValue="Tst7RBvCzHLvaWTk8zwrM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g3fBpHS/0k/zNCXyqvKjWwceoOSB/6SLJNCZ3M372wGmJ75VgUHnHHLqHyeygaUGQjpplzBP8VncnAtJxdZFg==" saltValue="IROO04tWhTUXVaE2LcnXK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mGQQnpBJhvQidhaRNoo83AITKpm8yU8VxAJVjhjupo0R4S1Z1GI0sxUSa4mHVDTEz/RW1MBxPxCT8YuURrk2MQ==" saltValue="ZNuAQ0J+eNFMpH9oOspD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nL4hf3awYCz3F9XBFn0HGY2JVxcnvI1njrYdY6uWvD4HEGm25XtwigSRMJgQ4mfLVU0s/cMCQVyEMC6ibaBl/A==" saltValue="Abq6yPK2jW6STBoExKEK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D32d2cSFCN3uB1NA7Aj1Sr5ZJkAW8RRLnFOnkMMD1XO4+l2YfAHKNOh0mAoMv5C6Pxb2EZYoy64+Cp2Uf4oTg==" saltValue="U1spxwmg1LAcPaKkMHLe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6Wrk1VaHC68L0MgEki93FjR3xXAUntv0oU+noosrrh90yzfBX7PQsBog9GWnLLot1Q4Ixu+ryBQDY7CRvJ4ZA==" saltValue="DwpTwVQpuBCu64al7YED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D3tzjIBdEAc0pdeWEO8T762d543hikzvuQXanS3aJVHlgqwzyPM6s2G8HxM2FRQohLbCOyvxbuuPPQwJAebFQ==" saltValue="5B7dqMk+uCUIG74R9jI5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YgDY6TJUXI2EUE265AHsUS6V6QK0abTcZmRhkJbc0pNpsorw/Uj44RPPFF8SvqRlvExlrKvcMHSABysiUAkqw==" saltValue="cQ9a1ROZwQh9h/sOADi5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nzZus9OuqA3TAdzG3QGD+G11xzn+tL5lDCxM1xTedHGrUm4Fnp3Vbanjzfa/ySQZmhXB3zwgFFFEs2WD1FT0w==" saltValue="yfVHLPtVlL/2ITm1WTUZ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uSpE/UJ4toN0cZ7Q4/Eq2IIVB00d085z1Xx8PMAoGYXvkYbsdGAL5p9OXEuVi48jI/SXiAaFCSZKq/8H15JATg==" saltValue="JQ7VUO/06YwvSkpL7a2d6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