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4B3C27F-3260-48E8-B15E-EE58C135D7D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<sst xmlns="http://schemas.openxmlformats.org/spreadsheetml/2006/main" count="2169" uniqueCount="373">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</sst>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2494092</v>
      </c>
    </row>
    <row r="8" spans="1:3" ht="15" customHeight="1" x14ac:dyDescent="0.25">
      <c r="B8" s="5" t="s">
        <v>63</v>
      </c>
      <c r="C8" s="44">
        <v>0.39</v>
      </c>
    </row>
    <row r="9" spans="1:3" ht="15" customHeight="1" x14ac:dyDescent="0.25">
      <c r="B9" s="5" t="s">
        <v>62</v>
      </c>
      <c r="C9" s="45">
        <v>0.97</v>
      </c>
    </row>
    <row r="10" spans="1:3" ht="15" customHeight="1" x14ac:dyDescent="0.25">
      <c r="B10" s="5" t="s">
        <v>75</v>
      </c>
      <c r="C10" s="45">
        <v>0.39424589999999998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7.9199999999999993E-2</v>
      </c>
    </row>
    <row r="24" spans="1:3" ht="15" customHeight="1" x14ac:dyDescent="0.25">
      <c r="B24" s="15" t="s">
        <v>65</v>
      </c>
      <c r="C24" s="45">
        <v>0.43070000000000003</v>
      </c>
    </row>
    <row r="25" spans="1:3" ht="15" customHeight="1" x14ac:dyDescent="0.25">
      <c r="B25" s="15" t="s">
        <v>66</v>
      </c>
      <c r="C25" s="45">
        <v>0.37840000000000001</v>
      </c>
    </row>
    <row r="26" spans="1:3" ht="15" customHeight="1" x14ac:dyDescent="0.25">
      <c r="B26" s="15" t="s">
        <v>67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0.242578564948118</v>
      </c>
    </row>
    <row r="30" spans="1:3" ht="14.25" customHeight="1" x14ac:dyDescent="0.25">
      <c r="B30" s="25" t="s">
        <v>82</v>
      </c>
      <c r="C30" s="97">
        <v>2.9913637194387301E-2</v>
      </c>
    </row>
    <row r="31" spans="1:3" ht="14.25" customHeight="1" x14ac:dyDescent="0.25">
      <c r="B31" s="25" t="s">
        <v>29</v>
      </c>
      <c r="C31" s="97">
        <v>7.7460320403722499E-2</v>
      </c>
    </row>
    <row r="32" spans="1:3" ht="14.25" customHeight="1" x14ac:dyDescent="0.25">
      <c r="B32" s="25" t="s">
        <v>30</v>
      </c>
      <c r="C32" s="97">
        <v>0.650047477453772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21.085819999999998</v>
      </c>
    </row>
    <row r="38" spans="1:5" ht="15" customHeight="1" x14ac:dyDescent="0.25">
      <c r="B38" s="11" t="s">
        <v>54</v>
      </c>
      <c r="C38" s="43">
        <v>29.13533</v>
      </c>
      <c r="D38" s="12"/>
      <c r="E38" s="13"/>
    </row>
    <row r="39" spans="1:5" ht="15" customHeight="1" x14ac:dyDescent="0.25">
      <c r="B39" s="11" t="s">
        <v>80</v>
      </c>
      <c r="C39" s="43">
        <v>38.59986</v>
      </c>
      <c r="D39" s="12"/>
      <c r="E39" s="12"/>
    </row>
    <row r="40" spans="1:5" ht="15" customHeight="1" x14ac:dyDescent="0.25">
      <c r="B40" s="11" t="s">
        <v>55</v>
      </c>
      <c r="C40" s="98">
        <v>2.61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7.9200999999999994E-3</v>
      </c>
      <c r="D45" s="12"/>
    </row>
    <row r="46" spans="1:5" ht="15.75" customHeight="1" x14ac:dyDescent="0.25">
      <c r="B46" s="11" t="s">
        <v>70</v>
      </c>
      <c r="C46" s="45">
        <v>8.5099999999999995E-2</v>
      </c>
      <c r="D46" s="12"/>
    </row>
    <row r="47" spans="1:5" ht="15.75" customHeight="1" x14ac:dyDescent="0.25">
      <c r="B47" s="11" t="s">
        <v>78</v>
      </c>
      <c r="C47" s="45">
        <v>7.3468800000000001E-2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2.86</v>
      </c>
      <c r="D51" s="12"/>
    </row>
    <row r="52" spans="1:4" ht="15" customHeight="1" x14ac:dyDescent="0.25">
      <c r="B52" s="11" t="s">
        <v>32</v>
      </c>
      <c r="C52" s="98">
        <v>2.86</v>
      </c>
    </row>
    <row r="53" spans="1:4" ht="15.75" customHeight="1" x14ac:dyDescent="0.25">
      <c r="B53" s="11" t="s">
        <v>35</v>
      </c>
      <c r="C53" s="98">
        <v>5.07</v>
      </c>
    </row>
    <row r="54" spans="1:4" ht="15.75" customHeight="1" x14ac:dyDescent="0.25">
      <c r="B54" s="11" t="s">
        <v>33</v>
      </c>
      <c r="C54" s="98">
        <v>5.1219999999999999</v>
      </c>
    </row>
    <row r="55" spans="1:4" ht="15.75" customHeight="1" x14ac:dyDescent="0.25">
      <c r="B55" s="11" t="s">
        <v>34</v>
      </c>
      <c r="C55" s="98">
        <v>2.6173333333333342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0.39979100000000012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reHNZUIN/Qj6e5WwtsYIc1e9G/2XwWq/ZUVbqBQyPiMF4nA/VmR5ZTj0M3wwtRd/8BUVT8YGatudLEuUKXPkPw==" saltValue="CKQvkXGoAF5cIO5JAojA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MIKi1RFcFu0/PY+hMLEbSpBmlKifmuXcG5Y4Nq5/g7EjUDda/Dc1P+OLO7+fNSMgWBYtyHCiLltaKd/b8Iung==" saltValue="WRckuDO638nh0TNeU/GG+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1.9163107671874811E-2</v>
      </c>
    </row>
    <row r="4" spans="1:8" ht="15.75" customHeight="1" x14ac:dyDescent="0.25">
      <c r="B4" s="19" t="s">
        <v>116</v>
      </c>
      <c r="C4" s="99">
        <v>6.6585652585627084E-2</v>
      </c>
    </row>
    <row r="5" spans="1:8" ht="15.75" customHeight="1" x14ac:dyDescent="0.25">
      <c r="B5" s="19" t="s">
        <v>114</v>
      </c>
      <c r="C5" s="99">
        <v>9.5974679115321399E-2</v>
      </c>
    </row>
    <row r="6" spans="1:8" ht="15.75" customHeight="1" x14ac:dyDescent="0.25">
      <c r="B6" s="19" t="s">
        <v>110</v>
      </c>
      <c r="C6" s="99">
        <v>0.2538181028161321</v>
      </c>
    </row>
    <row r="7" spans="1:8" ht="15.75" customHeight="1" x14ac:dyDescent="0.25">
      <c r="B7" s="19" t="s">
        <v>115</v>
      </c>
      <c r="C7" s="99">
        <v>0.38359173784406131</v>
      </c>
    </row>
    <row r="8" spans="1:8" ht="15.75" customHeight="1" x14ac:dyDescent="0.25">
      <c r="B8" s="19" t="s">
        <v>117</v>
      </c>
      <c r="C8" s="99">
        <v>2.9726612985585608E-3</v>
      </c>
    </row>
    <row r="9" spans="1:8" ht="15.75" customHeight="1" x14ac:dyDescent="0.25">
      <c r="B9" s="19" t="s">
        <v>111</v>
      </c>
      <c r="C9" s="99">
        <v>6.6210256446675886E-2</v>
      </c>
    </row>
    <row r="10" spans="1:8" ht="15.75" customHeight="1" x14ac:dyDescent="0.25">
      <c r="B10" s="19" t="s">
        <v>113</v>
      </c>
      <c r="C10" s="99">
        <v>0.1116838022217489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121</v>
      </c>
      <c r="C15" s="99">
        <v>0.26208816969300658</v>
      </c>
      <c r="D15" s="99">
        <v>0.26208816969300658</v>
      </c>
      <c r="E15" s="99">
        <v>0.26208816969300658</v>
      </c>
      <c r="F15" s="99">
        <v>0.26208816969300658</v>
      </c>
    </row>
    <row r="16" spans="1:8" ht="15.75" customHeight="1" x14ac:dyDescent="0.25">
      <c r="B16" s="19" t="s">
        <v>2</v>
      </c>
      <c r="C16" s="99">
        <v>2.3929564889798131E-2</v>
      </c>
      <c r="D16" s="99">
        <v>2.3929564889798131E-2</v>
      </c>
      <c r="E16" s="99">
        <v>2.3929564889798131E-2</v>
      </c>
      <c r="F16" s="99">
        <v>2.3929564889798131E-2</v>
      </c>
    </row>
    <row r="17" spans="1:8" ht="15.75" customHeight="1" x14ac:dyDescent="0.25">
      <c r="B17" s="19" t="s">
        <v>109</v>
      </c>
      <c r="C17" s="99">
        <v>1.366540706556877E-2</v>
      </c>
      <c r="D17" s="99">
        <v>1.366540706556877E-2</v>
      </c>
      <c r="E17" s="99">
        <v>1.366540706556877E-2</v>
      </c>
      <c r="F17" s="99">
        <v>1.366540706556877E-2</v>
      </c>
    </row>
    <row r="18" spans="1:8" ht="15.75" customHeight="1" x14ac:dyDescent="0.25">
      <c r="B18" s="19" t="s">
        <v>3</v>
      </c>
      <c r="C18" s="99">
        <v>0.1121344881000229</v>
      </c>
      <c r="D18" s="99">
        <v>0.1121344881000229</v>
      </c>
      <c r="E18" s="99">
        <v>0.1121344881000229</v>
      </c>
      <c r="F18" s="99">
        <v>0.1121344881000229</v>
      </c>
    </row>
    <row r="19" spans="1:8" ht="15.75" customHeight="1" x14ac:dyDescent="0.25">
      <c r="B19" s="19" t="s">
        <v>120</v>
      </c>
      <c r="C19" s="99">
        <v>4.3931608499606992E-2</v>
      </c>
      <c r="D19" s="99">
        <v>4.3931608499606992E-2</v>
      </c>
      <c r="E19" s="99">
        <v>4.3931608499606992E-2</v>
      </c>
      <c r="F19" s="99">
        <v>4.3931608499606992E-2</v>
      </c>
    </row>
    <row r="20" spans="1:8" ht="15.75" customHeight="1" x14ac:dyDescent="0.25">
      <c r="B20" s="19" t="s">
        <v>98</v>
      </c>
      <c r="C20" s="99">
        <v>1.9269942667465779E-2</v>
      </c>
      <c r="D20" s="99">
        <v>1.9269942667465779E-2</v>
      </c>
      <c r="E20" s="99">
        <v>1.9269942667465779E-2</v>
      </c>
      <c r="F20" s="99">
        <v>1.9269942667465779E-2</v>
      </c>
    </row>
    <row r="21" spans="1:8" ht="15.75" customHeight="1" x14ac:dyDescent="0.25">
      <c r="B21" s="19" t="s">
        <v>107</v>
      </c>
      <c r="C21" s="99">
        <v>0.1453562135370326</v>
      </c>
      <c r="D21" s="99">
        <v>0.1453562135370326</v>
      </c>
      <c r="E21" s="99">
        <v>0.1453562135370326</v>
      </c>
      <c r="F21" s="99">
        <v>0.1453562135370326</v>
      </c>
    </row>
    <row r="22" spans="1:8" ht="15.75" customHeight="1" x14ac:dyDescent="0.25">
      <c r="B22" s="19" t="s">
        <v>118</v>
      </c>
      <c r="C22" s="99">
        <v>0.1939049326405119</v>
      </c>
      <c r="D22" s="99">
        <v>0.1939049326405119</v>
      </c>
      <c r="E22" s="99">
        <v>0.1939049326405119</v>
      </c>
      <c r="F22" s="99">
        <v>0.1939049326405119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8.8209145000000003E-2</v>
      </c>
    </row>
    <row r="27" spans="1:8" ht="15.75" customHeight="1" x14ac:dyDescent="0.25">
      <c r="B27" s="19" t="s">
        <v>108</v>
      </c>
      <c r="C27" s="99">
        <v>8.6061309999999995E-3</v>
      </c>
    </row>
    <row r="28" spans="1:8" ht="15.75" customHeight="1" x14ac:dyDescent="0.25">
      <c r="B28" s="19" t="s">
        <v>122</v>
      </c>
      <c r="C28" s="99">
        <v>0.158177228</v>
      </c>
    </row>
    <row r="29" spans="1:8" ht="15.75" customHeight="1" x14ac:dyDescent="0.25">
      <c r="B29" s="19" t="s">
        <v>105</v>
      </c>
      <c r="C29" s="99">
        <v>0.16895537699999999</v>
      </c>
    </row>
    <row r="30" spans="1:8" ht="15.75" customHeight="1" x14ac:dyDescent="0.25">
      <c r="B30" s="19" t="s">
        <v>4</v>
      </c>
      <c r="C30" s="99">
        <v>0.10501387</v>
      </c>
    </row>
    <row r="31" spans="1:8" ht="15.75" customHeight="1" x14ac:dyDescent="0.25">
      <c r="B31" s="19" t="s">
        <v>99</v>
      </c>
      <c r="C31" s="99">
        <v>0.110556312</v>
      </c>
    </row>
    <row r="32" spans="1:8" ht="15.75" customHeight="1" x14ac:dyDescent="0.25">
      <c r="B32" s="19" t="s">
        <v>104</v>
      </c>
      <c r="C32" s="99">
        <v>1.8813532000000001E-2</v>
      </c>
    </row>
    <row r="33" spans="2:3" ht="15.75" customHeight="1" x14ac:dyDescent="0.25">
      <c r="B33" s="19" t="s">
        <v>119</v>
      </c>
      <c r="C33" s="99">
        <v>8.3149402999999997E-2</v>
      </c>
    </row>
    <row r="34" spans="2:3" ht="15.75" customHeight="1" x14ac:dyDescent="0.25">
      <c r="B34" s="19" t="s">
        <v>106</v>
      </c>
      <c r="C34" s="99">
        <v>0.25851900100000003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bO0XNrnmLQxtMevQ2M0qmq5fxs8zOg+DnGeT39AHQtd+cxuZDXwoFC98H4mpp5k0tio3NR9azkl436icyKMyNw==" saltValue="el9bwe9+bxrD3q1zRJQ7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129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125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126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138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nOdepa+oMTpqOW0+R6JTPJmnAqwzCAJYm00Iu5DHW9g7ZM+XE5AOJahpnUaIYJu4KJEDQqNujArbEp/hE84vA==" saltValue="moEjS19S+syViowbKS0s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Q/qcXATCp2fEgA1ViR5nSqRtx1j1DlCqF8hDTA8r7fVuSedMAc5nQW9c0SkQ4Lo+NEFHpgw5Q17OVsCpiNPISw==" saltValue="krHyBVTToe5dwImCiH7g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EHx4DBgxRVgl7eft/TEhxo1QyEYdoz6//CoZT8/31WeQhYu8Kk5diPhiagYsuovUl7RRTHCe/CH0KHjy9tc+g==" saltValue="J71aE4IwjqkbDN4yk59b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1598.7264333601199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0.43664999999999998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0.38732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1.7766015389892271E-2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95468.383170000001</v>
      </c>
      <c r="C22" s="107">
        <v>94921.576360000006</v>
      </c>
      <c r="D22" s="107">
        <v>94485.240349999993</v>
      </c>
      <c r="E22" s="107">
        <v>94018.666400000002</v>
      </c>
      <c r="F22" s="107">
        <v>93352.835420000003</v>
      </c>
      <c r="G22" s="107">
        <v>92565.650320000001</v>
      </c>
      <c r="H22" s="107">
        <v>91574.268469999995</v>
      </c>
      <c r="I22" s="107">
        <v>90278.237789999999</v>
      </c>
      <c r="J22" s="107">
        <v>88443.745009999999</v>
      </c>
      <c r="K22" s="107">
        <v>85966.400680000006</v>
      </c>
      <c r="L22" s="107">
        <v>82363.543699999995</v>
      </c>
      <c r="M22" s="107">
        <v>77379.659270000004</v>
      </c>
      <c r="N22" s="107">
        <v>70119.644929999995</v>
      </c>
      <c r="O22" s="107">
        <v>60593.780740000002</v>
      </c>
    </row>
  </sheetData>
  <sheetProtection algorithmName="SHA-512" hashValue="6nVDr9XwJOKaIxX6o4rkmeKWPwRIJj0f8WLpgT7h2d2rUlYlTecVT+qaiAzUK2hJgJsWKMQhoR33WA89EhEFTA==" saltValue="AEysxarpxb3fg90m/12T2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AvP87umXxLs5xR1UElFXWthcBOhZhtrFOXlQwIeYLChHKxjiHeY4uALZzyhaInNQTQQlSFwuQkCX2Z0zjQrIPQ==" saltValue="oRoqUB1DQg/tm28GhIaq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qkSuVLzh0wLaaA/yeq52FvP4GBuX5v8yqw93Kl6zhFAmodqjrAkpP6cI5sQq+DYVZz/XRHPE3ygw9OsrNh+ag==" saltValue="NO1We2/6IsbOXcWUKLP/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8.3296326652261374E-2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0.64956370000000008</v>
      </c>
      <c r="C10" s="96">
        <v>0.95</v>
      </c>
      <c r="D10" s="56">
        <v>13.53368651819329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13.53368651819329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13.53368651819329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13.53368651819329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0.64956370000000008</v>
      </c>
      <c r="C14" s="96">
        <v>0.95</v>
      </c>
      <c r="D14" s="56">
        <v>13.53368651819329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13.53368651819329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0.68053489999999994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0.36730000000000002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0.60699999999999998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0.34281080000000003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0.80976389999999998</v>
      </c>
      <c r="C23" s="96">
        <v>0.95</v>
      </c>
      <c r="D23" s="56">
        <v>4.4572760576653501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0.67986386987520009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2.9000000000000001E-2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0.25979029999999997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0.1933213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0.56999999999999995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0.22246005946745701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0.59753959999999995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7.8305000000000007E-3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0.77336490000000002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0.19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/6+5aMKT89sdj++rqUkHSPIVRbNMsv1smyf3MBV/WUte7YTdAa+4RYnitpzSu6n9wpiWaXI6JI0iTagAnuGcag==" saltValue="4oxIc3MqGVJ2I5JlNqM9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ECOaAa/N40LqNl7XtoFCPEKWFopBFcBjPuf4qhNVYes1YZ/Xik5+RrrJdYSxvnhVSx8ldoToNI7jDuSvJcQRw==" saltValue="9wkTfnaAMuZnWpH6y4A/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fHDoOcT+CKng1Gj/7Jn3GmdvTeo5GlSJ/IYgnbBishpa44Fol9jd4E2ARB5wDhK/r15lHx4E9Ip0x3LX1yPSw==" saltValue="wo865q9qJpOwgBCkYNRi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2.86</v>
      </c>
      <c r="C2" s="21">
        <f>'Entradas de población-año base'!C52</f>
        <v>2.86</v>
      </c>
      <c r="D2" s="21">
        <f>'Entradas de población-año base'!C53</f>
        <v>5.07</v>
      </c>
      <c r="E2" s="21">
        <f>'Entradas de población-año base'!C54</f>
        <v>5.1219999999999999</v>
      </c>
      <c r="F2" s="21">
        <f>'Entradas de población-año base'!C55</f>
        <v>2.6173333333333342</v>
      </c>
    </row>
    <row r="3" spans="1:6" ht="15.75" customHeight="1" x14ac:dyDescent="0.25">
      <c r="A3" s="3" t="s">
        <v>6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236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M26/cgDT+NwR2c5suB77D+hrR9BQH0lqfuXTV/kPLipsL9goRqrU93WRaWDQOowjRfoH9iw61mRr/gtJ0vzXGw==" saltValue="E/XXuXI6mDQ8K1BBdD9jG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fjWss6+8fYDKPvrAl6tSDlrWxj4obi/avH3xgZuwDYMBsaKPxEimK2hk54lWDGTgqFbKKE/AxWQ7B4ShPzXXQ==" saltValue="c+6rEpyTf30ttsgLqIcJi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cUzLpsjDxbF5dCU7HYqcT8RImurZ+ZK0rmNc0WKwTO5HT5y6zLoFLPfqhI/MuyxUBroKvICupeLXrcdeDNmMA==" saltValue="Tb0wW+YJ+UNrVJS/KUDN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jan0gU6vkLSGIFxY7xQBw6RdxqwntidWRy851Sc0wQfDALKHix8Nh89vrhIFs0qBBp1+6ARMuQy5uww9W1+CQ==" saltValue="WUXdwmw69LM890XsgBVV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uPABsEz8uab6RcrTuaI2BTlMjDNQtIstlpjEGepbQo3T6ESj0ZP+uQk2OYua65Yak/ABAfRh9+KgJ9QQubZcw==" saltValue="7Nh4YIVpgXnPTe3Qk2Wa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8ncrjwoUfv9Ts6NrNTX7o4TEI/Q7kCY2HYr5LkflC5mvJKTMac9dHXE97/mWZBt93nfqfYxiBjAsR+75NYvFSQ==" saltValue="gPVhTAgvXNVBy4s1NHHC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UwDl6BlLlJ5J9VqUEp2aZY/ks4kghaV31SBlurDszyI/KbgTvOmkXtVUg7KqQRQubMSNeM/uf2xkYPcJLvbUiA==" saltValue="atgB8anfyhLcYx9oRHz5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s/tGenhrLFyW+AJlh2OtuE2wESs6ZGmip6+iPFIGu7JxJu7Nbg5Ep1qT33tka1TyWQlQoSp9eVX6AVDXZp5NQ==" saltValue="Kdf2BLwGYp6jHxp57fmYU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5SBSe4cxK+/mCvM1t+/Oa3fFjSInj75uLPITVLuYl4fw+0ZxYtCi4fHupSU3vZUEWFNoQTc8OaSLkqtninorA==" saltValue="SWU04zqi8qYhK5EneLo/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Vc/bxo11MmHK52FtsUAubTwVkI05W9ArsuFu64en3AfRQ8Xo9tobZ1MKqkia1Z+WQCh3oSvpzcnavAAV0GkYg==" saltValue="IodEgFmqQpcJWWxxTu2g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eoDUUJoPMe+fM2lC0wuZG++1hlAEG3L4bxrH7tHzuBGO1lstcUyRIPkycieDQ++HxYhKWgLvacRQ7E/FimSuw==" saltValue="vy8FzEyUdo1Sz7TpmC+u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TfGOGqPohHhy2aSCFPqz/4VrR2no7B4WrPHS/tJ+lLj+J7OvMRVy4nLuJi5+McLG+BIpXNiGsIiAIw/TbK/lA==" saltValue="pEwhTK+nsq/OjgefF3Ub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pNk3F3k6bbJ4x7RdUUCeJcOTkr1X92o0ZWIuQRlPCNl+L2xf2oNkTDdVMdd0Yg6H6ZPinrDIDcTrlyWF32EiA==" saltValue="1ZkxjR+ettlAKL/Vl6Ch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QDZhlgzj6iX+t/OnboNPd+yilCO357IGz7ZdBse4ALC7MKk6Cd6UPYi+cPOFua3odTf1/ixiY9LbwOWaytQQw==" saltValue="J8aOTynD/LhZeeaYLXU+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XcmY8TMV0+n5dlUNwRv61KgQFsPK30+kl0RuYg8qhE/eOf8d+AnM1QMZWdj/FuBu6BTEm2mnBwq/9djX/VrZg==" saltValue="Ex6NAUtdRFG3l5SXWn+P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BDPt2DtXUBmz8VubtV+h8ra75AMyiiz5BYkjg76WNjlUgjb7hMRd8MZpDP0DVhstwF51Yv9iWOPSsq3FvEwxA==" saltValue="/p4pTdCg50IMufsz5Mvi7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