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CDE19DED-1C7D-4712-A095-2AB7C29FF658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F116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A36" i="2"/>
  <c r="A31" i="2"/>
  <c r="A26" i="2"/>
  <c r="A23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2" i="2" l="1"/>
  <c r="I6" i="2"/>
  <c r="I12" i="2"/>
  <c r="A35" i="2"/>
  <c r="A37" i="2"/>
  <c r="I38" i="2"/>
  <c r="I2" i="2"/>
  <c r="I8" i="2"/>
  <c r="A19" i="2"/>
  <c r="I39" i="2"/>
  <c r="A24" i="2"/>
  <c r="A40" i="2"/>
  <c r="I4" i="2"/>
  <c r="A25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<sst xmlns="http://schemas.openxmlformats.org/spreadsheetml/2006/main" count="2169" uniqueCount="373">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</sst>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2494092</v>
      </c>
    </row>
    <row r="8" spans="1:3" ht="15" customHeight="1" x14ac:dyDescent="0.25">
      <c r="B8" s="5" t="s">
        <v>63</v>
      </c>
      <c r="C8" s="44">
        <v>0.39</v>
      </c>
    </row>
    <row r="9" spans="1:3" ht="15" customHeight="1" x14ac:dyDescent="0.25">
      <c r="B9" s="5" t="s">
        <v>62</v>
      </c>
      <c r="C9" s="45">
        <v>0.97</v>
      </c>
    </row>
    <row r="10" spans="1:3" ht="15" customHeight="1" x14ac:dyDescent="0.25">
      <c r="B10" s="5" t="s">
        <v>75</v>
      </c>
      <c r="C10" s="45">
        <v>0.39424589999999998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0.25600000000000001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7.9199999999999993E-2</v>
      </c>
    </row>
    <row r="24" spans="1:3" ht="15" customHeight="1" x14ac:dyDescent="0.25">
      <c r="B24" s="15" t="s">
        <v>65</v>
      </c>
      <c r="C24" s="45">
        <v>0.43070000000000003</v>
      </c>
    </row>
    <row r="25" spans="1:3" ht="15" customHeight="1" x14ac:dyDescent="0.25">
      <c r="B25" s="15" t="s">
        <v>66</v>
      </c>
      <c r="C25" s="45">
        <v>0.37840000000000001</v>
      </c>
    </row>
    <row r="26" spans="1:3" ht="15" customHeight="1" x14ac:dyDescent="0.25">
      <c r="B26" s="15" t="s">
        <v>67</v>
      </c>
      <c r="C26" s="45">
        <v>0.11169999999999999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0.242578564948118</v>
      </c>
    </row>
    <row r="30" spans="1:3" ht="14.25" customHeight="1" x14ac:dyDescent="0.25">
      <c r="B30" s="25" t="s">
        <v>82</v>
      </c>
      <c r="C30" s="97">
        <v>2.9913637194387301E-2</v>
      </c>
    </row>
    <row r="31" spans="1:3" ht="14.25" customHeight="1" x14ac:dyDescent="0.25">
      <c r="B31" s="25" t="s">
        <v>29</v>
      </c>
      <c r="C31" s="97">
        <v>7.7460320403722499E-2</v>
      </c>
    </row>
    <row r="32" spans="1:3" ht="14.25" customHeight="1" x14ac:dyDescent="0.25">
      <c r="B32" s="25" t="s">
        <v>30</v>
      </c>
      <c r="C32" s="97">
        <v>0.650047477453772</v>
      </c>
    </row>
    <row r="33" spans="1:5" ht="13.25" customHeight="1" x14ac:dyDescent="0.25">
      <c r="B33" s="27" t="s">
        <v>79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21.085819999999998</v>
      </c>
    </row>
    <row r="38" spans="1:5" ht="15" customHeight="1" x14ac:dyDescent="0.25">
      <c r="B38" s="11" t="s">
        <v>54</v>
      </c>
      <c r="C38" s="43">
        <v>29.13533</v>
      </c>
      <c r="D38" s="12"/>
      <c r="E38" s="13"/>
    </row>
    <row r="39" spans="1:5" ht="15" customHeight="1" x14ac:dyDescent="0.25">
      <c r="B39" s="11" t="s">
        <v>80</v>
      </c>
      <c r="C39" s="43">
        <v>38.59986</v>
      </c>
      <c r="D39" s="12"/>
      <c r="E39" s="12"/>
    </row>
    <row r="40" spans="1:5" ht="15" customHeight="1" x14ac:dyDescent="0.25">
      <c r="B40" s="11" t="s">
        <v>55</v>
      </c>
      <c r="C40" s="98">
        <v>2.61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19.10577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7.9200999999999994E-3</v>
      </c>
      <c r="D45" s="12"/>
    </row>
    <row r="46" spans="1:5" ht="15.75" customHeight="1" x14ac:dyDescent="0.25">
      <c r="B46" s="11" t="s">
        <v>70</v>
      </c>
      <c r="C46" s="45">
        <v>8.5099999999999995E-2</v>
      </c>
      <c r="D46" s="12"/>
    </row>
    <row r="47" spans="1:5" ht="15.75" customHeight="1" x14ac:dyDescent="0.25">
      <c r="B47" s="11" t="s">
        <v>78</v>
      </c>
      <c r="C47" s="45">
        <v>7.3468800000000001E-2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2.86</v>
      </c>
      <c r="D51" s="12"/>
    </row>
    <row r="52" spans="1:4" ht="15" customHeight="1" x14ac:dyDescent="0.25">
      <c r="B52" s="11" t="s">
        <v>32</v>
      </c>
      <c r="C52" s="98">
        <v>2.86</v>
      </c>
    </row>
    <row r="53" spans="1:4" ht="15.75" customHeight="1" x14ac:dyDescent="0.25">
      <c r="B53" s="11" t="s">
        <v>35</v>
      </c>
      <c r="C53" s="98">
        <v>5.07</v>
      </c>
    </row>
    <row r="54" spans="1:4" ht="15.75" customHeight="1" x14ac:dyDescent="0.25">
      <c r="B54" s="11" t="s">
        <v>33</v>
      </c>
      <c r="C54" s="98">
        <v>5.1219999999999999</v>
      </c>
    </row>
    <row r="55" spans="1:4" ht="15.75" customHeight="1" x14ac:dyDescent="0.25">
      <c r="B55" s="11" t="s">
        <v>34</v>
      </c>
      <c r="C55" s="98">
        <v>2.6173333333333342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0.39979100000000012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0.18459738000000001</v>
      </c>
    </row>
    <row r="63" spans="1:4" ht="15.75" customHeight="1" x14ac:dyDescent="0.3">
      <c r="A63" s="4"/>
    </row>
  </sheetData>
  <sheetProtection algorithmName="SHA-512" hashValue="RkUl1pLNtN9acwf6Q0FajNgFy7lxFSo7RFatflxGhy2sCD6y4gwvGBiwYoUosQwUOY5PMIDQbWStkNcMmenngw==" saltValue="tS8TzgqNEDkneNDN1lHX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539970</v>
      </c>
      <c r="C2" s="49">
        <v>989993.5</v>
      </c>
      <c r="D2" s="49">
        <v>1661601.9999999998</v>
      </c>
      <c r="E2" s="49">
        <v>1192042.5</v>
      </c>
      <c r="F2" s="49">
        <v>802549.50000000012</v>
      </c>
      <c r="G2" s="17">
        <f t="shared" ref="G2:G13" si="0">C2+D2+E2+F2</f>
        <v>4646187.5</v>
      </c>
      <c r="H2" s="17">
        <f t="shared" ref="H2:H13" si="1">(B2 + stillbirth*B2/(1000-stillbirth))/(1-abortion)</f>
        <v>625553.9628643475</v>
      </c>
      <c r="I2" s="17">
        <f t="shared" ref="I2:I13" si="2">G2-H2</f>
        <v>4020633.5371356523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547717</v>
      </c>
      <c r="C3" s="50">
        <v>1007154.5</v>
      </c>
      <c r="D3" s="50">
        <v>1697374.5</v>
      </c>
      <c r="E3" s="50">
        <v>1237650</v>
      </c>
      <c r="F3" s="50">
        <v>837357</v>
      </c>
      <c r="G3" s="17">
        <f t="shared" si="0"/>
        <v>4779536</v>
      </c>
      <c r="H3" s="17">
        <f t="shared" si="1"/>
        <v>634528.84396942763</v>
      </c>
      <c r="I3" s="17">
        <f t="shared" si="2"/>
        <v>4145007.1560305725</v>
      </c>
    </row>
    <row r="4" spans="1:9" ht="15.75" customHeight="1" x14ac:dyDescent="0.25">
      <c r="A4" s="5">
        <f t="shared" si="3"/>
        <v>2026</v>
      </c>
      <c r="B4" s="49">
        <v>554508</v>
      </c>
      <c r="C4" s="50">
        <v>1024482</v>
      </c>
      <c r="D4" s="50">
        <v>1729664.4999999998</v>
      </c>
      <c r="E4" s="50">
        <v>1284886</v>
      </c>
      <c r="F4" s="50">
        <v>873574.5</v>
      </c>
      <c r="G4" s="17">
        <f t="shared" si="0"/>
        <v>4912607</v>
      </c>
      <c r="H4" s="17">
        <f t="shared" si="1"/>
        <v>642396.20134448865</v>
      </c>
      <c r="I4" s="17">
        <f t="shared" si="2"/>
        <v>4270210.7986555118</v>
      </c>
    </row>
    <row r="5" spans="1:9" ht="15.75" customHeight="1" x14ac:dyDescent="0.25">
      <c r="A5" s="5">
        <f t="shared" si="3"/>
        <v>2027</v>
      </c>
      <c r="B5" s="49">
        <v>561854</v>
      </c>
      <c r="C5" s="50">
        <v>1040532.5</v>
      </c>
      <c r="D5" s="50">
        <v>1759675.4999999998</v>
      </c>
      <c r="E5" s="50">
        <v>1333868</v>
      </c>
      <c r="F5" s="50">
        <v>910863</v>
      </c>
      <c r="G5" s="17">
        <f t="shared" si="0"/>
        <v>5044939</v>
      </c>
      <c r="H5" s="17">
        <f t="shared" si="1"/>
        <v>650906.52490172628</v>
      </c>
      <c r="I5" s="17">
        <f t="shared" si="2"/>
        <v>4394032.4750982737</v>
      </c>
    </row>
    <row r="6" spans="1:9" ht="15.75" customHeight="1" x14ac:dyDescent="0.25">
      <c r="A6" s="5">
        <f t="shared" si="3"/>
        <v>2028</v>
      </c>
      <c r="B6" s="49">
        <v>569729</v>
      </c>
      <c r="C6" s="50">
        <v>1053732</v>
      </c>
      <c r="D6" s="50">
        <v>1788448.5</v>
      </c>
      <c r="E6" s="50">
        <v>1384460</v>
      </c>
      <c r="F6" s="50">
        <v>948849.5</v>
      </c>
      <c r="G6" s="17">
        <f t="shared" si="0"/>
        <v>5175490</v>
      </c>
      <c r="H6" s="17">
        <f t="shared" si="1"/>
        <v>660029.69370287587</v>
      </c>
      <c r="I6" s="17">
        <f t="shared" si="2"/>
        <v>4515460.3062971244</v>
      </c>
    </row>
    <row r="7" spans="1:9" ht="15.75" customHeight="1" x14ac:dyDescent="0.25">
      <c r="A7" s="5">
        <f t="shared" si="3"/>
        <v>2029</v>
      </c>
      <c r="B7" s="49">
        <v>576223</v>
      </c>
      <c r="C7" s="50">
        <v>1063259</v>
      </c>
      <c r="D7" s="50">
        <v>1816497.5</v>
      </c>
      <c r="E7" s="50">
        <v>1436074</v>
      </c>
      <c r="F7" s="50">
        <v>987299.5</v>
      </c>
      <c r="G7" s="17">
        <f t="shared" si="0"/>
        <v>5303130</v>
      </c>
      <c r="H7" s="17">
        <f t="shared" si="1"/>
        <v>667552.97728315077</v>
      </c>
      <c r="I7" s="17">
        <f t="shared" si="2"/>
        <v>4635577.0227168491</v>
      </c>
    </row>
    <row r="8" spans="1:9" ht="15.75" customHeight="1" x14ac:dyDescent="0.25">
      <c r="A8" s="5">
        <f t="shared" si="3"/>
        <v>2030</v>
      </c>
      <c r="B8" s="49">
        <v>582352</v>
      </c>
      <c r="C8" s="50">
        <v>1069768</v>
      </c>
      <c r="D8" s="50">
        <v>1844063.5</v>
      </c>
      <c r="E8" s="50">
        <v>1487766</v>
      </c>
      <c r="F8" s="50">
        <v>1026365.4999999999</v>
      </c>
      <c r="G8" s="17">
        <f t="shared" si="0"/>
        <v>5427963</v>
      </c>
      <c r="H8" s="17">
        <f t="shared" si="1"/>
        <v>674653.40923010255</v>
      </c>
      <c r="I8" s="17">
        <f t="shared" si="2"/>
        <v>4753309.5907698972</v>
      </c>
    </row>
    <row r="9" spans="1:9" ht="15.75" customHeight="1" x14ac:dyDescent="0.25">
      <c r="A9" s="5">
        <f t="shared" si="3"/>
        <v>2031</v>
      </c>
      <c r="B9" s="49">
        <v>586157</v>
      </c>
      <c r="C9" s="50">
        <v>1074621</v>
      </c>
      <c r="D9" s="50">
        <v>1871230.5000000002</v>
      </c>
      <c r="E9" s="50">
        <v>1538317.5</v>
      </c>
      <c r="F9" s="50">
        <v>1066314</v>
      </c>
      <c r="G9" s="17">
        <f t="shared" si="0"/>
        <v>5550483</v>
      </c>
      <c r="H9" s="17">
        <f t="shared" si="1"/>
        <v>679061.49269529292</v>
      </c>
      <c r="I9" s="17">
        <f t="shared" si="2"/>
        <v>4871421.5073047075</v>
      </c>
    </row>
    <row r="10" spans="1:9" ht="15.75" customHeight="1" x14ac:dyDescent="0.25">
      <c r="A10" s="5">
        <f t="shared" si="3"/>
        <v>2032</v>
      </c>
      <c r="B10" s="49">
        <v>591275</v>
      </c>
      <c r="C10" s="50">
        <v>1079238.5</v>
      </c>
      <c r="D10" s="50">
        <v>1897502</v>
      </c>
      <c r="E10" s="50">
        <v>1586377.5</v>
      </c>
      <c r="F10" s="50">
        <v>1107338</v>
      </c>
      <c r="G10" s="17">
        <f t="shared" si="0"/>
        <v>5670456</v>
      </c>
      <c r="H10" s="17">
        <f t="shared" si="1"/>
        <v>684990.68354282097</v>
      </c>
      <c r="I10" s="17">
        <f t="shared" si="2"/>
        <v>4985465.3164571794</v>
      </c>
    </row>
    <row r="11" spans="1:9" ht="15.75" customHeight="1" x14ac:dyDescent="0.25">
      <c r="A11" s="5">
        <f t="shared" si="3"/>
        <v>2033</v>
      </c>
      <c r="B11" s="49">
        <v>594657</v>
      </c>
      <c r="C11" s="50">
        <v>1085101.5</v>
      </c>
      <c r="D11" s="50">
        <v>1922300</v>
      </c>
      <c r="E11" s="50">
        <v>1630815.5</v>
      </c>
      <c r="F11" s="50">
        <v>1149697.9999999998</v>
      </c>
      <c r="G11" s="17">
        <f t="shared" si="0"/>
        <v>5787915</v>
      </c>
      <c r="H11" s="17">
        <f t="shared" si="1"/>
        <v>688908.72251240676</v>
      </c>
      <c r="I11" s="17">
        <f t="shared" si="2"/>
        <v>5099006.2774875928</v>
      </c>
    </row>
    <row r="12" spans="1:9" ht="15.75" customHeight="1" x14ac:dyDescent="0.25">
      <c r="A12" s="5">
        <f t="shared" si="3"/>
        <v>2034</v>
      </c>
      <c r="B12" s="49">
        <v>598875</v>
      </c>
      <c r="C12" s="50">
        <v>1093224.5</v>
      </c>
      <c r="D12" s="50">
        <v>1945360</v>
      </c>
      <c r="E12" s="50">
        <v>1671012.4999999998</v>
      </c>
      <c r="F12" s="50">
        <v>1193609</v>
      </c>
      <c r="G12" s="17">
        <f t="shared" si="0"/>
        <v>5903206</v>
      </c>
      <c r="H12" s="17">
        <f t="shared" si="1"/>
        <v>693795.26549694629</v>
      </c>
      <c r="I12" s="17">
        <f t="shared" si="2"/>
        <v>5209410.7345030541</v>
      </c>
    </row>
    <row r="13" spans="1:9" ht="15.75" customHeight="1" x14ac:dyDescent="0.25">
      <c r="A13" s="5">
        <f t="shared" si="3"/>
        <v>2035</v>
      </c>
      <c r="B13" s="49">
        <v>601511</v>
      </c>
      <c r="C13" s="50">
        <v>1103819</v>
      </c>
      <c r="D13" s="50">
        <v>1966943.5</v>
      </c>
      <c r="E13" s="50">
        <v>1707273</v>
      </c>
      <c r="F13" s="50">
        <v>1239236.5</v>
      </c>
      <c r="G13" s="17">
        <f t="shared" si="0"/>
        <v>6017272</v>
      </c>
      <c r="H13" s="17">
        <f t="shared" si="1"/>
        <v>696849.06523787719</v>
      </c>
      <c r="I13" s="17">
        <f t="shared" si="2"/>
        <v>5320422.934762123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btfmzSFD1qotha9/uLWGqa9uaOG3c8WVvQXgzJePMKxetyI9mNhkm2CVheygp+YmleTVSK9R3NDPPdPRC8RvsQ==" saltValue="TgzTBx93TPVHhPAgE1OdO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1.9163107671874811E-2</v>
      </c>
    </row>
    <row r="4" spans="1:8" ht="15.75" customHeight="1" x14ac:dyDescent="0.25">
      <c r="B4" s="19" t="s">
        <v>116</v>
      </c>
      <c r="C4" s="99">
        <v>6.6585652585627084E-2</v>
      </c>
    </row>
    <row r="5" spans="1:8" ht="15.75" customHeight="1" x14ac:dyDescent="0.25">
      <c r="B5" s="19" t="s">
        <v>114</v>
      </c>
      <c r="C5" s="99">
        <v>9.5974679115321399E-2</v>
      </c>
    </row>
    <row r="6" spans="1:8" ht="15.75" customHeight="1" x14ac:dyDescent="0.25">
      <c r="B6" s="19" t="s">
        <v>110</v>
      </c>
      <c r="C6" s="99">
        <v>0.2538181028161321</v>
      </c>
    </row>
    <row r="7" spans="1:8" ht="15.75" customHeight="1" x14ac:dyDescent="0.25">
      <c r="B7" s="19" t="s">
        <v>115</v>
      </c>
      <c r="C7" s="99">
        <v>0.38359173784406131</v>
      </c>
    </row>
    <row r="8" spans="1:8" ht="15.75" customHeight="1" x14ac:dyDescent="0.25">
      <c r="B8" s="19" t="s">
        <v>117</v>
      </c>
      <c r="C8" s="99">
        <v>2.9726612985585608E-3</v>
      </c>
    </row>
    <row r="9" spans="1:8" ht="15.75" customHeight="1" x14ac:dyDescent="0.25">
      <c r="B9" s="19" t="s">
        <v>111</v>
      </c>
      <c r="C9" s="99">
        <v>6.6210256446675886E-2</v>
      </c>
    </row>
    <row r="10" spans="1:8" ht="15.75" customHeight="1" x14ac:dyDescent="0.25">
      <c r="B10" s="19" t="s">
        <v>113</v>
      </c>
      <c r="C10" s="99">
        <v>0.1116838022217489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0.1857196729069864</v>
      </c>
      <c r="D14" s="55">
        <v>0.1857196729069864</v>
      </c>
      <c r="E14" s="55">
        <v>0.1857196729069864</v>
      </c>
      <c r="F14" s="55">
        <v>0.1857196729069864</v>
      </c>
    </row>
    <row r="15" spans="1:8" ht="15.75" customHeight="1" x14ac:dyDescent="0.25">
      <c r="B15" s="19" t="s">
        <v>121</v>
      </c>
      <c r="C15" s="99">
        <v>0.26208816969300658</v>
      </c>
      <c r="D15" s="99">
        <v>0.26208816969300658</v>
      </c>
      <c r="E15" s="99">
        <v>0.26208816969300658</v>
      </c>
      <c r="F15" s="99">
        <v>0.26208816969300658</v>
      </c>
    </row>
    <row r="16" spans="1:8" ht="15.75" customHeight="1" x14ac:dyDescent="0.25">
      <c r="B16" s="19" t="s">
        <v>2</v>
      </c>
      <c r="C16" s="99">
        <v>2.3929564889798131E-2</v>
      </c>
      <c r="D16" s="99">
        <v>2.3929564889798131E-2</v>
      </c>
      <c r="E16" s="99">
        <v>2.3929564889798131E-2</v>
      </c>
      <c r="F16" s="99">
        <v>2.3929564889798131E-2</v>
      </c>
    </row>
    <row r="17" spans="1:8" ht="15.75" customHeight="1" x14ac:dyDescent="0.25">
      <c r="B17" s="19" t="s">
        <v>109</v>
      </c>
      <c r="C17" s="99">
        <v>1.366540706556877E-2</v>
      </c>
      <c r="D17" s="99">
        <v>1.366540706556877E-2</v>
      </c>
      <c r="E17" s="99">
        <v>1.366540706556877E-2</v>
      </c>
      <c r="F17" s="99">
        <v>1.366540706556877E-2</v>
      </c>
    </row>
    <row r="18" spans="1:8" ht="15.75" customHeight="1" x14ac:dyDescent="0.25">
      <c r="B18" s="19" t="s">
        <v>3</v>
      </c>
      <c r="C18" s="99">
        <v>0.1121344881000229</v>
      </c>
      <c r="D18" s="99">
        <v>0.1121344881000229</v>
      </c>
      <c r="E18" s="99">
        <v>0.1121344881000229</v>
      </c>
      <c r="F18" s="99">
        <v>0.1121344881000229</v>
      </c>
    </row>
    <row r="19" spans="1:8" ht="15.75" customHeight="1" x14ac:dyDescent="0.25">
      <c r="B19" s="19" t="s">
        <v>120</v>
      </c>
      <c r="C19" s="99">
        <v>4.3931608499606992E-2</v>
      </c>
      <c r="D19" s="99">
        <v>4.3931608499606992E-2</v>
      </c>
      <c r="E19" s="99">
        <v>4.3931608499606992E-2</v>
      </c>
      <c r="F19" s="99">
        <v>4.3931608499606992E-2</v>
      </c>
    </row>
    <row r="20" spans="1:8" ht="15.75" customHeight="1" x14ac:dyDescent="0.25">
      <c r="B20" s="19" t="s">
        <v>98</v>
      </c>
      <c r="C20" s="99">
        <v>1.9269942667465779E-2</v>
      </c>
      <c r="D20" s="99">
        <v>1.9269942667465779E-2</v>
      </c>
      <c r="E20" s="99">
        <v>1.9269942667465779E-2</v>
      </c>
      <c r="F20" s="99">
        <v>1.9269942667465779E-2</v>
      </c>
    </row>
    <row r="21" spans="1:8" ht="15.75" customHeight="1" x14ac:dyDescent="0.25">
      <c r="B21" s="19" t="s">
        <v>107</v>
      </c>
      <c r="C21" s="99">
        <v>0.1453562135370326</v>
      </c>
      <c r="D21" s="99">
        <v>0.1453562135370326</v>
      </c>
      <c r="E21" s="99">
        <v>0.1453562135370326</v>
      </c>
      <c r="F21" s="99">
        <v>0.1453562135370326</v>
      </c>
    </row>
    <row r="22" spans="1:8" ht="15.75" customHeight="1" x14ac:dyDescent="0.25">
      <c r="B22" s="19" t="s">
        <v>118</v>
      </c>
      <c r="C22" s="99">
        <v>0.1939049326405119</v>
      </c>
      <c r="D22" s="99">
        <v>0.1939049326405119</v>
      </c>
      <c r="E22" s="99">
        <v>0.1939049326405119</v>
      </c>
      <c r="F22" s="99">
        <v>0.1939049326405119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8.8209145000000003E-2</v>
      </c>
    </row>
    <row r="27" spans="1:8" ht="15.75" customHeight="1" x14ac:dyDescent="0.25">
      <c r="B27" s="19" t="s">
        <v>108</v>
      </c>
      <c r="C27" s="99">
        <v>8.6061309999999995E-3</v>
      </c>
    </row>
    <row r="28" spans="1:8" ht="15.75" customHeight="1" x14ac:dyDescent="0.25">
      <c r="B28" s="19" t="s">
        <v>122</v>
      </c>
      <c r="C28" s="99">
        <v>0.158177228</v>
      </c>
    </row>
    <row r="29" spans="1:8" ht="15.75" customHeight="1" x14ac:dyDescent="0.25">
      <c r="B29" s="19" t="s">
        <v>105</v>
      </c>
      <c r="C29" s="99">
        <v>0.16895537699999999</v>
      </c>
    </row>
    <row r="30" spans="1:8" ht="15.75" customHeight="1" x14ac:dyDescent="0.25">
      <c r="B30" s="19" t="s">
        <v>4</v>
      </c>
      <c r="C30" s="99">
        <v>0.10501387</v>
      </c>
    </row>
    <row r="31" spans="1:8" ht="15.75" customHeight="1" x14ac:dyDescent="0.25">
      <c r="B31" s="19" t="s">
        <v>99</v>
      </c>
      <c r="C31" s="99">
        <v>0.110556312</v>
      </c>
    </row>
    <row r="32" spans="1:8" ht="15.75" customHeight="1" x14ac:dyDescent="0.25">
      <c r="B32" s="19" t="s">
        <v>104</v>
      </c>
      <c r="C32" s="99">
        <v>1.8813532000000001E-2</v>
      </c>
    </row>
    <row r="33" spans="2:3" ht="15.75" customHeight="1" x14ac:dyDescent="0.25">
      <c r="B33" s="19" t="s">
        <v>119</v>
      </c>
      <c r="C33" s="99">
        <v>8.3149402999999997E-2</v>
      </c>
    </row>
    <row r="34" spans="2:3" ht="15.75" customHeight="1" x14ac:dyDescent="0.25">
      <c r="B34" s="19" t="s">
        <v>106</v>
      </c>
      <c r="C34" s="99">
        <v>0.25851900100000003</v>
      </c>
    </row>
    <row r="35" spans="2:3" ht="15.75" customHeight="1" x14ac:dyDescent="0.25">
      <c r="B35" s="27" t="s">
        <v>79</v>
      </c>
      <c r="C35" s="48">
        <f>SUM(C26:C34)</f>
        <v>0.99999999900000003</v>
      </c>
    </row>
  </sheetData>
  <sheetProtection algorithmName="SHA-512" hashValue="DXLFNL7meM1Ubgvfw3nFsVFJC6QmXLZ6m381tRT3u1xsef2BKGYhIQx17XqaLB0b1YT53Jtq46pOvFlLTRMbVg==" saltValue="ze50+f5Kr7wL80jV2sxUQ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0.53948153243197172</v>
      </c>
      <c r="D2" s="52">
        <f>IFERROR(1-_xlfn.NORM.DIST(_xlfn.NORM.INV(SUM(D4:D5), 0, 1) + 1, 0, 1, TRUE), "")</f>
        <v>0.53948153243197172</v>
      </c>
      <c r="E2" s="52">
        <f>IFERROR(1-_xlfn.NORM.DIST(_xlfn.NORM.INV(SUM(E4:E5), 0, 1) + 1, 0, 1, TRUE), "")</f>
        <v>0.5696752209710203</v>
      </c>
      <c r="F2" s="52">
        <f>IFERROR(1-_xlfn.NORM.DIST(_xlfn.NORM.INV(SUM(F4:F5), 0, 1) + 1, 0, 1, TRUE), "")</f>
        <v>0.38974161566414511</v>
      </c>
      <c r="G2" s="52">
        <f>IFERROR(1-_xlfn.NORM.DIST(_xlfn.NORM.INV(SUM(G4:G5), 0, 1) + 1, 0, 1, TRUE), "")</f>
        <v>0.46954204448859327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0.32466226756802835</v>
      </c>
      <c r="D3" s="52">
        <f>IFERROR(_xlfn.NORM.DIST(_xlfn.NORM.INV(SUM(D4:D5), 0, 1) + 1, 0, 1, TRUE) - SUM(D4:D5), "")</f>
        <v>0.32466226756802835</v>
      </c>
      <c r="E3" s="52">
        <f>IFERROR(_xlfn.NORM.DIST(_xlfn.NORM.INV(SUM(E4:E5), 0, 1) + 1, 0, 1, TRUE) - SUM(E4:E5), "")</f>
        <v>0.31043687902897965</v>
      </c>
      <c r="F3" s="52">
        <f>IFERROR(_xlfn.NORM.DIST(_xlfn.NORM.INV(SUM(F4:F5), 0, 1) + 1, 0, 1, TRUE) - SUM(F4:F5), "")</f>
        <v>0.37449818433585491</v>
      </c>
      <c r="G3" s="52">
        <f>IFERROR(_xlfn.NORM.DIST(_xlfn.NORM.INV(SUM(G4:G5), 0, 1) + 1, 0, 1, TRUE) - SUM(G4:G5), "")</f>
        <v>0.3526051555114067</v>
      </c>
    </row>
    <row r="4" spans="1:15" ht="15.75" customHeight="1" x14ac:dyDescent="0.25">
      <c r="B4" s="5" t="s">
        <v>129</v>
      </c>
      <c r="C4" s="45">
        <v>7.6703599999999997E-2</v>
      </c>
      <c r="D4" s="53">
        <v>7.6703599999999997E-2</v>
      </c>
      <c r="E4" s="53">
        <v>9.0018600000000004E-2</v>
      </c>
      <c r="F4" s="53">
        <v>0.17188490000000001</v>
      </c>
      <c r="G4" s="53">
        <v>0.13089200000000001</v>
      </c>
    </row>
    <row r="5" spans="1:15" ht="15.75" customHeight="1" x14ac:dyDescent="0.25">
      <c r="B5" s="5" t="s">
        <v>125</v>
      </c>
      <c r="C5" s="45">
        <v>5.91526E-2</v>
      </c>
      <c r="D5" s="53">
        <v>5.91526E-2</v>
      </c>
      <c r="E5" s="53">
        <v>2.9869300000000001E-2</v>
      </c>
      <c r="F5" s="53">
        <v>6.3875299999999996E-2</v>
      </c>
      <c r="G5" s="53">
        <v>4.6960799999999997E-2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0.70350174372810925</v>
      </c>
      <c r="D8" s="52">
        <f>IFERROR(1-_xlfn.NORM.DIST(_xlfn.NORM.INV(SUM(D10:D11), 0, 1) + 1, 0, 1, TRUE), "")</f>
        <v>0.70350174372810925</v>
      </c>
      <c r="E8" s="52">
        <f>IFERROR(1-_xlfn.NORM.DIST(_xlfn.NORM.INV(SUM(E10:E11), 0, 1) + 1, 0, 1, TRUE), "")</f>
        <v>0.65058349310231678</v>
      </c>
      <c r="F8" s="52">
        <f>IFERROR(1-_xlfn.NORM.DIST(_xlfn.NORM.INV(SUM(F10:F11), 0, 1) + 1, 0, 1, TRUE), "")</f>
        <v>0.65667966159705382</v>
      </c>
      <c r="G8" s="52">
        <f>IFERROR(1-_xlfn.NORM.DIST(_xlfn.NORM.INV(SUM(G10:G11), 0, 1) + 1, 0, 1, TRUE), "")</f>
        <v>0.64544367026514549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0.23404475627189075</v>
      </c>
      <c r="D9" s="52">
        <f>IFERROR(_xlfn.NORM.DIST(_xlfn.NORM.INV(SUM(D10:D11), 0, 1) + 1, 0, 1, TRUE) - SUM(D10:D11), "")</f>
        <v>0.23404475627189075</v>
      </c>
      <c r="E9" s="52">
        <f>IFERROR(_xlfn.NORM.DIST(_xlfn.NORM.INV(SUM(E10:E11), 0, 1) + 1, 0, 1, TRUE) - SUM(E10:E11), "")</f>
        <v>0.26667980689768322</v>
      </c>
      <c r="F9" s="52">
        <f>IFERROR(_xlfn.NORM.DIST(_xlfn.NORM.INV(SUM(F10:F11), 0, 1) + 1, 0, 1, TRUE) - SUM(F10:F11), "")</f>
        <v>0.26307423840294619</v>
      </c>
      <c r="G9" s="52">
        <f>IFERROR(_xlfn.NORM.DIST(_xlfn.NORM.INV(SUM(G10:G11), 0, 1) + 1, 0, 1, TRUE) - SUM(G10:G11), "")</f>
        <v>0.26968762973485449</v>
      </c>
    </row>
    <row r="10" spans="1:15" ht="15.75" customHeight="1" x14ac:dyDescent="0.25">
      <c r="B10" s="5" t="s">
        <v>126</v>
      </c>
      <c r="C10" s="45">
        <v>4.6631199999999998E-2</v>
      </c>
      <c r="D10" s="53">
        <v>4.6631199999999998E-2</v>
      </c>
      <c r="E10" s="53">
        <v>7.1761199999999997E-2</v>
      </c>
      <c r="F10" s="53">
        <v>6.1308799999999997E-2</v>
      </c>
      <c r="G10" s="53">
        <v>7.5502899999999998E-2</v>
      </c>
    </row>
    <row r="11" spans="1:15" ht="15.75" customHeight="1" x14ac:dyDescent="0.25">
      <c r="B11" s="5" t="s">
        <v>138</v>
      </c>
      <c r="C11" s="45">
        <v>1.5822300000000001E-2</v>
      </c>
      <c r="D11" s="53">
        <v>1.5822300000000001E-2</v>
      </c>
      <c r="E11" s="53">
        <v>1.0975499999999999E-2</v>
      </c>
      <c r="F11" s="53">
        <v>1.8937300000000001E-2</v>
      </c>
      <c r="G11" s="53">
        <v>9.3658000000000005E-3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0.89921624824999991</v>
      </c>
      <c r="D14" s="54">
        <v>0.88454178175099996</v>
      </c>
      <c r="E14" s="54">
        <v>0.88454178175099996</v>
      </c>
      <c r="F14" s="54">
        <v>0.71638189990300005</v>
      </c>
      <c r="G14" s="54">
        <v>0.71638189990300005</v>
      </c>
      <c r="H14" s="45">
        <v>0.58099999999999985</v>
      </c>
      <c r="I14" s="55">
        <v>0.58099999999999985</v>
      </c>
      <c r="J14" s="55">
        <v>0.58099999999999985</v>
      </c>
      <c r="K14" s="55">
        <v>0.58099999999999985</v>
      </c>
      <c r="L14" s="45">
        <v>0.49099999999999999</v>
      </c>
      <c r="M14" s="55">
        <v>0.49099999999999999</v>
      </c>
      <c r="N14" s="55">
        <v>0.49099999999999999</v>
      </c>
      <c r="O14" s="55">
        <v>0.49099999999999999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0.35949856310411582</v>
      </c>
      <c r="D15" s="52">
        <f t="shared" si="0"/>
        <v>0.35363184346801413</v>
      </c>
      <c r="E15" s="52">
        <f t="shared" si="0"/>
        <v>0.35363184346801413</v>
      </c>
      <c r="F15" s="52">
        <f t="shared" si="0"/>
        <v>0.28640303614412038</v>
      </c>
      <c r="G15" s="52">
        <f t="shared" si="0"/>
        <v>0.28640303614412038</v>
      </c>
      <c r="H15" s="52">
        <f t="shared" si="0"/>
        <v>0.23227857100000002</v>
      </c>
      <c r="I15" s="52">
        <f t="shared" si="0"/>
        <v>0.23227857100000002</v>
      </c>
      <c r="J15" s="52">
        <f t="shared" si="0"/>
        <v>0.23227857100000002</v>
      </c>
      <c r="K15" s="52">
        <f t="shared" si="0"/>
        <v>0.23227857100000002</v>
      </c>
      <c r="L15" s="52">
        <f t="shared" si="0"/>
        <v>0.19629738100000005</v>
      </c>
      <c r="M15" s="52">
        <f t="shared" si="0"/>
        <v>0.19629738100000005</v>
      </c>
      <c r="N15" s="52">
        <f t="shared" si="0"/>
        <v>0.19629738100000005</v>
      </c>
      <c r="O15" s="52">
        <f t="shared" si="0"/>
        <v>0.19629738100000005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2f+SAQgbys9d/5O5SJXEUqh087ccBprusS3GTf7tvyZXX7WFGxBhrOQUK2bLxhziX7LahCCS8kiO3vcbwisMhQ==" saltValue="lGHNBKCj3DF5aZVax85PX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0.60487789999999997</v>
      </c>
      <c r="D2" s="53">
        <v>0.34281080000000003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0.27744210000000002</v>
      </c>
      <c r="D3" s="53">
        <v>0.48379250000000001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9.1609400000000007E-2</v>
      </c>
      <c r="D4" s="53">
        <v>0.1704386</v>
      </c>
      <c r="E4" s="53">
        <v>0.99060590000000004</v>
      </c>
      <c r="F4" s="53">
        <v>0.71512950000000008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2.6070599999999944E-2</v>
      </c>
      <c r="D5" s="52">
        <f t="shared" si="0"/>
        <v>2.9580999999999635E-3</v>
      </c>
      <c r="E5" s="52">
        <f>1-SUM(E2:E4)</f>
        <v>9.3940999999999608E-3</v>
      </c>
      <c r="F5" s="52">
        <f>1-SUM(F2:F4)</f>
        <v>0.28487049999999992</v>
      </c>
      <c r="G5" s="52">
        <f>1-SUM(G2:G4)</f>
        <v>1</v>
      </c>
    </row>
  </sheetData>
  <sheetProtection algorithmName="SHA-512" hashValue="A22G60MbFfc6UMGoZ/w/aTpEja/dCkRxVENpl9xr0y2lv5MxihndLKR5tgni7IV/IQNA69BwLSNoMAQLmmTYZw==" saltValue="Qi72+mhtnugf5DqY3dmfv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Cv1bpHP8ciywSKwmQR9jOxX5dNtB/KT+bsqtgjT+t1mjHVKgqfhNxFyPwKhefFvUtKzG1vePS0MNgx7a3ZQmtg==" saltValue="U+n681gUF89MH0jG5vFbk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1598.7264333601199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0.43664999999999998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0.38732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1.7766015389892271E-2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95468.383170000001</v>
      </c>
      <c r="C22" s="107">
        <v>94921.576360000006</v>
      </c>
      <c r="D22" s="107">
        <v>94485.240349999993</v>
      </c>
      <c r="E22" s="107">
        <v>94018.666400000002</v>
      </c>
      <c r="F22" s="107">
        <v>93352.835420000003</v>
      </c>
      <c r="G22" s="107">
        <v>92565.650320000001</v>
      </c>
      <c r="H22" s="107">
        <v>91574.268469999995</v>
      </c>
      <c r="I22" s="107">
        <v>90278.237789999999</v>
      </c>
      <c r="J22" s="107">
        <v>88443.745009999999</v>
      </c>
      <c r="K22" s="107">
        <v>85966.400680000006</v>
      </c>
      <c r="L22" s="107">
        <v>82363.543699999995</v>
      </c>
      <c r="M22" s="107">
        <v>77379.659270000004</v>
      </c>
      <c r="N22" s="107">
        <v>70119.644929999995</v>
      </c>
      <c r="O22" s="107">
        <v>60593.780740000002</v>
      </c>
    </row>
  </sheetData>
  <sheetProtection algorithmName="SHA-512" hashValue="IxXz2IPhQdlPvSFYE12+okV1/8lNtWv0gwNAqy83lRxol6tGbxpBotyKJd2g7ZFjhFx3zh0jbYAqAXMKRn3eeg==" saltValue="xlDfdcwFOF0N3Dtmg42rG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PLGpWCbh6TlbxCvAHIPpBnbSlLPTUjWwlBV/rSuQl3LMbbzjvCXsjDtOa2L0XKSzoBuE07R12+BrfhSvBSsZMg==" saltValue="hjYnIL19ZcUl9oMMX/++F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FFdJznEdMNDTuJBmcEhDvD0ndme+xWv3Z4ZuKIjCVLKgDlG/mLrDQv8e79T8jviF00FoecJKd6rPiwp+Pncj0Q==" saltValue="gvjHdWH2+CnpF1RxNIeSq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18.025735670419653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18.025735670419653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5.2668836507008754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0.56149571024496792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0.19283527130965261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0.70706266146872643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8.3296326652261374E-2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0.64956370000000008</v>
      </c>
      <c r="C10" s="96">
        <v>0.95</v>
      </c>
      <c r="D10" s="56">
        <v>13.53368651819329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13.53368651819329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13.53368651819329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13.53368651819329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0.64956370000000008</v>
      </c>
      <c r="C14" s="96">
        <v>0.95</v>
      </c>
      <c r="D14" s="56">
        <v>13.53368651819329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13.53368651819329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0.68053489999999994</v>
      </c>
      <c r="C16" s="96">
        <v>0.95</v>
      </c>
      <c r="D16" s="56">
        <v>2.8407188685968858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0.36730000000000002</v>
      </c>
      <c r="C17" s="96">
        <v>0.95</v>
      </c>
      <c r="D17" s="56">
        <v>0.35500000000000004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0.60699999999999998</v>
      </c>
      <c r="C18" s="96">
        <v>0.95</v>
      </c>
      <c r="D18" s="56">
        <v>5.2668836507008754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0.34281080000000003</v>
      </c>
      <c r="C19" s="96">
        <v>0.95</v>
      </c>
      <c r="D19" s="56">
        <v>7.2861200073283072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2.1939130069251829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5.2668836507008754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0.80976389999999998</v>
      </c>
      <c r="C23" s="96">
        <v>0.95</v>
      </c>
      <c r="D23" s="56">
        <v>4.4572760576653501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0.67986386987520009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2.9000000000000001E-2</v>
      </c>
      <c r="C26" s="96">
        <v>0.95</v>
      </c>
      <c r="D26" s="56">
        <v>3.8681355531509101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13.457928721749347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0.25979029999999997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0.1933213</v>
      </c>
      <c r="C29" s="96">
        <v>0.95</v>
      </c>
      <c r="D29" s="56">
        <v>88.005851455993124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44.783843336315748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126.62714253872848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0.56999999999999995</v>
      </c>
      <c r="C32" s="96">
        <v>0.95</v>
      </c>
      <c r="D32" s="56">
        <v>0.46210405728622134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0.22246005946745701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0.59753959999999995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7.8305000000000007E-3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0.77336490000000002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0.19</v>
      </c>
      <c r="C38" s="96">
        <v>0.95</v>
      </c>
      <c r="D38" s="56">
        <v>4.0706758054007581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3.4125000000000001</v>
      </c>
      <c r="E39" s="56" t="s">
        <v>212</v>
      </c>
      <c r="F39" s="96">
        <v>1</v>
      </c>
      <c r="G39" s="96">
        <v>1</v>
      </c>
    </row>
  </sheetData>
  <sheetProtection algorithmName="SHA-512" hashValue="z5+APKKxidvaWLeq5mUNA85mNNMaeHQIE9bDKO40v8o745KpekcYef5nfNROZe2fth5iO8f33rxSqrwv2K0yvg==" saltValue="ZZVWUPUf/C0u38y9ZcfI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fdSl3vrcJ4aFjGFE93kn+vTnbMtm5XMyYH3z2qu8mNo02E1+vp4Y3kAC6pclV8R/3l0kOgGVCGvfg6KwloINg==" saltValue="KqyGku18ok3VOJDUxGpne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PAGwcmxsZEd2hH/5GI9yLUfG5+NTvZxjNOMpiydgy0S5rFZZRkhYIGcIOyi3LuKQoFj52ZjxoNARBaR/GbSLFA==" saltValue="ZAmx2UABxuvk1CnF+arAw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2.86</v>
      </c>
      <c r="C2" s="21">
        <f>'Entradas de población-año base'!C52</f>
        <v>2.86</v>
      </c>
      <c r="D2" s="21">
        <f>'Entradas de población-año base'!C53</f>
        <v>5.07</v>
      </c>
      <c r="E2" s="21">
        <f>'Entradas de población-año base'!C54</f>
        <v>5.1219999999999999</v>
      </c>
      <c r="F2" s="21">
        <f>'Entradas de población-año base'!C55</f>
        <v>2.6173333333333342</v>
      </c>
    </row>
    <row r="3" spans="1:6" ht="15.75" customHeight="1" x14ac:dyDescent="0.25">
      <c r="A3" s="3" t="s">
        <v>6</v>
      </c>
      <c r="B3" s="21">
        <f>frac_mam_1month * 2.6</f>
        <v>0.12124111999999999</v>
      </c>
      <c r="C3" s="21">
        <f>frac_mam_1_5months * 2.6</f>
        <v>0.12124111999999999</v>
      </c>
      <c r="D3" s="21">
        <f>frac_mam_6_11months * 2.6</f>
        <v>0.18657911999999999</v>
      </c>
      <c r="E3" s="21">
        <f>frac_mam_12_23months * 2.6</f>
        <v>0.15940288</v>
      </c>
      <c r="F3" s="21">
        <f>frac_mam_24_59months * 2.6</f>
        <v>0.19630754</v>
      </c>
    </row>
    <row r="4" spans="1:6" ht="15.75" customHeight="1" x14ac:dyDescent="0.25">
      <c r="A4" s="3" t="s">
        <v>236</v>
      </c>
      <c r="B4" s="21">
        <f>frac_sam_1month * 2.6</f>
        <v>4.1137980000000005E-2</v>
      </c>
      <c r="C4" s="21">
        <f>frac_sam_1_5months * 2.6</f>
        <v>4.1137980000000005E-2</v>
      </c>
      <c r="D4" s="21">
        <f>frac_sam_6_11months * 2.6</f>
        <v>2.8536299999999997E-2</v>
      </c>
      <c r="E4" s="21">
        <f>frac_sam_12_23months * 2.6</f>
        <v>4.9236980000000007E-2</v>
      </c>
      <c r="F4" s="21">
        <f>frac_sam_24_59months * 2.6</f>
        <v>2.4351080000000001E-2</v>
      </c>
    </row>
  </sheetData>
  <sheetProtection algorithmName="SHA-512" hashValue="0i77O6m+7pdLXji7e0JitzgWxJ86bcZ2sFqR534yD0GiUOoWz1voGTPgF4A1ZxBHMDcDpwiUlFzjM4F4GiUS5g==" saltValue="H05qsmR9kRZ8YPe2kl1JL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0.39</v>
      </c>
      <c r="F2" s="60">
        <f>food_insecure</f>
        <v>0.39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0.39</v>
      </c>
      <c r="F5" s="60">
        <f>food_insecure</f>
        <v>0.39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6.2400000000000004E-2</v>
      </c>
      <c r="D7" s="60">
        <f>diarrhoea_1_5mo*frac_diarrhea_severe</f>
        <v>6.2400000000000004E-2</v>
      </c>
      <c r="E7" s="60">
        <f>diarrhoea_6_11mo*frac_diarrhea_severe</f>
        <v>0.11061818181818184</v>
      </c>
      <c r="F7" s="60">
        <f>diarrhoea_12_23mo*frac_diarrhea_severe</f>
        <v>0.11175272727272728</v>
      </c>
      <c r="G7" s="60">
        <f>diarrhoea_24_59mo*frac_diarrhea_severe</f>
        <v>5.710545454545457E-2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0.39</v>
      </c>
      <c r="F8" s="60">
        <f>food_insecure</f>
        <v>0.39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0.39</v>
      </c>
      <c r="F9" s="60">
        <f>food_insecure</f>
        <v>0.39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6.2400000000000004E-2</v>
      </c>
      <c r="D12" s="60">
        <f>diarrhoea_1_5mo*frac_diarrhea_severe</f>
        <v>6.2400000000000004E-2</v>
      </c>
      <c r="E12" s="60">
        <f>diarrhoea_6_11mo*frac_diarrhea_severe</f>
        <v>0.11061818181818184</v>
      </c>
      <c r="F12" s="60">
        <f>diarrhoea_12_23mo*frac_diarrhea_severe</f>
        <v>0.11175272727272728</v>
      </c>
      <c r="G12" s="60">
        <f>diarrhoea_24_59mo*frac_diarrhea_severe</f>
        <v>5.710545454545457E-2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0.39</v>
      </c>
      <c r="I15" s="60">
        <f t="shared" si="0"/>
        <v>0.39</v>
      </c>
      <c r="J15" s="60">
        <f t="shared" si="0"/>
        <v>0.39</v>
      </c>
      <c r="K15" s="60">
        <f t="shared" si="0"/>
        <v>0.39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0.39</v>
      </c>
      <c r="I16" s="60">
        <f t="shared" si="0"/>
        <v>0.39</v>
      </c>
      <c r="J16" s="60">
        <f t="shared" si="0"/>
        <v>0.39</v>
      </c>
      <c r="K16" s="60">
        <f t="shared" si="0"/>
        <v>0.39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0.97</v>
      </c>
      <c r="I19" s="60">
        <f>frac_malaria_risk</f>
        <v>0.97</v>
      </c>
      <c r="J19" s="60">
        <f>frac_malaria_risk</f>
        <v>0.97</v>
      </c>
      <c r="K19" s="60">
        <f>frac_malaria_risk</f>
        <v>0.97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0.25600000000000001</v>
      </c>
      <c r="M24" s="60">
        <f>famplan_unmet_need</f>
        <v>0.25600000000000001</v>
      </c>
      <c r="N24" s="60">
        <f>famplan_unmet_need</f>
        <v>0.25600000000000001</v>
      </c>
      <c r="O24" s="60">
        <f>famplan_unmet_need</f>
        <v>0.25600000000000001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0.34643076978999998</v>
      </c>
      <c r="M25" s="60">
        <f>(1-food_insecure)*(0.49)+food_insecure*(0.7)</f>
        <v>0.57189999999999996</v>
      </c>
      <c r="N25" s="60">
        <f>(1-food_insecure)*(0.49)+food_insecure*(0.7)</f>
        <v>0.57189999999999996</v>
      </c>
      <c r="O25" s="60">
        <f>(1-food_insecure)*(0.49)+food_insecure*(0.7)</f>
        <v>0.57189999999999996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0.14847032990999998</v>
      </c>
      <c r="M26" s="60">
        <f>(1-food_insecure)*(0.21)+food_insecure*(0.3)</f>
        <v>0.24509999999999998</v>
      </c>
      <c r="N26" s="60">
        <f>(1-food_insecure)*(0.21)+food_insecure*(0.3)</f>
        <v>0.24509999999999998</v>
      </c>
      <c r="O26" s="60">
        <f>(1-food_insecure)*(0.21)+food_insecure*(0.3)</f>
        <v>0.24509999999999998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0.11085300029999999</v>
      </c>
      <c r="M27" s="60">
        <f>(1-food_insecure)*(0.3)</f>
        <v>0.183</v>
      </c>
      <c r="N27" s="60">
        <f>(1-food_insecure)*(0.3)</f>
        <v>0.183</v>
      </c>
      <c r="O27" s="60">
        <f>(1-food_insecure)*(0.3)</f>
        <v>0.183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0.39424589999999998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0.97</v>
      </c>
      <c r="D34" s="60">
        <f t="shared" si="4"/>
        <v>0.97</v>
      </c>
      <c r="E34" s="60">
        <f t="shared" si="4"/>
        <v>0.97</v>
      </c>
      <c r="F34" s="60">
        <f t="shared" si="4"/>
        <v>0.97</v>
      </c>
      <c r="G34" s="60">
        <f t="shared" si="4"/>
        <v>0.97</v>
      </c>
      <c r="H34" s="60">
        <f t="shared" si="4"/>
        <v>0.97</v>
      </c>
      <c r="I34" s="60">
        <f t="shared" si="4"/>
        <v>0.97</v>
      </c>
      <c r="J34" s="60">
        <f t="shared" si="4"/>
        <v>0.97</v>
      </c>
      <c r="K34" s="60">
        <f t="shared" si="4"/>
        <v>0.97</v>
      </c>
      <c r="L34" s="60">
        <f t="shared" si="4"/>
        <v>0.97</v>
      </c>
      <c r="M34" s="60">
        <f t="shared" si="4"/>
        <v>0.97</v>
      </c>
      <c r="N34" s="60">
        <f t="shared" si="4"/>
        <v>0.97</v>
      </c>
      <c r="O34" s="60">
        <f t="shared" si="4"/>
        <v>0.97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b8tgUY/l5DSwYbSmaMX4hoflKEbOm/zWz+DMrs9T5l6jVc0YqGqw42/oYLBmF4t261S8iN+ugydUCIRAqd7G/A==" saltValue="3o+LDoqNipL5CP6DgXMoy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bBP7C3Z1hiQLrDdo5gX5w5t7mXKC2c/hK36b+E5RX+nAgQyqPriz+zbDfQB0FXVwCND4eZBzI4/wr9kN2OaaWQ==" saltValue="0N5lH1JhK8va3Wlliude4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9FNaoXvul8qZ3lmpz2MWgGSlzVUqxTjV0w9KU0j2w6RcHaotLRnvt00GSwr4RgEDZ3Li/tvAHPX9jyeJTEW3Sg==" saltValue="F9QZiA9L41eZvCSQBY3aw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n8P+nbH/779SD9LwByamtO2sThhziaZfHZw70iAdc3FU6iHyhOpi0gOPL+TO8ZBXB/Jjjx21XiudPagg4pNM2g==" saltValue="PKLtwOt+yc53gI629nRvI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d718qQGdkfTKtsMq94R8MbNYdCaU9QKsM59D1tTDy8/18NBnMrI3Bk1O8PHKKYOBGBxL39akurd+UDgFnZka5g==" saltValue="1TFjaA/JgwSEgzb1O92um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2zbxNIjA8s2uE/Gl5QvRDz4IUR9NcrvXKG2XjhqgwUlvxhXsi15WKb+06+Iir4gezeuSGlhQuGmYKT1YdNL6mQ==" saltValue="ANVtr7vbk/b2iBe9opRVC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Y5h0ZKtci3cVjolVXBew0hbVkT9OyoajV8PnBrDoPqGElFkrbWjRHGR1LN+gXkDLLLo2xSnpPHbBFp6lhLIKgw==" saltValue="9CLVElFSrwjh25Cx4S1i9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oOrgze6kGF061wtzJMKT2HfjB84qDim6YWYlXuFSpE/gdopgbFN7M3yy10p/uNnf7R89gG0P3hrCNfmz2k+Qg==" saltValue="yNqX0Areet+04dZIPUjZ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xjqJQx14xeBPDFey/R2P8nBqAxjv2yJPpQEj5Gk+J+hq43KyaNF/TPs2Q1jpX5sRUs862wz7UEFcLszfvlivhw==" saltValue="M64951yhOT049T+MWet3d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VHl4+6VIrDsnhBgoMkuWHeq6Y0Yx6Zs4mt5w09N3X0EsJwI26CZgztL8UBJofs+MdWhikdHr3rqm9SIgef27uA==" saltValue="RXkn134pgSOZV87i/uaI1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c+ECK20tPkC38PH13DhpX2GgHPXUjNWEeZo+zhgOJvvKCPRPVMRb3nTahmQj97NjlXP03ffiV4zhlhyrVLMJjg==" saltValue="nuTPxtRVWel15HENGEMJ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vTIn6t3GDl8XUHjJce8CQFs3HE1zblP2PLxLb1yV7/R0kmEl2VbFYeJE9J1Vc0rc0v0KVQrGEE3FYW9Y8t+IBA==" saltValue="qp7uzLlCE00OhXt22ITy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bBWhcgU21IGoowqiit8TyRaz2pleNjIYaPe6hHn+3IxkoGECxp4sKkuS0xBEFI8qMj50IhyHx77rAUbVBWGNmg==" saltValue="YVwdyILZ7E7MiY4/53oh7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WbhU1RW7owiClyRa5p7UIgYXXtxsh7fM1qcdEnZyDg/kR8bBEdee8UMsmzD6F3abUeZod5n25e4jd48H9ZsFSA==" saltValue="U/k2jdm7grTl2YDyO/b9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md8ekSWb6Fa4TcT9tFDYx7VotKTA8vHLQibq+v6xM9wC0ljGycxbpYD12dF5SMPvxvJeMmWicoWF10w5EtoAgA==" saltValue="B09cAMwK1gaQt7Tl3Fgmc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2026-04-29T03:39:48Z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