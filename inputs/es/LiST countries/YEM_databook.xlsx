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069433A4-9BE9-4AA8-96AA-FA52A0F5B363}" xr6:coauthVersionLast="47" xr6:coauthVersionMax="47" xr10:uidLastSave="{00000000-0000-0000-0000-000000000000}"/>
  <bookViews>
    <workbookView xWindow="20" yWindow="6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I40" i="2" s="1"/>
  <c r="G40" i="2"/>
  <c r="H39" i="2"/>
  <c r="G39" i="2"/>
  <c r="H38" i="2"/>
  <c r="I38" i="2" s="1"/>
  <c r="G38" i="2"/>
  <c r="A35" i="2"/>
  <c r="A32" i="2"/>
  <c r="A31" i="2"/>
  <c r="A26" i="2"/>
  <c r="A23" i="2"/>
  <c r="A21" i="2"/>
  <c r="A17" i="2"/>
  <c r="H13" i="2"/>
  <c r="G13" i="2"/>
  <c r="I13" i="2" s="1"/>
  <c r="H12" i="2"/>
  <c r="I12" i="2" s="1"/>
  <c r="G12" i="2"/>
  <c r="H11" i="2"/>
  <c r="G11" i="2"/>
  <c r="H10" i="2"/>
  <c r="I10" i="2" s="1"/>
  <c r="G10" i="2"/>
  <c r="H9" i="2"/>
  <c r="G9" i="2"/>
  <c r="I9" i="2" s="1"/>
  <c r="H8" i="2"/>
  <c r="I8" i="2" s="1"/>
  <c r="G8" i="2"/>
  <c r="H7" i="2"/>
  <c r="G7" i="2"/>
  <c r="I7" i="2" s="1"/>
  <c r="I6" i="2"/>
  <c r="H6" i="2"/>
  <c r="G6" i="2"/>
  <c r="H5" i="2"/>
  <c r="G5" i="2"/>
  <c r="I5" i="2" s="1"/>
  <c r="H4" i="2"/>
  <c r="I4" i="2" s="1"/>
  <c r="G4" i="2"/>
  <c r="H3" i="2"/>
  <c r="G3" i="2"/>
  <c r="H2" i="2"/>
  <c r="I2" i="2" s="1"/>
  <c r="G2" i="2"/>
  <c r="A2" i="2"/>
  <c r="A40" i="2" s="1"/>
  <c r="C33" i="1"/>
  <c r="C20" i="1"/>
  <c r="A15" i="2" l="1"/>
  <c r="A24" i="2"/>
  <c r="A33" i="2"/>
  <c r="A39" i="2"/>
  <c r="I11" i="2"/>
  <c r="A16" i="2"/>
  <c r="A25" i="2"/>
  <c r="A34" i="2"/>
  <c r="I39" i="2"/>
  <c r="A18" i="2"/>
  <c r="A27" i="2"/>
  <c r="A3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9" i="2"/>
  <c r="A28" i="2"/>
  <c r="A37" i="2"/>
  <c r="I3" i="2"/>
  <c r="A20" i="2"/>
  <c r="A29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<sst xmlns="http://schemas.openxmlformats.org/spreadsheetml/2006/main" count="2101" uniqueCount="341">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</sst>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4795294.9375</v>
      </c>
    </row>
    <row r="8" spans="1:3" ht="15" customHeight="1" x14ac:dyDescent="0.25">
      <c r="B8" s="5" t="s">
        <v>44</v>
      </c>
      <c r="C8" s="44">
        <v>0.188</v>
      </c>
    </row>
    <row r="9" spans="1:3" ht="15" customHeight="1" x14ac:dyDescent="0.25">
      <c r="B9" s="5" t="s">
        <v>43</v>
      </c>
      <c r="C9" s="45">
        <v>0.47</v>
      </c>
    </row>
    <row r="10" spans="1:3" ht="15" customHeight="1" x14ac:dyDescent="0.25">
      <c r="B10" s="5" t="s">
        <v>56</v>
      </c>
      <c r="C10" s="45">
        <v>0.39787429809570302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0.53100000000000003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8.5299999999999987E-2</v>
      </c>
    </row>
    <row r="24" spans="1:3" ht="15" customHeight="1" x14ac:dyDescent="0.25">
      <c r="B24" s="15" t="s">
        <v>46</v>
      </c>
      <c r="C24" s="45">
        <v>0.48899999999999999</v>
      </c>
    </row>
    <row r="25" spans="1:3" ht="15" customHeight="1" x14ac:dyDescent="0.25">
      <c r="B25" s="15" t="s">
        <v>47</v>
      </c>
      <c r="C25" s="45">
        <v>0.35580000000000001</v>
      </c>
    </row>
    <row r="26" spans="1:3" ht="15" customHeight="1" x14ac:dyDescent="0.25">
      <c r="B26" s="15" t="s">
        <v>48</v>
      </c>
      <c r="C26" s="45">
        <v>0.1099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0.206672123736343</v>
      </c>
    </row>
    <row r="30" spans="1:3" ht="14.25" customHeight="1" x14ac:dyDescent="0.25">
      <c r="B30" s="25" t="s">
        <v>63</v>
      </c>
      <c r="C30" s="99">
        <v>0.111375096799569</v>
      </c>
    </row>
    <row r="31" spans="1:3" ht="14.25" customHeight="1" x14ac:dyDescent="0.25">
      <c r="B31" s="25" t="s">
        <v>10</v>
      </c>
      <c r="C31" s="99">
        <v>0.12654954787338499</v>
      </c>
    </row>
    <row r="32" spans="1:3" ht="14.25" customHeight="1" x14ac:dyDescent="0.25">
      <c r="B32" s="25" t="s">
        <v>11</v>
      </c>
      <c r="C32" s="99">
        <v>0.55540323159070293</v>
      </c>
    </row>
    <row r="33" spans="1:5" ht="13" customHeight="1" x14ac:dyDescent="0.25">
      <c r="B33" s="27" t="s">
        <v>60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28.3093</v>
      </c>
    </row>
    <row r="38" spans="1:5" ht="15" customHeight="1" x14ac:dyDescent="0.25">
      <c r="B38" s="11" t="s">
        <v>35</v>
      </c>
      <c r="C38" s="43">
        <v>46.654730000000001</v>
      </c>
      <c r="D38" s="12"/>
      <c r="E38" s="13"/>
    </row>
    <row r="39" spans="1:5" ht="15" customHeight="1" x14ac:dyDescent="0.25">
      <c r="B39" s="11" t="s">
        <v>61</v>
      </c>
      <c r="C39" s="43">
        <v>61.908940000000001</v>
      </c>
      <c r="D39" s="12"/>
      <c r="E39" s="12"/>
    </row>
    <row r="40" spans="1:5" ht="15" customHeight="1" x14ac:dyDescent="0.25">
      <c r="B40" s="11" t="s">
        <v>36</v>
      </c>
      <c r="C40" s="100">
        <v>1.83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23.41929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7.4885000000000004E-3</v>
      </c>
      <c r="D45" s="12"/>
    </row>
    <row r="46" spans="1:5" ht="15.75" customHeight="1" x14ac:dyDescent="0.25">
      <c r="B46" s="11" t="s">
        <v>51</v>
      </c>
      <c r="C46" s="45">
        <v>8.0462399999999989E-2</v>
      </c>
      <c r="D46" s="12"/>
    </row>
    <row r="47" spans="1:5" ht="15.75" customHeight="1" x14ac:dyDescent="0.25">
      <c r="B47" s="11" t="s">
        <v>59</v>
      </c>
      <c r="C47" s="45">
        <v>7.3879500000000001E-2</v>
      </c>
      <c r="D47" s="12"/>
      <c r="E47" s="13"/>
    </row>
    <row r="48" spans="1:5" ht="15" customHeight="1" x14ac:dyDescent="0.25">
      <c r="B48" s="11" t="s">
        <v>58</v>
      </c>
      <c r="C48" s="46">
        <v>0.83816959999999996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2.9</v>
      </c>
      <c r="D51" s="12"/>
    </row>
    <row r="52" spans="1:4" ht="15" customHeight="1" x14ac:dyDescent="0.25">
      <c r="B52" s="11" t="s">
        <v>13</v>
      </c>
      <c r="C52" s="100">
        <v>2.9</v>
      </c>
    </row>
    <row r="53" spans="1:4" ht="15.75" customHeight="1" x14ac:dyDescent="0.25">
      <c r="B53" s="11" t="s">
        <v>16</v>
      </c>
      <c r="C53" s="100">
        <v>2.9</v>
      </c>
    </row>
    <row r="54" spans="1:4" ht="15.75" customHeight="1" x14ac:dyDescent="0.25">
      <c r="B54" s="11" t="s">
        <v>14</v>
      </c>
      <c r="C54" s="100">
        <v>2.9</v>
      </c>
    </row>
    <row r="55" spans="1:4" ht="15.75" customHeight="1" x14ac:dyDescent="0.25">
      <c r="B55" s="11" t="s">
        <v>15</v>
      </c>
      <c r="C55" s="100">
        <v>2.9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2.0689655172413789E-2</v>
      </c>
    </row>
    <row r="59" spans="1:4" ht="15.75" customHeight="1" x14ac:dyDescent="0.25">
      <c r="B59" s="11" t="s">
        <v>40</v>
      </c>
      <c r="C59" s="45">
        <v>0.53084200000000004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E7Q5kOzp3hN7bzwgJzJvTcPKP5DB/5fwlzWD0br7vkUCK5alkBjL0RP/rEUuKyONeqJja9JHOFE3RJ7KY85Ppg==" saltValue="bqZ/bHuhRejGpaikL20o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1016549</v>
      </c>
      <c r="C2" s="49">
        <v>2270733.5</v>
      </c>
      <c r="D2" s="49">
        <v>3144028</v>
      </c>
      <c r="E2" s="49">
        <v>2560148</v>
      </c>
      <c r="F2" s="49">
        <v>1338816.5</v>
      </c>
      <c r="G2" s="17">
        <f t="shared" ref="G2:G13" si="0">C2+D2+E2+F2</f>
        <v>9313726</v>
      </c>
      <c r="H2" s="17">
        <f t="shared" ref="H2:H13" si="1">(B2 + stillbirth*B2/(1000-stillbirth))/(1-abortion)</f>
        <v>1182871.3247692741</v>
      </c>
      <c r="I2" s="17">
        <f t="shared" ref="I2:I13" si="2">G2-H2</f>
        <v>8130854.6752307257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1014405</v>
      </c>
      <c r="C3" s="50">
        <v>2319414.5</v>
      </c>
      <c r="D3" s="50">
        <v>3189500</v>
      </c>
      <c r="E3" s="50">
        <v>2641868.5</v>
      </c>
      <c r="F3" s="50">
        <v>1417543</v>
      </c>
      <c r="G3" s="17">
        <f t="shared" si="0"/>
        <v>9568326</v>
      </c>
      <c r="H3" s="17">
        <f t="shared" si="1"/>
        <v>1180376.5349260836</v>
      </c>
      <c r="I3" s="17">
        <f t="shared" si="2"/>
        <v>8387949.4650739161</v>
      </c>
    </row>
    <row r="4" spans="1:9" ht="15.75" customHeight="1" x14ac:dyDescent="0.25">
      <c r="A4" s="5">
        <f t="shared" si="3"/>
        <v>2026</v>
      </c>
      <c r="B4" s="49">
        <v>1020679</v>
      </c>
      <c r="C4" s="50">
        <v>2365920</v>
      </c>
      <c r="D4" s="50">
        <v>3248643</v>
      </c>
      <c r="E4" s="50">
        <v>2710005</v>
      </c>
      <c r="F4" s="50">
        <v>1500106</v>
      </c>
      <c r="G4" s="17">
        <f t="shared" si="0"/>
        <v>9824674</v>
      </c>
      <c r="H4" s="17">
        <f t="shared" si="1"/>
        <v>1187677.0533384793</v>
      </c>
      <c r="I4" s="17">
        <f t="shared" si="2"/>
        <v>8636996.9466615207</v>
      </c>
    </row>
    <row r="5" spans="1:9" ht="15.75" customHeight="1" x14ac:dyDescent="0.25">
      <c r="A5" s="5">
        <f t="shared" si="3"/>
        <v>2027</v>
      </c>
      <c r="B5" s="49">
        <v>1021659</v>
      </c>
      <c r="C5" s="50">
        <v>2411228</v>
      </c>
      <c r="D5" s="50">
        <v>3318958</v>
      </c>
      <c r="E5" s="50">
        <v>2766280.5</v>
      </c>
      <c r="F5" s="50">
        <v>1586142</v>
      </c>
      <c r="G5" s="17">
        <f t="shared" si="0"/>
        <v>10082608.5</v>
      </c>
      <c r="H5" s="17">
        <f t="shared" si="1"/>
        <v>1188817.3957108331</v>
      </c>
      <c r="I5" s="17">
        <f t="shared" si="2"/>
        <v>8893791.1042891666</v>
      </c>
    </row>
    <row r="6" spans="1:9" ht="15.75" customHeight="1" x14ac:dyDescent="0.25">
      <c r="A6" s="5">
        <f t="shared" si="3"/>
        <v>2028</v>
      </c>
      <c r="B6" s="49">
        <v>1026999</v>
      </c>
      <c r="C6" s="50">
        <v>2456829</v>
      </c>
      <c r="D6" s="50">
        <v>3392740.5</v>
      </c>
      <c r="E6" s="50">
        <v>2816830</v>
      </c>
      <c r="F6" s="50">
        <v>1674821.5</v>
      </c>
      <c r="G6" s="17">
        <f t="shared" si="0"/>
        <v>10341221</v>
      </c>
      <c r="H6" s="17">
        <f t="shared" si="1"/>
        <v>1195031.0980254957</v>
      </c>
      <c r="I6" s="17">
        <f t="shared" si="2"/>
        <v>9146189.9019745048</v>
      </c>
    </row>
    <row r="7" spans="1:9" ht="15.75" customHeight="1" x14ac:dyDescent="0.25">
      <c r="A7" s="5">
        <f t="shared" si="3"/>
        <v>2029</v>
      </c>
      <c r="B7" s="49">
        <v>1031629</v>
      </c>
      <c r="C7" s="50">
        <v>2501464</v>
      </c>
      <c r="D7" s="50">
        <v>3468303</v>
      </c>
      <c r="E7" s="50">
        <v>2864022.5</v>
      </c>
      <c r="F7" s="50">
        <v>1764366</v>
      </c>
      <c r="G7" s="17">
        <f t="shared" si="0"/>
        <v>10598155.5</v>
      </c>
      <c r="H7" s="17">
        <f t="shared" si="1"/>
        <v>1200418.6339275346</v>
      </c>
      <c r="I7" s="17">
        <f t="shared" si="2"/>
        <v>9397736.8660724647</v>
      </c>
    </row>
    <row r="8" spans="1:9" ht="15.75" customHeight="1" x14ac:dyDescent="0.25">
      <c r="A8" s="5">
        <f t="shared" si="3"/>
        <v>2030</v>
      </c>
      <c r="B8" s="49">
        <v>1034670</v>
      </c>
      <c r="C8" s="50">
        <v>2543658</v>
      </c>
      <c r="D8" s="50">
        <v>3544819</v>
      </c>
      <c r="E8" s="50">
        <v>2908783.5</v>
      </c>
      <c r="F8" s="50">
        <v>1852834.5</v>
      </c>
      <c r="G8" s="17">
        <f t="shared" si="0"/>
        <v>10850095</v>
      </c>
      <c r="H8" s="17">
        <f t="shared" si="1"/>
        <v>1203957.1861258284</v>
      </c>
      <c r="I8" s="17">
        <f t="shared" si="2"/>
        <v>9646137.813874172</v>
      </c>
    </row>
    <row r="9" spans="1:9" ht="15.75" customHeight="1" x14ac:dyDescent="0.25">
      <c r="A9" s="5">
        <f t="shared" si="3"/>
        <v>2031</v>
      </c>
      <c r="B9" s="49">
        <v>1038234</v>
      </c>
      <c r="C9" s="50">
        <v>2581269.5</v>
      </c>
      <c r="D9" s="50">
        <v>3625805</v>
      </c>
      <c r="E9" s="50">
        <v>2948418.5</v>
      </c>
      <c r="F9" s="50">
        <v>1940453</v>
      </c>
      <c r="G9" s="17">
        <f t="shared" si="0"/>
        <v>11095946</v>
      </c>
      <c r="H9" s="17">
        <f t="shared" si="1"/>
        <v>1208104.3087942661</v>
      </c>
      <c r="I9" s="17">
        <f t="shared" si="2"/>
        <v>9887841.6912057344</v>
      </c>
    </row>
    <row r="10" spans="1:9" ht="15.75" customHeight="1" x14ac:dyDescent="0.25">
      <c r="A10" s="5">
        <f t="shared" si="3"/>
        <v>2032</v>
      </c>
      <c r="B10" s="49">
        <v>1044618</v>
      </c>
      <c r="C10" s="50">
        <v>2615007</v>
      </c>
      <c r="D10" s="50">
        <v>3710305</v>
      </c>
      <c r="E10" s="50">
        <v>2984321</v>
      </c>
      <c r="F10" s="50">
        <v>2026872.5</v>
      </c>
      <c r="G10" s="17">
        <f t="shared" si="0"/>
        <v>11336505.5</v>
      </c>
      <c r="H10" s="17">
        <f t="shared" si="1"/>
        <v>1215532.824819885</v>
      </c>
      <c r="I10" s="17">
        <f t="shared" si="2"/>
        <v>10120972.675180115</v>
      </c>
    </row>
    <row r="11" spans="1:9" ht="15.75" customHeight="1" x14ac:dyDescent="0.25">
      <c r="A11" s="5">
        <f t="shared" si="3"/>
        <v>2033</v>
      </c>
      <c r="B11" s="49">
        <v>1043928</v>
      </c>
      <c r="C11" s="50">
        <v>2645546.5</v>
      </c>
      <c r="D11" s="50">
        <v>3794083</v>
      </c>
      <c r="E11" s="50">
        <v>3020924</v>
      </c>
      <c r="F11" s="50">
        <v>2111233</v>
      </c>
      <c r="G11" s="17">
        <f t="shared" si="0"/>
        <v>11571786.5</v>
      </c>
      <c r="H11" s="17">
        <f t="shared" si="1"/>
        <v>1214729.930700575</v>
      </c>
      <c r="I11" s="17">
        <f t="shared" si="2"/>
        <v>10357056.569299426</v>
      </c>
    </row>
    <row r="12" spans="1:9" ht="15.75" customHeight="1" x14ac:dyDescent="0.25">
      <c r="A12" s="5">
        <f t="shared" si="3"/>
        <v>2034</v>
      </c>
      <c r="B12" s="49">
        <v>1047163</v>
      </c>
      <c r="C12" s="50">
        <v>2672100</v>
      </c>
      <c r="D12" s="50">
        <v>3875782</v>
      </c>
      <c r="E12" s="50">
        <v>3061605.5</v>
      </c>
      <c r="F12" s="50">
        <v>2193367.5</v>
      </c>
      <c r="G12" s="17">
        <f t="shared" si="0"/>
        <v>11802855</v>
      </c>
      <c r="H12" s="17">
        <f t="shared" si="1"/>
        <v>1218494.224144008</v>
      </c>
      <c r="I12" s="17">
        <f t="shared" si="2"/>
        <v>10584360.775855992</v>
      </c>
    </row>
    <row r="13" spans="1:9" ht="15.75" customHeight="1" x14ac:dyDescent="0.25">
      <c r="A13" s="5">
        <f t="shared" si="3"/>
        <v>2035</v>
      </c>
      <c r="B13" s="49">
        <v>1048339</v>
      </c>
      <c r="C13" s="50">
        <v>2694213</v>
      </c>
      <c r="D13" s="50">
        <v>3955011.5</v>
      </c>
      <c r="E13" s="50">
        <v>3108206.5</v>
      </c>
      <c r="F13" s="50">
        <v>2271131.5</v>
      </c>
      <c r="G13" s="17">
        <f t="shared" si="0"/>
        <v>12028562.5</v>
      </c>
      <c r="H13" s="17">
        <f t="shared" si="1"/>
        <v>1219862.6349908325</v>
      </c>
      <c r="I13" s="17">
        <f t="shared" si="2"/>
        <v>10808699.865009168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fLD4UXoQ2N6F2ODbhwF8ENuaXkKXWGKn9A8IhMwh1ocxBu8hgE3PtAgR/nF6qSrh04y8LtZorGPqSZC/mk+zZQ==" saltValue="iG7AXVTSytTAZOx/n3qFt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1.9833151046773551E-2</v>
      </c>
    </row>
    <row r="4" spans="1:8" ht="15.75" customHeight="1" x14ac:dyDescent="0.25">
      <c r="B4" s="19" t="s">
        <v>97</v>
      </c>
      <c r="C4" s="101">
        <v>6.3894030924347367E-2</v>
      </c>
    </row>
    <row r="5" spans="1:8" ht="15.75" customHeight="1" x14ac:dyDescent="0.25">
      <c r="B5" s="19" t="s">
        <v>95</v>
      </c>
      <c r="C5" s="101">
        <v>9.4246268158946475E-2</v>
      </c>
    </row>
    <row r="6" spans="1:8" ht="15.75" customHeight="1" x14ac:dyDescent="0.25">
      <c r="B6" s="19" t="s">
        <v>91</v>
      </c>
      <c r="C6" s="101">
        <v>0.23881032694278609</v>
      </c>
    </row>
    <row r="7" spans="1:8" ht="15.75" customHeight="1" x14ac:dyDescent="0.25">
      <c r="B7" s="19" t="s">
        <v>96</v>
      </c>
      <c r="C7" s="101">
        <v>0.3871881532303128</v>
      </c>
    </row>
    <row r="8" spans="1:8" ht="15.75" customHeight="1" x14ac:dyDescent="0.25">
      <c r="B8" s="19" t="s">
        <v>98</v>
      </c>
      <c r="C8" s="101">
        <v>5.8535036070138371E-3</v>
      </c>
    </row>
    <row r="9" spans="1:8" ht="15.75" customHeight="1" x14ac:dyDescent="0.25">
      <c r="B9" s="19" t="s">
        <v>92</v>
      </c>
      <c r="C9" s="101">
        <v>7.3348498268419438E-2</v>
      </c>
    </row>
    <row r="10" spans="1:8" ht="15.75" customHeight="1" x14ac:dyDescent="0.25">
      <c r="B10" s="19" t="s">
        <v>94</v>
      </c>
      <c r="C10" s="101">
        <v>0.1168260678214004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0.1616009186664322</v>
      </c>
      <c r="D14" s="55">
        <v>0.1616009186664322</v>
      </c>
      <c r="E14" s="55">
        <v>0.1616009186664322</v>
      </c>
      <c r="F14" s="55">
        <v>0.1616009186664322</v>
      </c>
    </row>
    <row r="15" spans="1:8" ht="15.75" customHeight="1" x14ac:dyDescent="0.25">
      <c r="B15" s="19" t="s">
        <v>102</v>
      </c>
      <c r="C15" s="101">
        <v>0.27365859402163978</v>
      </c>
      <c r="D15" s="101">
        <v>0.27365859402163978</v>
      </c>
      <c r="E15" s="101">
        <v>0.27365859402163978</v>
      </c>
      <c r="F15" s="101">
        <v>0.27365859402163978</v>
      </c>
    </row>
    <row r="16" spans="1:8" ht="15.75" customHeight="1" x14ac:dyDescent="0.25">
      <c r="B16" s="19" t="s">
        <v>2</v>
      </c>
      <c r="C16" s="101">
        <v>2.222332884681676E-2</v>
      </c>
      <c r="D16" s="101">
        <v>2.222332884681676E-2</v>
      </c>
      <c r="E16" s="101">
        <v>2.222332884681676E-2</v>
      </c>
      <c r="F16" s="101">
        <v>2.222332884681676E-2</v>
      </c>
    </row>
    <row r="17" spans="1:8" ht="15.75" customHeight="1" x14ac:dyDescent="0.25">
      <c r="B17" s="19" t="s">
        <v>90</v>
      </c>
      <c r="C17" s="101">
        <v>0.1003526665338539</v>
      </c>
      <c r="D17" s="101">
        <v>0.1003526665338539</v>
      </c>
      <c r="E17" s="101">
        <v>0.1003526665338539</v>
      </c>
      <c r="F17" s="101">
        <v>0.1003526665338539</v>
      </c>
    </row>
    <row r="18" spans="1:8" ht="15.75" customHeight="1" x14ac:dyDescent="0.25">
      <c r="B18" s="19" t="s">
        <v>3</v>
      </c>
      <c r="C18" s="101">
        <v>2.0039177190359449E-2</v>
      </c>
      <c r="D18" s="101">
        <v>2.0039177190359449E-2</v>
      </c>
      <c r="E18" s="101">
        <v>2.0039177190359449E-2</v>
      </c>
      <c r="F18" s="101">
        <v>2.0039177190359449E-2</v>
      </c>
    </row>
    <row r="19" spans="1:8" ht="15.75" customHeight="1" x14ac:dyDescent="0.25">
      <c r="B19" s="19" t="s">
        <v>101</v>
      </c>
      <c r="C19" s="101">
        <v>9.4281445679250536E-2</v>
      </c>
      <c r="D19" s="101">
        <v>9.4281445679250536E-2</v>
      </c>
      <c r="E19" s="101">
        <v>9.4281445679250536E-2</v>
      </c>
      <c r="F19" s="101">
        <v>9.4281445679250536E-2</v>
      </c>
    </row>
    <row r="20" spans="1:8" ht="15.75" customHeight="1" x14ac:dyDescent="0.25">
      <c r="B20" s="19" t="s">
        <v>79</v>
      </c>
      <c r="C20" s="101">
        <v>2.3085155710167449E-3</v>
      </c>
      <c r="D20" s="101">
        <v>2.3085155710167449E-3</v>
      </c>
      <c r="E20" s="101">
        <v>2.3085155710167449E-3</v>
      </c>
      <c r="F20" s="101">
        <v>2.3085155710167449E-3</v>
      </c>
    </row>
    <row r="21" spans="1:8" ht="15.75" customHeight="1" x14ac:dyDescent="0.25">
      <c r="B21" s="19" t="s">
        <v>88</v>
      </c>
      <c r="C21" s="101">
        <v>0.1079376948710801</v>
      </c>
      <c r="D21" s="101">
        <v>0.1079376948710801</v>
      </c>
      <c r="E21" s="101">
        <v>0.1079376948710801</v>
      </c>
      <c r="F21" s="101">
        <v>0.1079376948710801</v>
      </c>
    </row>
    <row r="22" spans="1:8" ht="15.75" customHeight="1" x14ac:dyDescent="0.25">
      <c r="B22" s="19" t="s">
        <v>99</v>
      </c>
      <c r="C22" s="101">
        <v>0.21759765861955049</v>
      </c>
      <c r="D22" s="101">
        <v>0.21759765861955049</v>
      </c>
      <c r="E22" s="101">
        <v>0.21759765861955049</v>
      </c>
      <c r="F22" s="101">
        <v>0.21759765861955049</v>
      </c>
    </row>
    <row r="23" spans="1:8" ht="15.75" customHeight="1" x14ac:dyDescent="0.25">
      <c r="B23" s="27" t="s">
        <v>60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4.5856951999999999E-2</v>
      </c>
    </row>
    <row r="27" spans="1:8" ht="15.75" customHeight="1" x14ac:dyDescent="0.25">
      <c r="B27" s="19" t="s">
        <v>89</v>
      </c>
      <c r="C27" s="101">
        <v>2.7671261999999999E-2</v>
      </c>
    </row>
    <row r="28" spans="1:8" ht="15.75" customHeight="1" x14ac:dyDescent="0.25">
      <c r="B28" s="19" t="s">
        <v>103</v>
      </c>
      <c r="C28" s="101">
        <v>0.19152286900000001</v>
      </c>
    </row>
    <row r="29" spans="1:8" ht="15.75" customHeight="1" x14ac:dyDescent="0.25">
      <c r="B29" s="19" t="s">
        <v>86</v>
      </c>
      <c r="C29" s="101">
        <v>0.15015504499999999</v>
      </c>
    </row>
    <row r="30" spans="1:8" ht="15.75" customHeight="1" x14ac:dyDescent="0.25">
      <c r="B30" s="19" t="s">
        <v>4</v>
      </c>
      <c r="C30" s="101">
        <v>5.0148384999999997E-2</v>
      </c>
    </row>
    <row r="31" spans="1:8" ht="15.75" customHeight="1" x14ac:dyDescent="0.25">
      <c r="B31" s="19" t="s">
        <v>80</v>
      </c>
      <c r="C31" s="101">
        <v>3.0652005E-2</v>
      </c>
    </row>
    <row r="32" spans="1:8" ht="15.75" customHeight="1" x14ac:dyDescent="0.25">
      <c r="B32" s="19" t="s">
        <v>85</v>
      </c>
      <c r="C32" s="101">
        <v>8.6489898999999995E-2</v>
      </c>
    </row>
    <row r="33" spans="2:3" ht="15.75" customHeight="1" x14ac:dyDescent="0.25">
      <c r="B33" s="19" t="s">
        <v>100</v>
      </c>
      <c r="C33" s="101">
        <v>0.168218437</v>
      </c>
    </row>
    <row r="34" spans="2:3" ht="15.75" customHeight="1" x14ac:dyDescent="0.25">
      <c r="B34" s="19" t="s">
        <v>87</v>
      </c>
      <c r="C34" s="101">
        <v>0.24928514500000001</v>
      </c>
    </row>
    <row r="35" spans="2:3" ht="15.75" customHeight="1" x14ac:dyDescent="0.25">
      <c r="B35" s="27" t="s">
        <v>60</v>
      </c>
      <c r="C35" s="48">
        <f>SUM(C26:C34)</f>
        <v>0.99999999899999992</v>
      </c>
    </row>
  </sheetData>
  <sheetProtection algorithmName="SHA-512" hashValue="vkz//bmEWk2HSKHoHGZX4Y2Q1s+BTQHfD2zo1+d0zK/ilrXDwtWGlkdPhjbEapvTZURyE8mQmNAXVg/Pyugukw==" saltValue="lWi7KnOO2C+BLaIxgKChf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0.42782970117659869</v>
      </c>
      <c r="D2" s="52">
        <f>IFERROR(1-_xlfn.NORM.DIST(_xlfn.NORM.INV(SUM(D4:D5), 0, 1) + 1, 0, 1, TRUE), "")</f>
        <v>0.42782970117659869</v>
      </c>
      <c r="E2" s="52">
        <f>IFERROR(1-_xlfn.NORM.DIST(_xlfn.NORM.INV(SUM(E4:E5), 0, 1) + 1, 0, 1, TRUE), "")</f>
        <v>0.34990422303700064</v>
      </c>
      <c r="F2" s="52">
        <f>IFERROR(1-_xlfn.NORM.DIST(_xlfn.NORM.INV(SUM(F4:F5), 0, 1) + 1, 0, 1, TRUE), "")</f>
        <v>0.20938718272721368</v>
      </c>
      <c r="G2" s="52">
        <f>IFERROR(1-_xlfn.NORM.DIST(_xlfn.NORM.INV(SUM(G4:G5), 0, 1) + 1, 0, 1, TRUE), "")</f>
        <v>0.12626396115884453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0.36551959882340129</v>
      </c>
      <c r="D3" s="52">
        <f>IFERROR(_xlfn.NORM.DIST(_xlfn.NORM.INV(SUM(D4:D5), 0, 1) + 1, 0, 1, TRUE) - SUM(D4:D5), "")</f>
        <v>0.36551959882340129</v>
      </c>
      <c r="E3" s="52">
        <f>IFERROR(_xlfn.NORM.DIST(_xlfn.NORM.INV(SUM(E4:E5), 0, 1) + 1, 0, 1, TRUE) - SUM(E4:E5), "")</f>
        <v>0.38062717696299936</v>
      </c>
      <c r="F3" s="52">
        <f>IFERROR(_xlfn.NORM.DIST(_xlfn.NORM.INV(SUM(F4:F5), 0, 1) + 1, 0, 1, TRUE) - SUM(F4:F5), "")</f>
        <v>0.36652651727278629</v>
      </c>
      <c r="G3" s="52">
        <f>IFERROR(_xlfn.NORM.DIST(_xlfn.NORM.INV(SUM(G4:G5), 0, 1) + 1, 0, 1, TRUE) - SUM(G4:G5), "")</f>
        <v>0.31639513884115544</v>
      </c>
    </row>
    <row r="4" spans="1:15" ht="15.75" customHeight="1" x14ac:dyDescent="0.25">
      <c r="B4" s="5" t="s">
        <v>110</v>
      </c>
      <c r="C4" s="45">
        <v>0.1133638</v>
      </c>
      <c r="D4" s="53">
        <v>0.1133638</v>
      </c>
      <c r="E4" s="53">
        <v>0.1598974</v>
      </c>
      <c r="F4" s="53">
        <v>0.21475839999999999</v>
      </c>
      <c r="G4" s="53">
        <v>0.2754298</v>
      </c>
    </row>
    <row r="5" spans="1:15" ht="15.75" customHeight="1" x14ac:dyDescent="0.25">
      <c r="B5" s="5" t="s">
        <v>106</v>
      </c>
      <c r="C5" s="45">
        <v>9.3286900000000006E-2</v>
      </c>
      <c r="D5" s="53">
        <v>9.3286900000000006E-2</v>
      </c>
      <c r="E5" s="53">
        <v>0.10957119999999999</v>
      </c>
      <c r="F5" s="53">
        <v>0.20932790000000001</v>
      </c>
      <c r="G5" s="53">
        <v>0.28191110000000003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0.43605477751718369</v>
      </c>
      <c r="D8" s="52">
        <f>IFERROR(1-_xlfn.NORM.DIST(_xlfn.NORM.INV(SUM(D10:D11), 0, 1) + 1, 0, 1, TRUE), "")</f>
        <v>0.43605477751718369</v>
      </c>
      <c r="E8" s="52">
        <f>IFERROR(1-_xlfn.NORM.DIST(_xlfn.NORM.INV(SUM(E10:E11), 0, 1) + 1, 0, 1, TRUE), "")</f>
        <v>0.37040139645377845</v>
      </c>
      <c r="F8" s="52">
        <f>IFERROR(1-_xlfn.NORM.DIST(_xlfn.NORM.INV(SUM(F10:F11), 0, 1) + 1, 0, 1, TRUE), "")</f>
        <v>0.43908067971337172</v>
      </c>
      <c r="G8" s="52">
        <f>IFERROR(1-_xlfn.NORM.DIST(_xlfn.NORM.INV(SUM(G10:G11), 0, 1) + 1, 0, 1, TRUE), "")</f>
        <v>0.54928882523301181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0.36321632248281632</v>
      </c>
      <c r="D9" s="52">
        <f>IFERROR(_xlfn.NORM.DIST(_xlfn.NORM.INV(SUM(D10:D11), 0, 1) + 1, 0, 1, TRUE) - SUM(D10:D11), "")</f>
        <v>0.36321632248281632</v>
      </c>
      <c r="E9" s="52">
        <f>IFERROR(_xlfn.NORM.DIST(_xlfn.NORM.INV(SUM(E10:E11), 0, 1) + 1, 0, 1, TRUE) - SUM(E10:E11), "")</f>
        <v>0.37791770354622156</v>
      </c>
      <c r="F9" s="52">
        <f>IFERROR(_xlfn.NORM.DIST(_xlfn.NORM.INV(SUM(F10:F11), 0, 1) + 1, 0, 1, TRUE) - SUM(F10:F11), "")</f>
        <v>0.36233802028662832</v>
      </c>
      <c r="G9" s="52">
        <f>IFERROR(_xlfn.NORM.DIST(_xlfn.NORM.INV(SUM(G10:G11), 0, 1) + 1, 0, 1, TRUE) - SUM(G10:G11), "")</f>
        <v>0.32017597476698823</v>
      </c>
    </row>
    <row r="10" spans="1:15" ht="15.75" customHeight="1" x14ac:dyDescent="0.25">
      <c r="B10" s="5" t="s">
        <v>107</v>
      </c>
      <c r="C10" s="45">
        <v>0.1087987</v>
      </c>
      <c r="D10" s="53">
        <v>0.1087987</v>
      </c>
      <c r="E10" s="53">
        <v>0.14983859999999999</v>
      </c>
      <c r="F10" s="53">
        <v>0.13560929999999999</v>
      </c>
      <c r="G10" s="53">
        <v>9.4634599999999999E-2</v>
      </c>
    </row>
    <row r="11" spans="1:15" ht="15.75" customHeight="1" x14ac:dyDescent="0.25">
      <c r="B11" s="5" t="s">
        <v>119</v>
      </c>
      <c r="C11" s="45">
        <v>9.1930200000000004E-2</v>
      </c>
      <c r="D11" s="53">
        <v>9.1930200000000004E-2</v>
      </c>
      <c r="E11" s="53">
        <v>0.1018423</v>
      </c>
      <c r="F11" s="53">
        <v>6.2972E-2</v>
      </c>
      <c r="G11" s="53">
        <v>3.5900599999999998E-2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0.97213777649999999</v>
      </c>
      <c r="D14" s="54">
        <v>0.97637391212799995</v>
      </c>
      <c r="E14" s="54">
        <v>0.97637391212799995</v>
      </c>
      <c r="F14" s="54">
        <v>0.93586611214799997</v>
      </c>
      <c r="G14" s="54">
        <v>0.93586611214799997</v>
      </c>
      <c r="H14" s="45">
        <v>0.63</v>
      </c>
      <c r="I14" s="55">
        <v>0.63</v>
      </c>
      <c r="J14" s="55">
        <v>0.63</v>
      </c>
      <c r="K14" s="55">
        <v>0.63</v>
      </c>
      <c r="L14" s="45">
        <v>0.70199999999999985</v>
      </c>
      <c r="M14" s="55">
        <v>0.70199999999999985</v>
      </c>
      <c r="N14" s="55">
        <v>0.70199999999999985</v>
      </c>
      <c r="O14" s="55">
        <v>0.70199999999999985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0.51605156155281307</v>
      </c>
      <c r="D15" s="52">
        <f t="shared" si="0"/>
        <v>0.51830028026185182</v>
      </c>
      <c r="E15" s="52">
        <f t="shared" si="0"/>
        <v>0.51830028026185182</v>
      </c>
      <c r="F15" s="52">
        <f t="shared" si="0"/>
        <v>0.49679703870486863</v>
      </c>
      <c r="G15" s="52">
        <f t="shared" si="0"/>
        <v>0.49679703870486863</v>
      </c>
      <c r="H15" s="52">
        <f t="shared" si="0"/>
        <v>0.33443046000000004</v>
      </c>
      <c r="I15" s="52">
        <f t="shared" si="0"/>
        <v>0.33443046000000004</v>
      </c>
      <c r="J15" s="52">
        <f t="shared" si="0"/>
        <v>0.33443046000000004</v>
      </c>
      <c r="K15" s="52">
        <f t="shared" si="0"/>
        <v>0.33443046000000004</v>
      </c>
      <c r="L15" s="52">
        <f t="shared" si="0"/>
        <v>0.37265108399999997</v>
      </c>
      <c r="M15" s="52">
        <f t="shared" si="0"/>
        <v>0.37265108399999997</v>
      </c>
      <c r="N15" s="52">
        <f t="shared" si="0"/>
        <v>0.37265108399999997</v>
      </c>
      <c r="O15" s="52">
        <f t="shared" si="0"/>
        <v>0.37265108399999997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qAKrQn0mNZerB49SSlm8lqNxUKf7vZKYSrY6wB/m3tzwbmnGJR7sd+BAYGm4eQV0J1c42yAHkB+Y6cobQPlI8Q==" saltValue="ZHEIaKgPnmSGp1FH96C/6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0.20986089999999999</v>
      </c>
      <c r="D2" s="53">
        <v>8.6708300000000002E-2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0.41966379999999998</v>
      </c>
      <c r="D3" s="53">
        <v>0.27589580000000002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0.30791069999999998</v>
      </c>
      <c r="D4" s="53">
        <v>0.56925510000000001</v>
      </c>
      <c r="E4" s="53">
        <v>0.84019790000000005</v>
      </c>
      <c r="F4" s="53">
        <v>0.62839</v>
      </c>
      <c r="G4" s="53">
        <v>0</v>
      </c>
    </row>
    <row r="5" spans="1:7" x14ac:dyDescent="0.25">
      <c r="B5" s="3" t="s">
        <v>125</v>
      </c>
      <c r="C5" s="52">
        <v>6.2564599999999998E-2</v>
      </c>
      <c r="D5" s="52">
        <v>6.8140800000000001E-2</v>
      </c>
      <c r="E5" s="52">
        <f>1-SUM(E2:E4)</f>
        <v>0.15980209999999995</v>
      </c>
      <c r="F5" s="52">
        <f>1-SUM(F2:F4)</f>
        <v>0.37161</v>
      </c>
      <c r="G5" s="52">
        <f>1-SUM(G2:G4)</f>
        <v>1</v>
      </c>
    </row>
  </sheetData>
  <sheetProtection algorithmName="SHA-512" hashValue="IMbHIav/tcrblw2RhY0acflFEPNEVMAhik/peyWq6R75yR6iOUZ7KotO61z+4uUGgSiM5aeKuIFbR0qEQwlHkA==" saltValue="G2NlT8AHzmwXXMjZ/nyiY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nx5Yp9e7F4UIcaSm6C1r04zjMNOgHj6SAfi7+947MsKFa8J4fJPN4Y+enK4j9sSw5+ljwemeV9NGzh3hqScvPQ==" saltValue="+XVRvIWWsFuwzt4r4E4nr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+c/v4t/7HjxwvwlGJxjeQRMkBSht3B79s/5AXsv9g5hLZStyyrmTqbv84qCtNHi+YtRmnHLCG/UE+ZllVBEPtQ==" saltValue="fbltTeFUvl77a+k38u1jp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AwOevPDHdsSsWcstP4ztFEDiPHiQ1dzLHSqx36Elu0Qlv/ina53jQ5UB39bkMDRtmhEWv59jvWQjg/c2dcZDCg==" saltValue="PHEckG6yni6bMrBPOJV2L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z9wGmwwS3D1xXXI5XMm03QYUb0E9VL8QTGj7RUSri3kLNssXthI9OKcwmWvGZZ9XFvuI3A5yQZeUiGcUlHbhqg==" saltValue="bvpgcBwVWPUThayLqfMj1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144.3361538195548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19.75203299904819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16.029464016122279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0.39315055793818598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0.19283527130965261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0.10284547803181469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0.5</v>
      </c>
      <c r="C9" s="98">
        <v>0.95</v>
      </c>
      <c r="D9" s="56">
        <v>0.2228318690689319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5.5304300000000001E-2</v>
      </c>
      <c r="C10" s="98">
        <v>0.95</v>
      </c>
      <c r="D10" s="56">
        <v>13.539057252878379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13.539057252878379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13.539057252878379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13.539057252878379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5.5304300000000001E-2</v>
      </c>
      <c r="C14" s="98">
        <v>0.95</v>
      </c>
      <c r="D14" s="56">
        <v>13.539057252878379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13.539057252878379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5.5080133892626542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0.95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0.28699999999999998</v>
      </c>
      <c r="C18" s="98">
        <v>0.95</v>
      </c>
      <c r="D18" s="56">
        <v>16.029464016122279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8.6708300000000002E-2</v>
      </c>
      <c r="C19" s="98">
        <v>0.95</v>
      </c>
      <c r="D19" s="56">
        <v>16.029464016122279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16.46619599914094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23.103382705538191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4.4606327668435339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0.21544450643631999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5.5304300000000001E-2</v>
      </c>
      <c r="C26" s="98">
        <v>0.95</v>
      </c>
      <c r="D26" s="56">
        <v>7.6264796156856711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30.36727751762248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0.25274740000000001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0.21297360000000001</v>
      </c>
      <c r="C29" s="98">
        <v>0.95</v>
      </c>
      <c r="D29" s="56">
        <v>193.6128732031849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398.07273654067848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0.06</v>
      </c>
      <c r="C32" s="98">
        <v>0.95</v>
      </c>
      <c r="D32" s="56">
        <v>1.4358697255793671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0.4861297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0.18614800000000001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4.8132400000000013E-2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0.57095980000000002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3.0000000000000001E-3</v>
      </c>
      <c r="C38" s="98">
        <v>0.95</v>
      </c>
      <c r="D38" s="56">
        <v>5.3874863984233787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7.541139000710408</v>
      </c>
      <c r="E39" s="56" t="s">
        <v>183</v>
      </c>
      <c r="F39" s="98">
        <v>1</v>
      </c>
      <c r="G39" s="98">
        <v>1</v>
      </c>
    </row>
  </sheetData>
  <sheetProtection algorithmName="SHA-512" hashValue="wpUUna1OZtbIQsM6A9Kmlo5Uc/VKPHV4yT2j8+Cu0EVL46xWZej7GIksrbdm19itoQAhPmXuLQF4tkKU5aNsmA==" saltValue="YqNyOz6qedcVD+JOYjFN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E4PcIVkMKcVFKfToMy6AIZPlAejrSw812T9PUjaRZAUkfjHnYB0UXxG6R2E8nQq5jDuHB2JUh5fCS6vny26KMg==" saltValue="E2D8ShPaejwz6jzAu6YWf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EJjNrjfUxwD74UAAORtjqcWDJ2DESjI3A9werhK1+RhsQIabqm3KpcXJEbv0ttnl+lXO5HG+5qQHdRGqa6MpnA==" saltValue="838VzhIj/culJnETnlW/A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2.9</v>
      </c>
      <c r="C2" s="21">
        <f>'Entradas de población-año base'!C52</f>
        <v>2.9</v>
      </c>
      <c r="D2" s="21">
        <f>'Entradas de población-año base'!C53</f>
        <v>2.9</v>
      </c>
      <c r="E2" s="21">
        <f>'Entradas de población-año base'!C54</f>
        <v>2.9</v>
      </c>
      <c r="F2" s="21">
        <f>'Entradas de población-año base'!C55</f>
        <v>2.9</v>
      </c>
    </row>
    <row r="3" spans="1:6" ht="15.75" customHeight="1" x14ac:dyDescent="0.25">
      <c r="A3" s="3" t="s">
        <v>6</v>
      </c>
      <c r="B3" s="21">
        <f>frac_mam_1month * 2.6</f>
        <v>0.28287662000000002</v>
      </c>
      <c r="C3" s="21">
        <f>frac_mam_1_5months * 2.6</f>
        <v>0.28287662000000002</v>
      </c>
      <c r="D3" s="21">
        <f>frac_mam_6_11months * 2.6</f>
        <v>0.38958035999999996</v>
      </c>
      <c r="E3" s="21">
        <f>frac_mam_12_23months * 2.6</f>
        <v>0.35258417999999997</v>
      </c>
      <c r="F3" s="21">
        <f>frac_mam_24_59months * 2.6</f>
        <v>0.24604996000000001</v>
      </c>
    </row>
    <row r="4" spans="1:6" ht="15.75" customHeight="1" x14ac:dyDescent="0.25">
      <c r="A4" s="3" t="s">
        <v>207</v>
      </c>
      <c r="B4" s="21">
        <f>frac_sam_1month * 2.6</f>
        <v>0.23901852000000001</v>
      </c>
      <c r="C4" s="21">
        <f>frac_sam_1_5months * 2.6</f>
        <v>0.23901852000000001</v>
      </c>
      <c r="D4" s="21">
        <f>frac_sam_6_11months * 2.6</f>
        <v>0.26478997999999998</v>
      </c>
      <c r="E4" s="21">
        <f>frac_sam_12_23months * 2.6</f>
        <v>0.16372720000000002</v>
      </c>
      <c r="F4" s="21">
        <f>frac_sam_24_59months * 2.6</f>
        <v>9.3341560000000004E-2</v>
      </c>
    </row>
  </sheetData>
  <sheetProtection algorithmName="SHA-512" hashValue="avt4wmNznkirsoAcznB0hx83WNcSXvMKK1RntFNaX0P4/5IvPLJx9Ch/e74kg1+ySdlAFPxvlgQwH+fsuYDxaQ==" saltValue="78N6IN6kSBNxTVmoXAWSb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0.188</v>
      </c>
      <c r="E2" s="60">
        <f>food_insecure</f>
        <v>0.188</v>
      </c>
      <c r="F2" s="60">
        <f>food_insecure</f>
        <v>0.188</v>
      </c>
      <c r="G2" s="60">
        <f>food_insecure</f>
        <v>0.188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0.188</v>
      </c>
      <c r="F5" s="60">
        <f>food_insecure</f>
        <v>0.188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0.188</v>
      </c>
      <c r="F8" s="60">
        <f>food_insecure</f>
        <v>0.188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0.188</v>
      </c>
      <c r="F9" s="60">
        <f>food_insecure</f>
        <v>0.188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0.188</v>
      </c>
      <c r="I15" s="60">
        <f>food_insecure</f>
        <v>0.188</v>
      </c>
      <c r="J15" s="60">
        <f>food_insecure</f>
        <v>0.188</v>
      </c>
      <c r="K15" s="60">
        <f>food_insecure</f>
        <v>0.188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0.47</v>
      </c>
      <c r="I19" s="60">
        <f>frac_malaria_risk</f>
        <v>0.47</v>
      </c>
      <c r="J19" s="60">
        <f>frac_malaria_risk</f>
        <v>0.47</v>
      </c>
      <c r="K19" s="60">
        <f>frac_malaria_risk</f>
        <v>0.47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0.53100000000000003</v>
      </c>
      <c r="M24" s="60">
        <f>famplan_unmet_need</f>
        <v>0.53100000000000003</v>
      </c>
      <c r="N24" s="60">
        <f>famplan_unmet_need</f>
        <v>0.53100000000000003</v>
      </c>
      <c r="O24" s="60">
        <f>famplan_unmet_need</f>
        <v>0.53100000000000003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0.31881351664428714</v>
      </c>
      <c r="M25" s="60">
        <f>(1-food_insecure)*(0.49)+food_insecure*(0.7)</f>
        <v>0.52947999999999995</v>
      </c>
      <c r="N25" s="60">
        <f>(1-food_insecure)*(0.49)+food_insecure*(0.7)</f>
        <v>0.52947999999999995</v>
      </c>
      <c r="O25" s="60">
        <f>(1-food_insecure)*(0.49)+food_insecure*(0.7)</f>
        <v>0.52947999999999995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0.13663436427612308</v>
      </c>
      <c r="M26" s="60">
        <f>(1-food_insecure)*(0.21)+food_insecure*(0.3)</f>
        <v>0.22692000000000001</v>
      </c>
      <c r="N26" s="60">
        <f>(1-food_insecure)*(0.21)+food_insecure*(0.3)</f>
        <v>0.22692000000000001</v>
      </c>
      <c r="O26" s="60">
        <f>(1-food_insecure)*(0.21)+food_insecure*(0.3)</f>
        <v>0.22692000000000001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0.14667782098388674</v>
      </c>
      <c r="M27" s="60">
        <f>(1-food_insecure)*(0.3)</f>
        <v>0.24360000000000001</v>
      </c>
      <c r="N27" s="60">
        <f>(1-food_insecure)*(0.3)</f>
        <v>0.24360000000000001</v>
      </c>
      <c r="O27" s="60">
        <f>(1-food_insecure)*(0.3)</f>
        <v>0.24360000000000001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0.39787429809570307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0.47</v>
      </c>
      <c r="D34" s="60">
        <f t="shared" si="3"/>
        <v>0.47</v>
      </c>
      <c r="E34" s="60">
        <f t="shared" si="3"/>
        <v>0.47</v>
      </c>
      <c r="F34" s="60">
        <f t="shared" si="3"/>
        <v>0.47</v>
      </c>
      <c r="G34" s="60">
        <f t="shared" si="3"/>
        <v>0.47</v>
      </c>
      <c r="H34" s="60">
        <f t="shared" si="3"/>
        <v>0.47</v>
      </c>
      <c r="I34" s="60">
        <f t="shared" si="3"/>
        <v>0.47</v>
      </c>
      <c r="J34" s="60">
        <f t="shared" si="3"/>
        <v>0.47</v>
      </c>
      <c r="K34" s="60">
        <f t="shared" si="3"/>
        <v>0.47</v>
      </c>
      <c r="L34" s="60">
        <f t="shared" si="3"/>
        <v>0.47</v>
      </c>
      <c r="M34" s="60">
        <f t="shared" si="3"/>
        <v>0.47</v>
      </c>
      <c r="N34" s="60">
        <f t="shared" si="3"/>
        <v>0.47</v>
      </c>
      <c r="O34" s="60">
        <f t="shared" si="3"/>
        <v>0.47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Qhrjlh9xoLdOAF+OJwVg27mEp7ghh6Y1C6DMaRPWIzTWxDhEYpL2OZ9uWuiblfSKfdbxMO+rvMXQyOGz3CCeQQ==" saltValue="NPB+eoxJIAXJXSE+kVVxu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SnBx1LBTyCmuAuGuO/zWj2HRmlCiEZ4kmIgnzFKpKYfLN1k/BA3CDemHiB2wmLY1iWjeyXH5RgeD4EcopTkRiw==" saltValue="7s7AUSMj5T4JpiJd9o+A1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GubK9zuRy3YvOcp39aNa29/ZC/ebQSm0MiuFgstiBSzboX5bcZYvcIwnkSau4npE/C7uY4stI8OPyOP/LahChQ==" saltValue="qZOYUep30mY8g+AQCBe+l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43DefBJzN7RwSkTRkOza6zze79ZD5nh3UpY/54/OYd4q28FhrW/4+O+O/8RGQxhZVaEoO3QBAixT4P7xDc2+0w==" saltValue="dUV41ASna0KH41yf3i+bk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O0oRG5NFLoi8DJUorYCflPgxM3MieD5zGXmlAmVjISJQGKIoY+qgWVKSh2vQEqcUneUFC26VlKwEJwLV5GXLlQ==" saltValue="mk/W5WN7qecu6nsMQ9bho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YYDLbxUSVCfHEvZNPWeKidvudBbE6p1ogzgPTjc//GWIJ+tdaJzlzqjRZXtKyI2lOImjMkssUQMiYWh2AE859g==" saltValue="Xjdu6cbuG3xOmbqyYvBfR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cOt7GRsgKnobQV7nhW7YQCZa0bTMWlLNYQvnYIoOPBna+Nim5f8ZaNl9YJNLwDtzXwCAi2N4AB4pp6lsoQROXQ==" saltValue="l4j9zQ+v15Z5H6Wtf+Z06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16QMvoBYrtlSqH3/e1s3+dnmu+zhS9mB+hx1Jfy7sVGq3uSFnyzra4CYJLS1S7C3ByKC79jnLblrq2MLP9DaXA==" saltValue="UWEwDOM8VpM8HDEHBlbN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06SGG6Dp2a7JuRJYXZUgZdjdKRygMWsvx/gAvB1A5srQmFoUtujcYvoLCysNWwXJA37Enxgqxk3TdrHUn0FUYw==" saltValue="gf7/iCWRXbWXJH3JtleE/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Ao0PnQNRas+KwBKp+xTLuNzKbe5LfP7lm8+8GQ2nF81aJxtwTDwVq/9rXYjcsTdu8E4v28Uekw1YXg1WtAjv8A==" saltValue="sob14vswxDhIFlsPBWjA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Be0zxR8OnUkLn84h5rMCnbU8ggsbmpHdEzslHuhV5Hs2OjcVv3Ymiv4VwVDor7tmTwtnuRtwL31185q4AxhICw==" saltValue="79iaYlxGehoZbe3oabE4B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rlMxh2zkZzWYomjNZEmy6aWlqtv+AfZE+uvmZPua5ztowGixvYt8Ef675JexJjxwwoK4/UYlRYlZHZ65ldzvnQ==" saltValue="qMHxpL9pLjIvHSnrgCnT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u5ksOb1jY4yakEPLV70Dg6YgC/OfI0El6bumJ0a2q4r5Lcx86jGZkcMJBD6MrVjpI+2/mt4G4RC1MmKOS1xArQ==" saltValue="ZPjYMPA9NWSldydJsFYLS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9.9916678882432386E-2</v>
      </c>
      <c r="G18" s="90">
        <f>MIN(MAX(1-0.89/(1-frac_sam_12_23months+(frac_sam_12_23months*0.89)),0),1)</f>
        <v>0.10379203915184165</v>
      </c>
      <c r="H18" s="90">
        <f>MIN(MAX(1-0.89/(1-frac_sam_24_59months+(frac_sam_24_59months*0.89)),0),1)</f>
        <v>0.10647139657217564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9.5084967830687428E-2</v>
      </c>
      <c r="G20" s="90">
        <f>MIN(MAX(1-0.89/(1-frac_mam_12_23months+(frac_mam_12_23months*0.89)),0),1)</f>
        <v>9.6522809976443136E-2</v>
      </c>
      <c r="H20" s="90">
        <f>MIN(MAX(1-0.89/(1-frac_mam_24_59months+(frac_mam_24_59months*0.89)),0),1)</f>
        <v>0.10063781412126649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8.9907333696505054E-3</v>
      </c>
      <c r="G73" s="90">
        <f>MIN(MAX(1-0.99/(1-frac_sam_12_23months+(frac_sam_12_23months*0.99)),0),1)</f>
        <v>9.3761843708219939E-3</v>
      </c>
      <c r="H73" s="90">
        <f>MIN(MAX(1-0.99/(1-frac_sam_24_59months+(frac_sam_24_59months*0.99)),0),1)</f>
        <v>9.6444564177207148E-3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8.5143718155271664E-3</v>
      </c>
      <c r="G75" s="90">
        <f>MIN(MAX(1-0.99/(1-frac_mam_12_23months+(frac_mam_12_23months*0.99)),0),1)</f>
        <v>8.6556448594042878E-3</v>
      </c>
      <c r="H75" s="90">
        <f>MIN(MAX(1-0.99/(1-frac_mam_24_59months+(frac_mam_24_59months*0.99)),0),1)</f>
        <v>9.0622300051164117E-3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0.18336643183211521</v>
      </c>
      <c r="G128" s="90">
        <f>MIN(MAX(1-0.8/(1-frac_sam_12_23months+(frac_sam_12_23months*0.8)),0),1)</f>
        <v>0.18979596631819784</v>
      </c>
      <c r="H128" s="90">
        <f>MIN(MAX(1-0.8/(1-frac_sam_24_59months+(frac_sam_24_59months*0.8)),0),1)</f>
        <v>0.1942143624279562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0.1752851771077143</v>
      </c>
      <c r="G130" s="90">
        <f>MIN(MAX(1-0.8/(1-frac_mam_12_23months+(frac_mam_12_23months*0.8)),0),1)</f>
        <v>0.17769763024997143</v>
      </c>
      <c r="H130" s="90">
        <f>MIN(MAX(1-0.8/(1-frac_mam_24_59months+(frac_mam_24_59months*0.8)),0),1)</f>
        <v>0.18456635259016585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NHiLdVxMI0g/rVr5/qyUymUVY9XcYpVzRsi6TLYr1UZ/dFh2zjgoHDSwKrHj0gvuZ5BcPCuNPl6dRQO3cGaX0A==" saltValue="AdPOPbQgKTP2AdiuDZqp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W8VscLLk8s1Y85xEDXN+9QdwmnQYBwpWKOb32qEmqIPVXo8O7zJCxC0+3Zx8t5tS9BbXFkog56hCodbzFNjKQw==" saltValue="oQMVdRZbCK4BsYSIPIDrE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2024-08-06T08:34:03Z</dcterms:modified>
</cp:coreProperties>
</file>