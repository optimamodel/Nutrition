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AF022A1-EB3C-4555-B7B0-48F9FB84F2C0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<sst xmlns="http://schemas.openxmlformats.org/spreadsheetml/2006/main" count="2159" uniqueCount="372">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</sst>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4780675.4999999991</v>
      </c>
    </row>
    <row r="8" spans="1:3" ht="15" customHeight="1" x14ac:dyDescent="0.25">
      <c r="B8" s="5" t="s">
        <v>63</v>
      </c>
      <c r="C8" s="44">
        <v>0.48599999999999999</v>
      </c>
    </row>
    <row r="9" spans="1:3" ht="15" customHeight="1" x14ac:dyDescent="0.25">
      <c r="B9" s="5" t="s">
        <v>62</v>
      </c>
      <c r="C9" s="45">
        <v>0.47</v>
      </c>
    </row>
    <row r="10" spans="1:3" ht="15" customHeight="1" x14ac:dyDescent="0.25">
      <c r="B10" s="5" t="s">
        <v>75</v>
      </c>
      <c r="C10" s="45">
        <v>0.40195039999999999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8.5299999999999987E-2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0.35580000000000001</v>
      </c>
    </row>
    <row r="26" spans="1:3" ht="15" customHeight="1" x14ac:dyDescent="0.25">
      <c r="B26" s="15" t="s">
        <v>67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0.206672123736343</v>
      </c>
    </row>
    <row r="30" spans="1:3" ht="14.25" customHeight="1" x14ac:dyDescent="0.25">
      <c r="B30" s="25" t="s">
        <v>82</v>
      </c>
      <c r="C30" s="99">
        <v>0.111375096799569</v>
      </c>
    </row>
    <row r="31" spans="1:3" ht="14.25" customHeight="1" x14ac:dyDescent="0.25">
      <c r="B31" s="25" t="s">
        <v>29</v>
      </c>
      <c r="C31" s="99">
        <v>0.12654954787338499</v>
      </c>
    </row>
    <row r="32" spans="1:3" ht="14.25" customHeight="1" x14ac:dyDescent="0.25">
      <c r="B32" s="25" t="s">
        <v>30</v>
      </c>
      <c r="C32" s="99">
        <v>0.55540323159070293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28.3093</v>
      </c>
    </row>
    <row r="38" spans="1:5" ht="15" customHeight="1" x14ac:dyDescent="0.25">
      <c r="B38" s="11" t="s">
        <v>54</v>
      </c>
      <c r="C38" s="43">
        <v>46.654730000000001</v>
      </c>
      <c r="D38" s="12"/>
      <c r="E38" s="13"/>
    </row>
    <row r="39" spans="1:5" ht="15" customHeight="1" x14ac:dyDescent="0.25">
      <c r="B39" s="11" t="s">
        <v>80</v>
      </c>
      <c r="C39" s="43">
        <v>61.908940000000001</v>
      </c>
      <c r="D39" s="12"/>
      <c r="E39" s="12"/>
    </row>
    <row r="40" spans="1:5" ht="15" customHeight="1" x14ac:dyDescent="0.25">
      <c r="B40" s="11" t="s">
        <v>55</v>
      </c>
      <c r="C40" s="100">
        <v>1.83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78</v>
      </c>
      <c r="C47" s="45">
        <v>7.3879500000000001E-2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7.1760000000000002</v>
      </c>
      <c r="D51" s="12"/>
    </row>
    <row r="52" spans="1:4" ht="15" customHeight="1" x14ac:dyDescent="0.25">
      <c r="B52" s="11" t="s">
        <v>32</v>
      </c>
      <c r="C52" s="100">
        <v>7.1760000000000002</v>
      </c>
    </row>
    <row r="53" spans="1:4" ht="15.75" customHeight="1" x14ac:dyDescent="0.25">
      <c r="B53" s="11" t="s">
        <v>35</v>
      </c>
      <c r="C53" s="100">
        <v>11.622</v>
      </c>
    </row>
    <row r="54" spans="1:4" ht="15.75" customHeight="1" x14ac:dyDescent="0.25">
      <c r="B54" s="11" t="s">
        <v>33</v>
      </c>
      <c r="C54" s="100">
        <v>11.986000000000001</v>
      </c>
    </row>
    <row r="55" spans="1:4" ht="15.75" customHeight="1" x14ac:dyDescent="0.25">
      <c r="B55" s="11" t="s">
        <v>34</v>
      </c>
      <c r="C55" s="100">
        <v>6.3526666666666678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0.53084200000000004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8ipOC+KorBDu8EfRyartdt6WdGHMIuFW5wYeWOkZr0W8D4hd2T0SWv77qnriW+N4bzY4WZ6zVSJf3oKJg3lh9g==" saltValue="ykYsoHxndjWu/arpzwBK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TurKg/c92lhGAe1SpmxtRe+tF+13/XKLUugOn+W15bCC1w/Gq47SDSkp8WMuNmoQxG6SBa2ipUgmU+hmC7KFA==" saltValue="UvHo+fmVXf1An88SWRFV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1.9833151046773551E-2</v>
      </c>
    </row>
    <row r="4" spans="1:8" ht="15.75" customHeight="1" x14ac:dyDescent="0.25">
      <c r="B4" s="19" t="s">
        <v>116</v>
      </c>
      <c r="C4" s="101">
        <v>6.3894030924347367E-2</v>
      </c>
    </row>
    <row r="5" spans="1:8" ht="15.75" customHeight="1" x14ac:dyDescent="0.25">
      <c r="B5" s="19" t="s">
        <v>114</v>
      </c>
      <c r="C5" s="101">
        <v>9.4246268158946475E-2</v>
      </c>
    </row>
    <row r="6" spans="1:8" ht="15.75" customHeight="1" x14ac:dyDescent="0.25">
      <c r="B6" s="19" t="s">
        <v>110</v>
      </c>
      <c r="C6" s="101">
        <v>0.23881032694278609</v>
      </c>
    </row>
    <row r="7" spans="1:8" ht="15.75" customHeight="1" x14ac:dyDescent="0.25">
      <c r="B7" s="19" t="s">
        <v>115</v>
      </c>
      <c r="C7" s="101">
        <v>0.3871881532303128</v>
      </c>
    </row>
    <row r="8" spans="1:8" ht="15.75" customHeight="1" x14ac:dyDescent="0.25">
      <c r="B8" s="19" t="s">
        <v>117</v>
      </c>
      <c r="C8" s="101">
        <v>5.8535036070138371E-3</v>
      </c>
    </row>
    <row r="9" spans="1:8" ht="15.75" customHeight="1" x14ac:dyDescent="0.25">
      <c r="B9" s="19" t="s">
        <v>111</v>
      </c>
      <c r="C9" s="101">
        <v>7.3348498268419438E-2</v>
      </c>
    </row>
    <row r="10" spans="1:8" ht="15.75" customHeight="1" x14ac:dyDescent="0.25">
      <c r="B10" s="19" t="s">
        <v>113</v>
      </c>
      <c r="C10" s="101">
        <v>0.1168260678214004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121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2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109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3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120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98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107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118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4.5856951999999999E-2</v>
      </c>
    </row>
    <row r="27" spans="1:8" ht="15.75" customHeight="1" x14ac:dyDescent="0.25">
      <c r="B27" s="19" t="s">
        <v>108</v>
      </c>
      <c r="C27" s="101">
        <v>2.7671261999999999E-2</v>
      </c>
    </row>
    <row r="28" spans="1:8" ht="15.75" customHeight="1" x14ac:dyDescent="0.25">
      <c r="B28" s="19" t="s">
        <v>122</v>
      </c>
      <c r="C28" s="101">
        <v>0.19152286900000001</v>
      </c>
    </row>
    <row r="29" spans="1:8" ht="15.75" customHeight="1" x14ac:dyDescent="0.25">
      <c r="B29" s="19" t="s">
        <v>105</v>
      </c>
      <c r="C29" s="101">
        <v>0.15015504499999999</v>
      </c>
    </row>
    <row r="30" spans="1:8" ht="15.75" customHeight="1" x14ac:dyDescent="0.25">
      <c r="B30" s="19" t="s">
        <v>4</v>
      </c>
      <c r="C30" s="101">
        <v>5.0148384999999997E-2</v>
      </c>
    </row>
    <row r="31" spans="1:8" ht="15.75" customHeight="1" x14ac:dyDescent="0.25">
      <c r="B31" s="19" t="s">
        <v>99</v>
      </c>
      <c r="C31" s="101">
        <v>3.0652005E-2</v>
      </c>
    </row>
    <row r="32" spans="1:8" ht="15.75" customHeight="1" x14ac:dyDescent="0.25">
      <c r="B32" s="19" t="s">
        <v>104</v>
      </c>
      <c r="C32" s="101">
        <v>8.6489898999999995E-2</v>
      </c>
    </row>
    <row r="33" spans="2:3" ht="15.75" customHeight="1" x14ac:dyDescent="0.25">
      <c r="B33" s="19" t="s">
        <v>119</v>
      </c>
      <c r="C33" s="101">
        <v>0.168218437</v>
      </c>
    </row>
    <row r="34" spans="2:3" ht="15.75" customHeight="1" x14ac:dyDescent="0.25">
      <c r="B34" s="19" t="s">
        <v>106</v>
      </c>
      <c r="C34" s="101">
        <v>0.24928514500000001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VrL0Wfuinhgdpul0ilYsnF5dg56XB3ctlf9IC/g8nvsSnyCBPx7RQskelo4vX210ypFumVPmKput+VhEVkIIlQ==" saltValue="YtCbCCKV61nzzdI4mrxN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129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125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126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h0T1Y63Mqu7Ef3D0ZGvpUFnC1bcVzRTBlFhNrYe7P60z2zkT4pouIL7uAySpD28wMMMWgO6NWscJoG1K5XU0Q==" saltValue="qO/0/yMA7iVLpV7REWKX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/lwZXdtPL2rmxCXr/03uXuiTXFSR70Q2f5VOnYuNWr6K2tArR8Ft4xjOEV9LoTjzZpwH3ydnRKwCOpgKB4VPnQ==" saltValue="ilmmjyzUWJWkiqibQcWk+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QGXZtJ1CvCSoHQYUQoGF5PSRQSvoxBxE5BsoLD/24qwINb3sxK/UFEz0y4+aZSPtd5EZv1n3pxog4E/n3Z7ng==" saltValue="t0ibp01lqIzXtkGIZV4v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650.27221843476605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0.35046999999999995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5.2209999999999999E-2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1.9218898624999998E-2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94138.543510000003</v>
      </c>
      <c r="C22" s="109">
        <v>93543.137419999999</v>
      </c>
      <c r="D22" s="109">
        <v>92939.119000000006</v>
      </c>
      <c r="E22" s="109">
        <v>92284.929300000003</v>
      </c>
      <c r="F22" s="109">
        <v>91278.827590000001</v>
      </c>
      <c r="G22" s="109">
        <v>90260.442030000006</v>
      </c>
      <c r="H22" s="109">
        <v>89137.620219999997</v>
      </c>
      <c r="I22" s="109">
        <v>87800.377890000003</v>
      </c>
      <c r="J22" s="109">
        <v>85995.471919999996</v>
      </c>
      <c r="K22" s="109">
        <v>83536.083499999993</v>
      </c>
      <c r="L22" s="109">
        <v>79951.452929999999</v>
      </c>
      <c r="M22" s="109">
        <v>74893.748070000001</v>
      </c>
      <c r="N22" s="109">
        <v>67531.861359999995</v>
      </c>
      <c r="O22" s="109">
        <v>57922.792350000003</v>
      </c>
    </row>
  </sheetData>
  <sheetProtection algorithmName="SHA-512" hashValue="vTC1FPEKgdg3I3oX42gSC+gt3x/7eWSCSrSzXI3YWkGqdoUfi494bMkcUE6K3qMkz0qqJdsDqyvCSEv5m/uS9Q==" saltValue="RzbBbZorSC1hM7YQcUHM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i6FWnWj0/lH/uyCgk6QuRFjrhYgiqLcKVgN7GdV5lL6r3vR0ElrZg5h5QQ0xPXHFT49U/vm+VZE4TnNftjO8w==" saltValue="cO2WdzHpNy2AcE240MCA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q2kEmL+VStdDZlXZmJQRbAx955E4jCiRzewUfF+fZZqM7k7kySZ4iyg3dZis3gPadFw8l3z2PTVKuFhn41Agw==" saltValue="D3N+S96vc2rTzclAdXAR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5.5304300000000001E-2</v>
      </c>
      <c r="C10" s="98">
        <v>0.95</v>
      </c>
      <c r="D10" s="56">
        <v>13.539057252878379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13.539057252878379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13.539057252878379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13.539057252878379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5.5304300000000001E-2</v>
      </c>
      <c r="C14" s="98">
        <v>0.95</v>
      </c>
      <c r="D14" s="56">
        <v>13.539057252878379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13.539057252878379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0.95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0.28699999999999998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8.6708300000000002E-2</v>
      </c>
      <c r="C19" s="98">
        <v>0.95</v>
      </c>
      <c r="D19" s="56">
        <v>2.377996240315416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4.4606327668435339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0.21544450643631999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0.25274740000000001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0.21297360000000001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0.11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0.4861297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0.18614800000000001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4.8132400000000013E-2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0.57095980000000002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0.11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KMagvaX106jvILS20uHGWn4t2DlilqEDTb2hPndRqvB1Etb+dB6fkUlpNaEq9ec4wvrpvq/7R1ChVc8y+ctXEQ==" saltValue="QQb8qbJ3LoerUzt8Nhx5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FJ39qzl6iI7itExsEk8ukhAivHZfahq5B7cf5A9foWloaBGkE97L+l1YZVn+64NIjweocOMh/yItFRkKfHvNA==" saltValue="Iycf8MQ6mqhmNYeP6ATR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vhh0OMyMAUHfsWADvkpTMvhWn0RLNyNeVqybx8oRFgU+IuHQ2d+jSGFG6rvtE5sKLhWqMtRobHvb1b36bEk6w==" saltValue="uNY5u7QaakVoeB/ryP7D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7.1760000000000002</v>
      </c>
      <c r="C2" s="21">
        <f>'Entradas de población-año base'!C52</f>
        <v>7.1760000000000002</v>
      </c>
      <c r="D2" s="21">
        <f>'Entradas de población-año base'!C53</f>
        <v>11.622</v>
      </c>
      <c r="E2" s="21">
        <f>'Entradas de población-año base'!C54</f>
        <v>11.986000000000001</v>
      </c>
      <c r="F2" s="21">
        <f>'Entradas de población-año base'!C55</f>
        <v>6.3526666666666678</v>
      </c>
    </row>
    <row r="3" spans="1:6" ht="15.75" customHeight="1" x14ac:dyDescent="0.25">
      <c r="A3" s="3" t="s">
        <v>6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236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xRAX2LmCr0LE1UDFv3SW+XB9O/lJwG9mA06wJ1Rv7SRm57Oo2sGq8AEyI2YytylZKyPAmDeV8viFLm5ippH+2A==" saltValue="HwkydP5sKvO2pq2mJahx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WNKpdg4/tg0X8UYH4v98BgBuF8T1+nfJVxWXOfwmfTbkY/ie6pcOu9W2JOhRjuT3d0Xh/aF9SExyUhg6oYtQQ==" saltValue="oDS/BqGpu8RkfWoNTjuA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1mCidVtdWnckfJiUik6JUVXWI1+2E9h4tggVIzgU8YrTSGVW1VE4b8FV1tB+B2EgvtHUUtDYZdhQFl+4zBqnw==" saltValue="gHpwMgPv2fYR/9ddW+xB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D5ul+cMmvi8VdPvMEDQURF9S/mxSBQS1NCB2beVEj2Be4nwv/Sr5cpcno9sJRr7N69bSvh/hIycsenyfzwmJg==" saltValue="+NkU7M5Jp370ABRzGzCk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X43NaY9xfea6lO+b/BxYams624VOTCLWq/ABbB3+te2zYp8ipYEviwYqlogB9BFXF406LRwmVLkA8lFLCSQqg==" saltValue="kjdVjsAYtmY+Cm6KV28i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v1rrQxtxQ7M6gNpPbdqg7dPIH+xy6AM4hsa1XAILvJ+RfGN1iljJc/J6kSChWvB+vw/GHbx3Wbl/beKWPadNZA==" saltValue="buDioR01V5t9cmjUUMKz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ncuNS++9BFOYrCYCL69QorpvfesIeklb8G7KzSpevb+vZUHFcrcn0/vj96fqjTmhd/m3Q84IQQax4F87rHKbMg==" saltValue="AwvTq0oYNbD2kkqCA9UQ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uXyIilqkwawmeO0F8T3lmZHZpECYorYKg3dGST/tyoY5t0R1Qz/IZhbr8gFRrkT51ef/eOa6KBzXiwpx/jYiQ==" saltValue="MDdBs7g+lH2l4yjFPQ+tC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2y8ZIvuue/Maiqx5X1NK5T1KyZxWkg0gR9rvaF/mQrdzQRa4avN2iO25ORX1wRHolYx3Ob6ADNKGawz2Tz7Spw==" saltValue="7bJiXeKKCtKJNRgO6TAu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2zjGvyC2j/rSzHgmZ1EmjF7Vo/qD+mgi3cII3nCGW0yKviHsmu5n9P059tsEqMUlWpi9NmCnq5TVyyO4pt+3kw==" saltValue="knb65iMzwX4TGBSZ7AVz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8jWEWHCFsdzyeX4oFukuQbW4w7ZD8LxldAktN4j0Vpxm6nlhua++CuVfOCrxWALszHv2hSUcsCKPaW3E2BBUg==" saltValue="hjANiuGJ7RSiE5n9iP7W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V9gxfuS4dhMQBkq9vvwBukUsrH3gLj4sboDniCt12bcquw3pq+GU6T0ydwKLYFVuaXivM1v3IkMlZvuMPI7Sg==" saltValue="UKsg7xOVEP4QCL2A5nAE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uWxckku+NuDq8f3oNtcKRo5Ug/9J0JoGly1esJYqJSCIv+lAHNogC+2M+BBEgIClet760dffEIeBPOKAmeM9A==" saltValue="2Bj6sMpWHjeHbds7dQGp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KQJrY8lJ0O7twMytl2FvF2jZ55IRwEqP0cFqsQ7wtJ4BHYaSZxwxT5yzTByeMUd+we7rdA371GZyggrvp+vdA==" saltValue="5pS2YFhygRX2jByacEL7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hwgd8+XETCCIKPIhLy+UX0cgGf1EuU/QoISpZy3IS6ERVZ98tHU20W8ws6KLxuijUMpM8a/eJqCJX5XodJS8w==" saltValue="QGGiE7UpUHSAaAxc+55J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gbOegPClmz3D+ipG+qt8IuFeMY+RDEZ+b6+yp5AjXWKP0wTHt+qixhbMCQ5Wax1nPg2yBSWQpSWOqdGfp0FvA==" saltValue="VsyPv+MspGx/BBi30dIP2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