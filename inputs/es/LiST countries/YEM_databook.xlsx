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90638961-08FD-4665-845A-FEBBA86F13A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A36" i="2"/>
  <c r="A31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38" i="2" l="1"/>
  <c r="A26" i="2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<sst xmlns="http://schemas.openxmlformats.org/spreadsheetml/2006/main" count="2169" uniqueCount="373">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</sst>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4780675.4999999991</v>
      </c>
    </row>
    <row r="8" spans="1:3" ht="15" customHeight="1" x14ac:dyDescent="0.25">
      <c r="B8" s="5" t="s">
        <v>63</v>
      </c>
      <c r="C8" s="44">
        <v>0.48599999999999999</v>
      </c>
    </row>
    <row r="9" spans="1:3" ht="15" customHeight="1" x14ac:dyDescent="0.25">
      <c r="B9" s="5" t="s">
        <v>62</v>
      </c>
      <c r="C9" s="45">
        <v>0.47</v>
      </c>
    </row>
    <row r="10" spans="1:3" ht="15" customHeight="1" x14ac:dyDescent="0.25">
      <c r="B10" s="5" t="s">
        <v>75</v>
      </c>
      <c r="C10" s="45">
        <v>0.40195039999999999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8.5299999999999987E-2</v>
      </c>
    </row>
    <row r="24" spans="1:3" ht="15" customHeight="1" x14ac:dyDescent="0.25">
      <c r="B24" s="15" t="s">
        <v>65</v>
      </c>
      <c r="C24" s="45">
        <v>0.48899999999999999</v>
      </c>
    </row>
    <row r="25" spans="1:3" ht="15" customHeight="1" x14ac:dyDescent="0.25">
      <c r="B25" s="15" t="s">
        <v>66</v>
      </c>
      <c r="C25" s="45">
        <v>0.35580000000000001</v>
      </c>
    </row>
    <row r="26" spans="1:3" ht="15" customHeight="1" x14ac:dyDescent="0.25">
      <c r="B26" s="15" t="s">
        <v>67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0.206672123736343</v>
      </c>
    </row>
    <row r="30" spans="1:3" ht="14.25" customHeight="1" x14ac:dyDescent="0.25">
      <c r="B30" s="25" t="s">
        <v>82</v>
      </c>
      <c r="C30" s="97">
        <v>0.111375096799569</v>
      </c>
    </row>
    <row r="31" spans="1:3" ht="14.25" customHeight="1" x14ac:dyDescent="0.25">
      <c r="B31" s="25" t="s">
        <v>29</v>
      </c>
      <c r="C31" s="97">
        <v>0.12654954787338499</v>
      </c>
    </row>
    <row r="32" spans="1:3" ht="14.25" customHeight="1" x14ac:dyDescent="0.25">
      <c r="B32" s="25" t="s">
        <v>30</v>
      </c>
      <c r="C32" s="97">
        <v>0.55540323159070293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28.3093</v>
      </c>
    </row>
    <row r="38" spans="1:5" ht="15" customHeight="1" x14ac:dyDescent="0.25">
      <c r="B38" s="11" t="s">
        <v>54</v>
      </c>
      <c r="C38" s="43">
        <v>46.654730000000001</v>
      </c>
      <c r="D38" s="12"/>
      <c r="E38" s="13"/>
    </row>
    <row r="39" spans="1:5" ht="15" customHeight="1" x14ac:dyDescent="0.25">
      <c r="B39" s="11" t="s">
        <v>80</v>
      </c>
      <c r="C39" s="43">
        <v>61.908940000000001</v>
      </c>
      <c r="D39" s="12"/>
      <c r="E39" s="12"/>
    </row>
    <row r="40" spans="1:5" ht="15" customHeight="1" x14ac:dyDescent="0.25">
      <c r="B40" s="11" t="s">
        <v>55</v>
      </c>
      <c r="C40" s="98">
        <v>1.83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7.4885000000000004E-3</v>
      </c>
      <c r="D45" s="12"/>
    </row>
    <row r="46" spans="1:5" ht="15.75" customHeight="1" x14ac:dyDescent="0.25">
      <c r="B46" s="11" t="s">
        <v>70</v>
      </c>
      <c r="C46" s="45">
        <v>8.0462399999999989E-2</v>
      </c>
      <c r="D46" s="12"/>
    </row>
    <row r="47" spans="1:5" ht="15.75" customHeight="1" x14ac:dyDescent="0.25">
      <c r="B47" s="11" t="s">
        <v>78</v>
      </c>
      <c r="C47" s="45">
        <v>7.3879500000000001E-2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7.1760000000000002</v>
      </c>
      <c r="D51" s="12"/>
    </row>
    <row r="52" spans="1:4" ht="15" customHeight="1" x14ac:dyDescent="0.25">
      <c r="B52" s="11" t="s">
        <v>32</v>
      </c>
      <c r="C52" s="98">
        <v>7.1760000000000002</v>
      </c>
    </row>
    <row r="53" spans="1:4" ht="15.75" customHeight="1" x14ac:dyDescent="0.25">
      <c r="B53" s="11" t="s">
        <v>35</v>
      </c>
      <c r="C53" s="98">
        <v>11.622</v>
      </c>
    </row>
    <row r="54" spans="1:4" ht="15.75" customHeight="1" x14ac:dyDescent="0.25">
      <c r="B54" s="11" t="s">
        <v>33</v>
      </c>
      <c r="C54" s="98">
        <v>11.986000000000001</v>
      </c>
    </row>
    <row r="55" spans="1:4" ht="15.75" customHeight="1" x14ac:dyDescent="0.25">
      <c r="B55" s="11" t="s">
        <v>34</v>
      </c>
      <c r="C55" s="98">
        <v>6.3526666666666678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0.53084200000000004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JWwNy+tSuZzyXjzQ7Hq5k8NgZTo8/JNKJ1LOQrXa8WjXV0WeN4y1fdzQ3hCCxD/ng7x0gQk3JGokZPkgNim9xQ==" saltValue="OnJ8jueClGkAosPN4SNy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1016549</v>
      </c>
      <c r="C2" s="49">
        <v>2270733.5</v>
      </c>
      <c r="D2" s="49">
        <v>3144028</v>
      </c>
      <c r="E2" s="49">
        <v>2560148</v>
      </c>
      <c r="F2" s="49">
        <v>1338816.5</v>
      </c>
      <c r="G2" s="17">
        <f t="shared" ref="G2:G13" si="0">C2+D2+E2+F2</f>
        <v>9313726</v>
      </c>
      <c r="H2" s="17">
        <f t="shared" ref="H2:H13" si="1">(B2 + stillbirth*B2/(1000-stillbirth))/(1-abortion)</f>
        <v>1182871.3247692741</v>
      </c>
      <c r="I2" s="17">
        <f t="shared" ref="I2:I13" si="2">G2-H2</f>
        <v>8130854.6752307257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1014405</v>
      </c>
      <c r="C3" s="50">
        <v>2319414.5</v>
      </c>
      <c r="D3" s="50">
        <v>3189500</v>
      </c>
      <c r="E3" s="50">
        <v>2641868.5</v>
      </c>
      <c r="F3" s="50">
        <v>1417543</v>
      </c>
      <c r="G3" s="17">
        <f t="shared" si="0"/>
        <v>9568326</v>
      </c>
      <c r="H3" s="17">
        <f t="shared" si="1"/>
        <v>1180376.5349260836</v>
      </c>
      <c r="I3" s="17">
        <f t="shared" si="2"/>
        <v>8387949.4650739161</v>
      </c>
    </row>
    <row r="4" spans="1:9" ht="15.75" customHeight="1" x14ac:dyDescent="0.25">
      <c r="A4" s="5">
        <f t="shared" si="3"/>
        <v>2026</v>
      </c>
      <c r="B4" s="49">
        <v>1020679</v>
      </c>
      <c r="C4" s="50">
        <v>2365920</v>
      </c>
      <c r="D4" s="50">
        <v>3248643</v>
      </c>
      <c r="E4" s="50">
        <v>2710005</v>
      </c>
      <c r="F4" s="50">
        <v>1500106</v>
      </c>
      <c r="G4" s="17">
        <f t="shared" si="0"/>
        <v>9824674</v>
      </c>
      <c r="H4" s="17">
        <f t="shared" si="1"/>
        <v>1187677.0533384793</v>
      </c>
      <c r="I4" s="17">
        <f t="shared" si="2"/>
        <v>8636996.9466615207</v>
      </c>
    </row>
    <row r="5" spans="1:9" ht="15.75" customHeight="1" x14ac:dyDescent="0.25">
      <c r="A5" s="5">
        <f t="shared" si="3"/>
        <v>2027</v>
      </c>
      <c r="B5" s="49">
        <v>1021659</v>
      </c>
      <c r="C5" s="50">
        <v>2411228</v>
      </c>
      <c r="D5" s="50">
        <v>3318958</v>
      </c>
      <c r="E5" s="50">
        <v>2766280.5</v>
      </c>
      <c r="F5" s="50">
        <v>1586142</v>
      </c>
      <c r="G5" s="17">
        <f t="shared" si="0"/>
        <v>10082608.5</v>
      </c>
      <c r="H5" s="17">
        <f t="shared" si="1"/>
        <v>1188817.3957108331</v>
      </c>
      <c r="I5" s="17">
        <f t="shared" si="2"/>
        <v>8893791.1042891666</v>
      </c>
    </row>
    <row r="6" spans="1:9" ht="15.75" customHeight="1" x14ac:dyDescent="0.25">
      <c r="A6" s="5">
        <f t="shared" si="3"/>
        <v>2028</v>
      </c>
      <c r="B6" s="49">
        <v>1026999</v>
      </c>
      <c r="C6" s="50">
        <v>2456829</v>
      </c>
      <c r="D6" s="50">
        <v>3392740.5</v>
      </c>
      <c r="E6" s="50">
        <v>2816830</v>
      </c>
      <c r="F6" s="50">
        <v>1674821.5</v>
      </c>
      <c r="G6" s="17">
        <f t="shared" si="0"/>
        <v>10341221</v>
      </c>
      <c r="H6" s="17">
        <f t="shared" si="1"/>
        <v>1195031.0980254957</v>
      </c>
      <c r="I6" s="17">
        <f t="shared" si="2"/>
        <v>9146189.9019745048</v>
      </c>
    </row>
    <row r="7" spans="1:9" ht="15.75" customHeight="1" x14ac:dyDescent="0.25">
      <c r="A7" s="5">
        <f t="shared" si="3"/>
        <v>2029</v>
      </c>
      <c r="B7" s="49">
        <v>1031629</v>
      </c>
      <c r="C7" s="50">
        <v>2501464</v>
      </c>
      <c r="D7" s="50">
        <v>3468303</v>
      </c>
      <c r="E7" s="50">
        <v>2864022.5</v>
      </c>
      <c r="F7" s="50">
        <v>1764366</v>
      </c>
      <c r="G7" s="17">
        <f t="shared" si="0"/>
        <v>10598155.5</v>
      </c>
      <c r="H7" s="17">
        <f t="shared" si="1"/>
        <v>1200418.6339275346</v>
      </c>
      <c r="I7" s="17">
        <f t="shared" si="2"/>
        <v>9397736.8660724647</v>
      </c>
    </row>
    <row r="8" spans="1:9" ht="15.75" customHeight="1" x14ac:dyDescent="0.25">
      <c r="A8" s="5">
        <f t="shared" si="3"/>
        <v>2030</v>
      </c>
      <c r="B8" s="49">
        <v>1034670</v>
      </c>
      <c r="C8" s="50">
        <v>2543658</v>
      </c>
      <c r="D8" s="50">
        <v>3544819</v>
      </c>
      <c r="E8" s="50">
        <v>2908783.5</v>
      </c>
      <c r="F8" s="50">
        <v>1852834.5</v>
      </c>
      <c r="G8" s="17">
        <f t="shared" si="0"/>
        <v>10850095</v>
      </c>
      <c r="H8" s="17">
        <f t="shared" si="1"/>
        <v>1203957.1861258284</v>
      </c>
      <c r="I8" s="17">
        <f t="shared" si="2"/>
        <v>9646137.813874172</v>
      </c>
    </row>
    <row r="9" spans="1:9" ht="15.75" customHeight="1" x14ac:dyDescent="0.25">
      <c r="A9" s="5">
        <f t="shared" si="3"/>
        <v>2031</v>
      </c>
      <c r="B9" s="49">
        <v>1038234</v>
      </c>
      <c r="C9" s="50">
        <v>2581269.5</v>
      </c>
      <c r="D9" s="50">
        <v>3625805</v>
      </c>
      <c r="E9" s="50">
        <v>2948418.5</v>
      </c>
      <c r="F9" s="50">
        <v>1940453</v>
      </c>
      <c r="G9" s="17">
        <f t="shared" si="0"/>
        <v>11095946</v>
      </c>
      <c r="H9" s="17">
        <f t="shared" si="1"/>
        <v>1208104.3087942661</v>
      </c>
      <c r="I9" s="17">
        <f t="shared" si="2"/>
        <v>9887841.6912057344</v>
      </c>
    </row>
    <row r="10" spans="1:9" ht="15.75" customHeight="1" x14ac:dyDescent="0.25">
      <c r="A10" s="5">
        <f t="shared" si="3"/>
        <v>2032</v>
      </c>
      <c r="B10" s="49">
        <v>1044618</v>
      </c>
      <c r="C10" s="50">
        <v>2615007</v>
      </c>
      <c r="D10" s="50">
        <v>3710305</v>
      </c>
      <c r="E10" s="50">
        <v>2984321</v>
      </c>
      <c r="F10" s="50">
        <v>2026872.5</v>
      </c>
      <c r="G10" s="17">
        <f t="shared" si="0"/>
        <v>11336505.5</v>
      </c>
      <c r="H10" s="17">
        <f t="shared" si="1"/>
        <v>1215532.824819885</v>
      </c>
      <c r="I10" s="17">
        <f t="shared" si="2"/>
        <v>10120972.675180115</v>
      </c>
    </row>
    <row r="11" spans="1:9" ht="15.75" customHeight="1" x14ac:dyDescent="0.25">
      <c r="A11" s="5">
        <f t="shared" si="3"/>
        <v>2033</v>
      </c>
      <c r="B11" s="49">
        <v>1043928</v>
      </c>
      <c r="C11" s="50">
        <v>2645546.5</v>
      </c>
      <c r="D11" s="50">
        <v>3794083</v>
      </c>
      <c r="E11" s="50">
        <v>3020924</v>
      </c>
      <c r="F11" s="50">
        <v>2111233</v>
      </c>
      <c r="G11" s="17">
        <f t="shared" si="0"/>
        <v>11571786.5</v>
      </c>
      <c r="H11" s="17">
        <f t="shared" si="1"/>
        <v>1214729.930700575</v>
      </c>
      <c r="I11" s="17">
        <f t="shared" si="2"/>
        <v>10357056.569299426</v>
      </c>
    </row>
    <row r="12" spans="1:9" ht="15.75" customHeight="1" x14ac:dyDescent="0.25">
      <c r="A12" s="5">
        <f t="shared" si="3"/>
        <v>2034</v>
      </c>
      <c r="B12" s="49">
        <v>1047163</v>
      </c>
      <c r="C12" s="50">
        <v>2672100</v>
      </c>
      <c r="D12" s="50">
        <v>3875782</v>
      </c>
      <c r="E12" s="50">
        <v>3061605.5</v>
      </c>
      <c r="F12" s="50">
        <v>2193367.5</v>
      </c>
      <c r="G12" s="17">
        <f t="shared" si="0"/>
        <v>11802855</v>
      </c>
      <c r="H12" s="17">
        <f t="shared" si="1"/>
        <v>1218494.224144008</v>
      </c>
      <c r="I12" s="17">
        <f t="shared" si="2"/>
        <v>10584360.775855992</v>
      </c>
    </row>
    <row r="13" spans="1:9" ht="15.75" customHeight="1" x14ac:dyDescent="0.25">
      <c r="A13" s="5">
        <f t="shared" si="3"/>
        <v>2035</v>
      </c>
      <c r="B13" s="49">
        <v>1048339</v>
      </c>
      <c r="C13" s="50">
        <v>2694213</v>
      </c>
      <c r="D13" s="50">
        <v>3955011.5</v>
      </c>
      <c r="E13" s="50">
        <v>3108206.5</v>
      </c>
      <c r="F13" s="50">
        <v>2271131.5</v>
      </c>
      <c r="G13" s="17">
        <f t="shared" si="0"/>
        <v>12028562.5</v>
      </c>
      <c r="H13" s="17">
        <f t="shared" si="1"/>
        <v>1219862.6349908325</v>
      </c>
      <c r="I13" s="17">
        <f t="shared" si="2"/>
        <v>10808699.865009168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rDec3K8h1E45veSSlSz/GWf4QKvzzysiIq0GZTzV2yyw1PmN24OBp3/8jryc1cqAEjP1qcABQu9819n5jjM8g==" saltValue="MAudi5mtAXMQ8Ah5/xpgW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1.9833151046773551E-2</v>
      </c>
    </row>
    <row r="4" spans="1:8" ht="15.75" customHeight="1" x14ac:dyDescent="0.25">
      <c r="B4" s="19" t="s">
        <v>116</v>
      </c>
      <c r="C4" s="99">
        <v>6.3894030924347367E-2</v>
      </c>
    </row>
    <row r="5" spans="1:8" ht="15.75" customHeight="1" x14ac:dyDescent="0.25">
      <c r="B5" s="19" t="s">
        <v>114</v>
      </c>
      <c r="C5" s="99">
        <v>9.4246268158946475E-2</v>
      </c>
    </row>
    <row r="6" spans="1:8" ht="15.75" customHeight="1" x14ac:dyDescent="0.25">
      <c r="B6" s="19" t="s">
        <v>110</v>
      </c>
      <c r="C6" s="99">
        <v>0.23881032694278609</v>
      </c>
    </row>
    <row r="7" spans="1:8" ht="15.75" customHeight="1" x14ac:dyDescent="0.25">
      <c r="B7" s="19" t="s">
        <v>115</v>
      </c>
      <c r="C7" s="99">
        <v>0.3871881532303128</v>
      </c>
    </row>
    <row r="8" spans="1:8" ht="15.75" customHeight="1" x14ac:dyDescent="0.25">
      <c r="B8" s="19" t="s">
        <v>117</v>
      </c>
      <c r="C8" s="99">
        <v>5.8535036070138371E-3</v>
      </c>
    </row>
    <row r="9" spans="1:8" ht="15.75" customHeight="1" x14ac:dyDescent="0.25">
      <c r="B9" s="19" t="s">
        <v>111</v>
      </c>
      <c r="C9" s="99">
        <v>7.3348498268419438E-2</v>
      </c>
    </row>
    <row r="10" spans="1:8" ht="15.75" customHeight="1" x14ac:dyDescent="0.25">
      <c r="B10" s="19" t="s">
        <v>113</v>
      </c>
      <c r="C10" s="99">
        <v>0.1168260678214004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121</v>
      </c>
      <c r="C15" s="99">
        <v>0.27365859402163978</v>
      </c>
      <c r="D15" s="99">
        <v>0.27365859402163978</v>
      </c>
      <c r="E15" s="99">
        <v>0.27365859402163978</v>
      </c>
      <c r="F15" s="99">
        <v>0.27365859402163978</v>
      </c>
    </row>
    <row r="16" spans="1:8" ht="15.75" customHeight="1" x14ac:dyDescent="0.25">
      <c r="B16" s="19" t="s">
        <v>2</v>
      </c>
      <c r="C16" s="99">
        <v>2.222332884681676E-2</v>
      </c>
      <c r="D16" s="99">
        <v>2.222332884681676E-2</v>
      </c>
      <c r="E16" s="99">
        <v>2.222332884681676E-2</v>
      </c>
      <c r="F16" s="99">
        <v>2.222332884681676E-2</v>
      </c>
    </row>
    <row r="17" spans="1:8" ht="15.75" customHeight="1" x14ac:dyDescent="0.25">
      <c r="B17" s="19" t="s">
        <v>109</v>
      </c>
      <c r="C17" s="99">
        <v>0.1003526665338539</v>
      </c>
      <c r="D17" s="99">
        <v>0.1003526665338539</v>
      </c>
      <c r="E17" s="99">
        <v>0.1003526665338539</v>
      </c>
      <c r="F17" s="99">
        <v>0.1003526665338539</v>
      </c>
    </row>
    <row r="18" spans="1:8" ht="15.75" customHeight="1" x14ac:dyDescent="0.25">
      <c r="B18" s="19" t="s">
        <v>3</v>
      </c>
      <c r="C18" s="99">
        <v>2.0039177190359449E-2</v>
      </c>
      <c r="D18" s="99">
        <v>2.0039177190359449E-2</v>
      </c>
      <c r="E18" s="99">
        <v>2.0039177190359449E-2</v>
      </c>
      <c r="F18" s="99">
        <v>2.0039177190359449E-2</v>
      </c>
    </row>
    <row r="19" spans="1:8" ht="15.75" customHeight="1" x14ac:dyDescent="0.25">
      <c r="B19" s="19" t="s">
        <v>120</v>
      </c>
      <c r="C19" s="99">
        <v>9.4281445679250536E-2</v>
      </c>
      <c r="D19" s="99">
        <v>9.4281445679250536E-2</v>
      </c>
      <c r="E19" s="99">
        <v>9.4281445679250536E-2</v>
      </c>
      <c r="F19" s="99">
        <v>9.4281445679250536E-2</v>
      </c>
    </row>
    <row r="20" spans="1:8" ht="15.75" customHeight="1" x14ac:dyDescent="0.25">
      <c r="B20" s="19" t="s">
        <v>98</v>
      </c>
      <c r="C20" s="99">
        <v>2.3085155710167449E-3</v>
      </c>
      <c r="D20" s="99">
        <v>2.3085155710167449E-3</v>
      </c>
      <c r="E20" s="99">
        <v>2.3085155710167449E-3</v>
      </c>
      <c r="F20" s="99">
        <v>2.3085155710167449E-3</v>
      </c>
    </row>
    <row r="21" spans="1:8" ht="15.75" customHeight="1" x14ac:dyDescent="0.25">
      <c r="B21" s="19" t="s">
        <v>107</v>
      </c>
      <c r="C21" s="99">
        <v>0.1079376948710801</v>
      </c>
      <c r="D21" s="99">
        <v>0.1079376948710801</v>
      </c>
      <c r="E21" s="99">
        <v>0.1079376948710801</v>
      </c>
      <c r="F21" s="99">
        <v>0.1079376948710801</v>
      </c>
    </row>
    <row r="22" spans="1:8" ht="15.75" customHeight="1" x14ac:dyDescent="0.25">
      <c r="B22" s="19" t="s">
        <v>118</v>
      </c>
      <c r="C22" s="99">
        <v>0.21759765861955049</v>
      </c>
      <c r="D22" s="99">
        <v>0.21759765861955049</v>
      </c>
      <c r="E22" s="99">
        <v>0.21759765861955049</v>
      </c>
      <c r="F22" s="99">
        <v>0.21759765861955049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4.5856951999999999E-2</v>
      </c>
    </row>
    <row r="27" spans="1:8" ht="15.75" customHeight="1" x14ac:dyDescent="0.25">
      <c r="B27" s="19" t="s">
        <v>108</v>
      </c>
      <c r="C27" s="99">
        <v>2.7671261999999999E-2</v>
      </c>
    </row>
    <row r="28" spans="1:8" ht="15.75" customHeight="1" x14ac:dyDescent="0.25">
      <c r="B28" s="19" t="s">
        <v>122</v>
      </c>
      <c r="C28" s="99">
        <v>0.19152286900000001</v>
      </c>
    </row>
    <row r="29" spans="1:8" ht="15.75" customHeight="1" x14ac:dyDescent="0.25">
      <c r="B29" s="19" t="s">
        <v>105</v>
      </c>
      <c r="C29" s="99">
        <v>0.15015504499999999</v>
      </c>
    </row>
    <row r="30" spans="1:8" ht="15.75" customHeight="1" x14ac:dyDescent="0.25">
      <c r="B30" s="19" t="s">
        <v>4</v>
      </c>
      <c r="C30" s="99">
        <v>5.0148384999999997E-2</v>
      </c>
    </row>
    <row r="31" spans="1:8" ht="15.75" customHeight="1" x14ac:dyDescent="0.25">
      <c r="B31" s="19" t="s">
        <v>99</v>
      </c>
      <c r="C31" s="99">
        <v>3.0652005E-2</v>
      </c>
    </row>
    <row r="32" spans="1:8" ht="15.75" customHeight="1" x14ac:dyDescent="0.25">
      <c r="B32" s="19" t="s">
        <v>104</v>
      </c>
      <c r="C32" s="99">
        <v>8.6489898999999995E-2</v>
      </c>
    </row>
    <row r="33" spans="2:3" ht="15.75" customHeight="1" x14ac:dyDescent="0.25">
      <c r="B33" s="19" t="s">
        <v>119</v>
      </c>
      <c r="C33" s="99">
        <v>0.168218437</v>
      </c>
    </row>
    <row r="34" spans="2:3" ht="15.75" customHeight="1" x14ac:dyDescent="0.25">
      <c r="B34" s="19" t="s">
        <v>106</v>
      </c>
      <c r="C34" s="99">
        <v>0.24928514500000001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zxzNX7w6LwkjVKW8b87rQV5VICzDUPbGL3baa8JRzrAc21t2MK91EwiatnTOUXRy1EJfMs5Zr+B5BcokrNChtg==" saltValue="7EsjPUDog18WeDlqTFMXl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129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125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126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138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VPBCfgG78q2RTdn302W5BzgYOFT5S32QIJotLMjRt8cT7LdKMaxDFuUAePlhstAqjHuzxyGK+5LOg6ST+RDQg==" saltValue="Gy52pPumOHWS0t6cbIxN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6.2564600000000081E-2</v>
      </c>
      <c r="D5" s="52">
        <f t="shared" si="0"/>
        <v>6.814079999999989E-2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oemhiVCI7m+FYfSkKmliTqWKYtTCPq133CcBtME8HOtFa7QijNCBjSlA5wFOUXuquYTTeYbUePU1YyeqXWF7+A==" saltValue="K0zlXrk7VBsGPDH2+vqCq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cFU09p5LCjHNqnPMS2SqGRfVIxXLVRzs+rGVu+eYugmtO1MImyLpBdWUq7D7a8YrkycWDtAYPde/1RUMoE8Pg==" saltValue="qh9CLRv1Xf05Sc8GEnlCQ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650.27221843476605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0.35046999999999995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5.2209999999999999E-2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1.9218898624999998E-2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94138.543510000003</v>
      </c>
      <c r="C22" s="107">
        <v>93543.137419999999</v>
      </c>
      <c r="D22" s="107">
        <v>92939.119000000006</v>
      </c>
      <c r="E22" s="107">
        <v>92284.929300000003</v>
      </c>
      <c r="F22" s="107">
        <v>91278.827590000001</v>
      </c>
      <c r="G22" s="107">
        <v>90260.442030000006</v>
      </c>
      <c r="H22" s="107">
        <v>89137.620219999997</v>
      </c>
      <c r="I22" s="107">
        <v>87800.377890000003</v>
      </c>
      <c r="J22" s="107">
        <v>85995.471919999996</v>
      </c>
      <c r="K22" s="107">
        <v>83536.083499999993</v>
      </c>
      <c r="L22" s="107">
        <v>79951.452929999999</v>
      </c>
      <c r="M22" s="107">
        <v>74893.748070000001</v>
      </c>
      <c r="N22" s="107">
        <v>67531.861359999995</v>
      </c>
      <c r="O22" s="107">
        <v>57922.792350000003</v>
      </c>
    </row>
  </sheetData>
  <sheetProtection algorithmName="SHA-512" hashValue="XlDgohKvrx5JE0r8W2KjYF8CUMsbw3F7ZUM98MB6pHhc4jYbqEasWt0UFsWIwsYLSSBi2SguTRX4HkbcGpUOmg==" saltValue="NqicVvgKenI8lUQ46KOm+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Gzm+WzbrBrU6wQUBMJWLZ9pp0jZxu2ZTJKgGEXZK7IboZt34CSsN0QN740mC1FrtRn0YrRr8otjvgAwrZqykZA==" saltValue="xTaxQxogIfxIaZM6HT7Dc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ANanXzP9foo7I8iX64sZYUdRRPm1q/5N2RL2XHOt4KYQtghLDWC6f4LuPMoGvzPOdYmt5yblgJXc7q1ZcbMZ5Q==" saltValue="ce2sA3oqM5HSAxUfGBkWz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5.5304300000000001E-2</v>
      </c>
      <c r="C10" s="96">
        <v>0.95</v>
      </c>
      <c r="D10" s="56">
        <v>13.539057252878379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13.539057252878379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13.539057252878379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13.539057252878379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5.5304300000000001E-2</v>
      </c>
      <c r="C14" s="96">
        <v>0.95</v>
      </c>
      <c r="D14" s="56">
        <v>13.539057252878379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13.539057252878379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0.95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0.28699999999999998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8.6708300000000002E-2</v>
      </c>
      <c r="C19" s="96">
        <v>0.95</v>
      </c>
      <c r="D19" s="56">
        <v>2.377996240315416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4.4606327668435339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0.21544450643631999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0.25274740000000001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0.21297360000000001</v>
      </c>
      <c r="C29" s="96">
        <v>0.95</v>
      </c>
      <c r="D29" s="56">
        <v>193.6128732031849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0.11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0.4861297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0.18614800000000001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4.8132400000000013E-2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0.57095980000000002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0.11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tLii8S92zRZHnRth454zn28vzm/WVJso9BGeDivLNsP7sOLeVQGZxpscQbCLCIvJ7UoB0A/xseVYVMa0OQmEzA==" saltValue="ukrK5NtI9jNjXUh/oZ2d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6iZ0lnHXO7kTtB/Zl3rrGpajns5Urou61yiklva10OasCWZduRI5jWcIDpidnHAG5ggePecIF47wStRGQy+OGQ==" saltValue="3PxsElVzoSGYpDVP71h2w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wG5Qj0nqlzK92dSKk3TcfRPuy/VdP5id18AyYbG2ZCK8jAgbmO0MEs0T5qCof1VR6vBMEz7smZ9axhhTTVZUA==" saltValue="JiCo9gwmIzyhvp7igWRCI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7.1760000000000002</v>
      </c>
      <c r="C2" s="21">
        <f>'Entradas de población-año base'!C52</f>
        <v>7.1760000000000002</v>
      </c>
      <c r="D2" s="21">
        <f>'Entradas de población-año base'!C53</f>
        <v>11.622</v>
      </c>
      <c r="E2" s="21">
        <f>'Entradas de población-año base'!C54</f>
        <v>11.986000000000001</v>
      </c>
      <c r="F2" s="21">
        <f>'Entradas de población-año base'!C55</f>
        <v>6.3526666666666678</v>
      </c>
    </row>
    <row r="3" spans="1:6" ht="15.75" customHeight="1" x14ac:dyDescent="0.25">
      <c r="A3" s="3" t="s">
        <v>6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236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sheetProtection algorithmName="SHA-512" hashValue="0GW34Cum2W5z1t4TerxGVIjAkrJcg/+6SU0Cp4XkLMnKCH2reA3RDnxJh856UZm6bkHRl7YD/UkyTi3iueDj6g==" saltValue="ry4wrF0cWLtQPOeDj5drR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0.48599999999999999</v>
      </c>
      <c r="F2" s="60">
        <f>food_insecure</f>
        <v>0.48599999999999999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0.48599999999999999</v>
      </c>
      <c r="F5" s="60">
        <f>food_insecure</f>
        <v>0.48599999999999999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0.14846896551724137</v>
      </c>
      <c r="D7" s="60">
        <f>diarrhoea_1_5mo*frac_diarrhea_severe</f>
        <v>0.14846896551724137</v>
      </c>
      <c r="E7" s="60">
        <f>diarrhoea_6_11mo*frac_diarrhea_severe</f>
        <v>0.24045517241379305</v>
      </c>
      <c r="F7" s="60">
        <f>diarrhoea_12_23mo*frac_diarrhea_severe</f>
        <v>0.24798620689655168</v>
      </c>
      <c r="G7" s="60">
        <f>diarrhoea_24_59mo*frac_diarrhea_severe</f>
        <v>0.13143448275862069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0.48599999999999999</v>
      </c>
      <c r="F8" s="60">
        <f>food_insecure</f>
        <v>0.48599999999999999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0.48599999999999999</v>
      </c>
      <c r="F9" s="60">
        <f>food_insecure</f>
        <v>0.48599999999999999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0.14846896551724137</v>
      </c>
      <c r="D12" s="60">
        <f>diarrhoea_1_5mo*frac_diarrhea_severe</f>
        <v>0.14846896551724137</v>
      </c>
      <c r="E12" s="60">
        <f>diarrhoea_6_11mo*frac_diarrhea_severe</f>
        <v>0.24045517241379305</v>
      </c>
      <c r="F12" s="60">
        <f>diarrhoea_12_23mo*frac_diarrhea_severe</f>
        <v>0.24798620689655168</v>
      </c>
      <c r="G12" s="60">
        <f>diarrhoea_24_59mo*frac_diarrhea_severe</f>
        <v>0.13143448275862069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0.48599999999999999</v>
      </c>
      <c r="I15" s="60">
        <f t="shared" si="0"/>
        <v>0.48599999999999999</v>
      </c>
      <c r="J15" s="60">
        <f t="shared" si="0"/>
        <v>0.48599999999999999</v>
      </c>
      <c r="K15" s="60">
        <f t="shared" si="0"/>
        <v>0.48599999999999999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0.48599999999999999</v>
      </c>
      <c r="I16" s="60">
        <f t="shared" si="0"/>
        <v>0.48599999999999999</v>
      </c>
      <c r="J16" s="60">
        <f t="shared" si="0"/>
        <v>0.48599999999999999</v>
      </c>
      <c r="K16" s="60">
        <f t="shared" si="0"/>
        <v>0.48599999999999999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0.35408124617600001</v>
      </c>
      <c r="M25" s="60">
        <f>(1-food_insecure)*(0.49)+food_insecure*(0.7)</f>
        <v>0.59206000000000003</v>
      </c>
      <c r="N25" s="60">
        <f>(1-food_insecure)*(0.49)+food_insecure*(0.7)</f>
        <v>0.59206000000000003</v>
      </c>
      <c r="O25" s="60">
        <f>(1-food_insecure)*(0.49)+food_insecure*(0.7)</f>
        <v>0.59206000000000003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0.15174910550399998</v>
      </c>
      <c r="M26" s="60">
        <f>(1-food_insecure)*(0.21)+food_insecure*(0.3)</f>
        <v>0.25373999999999997</v>
      </c>
      <c r="N26" s="60">
        <f>(1-food_insecure)*(0.21)+food_insecure*(0.3)</f>
        <v>0.25373999999999997</v>
      </c>
      <c r="O26" s="60">
        <f>(1-food_insecure)*(0.21)+food_insecure*(0.3)</f>
        <v>0.25373999999999997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9.2219248320000002E-2</v>
      </c>
      <c r="M27" s="60">
        <f>(1-food_insecure)*(0.3)</f>
        <v>0.1542</v>
      </c>
      <c r="N27" s="60">
        <f>(1-food_insecure)*(0.3)</f>
        <v>0.1542</v>
      </c>
      <c r="O27" s="60">
        <f>(1-food_insecure)*(0.3)</f>
        <v>0.1542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0.40195039999999999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0.47</v>
      </c>
      <c r="D34" s="60">
        <f t="shared" si="4"/>
        <v>0.47</v>
      </c>
      <c r="E34" s="60">
        <f t="shared" si="4"/>
        <v>0.47</v>
      </c>
      <c r="F34" s="60">
        <f t="shared" si="4"/>
        <v>0.47</v>
      </c>
      <c r="G34" s="60">
        <f t="shared" si="4"/>
        <v>0.47</v>
      </c>
      <c r="H34" s="60">
        <f t="shared" si="4"/>
        <v>0.47</v>
      </c>
      <c r="I34" s="60">
        <f t="shared" si="4"/>
        <v>0.47</v>
      </c>
      <c r="J34" s="60">
        <f t="shared" si="4"/>
        <v>0.47</v>
      </c>
      <c r="K34" s="60">
        <f t="shared" si="4"/>
        <v>0.47</v>
      </c>
      <c r="L34" s="60">
        <f t="shared" si="4"/>
        <v>0.47</v>
      </c>
      <c r="M34" s="60">
        <f t="shared" si="4"/>
        <v>0.47</v>
      </c>
      <c r="N34" s="60">
        <f t="shared" si="4"/>
        <v>0.47</v>
      </c>
      <c r="O34" s="60">
        <f t="shared" si="4"/>
        <v>0.47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JwSPUTbThsEYnOsTLDkriJ1/xUYCh15vzdrde2ZBhrNML/kD8tq//H8+7VDWf+FC7ePW0p6IQM29DfENMhCNg==" saltValue="+HftwGB7rscn1Q8DcZFzt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zX6rTqk/xGagZ3xKl51WhhinGEdyKFjPbyFBQKvr5+YLPRKF5ezVxIvRsEr3ixaaU4+j50R75/Ki8Cs7YhYtJA==" saltValue="lf8NpsmqvRnn/ZMIyrvdZ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E82pvRW5/Beq+n+LTIL+XbLl2mdeB8Wz8TELmtz8UUa9cbvrzVnlFaYi5KobFxVbKhQhMi62XUAFwXLXKEeIQ==" saltValue="1sBa9XbAdlQtAHkQsWNGc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hmuNLBAGHnGqNfJTl5Y4GtGzM1/mnEA7/UgNfUrdYQEFw2raOq+09I0+iyQ9HqVy16HBjCwW9NeYur3yysqnw==" saltValue="u/+AMdLWG6ZiVKii9EHuD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/p5HxTUVAbkHZU90aKrIU+VW6Xrk/xnS7Q8ZyK9xo1f0xdlpQVHSxXBG+3x92A9zzNKgeXSsuW5Y4w8sCi5jfQ==" saltValue="pO3RasnZruc+cMT3sf1YI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IxCy21ZIvcd7/so+CxfqBl7uwU8gOQZVXm+BmVPgO5AzHZbTnIwhh/B6lc2hTT+RYwHliSDVAZE+2kCxeDP28Q==" saltValue="FMMyTxN0ozn94nvEs6gg/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zEp+57zoPWwJre/VxpXA7ZO2dFgSUL0QcfOEQW7r5tzSM7UmAWKpuaWEffsIX1ZZWFPSkJqV4Fdi4IQcBEgGw==" saltValue="08G2rGgkknslKioVa5C2t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GviyNvLrkTCsXZZFnxHMe47+tJlKGxvB7zhgYvnrp//jCfs59zwmBgxogpktWXePnc84j7DE0kP9KRgeTm3yg==" saltValue="sP0MdivGk828YVC3ghtp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ZEaWKVtFEpNW7bdNTJUyq5H6ugDGp5z7DexzR28tRNesKwtkeK05nH4s0CXVr8//tiQqkILYygEIWhBjDLgkcQ==" saltValue="t6LoQMk9jJ1bv3BkyN0F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RLrZj98yqZjuCzxtI8hRzIraPPWuoLRyvbb1wMuu8oXe7rvTRvSW6a7q+WthSpF+OE4yt+kCo7CAgXw4mQ7jQ==" saltValue="o/H/GOLlKrjR8Y7WGbJP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/CtBRj4jQv6HXlpjzXH6aeO2hF0DTzFxM9810nGuq3xfFG0fwYBSCw1VwSw9B+6YL0FGiUv76wgsNHP4TJv2g==" saltValue="NlmsMMevZraLjR5K4Ch8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rni6KlzE7LWM7V149KSHjzsYQlK0VoR+2bIBFeeZNVGMW3zKyHKsQtKbprishaEfCuCbVDfwBK1S8b4UkVXTw==" saltValue="TgT29WkzE3Af6c4ajZ1x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egdtASezO2eqzepJWtQ7YpxGF+ofeWOVf3RKyboRiZT/6UY04+cbZ5Yejh4MuqW/ORSLnxcv5R0u4SGttfYeQ==" saltValue="6HYa5Nh1fzb4rC0LSdwV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Fzl9OJWG1IEsDThluEFCfLGtQsSSDIvhQW4S5nJfVv/cYQpnwXNIZfKNSNZ12iJl5rNJrW+zuRVdAGrODL9nVQ==" saltValue="ePGXrpQmS/cewmEvEHT6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uzMGpu0q+WW+ljfD8ozrw3MQjwyV0L2GQnXt3zrF2Pb2dpVI/i1HPQ7sQo7rkV4oUjr+mL+HTqO0ZYZQc0c+Qw==" saltValue="S+t+2w1xWP8LB43mZKGhH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2025-07-30T01:31:56Z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