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48F937C-15CC-42DF-8FFA-1783A856E3E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7" i="2" l="1"/>
  <c r="I13" i="2"/>
  <c r="A40" i="2"/>
  <c r="I2" i="2"/>
  <c r="I8" i="2"/>
  <c r="A23" i="2"/>
  <c r="A26" i="2"/>
  <c r="I6" i="2"/>
  <c r="I12" i="2"/>
  <c r="A35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<sst xmlns="http://schemas.openxmlformats.org/spreadsheetml/2006/main" count="2169" uniqueCount="373">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</sst>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3196098</v>
      </c>
    </row>
    <row r="8" spans="1:3" ht="15" customHeight="1" x14ac:dyDescent="0.25">
      <c r="B8" s="5" t="s">
        <v>63</v>
      </c>
      <c r="C8" s="44">
        <v>0.50700000000000001</v>
      </c>
    </row>
    <row r="9" spans="1:3" ht="15" customHeight="1" x14ac:dyDescent="0.25">
      <c r="B9" s="5" t="s">
        <v>62</v>
      </c>
      <c r="C9" s="45">
        <v>0.77</v>
      </c>
    </row>
    <row r="10" spans="1:3" ht="15" customHeight="1" x14ac:dyDescent="0.25">
      <c r="B10" s="5" t="s">
        <v>75</v>
      </c>
      <c r="C10" s="45">
        <v>0.34760960000000002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0.15459999999999999</v>
      </c>
    </row>
    <row r="24" spans="1:3" ht="15" customHeight="1" x14ac:dyDescent="0.25">
      <c r="B24" s="15" t="s">
        <v>65</v>
      </c>
      <c r="C24" s="45">
        <v>0.46519999999999989</v>
      </c>
    </row>
    <row r="25" spans="1:3" ht="15" customHeight="1" x14ac:dyDescent="0.25">
      <c r="B25" s="15" t="s">
        <v>66</v>
      </c>
      <c r="C25" s="45">
        <v>0.30449999999999999</v>
      </c>
    </row>
    <row r="26" spans="1:3" ht="15" customHeight="1" x14ac:dyDescent="0.25">
      <c r="B26" s="15" t="s">
        <v>67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0.26147459341354901</v>
      </c>
    </row>
    <row r="30" spans="1:3" ht="14.25" customHeight="1" x14ac:dyDescent="0.25">
      <c r="B30" s="25" t="s">
        <v>82</v>
      </c>
      <c r="C30" s="97">
        <v>3.1847694141973401E-2</v>
      </c>
    </row>
    <row r="31" spans="1:3" ht="14.25" customHeight="1" x14ac:dyDescent="0.25">
      <c r="B31" s="25" t="s">
        <v>29</v>
      </c>
      <c r="C31" s="97">
        <v>5.2301559488866299E-2</v>
      </c>
    </row>
    <row r="32" spans="1:3" ht="14.25" customHeight="1" x14ac:dyDescent="0.25">
      <c r="B32" s="25" t="s">
        <v>30</v>
      </c>
      <c r="C32" s="97">
        <v>0.65437615295561202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19.29918</v>
      </c>
    </row>
    <row r="38" spans="1:5" ht="15" customHeight="1" x14ac:dyDescent="0.25">
      <c r="B38" s="11" t="s">
        <v>54</v>
      </c>
      <c r="C38" s="43">
        <v>31.23901</v>
      </c>
      <c r="D38" s="12"/>
      <c r="E38" s="13"/>
    </row>
    <row r="39" spans="1:5" ht="15" customHeight="1" x14ac:dyDescent="0.25">
      <c r="B39" s="11" t="s">
        <v>80</v>
      </c>
      <c r="C39" s="43">
        <v>41.899279999999997</v>
      </c>
      <c r="D39" s="12"/>
      <c r="E39" s="12"/>
    </row>
    <row r="40" spans="1:5" ht="15" customHeight="1" x14ac:dyDescent="0.25">
      <c r="B40" s="11" t="s">
        <v>55</v>
      </c>
      <c r="C40" s="98">
        <v>3.81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78</v>
      </c>
      <c r="C47" s="45">
        <v>0.15164759999999999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3.302</v>
      </c>
      <c r="D51" s="12"/>
    </row>
    <row r="52" spans="1:4" ht="15" customHeight="1" x14ac:dyDescent="0.25">
      <c r="B52" s="11" t="s">
        <v>32</v>
      </c>
      <c r="C52" s="98">
        <v>3.302</v>
      </c>
    </row>
    <row r="53" spans="1:4" ht="15.75" customHeight="1" x14ac:dyDescent="0.25">
      <c r="B53" s="11" t="s">
        <v>35</v>
      </c>
      <c r="C53" s="98">
        <v>10.738</v>
      </c>
    </row>
    <row r="54" spans="1:4" ht="15.75" customHeight="1" x14ac:dyDescent="0.25">
      <c r="B54" s="11" t="s">
        <v>33</v>
      </c>
      <c r="C54" s="98">
        <v>9.6460000000000008</v>
      </c>
    </row>
    <row r="55" spans="1:4" ht="15.75" customHeight="1" x14ac:dyDescent="0.25">
      <c r="B55" s="11" t="s">
        <v>34</v>
      </c>
      <c r="C55" s="98">
        <v>3.8566666666666669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0.49510700000000002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0.1557640226</v>
      </c>
    </row>
    <row r="63" spans="1:4" ht="15.75" customHeight="1" x14ac:dyDescent="0.3">
      <c r="A63" s="4"/>
    </row>
  </sheetData>
  <sheetProtection algorithmName="SHA-512" hashValue="A8xu3+Qy1lq5PvYkDKqFr2Wquj9n2hnL6Vm68x2QPASXw9O19qVbvFbVGLDPAK2tN/X4ZubGUuHMp0yYW7hm4A==" saltValue="leOlRzt6PS82374lbAk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674407</v>
      </c>
      <c r="C2" s="49">
        <v>1296125</v>
      </c>
      <c r="D2" s="49">
        <v>1970604</v>
      </c>
      <c r="E2" s="49">
        <v>1469991.5</v>
      </c>
      <c r="F2" s="49">
        <v>938961.5</v>
      </c>
      <c r="G2" s="17">
        <f t="shared" ref="G2:G13" si="0">C2+D2+E2+F2</f>
        <v>5675682</v>
      </c>
      <c r="H2" s="17">
        <f t="shared" ref="H2:H13" si="1">(B2 + stillbirth*B2/(1000-stillbirth))/(1-abortion)</f>
        <v>778878.43132001196</v>
      </c>
      <c r="I2" s="17">
        <f t="shared" ref="I2:I13" si="2">G2-H2</f>
        <v>4896803.5686799884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685330</v>
      </c>
      <c r="C3" s="50">
        <v>1328409</v>
      </c>
      <c r="D3" s="50">
        <v>2040112.5</v>
      </c>
      <c r="E3" s="50">
        <v>1506616.5</v>
      </c>
      <c r="F3" s="50">
        <v>1002122</v>
      </c>
      <c r="G3" s="17">
        <f t="shared" si="0"/>
        <v>5877260</v>
      </c>
      <c r="H3" s="17">
        <f t="shared" si="1"/>
        <v>791493.49774919869</v>
      </c>
      <c r="I3" s="17">
        <f t="shared" si="2"/>
        <v>5085766.5022508018</v>
      </c>
    </row>
    <row r="4" spans="1:9" ht="15.75" customHeight="1" x14ac:dyDescent="0.25">
      <c r="A4" s="5">
        <f t="shared" si="3"/>
        <v>2026</v>
      </c>
      <c r="B4" s="49">
        <v>692256</v>
      </c>
      <c r="C4" s="50">
        <v>1353865</v>
      </c>
      <c r="D4" s="50">
        <v>2114912.5</v>
      </c>
      <c r="E4" s="50">
        <v>1543896.5</v>
      </c>
      <c r="F4" s="50">
        <v>1064118.5</v>
      </c>
      <c r="G4" s="17">
        <f t="shared" si="0"/>
        <v>6076792.5</v>
      </c>
      <c r="H4" s="17">
        <f t="shared" si="1"/>
        <v>799492.3945805222</v>
      </c>
      <c r="I4" s="17">
        <f t="shared" si="2"/>
        <v>5277300.1054194774</v>
      </c>
    </row>
    <row r="5" spans="1:9" ht="15.75" customHeight="1" x14ac:dyDescent="0.25">
      <c r="A5" s="5">
        <f t="shared" si="3"/>
        <v>2027</v>
      </c>
      <c r="B5" s="49">
        <v>702654</v>
      </c>
      <c r="C5" s="50">
        <v>1373368.5</v>
      </c>
      <c r="D5" s="50">
        <v>2193092</v>
      </c>
      <c r="E5" s="50">
        <v>1583653</v>
      </c>
      <c r="F5" s="50">
        <v>1123715.5</v>
      </c>
      <c r="G5" s="17">
        <f t="shared" si="0"/>
        <v>6273829</v>
      </c>
      <c r="H5" s="17">
        <f t="shared" si="1"/>
        <v>811501.13400473562</v>
      </c>
      <c r="I5" s="17">
        <f t="shared" si="2"/>
        <v>5462327.8659952646</v>
      </c>
    </row>
    <row r="6" spans="1:9" ht="15.75" customHeight="1" x14ac:dyDescent="0.25">
      <c r="A6" s="5">
        <f t="shared" si="3"/>
        <v>2028</v>
      </c>
      <c r="B6" s="49">
        <v>711469</v>
      </c>
      <c r="C6" s="50">
        <v>1388467</v>
      </c>
      <c r="D6" s="50">
        <v>2270844</v>
      </c>
      <c r="E6" s="50">
        <v>1625936</v>
      </c>
      <c r="F6" s="50">
        <v>1180598.5</v>
      </c>
      <c r="G6" s="17">
        <f t="shared" si="0"/>
        <v>6465845.5</v>
      </c>
      <c r="H6" s="17">
        <f t="shared" si="1"/>
        <v>821681.65314538195</v>
      </c>
      <c r="I6" s="17">
        <f t="shared" si="2"/>
        <v>5644163.8468546178</v>
      </c>
    </row>
    <row r="7" spans="1:9" ht="15.75" customHeight="1" x14ac:dyDescent="0.25">
      <c r="A7" s="5">
        <f t="shared" si="3"/>
        <v>2029</v>
      </c>
      <c r="B7" s="49">
        <v>722033</v>
      </c>
      <c r="C7" s="50">
        <v>1399922</v>
      </c>
      <c r="D7" s="50">
        <v>2347211.5</v>
      </c>
      <c r="E7" s="50">
        <v>1671626.5</v>
      </c>
      <c r="F7" s="50">
        <v>1233290.5</v>
      </c>
      <c r="G7" s="17">
        <f t="shared" si="0"/>
        <v>6652050.5</v>
      </c>
      <c r="H7" s="17">
        <f t="shared" si="1"/>
        <v>833882.10739402496</v>
      </c>
      <c r="I7" s="17">
        <f t="shared" si="2"/>
        <v>5818168.3926059753</v>
      </c>
    </row>
    <row r="8" spans="1:9" ht="15.75" customHeight="1" x14ac:dyDescent="0.25">
      <c r="A8" s="5">
        <f t="shared" si="3"/>
        <v>2030</v>
      </c>
      <c r="B8" s="49">
        <v>727191</v>
      </c>
      <c r="C8" s="50">
        <v>1407441</v>
      </c>
      <c r="D8" s="50">
        <v>2421434</v>
      </c>
      <c r="E8" s="50">
        <v>1720760.5</v>
      </c>
      <c r="F8" s="50">
        <v>1280026</v>
      </c>
      <c r="G8" s="17">
        <f t="shared" si="0"/>
        <v>6829661.5</v>
      </c>
      <c r="H8" s="17">
        <f t="shared" si="1"/>
        <v>839839.12585431465</v>
      </c>
      <c r="I8" s="17">
        <f t="shared" si="2"/>
        <v>5989822.3741456857</v>
      </c>
    </row>
    <row r="9" spans="1:9" ht="15.75" customHeight="1" x14ac:dyDescent="0.25">
      <c r="A9" s="5">
        <f t="shared" si="3"/>
        <v>2031</v>
      </c>
      <c r="B9" s="49">
        <v>733783</v>
      </c>
      <c r="C9" s="50">
        <v>1411597</v>
      </c>
      <c r="D9" s="50">
        <v>2490941.5</v>
      </c>
      <c r="E9" s="50">
        <v>1771908</v>
      </c>
      <c r="F9" s="50">
        <v>1321773</v>
      </c>
      <c r="G9" s="17">
        <f t="shared" si="0"/>
        <v>6996219.5</v>
      </c>
      <c r="H9" s="17">
        <f t="shared" si="1"/>
        <v>847452.28321961709</v>
      </c>
      <c r="I9" s="17">
        <f t="shared" si="2"/>
        <v>6148767.2167803831</v>
      </c>
    </row>
    <row r="10" spans="1:9" ht="15.75" customHeight="1" x14ac:dyDescent="0.25">
      <c r="A10" s="5">
        <f t="shared" si="3"/>
        <v>2032</v>
      </c>
      <c r="B10" s="49">
        <v>739362</v>
      </c>
      <c r="C10" s="50">
        <v>1415414.5</v>
      </c>
      <c r="D10" s="50">
        <v>2554418</v>
      </c>
      <c r="E10" s="50">
        <v>1826199.5</v>
      </c>
      <c r="F10" s="50">
        <v>1360366</v>
      </c>
      <c r="G10" s="17">
        <f t="shared" si="0"/>
        <v>7156398</v>
      </c>
      <c r="H10" s="17">
        <f t="shared" si="1"/>
        <v>853895.51819246646</v>
      </c>
      <c r="I10" s="17">
        <f t="shared" si="2"/>
        <v>6302502.4818075337</v>
      </c>
    </row>
    <row r="11" spans="1:9" ht="15.75" customHeight="1" x14ac:dyDescent="0.25">
      <c r="A11" s="5">
        <f t="shared" si="3"/>
        <v>2033</v>
      </c>
      <c r="B11" s="49">
        <v>745029</v>
      </c>
      <c r="C11" s="50">
        <v>1421385</v>
      </c>
      <c r="D11" s="50">
        <v>2612433.5</v>
      </c>
      <c r="E11" s="50">
        <v>1885400.5</v>
      </c>
      <c r="F11" s="50">
        <v>1397688.5</v>
      </c>
      <c r="G11" s="17">
        <f t="shared" si="0"/>
        <v>7316907.5</v>
      </c>
      <c r="H11" s="17">
        <f t="shared" si="1"/>
        <v>860440.38512043504</v>
      </c>
      <c r="I11" s="17">
        <f t="shared" si="2"/>
        <v>6456467.1148795653</v>
      </c>
    </row>
    <row r="12" spans="1:9" ht="15.75" customHeight="1" x14ac:dyDescent="0.25">
      <c r="A12" s="5">
        <f t="shared" si="3"/>
        <v>2034</v>
      </c>
      <c r="B12" s="49">
        <v>750207</v>
      </c>
      <c r="C12" s="50">
        <v>1431135.5</v>
      </c>
      <c r="D12" s="50">
        <v>2662721</v>
      </c>
      <c r="E12" s="50">
        <v>1950142</v>
      </c>
      <c r="F12" s="50">
        <v>1434725.5</v>
      </c>
      <c r="G12" s="17">
        <f t="shared" si="0"/>
        <v>7478724</v>
      </c>
      <c r="H12" s="17">
        <f t="shared" si="1"/>
        <v>866420.50175234268</v>
      </c>
      <c r="I12" s="17">
        <f t="shared" si="2"/>
        <v>6612303.498247657</v>
      </c>
    </row>
    <row r="13" spans="1:9" ht="15.75" customHeight="1" x14ac:dyDescent="0.25">
      <c r="A13" s="5">
        <f t="shared" si="3"/>
        <v>2035</v>
      </c>
      <c r="B13" s="49">
        <v>754660</v>
      </c>
      <c r="C13" s="50">
        <v>1446816</v>
      </c>
      <c r="D13" s="50">
        <v>2702461</v>
      </c>
      <c r="E13" s="50">
        <v>2020431.5</v>
      </c>
      <c r="F13" s="50">
        <v>1471682.5</v>
      </c>
      <c r="G13" s="17">
        <f t="shared" si="0"/>
        <v>7641391</v>
      </c>
      <c r="H13" s="17">
        <f t="shared" si="1"/>
        <v>871563.30966309691</v>
      </c>
      <c r="I13" s="17">
        <f t="shared" si="2"/>
        <v>6769827.6903369036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HF5ESu1MIkIeL4Li2N2B6YMvhnUJMIESQ2cfNMHTMTLqHv831VS4Uw3l6X5pDMydwzS6HBL09wNLPIAYn9vmg==" saltValue="oW1iSq48G5FReqkZer0T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1.277209872279011E-2</v>
      </c>
    </row>
    <row r="4" spans="1:8" ht="15.75" customHeight="1" x14ac:dyDescent="0.25">
      <c r="B4" s="19" t="s">
        <v>116</v>
      </c>
      <c r="C4" s="99">
        <v>5.3933894606610487E-2</v>
      </c>
    </row>
    <row r="5" spans="1:8" ht="15.75" customHeight="1" x14ac:dyDescent="0.25">
      <c r="B5" s="19" t="s">
        <v>114</v>
      </c>
      <c r="C5" s="99">
        <v>7.7123692287630718E-2</v>
      </c>
    </row>
    <row r="6" spans="1:8" ht="15.75" customHeight="1" x14ac:dyDescent="0.25">
      <c r="B6" s="19" t="s">
        <v>110</v>
      </c>
      <c r="C6" s="99">
        <v>0.244385075561493</v>
      </c>
    </row>
    <row r="7" spans="1:8" ht="15.75" customHeight="1" x14ac:dyDescent="0.25">
      <c r="B7" s="19" t="s">
        <v>115</v>
      </c>
      <c r="C7" s="99">
        <v>0.41540115845988412</v>
      </c>
    </row>
    <row r="8" spans="1:8" ht="15.75" customHeight="1" x14ac:dyDescent="0.25">
      <c r="B8" s="19" t="s">
        <v>117</v>
      </c>
      <c r="C8" s="99">
        <v>1.690199830980013E-3</v>
      </c>
    </row>
    <row r="9" spans="1:8" ht="15.75" customHeight="1" x14ac:dyDescent="0.25">
      <c r="B9" s="19" t="s">
        <v>111</v>
      </c>
      <c r="C9" s="99">
        <v>8.066139193386071E-2</v>
      </c>
    </row>
    <row r="10" spans="1:8" ht="15.75" customHeight="1" x14ac:dyDescent="0.25">
      <c r="B10" s="19" t="s">
        <v>113</v>
      </c>
      <c r="C10" s="99">
        <v>0.1140324885967509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121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2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109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3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120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98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107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118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8.1884283999999988E-2</v>
      </c>
    </row>
    <row r="27" spans="1:8" ht="15.75" customHeight="1" x14ac:dyDescent="0.25">
      <c r="B27" s="19" t="s">
        <v>108</v>
      </c>
      <c r="C27" s="99">
        <v>8.1848189999999994E-3</v>
      </c>
    </row>
    <row r="28" spans="1:8" ht="15.75" customHeight="1" x14ac:dyDescent="0.25">
      <c r="B28" s="19" t="s">
        <v>122</v>
      </c>
      <c r="C28" s="99">
        <v>0.14548327699999999</v>
      </c>
    </row>
    <row r="29" spans="1:8" ht="15.75" customHeight="1" x14ac:dyDescent="0.25">
      <c r="B29" s="19" t="s">
        <v>105</v>
      </c>
      <c r="C29" s="99">
        <v>0.157612682</v>
      </c>
    </row>
    <row r="30" spans="1:8" ht="15.75" customHeight="1" x14ac:dyDescent="0.25">
      <c r="B30" s="19" t="s">
        <v>4</v>
      </c>
      <c r="C30" s="99">
        <v>9.9204118000000008E-2</v>
      </c>
    </row>
    <row r="31" spans="1:8" ht="15.75" customHeight="1" x14ac:dyDescent="0.25">
      <c r="B31" s="19" t="s">
        <v>99</v>
      </c>
      <c r="C31" s="99">
        <v>0.10218857200000001</v>
      </c>
    </row>
    <row r="32" spans="1:8" ht="15.75" customHeight="1" x14ac:dyDescent="0.25">
      <c r="B32" s="19" t="s">
        <v>104</v>
      </c>
      <c r="C32" s="99">
        <v>1.7390224999999999E-2</v>
      </c>
    </row>
    <row r="33" spans="2:3" ht="15.75" customHeight="1" x14ac:dyDescent="0.25">
      <c r="B33" s="19" t="s">
        <v>119</v>
      </c>
      <c r="C33" s="99">
        <v>7.9143570999999996E-2</v>
      </c>
    </row>
    <row r="34" spans="2:3" ht="15.75" customHeight="1" x14ac:dyDescent="0.25">
      <c r="B34" s="19" t="s">
        <v>106</v>
      </c>
      <c r="C34" s="99">
        <v>0.308908452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OJTbKbshWcY4TDXrr5oVD4Jv1bUN5SO4aiyN+CCgO3HKj+bXnGHVz7UGX0dt+CqhUnyE8HPgdLcrFzug31RByQ==" saltValue="92wyvSoRTSiVZi+hFn4R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129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125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126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4apO9HQOxDLfQoqXQ1oiEaIN4HD5Ny8pkyieaco9TA1WBRdYjRcwxc1zTYPhrcvIwCDc7kdhomwkagQ8WTuOg==" saltValue="6N3tU8QKjx8DjV9jkzTX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BRnoCjWmMCqI0bbO2AsxJOYSVLhOXCMJx61ehDo3mtTpcxGshbXCn6Yo8yxI7m760/+YxqDhcrg7bgYD9xknvA==" saltValue="4BIakaS2TURsxIKB3KYi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l7wkMsxTCwLHNszwrCFOLRjankBj52vTY4v62UoU6FiPRl6pWLSz8jqSIOcbOvO0euo1Q0mPkDlh5F2SGofkw==" saltValue="5OHRpOJUVGJqZNmnRw7m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algorithmName="SHA-512" hashValue="rw7kTG+0B3dl8RiZ+WDU72iwuKXU5EZQZyCZzdHpUvHIKt233PpOwthjTVxBtZdQYZIEC+UIgQzKlTrMKkdzkA==" saltValue="ysKrjG0WsQNlBBsgUuPz0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esNtJODAP8Gf4dngOE4DZbRUjiN1lhf7XKQiatQf3rrU88lqhu6HCsRh8s1i73d/L1Kiwg5M12jS0yVWVP3Lg==" saltValue="MloFkol8V/0z6TdKjbOo5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HfvCM9H5QFqDEv1JkKaZJKSodxjQIpY7cwOtahjdkSpUyZrvrMlQ4OaNwNxswufqp+h1+HuaPtZiCC5qNk/0w==" saltValue="8HQ6J1po4+e+1k56JKaP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0.33427040000000002</v>
      </c>
      <c r="C10" s="96">
        <v>0.95</v>
      </c>
      <c r="D10" s="56">
        <v>14.13040526178168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14.13040526178168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14.13040526178168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14.13040526178168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0.36680000000000001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14.13040526178168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0.75737939999999992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3.1508066666666702E-2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0.51400000000000001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0.56868370000000001</v>
      </c>
      <c r="C19" s="96">
        <v>0.95</v>
      </c>
      <c r="D19" s="56">
        <v>0.80800494022236113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0.74117850000000007</v>
      </c>
      <c r="C23" s="96">
        <v>0.95</v>
      </c>
      <c r="D23" s="56">
        <v>4.621869686333798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0.93888883792254008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2.1000000000000001E-2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0.513741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0.17305509999999999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7.1500000000000008E-2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0.77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0.15307589999999999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0.88163790000000009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1.8209000000000001E-3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0.20602480000000001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0.24399999999999999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Le9S+llKijMqb0OqjZkUch87ZgLb0UuXAPappDSsNm9CZEuAOg5XAn3sUrt9d1FHveMiv7OfipeL/Y4m1WKU9w==" saltValue="0s4NqB8Va6fE+Owe8Om1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LwOAjfjWSdApW8iDrl3vFdLqBixMEX1tRrtO7VkdP7jNTUKya4/zVda8TmnhOpAMxcBtK9py1j5K1rn1ivorQ==" saltValue="pW8mIIZmkPvcCACSyP3z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GJoitrk71iYMlLSgqjzn9rVc7Lhja6bkbZcTGJeKOlBQP57nJ779UJi1lYeQxmAmPFTNr37G+QEcDldNLplmg==" saltValue="0z/ymGNZxLXlL6mQvR3w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10.738</v>
      </c>
      <c r="E2" s="21">
        <f>'Entradas de población-año base'!C54</f>
        <v>9.6460000000000008</v>
      </c>
      <c r="F2" s="21">
        <f>'Entradas de población-año base'!C55</f>
        <v>3.8566666666666669</v>
      </c>
    </row>
    <row r="3" spans="1:6" ht="15.75" customHeight="1" x14ac:dyDescent="0.25">
      <c r="A3" s="3" t="s">
        <v>6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236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Nj2AV2evJw7+sqX+CXHasC0XOwgOc27QTIPkuEfdeokoPHRLnfdGJHvYI6RbraPlrR9FV48KWT1i5pMrlxKnRA==" saltValue="tP01auNSzZ/d9o2wfxND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9FLi5DFWFifRQLmsIl7X1///+piVxh047O5nSqtCFfXxOfgbCITn40Ph98mKVILWDNyT2vPhOY77dn3/RMnEw==" saltValue="qfFctwTHOkyZMzjDy6hE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uDyIH/7pkg5NbIEHEwL7951nhRcRKgH92xKZ2++yR+Nuv/s61frtkNuDLSzak7EWbB/BMfe3bPxkj8Ndlrrsg==" saltValue="b0dQWkRZkL6yiuoen4cw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58rSF3XPOwqQl3RJFI8a54uvWxEx9iLOhbJtlwT1PISwgl9qtcF6o1RDiCsmI4EkQu2Qvgb4SLlfP31szxsHw==" saltValue="5aVfYqG6ScHzCMe1FQ5A4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CkPen8ZCzGFu4gAUPzVxxotQidVbQyOV1qc67oBsIqIuA4xsVHiSeFzeJ2P4hUJCBq9btgqCTGEVsNaeMJ5tQ==" saltValue="p8FOjaS25ad+Isv+QqgF6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RfoNYVBtqQ9qFtl8FkHuGFmDWcz4187mKFykkfds7eH2eNrI9rJjqpQleij9wikfEPGCX5lPPfnjjAS+zz56A==" saltValue="16QMXmoKNMFQ4hwkOdjv/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KJkPkBYWSUNbQN+UvfNgingPifCdhiz0Q1Ihxr9XtHQczcc3Go4llYVBauWXdBo2M2HzAsURluqdfOgu2O33zA==" saltValue="RdDduRta8I8++IkXtk4M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4PPTssH7XsKtssjpkgB0nEpF73zAWyFu0Hdb8UyeSLO+UlcRCLByNMaiCxLPpf1dzH9PGA6aVLF+jGeAoeCYg==" saltValue="grk1VLFWbLi1AXOUd4bwb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bvmJDPTLpDIxYjRgPkh2jSGVx5agG6GJlqeNuLBpOBEtfVZgtOtkjYexIz8FMKwOV7RKFbEOswkyYdVofaRng==" saltValue="nL93oOSZBkDy//R9diXT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cO7Gk3jK2T+oFRSQt4paMb0z8OxURD8CttkdgGaoBTnuEeHX1LXul0iRrU5w0PaNpYDvLkN8ywNamD7C6lRYQ==" saltValue="1Gum9Gg89YzLFYzQ1y2O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6x9/kA1BQENdBnqBqK4r6oQngkMq34l2oOnsY0xeRuVZtsWpDfLGeg3LjM1zdjFE6nCs7iETPDkwXONVevsyA==" saltValue="itCvKYXGFmJIlNmQ/1Qe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EfMajqNlwy3QK8Njv63laVBgHptCku+Yh5mKA4lmB43H6fBJUj/t+ggZwDv12i1RrWkDU4HNfnF0GGOpNalUw==" saltValue="OuEcFm2SNm7mN+tF8tkT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vcvv8oORyqtoeUnm6sPJSiUF0So5Wi9apgA1dQc7VsR7Qffn5v11kQ6pjw9lPfcOBqU+H1BJQrZpKFUfLp8vQ==" saltValue="gF/+5lOpCveyZkKIyOj9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5inrMRWu/nKy09xLlidZhXToVgNJtCYHAuk4CiGAbmQWmt/2rKWkQStNLeIEB9yi8iR40hzC6KG70JsnGKz4Q==" saltValue="GWplqITOqOid3rRnhuvz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i4BXxslGFMdD8ckILXfaaWO4bbwjAhJjr8o00b2rnP5bcw57YSVYnvKXDQbmvpq5Fhph7jnI+9ODGR+YqPO3A==" saltValue="a4ukrQOhD4avqmVdMTC+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4Y+XuUtwUmjLVE7MvJa+jsxDe48oNqyzoXIGNovxjV7lDzVoCn40vYhhF1xqxbU7TEanNagCQtXI6mFD6CRVA==" saltValue="WNuQFp/3v/YlixlhUhxy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