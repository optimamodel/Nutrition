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20ECBA6-3AEA-4427-BB78-EE5B8DAC327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22" i="2"/>
  <c r="A36" i="2"/>
  <c r="A26" i="2"/>
  <c r="I39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<sst xmlns="http://schemas.openxmlformats.org/spreadsheetml/2006/main" count="2169" uniqueCount="373">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</sst>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3196098</v>
      </c>
    </row>
    <row r="8" spans="1:3" ht="15" customHeight="1" x14ac:dyDescent="0.25">
      <c r="B8" s="5" t="s">
        <v>63</v>
      </c>
      <c r="C8" s="44">
        <v>0.50700000000000001</v>
      </c>
    </row>
    <row r="9" spans="1:3" ht="15" customHeight="1" x14ac:dyDescent="0.25">
      <c r="B9" s="5" t="s">
        <v>62</v>
      </c>
      <c r="C9" s="45">
        <v>0.77</v>
      </c>
    </row>
    <row r="10" spans="1:3" ht="15" customHeight="1" x14ac:dyDescent="0.25">
      <c r="B10" s="5" t="s">
        <v>75</v>
      </c>
      <c r="C10" s="45">
        <v>0.34760960000000002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0.15459999999999999</v>
      </c>
    </row>
    <row r="24" spans="1:3" ht="15" customHeight="1" x14ac:dyDescent="0.25">
      <c r="B24" s="15" t="s">
        <v>65</v>
      </c>
      <c r="C24" s="45">
        <v>0.46519999999999989</v>
      </c>
    </row>
    <row r="25" spans="1:3" ht="15" customHeight="1" x14ac:dyDescent="0.25">
      <c r="B25" s="15" t="s">
        <v>66</v>
      </c>
      <c r="C25" s="45">
        <v>0.30449999999999999</v>
      </c>
    </row>
    <row r="26" spans="1:3" ht="15" customHeight="1" x14ac:dyDescent="0.25">
      <c r="B26" s="15" t="s">
        <v>67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0.26147459341354901</v>
      </c>
    </row>
    <row r="30" spans="1:3" ht="14.25" customHeight="1" x14ac:dyDescent="0.25">
      <c r="B30" s="25" t="s">
        <v>82</v>
      </c>
      <c r="C30" s="97">
        <v>3.1847694141973401E-2</v>
      </c>
    </row>
    <row r="31" spans="1:3" ht="14.25" customHeight="1" x14ac:dyDescent="0.25">
      <c r="B31" s="25" t="s">
        <v>29</v>
      </c>
      <c r="C31" s="97">
        <v>5.2301559488866299E-2</v>
      </c>
    </row>
    <row r="32" spans="1:3" ht="14.25" customHeight="1" x14ac:dyDescent="0.25">
      <c r="B32" s="25" t="s">
        <v>30</v>
      </c>
      <c r="C32" s="97">
        <v>0.65437615295561202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19.29918</v>
      </c>
    </row>
    <row r="38" spans="1:5" ht="15" customHeight="1" x14ac:dyDescent="0.25">
      <c r="B38" s="11" t="s">
        <v>54</v>
      </c>
      <c r="C38" s="43">
        <v>31.23901</v>
      </c>
      <c r="D38" s="12"/>
      <c r="E38" s="13"/>
    </row>
    <row r="39" spans="1:5" ht="15" customHeight="1" x14ac:dyDescent="0.25">
      <c r="B39" s="11" t="s">
        <v>80</v>
      </c>
      <c r="C39" s="43">
        <v>41.899279999999997</v>
      </c>
      <c r="D39" s="12"/>
      <c r="E39" s="12"/>
    </row>
    <row r="40" spans="1:5" ht="15" customHeight="1" x14ac:dyDescent="0.25">
      <c r="B40" s="11" t="s">
        <v>55</v>
      </c>
      <c r="C40" s="98">
        <v>3.81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1.25431E-2</v>
      </c>
      <c r="D45" s="12"/>
    </row>
    <row r="46" spans="1:5" ht="15.75" customHeight="1" x14ac:dyDescent="0.25">
      <c r="B46" s="11" t="s">
        <v>70</v>
      </c>
      <c r="C46" s="45">
        <v>0.1325692</v>
      </c>
      <c r="D46" s="12"/>
    </row>
    <row r="47" spans="1:5" ht="15.75" customHeight="1" x14ac:dyDescent="0.25">
      <c r="B47" s="11" t="s">
        <v>78</v>
      </c>
      <c r="C47" s="45">
        <v>0.15164759999999999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3.302</v>
      </c>
      <c r="D51" s="12"/>
    </row>
    <row r="52" spans="1:4" ht="15" customHeight="1" x14ac:dyDescent="0.25">
      <c r="B52" s="11" t="s">
        <v>32</v>
      </c>
      <c r="C52" s="98">
        <v>3.302</v>
      </c>
    </row>
    <row r="53" spans="1:4" ht="15.75" customHeight="1" x14ac:dyDescent="0.25">
      <c r="B53" s="11" t="s">
        <v>35</v>
      </c>
      <c r="C53" s="98">
        <v>10.738</v>
      </c>
    </row>
    <row r="54" spans="1:4" ht="15.75" customHeight="1" x14ac:dyDescent="0.25">
      <c r="B54" s="11" t="s">
        <v>33</v>
      </c>
      <c r="C54" s="98">
        <v>9.6460000000000008</v>
      </c>
    </row>
    <row r="55" spans="1:4" ht="15.75" customHeight="1" x14ac:dyDescent="0.25">
      <c r="B55" s="11" t="s">
        <v>34</v>
      </c>
      <c r="C55" s="98">
        <v>3.8566666666666669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0.49510700000000002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0.1557640226</v>
      </c>
    </row>
    <row r="63" spans="1:4" ht="15.75" customHeight="1" x14ac:dyDescent="0.3">
      <c r="A63" s="4"/>
    </row>
  </sheetData>
  <sheetProtection algorithmName="SHA-512" hashValue="liqNsCkCxwQbyRBoEM+vU6836CzTJKa6Bj4KXxj5Iduih4UO+7lJEKv6fz1tUBdHnnMbeRBN6XdvnqL8tmOMog==" saltValue="496EGKdybNdMLZlQdASb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3180496.5</v>
      </c>
      <c r="C2" s="49">
        <v>754660</v>
      </c>
      <c r="D2" s="49">
        <v>1446816</v>
      </c>
      <c r="E2" s="49">
        <v>2702461.0000000005</v>
      </c>
      <c r="F2" s="49">
        <v>2020431.5000000002</v>
      </c>
      <c r="G2" s="17">
        <f t="shared" ref="G2:G13" si="0">C2+D2+E2+F2</f>
        <v>6924368.5</v>
      </c>
      <c r="H2" s="17">
        <f t="shared" ref="H2:H13" si="1">(B2 + stillbirth*B2/(1000-stillbirth))/(1-abortion)</f>
        <v>3673182.6993770655</v>
      </c>
      <c r="I2" s="17">
        <f t="shared" ref="I2:I13" si="2">G2-H2</f>
        <v>3251185.8006229345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674407</v>
      </c>
      <c r="C3" s="50">
        <v>1296125</v>
      </c>
      <c r="D3" s="50">
        <v>1970603.9999999998</v>
      </c>
      <c r="E3" s="50">
        <v>1469991.5</v>
      </c>
      <c r="F3" s="50">
        <v>938961.5</v>
      </c>
      <c r="G3" s="17">
        <f t="shared" si="0"/>
        <v>5675682</v>
      </c>
      <c r="H3" s="17">
        <f t="shared" si="1"/>
        <v>778878.43132001196</v>
      </c>
      <c r="I3" s="17">
        <f t="shared" si="2"/>
        <v>4896803.5686799884</v>
      </c>
    </row>
    <row r="4" spans="1:9" ht="15.75" customHeight="1" x14ac:dyDescent="0.25">
      <c r="A4" s="5">
        <f t="shared" si="3"/>
        <v>2026</v>
      </c>
      <c r="B4" s="49">
        <v>685330</v>
      </c>
      <c r="C4" s="50">
        <v>1328409</v>
      </c>
      <c r="D4" s="50">
        <v>2040112.5</v>
      </c>
      <c r="E4" s="50">
        <v>1506616.5</v>
      </c>
      <c r="F4" s="50">
        <v>1002122</v>
      </c>
      <c r="G4" s="17">
        <f t="shared" si="0"/>
        <v>5877260</v>
      </c>
      <c r="H4" s="17">
        <f t="shared" si="1"/>
        <v>791493.49774919869</v>
      </c>
      <c r="I4" s="17">
        <f t="shared" si="2"/>
        <v>5085766.5022508018</v>
      </c>
    </row>
    <row r="5" spans="1:9" ht="15.75" customHeight="1" x14ac:dyDescent="0.25">
      <c r="A5" s="5">
        <f t="shared" si="3"/>
        <v>2027</v>
      </c>
      <c r="B5" s="49">
        <v>692256</v>
      </c>
      <c r="C5" s="50">
        <v>1353865</v>
      </c>
      <c r="D5" s="50">
        <v>2114912.5</v>
      </c>
      <c r="E5" s="50">
        <v>1543896.4999999998</v>
      </c>
      <c r="F5" s="50">
        <v>1064118.5</v>
      </c>
      <c r="G5" s="17">
        <f t="shared" si="0"/>
        <v>6076792.5</v>
      </c>
      <c r="H5" s="17">
        <f t="shared" si="1"/>
        <v>799492.3945805222</v>
      </c>
      <c r="I5" s="17">
        <f t="shared" si="2"/>
        <v>5277300.1054194774</v>
      </c>
    </row>
    <row r="6" spans="1:9" ht="15.75" customHeight="1" x14ac:dyDescent="0.25">
      <c r="A6" s="5">
        <f t="shared" si="3"/>
        <v>2028</v>
      </c>
      <c r="B6" s="49">
        <v>702654</v>
      </c>
      <c r="C6" s="50">
        <v>1373368.5</v>
      </c>
      <c r="D6" s="50">
        <v>2193092</v>
      </c>
      <c r="E6" s="50">
        <v>1583653</v>
      </c>
      <c r="F6" s="50">
        <v>1123715.5</v>
      </c>
      <c r="G6" s="17">
        <f t="shared" si="0"/>
        <v>6273829</v>
      </c>
      <c r="H6" s="17">
        <f t="shared" si="1"/>
        <v>811501.13400473562</v>
      </c>
      <c r="I6" s="17">
        <f t="shared" si="2"/>
        <v>5462327.8659952646</v>
      </c>
    </row>
    <row r="7" spans="1:9" ht="15.75" customHeight="1" x14ac:dyDescent="0.25">
      <c r="A7" s="5">
        <f t="shared" si="3"/>
        <v>2029</v>
      </c>
      <c r="B7" s="49">
        <v>711469</v>
      </c>
      <c r="C7" s="50">
        <v>1388467</v>
      </c>
      <c r="D7" s="50">
        <v>2270844</v>
      </c>
      <c r="E7" s="50">
        <v>1625936.0000000002</v>
      </c>
      <c r="F7" s="50">
        <v>1180598.5</v>
      </c>
      <c r="G7" s="17">
        <f t="shared" si="0"/>
        <v>6465845.5</v>
      </c>
      <c r="H7" s="17">
        <f t="shared" si="1"/>
        <v>821681.65314538195</v>
      </c>
      <c r="I7" s="17">
        <f t="shared" si="2"/>
        <v>5644163.8468546178</v>
      </c>
    </row>
    <row r="8" spans="1:9" ht="15.75" customHeight="1" x14ac:dyDescent="0.25">
      <c r="A8" s="5">
        <f t="shared" si="3"/>
        <v>2030</v>
      </c>
      <c r="B8" s="49">
        <v>722033</v>
      </c>
      <c r="C8" s="50">
        <v>1399922</v>
      </c>
      <c r="D8" s="50">
        <v>2347211.5</v>
      </c>
      <c r="E8" s="50">
        <v>1671626.4999999998</v>
      </c>
      <c r="F8" s="50">
        <v>1233290.5</v>
      </c>
      <c r="G8" s="17">
        <f t="shared" si="0"/>
        <v>6652050.5</v>
      </c>
      <c r="H8" s="17">
        <f t="shared" si="1"/>
        <v>833882.10739402496</v>
      </c>
      <c r="I8" s="17">
        <f t="shared" si="2"/>
        <v>5818168.3926059753</v>
      </c>
    </row>
    <row r="9" spans="1:9" ht="15.75" customHeight="1" x14ac:dyDescent="0.25">
      <c r="A9" s="5">
        <f t="shared" si="3"/>
        <v>2031</v>
      </c>
      <c r="B9" s="49">
        <v>727191</v>
      </c>
      <c r="C9" s="50">
        <v>1407441</v>
      </c>
      <c r="D9" s="50">
        <v>2421434</v>
      </c>
      <c r="E9" s="50">
        <v>1720760.4999999998</v>
      </c>
      <c r="F9" s="50">
        <v>1280025.9999999998</v>
      </c>
      <c r="G9" s="17">
        <f t="shared" si="0"/>
        <v>6829661.5</v>
      </c>
      <c r="H9" s="17">
        <f t="shared" si="1"/>
        <v>839839.12585431465</v>
      </c>
      <c r="I9" s="17">
        <f t="shared" si="2"/>
        <v>5989822.3741456857</v>
      </c>
    </row>
    <row r="10" spans="1:9" ht="15.75" customHeight="1" x14ac:dyDescent="0.25">
      <c r="A10" s="5">
        <f t="shared" si="3"/>
        <v>2032</v>
      </c>
      <c r="B10" s="49">
        <v>733783</v>
      </c>
      <c r="C10" s="50">
        <v>1411597</v>
      </c>
      <c r="D10" s="50">
        <v>2490941.5</v>
      </c>
      <c r="E10" s="50">
        <v>1771908</v>
      </c>
      <c r="F10" s="50">
        <v>1321773.0000000002</v>
      </c>
      <c r="G10" s="17">
        <f t="shared" si="0"/>
        <v>6996219.5</v>
      </c>
      <c r="H10" s="17">
        <f t="shared" si="1"/>
        <v>847452.28321961709</v>
      </c>
      <c r="I10" s="17">
        <f t="shared" si="2"/>
        <v>6148767.2167803831</v>
      </c>
    </row>
    <row r="11" spans="1:9" ht="15.75" customHeight="1" x14ac:dyDescent="0.25">
      <c r="A11" s="5">
        <f t="shared" si="3"/>
        <v>2033</v>
      </c>
      <c r="B11" s="49">
        <v>739362</v>
      </c>
      <c r="C11" s="50">
        <v>1415414.5</v>
      </c>
      <c r="D11" s="50">
        <v>2554418</v>
      </c>
      <c r="E11" s="50">
        <v>1826199.5000000002</v>
      </c>
      <c r="F11" s="50">
        <v>1360366</v>
      </c>
      <c r="G11" s="17">
        <f t="shared" si="0"/>
        <v>7156398</v>
      </c>
      <c r="H11" s="17">
        <f t="shared" si="1"/>
        <v>853895.51819246646</v>
      </c>
      <c r="I11" s="17">
        <f t="shared" si="2"/>
        <v>6302502.4818075337</v>
      </c>
    </row>
    <row r="12" spans="1:9" ht="15.75" customHeight="1" x14ac:dyDescent="0.25">
      <c r="A12" s="5">
        <f t="shared" si="3"/>
        <v>2034</v>
      </c>
      <c r="B12" s="49">
        <v>745029</v>
      </c>
      <c r="C12" s="50">
        <v>1421385</v>
      </c>
      <c r="D12" s="50">
        <v>2612433.5</v>
      </c>
      <c r="E12" s="50">
        <v>1885400.5</v>
      </c>
      <c r="F12" s="50">
        <v>1397688.5</v>
      </c>
      <c r="G12" s="17">
        <f t="shared" si="0"/>
        <v>7316907.5</v>
      </c>
      <c r="H12" s="17">
        <f t="shared" si="1"/>
        <v>860440.38512043504</v>
      </c>
      <c r="I12" s="17">
        <f t="shared" si="2"/>
        <v>6456467.1148795653</v>
      </c>
    </row>
    <row r="13" spans="1:9" ht="15.75" customHeight="1" x14ac:dyDescent="0.25">
      <c r="A13" s="5">
        <f t="shared" si="3"/>
        <v>2035</v>
      </c>
      <c r="B13" s="49">
        <v>750207</v>
      </c>
      <c r="C13" s="50">
        <v>1431135.5</v>
      </c>
      <c r="D13" s="50">
        <v>2662721</v>
      </c>
      <c r="E13" s="50">
        <v>1950141.9999999998</v>
      </c>
      <c r="F13" s="50">
        <v>1434725.5</v>
      </c>
      <c r="G13" s="17">
        <f t="shared" si="0"/>
        <v>7478724</v>
      </c>
      <c r="H13" s="17">
        <f t="shared" si="1"/>
        <v>866420.50175234268</v>
      </c>
      <c r="I13" s="17">
        <f t="shared" si="2"/>
        <v>6612303.498247657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qnQzkAAYEIXmG8ZEAavsDq2UoZkeCYFwnp5nxM/0NfXQmvFU/ZkyJnUtVkL1YqwCMpzuN2c+nbKrTtrYaylMw==" saltValue="UEAMn+0IIZcUJukSP2PiT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1.277209872279011E-2</v>
      </c>
    </row>
    <row r="4" spans="1:8" ht="15.75" customHeight="1" x14ac:dyDescent="0.25">
      <c r="B4" s="19" t="s">
        <v>116</v>
      </c>
      <c r="C4" s="99">
        <v>5.3933894606610487E-2</v>
      </c>
    </row>
    <row r="5" spans="1:8" ht="15.75" customHeight="1" x14ac:dyDescent="0.25">
      <c r="B5" s="19" t="s">
        <v>114</v>
      </c>
      <c r="C5" s="99">
        <v>7.7123692287630718E-2</v>
      </c>
    </row>
    <row r="6" spans="1:8" ht="15.75" customHeight="1" x14ac:dyDescent="0.25">
      <c r="B6" s="19" t="s">
        <v>110</v>
      </c>
      <c r="C6" s="99">
        <v>0.244385075561493</v>
      </c>
    </row>
    <row r="7" spans="1:8" ht="15.75" customHeight="1" x14ac:dyDescent="0.25">
      <c r="B7" s="19" t="s">
        <v>115</v>
      </c>
      <c r="C7" s="99">
        <v>0.41540115845988412</v>
      </c>
    </row>
    <row r="8" spans="1:8" ht="15.75" customHeight="1" x14ac:dyDescent="0.25">
      <c r="B8" s="19" t="s">
        <v>117</v>
      </c>
      <c r="C8" s="99">
        <v>1.690199830980013E-3</v>
      </c>
    </row>
    <row r="9" spans="1:8" ht="15.75" customHeight="1" x14ac:dyDescent="0.25">
      <c r="B9" s="19" t="s">
        <v>111</v>
      </c>
      <c r="C9" s="99">
        <v>8.066139193386071E-2</v>
      </c>
    </row>
    <row r="10" spans="1:8" ht="15.75" customHeight="1" x14ac:dyDescent="0.25">
      <c r="B10" s="19" t="s">
        <v>113</v>
      </c>
      <c r="C10" s="99">
        <v>0.1140324885967509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121</v>
      </c>
      <c r="C15" s="99">
        <v>0.20191777974539041</v>
      </c>
      <c r="D15" s="99">
        <v>0.20191777974539041</v>
      </c>
      <c r="E15" s="99">
        <v>0.20191777974539041</v>
      </c>
      <c r="F15" s="99">
        <v>0.20191777974539041</v>
      </c>
    </row>
    <row r="16" spans="1:8" ht="15.75" customHeight="1" x14ac:dyDescent="0.25">
      <c r="B16" s="19" t="s">
        <v>2</v>
      </c>
      <c r="C16" s="99">
        <v>2.0552870920946771E-2</v>
      </c>
      <c r="D16" s="99">
        <v>2.0552870920946771E-2</v>
      </c>
      <c r="E16" s="99">
        <v>2.0552870920946771E-2</v>
      </c>
      <c r="F16" s="99">
        <v>2.0552870920946771E-2</v>
      </c>
    </row>
    <row r="17" spans="1:8" ht="15.75" customHeight="1" x14ac:dyDescent="0.25">
      <c r="B17" s="19" t="s">
        <v>109</v>
      </c>
      <c r="C17" s="99">
        <v>3.5305723411494921E-4</v>
      </c>
      <c r="D17" s="99">
        <v>3.5305723411494921E-4</v>
      </c>
      <c r="E17" s="99">
        <v>3.5305723411494921E-4</v>
      </c>
      <c r="F17" s="99">
        <v>3.5305723411494921E-4</v>
      </c>
    </row>
    <row r="18" spans="1:8" ht="15.75" customHeight="1" x14ac:dyDescent="0.25">
      <c r="B18" s="19" t="s">
        <v>3</v>
      </c>
      <c r="C18" s="99">
        <v>0.1866708259468263</v>
      </c>
      <c r="D18" s="99">
        <v>0.1866708259468263</v>
      </c>
      <c r="E18" s="99">
        <v>0.1866708259468263</v>
      </c>
      <c r="F18" s="99">
        <v>0.1866708259468263</v>
      </c>
    </row>
    <row r="19" spans="1:8" ht="15.75" customHeight="1" x14ac:dyDescent="0.25">
      <c r="B19" s="19" t="s">
        <v>120</v>
      </c>
      <c r="C19" s="99">
        <v>1.9600096966901188E-2</v>
      </c>
      <c r="D19" s="99">
        <v>1.9600096966901188E-2</v>
      </c>
      <c r="E19" s="99">
        <v>1.9600096966901188E-2</v>
      </c>
      <c r="F19" s="99">
        <v>1.9600096966901188E-2</v>
      </c>
    </row>
    <row r="20" spans="1:8" ht="15.75" customHeight="1" x14ac:dyDescent="0.25">
      <c r="B20" s="19" t="s">
        <v>98</v>
      </c>
      <c r="C20" s="99">
        <v>0.14215586047956941</v>
      </c>
      <c r="D20" s="99">
        <v>0.14215586047956941</v>
      </c>
      <c r="E20" s="99">
        <v>0.14215586047956941</v>
      </c>
      <c r="F20" s="99">
        <v>0.14215586047956941</v>
      </c>
    </row>
    <row r="21" spans="1:8" ht="15.75" customHeight="1" x14ac:dyDescent="0.25">
      <c r="B21" s="19" t="s">
        <v>107</v>
      </c>
      <c r="C21" s="99">
        <v>0.11798716773771729</v>
      </c>
      <c r="D21" s="99">
        <v>0.11798716773771729</v>
      </c>
      <c r="E21" s="99">
        <v>0.11798716773771729</v>
      </c>
      <c r="F21" s="99">
        <v>0.11798716773771729</v>
      </c>
    </row>
    <row r="22" spans="1:8" ht="15.75" customHeight="1" x14ac:dyDescent="0.25">
      <c r="B22" s="19" t="s">
        <v>118</v>
      </c>
      <c r="C22" s="99">
        <v>0.1678329481431616</v>
      </c>
      <c r="D22" s="99">
        <v>0.1678329481431616</v>
      </c>
      <c r="E22" s="99">
        <v>0.1678329481431616</v>
      </c>
      <c r="F22" s="99">
        <v>0.1678329481431616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8.1884283999999988E-2</v>
      </c>
    </row>
    <row r="27" spans="1:8" ht="15.75" customHeight="1" x14ac:dyDescent="0.25">
      <c r="B27" s="19" t="s">
        <v>108</v>
      </c>
      <c r="C27" s="99">
        <v>8.1848189999999994E-3</v>
      </c>
    </row>
    <row r="28" spans="1:8" ht="15.75" customHeight="1" x14ac:dyDescent="0.25">
      <c r="B28" s="19" t="s">
        <v>122</v>
      </c>
      <c r="C28" s="99">
        <v>0.14548327699999999</v>
      </c>
    </row>
    <row r="29" spans="1:8" ht="15.75" customHeight="1" x14ac:dyDescent="0.25">
      <c r="B29" s="19" t="s">
        <v>105</v>
      </c>
      <c r="C29" s="99">
        <v>0.157612682</v>
      </c>
    </row>
    <row r="30" spans="1:8" ht="15.75" customHeight="1" x14ac:dyDescent="0.25">
      <c r="B30" s="19" t="s">
        <v>4</v>
      </c>
      <c r="C30" s="99">
        <v>9.9204118000000008E-2</v>
      </c>
    </row>
    <row r="31" spans="1:8" ht="15.75" customHeight="1" x14ac:dyDescent="0.25">
      <c r="B31" s="19" t="s">
        <v>99</v>
      </c>
      <c r="C31" s="99">
        <v>0.10218857200000001</v>
      </c>
    </row>
    <row r="32" spans="1:8" ht="15.75" customHeight="1" x14ac:dyDescent="0.25">
      <c r="B32" s="19" t="s">
        <v>104</v>
      </c>
      <c r="C32" s="99">
        <v>1.7390224999999999E-2</v>
      </c>
    </row>
    <row r="33" spans="2:3" ht="15.75" customHeight="1" x14ac:dyDescent="0.25">
      <c r="B33" s="19" t="s">
        <v>119</v>
      </c>
      <c r="C33" s="99">
        <v>7.9143570999999996E-2</v>
      </c>
    </row>
    <row r="34" spans="2:3" ht="15.75" customHeight="1" x14ac:dyDescent="0.25">
      <c r="B34" s="19" t="s">
        <v>106</v>
      </c>
      <c r="C34" s="99">
        <v>0.308908452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qpTmPpSAG2Wi5r3BO1PsaHFNARrlt6X4ettb+EuKu7/uZLNf77jIsByuPKmnlYhRtnKZE+Y2LvRsdkG+qEew+g==" saltValue="V285UO2a4E6gM66lRThDf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129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125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126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138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rXwvuo3qDwDzI9s+RtdqTSLvDdGzdLWFfjfMqpCb6TnMzh+hZLI9JkdQpJC04Ol3Akl5UZCo6rkwCqg+Fm/3g==" saltValue="QENpULukAnp3Sm9oIJlK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wPGjvZoVrAfPrB9L2fGChzvR9mO5mWH0lG1gTDqfcbSh+FtnRYmUOF7IftasWS5mFp3XHohNiRyiVOJL08p+ww==" saltValue="0WxBYlFfL1QMvPofALKNq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lvWK3LOCAUa4yTXyfTdoLVtNQsUwe2pJ1AJ45f+awi0jjDyJ1u0epClwXFRo1WNZlkdySDQiyzogLTZW+hi7g==" saltValue="A9vfjEGvL3zICNgznq8Q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645.15869206718503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0.36218000000000006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0.64637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1.8114737089979873E-2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95733.041259999998</v>
      </c>
      <c r="C22" s="107">
        <v>95005.777730000002</v>
      </c>
      <c r="D22" s="107">
        <v>94570.734070000006</v>
      </c>
      <c r="E22" s="107">
        <v>93950.255850000001</v>
      </c>
      <c r="F22" s="107">
        <v>93054.00606</v>
      </c>
      <c r="G22" s="107">
        <v>91942.383979999999</v>
      </c>
      <c r="H22" s="107">
        <v>90416.110249999998</v>
      </c>
      <c r="I22" s="107">
        <v>88298.584759999998</v>
      </c>
      <c r="J22" s="107">
        <v>85342.315889999998</v>
      </c>
      <c r="K22" s="107">
        <v>81523.667360000007</v>
      </c>
      <c r="L22" s="107">
        <v>76467.642040000006</v>
      </c>
      <c r="M22" s="107">
        <v>70317.297659999997</v>
      </c>
      <c r="N22" s="107">
        <v>62424.73487</v>
      </c>
      <c r="O22" s="107">
        <v>52726.155250000003</v>
      </c>
    </row>
  </sheetData>
  <sheetProtection algorithmName="SHA-512" hashValue="13Ph0Qpj2M5OcV6kI/bAz5ttaw4An2DteLA8dBDdBd1rkgFo7+xHDAZ7aCYf/m5oRAEik8WCKBa+cB5lmY3C2Q==" saltValue="AkfAloEgLOHluuWVo2Hm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KWB2iDzeXB05GdizrhGQrJVMv/hpVuY9blt2NYFOWxXVALJg2v6K+d5zZ3LeFyFRcl12La3yRLDkEuY/3qdsw==" saltValue="wBDumzkem8bYcFJ82dKh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XqY2XWMrQqiKRqDG+lu7SsSkXrEFr04AmbRUZw9svI+5L0+km4K5SAHVKnusJsMt1hivlf34X6+jVaWCNge/g==" saltValue="tA52CyH48D2z6n5XN5iT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0.33427040000000002</v>
      </c>
      <c r="C10" s="96">
        <v>0.95</v>
      </c>
      <c r="D10" s="56">
        <v>14.13040526178168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14.13040526178168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14.13040526178168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14.13040526178168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0.36680000000000001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14.13040526178168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0.75737939999999992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3.1508066666666702E-2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0.51400000000000001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0.56868370000000001</v>
      </c>
      <c r="C19" s="96">
        <v>0.95</v>
      </c>
      <c r="D19" s="56">
        <v>0.80800494022236113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0.74117850000000007</v>
      </c>
      <c r="C23" s="96">
        <v>0.95</v>
      </c>
      <c r="D23" s="56">
        <v>4.621869686333798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0.93888883792254008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2.1000000000000001E-2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0.513741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0.17305509999999999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7.1500000000000008E-2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0.77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0.15307589999999999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0.88163790000000009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1.8209000000000001E-3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0.20602480000000001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0.24399999999999999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oKxoEETItJVOSHo7CAmaNbySQzkpsf6c0DMU5t/viQHvHaUNnx2Ebmr5ZK5dr/VsKuy4RAo94ihTkmjsS5WIQw==" saltValue="Y9M6OyFkZSieemZHMq2y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7GzHydc65Yp6DIycqzGb2hiCTt9MkbxLCsxGLVfG09kZh1BpvB6H1oGPWml9qSlJe5V/BQCWCGzVnC3m6yNAA==" saltValue="Wkquo8DH4Vi97rqJmaXu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TPmp6wEfQFuwPH9Sba/UP2Pb6r90bQ6+eLRxa9a4HCZ2bLNdjMX9UC0nVZlnmpKQVlYPnwf9Ee6jLd+uTt3Xg==" saltValue="VqohlTnhfwETYc82Jzfe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10.738</v>
      </c>
      <c r="E2" s="21">
        <f>'Entradas de población-año base'!C54</f>
        <v>9.6460000000000008</v>
      </c>
      <c r="F2" s="21">
        <f>'Entradas de población-año base'!C55</f>
        <v>3.8566666666666669</v>
      </c>
    </row>
    <row r="3" spans="1:6" ht="15.75" customHeight="1" x14ac:dyDescent="0.25">
      <c r="A3" s="3" t="s">
        <v>6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236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ln2b31X74M9TEbN2pWT5dksd25ce+M9643yVKRwidmbXQ6XfSnDUPqOemXAcfuf7ClF9VJ20dp7wBO4HgqFlug==" saltValue="XkwWobl8JABrJZxJN8lJ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Q41wKSz3nGFOfx8We9Bh68OCxKy2hcHDJZQOa92JwOBzrqQIf+hd5VO/h+WB9VzwfVnUc2Gw0a5d8VYsdRcMg==" saltValue="xUZ6A4dntMnliPHTfhbV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q0bfdMsvaFG1Kqxh1gSF08D/Bev0fRaS4LQDByDZee5fxnDEDLRkEFXTB6RysvfL0SW5ZmsXqBhJDBmLJFAWA==" saltValue="RTqYipGMHkQo0cwYXcKI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lHr70fMqLyQC1tA71G2fX75V+S9WV5bFWMFo/6mp22GIce5u10vi386SEdVxfTwbgzWNsVicfgxM1XAt37o0w==" saltValue="k80CsunxCp0v0mzoHlX9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GZpii4S2G9vhgPc9Mp9iSyXzTHIYxzS8V+9OXje9xH+IjCU/eRGDhAsEQnY+reKyLudhUlwqKdL2J/M9QjDtg==" saltValue="gcjwjMTYBmVK+oIVSiFi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Wqr2osjKQt5bum4JzVud8KL8taeo205Le5ruOgEYPzbVydoft+DaPIf9AMVZK4+XMSIk51T270bW/ODnEnlxQ==" saltValue="qqePYzTSJx9fzmduGyvC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zFqjP/Xvr0CnbJWyTTOjYu6MUfjbmhoyERvQL7udt5YeA82soVSqOUQnrXaGeq3synLgRY78qax/3vqGQPZig==" saltValue="aEFvlK6LJcCAogykoL7Q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PrZdNNRTDND5MvCG2gnI9LJtKHtBnuOTQpQDJDXC5yvh9ADcibh+biDUbudQvSHaN1NXvTS7EYm/V0JMIRNRA==" saltValue="MKCWRxo/oij/gsQmXVgzM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i++gKinwcoTDDEiCAPwVmR6vZF0zVa7sg1XMWO4QRNE6KP5pBGk0qaXA0YyTPXZKuj5fTxJTpPbPprTf9hgXw==" saltValue="T97SYTSLwNLxg5m+V7hv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vQf11N3vq6tA1LlOry61g2n1p8IHFaJ8cJ02R1mgzNSY8oBV6x2CUaWglBK3PCxJjQSC4ml6zIYqn7eq033vQ==" saltValue="K26qF92NqP2xDQD6LxzQ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zuTzInRUFDAKOCt3kYpKx+IaAPazMUX4d0DUchY+0E0W5pHMDzPecqidRmlLrg5oSps9jI7Z7EVo+eyz9m8kA==" saltValue="vOqNStZRdIxb3HwPXzYn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oQnPz9aKyrTUOGip7Ne8jBSvrtrnZXOD8YnS7SDIAWnrQtUNxmQ1hcoT9Tw1F98nvxCqEJzuJcUWi1EwEw8iw==" saltValue="vDKNJoqRx5tB3bptsJ0q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rbJuf/NO2ZDcjZYx86qhnW6mX6B+oQggYMbSlrVTaHmXyCWMMLXGmRSliTHVSBFkmR7DDXxmkvhev6Tmd1OmA==" saltValue="9+8qTb+BmN9A/J6jzzPk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gdL6QMBfaebXiPvfZJPBruJNBXKZkJ7f77R0nGhtkfbx9xSq9IXLQ68sR8qSpCDkzNFiPJq+ACgkODNozepVw==" saltValue="9MlvELSUfWs/0zsj4Qvk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97WOMd/L5YHnQJyA/73Cd5m+ZSoPDgfR36jO9AfIkbKAEJLHocV7IFdeRDUg6MHnxO/ZkdK+DtE7UM5gELDbA==" saltValue="pO1UaFRBycnuUe+XnlcY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qYNPzTeYoxD7d1V48PLdaAZnYTXknTHaSMcwglFc2bryg8NiLe3KD/+lKWhjBkZ/S9WNSvkxto8jvu9ntzKew==" saltValue="M8Bk5f4UB0pIKH5Qv45iX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