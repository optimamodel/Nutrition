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981E5CD-01B6-45F9-92BB-31A42DA397D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A39" i="2"/>
  <c r="I38" i="2"/>
  <c r="H38" i="2"/>
  <c r="G38" i="2"/>
  <c r="A33" i="2"/>
  <c r="A31" i="2"/>
  <c r="A26" i="2"/>
  <c r="A25" i="2"/>
  <c r="A23" i="2"/>
  <c r="H13" i="2"/>
  <c r="I13" i="2" s="1"/>
  <c r="G13" i="2"/>
  <c r="I12" i="2"/>
  <c r="H12" i="2"/>
  <c r="G12" i="2"/>
  <c r="H11" i="2"/>
  <c r="I11" i="2" s="1"/>
  <c r="G11" i="2"/>
  <c r="H10" i="2"/>
  <c r="I10" i="2" s="1"/>
  <c r="G10" i="2"/>
  <c r="H9" i="2"/>
  <c r="I9" i="2" s="1"/>
  <c r="G9" i="2"/>
  <c r="I8" i="2"/>
  <c r="H8" i="2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I2" i="2"/>
  <c r="H2" i="2"/>
  <c r="G2" i="2"/>
  <c r="A2" i="2"/>
  <c r="A40" i="2" s="1"/>
  <c r="C33" i="1"/>
  <c r="C20" i="1"/>
  <c r="A15" i="2" l="1"/>
  <c r="A34" i="2"/>
  <c r="A17" i="2"/>
  <c r="A18" i="2"/>
  <c r="A16" i="2"/>
  <c r="A24" i="2"/>
  <c r="A32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<sst xmlns="http://schemas.openxmlformats.org/spreadsheetml/2006/main" count="2101" uniqueCount="341">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</sst>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3244306.5</v>
      </c>
    </row>
    <row r="8" spans="1:3" ht="15" customHeight="1" x14ac:dyDescent="0.25">
      <c r="B8" s="5" t="s">
        <v>44</v>
      </c>
      <c r="C8" s="44">
        <v>0.70299999999999996</v>
      </c>
    </row>
    <row r="9" spans="1:3" ht="15" customHeight="1" x14ac:dyDescent="0.25">
      <c r="B9" s="5" t="s">
        <v>43</v>
      </c>
      <c r="C9" s="45">
        <v>0.77</v>
      </c>
    </row>
    <row r="10" spans="1:3" ht="15" customHeight="1" x14ac:dyDescent="0.25">
      <c r="B10" s="5" t="s">
        <v>56</v>
      </c>
      <c r="C10" s="45">
        <v>0.307979602813721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0.15459999999999999</v>
      </c>
    </row>
    <row r="24" spans="1:3" ht="15" customHeight="1" x14ac:dyDescent="0.25">
      <c r="B24" s="15" t="s">
        <v>46</v>
      </c>
      <c r="C24" s="45">
        <v>0.46519999999999989</v>
      </c>
    </row>
    <row r="25" spans="1:3" ht="15" customHeight="1" x14ac:dyDescent="0.25">
      <c r="B25" s="15" t="s">
        <v>47</v>
      </c>
      <c r="C25" s="45">
        <v>0.30449999999999999</v>
      </c>
    </row>
    <row r="26" spans="1:3" ht="15" customHeight="1" x14ac:dyDescent="0.25">
      <c r="B26" s="15" t="s">
        <v>48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0.26147459341354901</v>
      </c>
    </row>
    <row r="30" spans="1:3" ht="14.25" customHeight="1" x14ac:dyDescent="0.25">
      <c r="B30" s="25" t="s">
        <v>63</v>
      </c>
      <c r="C30" s="99">
        <v>3.1847694141973401E-2</v>
      </c>
    </row>
    <row r="31" spans="1:3" ht="14.25" customHeight="1" x14ac:dyDescent="0.25">
      <c r="B31" s="25" t="s">
        <v>10</v>
      </c>
      <c r="C31" s="99">
        <v>5.2301559488866299E-2</v>
      </c>
    </row>
    <row r="32" spans="1:3" ht="14.25" customHeight="1" x14ac:dyDescent="0.25">
      <c r="B32" s="25" t="s">
        <v>11</v>
      </c>
      <c r="C32" s="99">
        <v>0.65437615295561202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19.29918</v>
      </c>
    </row>
    <row r="38" spans="1:5" ht="15" customHeight="1" x14ac:dyDescent="0.25">
      <c r="B38" s="11" t="s">
        <v>35</v>
      </c>
      <c r="C38" s="43">
        <v>31.23901</v>
      </c>
      <c r="D38" s="12"/>
      <c r="E38" s="13"/>
    </row>
    <row r="39" spans="1:5" ht="15" customHeight="1" x14ac:dyDescent="0.25">
      <c r="B39" s="11" t="s">
        <v>61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1.25431E-2</v>
      </c>
      <c r="D45" s="12"/>
    </row>
    <row r="46" spans="1:5" ht="15.75" customHeight="1" x14ac:dyDescent="0.25">
      <c r="B46" s="11" t="s">
        <v>51</v>
      </c>
      <c r="C46" s="45">
        <v>0.1325692</v>
      </c>
      <c r="D46" s="12"/>
    </row>
    <row r="47" spans="1:5" ht="15.75" customHeight="1" x14ac:dyDescent="0.25">
      <c r="B47" s="11" t="s">
        <v>59</v>
      </c>
      <c r="C47" s="45">
        <v>0.15164759999999999</v>
      </c>
      <c r="D47" s="12"/>
      <c r="E47" s="13"/>
    </row>
    <row r="48" spans="1:5" ht="15" customHeight="1" x14ac:dyDescent="0.25">
      <c r="B48" s="11" t="s">
        <v>58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0.49510700000000002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0.14464293</v>
      </c>
    </row>
    <row r="63" spans="1:4" ht="15.75" customHeight="1" x14ac:dyDescent="0.3">
      <c r="A63" s="4"/>
    </row>
  </sheetData>
  <sheetProtection algorithmName="SHA-512" hashValue="iZsTReK+s56bTMw720A+wczxcBIc7byBZ5ns2GmfxRhc1Jp5j30NIwpE1TW3z4DPJsD4jA4PAh+f9rU3/pA2OQ==" saltValue="NnBEAxHhub1B7+rEklw6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687950</v>
      </c>
      <c r="C2" s="49">
        <v>1578030</v>
      </c>
      <c r="D2" s="49">
        <v>1963398</v>
      </c>
      <c r="E2" s="49">
        <v>1410655</v>
      </c>
      <c r="F2" s="49">
        <v>831126.5</v>
      </c>
      <c r="G2" s="17">
        <f t="shared" ref="G2:G13" si="0">C2+D2+E2+F2</f>
        <v>5783209.5</v>
      </c>
      <c r="H2" s="17">
        <f t="shared" ref="H2:H13" si="1">(B2 + stillbirth*B2/(1000-stillbirth))/(1-abortion)</f>
        <v>794519.35823116044</v>
      </c>
      <c r="I2" s="17">
        <f t="shared" ref="I2:I13" si="2">G2-H2</f>
        <v>4988690.1417688392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698306</v>
      </c>
      <c r="C3" s="50">
        <v>1607686</v>
      </c>
      <c r="D3" s="50">
        <v>2042677</v>
      </c>
      <c r="E3" s="50">
        <v>1438951.5</v>
      </c>
      <c r="F3" s="50">
        <v>887830.5</v>
      </c>
      <c r="G3" s="17">
        <f t="shared" si="0"/>
        <v>5977145</v>
      </c>
      <c r="H3" s="17">
        <f t="shared" si="1"/>
        <v>806479.59149497608</v>
      </c>
      <c r="I3" s="17">
        <f t="shared" si="2"/>
        <v>5170665.4085050244</v>
      </c>
    </row>
    <row r="4" spans="1:9" ht="15.75" customHeight="1" x14ac:dyDescent="0.25">
      <c r="A4" s="5">
        <f t="shared" si="3"/>
        <v>2026</v>
      </c>
      <c r="B4" s="49">
        <v>709710</v>
      </c>
      <c r="C4" s="50">
        <v>1631297.5</v>
      </c>
      <c r="D4" s="50">
        <v>2124874.5</v>
      </c>
      <c r="E4" s="50">
        <v>1471056</v>
      </c>
      <c r="F4" s="50">
        <v>941192.00000000012</v>
      </c>
      <c r="G4" s="17">
        <f t="shared" si="0"/>
        <v>6168420</v>
      </c>
      <c r="H4" s="17">
        <f t="shared" si="1"/>
        <v>819650.16895157634</v>
      </c>
      <c r="I4" s="17">
        <f t="shared" si="2"/>
        <v>5348769.8310484234</v>
      </c>
    </row>
    <row r="5" spans="1:9" ht="15.75" customHeight="1" x14ac:dyDescent="0.25">
      <c r="A5" s="5">
        <f t="shared" si="3"/>
        <v>2027</v>
      </c>
      <c r="B5" s="49">
        <v>717845</v>
      </c>
      <c r="C5" s="50">
        <v>1650578</v>
      </c>
      <c r="D5" s="50">
        <v>2207309.5</v>
      </c>
      <c r="E5" s="50">
        <v>1508576.5</v>
      </c>
      <c r="F5" s="50">
        <v>989544.5</v>
      </c>
      <c r="G5" s="17">
        <f t="shared" si="0"/>
        <v>6356008.5</v>
      </c>
      <c r="H5" s="17">
        <f t="shared" si="1"/>
        <v>829045.35025720962</v>
      </c>
      <c r="I5" s="17">
        <f t="shared" si="2"/>
        <v>5526963.1497427905</v>
      </c>
    </row>
    <row r="6" spans="1:9" ht="15.75" customHeight="1" x14ac:dyDescent="0.25">
      <c r="A6" s="5">
        <f t="shared" si="3"/>
        <v>2028</v>
      </c>
      <c r="B6" s="49">
        <v>727908</v>
      </c>
      <c r="C6" s="50">
        <v>1666904.5</v>
      </c>
      <c r="D6" s="50">
        <v>2287016.5</v>
      </c>
      <c r="E6" s="50">
        <v>1550820.5</v>
      </c>
      <c r="F6" s="50">
        <v>1031364</v>
      </c>
      <c r="G6" s="17">
        <f t="shared" si="0"/>
        <v>6536105.5</v>
      </c>
      <c r="H6" s="17">
        <f t="shared" si="1"/>
        <v>840667.19530682114</v>
      </c>
      <c r="I6" s="17">
        <f t="shared" si="2"/>
        <v>5695438.3046931792</v>
      </c>
    </row>
    <row r="7" spans="1:9" ht="15.75" customHeight="1" x14ac:dyDescent="0.25">
      <c r="A7" s="5">
        <f t="shared" si="3"/>
        <v>2029</v>
      </c>
      <c r="B7" s="49">
        <v>736141</v>
      </c>
      <c r="C7" s="50">
        <v>1680324</v>
      </c>
      <c r="D7" s="50">
        <v>2362908</v>
      </c>
      <c r="E7" s="50">
        <v>1597427</v>
      </c>
      <c r="F7" s="50">
        <v>1068222.5</v>
      </c>
      <c r="G7" s="17">
        <f t="shared" si="0"/>
        <v>6708881.5</v>
      </c>
      <c r="H7" s="17">
        <f t="shared" si="1"/>
        <v>850175.55765338289</v>
      </c>
      <c r="I7" s="17">
        <f t="shared" si="2"/>
        <v>5858705.9423466176</v>
      </c>
    </row>
    <row r="8" spans="1:9" ht="15.75" customHeight="1" x14ac:dyDescent="0.25">
      <c r="A8" s="5">
        <f t="shared" si="3"/>
        <v>2030</v>
      </c>
      <c r="B8" s="49">
        <v>746353</v>
      </c>
      <c r="C8" s="50">
        <v>1691184</v>
      </c>
      <c r="D8" s="50">
        <v>2435285.5</v>
      </c>
      <c r="E8" s="50">
        <v>1649088.5</v>
      </c>
      <c r="F8" s="50">
        <v>1100319.5</v>
      </c>
      <c r="G8" s="17">
        <f t="shared" si="0"/>
        <v>6875877.5</v>
      </c>
      <c r="H8" s="17">
        <f t="shared" si="1"/>
        <v>861969.48408154852</v>
      </c>
      <c r="I8" s="17">
        <f t="shared" si="2"/>
        <v>6013908.0159184514</v>
      </c>
    </row>
    <row r="9" spans="1:9" ht="15.75" customHeight="1" x14ac:dyDescent="0.25">
      <c r="A9" s="5">
        <f t="shared" si="3"/>
        <v>2031</v>
      </c>
      <c r="B9" s="49">
        <v>748584</v>
      </c>
      <c r="C9" s="50">
        <v>1701640</v>
      </c>
      <c r="D9" s="50">
        <v>2503337.5</v>
      </c>
      <c r="E9" s="50">
        <v>1705467.5</v>
      </c>
      <c r="F9" s="50">
        <v>1126941</v>
      </c>
      <c r="G9" s="17">
        <f t="shared" si="0"/>
        <v>7037386</v>
      </c>
      <c r="H9" s="17">
        <f t="shared" si="1"/>
        <v>864546.08512553968</v>
      </c>
      <c r="I9" s="17">
        <f t="shared" si="2"/>
        <v>6172839.9148744605</v>
      </c>
    </row>
    <row r="10" spans="1:9" ht="15.75" customHeight="1" x14ac:dyDescent="0.25">
      <c r="A10" s="5">
        <f t="shared" si="3"/>
        <v>2032</v>
      </c>
      <c r="B10" s="49">
        <v>757906</v>
      </c>
      <c r="C10" s="50">
        <v>1714255.5</v>
      </c>
      <c r="D10" s="50">
        <v>2564983.5</v>
      </c>
      <c r="E10" s="50">
        <v>1767321.5</v>
      </c>
      <c r="F10" s="50">
        <v>1150241</v>
      </c>
      <c r="G10" s="17">
        <f t="shared" si="0"/>
        <v>7196801.5</v>
      </c>
      <c r="H10" s="17">
        <f t="shared" si="1"/>
        <v>875312.14291670313</v>
      </c>
      <c r="I10" s="17">
        <f t="shared" si="2"/>
        <v>6321489.3570832964</v>
      </c>
    </row>
    <row r="11" spans="1:9" ht="15.75" customHeight="1" x14ac:dyDescent="0.25">
      <c r="A11" s="5">
        <f t="shared" si="3"/>
        <v>2033</v>
      </c>
      <c r="B11" s="49">
        <v>760142</v>
      </c>
      <c r="C11" s="50">
        <v>1730029</v>
      </c>
      <c r="D11" s="50">
        <v>2619056.5</v>
      </c>
      <c r="E11" s="50">
        <v>1835174.5</v>
      </c>
      <c r="F11" s="50">
        <v>1172298.5</v>
      </c>
      <c r="G11" s="17">
        <f t="shared" si="0"/>
        <v>7356558.5</v>
      </c>
      <c r="H11" s="17">
        <f t="shared" si="1"/>
        <v>877894.51850359887</v>
      </c>
      <c r="I11" s="17">
        <f t="shared" si="2"/>
        <v>6478663.9814964011</v>
      </c>
    </row>
    <row r="12" spans="1:9" ht="15.75" customHeight="1" x14ac:dyDescent="0.25">
      <c r="A12" s="5">
        <f t="shared" si="3"/>
        <v>2034</v>
      </c>
      <c r="B12" s="49">
        <v>766161</v>
      </c>
      <c r="C12" s="50">
        <v>1749604</v>
      </c>
      <c r="D12" s="50">
        <v>2664942</v>
      </c>
      <c r="E12" s="50">
        <v>1909073</v>
      </c>
      <c r="F12" s="50">
        <v>1194684.5</v>
      </c>
      <c r="G12" s="17">
        <f t="shared" si="0"/>
        <v>7518303.5</v>
      </c>
      <c r="H12" s="17">
        <f t="shared" si="1"/>
        <v>884845.9132520447</v>
      </c>
      <c r="I12" s="17">
        <f t="shared" si="2"/>
        <v>6633457.5867479555</v>
      </c>
    </row>
    <row r="13" spans="1:9" ht="15.75" customHeight="1" x14ac:dyDescent="0.25">
      <c r="A13" s="5">
        <f t="shared" si="3"/>
        <v>2035</v>
      </c>
      <c r="B13" s="49">
        <v>770109</v>
      </c>
      <c r="C13" s="50">
        <v>1773523.5</v>
      </c>
      <c r="D13" s="50">
        <v>2701851.5</v>
      </c>
      <c r="E13" s="50">
        <v>1987695</v>
      </c>
      <c r="F13" s="50">
        <v>1218143</v>
      </c>
      <c r="G13" s="17">
        <f t="shared" si="0"/>
        <v>7681213</v>
      </c>
      <c r="H13" s="17">
        <f t="shared" si="1"/>
        <v>889405.49232944357</v>
      </c>
      <c r="I13" s="17">
        <f t="shared" si="2"/>
        <v>6791807.5076705562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6tch5dfq3yK9ZMeaFYnfJQ5TzxdS9AmjfALyjdnMpWiWIUuAZkXQllJyBa0cyJtO0bEHYUICsuyOCzA+KAtXA==" saltValue="We24hVTCxzMPeO6xKgdYe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1.277209872279011E-2</v>
      </c>
    </row>
    <row r="4" spans="1:8" ht="15.75" customHeight="1" x14ac:dyDescent="0.25">
      <c r="B4" s="19" t="s">
        <v>97</v>
      </c>
      <c r="C4" s="101">
        <v>5.3933894606610487E-2</v>
      </c>
    </row>
    <row r="5" spans="1:8" ht="15.75" customHeight="1" x14ac:dyDescent="0.25">
      <c r="B5" s="19" t="s">
        <v>95</v>
      </c>
      <c r="C5" s="101">
        <v>7.7123692287630718E-2</v>
      </c>
    </row>
    <row r="6" spans="1:8" ht="15.75" customHeight="1" x14ac:dyDescent="0.25">
      <c r="B6" s="19" t="s">
        <v>91</v>
      </c>
      <c r="C6" s="101">
        <v>0.244385075561493</v>
      </c>
    </row>
    <row r="7" spans="1:8" ht="15.75" customHeight="1" x14ac:dyDescent="0.25">
      <c r="B7" s="19" t="s">
        <v>96</v>
      </c>
      <c r="C7" s="101">
        <v>0.41540115845988412</v>
      </c>
    </row>
    <row r="8" spans="1:8" ht="15.75" customHeight="1" x14ac:dyDescent="0.25">
      <c r="B8" s="19" t="s">
        <v>98</v>
      </c>
      <c r="C8" s="101">
        <v>1.690199830980013E-3</v>
      </c>
    </row>
    <row r="9" spans="1:8" ht="15.75" customHeight="1" x14ac:dyDescent="0.25">
      <c r="B9" s="19" t="s">
        <v>92</v>
      </c>
      <c r="C9" s="101">
        <v>8.066139193386071E-2</v>
      </c>
    </row>
    <row r="10" spans="1:8" ht="15.75" customHeight="1" x14ac:dyDescent="0.25">
      <c r="B10" s="19" t="s">
        <v>94</v>
      </c>
      <c r="C10" s="101">
        <v>0.1140324885967509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102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2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90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3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101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79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99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8.1884283999999988E-2</v>
      </c>
    </row>
    <row r="27" spans="1:8" ht="15.75" customHeight="1" x14ac:dyDescent="0.25">
      <c r="B27" s="19" t="s">
        <v>89</v>
      </c>
      <c r="C27" s="101">
        <v>8.1848189999999994E-3</v>
      </c>
    </row>
    <row r="28" spans="1:8" ht="15.75" customHeight="1" x14ac:dyDescent="0.25">
      <c r="B28" s="19" t="s">
        <v>103</v>
      </c>
      <c r="C28" s="101">
        <v>0.14548327699999999</v>
      </c>
    </row>
    <row r="29" spans="1:8" ht="15.75" customHeight="1" x14ac:dyDescent="0.25">
      <c r="B29" s="19" t="s">
        <v>86</v>
      </c>
      <c r="C29" s="101">
        <v>0.157612682</v>
      </c>
    </row>
    <row r="30" spans="1:8" ht="15.75" customHeight="1" x14ac:dyDescent="0.25">
      <c r="B30" s="19" t="s">
        <v>4</v>
      </c>
      <c r="C30" s="101">
        <v>9.9204118000000008E-2</v>
      </c>
    </row>
    <row r="31" spans="1:8" ht="15.75" customHeight="1" x14ac:dyDescent="0.25">
      <c r="B31" s="19" t="s">
        <v>80</v>
      </c>
      <c r="C31" s="101">
        <v>0.10218857200000001</v>
      </c>
    </row>
    <row r="32" spans="1:8" ht="15.75" customHeight="1" x14ac:dyDescent="0.25">
      <c r="B32" s="19" t="s">
        <v>85</v>
      </c>
      <c r="C32" s="101">
        <v>1.7390224999999999E-2</v>
      </c>
    </row>
    <row r="33" spans="2:3" ht="15.75" customHeight="1" x14ac:dyDescent="0.25">
      <c r="B33" s="19" t="s">
        <v>100</v>
      </c>
      <c r="C33" s="101">
        <v>7.9143570999999996E-2</v>
      </c>
    </row>
    <row r="34" spans="2:3" ht="15.75" customHeight="1" x14ac:dyDescent="0.25">
      <c r="B34" s="19" t="s">
        <v>87</v>
      </c>
      <c r="C34" s="101">
        <v>0.308908452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ji0HvlZJR10TSde/J192gzVenZ7SNipTmKy2YnGMqiNHHxdHJ9hL5wIxsHdcg1ts2Y3Nj3R2LxGzM4u4v3yXwQ==" saltValue="Feg8u4e4jr40d+6V1q1/8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110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106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107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119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oLbCoLU2uxlSKGoLw9x6lALh7sa+2McOuwuxaVZO92M7a+W9vUf8PUOFQ0+i9YlRqslWXDkBQ6AE+Qpw/plOA==" saltValue="2QMu+fd9c83aNqYGlPih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125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Cdrqv/PPKb7OE1XzSfwIycjSkwy5yjwqm9DsrFxMCuma8++7hwwWQ+gr2iIlLE6Cgj2Q7p6mWSDvcem7sA4shg==" saltValue="XwvSo2oK3W4chuKLjhiy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60benDzFQc8QOKe8XUEMMSrc15TEAFev3u5zVf1MbnyRuus/iUnzOObV2kry9WYGBuDhJfo28RgNDfz8CclEQ==" saltValue="+HEwvb+K6qn+BTOpvLSrO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G10f+RE5j7MyuMO3mfR98a9S1DGx/w6qZGOYUGye61q2U4/BM06qX40KV8hk4luFMeM9OBTof5W8VhRxiR/hKw==" saltValue="Qpgf6n9BD+WrWX+2LSsZ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02t20lnMKP1xZT8p54e7ryiq2b+z2YYkxL1KvK6n/VBzfjQmUuA237oYyG3wBsGF7cYnlTUYlFTgxqfCRsCaA==" saltValue="XM9gTNwxHssx+gIEVaIC0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Be/Z6kRjHiQN4Q3vqQGChrbobryRVdFySjjhEPxRE+QCNGVHzfp2vKDLfRn6W9U8HhDXsndu04jOMOsW0GELQ==" saltValue="mnz7+K71c6HM2OyFBMYw/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25.026928085364101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0.1203130428229381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0.13284207579109411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0.33427040000000002</v>
      </c>
      <c r="C10" s="98">
        <v>0.95</v>
      </c>
      <c r="D10" s="56">
        <v>14.13040526178168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14.13040526178168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14.13040526178168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14.13040526178168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0.33427040000000002</v>
      </c>
      <c r="C14" s="98">
        <v>0.95</v>
      </c>
      <c r="D14" s="56">
        <v>14.13040526178168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14.13040526178168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0.75737939999999992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3.1508066666666702E-2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0.51400000000000001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0.56868370000000001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24.054885882818429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0.74117850000000007</v>
      </c>
      <c r="C23" s="98">
        <v>0.95</v>
      </c>
      <c r="D23" s="56">
        <v>4.621869686333798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0.93888883792254008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2.1000000000000001E-2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0.513741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0.17305509999999999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7.1500000000000008E-2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0.77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0.15307589999999999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0.88163790000000009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1.8209000000000001E-3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0.20602480000000001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0.24399999999999999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38tZh2EXCncj/a1Trb6tX+8i9GLfyfIlwlUEQSe7EEc+h9YfHmC6g3Q461TMrBHcsqDo7/RVFtj1YtVfmdOLvA==" saltValue="J08zrjKgCymEeOESXg82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1GZ5AfLoKeUmordKAo5re9g9j2UIpyicqQVUSm2bELP4od83J53Pxb/+Lj+ABvrZLL3iUtf9/G9w0eZKp7u6g==" saltValue="7EaXRBWLeXz7enxWheTY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rT8uUxH2EY64qyC0JXoOxiRyu/2WcRkPLMdg4UB/n6uZkF9USg4muqY5kfXybDYiHCPycROtOJOGRJXfsU3YLw==" saltValue="cKvWBEHk45UiYElwwAec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207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sheetProtection algorithmName="SHA-512" hashValue="o7on0PJZuIUUkRYR4zrBwxHgkKGR/JC0HHLuxMjR5CmLHNjeCh5htKrm8R6PSptQOGjDKI2U+SWjCsJZA5H+oQ==" saltValue="Qu5vTrHNlqbnyQtT6vW1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V7Cg6KzJ2KooZnrZ1rFS26y386e0VBcXWcwdw1stKPaXL8JgYrMFCVnwNppnlfRYXfLuBsgD8zFmq85i6pvtQ==" saltValue="xCpRlKELQ9LC5t9ZfhAw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yw3yVSglkW21uyJGmkmSt/RFLvq1qmCpsbAbeN5Df7Mzk4vraBQnsEiUphH1g7b2qCjIsoVJfWAe8hxmzzhTug==" saltValue="3ppQ8pXXMey9gETSfPg9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aoEbL9YJ5B6Ds5l3L6G20N8O5fUWukwq9PsNLEkebRKdy/yT+tR5EYvOkCiDrJq+Bfw8UFcW4sypnxcKznjUQ==" saltValue="4/sCN4XLIx0RO9nIR7L0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3nvZlsiL2gVoFd/vqfKFKBJexiH177WimuXY5r3v+EV5UbGgjilVMnAeM1AcGslT5VeXv0jYWE9fmj7ufOlog==" saltValue="Cy/aHEXbK0qh1RxFsz7q0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M81RgNsMKxJjYDuM4Npz8Z0jRhSEIVZZ5hjjNpKIynFr73fakQJagDgxeDyfhk6xgT1QpGePuVYm6TOoPhZSQ==" saltValue="g85MQwhGP3g0kMJ68MVS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4+sSxao+nHPEoMOqG8YyS8kJ5uEM1zIpnCaBxbY5pwijP/8p9TYm0IoG00bk79uz8dDCruDpNJafwM6gvUuCw==" saltValue="KR0dyXSstjC61cMlS9UA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XedBW1wnSw4eDpCw2MXuvW/94AmcjtdLD5wDhq6ua359NIjCJNbxY2WxLuiyZCfSmE9em7BXjbG2FLKMYfEIQ==" saltValue="lhUSvx1qCHynbbIVa8a+x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AZQpuYmZdhAo5qWCq6yQpHC4D2r/Ixer+gQttRS79v7c9DONjp6YhWGhtX8LYVVu371ISu9V+SgYVW4+Xro1g==" saltValue="pMjMzRk7sslMhocTioB8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4VcWYI0TyEBk3ZEUGCkvgH6PnfFYCsP//SQvTbnGh9EYWkX+3XBJvKh3vOZ1G/dRCRkwtH8Dd0N4nsFbO9dow==" saltValue="Co3B78qZ+lwZ3idQzLjb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8fGN5Kb3wFUzH/BpHdPzJGNaXDZBfM969oekZY0pWEUqaUAIEs+sCTXQKvWohp5wgMhcDwdyWHmB1hyHfW7W/A==" saltValue="HYgEFuEc+QyKBZmRR63k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yQNJttgc/7zpkfBLuidRUCY42ocTSuOXxX/G9+WTFi0toOM1kwoi+LxyQTfp0td96LPyvdG7Mx8e2FCoIb/4w==" saltValue="sNfVLwQFhjFNhTZ6/ZEw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q5flPc/KP45y+6Jdga0xisW1XyYQrzTkQyXqP5WwLrXmvBVTfT/DJe8q9GEe4HUJYfT0UIl1IyzVhMNyzEJag==" saltValue="Y0EkRwZtfoeDmsA34ZIY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ykENwgWdHMPX02Mw6UugAwvcD88BTy2QZLZlp7HLr2gCZaeovSdAw5oAqEVpzreHFWlyrQ0sXigaud/grbQdA==" saltValue="q1zlO3AYUJ9MYNVAv+i6b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0.10903997631912343</v>
      </c>
      <c r="G18" s="90">
        <f>MIN(MAX(1-0.89/(1-frac_sam_12_23months+(frac_sam_12_23months*0.89)),0),1)</f>
        <v>0.10869075942175155</v>
      </c>
      <c r="H18" s="90">
        <f>MIN(MAX(1-0.89/(1-frac_sam_24_59months+(frac_sam_24_59months*0.89)),0),1)</f>
        <v>0.10957642016052882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0.10840883073568408</v>
      </c>
      <c r="G20" s="90">
        <f>MIN(MAX(1-0.89/(1-frac_mam_12_23months+(frac_mam_12_23months*0.89)),0),1)</f>
        <v>0.10687646297774844</v>
      </c>
      <c r="H20" s="90">
        <f>MIN(MAX(1-0.89/(1-frac_mam_24_59months+(frac_mam_24_59months*0.89)),0),1)</f>
        <v>0.1085786339804099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9.903014059645221E-3</v>
      </c>
      <c r="G73" s="90">
        <f>MIN(MAX(1-0.99/(1-frac_sam_12_23months+(frac_sam_12_23months*0.99)),0),1)</f>
        <v>9.8677817040976334E-3</v>
      </c>
      <c r="H73" s="90">
        <f>MIN(MAX(1-0.99/(1-frac_sam_24_59months+(frac_sam_24_59months*0.99)),0),1)</f>
        <v>9.957184608405556E-3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9.8393563371721449E-3</v>
      </c>
      <c r="G75" s="90">
        <f>MIN(MAX(1-0.99/(1-frac_mam_12_23months+(frac_mam_12_23months*0.99)),0),1)</f>
        <v>9.6851412744465293E-3</v>
      </c>
      <c r="H75" s="90">
        <f>MIN(MAX(1-0.99/(1-frac_mam_24_59months+(frac_mam_24_59months*0.99)),0),1)</f>
        <v>9.8564747354388249E-3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0.1984296274517332</v>
      </c>
      <c r="G128" s="90">
        <f>MIN(MAX(1-0.8/(1-frac_sam_12_23months+(frac_sam_12_23months*0.8)),0),1)</f>
        <v>0.19785770252328294</v>
      </c>
      <c r="H128" s="90">
        <f>MIN(MAX(1-0.8/(1-frac_sam_24_59months+(frac_sam_24_59months*0.8)),0),1)</f>
        <v>0.19930746501263863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0.19739570959850516</v>
      </c>
      <c r="G130" s="90">
        <f>MIN(MAX(1-0.8/(1-frac_mam_12_23months+(frac_mam_12_23months*0.8)),0),1)</f>
        <v>0.19488043793351406</v>
      </c>
      <c r="H130" s="90">
        <f>MIN(MAX(1-0.8/(1-frac_mam_24_59months+(frac_mam_24_59months*0.8)),0),1)</f>
        <v>0.19767399271881114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Z2ILMhwri+mWdSYefjSnkJ1GhvYpgkhyTM0CBLNkJnx9lz53cjingOz9HlaQnSYOlPCEeC+0Dvg0G6gEtbEwA==" saltValue="HmusMRST+hdyQGC86r6Q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Tvnh2p6DqtfRvDFr6hKqQ42Wplqfb7HUGcnA1wTG9zkXJLarm7ti2twQixifPJxXu3GG77gFwaMyx2/6hRUHQ==" saltValue="YUndRhqoSEfiECRKWQaJj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2024-08-06T08:04:54Z</dcterms:modified>
</cp:coreProperties>
</file>