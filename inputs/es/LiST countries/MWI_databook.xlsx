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F8D0F0CA-C6B9-4998-B0D5-AFBCFE4B8C83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2" i="2" l="1"/>
  <c r="A23" i="2"/>
  <c r="A24" i="2"/>
  <c r="A36" i="2"/>
  <c r="A37" i="2"/>
  <c r="I4" i="2"/>
  <c r="I8" i="2"/>
  <c r="I12" i="2"/>
  <c r="A25" i="2"/>
  <c r="A26" i="2"/>
  <c r="A31" i="2"/>
  <c r="I11" i="2"/>
  <c r="A34" i="2"/>
  <c r="A40" i="2"/>
  <c r="I2" i="2"/>
  <c r="I6" i="2"/>
  <c r="A19" i="2"/>
  <c r="A3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<sst xmlns="http://schemas.openxmlformats.org/spreadsheetml/2006/main" count="2159" uniqueCount="372">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</sst>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3196098</v>
      </c>
    </row>
    <row r="8" spans="1:3" ht="15" customHeight="1" x14ac:dyDescent="0.25">
      <c r="B8" s="5" t="s">
        <v>63</v>
      </c>
      <c r="C8" s="44">
        <v>0.50700000000000001</v>
      </c>
    </row>
    <row r="9" spans="1:3" ht="15" customHeight="1" x14ac:dyDescent="0.25">
      <c r="B9" s="5" t="s">
        <v>62</v>
      </c>
      <c r="C9" s="45">
        <v>0.77</v>
      </c>
    </row>
    <row r="10" spans="1:3" ht="15" customHeight="1" x14ac:dyDescent="0.25">
      <c r="B10" s="5" t="s">
        <v>75</v>
      </c>
      <c r="C10" s="45">
        <v>0.34760960000000002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0.15428596833174099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0.15459999999999999</v>
      </c>
    </row>
    <row r="24" spans="1:3" ht="15" customHeight="1" x14ac:dyDescent="0.25">
      <c r="B24" s="15" t="s">
        <v>65</v>
      </c>
      <c r="C24" s="45">
        <v>0.46519999999999989</v>
      </c>
    </row>
    <row r="25" spans="1:3" ht="15" customHeight="1" x14ac:dyDescent="0.25">
      <c r="B25" s="15" t="s">
        <v>66</v>
      </c>
      <c r="C25" s="45">
        <v>0.30449999999999999</v>
      </c>
    </row>
    <row r="26" spans="1:3" ht="15" customHeight="1" x14ac:dyDescent="0.25">
      <c r="B26" s="15" t="s">
        <v>67</v>
      </c>
      <c r="C26" s="45">
        <v>7.5700000000000003E-2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0.26147459341354901</v>
      </c>
    </row>
    <row r="30" spans="1:3" ht="14.25" customHeight="1" x14ac:dyDescent="0.25">
      <c r="B30" s="25" t="s">
        <v>82</v>
      </c>
      <c r="C30" s="99">
        <v>3.1847694141973401E-2</v>
      </c>
    </row>
    <row r="31" spans="1:3" ht="14.25" customHeight="1" x14ac:dyDescent="0.25">
      <c r="B31" s="25" t="s">
        <v>29</v>
      </c>
      <c r="C31" s="99">
        <v>5.2301559488866299E-2</v>
      </c>
    </row>
    <row r="32" spans="1:3" ht="14.25" customHeight="1" x14ac:dyDescent="0.25">
      <c r="B32" s="25" t="s">
        <v>30</v>
      </c>
      <c r="C32" s="99">
        <v>0.65437615295561202</v>
      </c>
    </row>
    <row r="33" spans="1:5" ht="13.25" customHeight="1" x14ac:dyDescent="0.25">
      <c r="B33" s="27" t="s">
        <v>79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19.29918</v>
      </c>
    </row>
    <row r="38" spans="1:5" ht="15" customHeight="1" x14ac:dyDescent="0.25">
      <c r="B38" s="11" t="s">
        <v>54</v>
      </c>
      <c r="C38" s="43">
        <v>31.23901</v>
      </c>
      <c r="D38" s="12"/>
      <c r="E38" s="13"/>
    </row>
    <row r="39" spans="1:5" ht="15" customHeight="1" x14ac:dyDescent="0.25">
      <c r="B39" s="11" t="s">
        <v>80</v>
      </c>
      <c r="C39" s="43">
        <v>41.899279999999997</v>
      </c>
      <c r="D39" s="12"/>
      <c r="E39" s="12"/>
    </row>
    <row r="40" spans="1:5" ht="15" customHeight="1" x14ac:dyDescent="0.25">
      <c r="B40" s="11" t="s">
        <v>55</v>
      </c>
      <c r="C40" s="100">
        <v>3.81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16.057500000000001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1.25431E-2</v>
      </c>
      <c r="D45" s="12"/>
    </row>
    <row r="46" spans="1:5" ht="15.75" customHeight="1" x14ac:dyDescent="0.25">
      <c r="B46" s="11" t="s">
        <v>70</v>
      </c>
      <c r="C46" s="45">
        <v>0.1325692</v>
      </c>
      <c r="D46" s="12"/>
    </row>
    <row r="47" spans="1:5" ht="15.75" customHeight="1" x14ac:dyDescent="0.25">
      <c r="B47" s="11" t="s">
        <v>78</v>
      </c>
      <c r="C47" s="45">
        <v>0.15164759999999999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3.302</v>
      </c>
      <c r="D51" s="12"/>
    </row>
    <row r="52" spans="1:4" ht="15" customHeight="1" x14ac:dyDescent="0.25">
      <c r="B52" s="11" t="s">
        <v>32</v>
      </c>
      <c r="C52" s="100">
        <v>3.302</v>
      </c>
    </row>
    <row r="53" spans="1:4" ht="15.75" customHeight="1" x14ac:dyDescent="0.25">
      <c r="B53" s="11" t="s">
        <v>35</v>
      </c>
      <c r="C53" s="100">
        <v>10.738</v>
      </c>
    </row>
    <row r="54" spans="1:4" ht="15.75" customHeight="1" x14ac:dyDescent="0.25">
      <c r="B54" s="11" t="s">
        <v>33</v>
      </c>
      <c r="C54" s="100">
        <v>9.6460000000000008</v>
      </c>
    </row>
    <row r="55" spans="1:4" ht="15.75" customHeight="1" x14ac:dyDescent="0.25">
      <c r="B55" s="11" t="s">
        <v>34</v>
      </c>
      <c r="C55" s="100">
        <v>3.8566666666666669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0.49510700000000002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0.1557640226</v>
      </c>
    </row>
    <row r="63" spans="1:4" ht="15.75" customHeight="1" x14ac:dyDescent="0.3">
      <c r="A63" s="4"/>
    </row>
  </sheetData>
  <sheetProtection algorithmName="SHA-512" hashValue="yyXdwSxbjPDp37VVCupCG/f0cSNh1nnq4vRQ3lIQ6+kS4yq3WYg/XqaBayX4hza3fF/bcOIULvbe1SECMF8Ndg==" saltValue="g8w5b395M3qpqoXiQAaXO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3180496.5</v>
      </c>
      <c r="C2" s="49">
        <v>754660</v>
      </c>
      <c r="D2" s="49">
        <v>1446816</v>
      </c>
      <c r="E2" s="49">
        <v>2702461.0000000005</v>
      </c>
      <c r="F2" s="49">
        <v>2020431.5000000002</v>
      </c>
      <c r="G2" s="17">
        <f t="shared" ref="G2:G13" si="0">C2+D2+E2+F2</f>
        <v>6924368.5</v>
      </c>
      <c r="H2" s="17">
        <f t="shared" ref="H2:H13" si="1">(B2 + stillbirth*B2/(1000-stillbirth))/(1-abortion)</f>
        <v>3673182.6993770655</v>
      </c>
      <c r="I2" s="17">
        <f t="shared" ref="I2:I13" si="2">G2-H2</f>
        <v>3251185.8006229345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674407</v>
      </c>
      <c r="C3" s="50">
        <v>1296125</v>
      </c>
      <c r="D3" s="50">
        <v>1970603.9999999998</v>
      </c>
      <c r="E3" s="50">
        <v>1469991.5</v>
      </c>
      <c r="F3" s="50">
        <v>938961.5</v>
      </c>
      <c r="G3" s="17">
        <f t="shared" si="0"/>
        <v>5675682</v>
      </c>
      <c r="H3" s="17">
        <f t="shared" si="1"/>
        <v>778878.43132001196</v>
      </c>
      <c r="I3" s="17">
        <f t="shared" si="2"/>
        <v>4896803.5686799884</v>
      </c>
    </row>
    <row r="4" spans="1:9" ht="15.75" customHeight="1" x14ac:dyDescent="0.25">
      <c r="A4" s="5">
        <f t="shared" si="3"/>
        <v>2026</v>
      </c>
      <c r="B4" s="49">
        <v>685330</v>
      </c>
      <c r="C4" s="50">
        <v>1328409</v>
      </c>
      <c r="D4" s="50">
        <v>2040112.5</v>
      </c>
      <c r="E4" s="50">
        <v>1506616.5</v>
      </c>
      <c r="F4" s="50">
        <v>1002122</v>
      </c>
      <c r="G4" s="17">
        <f t="shared" si="0"/>
        <v>5877260</v>
      </c>
      <c r="H4" s="17">
        <f t="shared" si="1"/>
        <v>791493.49774919869</v>
      </c>
      <c r="I4" s="17">
        <f t="shared" si="2"/>
        <v>5085766.5022508018</v>
      </c>
    </row>
    <row r="5" spans="1:9" ht="15.75" customHeight="1" x14ac:dyDescent="0.25">
      <c r="A5" s="5">
        <f t="shared" si="3"/>
        <v>2027</v>
      </c>
      <c r="B5" s="49">
        <v>692256</v>
      </c>
      <c r="C5" s="50">
        <v>1353865</v>
      </c>
      <c r="D5" s="50">
        <v>2114912.5</v>
      </c>
      <c r="E5" s="50">
        <v>1543896.4999999998</v>
      </c>
      <c r="F5" s="50">
        <v>1064118.5</v>
      </c>
      <c r="G5" s="17">
        <f t="shared" si="0"/>
        <v>6076792.5</v>
      </c>
      <c r="H5" s="17">
        <f t="shared" si="1"/>
        <v>799492.3945805222</v>
      </c>
      <c r="I5" s="17">
        <f t="shared" si="2"/>
        <v>5277300.1054194774</v>
      </c>
    </row>
    <row r="6" spans="1:9" ht="15.75" customHeight="1" x14ac:dyDescent="0.25">
      <c r="A6" s="5">
        <f t="shared" si="3"/>
        <v>2028</v>
      </c>
      <c r="B6" s="49">
        <v>702654</v>
      </c>
      <c r="C6" s="50">
        <v>1373368.5</v>
      </c>
      <c r="D6" s="50">
        <v>2193092</v>
      </c>
      <c r="E6" s="50">
        <v>1583653</v>
      </c>
      <c r="F6" s="50">
        <v>1123715.5</v>
      </c>
      <c r="G6" s="17">
        <f t="shared" si="0"/>
        <v>6273829</v>
      </c>
      <c r="H6" s="17">
        <f t="shared" si="1"/>
        <v>811501.13400473562</v>
      </c>
      <c r="I6" s="17">
        <f t="shared" si="2"/>
        <v>5462327.8659952646</v>
      </c>
    </row>
    <row r="7" spans="1:9" ht="15.75" customHeight="1" x14ac:dyDescent="0.25">
      <c r="A7" s="5">
        <f t="shared" si="3"/>
        <v>2029</v>
      </c>
      <c r="B7" s="49">
        <v>711469</v>
      </c>
      <c r="C7" s="50">
        <v>1388467</v>
      </c>
      <c r="D7" s="50">
        <v>2270844</v>
      </c>
      <c r="E7" s="50">
        <v>1625936.0000000002</v>
      </c>
      <c r="F7" s="50">
        <v>1180598.5</v>
      </c>
      <c r="G7" s="17">
        <f t="shared" si="0"/>
        <v>6465845.5</v>
      </c>
      <c r="H7" s="17">
        <f t="shared" si="1"/>
        <v>821681.65314538195</v>
      </c>
      <c r="I7" s="17">
        <f t="shared" si="2"/>
        <v>5644163.8468546178</v>
      </c>
    </row>
    <row r="8" spans="1:9" ht="15.75" customHeight="1" x14ac:dyDescent="0.25">
      <c r="A8" s="5">
        <f t="shared" si="3"/>
        <v>2030</v>
      </c>
      <c r="B8" s="49">
        <v>722033</v>
      </c>
      <c r="C8" s="50">
        <v>1399922</v>
      </c>
      <c r="D8" s="50">
        <v>2347211.5</v>
      </c>
      <c r="E8" s="50">
        <v>1671626.4999999998</v>
      </c>
      <c r="F8" s="50">
        <v>1233290.5</v>
      </c>
      <c r="G8" s="17">
        <f t="shared" si="0"/>
        <v>6652050.5</v>
      </c>
      <c r="H8" s="17">
        <f t="shared" si="1"/>
        <v>833882.10739402496</v>
      </c>
      <c r="I8" s="17">
        <f t="shared" si="2"/>
        <v>5818168.3926059753</v>
      </c>
    </row>
    <row r="9" spans="1:9" ht="15.75" customHeight="1" x14ac:dyDescent="0.25">
      <c r="A9" s="5">
        <f t="shared" si="3"/>
        <v>2031</v>
      </c>
      <c r="B9" s="49">
        <v>727191</v>
      </c>
      <c r="C9" s="50">
        <v>1407441</v>
      </c>
      <c r="D9" s="50">
        <v>2421434</v>
      </c>
      <c r="E9" s="50">
        <v>1720760.4999999998</v>
      </c>
      <c r="F9" s="50">
        <v>1280025.9999999998</v>
      </c>
      <c r="G9" s="17">
        <f t="shared" si="0"/>
        <v>6829661.5</v>
      </c>
      <c r="H9" s="17">
        <f t="shared" si="1"/>
        <v>839839.12585431465</v>
      </c>
      <c r="I9" s="17">
        <f t="shared" si="2"/>
        <v>5989822.3741456857</v>
      </c>
    </row>
    <row r="10" spans="1:9" ht="15.75" customHeight="1" x14ac:dyDescent="0.25">
      <c r="A10" s="5">
        <f t="shared" si="3"/>
        <v>2032</v>
      </c>
      <c r="B10" s="49">
        <v>733783</v>
      </c>
      <c r="C10" s="50">
        <v>1411597</v>
      </c>
      <c r="D10" s="50">
        <v>2490941.5</v>
      </c>
      <c r="E10" s="50">
        <v>1771908</v>
      </c>
      <c r="F10" s="50">
        <v>1321773.0000000002</v>
      </c>
      <c r="G10" s="17">
        <f t="shared" si="0"/>
        <v>6996219.5</v>
      </c>
      <c r="H10" s="17">
        <f t="shared" si="1"/>
        <v>847452.28321961709</v>
      </c>
      <c r="I10" s="17">
        <f t="shared" si="2"/>
        <v>6148767.2167803831</v>
      </c>
    </row>
    <row r="11" spans="1:9" ht="15.75" customHeight="1" x14ac:dyDescent="0.25">
      <c r="A11" s="5">
        <f t="shared" si="3"/>
        <v>2033</v>
      </c>
      <c r="B11" s="49">
        <v>739362</v>
      </c>
      <c r="C11" s="50">
        <v>1415414.5</v>
      </c>
      <c r="D11" s="50">
        <v>2554418</v>
      </c>
      <c r="E11" s="50">
        <v>1826199.5000000002</v>
      </c>
      <c r="F11" s="50">
        <v>1360366</v>
      </c>
      <c r="G11" s="17">
        <f t="shared" si="0"/>
        <v>7156398</v>
      </c>
      <c r="H11" s="17">
        <f t="shared" si="1"/>
        <v>853895.51819246646</v>
      </c>
      <c r="I11" s="17">
        <f t="shared" si="2"/>
        <v>6302502.4818075337</v>
      </c>
    </row>
    <row r="12" spans="1:9" ht="15.75" customHeight="1" x14ac:dyDescent="0.25">
      <c r="A12" s="5">
        <f t="shared" si="3"/>
        <v>2034</v>
      </c>
      <c r="B12" s="49">
        <v>745029</v>
      </c>
      <c r="C12" s="50">
        <v>1421385</v>
      </c>
      <c r="D12" s="50">
        <v>2612433.5</v>
      </c>
      <c r="E12" s="50">
        <v>1885400.5</v>
      </c>
      <c r="F12" s="50">
        <v>1397688.5</v>
      </c>
      <c r="G12" s="17">
        <f t="shared" si="0"/>
        <v>7316907.5</v>
      </c>
      <c r="H12" s="17">
        <f t="shared" si="1"/>
        <v>860440.38512043504</v>
      </c>
      <c r="I12" s="17">
        <f t="shared" si="2"/>
        <v>6456467.1148795653</v>
      </c>
    </row>
    <row r="13" spans="1:9" ht="15.75" customHeight="1" x14ac:dyDescent="0.25">
      <c r="A13" s="5">
        <f t="shared" si="3"/>
        <v>2035</v>
      </c>
      <c r="B13" s="49">
        <v>750207</v>
      </c>
      <c r="C13" s="50">
        <v>1431135.5</v>
      </c>
      <c r="D13" s="50">
        <v>2662721</v>
      </c>
      <c r="E13" s="50">
        <v>1950141.9999999998</v>
      </c>
      <c r="F13" s="50">
        <v>1434725.5</v>
      </c>
      <c r="G13" s="17">
        <f t="shared" si="0"/>
        <v>7478724</v>
      </c>
      <c r="H13" s="17">
        <f t="shared" si="1"/>
        <v>866420.50175234268</v>
      </c>
      <c r="I13" s="17">
        <f t="shared" si="2"/>
        <v>6612303.498247657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vziPyuw1MAF/ecuVWwhuUp2ldxYDnIxh6al/sd9d70lG1p0FkeMjqQ9GgjVx76nx69zlKo6V1dUPl+0yLa1a3A==" saltValue="e3MU9Va/95TLneTqyQrv+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1.277209872279011E-2</v>
      </c>
    </row>
    <row r="4" spans="1:8" ht="15.75" customHeight="1" x14ac:dyDescent="0.25">
      <c r="B4" s="19" t="s">
        <v>116</v>
      </c>
      <c r="C4" s="101">
        <v>5.3933894606610487E-2</v>
      </c>
    </row>
    <row r="5" spans="1:8" ht="15.75" customHeight="1" x14ac:dyDescent="0.25">
      <c r="B5" s="19" t="s">
        <v>114</v>
      </c>
      <c r="C5" s="101">
        <v>7.7123692287630718E-2</v>
      </c>
    </row>
    <row r="6" spans="1:8" ht="15.75" customHeight="1" x14ac:dyDescent="0.25">
      <c r="B6" s="19" t="s">
        <v>110</v>
      </c>
      <c r="C6" s="101">
        <v>0.244385075561493</v>
      </c>
    </row>
    <row r="7" spans="1:8" ht="15.75" customHeight="1" x14ac:dyDescent="0.25">
      <c r="B7" s="19" t="s">
        <v>115</v>
      </c>
      <c r="C7" s="101">
        <v>0.41540115845988412</v>
      </c>
    </row>
    <row r="8" spans="1:8" ht="15.75" customHeight="1" x14ac:dyDescent="0.25">
      <c r="B8" s="19" t="s">
        <v>117</v>
      </c>
      <c r="C8" s="101">
        <v>1.690199830980013E-3</v>
      </c>
    </row>
    <row r="9" spans="1:8" ht="15.75" customHeight="1" x14ac:dyDescent="0.25">
      <c r="B9" s="19" t="s">
        <v>111</v>
      </c>
      <c r="C9" s="101">
        <v>8.066139193386071E-2</v>
      </c>
    </row>
    <row r="10" spans="1:8" ht="15.75" customHeight="1" x14ac:dyDescent="0.25">
      <c r="B10" s="19" t="s">
        <v>113</v>
      </c>
      <c r="C10" s="101">
        <v>0.1140324885967509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0.14292939282537201</v>
      </c>
      <c r="D14" s="55">
        <v>0.14292939282537201</v>
      </c>
      <c r="E14" s="55">
        <v>0.14292939282537201</v>
      </c>
      <c r="F14" s="55">
        <v>0.14292939282537201</v>
      </c>
    </row>
    <row r="15" spans="1:8" ht="15.75" customHeight="1" x14ac:dyDescent="0.25">
      <c r="B15" s="19" t="s">
        <v>121</v>
      </c>
      <c r="C15" s="101">
        <v>0.20191777974539041</v>
      </c>
      <c r="D15" s="101">
        <v>0.20191777974539041</v>
      </c>
      <c r="E15" s="101">
        <v>0.20191777974539041</v>
      </c>
      <c r="F15" s="101">
        <v>0.20191777974539041</v>
      </c>
    </row>
    <row r="16" spans="1:8" ht="15.75" customHeight="1" x14ac:dyDescent="0.25">
      <c r="B16" s="19" t="s">
        <v>2</v>
      </c>
      <c r="C16" s="101">
        <v>2.0552870920946771E-2</v>
      </c>
      <c r="D16" s="101">
        <v>2.0552870920946771E-2</v>
      </c>
      <c r="E16" s="101">
        <v>2.0552870920946771E-2</v>
      </c>
      <c r="F16" s="101">
        <v>2.0552870920946771E-2</v>
      </c>
    </row>
    <row r="17" spans="1:8" ht="15.75" customHeight="1" x14ac:dyDescent="0.25">
      <c r="B17" s="19" t="s">
        <v>109</v>
      </c>
      <c r="C17" s="101">
        <v>3.5305723411494921E-4</v>
      </c>
      <c r="D17" s="101">
        <v>3.5305723411494921E-4</v>
      </c>
      <c r="E17" s="101">
        <v>3.5305723411494921E-4</v>
      </c>
      <c r="F17" s="101">
        <v>3.5305723411494921E-4</v>
      </c>
    </row>
    <row r="18" spans="1:8" ht="15.75" customHeight="1" x14ac:dyDescent="0.25">
      <c r="B18" s="19" t="s">
        <v>3</v>
      </c>
      <c r="C18" s="101">
        <v>0.1866708259468263</v>
      </c>
      <c r="D18" s="101">
        <v>0.1866708259468263</v>
      </c>
      <c r="E18" s="101">
        <v>0.1866708259468263</v>
      </c>
      <c r="F18" s="101">
        <v>0.1866708259468263</v>
      </c>
    </row>
    <row r="19" spans="1:8" ht="15.75" customHeight="1" x14ac:dyDescent="0.25">
      <c r="B19" s="19" t="s">
        <v>120</v>
      </c>
      <c r="C19" s="101">
        <v>1.9600096966901188E-2</v>
      </c>
      <c r="D19" s="101">
        <v>1.9600096966901188E-2</v>
      </c>
      <c r="E19" s="101">
        <v>1.9600096966901188E-2</v>
      </c>
      <c r="F19" s="101">
        <v>1.9600096966901188E-2</v>
      </c>
    </row>
    <row r="20" spans="1:8" ht="15.75" customHeight="1" x14ac:dyDescent="0.25">
      <c r="B20" s="19" t="s">
        <v>98</v>
      </c>
      <c r="C20" s="101">
        <v>0.14215586047956941</v>
      </c>
      <c r="D20" s="101">
        <v>0.14215586047956941</v>
      </c>
      <c r="E20" s="101">
        <v>0.14215586047956941</v>
      </c>
      <c r="F20" s="101">
        <v>0.14215586047956941</v>
      </c>
    </row>
    <row r="21" spans="1:8" ht="15.75" customHeight="1" x14ac:dyDescent="0.25">
      <c r="B21" s="19" t="s">
        <v>107</v>
      </c>
      <c r="C21" s="101">
        <v>0.11798716773771729</v>
      </c>
      <c r="D21" s="101">
        <v>0.11798716773771729</v>
      </c>
      <c r="E21" s="101">
        <v>0.11798716773771729</v>
      </c>
      <c r="F21" s="101">
        <v>0.11798716773771729</v>
      </c>
    </row>
    <row r="22" spans="1:8" ht="15.75" customHeight="1" x14ac:dyDescent="0.25">
      <c r="B22" s="19" t="s">
        <v>118</v>
      </c>
      <c r="C22" s="101">
        <v>0.1678329481431616</v>
      </c>
      <c r="D22" s="101">
        <v>0.1678329481431616</v>
      </c>
      <c r="E22" s="101">
        <v>0.1678329481431616</v>
      </c>
      <c r="F22" s="101">
        <v>0.1678329481431616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8.1884283999999988E-2</v>
      </c>
    </row>
    <row r="27" spans="1:8" ht="15.75" customHeight="1" x14ac:dyDescent="0.25">
      <c r="B27" s="19" t="s">
        <v>108</v>
      </c>
      <c r="C27" s="101">
        <v>8.1848189999999994E-3</v>
      </c>
    </row>
    <row r="28" spans="1:8" ht="15.75" customHeight="1" x14ac:dyDescent="0.25">
      <c r="B28" s="19" t="s">
        <v>122</v>
      </c>
      <c r="C28" s="101">
        <v>0.14548327699999999</v>
      </c>
    </row>
    <row r="29" spans="1:8" ht="15.75" customHeight="1" x14ac:dyDescent="0.25">
      <c r="B29" s="19" t="s">
        <v>105</v>
      </c>
      <c r="C29" s="101">
        <v>0.157612682</v>
      </c>
    </row>
    <row r="30" spans="1:8" ht="15.75" customHeight="1" x14ac:dyDescent="0.25">
      <c r="B30" s="19" t="s">
        <v>4</v>
      </c>
      <c r="C30" s="101">
        <v>9.9204118000000008E-2</v>
      </c>
    </row>
    <row r="31" spans="1:8" ht="15.75" customHeight="1" x14ac:dyDescent="0.25">
      <c r="B31" s="19" t="s">
        <v>99</v>
      </c>
      <c r="C31" s="101">
        <v>0.10218857200000001</v>
      </c>
    </row>
    <row r="32" spans="1:8" ht="15.75" customHeight="1" x14ac:dyDescent="0.25">
      <c r="B32" s="19" t="s">
        <v>104</v>
      </c>
      <c r="C32" s="101">
        <v>1.7390224999999999E-2</v>
      </c>
    </row>
    <row r="33" spans="2:3" ht="15.75" customHeight="1" x14ac:dyDescent="0.25">
      <c r="B33" s="19" t="s">
        <v>119</v>
      </c>
      <c r="C33" s="101">
        <v>7.9143570999999996E-2</v>
      </c>
    </row>
    <row r="34" spans="2:3" ht="15.75" customHeight="1" x14ac:dyDescent="0.25">
      <c r="B34" s="19" t="s">
        <v>106</v>
      </c>
      <c r="C34" s="101">
        <v>0.308908452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1RdnT8EHBU6bb0GmW3P9QT2tK+bQSm2cnIviPXwRE6junnnoPexyWvHlLWUaVcfBv02nUkxHyDUH8RMFgFxM/w==" saltValue="1g6/OTNycOdTz0V+wr+nr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0.47053396362197208</v>
      </c>
      <c r="D2" s="52">
        <f>IFERROR(1-_xlfn.NORM.DIST(_xlfn.NORM.INV(SUM(D4:D5), 0, 1) + 1, 0, 1, TRUE), "")</f>
        <v>0.47053396362197208</v>
      </c>
      <c r="E2" s="52">
        <f>IFERROR(1-_xlfn.NORM.DIST(_xlfn.NORM.INV(SUM(E4:E5), 0, 1) + 1, 0, 1, TRUE), "")</f>
        <v>0.36504155382821768</v>
      </c>
      <c r="F2" s="52">
        <f>IFERROR(1-_xlfn.NORM.DIST(_xlfn.NORM.INV(SUM(F4:F5), 0, 1) + 1, 0, 1, TRUE), "")</f>
        <v>0.22905493639763708</v>
      </c>
      <c r="G2" s="52">
        <f>IFERROR(1-_xlfn.NORM.DIST(_xlfn.NORM.INV(SUM(G4:G5), 0, 1) + 1, 0, 1, TRUE), "")</f>
        <v>0.24027768434414187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0.35226183637802794</v>
      </c>
      <c r="D3" s="52">
        <f>IFERROR(_xlfn.NORM.DIST(_xlfn.NORM.INV(SUM(D4:D5), 0, 1) + 1, 0, 1, TRUE) - SUM(D4:D5), "")</f>
        <v>0.35226183637802794</v>
      </c>
      <c r="E3" s="52">
        <f>IFERROR(_xlfn.NORM.DIST(_xlfn.NORM.INV(SUM(E4:E5), 0, 1) + 1, 0, 1, TRUE) - SUM(E4:E5), "")</f>
        <v>0.37871974617178233</v>
      </c>
      <c r="F3" s="52">
        <f>IFERROR(_xlfn.NORM.DIST(_xlfn.NORM.INV(SUM(F4:F5), 0, 1) + 1, 0, 1, TRUE) - SUM(F4:F5), "")</f>
        <v>0.37275596360236291</v>
      </c>
      <c r="G3" s="52">
        <f>IFERROR(_xlfn.NORM.DIST(_xlfn.NORM.INV(SUM(G4:G5), 0, 1) + 1, 0, 1, TRUE) - SUM(G4:G5), "")</f>
        <v>0.37556891565585815</v>
      </c>
    </row>
    <row r="4" spans="1:15" ht="15.75" customHeight="1" x14ac:dyDescent="0.25">
      <c r="B4" s="5" t="s">
        <v>129</v>
      </c>
      <c r="C4" s="45">
        <v>0.110902</v>
      </c>
      <c r="D4" s="53">
        <v>0.110902</v>
      </c>
      <c r="E4" s="53">
        <v>0.17671709999999999</v>
      </c>
      <c r="F4" s="53">
        <v>0.2653684</v>
      </c>
      <c r="G4" s="53">
        <v>0.24860260000000001</v>
      </c>
    </row>
    <row r="5" spans="1:15" ht="15.75" customHeight="1" x14ac:dyDescent="0.25">
      <c r="B5" s="5" t="s">
        <v>125</v>
      </c>
      <c r="C5" s="45">
        <v>6.6302199999999992E-2</v>
      </c>
      <c r="D5" s="53">
        <v>6.6302199999999992E-2</v>
      </c>
      <c r="E5" s="53">
        <v>7.9521599999999998E-2</v>
      </c>
      <c r="F5" s="53">
        <v>0.13282070000000001</v>
      </c>
      <c r="G5" s="53">
        <v>0.1355508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0.83156927438040795</v>
      </c>
      <c r="D8" s="52">
        <f>IFERROR(1-_xlfn.NORM.DIST(_xlfn.NORM.INV(SUM(D10:D11), 0, 1) + 1, 0, 1, TRUE), "")</f>
        <v>0.83156927438040795</v>
      </c>
      <c r="E8" s="52">
        <f>IFERROR(1-_xlfn.NORM.DIST(_xlfn.NORM.INV(SUM(E10:E11), 0, 1) + 1, 0, 1, TRUE), "")</f>
        <v>0.82711078112206526</v>
      </c>
      <c r="F8" s="52">
        <f>IFERROR(1-_xlfn.NORM.DIST(_xlfn.NORM.INV(SUM(F10:F11), 0, 1) + 1, 0, 1, TRUE), "")</f>
        <v>0.7561101925708329</v>
      </c>
      <c r="G8" s="52">
        <f>IFERROR(1-_xlfn.NORM.DIST(_xlfn.NORM.INV(SUM(G10:G11), 0, 1) + 1, 0, 1, TRUE), "")</f>
        <v>0.85965121664560873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0.14345532561959207</v>
      </c>
      <c r="D9" s="52">
        <f>IFERROR(_xlfn.NORM.DIST(_xlfn.NORM.INV(SUM(D10:D11), 0, 1) + 1, 0, 1, TRUE) - SUM(D10:D11), "")</f>
        <v>0.14345532561959207</v>
      </c>
      <c r="E9" s="52">
        <f>IFERROR(_xlfn.NORM.DIST(_xlfn.NORM.INV(SUM(E10:E11), 0, 1) + 1, 0, 1, TRUE) - SUM(E10:E11), "")</f>
        <v>0.14686961887793468</v>
      </c>
      <c r="F9" s="52">
        <f>IFERROR(_xlfn.NORM.DIST(_xlfn.NORM.INV(SUM(F10:F11), 0, 1) + 1, 0, 1, TRUE) - SUM(F10:F11), "")</f>
        <v>0.1987424074291671</v>
      </c>
      <c r="G9" s="52">
        <f>IFERROR(_xlfn.NORM.DIST(_xlfn.NORM.INV(SUM(G10:G11), 0, 1) + 1, 0, 1, TRUE) - SUM(G10:G11), "")</f>
        <v>0.1215287833543913</v>
      </c>
    </row>
    <row r="10" spans="1:15" ht="15.75" customHeight="1" x14ac:dyDescent="0.25">
      <c r="B10" s="5" t="s">
        <v>126</v>
      </c>
      <c r="C10" s="45">
        <v>1.49833E-2</v>
      </c>
      <c r="D10" s="53">
        <v>1.49833E-2</v>
      </c>
      <c r="E10" s="53">
        <v>1.6223999999999999E-2</v>
      </c>
      <c r="F10" s="53">
        <v>3.1793799999999997E-2</v>
      </c>
      <c r="G10" s="53">
        <v>1.44954E-2</v>
      </c>
    </row>
    <row r="11" spans="1:15" ht="15.75" customHeight="1" x14ac:dyDescent="0.25">
      <c r="B11" s="5" t="s">
        <v>138</v>
      </c>
      <c r="C11" s="45">
        <v>9.9921000000000003E-3</v>
      </c>
      <c r="D11" s="53">
        <v>9.9921000000000003E-3</v>
      </c>
      <c r="E11" s="53">
        <v>9.7955999999999998E-3</v>
      </c>
      <c r="F11" s="53">
        <v>1.33536E-2</v>
      </c>
      <c r="G11" s="53">
        <v>4.3245999999999996E-3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0.92287291025000007</v>
      </c>
      <c r="D14" s="54">
        <v>0.92046457879800003</v>
      </c>
      <c r="E14" s="54">
        <v>0.92046457879800003</v>
      </c>
      <c r="F14" s="54">
        <v>0.65915158875500002</v>
      </c>
      <c r="G14" s="54">
        <v>0.65915158875500002</v>
      </c>
      <c r="H14" s="45">
        <v>0.41799999999999998</v>
      </c>
      <c r="I14" s="55">
        <v>0.41799999999999998</v>
      </c>
      <c r="J14" s="55">
        <v>0.41799999999999998</v>
      </c>
      <c r="K14" s="55">
        <v>0.41799999999999998</v>
      </c>
      <c r="L14" s="45">
        <v>0.33600000000000002</v>
      </c>
      <c r="M14" s="55">
        <v>0.33600000000000002</v>
      </c>
      <c r="N14" s="55">
        <v>0.33600000000000002</v>
      </c>
      <c r="O14" s="55">
        <v>0.33600000000000002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0.45692083797514682</v>
      </c>
      <c r="D15" s="52">
        <f t="shared" si="0"/>
        <v>0.4557284562149414</v>
      </c>
      <c r="E15" s="52">
        <f t="shared" si="0"/>
        <v>0.4557284562149414</v>
      </c>
      <c r="F15" s="52">
        <f t="shared" si="0"/>
        <v>0.32635056565372178</v>
      </c>
      <c r="G15" s="52">
        <f t="shared" si="0"/>
        <v>0.32635056565372178</v>
      </c>
      <c r="H15" s="52">
        <f t="shared" si="0"/>
        <v>0.20695472600000001</v>
      </c>
      <c r="I15" s="52">
        <f t="shared" si="0"/>
        <v>0.20695472600000001</v>
      </c>
      <c r="J15" s="52">
        <f t="shared" si="0"/>
        <v>0.20695472600000001</v>
      </c>
      <c r="K15" s="52">
        <f t="shared" si="0"/>
        <v>0.20695472600000001</v>
      </c>
      <c r="L15" s="52">
        <f t="shared" si="0"/>
        <v>0.16635595200000003</v>
      </c>
      <c r="M15" s="52">
        <f t="shared" si="0"/>
        <v>0.16635595200000003</v>
      </c>
      <c r="N15" s="52">
        <f t="shared" si="0"/>
        <v>0.16635595200000003</v>
      </c>
      <c r="O15" s="52">
        <f t="shared" si="0"/>
        <v>0.16635595200000003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4rL0mDeqW0/2Wf86uEXz9E6uovzIohK0BYg3Wor8gcT0e5wd/4eIdnMybMMIJBaF77rYe7GtUmzKKAyuqb9KYA==" saltValue="D29dney33L/3PeV5ZBC8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0.80309089999999994</v>
      </c>
      <c r="D2" s="53">
        <v>0.56868370000000001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4.8141000000000003E-2</v>
      </c>
      <c r="D3" s="53">
        <v>0.13101789999999999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5.8573399999999998E-2</v>
      </c>
      <c r="D4" s="53">
        <v>0.23337350000000001</v>
      </c>
      <c r="E4" s="53">
        <v>0.97636279999999998</v>
      </c>
      <c r="F4" s="53">
        <v>0.83200169999999996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9.0194700000000072E-2</v>
      </c>
      <c r="D5" s="52">
        <f t="shared" si="0"/>
        <v>6.6924899999999954E-2</v>
      </c>
      <c r="E5" s="52">
        <f>1-SUM(E2:E4)</f>
        <v>2.3637200000000025E-2</v>
      </c>
      <c r="F5" s="52">
        <f>1-SUM(F2:F4)</f>
        <v>0.16799830000000004</v>
      </c>
      <c r="G5" s="52">
        <f>1-SUM(G2:G4)</f>
        <v>1</v>
      </c>
    </row>
  </sheetData>
  <sheetProtection algorithmName="SHA-512" hashValue="0GKdW8+VK61QSD0w3PUf3u3N4XsI6+TWsowqIiuRLEHIt9xzySnUc3XpRzP7qdsX5WEHcpkbeLde2tpuqA3I2w==" saltValue="CDpANKej6cE3oyBHRnzIw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Ttg0N/AWaK4cBqFjoaok6GCvyZK4XnQmz/2nYZRJnWPQ3Jz6C1yj4xfPC6wjiZ+UZ9AOdV8ac3ZnqLgoaWWE2g==" saltValue="/JOL5hQaTVdKSSNQkAiQv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645.15869206718503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0.36218000000000006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0.64637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1.8114737089979873E-2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95733.041259999998</v>
      </c>
      <c r="C22" s="109">
        <v>95005.777730000002</v>
      </c>
      <c r="D22" s="109">
        <v>94570.734070000006</v>
      </c>
      <c r="E22" s="109">
        <v>93950.255850000001</v>
      </c>
      <c r="F22" s="109">
        <v>93054.00606</v>
      </c>
      <c r="G22" s="109">
        <v>91942.383979999999</v>
      </c>
      <c r="H22" s="109">
        <v>90416.110249999998</v>
      </c>
      <c r="I22" s="109">
        <v>88298.584759999998</v>
      </c>
      <c r="J22" s="109">
        <v>85342.315889999998</v>
      </c>
      <c r="K22" s="109">
        <v>81523.667360000007</v>
      </c>
      <c r="L22" s="109">
        <v>76467.642040000006</v>
      </c>
      <c r="M22" s="109">
        <v>70317.297659999997</v>
      </c>
      <c r="N22" s="109">
        <v>62424.73487</v>
      </c>
      <c r="O22" s="109">
        <v>52726.155250000003</v>
      </c>
    </row>
  </sheetData>
  <sheetProtection algorithmName="SHA-512" hashValue="2PoRD8mxhHjQgPN42MQdmXTy2zZQtynvekc6ABCGUMjotkSdMcj96TZNaTYkCplswhW+pUK/JdTEQ/DxmvFNzA==" saltValue="dChqimXbPK0R67q+ncFlp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0zJdxJkmPd8Ja5jS4ufJlOSDNtq8aUsTOxHcHnWkza6L6U3VPeV7McqakzrxFeSc7nY00MUJeHeaRT5BqGby+Q==" saltValue="RYWZcvhmRu8t9sZcbOQYR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94+4YU+A3fQw0Mw5dTtMutocGVGhFZ47GJ7l7ct89bMRXsV9VtcNjFAb3n2rdOiXIdZ07HYX+mzXEz5nzZb7/Q==" saltValue="EWkYNjUE+nNghea5uLupb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6.8747382117628364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2.1291837256908908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0.10284547803181469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0.22197642864885933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0.33427040000000002</v>
      </c>
      <c r="C10" s="98">
        <v>0.95</v>
      </c>
      <c r="D10" s="56">
        <v>14.13040526178168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14.13040526178168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14.13040526178168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14.13040526178168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0.36680000000000001</v>
      </c>
      <c r="C14" s="98">
        <v>0.95</v>
      </c>
      <c r="D14" s="56">
        <v>2.7509100930955666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14.13040526178168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0.75737939999999992</v>
      </c>
      <c r="C16" s="98">
        <v>0.95</v>
      </c>
      <c r="D16" s="56">
        <v>2.1562548532894295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3.1508066666666702E-2</v>
      </c>
      <c r="C17" s="98">
        <v>0.95</v>
      </c>
      <c r="D17" s="56">
        <v>0.58636119533868591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0.51400000000000001</v>
      </c>
      <c r="C18" s="98">
        <v>0.95</v>
      </c>
      <c r="D18" s="56">
        <v>6.8747382117628364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0.56868370000000001</v>
      </c>
      <c r="C19" s="98">
        <v>0.95</v>
      </c>
      <c r="D19" s="56">
        <v>0.80800494022236113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7.2638561333206297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6.8747382117628364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0.74117850000000007</v>
      </c>
      <c r="C23" s="98">
        <v>0.95</v>
      </c>
      <c r="D23" s="56">
        <v>4.621869686333798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0.93888883792254008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2.1000000000000001E-2</v>
      </c>
      <c r="C26" s="98">
        <v>0.95</v>
      </c>
      <c r="D26" s="56">
        <v>4.4432147531692987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8.8360724993186164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0.513741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0.17305509999999999</v>
      </c>
      <c r="C29" s="98">
        <v>0.95</v>
      </c>
      <c r="D29" s="56">
        <v>88.005851455993124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57.448392612859095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7.1500000000000008E-2</v>
      </c>
      <c r="C31" s="98">
        <v>0.95</v>
      </c>
      <c r="D31" s="56">
        <v>125.66324080233395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0.77</v>
      </c>
      <c r="C32" s="98">
        <v>0.95</v>
      </c>
      <c r="D32" s="56">
        <v>0.65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0.15307589999999999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0.88163790000000009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1.8209000000000001E-3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0.20602480000000001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0.24399999999999999</v>
      </c>
      <c r="C38" s="98">
        <v>0.95</v>
      </c>
      <c r="D38" s="56">
        <v>2.2145073762257557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5.8497136845734818</v>
      </c>
      <c r="E39" s="56" t="s">
        <v>212</v>
      </c>
      <c r="F39" s="98">
        <v>1</v>
      </c>
      <c r="G39" s="98">
        <v>1</v>
      </c>
    </row>
  </sheetData>
  <sheetProtection algorithmName="SHA-512" hashValue="q7aJ4Tn2OS1fcjbnTaGZh4eW9C34bqFr3Ecp5jUspvu8hO1zmpbcijcXnHeQjhSm8xhMyL5daoPTep1z9fR1iQ==" saltValue="Vx/iM4McqWceDNbXjVT57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qxSIuzQbsNWfF2c5sYJ5chsELB2IayZVN4O6m85y6YUKdw0EmsZyx7FjmD/G/5kUE/O3SsnFq2KBSuLgdZlWFQ==" saltValue="0+vbg6r+W1ldTzevk6ahV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8rEEXFlivM5osgN67gx+uv1ycRq5wiIxDi1HiPRS2r10KV3SuWTivuxGfwyFdF87RjNU6ncwKCqyvchUp2shzA==" saltValue="0llMXpeIYEztkg/q3ykeu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3.302</v>
      </c>
      <c r="C2" s="21">
        <f>'Entradas de población-año base'!C52</f>
        <v>3.302</v>
      </c>
      <c r="D2" s="21">
        <f>'Entradas de población-año base'!C53</f>
        <v>10.738</v>
      </c>
      <c r="E2" s="21">
        <f>'Entradas de población-año base'!C54</f>
        <v>9.6460000000000008</v>
      </c>
      <c r="F2" s="21">
        <f>'Entradas de población-año base'!C55</f>
        <v>3.8566666666666669</v>
      </c>
    </row>
    <row r="3" spans="1:6" ht="15.75" customHeight="1" x14ac:dyDescent="0.25">
      <c r="A3" s="3" t="s">
        <v>6</v>
      </c>
      <c r="B3" s="21">
        <f>frac_mam_1month * 2.6</f>
        <v>3.8956579999999998E-2</v>
      </c>
      <c r="C3" s="21">
        <f>frac_mam_1_5months * 2.6</f>
        <v>3.8956579999999998E-2</v>
      </c>
      <c r="D3" s="21">
        <f>frac_mam_6_11months * 2.6</f>
        <v>4.2182400000000002E-2</v>
      </c>
      <c r="E3" s="21">
        <f>frac_mam_12_23months * 2.6</f>
        <v>8.2663879999999995E-2</v>
      </c>
      <c r="F3" s="21">
        <f>frac_mam_24_59months * 2.6</f>
        <v>3.7688039999999999E-2</v>
      </c>
    </row>
    <row r="4" spans="1:6" ht="15.75" customHeight="1" x14ac:dyDescent="0.25">
      <c r="A4" s="3" t="s">
        <v>236</v>
      </c>
      <c r="B4" s="21">
        <f>frac_sam_1month * 2.6</f>
        <v>2.5979460000000003E-2</v>
      </c>
      <c r="C4" s="21">
        <f>frac_sam_1_5months * 2.6</f>
        <v>2.5979460000000003E-2</v>
      </c>
      <c r="D4" s="21">
        <f>frac_sam_6_11months * 2.6</f>
        <v>2.5468560000000001E-2</v>
      </c>
      <c r="E4" s="21">
        <f>frac_sam_12_23months * 2.6</f>
        <v>3.4719360000000005E-2</v>
      </c>
      <c r="F4" s="21">
        <f>frac_sam_24_59months * 2.6</f>
        <v>1.1243959999999999E-2</v>
      </c>
    </row>
  </sheetData>
  <sheetProtection algorithmName="SHA-512" hashValue="FY10Ua6NL6RPW3XfLyRNlpU8o86QQJR3Opc99AT5frIJmV3HKAmOs2amrnsOIfAbAcLlmCsRSmAUbhXOV32HvA==" saltValue="pVrbS1BDcAOEAGTPSisRK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0.50700000000000001</v>
      </c>
      <c r="F2" s="60">
        <f>food_insecure</f>
        <v>0.50700000000000001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0.50700000000000001</v>
      </c>
      <c r="F5" s="60">
        <f>food_insecure</f>
        <v>0.50700000000000001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7.2043636363636365E-2</v>
      </c>
      <c r="D7" s="60">
        <f>diarrhoea_1_5mo*frac_diarrhea_severe</f>
        <v>7.2043636363636365E-2</v>
      </c>
      <c r="E7" s="60">
        <f>diarrhoea_6_11mo*frac_diarrhea_severe</f>
        <v>0.23428363636363636</v>
      </c>
      <c r="F7" s="60">
        <f>diarrhoea_12_23mo*frac_diarrhea_severe</f>
        <v>0.21045818181818185</v>
      </c>
      <c r="G7" s="60">
        <f>diarrhoea_24_59mo*frac_diarrhea_severe</f>
        <v>8.4145454545454551E-2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0.50700000000000001</v>
      </c>
      <c r="F8" s="60">
        <f>food_insecure</f>
        <v>0.50700000000000001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0.50700000000000001</v>
      </c>
      <c r="F9" s="60">
        <f>food_insecure</f>
        <v>0.50700000000000001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7.2043636363636365E-2</v>
      </c>
      <c r="D12" s="60">
        <f>diarrhoea_1_5mo*frac_diarrhea_severe</f>
        <v>7.2043636363636365E-2</v>
      </c>
      <c r="E12" s="60">
        <f>diarrhoea_6_11mo*frac_diarrhea_severe</f>
        <v>0.23428363636363636</v>
      </c>
      <c r="F12" s="60">
        <f>diarrhoea_12_23mo*frac_diarrhea_severe</f>
        <v>0.21045818181818185</v>
      </c>
      <c r="G12" s="60">
        <f>diarrhoea_24_59mo*frac_diarrhea_severe</f>
        <v>8.4145454545454551E-2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0.50700000000000001</v>
      </c>
      <c r="I15" s="60">
        <f t="shared" si="0"/>
        <v>0.50700000000000001</v>
      </c>
      <c r="J15" s="60">
        <f t="shared" si="0"/>
        <v>0.50700000000000001</v>
      </c>
      <c r="K15" s="60">
        <f t="shared" si="0"/>
        <v>0.50700000000000001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0.50700000000000001</v>
      </c>
      <c r="I16" s="60">
        <f t="shared" si="0"/>
        <v>0.50700000000000001</v>
      </c>
      <c r="J16" s="60">
        <f t="shared" si="0"/>
        <v>0.50700000000000001</v>
      </c>
      <c r="K16" s="60">
        <f t="shared" si="0"/>
        <v>0.50700000000000001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0.77</v>
      </c>
      <c r="I19" s="60">
        <f>frac_malaria_risk</f>
        <v>0.77</v>
      </c>
      <c r="J19" s="60">
        <f>frac_malaria_risk</f>
        <v>0.77</v>
      </c>
      <c r="K19" s="60">
        <f>frac_malaria_risk</f>
        <v>0.77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0.15428596833174099</v>
      </c>
      <c r="M24" s="60">
        <f>famplan_unmet_need</f>
        <v>0.15428596833174099</v>
      </c>
      <c r="N24" s="60">
        <f>famplan_unmet_need</f>
        <v>0.15428596833174099</v>
      </c>
      <c r="O24" s="60">
        <f>famplan_unmet_need</f>
        <v>0.15428596833174099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0.38913130188800005</v>
      </c>
      <c r="M25" s="60">
        <f>(1-food_insecure)*(0.49)+food_insecure*(0.7)</f>
        <v>0.59646999999999994</v>
      </c>
      <c r="N25" s="60">
        <f>(1-food_insecure)*(0.49)+food_insecure*(0.7)</f>
        <v>0.59646999999999994</v>
      </c>
      <c r="O25" s="60">
        <f>(1-food_insecure)*(0.49)+food_insecure*(0.7)</f>
        <v>0.59646999999999994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0.16677055795199999</v>
      </c>
      <c r="M26" s="60">
        <f>(1-food_insecure)*(0.21)+food_insecure*(0.3)</f>
        <v>0.25562999999999997</v>
      </c>
      <c r="N26" s="60">
        <f>(1-food_insecure)*(0.21)+food_insecure*(0.3)</f>
        <v>0.25562999999999997</v>
      </c>
      <c r="O26" s="60">
        <f>(1-food_insecure)*(0.21)+food_insecure*(0.3)</f>
        <v>0.25562999999999997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9.6488540160000011E-2</v>
      </c>
      <c r="M27" s="60">
        <f>(1-food_insecure)*(0.3)</f>
        <v>0.1479</v>
      </c>
      <c r="N27" s="60">
        <f>(1-food_insecure)*(0.3)</f>
        <v>0.1479</v>
      </c>
      <c r="O27" s="60">
        <f>(1-food_insecure)*(0.3)</f>
        <v>0.1479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0.34760960000000002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0.77</v>
      </c>
      <c r="D34" s="60">
        <f t="shared" si="4"/>
        <v>0.77</v>
      </c>
      <c r="E34" s="60">
        <f t="shared" si="4"/>
        <v>0.77</v>
      </c>
      <c r="F34" s="60">
        <f t="shared" si="4"/>
        <v>0.77</v>
      </c>
      <c r="G34" s="60">
        <f t="shared" si="4"/>
        <v>0.77</v>
      </c>
      <c r="H34" s="60">
        <f t="shared" si="4"/>
        <v>0.77</v>
      </c>
      <c r="I34" s="60">
        <f t="shared" si="4"/>
        <v>0.77</v>
      </c>
      <c r="J34" s="60">
        <f t="shared" si="4"/>
        <v>0.77</v>
      </c>
      <c r="K34" s="60">
        <f t="shared" si="4"/>
        <v>0.77</v>
      </c>
      <c r="L34" s="60">
        <f t="shared" si="4"/>
        <v>0.77</v>
      </c>
      <c r="M34" s="60">
        <f t="shared" si="4"/>
        <v>0.77</v>
      </c>
      <c r="N34" s="60">
        <f t="shared" si="4"/>
        <v>0.77</v>
      </c>
      <c r="O34" s="60">
        <f t="shared" si="4"/>
        <v>0.77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7vbknIq00mzj6J0x7pzi78ITWERjAwP3R1pZhqerilx70bdLBoymKH6IRdYsWvFQlY6nHSPwEIOj2AHsDHnwnA==" saltValue="PAHDyYKmKst11XKhJmqDd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E/4Bps6S//QPo1VXE7DdbJ83oyHIH/Fe/Odx5pidLa1+AG/IqoWc5p0twH/UJYMgcc55GZz15n7o6uqPTSju1g==" saltValue="ycd7rmbTzbRQF1IuAjVRG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qC3wh0a+Fj5Zv/3/N1IMwCKsiMbGLjaU6+si4qxe3MuheEdetTcwnbv1FrnVCRJItAlmEOAnV5UIGX1/tngUXQ==" saltValue="wEHcG74+N0GZjMLjyERSV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hnDyhTwXhkOl85oyLiFTb2uad4ccyPKjd3FUyIu07At+OYLn9jKfGDMIOM9WZTV1i6dIqBLu7HwPdFsyCV8b1g==" saltValue="q770AGrrVVGCtN3g9t9Vb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H+fEhmtPUE3Ab7Pj/mZGONeWE9Pm3kanMg5LJSVHUnqQjSc3B6PXzqgna3v6SAdiESDyW0UjvzvQRfnuMwkCgQ==" saltValue="RxE4dIWKUwT5hGCmVXBaw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UympVYaq5RtQ4K+SA7GpEuD3EqPvOaJchSnzoit+2eyqCbSn2vwN1V+SbakdLE9FQXEp2DAhMWxzhq2rPrMwyg==" saltValue="I7Xt/+aOr5DY3rG6nfy9h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v1itgylDCTECbeiLNjxko/au0W2C/VfHqs3RYdZmyYpphnujK3srrc1cjDMKTwWhebQbXNMpVut5r6Y8YqBLqQ==" saltValue="oB4X/rg7U9CP+vI/h/czZ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zjrgDdo4BVsPY+53oeUAVNd25vvhFpd09ueMaHiSdBDa3eyeEHLzr+fa45Wc76Z5piqdw8Ow54D27T9tYjjRGw==" saltValue="UUjBdzl+O0K/Ybdv3bApH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TbkivzRDEDe7CJTutkxUEDE+D0qPmNyQzelsNCcNbQsLhck5pIB5PGyBAme7zPn/rP594H5RMK+xF05lugZLYA==" saltValue="psbt2tuQzsw5q6X1N1Lr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IkT2xYXHt9q9L8q5MICpRSTFW8WLIpLfM4HSmrOPmwN+9w/KULrLBpbOcbbIrImGfEHjfUVMEbescZ9J5U90XQ==" saltValue="opmBtnRgNgdUTmubSa7en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jzkm90nrbTzsJrBYPnkMXuvippuSOpC6fYn2/OTpxE3di4kuj6/Fp/1WTG/sahQWgzntcU1WHOjuStvyXmXVfQ==" saltValue="214Kzx8bhSp0goPImZl8H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6AIIZwLqfMLwChwNkdWf9VidQ3DlYTWMweqb+nwxUA8XFx/vrcj2VYoPAmhzAfER4ez8ZFbTDxsQ3ZTOT9Oeeg==" saltValue="L5dLNPrnfhn2pietGBaP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kKbr5Jgt6WKG93IZBxwbpDCauY2e0rZUxlwMQh3ZTKO6ewlBKLSDL3GQBVWmCykk34yT8Ws0Cq4j/d75piUoCg==" saltValue="GfX8VFnQHkWIOFCBu3X9G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4JZYubBvB0qTrnPlCeYNTP3YP06k7ebOKcAwYLWguw3Kf+caFmrQDuIF6h9cg/S+7APKk/R0kWKZzsvnzHGzJQ==" saltValue="/QrFR0gxhuBogiUZv+Hdk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0v6rOXSepNLtuz9OVwUBbclUEtYtpAo1OZufRtWY/hOLhOIOrfYGV2M9iV2qT376R61TsjflIfmXdlFv3XsPNQ==" saltValue="QvkxMcIukJ+5HiYU6iYH6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2025-07-04T02:08:14Z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