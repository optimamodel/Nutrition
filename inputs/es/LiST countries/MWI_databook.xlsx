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2038ACE-095A-497E-956D-9EDCE2C59B9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<sst xmlns="http://schemas.openxmlformats.org/spreadsheetml/2006/main" count="2102" uniqueCount="341">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</sst>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3244306.5</v>
      </c>
    </row>
    <row r="8" spans="1:3" ht="15" customHeight="1" x14ac:dyDescent="0.25">
      <c r="B8" s="5" t="s">
        <v>44</v>
      </c>
      <c r="C8" s="44">
        <v>0.70299999999999996</v>
      </c>
    </row>
    <row r="9" spans="1:3" ht="15" customHeight="1" x14ac:dyDescent="0.25">
      <c r="B9" s="5" t="s">
        <v>43</v>
      </c>
      <c r="C9" s="45">
        <v>0.77</v>
      </c>
    </row>
    <row r="10" spans="1:3" ht="15" customHeight="1" x14ac:dyDescent="0.25">
      <c r="B10" s="5" t="s">
        <v>56</v>
      </c>
      <c r="C10" s="45">
        <v>0.307979602813721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0.15459999999999999</v>
      </c>
    </row>
    <row r="24" spans="1:3" ht="15" customHeight="1" x14ac:dyDescent="0.25">
      <c r="B24" s="15" t="s">
        <v>46</v>
      </c>
      <c r="C24" s="45">
        <v>0.46519999999999989</v>
      </c>
    </row>
    <row r="25" spans="1:3" ht="15" customHeight="1" x14ac:dyDescent="0.25">
      <c r="B25" s="15" t="s">
        <v>47</v>
      </c>
      <c r="C25" s="45">
        <v>0.30449999999999999</v>
      </c>
    </row>
    <row r="26" spans="1:3" ht="15" customHeight="1" x14ac:dyDescent="0.25">
      <c r="B26" s="15" t="s">
        <v>48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0.26147459341354901</v>
      </c>
    </row>
    <row r="30" spans="1:3" ht="14.25" customHeight="1" x14ac:dyDescent="0.25">
      <c r="B30" s="25" t="s">
        <v>63</v>
      </c>
      <c r="C30" s="99">
        <v>3.1847694141973401E-2</v>
      </c>
    </row>
    <row r="31" spans="1:3" ht="14.25" customHeight="1" x14ac:dyDescent="0.25">
      <c r="B31" s="25" t="s">
        <v>10</v>
      </c>
      <c r="C31" s="99">
        <v>5.2301559488866299E-2</v>
      </c>
    </row>
    <row r="32" spans="1:3" ht="14.25" customHeight="1" x14ac:dyDescent="0.25">
      <c r="B32" s="25" t="s">
        <v>11</v>
      </c>
      <c r="C32" s="99">
        <v>0.65437615295561202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19.29918</v>
      </c>
    </row>
    <row r="38" spans="1:5" ht="15" customHeight="1" x14ac:dyDescent="0.25">
      <c r="B38" s="11" t="s">
        <v>35</v>
      </c>
      <c r="C38" s="43">
        <v>31.23901</v>
      </c>
      <c r="D38" s="12"/>
      <c r="E38" s="13"/>
    </row>
    <row r="39" spans="1:5" ht="15" customHeight="1" x14ac:dyDescent="0.25">
      <c r="B39" s="11" t="s">
        <v>61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1.25431E-2</v>
      </c>
      <c r="D45" s="12"/>
    </row>
    <row r="46" spans="1:5" ht="15.75" customHeight="1" x14ac:dyDescent="0.25">
      <c r="B46" s="11" t="s">
        <v>51</v>
      </c>
      <c r="C46" s="45">
        <v>0.1325692</v>
      </c>
      <c r="D46" s="12"/>
    </row>
    <row r="47" spans="1:5" ht="15.75" customHeight="1" x14ac:dyDescent="0.25">
      <c r="B47" s="11" t="s">
        <v>59</v>
      </c>
      <c r="C47" s="45">
        <v>0.15164759999999999</v>
      </c>
      <c r="D47" s="12"/>
      <c r="E47" s="13"/>
    </row>
    <row r="48" spans="1:5" ht="15" customHeight="1" x14ac:dyDescent="0.25">
      <c r="B48" s="11" t="s">
        <v>58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0.49510700000000002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0.14464293</v>
      </c>
    </row>
    <row r="63" spans="1:4" ht="15.75" customHeight="1" x14ac:dyDescent="0.3">
      <c r="A63" s="4"/>
    </row>
  </sheetData>
  <sheetProtection algorithmName="SHA-512" hashValue="CYj+BMV7Z0Fk1GKN2+Ifou0XoVleIbCadadVuXU7h25O9CuyrKlo15sfr42J1N+C41fCTInxeIwTmk7DnBnfPg==" saltValue="glgSz9z9TgReIH1BobL5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687950</v>
      </c>
      <c r="C2" s="49">
        <v>1578030</v>
      </c>
      <c r="D2" s="49">
        <v>1963398</v>
      </c>
      <c r="E2" s="49">
        <v>1410655</v>
      </c>
      <c r="F2" s="49">
        <v>831126.5</v>
      </c>
      <c r="G2" s="17">
        <f t="shared" ref="G2:G13" si="0">C2+D2+E2+F2</f>
        <v>5783209.5</v>
      </c>
      <c r="H2" s="17">
        <f t="shared" ref="H2:H13" si="1">(B2 + stillbirth*B2/(1000-stillbirth))/(1-abortion)</f>
        <v>794519.35823116044</v>
      </c>
      <c r="I2" s="17">
        <f t="shared" ref="I2:I13" si="2">G2-H2</f>
        <v>4988690.1417688392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698306</v>
      </c>
      <c r="C3" s="50">
        <v>1607686</v>
      </c>
      <c r="D3" s="50">
        <v>2042677</v>
      </c>
      <c r="E3" s="50">
        <v>1438951.5</v>
      </c>
      <c r="F3" s="50">
        <v>887830.5</v>
      </c>
      <c r="G3" s="17">
        <f t="shared" si="0"/>
        <v>5977145</v>
      </c>
      <c r="H3" s="17">
        <f t="shared" si="1"/>
        <v>806479.59149497608</v>
      </c>
      <c r="I3" s="17">
        <f t="shared" si="2"/>
        <v>5170665.4085050244</v>
      </c>
    </row>
    <row r="4" spans="1:9" ht="15.75" customHeight="1" x14ac:dyDescent="0.25">
      <c r="A4" s="5">
        <f t="shared" si="3"/>
        <v>2026</v>
      </c>
      <c r="B4" s="49">
        <v>709710</v>
      </c>
      <c r="C4" s="50">
        <v>1631297.5</v>
      </c>
      <c r="D4" s="50">
        <v>2124874.5</v>
      </c>
      <c r="E4" s="50">
        <v>1471056</v>
      </c>
      <c r="F4" s="50">
        <v>941192.00000000012</v>
      </c>
      <c r="G4" s="17">
        <f t="shared" si="0"/>
        <v>6168420</v>
      </c>
      <c r="H4" s="17">
        <f t="shared" si="1"/>
        <v>819650.16895157634</v>
      </c>
      <c r="I4" s="17">
        <f t="shared" si="2"/>
        <v>5348769.8310484234</v>
      </c>
    </row>
    <row r="5" spans="1:9" ht="15.75" customHeight="1" x14ac:dyDescent="0.25">
      <c r="A5" s="5">
        <f t="shared" si="3"/>
        <v>2027</v>
      </c>
      <c r="B5" s="49">
        <v>717845</v>
      </c>
      <c r="C5" s="50">
        <v>1650578</v>
      </c>
      <c r="D5" s="50">
        <v>2207309.5</v>
      </c>
      <c r="E5" s="50">
        <v>1508576.5</v>
      </c>
      <c r="F5" s="50">
        <v>989544.5</v>
      </c>
      <c r="G5" s="17">
        <f t="shared" si="0"/>
        <v>6356008.5</v>
      </c>
      <c r="H5" s="17">
        <f t="shared" si="1"/>
        <v>829045.35025720962</v>
      </c>
      <c r="I5" s="17">
        <f t="shared" si="2"/>
        <v>5526963.1497427905</v>
      </c>
    </row>
    <row r="6" spans="1:9" ht="15.75" customHeight="1" x14ac:dyDescent="0.25">
      <c r="A6" s="5">
        <f t="shared" si="3"/>
        <v>2028</v>
      </c>
      <c r="B6" s="49">
        <v>727908</v>
      </c>
      <c r="C6" s="50">
        <v>1666904.5</v>
      </c>
      <c r="D6" s="50">
        <v>2287016.5</v>
      </c>
      <c r="E6" s="50">
        <v>1550820.5</v>
      </c>
      <c r="F6" s="50">
        <v>1031364</v>
      </c>
      <c r="G6" s="17">
        <f t="shared" si="0"/>
        <v>6536105.5</v>
      </c>
      <c r="H6" s="17">
        <f t="shared" si="1"/>
        <v>840667.19530682114</v>
      </c>
      <c r="I6" s="17">
        <f t="shared" si="2"/>
        <v>5695438.3046931792</v>
      </c>
    </row>
    <row r="7" spans="1:9" ht="15.75" customHeight="1" x14ac:dyDescent="0.25">
      <c r="A7" s="5">
        <f t="shared" si="3"/>
        <v>2029</v>
      </c>
      <c r="B7" s="49">
        <v>736141</v>
      </c>
      <c r="C7" s="50">
        <v>1680324</v>
      </c>
      <c r="D7" s="50">
        <v>2362908</v>
      </c>
      <c r="E7" s="50">
        <v>1597427</v>
      </c>
      <c r="F7" s="50">
        <v>1068222.5</v>
      </c>
      <c r="G7" s="17">
        <f t="shared" si="0"/>
        <v>6708881.5</v>
      </c>
      <c r="H7" s="17">
        <f t="shared" si="1"/>
        <v>850175.55765338289</v>
      </c>
      <c r="I7" s="17">
        <f t="shared" si="2"/>
        <v>5858705.9423466176</v>
      </c>
    </row>
    <row r="8" spans="1:9" ht="15.75" customHeight="1" x14ac:dyDescent="0.25">
      <c r="A8" s="5">
        <f t="shared" si="3"/>
        <v>2030</v>
      </c>
      <c r="B8" s="49">
        <v>746353</v>
      </c>
      <c r="C8" s="50">
        <v>1691184</v>
      </c>
      <c r="D8" s="50">
        <v>2435285.5</v>
      </c>
      <c r="E8" s="50">
        <v>1649088.5</v>
      </c>
      <c r="F8" s="50">
        <v>1100319.5</v>
      </c>
      <c r="G8" s="17">
        <f t="shared" si="0"/>
        <v>6875877.5</v>
      </c>
      <c r="H8" s="17">
        <f t="shared" si="1"/>
        <v>861969.48408154852</v>
      </c>
      <c r="I8" s="17">
        <f t="shared" si="2"/>
        <v>6013908.0159184514</v>
      </c>
    </row>
    <row r="9" spans="1:9" ht="15.75" customHeight="1" x14ac:dyDescent="0.25">
      <c r="A9" s="5">
        <f t="shared" si="3"/>
        <v>2031</v>
      </c>
      <c r="B9" s="49">
        <v>748584</v>
      </c>
      <c r="C9" s="50">
        <v>1701640</v>
      </c>
      <c r="D9" s="50">
        <v>2503337.5</v>
      </c>
      <c r="E9" s="50">
        <v>1705467.5</v>
      </c>
      <c r="F9" s="50">
        <v>1126941</v>
      </c>
      <c r="G9" s="17">
        <f t="shared" si="0"/>
        <v>7037386</v>
      </c>
      <c r="H9" s="17">
        <f t="shared" si="1"/>
        <v>864546.08512553968</v>
      </c>
      <c r="I9" s="17">
        <f t="shared" si="2"/>
        <v>6172839.9148744605</v>
      </c>
    </row>
    <row r="10" spans="1:9" ht="15.75" customHeight="1" x14ac:dyDescent="0.25">
      <c r="A10" s="5">
        <f t="shared" si="3"/>
        <v>2032</v>
      </c>
      <c r="B10" s="49">
        <v>757906</v>
      </c>
      <c r="C10" s="50">
        <v>1714255.5</v>
      </c>
      <c r="D10" s="50">
        <v>2564983.5</v>
      </c>
      <c r="E10" s="50">
        <v>1767321.5</v>
      </c>
      <c r="F10" s="50">
        <v>1150241</v>
      </c>
      <c r="G10" s="17">
        <f t="shared" si="0"/>
        <v>7196801.5</v>
      </c>
      <c r="H10" s="17">
        <f t="shared" si="1"/>
        <v>875312.14291670313</v>
      </c>
      <c r="I10" s="17">
        <f t="shared" si="2"/>
        <v>6321489.3570832964</v>
      </c>
    </row>
    <row r="11" spans="1:9" ht="15.75" customHeight="1" x14ac:dyDescent="0.25">
      <c r="A11" s="5">
        <f t="shared" si="3"/>
        <v>2033</v>
      </c>
      <c r="B11" s="49">
        <v>760142</v>
      </c>
      <c r="C11" s="50">
        <v>1730029</v>
      </c>
      <c r="D11" s="50">
        <v>2619056.5</v>
      </c>
      <c r="E11" s="50">
        <v>1835174.5</v>
      </c>
      <c r="F11" s="50">
        <v>1172298.5</v>
      </c>
      <c r="G11" s="17">
        <f t="shared" si="0"/>
        <v>7356558.5</v>
      </c>
      <c r="H11" s="17">
        <f t="shared" si="1"/>
        <v>877894.51850359887</v>
      </c>
      <c r="I11" s="17">
        <f t="shared" si="2"/>
        <v>6478663.9814964011</v>
      </c>
    </row>
    <row r="12" spans="1:9" ht="15.75" customHeight="1" x14ac:dyDescent="0.25">
      <c r="A12" s="5">
        <f t="shared" si="3"/>
        <v>2034</v>
      </c>
      <c r="B12" s="49">
        <v>766161</v>
      </c>
      <c r="C12" s="50">
        <v>1749604</v>
      </c>
      <c r="D12" s="50">
        <v>2664942</v>
      </c>
      <c r="E12" s="50">
        <v>1909073</v>
      </c>
      <c r="F12" s="50">
        <v>1194684.5</v>
      </c>
      <c r="G12" s="17">
        <f t="shared" si="0"/>
        <v>7518303.5</v>
      </c>
      <c r="H12" s="17">
        <f t="shared" si="1"/>
        <v>884845.9132520447</v>
      </c>
      <c r="I12" s="17">
        <f t="shared" si="2"/>
        <v>6633457.5867479555</v>
      </c>
    </row>
    <row r="13" spans="1:9" ht="15.75" customHeight="1" x14ac:dyDescent="0.25">
      <c r="A13" s="5">
        <f t="shared" si="3"/>
        <v>2035</v>
      </c>
      <c r="B13" s="49">
        <v>770109</v>
      </c>
      <c r="C13" s="50">
        <v>1773523.5</v>
      </c>
      <c r="D13" s="50">
        <v>2701851.5</v>
      </c>
      <c r="E13" s="50">
        <v>1987695</v>
      </c>
      <c r="F13" s="50">
        <v>1218143</v>
      </c>
      <c r="G13" s="17">
        <f t="shared" si="0"/>
        <v>7681213</v>
      </c>
      <c r="H13" s="17">
        <f t="shared" si="1"/>
        <v>889405.49232944357</v>
      </c>
      <c r="I13" s="17">
        <f t="shared" si="2"/>
        <v>6791807.5076705562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syEk70paeVq6LRJHo47YO2RCctR8iJT7TKap+KqT2S9NIKw0Bhpn5HQ/GnPihy2QtZ721OvfkWJURmZpDRoyA==" saltValue="56GPZfy4prlgfluazPRJ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1.277209872279011E-2</v>
      </c>
    </row>
    <row r="4" spans="1:8" ht="15.75" customHeight="1" x14ac:dyDescent="0.25">
      <c r="B4" s="19" t="s">
        <v>97</v>
      </c>
      <c r="C4" s="101">
        <v>5.3933894606610487E-2</v>
      </c>
    </row>
    <row r="5" spans="1:8" ht="15.75" customHeight="1" x14ac:dyDescent="0.25">
      <c r="B5" s="19" t="s">
        <v>95</v>
      </c>
      <c r="C5" s="101">
        <v>7.7123692287630718E-2</v>
      </c>
    </row>
    <row r="6" spans="1:8" ht="15.75" customHeight="1" x14ac:dyDescent="0.25">
      <c r="B6" s="19" t="s">
        <v>91</v>
      </c>
      <c r="C6" s="101">
        <v>0.244385075561493</v>
      </c>
    </row>
    <row r="7" spans="1:8" ht="15.75" customHeight="1" x14ac:dyDescent="0.25">
      <c r="B7" s="19" t="s">
        <v>96</v>
      </c>
      <c r="C7" s="101">
        <v>0.41540115845988412</v>
      </c>
    </row>
    <row r="8" spans="1:8" ht="15.75" customHeight="1" x14ac:dyDescent="0.25">
      <c r="B8" s="19" t="s">
        <v>98</v>
      </c>
      <c r="C8" s="101">
        <v>1.690199830980013E-3</v>
      </c>
    </row>
    <row r="9" spans="1:8" ht="15.75" customHeight="1" x14ac:dyDescent="0.25">
      <c r="B9" s="19" t="s">
        <v>92</v>
      </c>
      <c r="C9" s="101">
        <v>8.066139193386071E-2</v>
      </c>
    </row>
    <row r="10" spans="1:8" ht="15.75" customHeight="1" x14ac:dyDescent="0.25">
      <c r="B10" s="19" t="s">
        <v>94</v>
      </c>
      <c r="C10" s="101">
        <v>0.1140324885967509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102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2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90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3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101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79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99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8.1884283999999988E-2</v>
      </c>
    </row>
    <row r="27" spans="1:8" ht="15.75" customHeight="1" x14ac:dyDescent="0.25">
      <c r="B27" s="19" t="s">
        <v>89</v>
      </c>
      <c r="C27" s="101">
        <v>8.1848189999999994E-3</v>
      </c>
    </row>
    <row r="28" spans="1:8" ht="15.75" customHeight="1" x14ac:dyDescent="0.25">
      <c r="B28" s="19" t="s">
        <v>103</v>
      </c>
      <c r="C28" s="101">
        <v>0.14548327699999999</v>
      </c>
    </row>
    <row r="29" spans="1:8" ht="15.75" customHeight="1" x14ac:dyDescent="0.25">
      <c r="B29" s="19" t="s">
        <v>86</v>
      </c>
      <c r="C29" s="101">
        <v>0.157612682</v>
      </c>
    </row>
    <row r="30" spans="1:8" ht="15.75" customHeight="1" x14ac:dyDescent="0.25">
      <c r="B30" s="19" t="s">
        <v>4</v>
      </c>
      <c r="C30" s="101">
        <v>9.9204118000000008E-2</v>
      </c>
    </row>
    <row r="31" spans="1:8" ht="15.75" customHeight="1" x14ac:dyDescent="0.25">
      <c r="B31" s="19" t="s">
        <v>80</v>
      </c>
      <c r="C31" s="101">
        <v>0.10218857200000001</v>
      </c>
    </row>
    <row r="32" spans="1:8" ht="15.75" customHeight="1" x14ac:dyDescent="0.25">
      <c r="B32" s="19" t="s">
        <v>85</v>
      </c>
      <c r="C32" s="101">
        <v>1.7390224999999999E-2</v>
      </c>
    </row>
    <row r="33" spans="2:3" ht="15.75" customHeight="1" x14ac:dyDescent="0.25">
      <c r="B33" s="19" t="s">
        <v>100</v>
      </c>
      <c r="C33" s="101">
        <v>7.9143570999999996E-2</v>
      </c>
    </row>
    <row r="34" spans="2:3" ht="15.75" customHeight="1" x14ac:dyDescent="0.25">
      <c r="B34" s="19" t="s">
        <v>87</v>
      </c>
      <c r="C34" s="101">
        <v>0.308908452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wCDwhYt9wzZtS/YQakltc1F9+KeQo46ksxXSu0lQ21hMklRqgJgsNJCDhnBuSOPbs1A6ty9eSEtVisUm3D/HWw==" saltValue="lNgot5HMtIvcDJvyIqJ8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110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106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107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119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TKMCZkm1qQiMUNpauCwYi2bCW2GNP7C6oIAP1rKRSISyxOuh5Bx6q1xy2nKwImxEWujbuuGwlNZBNJABR0diA==" saltValue="LWbcYkgkfeVFNCFVsVmQ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125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/8NiM6L+L3gi4IeO3TfyWFKh3ioXHjZKJgYUUeMxks5Hu21afp/ndwCYMWEUhz+Zcy9+pJoHmkOWydW+8oCqAg==" saltValue="5vBKBIiOBGC2eUKIkMgg1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ePIpgzmfzWyiWiP5cIGJSNvGUq7vwIx1bM3ajqih6A3ItoXLaehqqh8pUNW2rCwE+0t1HcuvGKuO1cGqS7bFQ==" saltValue="V5ag7vVwQyhVqZ8DZQi12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ecw/+xXKsCJ3cKs6kMjolXgNzZXUso+8cJd1913YjPwAMPYnvGtjlJ2X/o6g8x4UgBPsaKXhpEW6OrJP7Bmo2Q==" saltValue="xy0UeRtztWJDUbMe4ZyJ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bpuXIZaZOL0zoQWMyiQ8YL0+ml+NMFNhraJOKoNCESI8TraMPHvpTBsS8PFfbHbK1wnDVgtNhBLXjEmXYKwBg==" saltValue="1wpmgiCrwetS7iook/Vy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zd1Z5hgnSSGaiVyOlG275v073LfHB54fl6tsfyxJamrq0ZRQ85ON5zQKIw1iWYPTOSjUeaYcK8oev4OSPSM3w==" saltValue="o7GOrLw3Rc4ui4rfK5Fq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33.512328306813657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0.15484974159402001</v>
      </c>
      <c r="C3" s="98">
        <v>0.95</v>
      </c>
      <c r="D3" s="56">
        <v>44.605343392661311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30.030766511576608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0.1203130428229381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0.33427040000000002</v>
      </c>
      <c r="C10" s="98">
        <v>0.95</v>
      </c>
      <c r="D10" s="56">
        <v>14.13040526178168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0.33427040000000002</v>
      </c>
      <c r="C11" s="98">
        <v>0.95</v>
      </c>
      <c r="D11" s="56">
        <v>14.13040526178168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0.33427040000000002</v>
      </c>
      <c r="C12" s="98">
        <v>0.95</v>
      </c>
      <c r="D12" s="56">
        <v>14.13040526178168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0.33427040000000002</v>
      </c>
      <c r="C13" s="98">
        <v>0.95</v>
      </c>
      <c r="D13" s="56">
        <v>14.13040526178168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0.33427040000000002</v>
      </c>
      <c r="C14" s="98">
        <v>0.95</v>
      </c>
      <c r="D14" s="56">
        <v>14.13040526178168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0.33427040000000002</v>
      </c>
      <c r="C15" s="98">
        <v>0.95</v>
      </c>
      <c r="D15" s="56">
        <v>14.13040526178168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0.1866821098142778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3.1508066666666702E-2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0.1297400871818</v>
      </c>
      <c r="C18" s="98">
        <v>0.95</v>
      </c>
      <c r="D18" s="56">
        <v>0.80800494022236113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0.49241289999999999</v>
      </c>
      <c r="C19" s="98">
        <v>0.95</v>
      </c>
      <c r="D19" s="56">
        <v>0.80800494022236113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0.20602480000000001</v>
      </c>
      <c r="C21" s="98">
        <v>0.95</v>
      </c>
      <c r="D21" s="56">
        <v>0.80110146350938183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24.054885882818429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4.621869686333798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0.8975014143608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0.33427040000000002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20.43896045604918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0.85758132799216003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57.691469774981172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0.77</v>
      </c>
      <c r="C31" s="98">
        <v>0.95</v>
      </c>
      <c r="D31" s="56">
        <v>0.45959500925169477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0.33618374922887551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0.17305509999999999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0.513741</v>
      </c>
      <c r="C38" s="98">
        <v>0.95</v>
      </c>
      <c r="D38" s="56">
        <v>6.3798849579053014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39n68j3qCsdCpIR6stS69MskEu8ix0Weyg8aokrDYePMJSqo9FeNMyJyg0MFed9EbHNOKbQ2FFz8nWYBBjH6Q==" saltValue="4/Kz2TDBA23qoZT4JsSs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4JYZuY5PaP/ksFSi4OA4DTOhTypNib98og5pRrMEUpUYj1vyu3UVHQ7fj08sHhjlREPaIEDEW1HFD8FBGLXUQ==" saltValue="8zdajVy1cRbrsHE+qbPI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1yjI+rMu6WWeWgd5lA772uN8q3uHOaMPYnMJ66dEda2L4/LpPq5y8BzXum7Dp2c2RNNt+qdzjgmSoMOl2BRpQ==" saltValue="8JTBXojLgdK7t5k8kc7o4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207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2Ph2tk8JpG7uYvH9QDLNvvVA9ER0AoZronq+6jRcZhkofenS2ZyD6KsaExXJh8m8Vy2LL/JVnOiiiMRvDu5b2w==" saltValue="r0rj0oXyx6ccynBIv4qd0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tQ6OU8UkoFpyq0wKY2LSYgyzQBDj1jLsIFIjHDwbuwdUNkbE9hW7M07ICYDJLB9XCGnaGtNEXQ83TXAiOwbNA==" saltValue="ogrTfRc/7Vdf+yWQ6SZH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ku6e9p+T8cJGhgM7Fw28fh4WPGtb/l4k+TtxT5zFU2I7g7/pNt50mTVnnmFk5he5Toy42grEnGn01cDRRRdYdQ==" saltValue="GjtlqsQd3hQlFf8khF/R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Ri5ZAVvzqsDvf+iy2VDxq7fKHQWZ7UbpJaxTMOuqasD/S0/slegH5dYjFhMVkuZuIIFpagb4N8vKEl4wosL1A==" saltValue="mdiq9ejH3Bxi6QI8ethjf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Ijd+edtuwH3vwAjDgvnHZhgCNolhrVYr75UR44vsOSJKTnd6gXVdVHcyS0y94B3vC//D8Uj9yLq9GYtxN2Z0Q==" saltValue="JB2jafn2tLu5aLYp91IV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ln1pQk4vyavESY8g6S5xtHqMfgkRdqYWeC1QdTqrEf9GoY7jfLqOYHOUx+8RvH9Fc+88t6kJxojUU5jP0uiPQ==" saltValue="/8ggtSRynSCO/12tF6OxS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82b6SR17OtCMfZ0uTxefnZmFVMyiXMeN3QI5IHAFBA3U8Bcl1sosZae19cq6Cw921Ppf7l8rrhm9pRvRGe2QA==" saltValue="Z15KEwxL7TvaD0XLc+GN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1kGQZyKbdePWcKcjStPHiQyvrQz90zDCLrq5xs0UhMKlBrVQn0UIwWLRqNuHRmFXvEYXoHW5pC+Rt//fxh/SgA==" saltValue="HBaSRKNYg7MhrzFEeG28b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ULMz+xHI2EuSrAsYC7sgNdYyCR8tqEkdporfg29iTfB7nABGEF4e/zAEGC6EZAER897vqANtPKmfCtE3yOlPQ==" saltValue="fZ5qmUjf8O3fZdJdiWRH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bhlwHdHL3z/6Ydh8SKX3gSSr88kqDEkNpd+IGqCqTkOmw/m37Gs64PstTt11WUIASGdBuV1WPkunDpUOTtMcA==" saltValue="xSU+3GIajVwdg/am+b9a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wcupJv+Jv2NbMUACpSzsQLeP3etbAT62YOjhe+aIx2lMgbZ8VlTofV+PvA5jZ66eqrvbRgWGrJOtlF+o4reOw==" saltValue="ChTQsvdKYSoLYurqMw22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mcDHzRc2kgYh3UMdI5eXfdGhTNxgW3q0HODfBEFzqLpnVxP58EhMCd4+50+YcbZhiFxsO8hqNjzlOrkD0bSqQ==" saltValue="+3ewdd7Fa0iA/zheOu7C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ChXQsvuMijRNI9lWi8asgiBQSOnNKnyJng96lwE7GRvM2pLU0WrkoZyAsVlzrZtfWtmgZKlxDqRS8CwKU6PNQ==" saltValue="LNrA3Z0zHxjHueM6r87v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7XE88JUHgsSqRoe1+kFoj89N7BhL0PmB/uM/6IUnCtO8Olo2hxYJvSSkDOaiI149knMHy3fP7p/HN+295Np8A==" saltValue="PakYtrdRPEu2s2Tim4IB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w5kzbsP/j0kq0DCnql47KByKA8KhEYYlHHCAwCrnPVyHFiPv8QLeUBW6TSvHdJDg8oVvnzks2IRps1o0p+W7A==" saltValue="7x3F/WyJS7k4VusYKdA5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Zg6wofr1cv9kNYx0scp4Tbs0/LvR4WHDpqcqEGW25xIImILf3pDrtuv5Ap4r4UMplXyo/zfiamhs3apfja1JQ==" saltValue="r+ezkjUP2FAxJVro9zM/x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2024-05-16T23:51:11Z</dcterms:modified>
</cp:coreProperties>
</file>