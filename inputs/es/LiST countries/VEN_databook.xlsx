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1915B6E6-853D-4366-81B0-725ACEDF7C63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<sst xmlns="http://schemas.openxmlformats.org/spreadsheetml/2006/main" count="2102" uniqueCount="341">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</sst>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2269547.265625</v>
      </c>
    </row>
    <row r="8" spans="1:3" ht="15" customHeight="1" x14ac:dyDescent="0.25">
      <c r="B8" s="5" t="s">
        <v>44</v>
      </c>
      <c r="C8" s="44">
        <v>0.10199999999999999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0.73104637145996099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0.18629999999999999</v>
      </c>
    </row>
    <row r="24" spans="1:3" ht="15" customHeight="1" x14ac:dyDescent="0.25">
      <c r="B24" s="15" t="s">
        <v>46</v>
      </c>
      <c r="C24" s="45">
        <v>0.53220000000000001</v>
      </c>
    </row>
    <row r="25" spans="1:3" ht="15" customHeight="1" x14ac:dyDescent="0.25">
      <c r="B25" s="15" t="s">
        <v>47</v>
      </c>
      <c r="C25" s="45">
        <v>0.24540000000000001</v>
      </c>
    </row>
    <row r="26" spans="1:3" ht="15" customHeight="1" x14ac:dyDescent="0.25">
      <c r="B26" s="15" t="s">
        <v>48</v>
      </c>
      <c r="C26" s="45">
        <v>3.61E-2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0.34994163924792399</v>
      </c>
    </row>
    <row r="30" spans="1:3" ht="14.25" customHeight="1" x14ac:dyDescent="0.25">
      <c r="B30" s="25" t="s">
        <v>63</v>
      </c>
      <c r="C30" s="99">
        <v>0.10516916316476101</v>
      </c>
    </row>
    <row r="31" spans="1:3" ht="14.25" customHeight="1" x14ac:dyDescent="0.25">
      <c r="B31" s="25" t="s">
        <v>10</v>
      </c>
      <c r="C31" s="99">
        <v>8.4505866375242988E-2</v>
      </c>
    </row>
    <row r="32" spans="1:3" ht="14.25" customHeight="1" x14ac:dyDescent="0.25">
      <c r="B32" s="25" t="s">
        <v>11</v>
      </c>
      <c r="C32" s="99">
        <v>0.46038333121207198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14.99222</v>
      </c>
    </row>
    <row r="38" spans="1:5" ht="15" customHeight="1" x14ac:dyDescent="0.25">
      <c r="B38" s="11" t="s">
        <v>35</v>
      </c>
      <c r="C38" s="43">
        <v>21.063030000000001</v>
      </c>
      <c r="D38" s="12"/>
      <c r="E38" s="13"/>
    </row>
    <row r="39" spans="1:5" ht="15" customHeight="1" x14ac:dyDescent="0.25">
      <c r="B39" s="11" t="s">
        <v>61</v>
      </c>
      <c r="C39" s="43">
        <v>24.22973</v>
      </c>
      <c r="D39" s="12"/>
      <c r="E39" s="12"/>
    </row>
    <row r="40" spans="1:5" ht="15" customHeight="1" x14ac:dyDescent="0.25">
      <c r="B40" s="11" t="s">
        <v>36</v>
      </c>
      <c r="C40" s="100">
        <v>2.59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7.0407000000000004E-3</v>
      </c>
      <c r="D45" s="12"/>
    </row>
    <row r="46" spans="1:5" ht="15.75" customHeight="1" x14ac:dyDescent="0.25">
      <c r="B46" s="11" t="s">
        <v>51</v>
      </c>
      <c r="C46" s="45">
        <v>7.5650899999999993E-2</v>
      </c>
      <c r="D46" s="12"/>
    </row>
    <row r="47" spans="1:5" ht="15.75" customHeight="1" x14ac:dyDescent="0.25">
      <c r="B47" s="11" t="s">
        <v>59</v>
      </c>
      <c r="C47" s="45">
        <v>7.4305499999999997E-2</v>
      </c>
      <c r="D47" s="12"/>
      <c r="E47" s="13"/>
    </row>
    <row r="48" spans="1:5" ht="15" customHeight="1" x14ac:dyDescent="0.25">
      <c r="B48" s="11" t="s">
        <v>58</v>
      </c>
      <c r="C48" s="46">
        <v>0.8430029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0.58011699999999999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9.1047744999999902E-2</v>
      </c>
    </row>
    <row r="63" spans="1:4" ht="15.75" customHeight="1" x14ac:dyDescent="0.3">
      <c r="A63" s="4"/>
    </row>
  </sheetData>
  <sheetProtection algorithmName="SHA-512" hashValue="uy5Hjk0eZ18HnDOzIoeD9J68dkVyjYRipNmQUN2DXaP1e13ySDbq9SMGl55W8rzuXDavTmj1b0FRq7qSVFfb3Q==" saltValue="HYnz+z4CpfpP/WKHoWNN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470929</v>
      </c>
      <c r="C2" s="49">
        <v>1661551.5</v>
      </c>
      <c r="D2" s="49">
        <v>2168507</v>
      </c>
      <c r="E2" s="49">
        <v>1889469.5</v>
      </c>
      <c r="F2" s="49">
        <v>1677427.5</v>
      </c>
      <c r="G2" s="17">
        <f t="shared" ref="G2:G13" si="0">C2+D2+E2+F2</f>
        <v>7396955.5</v>
      </c>
      <c r="H2" s="17">
        <f t="shared" ref="H2:H13" si="1">(B2 + stillbirth*B2/(1000-stillbirth))/(1-abortion)</f>
        <v>540928.59286609432</v>
      </c>
      <c r="I2" s="17">
        <f t="shared" ref="I2:I13" si="2">G2-H2</f>
        <v>6856026.9071339052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487173</v>
      </c>
      <c r="C3" s="50">
        <v>1683673.5</v>
      </c>
      <c r="D3" s="50">
        <v>2303568.5</v>
      </c>
      <c r="E3" s="50">
        <v>1913197</v>
      </c>
      <c r="F3" s="50">
        <v>1696814.5</v>
      </c>
      <c r="G3" s="17">
        <f t="shared" si="0"/>
        <v>7597253.5</v>
      </c>
      <c r="H3" s="17">
        <f t="shared" si="1"/>
        <v>559587.12538907945</v>
      </c>
      <c r="I3" s="17">
        <f t="shared" si="2"/>
        <v>7037666.3746109204</v>
      </c>
    </row>
    <row r="4" spans="1:9" ht="15.75" customHeight="1" x14ac:dyDescent="0.25">
      <c r="A4" s="5">
        <f t="shared" si="3"/>
        <v>2026</v>
      </c>
      <c r="B4" s="49">
        <v>501107</v>
      </c>
      <c r="C4" s="50">
        <v>1690171.5</v>
      </c>
      <c r="D4" s="50">
        <v>2432944.5</v>
      </c>
      <c r="E4" s="50">
        <v>1935104.5</v>
      </c>
      <c r="F4" s="50">
        <v>1712501.5</v>
      </c>
      <c r="G4" s="17">
        <f t="shared" si="0"/>
        <v>7770722</v>
      </c>
      <c r="H4" s="17">
        <f t="shared" si="1"/>
        <v>575592.29604749323</v>
      </c>
      <c r="I4" s="17">
        <f t="shared" si="2"/>
        <v>7195129.7039525071</v>
      </c>
    </row>
    <row r="5" spans="1:9" ht="15.75" customHeight="1" x14ac:dyDescent="0.25">
      <c r="A5" s="5">
        <f t="shared" si="3"/>
        <v>2027</v>
      </c>
      <c r="B5" s="49">
        <v>512799</v>
      </c>
      <c r="C5" s="50">
        <v>1684717.5</v>
      </c>
      <c r="D5" s="50">
        <v>2550889.5</v>
      </c>
      <c r="E5" s="50">
        <v>1956818.5</v>
      </c>
      <c r="F5" s="50">
        <v>1726073</v>
      </c>
      <c r="G5" s="17">
        <f t="shared" si="0"/>
        <v>7918498.5</v>
      </c>
      <c r="H5" s="17">
        <f t="shared" si="1"/>
        <v>589022.21246332314</v>
      </c>
      <c r="I5" s="17">
        <f t="shared" si="2"/>
        <v>7329476.287536677</v>
      </c>
    </row>
    <row r="6" spans="1:9" ht="15.75" customHeight="1" x14ac:dyDescent="0.25">
      <c r="A6" s="5">
        <f t="shared" si="3"/>
        <v>2028</v>
      </c>
      <c r="B6" s="49">
        <v>521890</v>
      </c>
      <c r="C6" s="50">
        <v>1670808.5</v>
      </c>
      <c r="D6" s="50">
        <v>2654184</v>
      </c>
      <c r="E6" s="50">
        <v>1982837</v>
      </c>
      <c r="F6" s="50">
        <v>1738387.5</v>
      </c>
      <c r="G6" s="17">
        <f t="shared" si="0"/>
        <v>8046217</v>
      </c>
      <c r="H6" s="17">
        <f t="shared" si="1"/>
        <v>599464.51233813597</v>
      </c>
      <c r="I6" s="17">
        <f t="shared" si="2"/>
        <v>7446752.4876618637</v>
      </c>
    </row>
    <row r="7" spans="1:9" ht="15.75" customHeight="1" x14ac:dyDescent="0.25">
      <c r="A7" s="5">
        <f t="shared" si="3"/>
        <v>2029</v>
      </c>
      <c r="B7" s="49">
        <v>528576</v>
      </c>
      <c r="C7" s="50">
        <v>1651411</v>
      </c>
      <c r="D7" s="50">
        <v>2739176.5</v>
      </c>
      <c r="E7" s="50">
        <v>2016315.5</v>
      </c>
      <c r="F7" s="50">
        <v>1747946</v>
      </c>
      <c r="G7" s="17">
        <f t="shared" si="0"/>
        <v>8154849</v>
      </c>
      <c r="H7" s="17">
        <f t="shared" si="1"/>
        <v>607144.32940589497</v>
      </c>
      <c r="I7" s="17">
        <f t="shared" si="2"/>
        <v>7547704.6705941055</v>
      </c>
    </row>
    <row r="8" spans="1:9" ht="15.75" customHeight="1" x14ac:dyDescent="0.25">
      <c r="A8" s="5">
        <f t="shared" si="3"/>
        <v>2030</v>
      </c>
      <c r="B8" s="49">
        <v>532741</v>
      </c>
      <c r="C8" s="50">
        <v>1628400</v>
      </c>
      <c r="D8" s="50">
        <v>2802328.5</v>
      </c>
      <c r="E8" s="50">
        <v>2058865.5</v>
      </c>
      <c r="F8" s="50">
        <v>1754259</v>
      </c>
      <c r="G8" s="17">
        <f t="shared" si="0"/>
        <v>8243853</v>
      </c>
      <c r="H8" s="17">
        <f t="shared" si="1"/>
        <v>611928.42125262192</v>
      </c>
      <c r="I8" s="17">
        <f t="shared" si="2"/>
        <v>7631924.5787473777</v>
      </c>
    </row>
    <row r="9" spans="1:9" ht="15.75" customHeight="1" x14ac:dyDescent="0.25">
      <c r="A9" s="5">
        <f t="shared" si="3"/>
        <v>2031</v>
      </c>
      <c r="B9" s="49">
        <v>533054</v>
      </c>
      <c r="C9" s="50">
        <v>1601894</v>
      </c>
      <c r="D9" s="50">
        <v>2842991.5</v>
      </c>
      <c r="E9" s="50">
        <v>2111223.5</v>
      </c>
      <c r="F9" s="50">
        <v>1757463.5</v>
      </c>
      <c r="G9" s="17">
        <f t="shared" si="0"/>
        <v>8313572.5</v>
      </c>
      <c r="H9" s="17">
        <f t="shared" si="1"/>
        <v>612287.94604206376</v>
      </c>
      <c r="I9" s="17">
        <f t="shared" si="2"/>
        <v>7701284.5539579364</v>
      </c>
    </row>
    <row r="10" spans="1:9" ht="15.75" customHeight="1" x14ac:dyDescent="0.25">
      <c r="A10" s="5">
        <f t="shared" si="3"/>
        <v>2032</v>
      </c>
      <c r="B10" s="49">
        <v>532998</v>
      </c>
      <c r="C10" s="50">
        <v>1570132.5</v>
      </c>
      <c r="D10" s="50">
        <v>2862283.5</v>
      </c>
      <c r="E10" s="50">
        <v>2173874.5</v>
      </c>
      <c r="F10" s="50">
        <v>1758063</v>
      </c>
      <c r="G10" s="17">
        <f t="shared" si="0"/>
        <v>8364353.5</v>
      </c>
      <c r="H10" s="17">
        <f t="shared" si="1"/>
        <v>612223.62211807421</v>
      </c>
      <c r="I10" s="17">
        <f t="shared" si="2"/>
        <v>7752129.8778819256</v>
      </c>
    </row>
    <row r="11" spans="1:9" ht="15.75" customHeight="1" x14ac:dyDescent="0.25">
      <c r="A11" s="5">
        <f t="shared" si="3"/>
        <v>2033</v>
      </c>
      <c r="B11" s="49">
        <v>532649</v>
      </c>
      <c r="C11" s="50">
        <v>1530796.5</v>
      </c>
      <c r="D11" s="50">
        <v>2863312.5</v>
      </c>
      <c r="E11" s="50">
        <v>2246510.5</v>
      </c>
      <c r="F11" s="50">
        <v>1756969</v>
      </c>
      <c r="G11" s="17">
        <f t="shared" si="0"/>
        <v>8397588.5</v>
      </c>
      <c r="H11" s="17">
        <f t="shared" si="1"/>
        <v>611822.74623463908</v>
      </c>
      <c r="I11" s="17">
        <f t="shared" si="2"/>
        <v>7785765.7537653614</v>
      </c>
    </row>
    <row r="12" spans="1:9" ht="15.75" customHeight="1" x14ac:dyDescent="0.25">
      <c r="A12" s="5">
        <f t="shared" si="3"/>
        <v>2034</v>
      </c>
      <c r="B12" s="49">
        <v>529086</v>
      </c>
      <c r="C12" s="50">
        <v>1485986</v>
      </c>
      <c r="D12" s="50">
        <v>2849054</v>
      </c>
      <c r="E12" s="50">
        <v>2327280</v>
      </c>
      <c r="F12" s="50">
        <v>1755052.5</v>
      </c>
      <c r="G12" s="17">
        <f t="shared" si="0"/>
        <v>8417372.5</v>
      </c>
      <c r="H12" s="17">
        <f t="shared" si="1"/>
        <v>607730.13657080021</v>
      </c>
      <c r="I12" s="17">
        <f t="shared" si="2"/>
        <v>7809642.3634291999</v>
      </c>
    </row>
    <row r="13" spans="1:9" ht="15.75" customHeight="1" x14ac:dyDescent="0.25">
      <c r="A13" s="5">
        <f t="shared" si="3"/>
        <v>2035</v>
      </c>
      <c r="B13" s="49">
        <v>524693</v>
      </c>
      <c r="C13" s="50">
        <v>1441171.5</v>
      </c>
      <c r="D13" s="50">
        <v>2821682</v>
      </c>
      <c r="E13" s="50">
        <v>2413337</v>
      </c>
      <c r="F13" s="50">
        <v>1753489.5</v>
      </c>
      <c r="G13" s="17">
        <f t="shared" si="0"/>
        <v>8429680</v>
      </c>
      <c r="H13" s="17">
        <f t="shared" si="1"/>
        <v>602684.15446211572</v>
      </c>
      <c r="I13" s="17">
        <f t="shared" si="2"/>
        <v>7826995.8455378842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xYFne2vZ4K8J7WEq+AesXTLU3leqCQB2jdrpyU5KXcWmwEmiMGTawEWZcxdlX8+03tJF0kKJaZJeEF4KBrK6w==" saltValue="aXV50npB4m932MdHpv77f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0.16119969142408941</v>
      </c>
    </row>
    <row r="5" spans="1:8" ht="15.75" customHeight="1" x14ac:dyDescent="0.25">
      <c r="B5" s="19" t="s">
        <v>95</v>
      </c>
      <c r="C5" s="101">
        <v>6.5832262834305141E-2</v>
      </c>
    </row>
    <row r="6" spans="1:8" ht="15.75" customHeight="1" x14ac:dyDescent="0.25">
      <c r="B6" s="19" t="s">
        <v>91</v>
      </c>
      <c r="C6" s="101">
        <v>0.14184394821056301</v>
      </c>
    </row>
    <row r="7" spans="1:8" ht="15.75" customHeight="1" x14ac:dyDescent="0.25">
      <c r="B7" s="19" t="s">
        <v>96</v>
      </c>
      <c r="C7" s="101">
        <v>0.39461551247407772</v>
      </c>
    </row>
    <row r="8" spans="1:8" ht="15.75" customHeight="1" x14ac:dyDescent="0.25">
      <c r="B8" s="19" t="s">
        <v>98</v>
      </c>
      <c r="C8" s="101">
        <v>7.4852374206232171E-5</v>
      </c>
    </row>
    <row r="9" spans="1:8" ht="15.75" customHeight="1" x14ac:dyDescent="0.25">
      <c r="B9" s="19" t="s">
        <v>92</v>
      </c>
      <c r="C9" s="101">
        <v>0.1777144467984253</v>
      </c>
    </row>
    <row r="10" spans="1:8" ht="15.75" customHeight="1" x14ac:dyDescent="0.25">
      <c r="B10" s="19" t="s">
        <v>94</v>
      </c>
      <c r="C10" s="101">
        <v>5.8719285884333283E-2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102</v>
      </c>
      <c r="C15" s="101">
        <v>0.27581630038978422</v>
      </c>
      <c r="D15" s="101">
        <v>0.27581630038978422</v>
      </c>
      <c r="E15" s="101">
        <v>0.27581630038978422</v>
      </c>
      <c r="F15" s="101">
        <v>0.27581630038978422</v>
      </c>
    </row>
    <row r="16" spans="1:8" ht="15.75" customHeight="1" x14ac:dyDescent="0.25">
      <c r="B16" s="19" t="s">
        <v>2</v>
      </c>
      <c r="C16" s="101">
        <v>5.0478112893712693E-2</v>
      </c>
      <c r="D16" s="101">
        <v>5.0478112893712693E-2</v>
      </c>
      <c r="E16" s="101">
        <v>5.0478112893712693E-2</v>
      </c>
      <c r="F16" s="101">
        <v>5.0478112893712693E-2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3.0939452737560089E-2</v>
      </c>
      <c r="D18" s="101">
        <v>3.0939452737560089E-2</v>
      </c>
      <c r="E18" s="101">
        <v>3.0939452737560089E-2</v>
      </c>
      <c r="F18" s="101">
        <v>3.0939452737560089E-2</v>
      </c>
    </row>
    <row r="19" spans="1:8" ht="15.75" customHeight="1" x14ac:dyDescent="0.25">
      <c r="B19" s="19" t="s">
        <v>101</v>
      </c>
      <c r="C19" s="101">
        <v>1.026055393849703E-2</v>
      </c>
      <c r="D19" s="101">
        <v>1.026055393849703E-2</v>
      </c>
      <c r="E19" s="101">
        <v>1.026055393849703E-2</v>
      </c>
      <c r="F19" s="101">
        <v>1.026055393849703E-2</v>
      </c>
    </row>
    <row r="20" spans="1:8" ht="15.75" customHeight="1" x14ac:dyDescent="0.25">
      <c r="B20" s="19" t="s">
        <v>79</v>
      </c>
      <c r="C20" s="101">
        <v>3.5903363395069353E-2</v>
      </c>
      <c r="D20" s="101">
        <v>3.5903363395069353E-2</v>
      </c>
      <c r="E20" s="101">
        <v>3.5903363395069353E-2</v>
      </c>
      <c r="F20" s="101">
        <v>3.5903363395069353E-2</v>
      </c>
    </row>
    <row r="21" spans="1:8" ht="15.75" customHeight="1" x14ac:dyDescent="0.25">
      <c r="B21" s="19" t="s">
        <v>88</v>
      </c>
      <c r="C21" s="101">
        <v>0.31616327977805031</v>
      </c>
      <c r="D21" s="101">
        <v>0.31616327977805031</v>
      </c>
      <c r="E21" s="101">
        <v>0.31616327977805031</v>
      </c>
      <c r="F21" s="101">
        <v>0.31616327977805031</v>
      </c>
    </row>
    <row r="22" spans="1:8" ht="15.75" customHeight="1" x14ac:dyDescent="0.25">
      <c r="B22" s="19" t="s">
        <v>99</v>
      </c>
      <c r="C22" s="101">
        <v>0.1001602582472108</v>
      </c>
      <c r="D22" s="101">
        <v>0.1001602582472108</v>
      </c>
      <c r="E22" s="101">
        <v>0.1001602582472108</v>
      </c>
      <c r="F22" s="101">
        <v>0.1001602582472108</v>
      </c>
    </row>
    <row r="23" spans="1:8" ht="15.75" customHeight="1" x14ac:dyDescent="0.25">
      <c r="B23" s="27" t="s">
        <v>60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5.6534050000000002E-2</v>
      </c>
    </row>
    <row r="27" spans="1:8" ht="15.75" customHeight="1" x14ac:dyDescent="0.25">
      <c r="B27" s="19" t="s">
        <v>89</v>
      </c>
      <c r="C27" s="101">
        <v>3.5322311000000002E-2</v>
      </c>
    </row>
    <row r="28" spans="1:8" ht="15.75" customHeight="1" x14ac:dyDescent="0.25">
      <c r="B28" s="19" t="s">
        <v>103</v>
      </c>
      <c r="C28" s="101">
        <v>4.2593103E-2</v>
      </c>
    </row>
    <row r="29" spans="1:8" ht="15.75" customHeight="1" x14ac:dyDescent="0.25">
      <c r="B29" s="19" t="s">
        <v>86</v>
      </c>
      <c r="C29" s="101">
        <v>0.27419058800000001</v>
      </c>
    </row>
    <row r="30" spans="1:8" ht="15.75" customHeight="1" x14ac:dyDescent="0.25">
      <c r="B30" s="19" t="s">
        <v>4</v>
      </c>
      <c r="C30" s="101">
        <v>6.2699299999999999E-2</v>
      </c>
    </row>
    <row r="31" spans="1:8" ht="15.75" customHeight="1" x14ac:dyDescent="0.25">
      <c r="B31" s="19" t="s">
        <v>80</v>
      </c>
      <c r="C31" s="101">
        <v>0.140173941</v>
      </c>
    </row>
    <row r="32" spans="1:8" ht="15.75" customHeight="1" x14ac:dyDescent="0.25">
      <c r="B32" s="19" t="s">
        <v>85</v>
      </c>
      <c r="C32" s="101">
        <v>2.4544165999999999E-2</v>
      </c>
    </row>
    <row r="33" spans="2:3" ht="15.75" customHeight="1" x14ac:dyDescent="0.25">
      <c r="B33" s="19" t="s">
        <v>100</v>
      </c>
      <c r="C33" s="101">
        <v>0.119318915</v>
      </c>
    </row>
    <row r="34" spans="2:3" ht="15.75" customHeight="1" x14ac:dyDescent="0.25">
      <c r="B34" s="19" t="s">
        <v>87</v>
      </c>
      <c r="C34" s="101">
        <v>0.24462362800000001</v>
      </c>
    </row>
    <row r="35" spans="2:3" ht="15.75" customHeight="1" x14ac:dyDescent="0.25">
      <c r="B35" s="27" t="s">
        <v>60</v>
      </c>
      <c r="C35" s="48">
        <f>SUM(C26:C34)</f>
        <v>1.0000000019999999</v>
      </c>
    </row>
  </sheetData>
  <sheetProtection algorithmName="SHA-512" hashValue="UAhoLfSris2WYR77MQm66OYBSbofDkXYPqmw7uClq2frwOpQSSsx8SQOf0mAaJD9tcQGVCFZXUoK7dbAcHZ4fg==" saltValue="gq/NycZS2BaXaHdgxNxbm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110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106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107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119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0.10628020924999999</v>
      </c>
      <c r="D14" s="54">
        <v>0.10001147951100001</v>
      </c>
      <c r="E14" s="54">
        <v>0.10001147951100001</v>
      </c>
      <c r="F14" s="54">
        <v>3.3530111506E-2</v>
      </c>
      <c r="G14" s="54">
        <v>3.3530111506E-2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6.1654956149482243E-2</v>
      </c>
      <c r="D15" s="52">
        <f t="shared" si="0"/>
        <v>5.8018359459482791E-2</v>
      </c>
      <c r="E15" s="52">
        <f t="shared" si="0"/>
        <v>5.8018359459482791E-2</v>
      </c>
      <c r="F15" s="52">
        <f t="shared" si="0"/>
        <v>1.9451387696526202E-2</v>
      </c>
      <c r="G15" s="52">
        <f t="shared" si="0"/>
        <v>1.9451387696526202E-2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Yyh91qnbIewH0pmnhSUFEEQiyo/2SGkjsD7H4mRzQgxx346YpM5nlpO6ju4TCcDrDND1kp834My8Mu90/XnZA==" saltValue="+djWgnLyxoQYVaQItBlu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125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/GpE7gc/hcoUj+MCIPhcn4iAJ4foMbOmhnaCxcaog9VqVH2z+bgVsjpx13Opm8VXteX9My+wwr7ZWnNZ2VURtw==" saltValue="+Ui+X5oBSlNEwuOiuBwz4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SqCgw/nB6FPQVOYbfwKmtztxGpqlBwPuBSslCY/Bk+d5rcZA2V7B+RVhMA+R6AZHX7CYSJYFu8YWe+Wgmp0fg==" saltValue="sOrFNfvGqbmUR+DyayMk0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l1TYQjZnuTg/rjhvU6R4gLD6XoEXkqnAXxZwjTvLbrtfYBgENDZA69iyys/eWGj7bK2TYrGWuXMFJs78npdQSw==" saltValue="TxpHfzQfFKy6V1zzbxsII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l3/YbPSYBnBKekebY5pmn5VVN3FKSPaTVF1Udbw7vFIxJZ1QmVqEa/1+Mg5e6bf6gbg73LQ/Iipuncj36f/n+w==" saltValue="KE8uSZSP5pE3R9xxgfGsJ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DPhICeuPB4HIdmtpoQ5QrXnPljOkvhrYoMPOK2An1BeSnkdkcP02LAFu3BZHf4A3zecMwPM+fcqlMjb8Xm6Jng==" saltValue="bo7f6kCbk0O9VeWwyJNT+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91.27399970601509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43.717353164893979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935.6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1.572771923276882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14.73506506491457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14.73506506491457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14.73506506491457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14.73506506491457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14.73506506491457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14.73506506491457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0.67</v>
      </c>
      <c r="C16" s="98">
        <v>0.95</v>
      </c>
      <c r="D16" s="56">
        <v>1.474307802764647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0.13023111111111099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0.119632645</v>
      </c>
      <c r="C18" s="98">
        <v>0.95</v>
      </c>
      <c r="D18" s="56">
        <v>21.412062375026149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0.98395579999999994</v>
      </c>
      <c r="C19" s="98">
        <v>0.95</v>
      </c>
      <c r="D19" s="56">
        <v>21.412062375026149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0.78326970000000007</v>
      </c>
      <c r="C21" s="98">
        <v>0.95</v>
      </c>
      <c r="D21" s="56">
        <v>17.19927253299581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25.79440028261962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5.2081376493661544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0.90653673999999995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20.734427315471159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0.71090409500000007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189.5238105577576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0.83911365311495534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3.2374309865658208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8.6805561005393574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w3Z35jaKwA6tXkLnoszYd86e33CWsZ6UAEg2F8n+PvcllVjhXjIegtZRYztgDtqmo9QnOTKFfuuv36wojdjRHA==" saltValue="0Hh8Q/TBOIy2W2OqDHI0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v+7rkBSkuM3/wnnTfEEcN+A/jerI21fQKeGzS5hI30ZabmJZFb05cRhB6U/Ytto/VqPiPIe9QV8zn8SCJdHzw==" saltValue="f3onup7fcmKuyEg33frQ9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vqMiJ4S7GtJVrCehsck8KGZD4i5caV8InLPx5wzjwyPZ2FTbCdAwwUUaow2gbDXyy+QFmlVA6Mgpu/CuDE0Gw==" saltValue="I+PsPNY2HKQVIWdTX7UVT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207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FJluIi6Wpb0FYFRjhcoLGN6yCfF/UsRJ3lfTlTwsxoiQxW6hnZMbZ7WDgTYEF2JprM6ZSq8cXZ6ATJSVhSKZrA==" saltValue="ptTpDzAE8imrqVwiFPZcR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0.10199999999999999</v>
      </c>
      <c r="E2" s="60">
        <f>food_insecure</f>
        <v>0.10199999999999999</v>
      </c>
      <c r="F2" s="60">
        <f>food_insecure</f>
        <v>0.10199999999999999</v>
      </c>
      <c r="G2" s="60">
        <f>food_insecure</f>
        <v>0.10199999999999999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0.10199999999999999</v>
      </c>
      <c r="F5" s="60">
        <f>food_insecure</f>
        <v>0.10199999999999999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0.10199999999999999</v>
      </c>
      <c r="F8" s="60">
        <f>food_insecure</f>
        <v>0.10199999999999999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0.10199999999999999</v>
      </c>
      <c r="F9" s="60">
        <f>food_insecure</f>
        <v>0.10199999999999999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0.10199999999999999</v>
      </c>
      <c r="I15" s="60">
        <f>food_insecure</f>
        <v>0.10199999999999999</v>
      </c>
      <c r="J15" s="60">
        <f>food_insecure</f>
        <v>0.10199999999999999</v>
      </c>
      <c r="K15" s="60">
        <f>food_insecure</f>
        <v>0.10199999999999999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0.13754826470794676</v>
      </c>
      <c r="M25" s="60">
        <f>(1-food_insecure)*(0.49)+food_insecure*(0.7)</f>
        <v>0.51141999999999999</v>
      </c>
      <c r="N25" s="60">
        <f>(1-food_insecure)*(0.49)+food_insecure*(0.7)</f>
        <v>0.51141999999999999</v>
      </c>
      <c r="O25" s="60">
        <f>(1-food_insecure)*(0.49)+food_insecure*(0.7)</f>
        <v>0.51141999999999999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5.894925630340575E-2</v>
      </c>
      <c r="M26" s="60">
        <f>(1-food_insecure)*(0.21)+food_insecure*(0.3)</f>
        <v>0.21917999999999999</v>
      </c>
      <c r="N26" s="60">
        <f>(1-food_insecure)*(0.21)+food_insecure*(0.3)</f>
        <v>0.21917999999999999</v>
      </c>
      <c r="O26" s="60">
        <f>(1-food_insecure)*(0.21)+food_insecure*(0.3)</f>
        <v>0.21917999999999999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7.2456107528686503E-2</v>
      </c>
      <c r="M27" s="60">
        <f>(1-food_insecure)*(0.3)</f>
        <v>0.26939999999999997</v>
      </c>
      <c r="N27" s="60">
        <f>(1-food_insecure)*(0.3)</f>
        <v>0.26939999999999997</v>
      </c>
      <c r="O27" s="60">
        <f>(1-food_insecure)*(0.3)</f>
        <v>0.26939999999999997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0.73104637145996099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bjY1dMyRBr2NrQ/4IRv46NtJdmwB0tS5e2txD7Fxa8BhP8qa2mlGYhUzUmLngsJUtCpvjSlamVBIZ1VgbixNQ==" saltValue="UofeBVUcoJBSopDI1y208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goi67g3OvE1wo/OOEA+q0tAPcZQbfU7cXXrdU2J2wB+vlnHtAbur5LbzxRprrK51/vRyDLqBAoKlrlbofB6OPg==" saltValue="XeX5Vhm8KtxzJsX5G0zLK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FSIeXBnHXOOEzpBo4pUts8Is0PNBGlsyoU53PYuAhiHsOHnGNnHeWVAHG8xxppKpl+cwdZ52fFwthKtuyXn8w==" saltValue="rcDxtUYHCItEJ0cUA/2M5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GbH8qA2KeCFdQu2KNN316mmKadafdCZjVihdMeAXFm7LcuNnEyPbW/EveVi5+/s6bqcQyE64RLMN5RuVk8yzg==" saltValue="yqa/7Q9vAF7cFuLQgQDZm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2nV6DQ3xbhPp+RccDsB9dq79c7/+FISMmebGVmMjjyAfEhinVUZZHy1gzsxwRXVsh3z8zRBRx1WsiE9i+5srow==" saltValue="PU8gKb4eNcWG3c6ZPw+rs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LRjpOQbw7SVSCmI2fI+URxep8DQ77wlzmuhiMlfO5Eso3s2/67v2Gk5RZraJ098uY1zaoByF0YzVfmoNdaJ8SA==" saltValue="eBI4aFb0Oi0WhUUA0xciN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obQQEPK7OE2aRRgICJnbBbxiPCYjDrQz2nLnkZp8VGqXUL1OrLRMqkK19C3IqqdiUPIbAp/3jOLg6sNcOFq6g==" saltValue="JnpdvJpxFLJy3TScKx9bv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YAMCQ0bJa6bta6y+UxdRxyYJ1kUOBUCC9d2j0aHzCycHBrMbUwgGkRJN+Q+NSloGWvquM4WmOSer1rJCNt/YQ==" saltValue="99RQF4l+wF/GFFj/lrUz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ou0PAL8kCZa/EN6UCzbMYsQUfluKIYvU7bltGIgujBzj/4XWkvn7IzshiyIFsU/EQSvctIun6Lxd1aVLHTjcg==" saltValue="9/P1wMiOlSgVjEzVjV4B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Wl0C7922AEXB5bIc1a1srqKi/W9KUAZsZdn5JhdiKStmO0IcI1l3tgFITK8uzk7NM+quRb6f7Gp1L9s0/0RYw==" saltValue="kmclBGE6PsVxtoc1Kucj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SHZjnifZHZTjfSqIgl49MconPnd11aHfGKaX0nZqmkYpmazlvfVCNtUvtTjVTlAGJzgAwkJm7AkbY5yd7CSk3w==" saltValue="nh+UqTMfQwIQJr68mhGp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o7CZ6bqsIHtQG4iKtG8c3n8HI5M0r7MwLmVuOYowxyraPW/ootb8+2FslPlWEFU8699Cklbhzf1sRcgrhZ6MA==" saltValue="9HJIgRGLpylo6GjnEA+C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uuK/orMH+NIundwxzkjrure8fOMBZ3+3ANXpyW4WlLPHZZZKGiDZ6sFOZT+Q5ZGesTvonmFXaAB4x6CRruoJkQ==" saltValue="6zjwU4XGpvX7FfFTA75bV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Vpbzd56HDhh4CtKFMsgAtFaVCC1xWSCUEwdf8TLHcAffbOlH/OQGp8a9/nyjiEXF9LFEw9AIa6qyhuobz1aXg==" saltValue="4WiJGNX+FEDgWhK2FdUy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VsNMnNkzORxyUn7faPBJsgeH83yfht2UYQcIyHqGdo0FTQT8P/7lijI7AtOXOaQQ/n/UzA4JfMTvvog9vxmbhQ==" saltValue="swriLM78Tq7egdy8AMCJV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2024-05-17T00:05:49Z</dcterms:modified>
</cp:coreProperties>
</file>