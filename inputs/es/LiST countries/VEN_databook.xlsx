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458559E-FCCE-4528-BE56-3FE0C8C077F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2" i="2"/>
  <c r="A31" i="2"/>
  <c r="A21" i="2"/>
  <c r="A20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3" i="2" l="1"/>
  <c r="A33" i="2"/>
  <c r="I4" i="2"/>
  <c r="A24" i="2"/>
  <c r="A34" i="2"/>
  <c r="A25" i="2"/>
  <c r="A16" i="2"/>
  <c r="A26" i="2"/>
  <c r="A37" i="2"/>
  <c r="A17" i="2"/>
  <c r="A28" i="2"/>
  <c r="I38" i="2"/>
  <c r="A15" i="2"/>
  <c r="A3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I12" i="2"/>
  <c r="A18" i="2"/>
  <c r="A29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<sst xmlns="http://schemas.openxmlformats.org/spreadsheetml/2006/main" count="2101" uniqueCount="341">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</sst>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2269547.265625</v>
      </c>
    </row>
    <row r="8" spans="1:3" ht="15" customHeight="1" x14ac:dyDescent="0.25">
      <c r="B8" s="5" t="s">
        <v>44</v>
      </c>
      <c r="C8" s="44">
        <v>0.10199999999999999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0.73104637145996099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0.18629999999999999</v>
      </c>
    </row>
    <row r="24" spans="1:3" ht="15" customHeight="1" x14ac:dyDescent="0.25">
      <c r="B24" s="15" t="s">
        <v>46</v>
      </c>
      <c r="C24" s="45">
        <v>0.53220000000000001</v>
      </c>
    </row>
    <row r="25" spans="1:3" ht="15" customHeight="1" x14ac:dyDescent="0.25">
      <c r="B25" s="15" t="s">
        <v>47</v>
      </c>
      <c r="C25" s="45">
        <v>0.24540000000000001</v>
      </c>
    </row>
    <row r="26" spans="1:3" ht="15" customHeight="1" x14ac:dyDescent="0.25">
      <c r="B26" s="15" t="s">
        <v>48</v>
      </c>
      <c r="C26" s="45">
        <v>3.61E-2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0.34994163924792399</v>
      </c>
    </row>
    <row r="30" spans="1:3" ht="14.25" customHeight="1" x14ac:dyDescent="0.25">
      <c r="B30" s="25" t="s">
        <v>63</v>
      </c>
      <c r="C30" s="99">
        <v>0.10516916316476101</v>
      </c>
    </row>
    <row r="31" spans="1:3" ht="14.25" customHeight="1" x14ac:dyDescent="0.25">
      <c r="B31" s="25" t="s">
        <v>10</v>
      </c>
      <c r="C31" s="99">
        <v>8.4505866375242988E-2</v>
      </c>
    </row>
    <row r="32" spans="1:3" ht="14.25" customHeight="1" x14ac:dyDescent="0.25">
      <c r="B32" s="25" t="s">
        <v>11</v>
      </c>
      <c r="C32" s="99">
        <v>0.46038333121207198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14.99222</v>
      </c>
    </row>
    <row r="38" spans="1:5" ht="15" customHeight="1" x14ac:dyDescent="0.25">
      <c r="B38" s="11" t="s">
        <v>35</v>
      </c>
      <c r="C38" s="43">
        <v>21.063030000000001</v>
      </c>
      <c r="D38" s="12"/>
      <c r="E38" s="13"/>
    </row>
    <row r="39" spans="1:5" ht="15" customHeight="1" x14ac:dyDescent="0.25">
      <c r="B39" s="11" t="s">
        <v>61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7.0407000000000004E-3</v>
      </c>
      <c r="D45" s="12"/>
    </row>
    <row r="46" spans="1:5" ht="15.75" customHeight="1" x14ac:dyDescent="0.25">
      <c r="B46" s="11" t="s">
        <v>51</v>
      </c>
      <c r="C46" s="45">
        <v>7.5650899999999993E-2</v>
      </c>
      <c r="D46" s="12"/>
    </row>
    <row r="47" spans="1:5" ht="15.75" customHeight="1" x14ac:dyDescent="0.25">
      <c r="B47" s="11" t="s">
        <v>59</v>
      </c>
      <c r="C47" s="45">
        <v>7.4305499999999997E-2</v>
      </c>
      <c r="D47" s="12"/>
      <c r="E47" s="13"/>
    </row>
    <row r="48" spans="1:5" ht="15" customHeight="1" x14ac:dyDescent="0.25">
      <c r="B48" s="11" t="s">
        <v>58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0.58011699999999999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9.1047744999999902E-2</v>
      </c>
    </row>
    <row r="63" spans="1:4" ht="15.75" customHeight="1" x14ac:dyDescent="0.3">
      <c r="A63" s="4"/>
    </row>
  </sheetData>
  <sheetProtection algorithmName="SHA-512" hashValue="cITwxbEeaSpAuDngZ3RqaTALFcLg2RXD2mfSCaY4jCXhP2BjTZkQemCb7ABuZAm9G5xb0hYmpsD8BoV9s6f+ww==" saltValue="JPk4YugleOQH4lfOWmU/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470929</v>
      </c>
      <c r="C2" s="49">
        <v>1661551.5</v>
      </c>
      <c r="D2" s="49">
        <v>2168507</v>
      </c>
      <c r="E2" s="49">
        <v>1889469.5</v>
      </c>
      <c r="F2" s="49">
        <v>1677427.5</v>
      </c>
      <c r="G2" s="17">
        <f t="shared" ref="G2:G13" si="0">C2+D2+E2+F2</f>
        <v>7396955.5</v>
      </c>
      <c r="H2" s="17">
        <f t="shared" ref="H2:H13" si="1">(B2 + stillbirth*B2/(1000-stillbirth))/(1-abortion)</f>
        <v>540928.59286609432</v>
      </c>
      <c r="I2" s="17">
        <f t="shared" ref="I2:I13" si="2">G2-H2</f>
        <v>6856026.9071339052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487173</v>
      </c>
      <c r="C3" s="50">
        <v>1683673.5</v>
      </c>
      <c r="D3" s="50">
        <v>2303568.5</v>
      </c>
      <c r="E3" s="50">
        <v>1913197</v>
      </c>
      <c r="F3" s="50">
        <v>1696814.5</v>
      </c>
      <c r="G3" s="17">
        <f t="shared" si="0"/>
        <v>7597253.5</v>
      </c>
      <c r="H3" s="17">
        <f t="shared" si="1"/>
        <v>559587.12538907945</v>
      </c>
      <c r="I3" s="17">
        <f t="shared" si="2"/>
        <v>7037666.3746109204</v>
      </c>
    </row>
    <row r="4" spans="1:9" ht="15.75" customHeight="1" x14ac:dyDescent="0.25">
      <c r="A4" s="5">
        <f t="shared" si="3"/>
        <v>2026</v>
      </c>
      <c r="B4" s="49">
        <v>501107</v>
      </c>
      <c r="C4" s="50">
        <v>1690171.5</v>
      </c>
      <c r="D4" s="50">
        <v>2432944.5</v>
      </c>
      <c r="E4" s="50">
        <v>1935104.5</v>
      </c>
      <c r="F4" s="50">
        <v>1712501.5</v>
      </c>
      <c r="G4" s="17">
        <f t="shared" si="0"/>
        <v>7770722</v>
      </c>
      <c r="H4" s="17">
        <f t="shared" si="1"/>
        <v>575592.29604749323</v>
      </c>
      <c r="I4" s="17">
        <f t="shared" si="2"/>
        <v>7195129.7039525071</v>
      </c>
    </row>
    <row r="5" spans="1:9" ht="15.75" customHeight="1" x14ac:dyDescent="0.25">
      <c r="A5" s="5">
        <f t="shared" si="3"/>
        <v>2027</v>
      </c>
      <c r="B5" s="49">
        <v>512799</v>
      </c>
      <c r="C5" s="50">
        <v>1684717.5</v>
      </c>
      <c r="D5" s="50">
        <v>2550889.5</v>
      </c>
      <c r="E5" s="50">
        <v>1956818.5</v>
      </c>
      <c r="F5" s="50">
        <v>1726073</v>
      </c>
      <c r="G5" s="17">
        <f t="shared" si="0"/>
        <v>7918498.5</v>
      </c>
      <c r="H5" s="17">
        <f t="shared" si="1"/>
        <v>589022.21246332314</v>
      </c>
      <c r="I5" s="17">
        <f t="shared" si="2"/>
        <v>7329476.287536677</v>
      </c>
    </row>
    <row r="6" spans="1:9" ht="15.75" customHeight="1" x14ac:dyDescent="0.25">
      <c r="A6" s="5">
        <f t="shared" si="3"/>
        <v>2028</v>
      </c>
      <c r="B6" s="49">
        <v>521890</v>
      </c>
      <c r="C6" s="50">
        <v>1670808.5</v>
      </c>
      <c r="D6" s="50">
        <v>2654184</v>
      </c>
      <c r="E6" s="50">
        <v>1982837</v>
      </c>
      <c r="F6" s="50">
        <v>1738387.5</v>
      </c>
      <c r="G6" s="17">
        <f t="shared" si="0"/>
        <v>8046217</v>
      </c>
      <c r="H6" s="17">
        <f t="shared" si="1"/>
        <v>599464.51233813597</v>
      </c>
      <c r="I6" s="17">
        <f t="shared" si="2"/>
        <v>7446752.4876618637</v>
      </c>
    </row>
    <row r="7" spans="1:9" ht="15.75" customHeight="1" x14ac:dyDescent="0.25">
      <c r="A7" s="5">
        <f t="shared" si="3"/>
        <v>2029</v>
      </c>
      <c r="B7" s="49">
        <v>528576</v>
      </c>
      <c r="C7" s="50">
        <v>1651411</v>
      </c>
      <c r="D7" s="50">
        <v>2739176.5</v>
      </c>
      <c r="E7" s="50">
        <v>2016315.5</v>
      </c>
      <c r="F7" s="50">
        <v>1747946</v>
      </c>
      <c r="G7" s="17">
        <f t="shared" si="0"/>
        <v>8154849</v>
      </c>
      <c r="H7" s="17">
        <f t="shared" si="1"/>
        <v>607144.32940589497</v>
      </c>
      <c r="I7" s="17">
        <f t="shared" si="2"/>
        <v>7547704.6705941055</v>
      </c>
    </row>
    <row r="8" spans="1:9" ht="15.75" customHeight="1" x14ac:dyDescent="0.25">
      <c r="A8" s="5">
        <f t="shared" si="3"/>
        <v>2030</v>
      </c>
      <c r="B8" s="49">
        <v>532741</v>
      </c>
      <c r="C8" s="50">
        <v>1628400</v>
      </c>
      <c r="D8" s="50">
        <v>2802328.5</v>
      </c>
      <c r="E8" s="50">
        <v>2058865.5</v>
      </c>
      <c r="F8" s="50">
        <v>1754259</v>
      </c>
      <c r="G8" s="17">
        <f t="shared" si="0"/>
        <v>8243853</v>
      </c>
      <c r="H8" s="17">
        <f t="shared" si="1"/>
        <v>611928.42125262192</v>
      </c>
      <c r="I8" s="17">
        <f t="shared" si="2"/>
        <v>7631924.5787473777</v>
      </c>
    </row>
    <row r="9" spans="1:9" ht="15.75" customHeight="1" x14ac:dyDescent="0.25">
      <c r="A9" s="5">
        <f t="shared" si="3"/>
        <v>2031</v>
      </c>
      <c r="B9" s="49">
        <v>533054</v>
      </c>
      <c r="C9" s="50">
        <v>1601894</v>
      </c>
      <c r="D9" s="50">
        <v>2842991.5</v>
      </c>
      <c r="E9" s="50">
        <v>2111223.5</v>
      </c>
      <c r="F9" s="50">
        <v>1757463.5</v>
      </c>
      <c r="G9" s="17">
        <f t="shared" si="0"/>
        <v>8313572.5</v>
      </c>
      <c r="H9" s="17">
        <f t="shared" si="1"/>
        <v>612287.94604206376</v>
      </c>
      <c r="I9" s="17">
        <f t="shared" si="2"/>
        <v>7701284.5539579364</v>
      </c>
    </row>
    <row r="10" spans="1:9" ht="15.75" customHeight="1" x14ac:dyDescent="0.25">
      <c r="A10" s="5">
        <f t="shared" si="3"/>
        <v>2032</v>
      </c>
      <c r="B10" s="49">
        <v>532998</v>
      </c>
      <c r="C10" s="50">
        <v>1570132.5</v>
      </c>
      <c r="D10" s="50">
        <v>2862283.5</v>
      </c>
      <c r="E10" s="50">
        <v>2173874.5</v>
      </c>
      <c r="F10" s="50">
        <v>1758063</v>
      </c>
      <c r="G10" s="17">
        <f t="shared" si="0"/>
        <v>8364353.5</v>
      </c>
      <c r="H10" s="17">
        <f t="shared" si="1"/>
        <v>612223.62211807421</v>
      </c>
      <c r="I10" s="17">
        <f t="shared" si="2"/>
        <v>7752129.8778819256</v>
      </c>
    </row>
    <row r="11" spans="1:9" ht="15.75" customHeight="1" x14ac:dyDescent="0.25">
      <c r="A11" s="5">
        <f t="shared" si="3"/>
        <v>2033</v>
      </c>
      <c r="B11" s="49">
        <v>532649</v>
      </c>
      <c r="C11" s="50">
        <v>1530796.5</v>
      </c>
      <c r="D11" s="50">
        <v>2863312.5</v>
      </c>
      <c r="E11" s="50">
        <v>2246510.5</v>
      </c>
      <c r="F11" s="50">
        <v>1756969</v>
      </c>
      <c r="G11" s="17">
        <f t="shared" si="0"/>
        <v>8397588.5</v>
      </c>
      <c r="H11" s="17">
        <f t="shared" si="1"/>
        <v>611822.74623463908</v>
      </c>
      <c r="I11" s="17">
        <f t="shared" si="2"/>
        <v>7785765.7537653614</v>
      </c>
    </row>
    <row r="12" spans="1:9" ht="15.75" customHeight="1" x14ac:dyDescent="0.25">
      <c r="A12" s="5">
        <f t="shared" si="3"/>
        <v>2034</v>
      </c>
      <c r="B12" s="49">
        <v>529086</v>
      </c>
      <c r="C12" s="50">
        <v>1485986</v>
      </c>
      <c r="D12" s="50">
        <v>2849054</v>
      </c>
      <c r="E12" s="50">
        <v>2327280</v>
      </c>
      <c r="F12" s="50">
        <v>1755052.5</v>
      </c>
      <c r="G12" s="17">
        <f t="shared" si="0"/>
        <v>8417372.5</v>
      </c>
      <c r="H12" s="17">
        <f t="shared" si="1"/>
        <v>607730.13657080021</v>
      </c>
      <c r="I12" s="17">
        <f t="shared" si="2"/>
        <v>7809642.3634291999</v>
      </c>
    </row>
    <row r="13" spans="1:9" ht="15.75" customHeight="1" x14ac:dyDescent="0.25">
      <c r="A13" s="5">
        <f t="shared" si="3"/>
        <v>2035</v>
      </c>
      <c r="B13" s="49">
        <v>524693</v>
      </c>
      <c r="C13" s="50">
        <v>1441171.5</v>
      </c>
      <c r="D13" s="50">
        <v>2821682</v>
      </c>
      <c r="E13" s="50">
        <v>2413337</v>
      </c>
      <c r="F13" s="50">
        <v>1753489.5</v>
      </c>
      <c r="G13" s="17">
        <f t="shared" si="0"/>
        <v>8429680</v>
      </c>
      <c r="H13" s="17">
        <f t="shared" si="1"/>
        <v>602684.15446211572</v>
      </c>
      <c r="I13" s="17">
        <f t="shared" si="2"/>
        <v>7826995.8455378842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6k2z2Bs9bz38Bh3Q12GYtyDB4O/DF93IAlsWqBO6aLLQ7oKUYd7oVGoT3N4nBLqnUtmuOJwnjNoW1AvXb2J7A==" saltValue="+5zE1tL3LK1KnbJTk8Rk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0.16119969142408941</v>
      </c>
    </row>
    <row r="5" spans="1:8" ht="15.75" customHeight="1" x14ac:dyDescent="0.25">
      <c r="B5" s="19" t="s">
        <v>95</v>
      </c>
      <c r="C5" s="101">
        <v>6.5832262834305141E-2</v>
      </c>
    </row>
    <row r="6" spans="1:8" ht="15.75" customHeight="1" x14ac:dyDescent="0.25">
      <c r="B6" s="19" t="s">
        <v>91</v>
      </c>
      <c r="C6" s="101">
        <v>0.14184394821056301</v>
      </c>
    </row>
    <row r="7" spans="1:8" ht="15.75" customHeight="1" x14ac:dyDescent="0.25">
      <c r="B7" s="19" t="s">
        <v>96</v>
      </c>
      <c r="C7" s="101">
        <v>0.39461551247407772</v>
      </c>
    </row>
    <row r="8" spans="1:8" ht="15.75" customHeight="1" x14ac:dyDescent="0.25">
      <c r="B8" s="19" t="s">
        <v>98</v>
      </c>
      <c r="C8" s="101">
        <v>7.4852374206232171E-5</v>
      </c>
    </row>
    <row r="9" spans="1:8" ht="15.75" customHeight="1" x14ac:dyDescent="0.25">
      <c r="B9" s="19" t="s">
        <v>92</v>
      </c>
      <c r="C9" s="101">
        <v>0.1777144467984253</v>
      </c>
    </row>
    <row r="10" spans="1:8" ht="15.75" customHeight="1" x14ac:dyDescent="0.25">
      <c r="B10" s="19" t="s">
        <v>94</v>
      </c>
      <c r="C10" s="101">
        <v>5.8719285884333283E-2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102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2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101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79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99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5.6534050000000002E-2</v>
      </c>
    </row>
    <row r="27" spans="1:8" ht="15.75" customHeight="1" x14ac:dyDescent="0.25">
      <c r="B27" s="19" t="s">
        <v>89</v>
      </c>
      <c r="C27" s="101">
        <v>3.5322311000000002E-2</v>
      </c>
    </row>
    <row r="28" spans="1:8" ht="15.75" customHeight="1" x14ac:dyDescent="0.25">
      <c r="B28" s="19" t="s">
        <v>103</v>
      </c>
      <c r="C28" s="101">
        <v>4.2593103E-2</v>
      </c>
    </row>
    <row r="29" spans="1:8" ht="15.75" customHeight="1" x14ac:dyDescent="0.25">
      <c r="B29" s="19" t="s">
        <v>86</v>
      </c>
      <c r="C29" s="101">
        <v>0.27419058800000001</v>
      </c>
    </row>
    <row r="30" spans="1:8" ht="15.75" customHeight="1" x14ac:dyDescent="0.25">
      <c r="B30" s="19" t="s">
        <v>4</v>
      </c>
      <c r="C30" s="101">
        <v>6.2699299999999999E-2</v>
      </c>
    </row>
    <row r="31" spans="1:8" ht="15.75" customHeight="1" x14ac:dyDescent="0.25">
      <c r="B31" s="19" t="s">
        <v>80</v>
      </c>
      <c r="C31" s="101">
        <v>0.140173941</v>
      </c>
    </row>
    <row r="32" spans="1:8" ht="15.75" customHeight="1" x14ac:dyDescent="0.25">
      <c r="B32" s="19" t="s">
        <v>85</v>
      </c>
      <c r="C32" s="101">
        <v>2.4544165999999999E-2</v>
      </c>
    </row>
    <row r="33" spans="2:3" ht="15.75" customHeight="1" x14ac:dyDescent="0.25">
      <c r="B33" s="19" t="s">
        <v>100</v>
      </c>
      <c r="C33" s="101">
        <v>0.119318915</v>
      </c>
    </row>
    <row r="34" spans="2:3" ht="15.75" customHeight="1" x14ac:dyDescent="0.25">
      <c r="B34" s="19" t="s">
        <v>87</v>
      </c>
      <c r="C34" s="101">
        <v>0.24462362800000001</v>
      </c>
    </row>
    <row r="35" spans="2:3" ht="15.75" customHeight="1" x14ac:dyDescent="0.25">
      <c r="B35" s="27" t="s">
        <v>60</v>
      </c>
      <c r="C35" s="48">
        <f>SUM(C26:C34)</f>
        <v>1.0000000019999999</v>
      </c>
    </row>
  </sheetData>
  <sheetProtection algorithmName="SHA-512" hashValue="iqBJiYHVgpqCmSv0FhhiIDBesnFuSE2IxZADfeOfpf3PETvDKR3PcD91av4gvrINKP8MDUK0UqM/0qaBeDh4Zw==" saltValue="HbyweLOyx7W90/FBOttw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0.10628020924999999</v>
      </c>
      <c r="D14" s="54">
        <v>0.10001147951100001</v>
      </c>
      <c r="E14" s="54">
        <v>0.10001147951100001</v>
      </c>
      <c r="F14" s="54">
        <v>3.3530111506E-2</v>
      </c>
      <c r="G14" s="54">
        <v>3.3530111506E-2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6.1654956149482243E-2</v>
      </c>
      <c r="D15" s="52">
        <f t="shared" si="0"/>
        <v>5.8018359459482791E-2</v>
      </c>
      <c r="E15" s="52">
        <f t="shared" si="0"/>
        <v>5.8018359459482791E-2</v>
      </c>
      <c r="F15" s="52">
        <f t="shared" si="0"/>
        <v>1.9451387696526202E-2</v>
      </c>
      <c r="G15" s="52">
        <f t="shared" si="0"/>
        <v>1.9451387696526202E-2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TdwIa2DUbgfMmZP3a2VIgQ7Jb5IRl+s0zVD0Ep1C2A653DrEe1DyPIzWwRRcAJWRHW9GP+gOZzZptZ+4czl2g==" saltValue="rgm1FrF5a71PbWJmtXjF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125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Fjzy+R81D+m0lttj3RQz0AJVBCKEZo+uVYxKijJrxPn7a/2DzT67AVCrXl8zDVK/1b64WMAsDjHk7jJ27cWVuA==" saltValue="XTKUIIyKnxEc65R4+Vhk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uZjFEYZ5mpmQq4AN32RgpN1XwtD879VkEofwG9oHgk44O5djzWptFz4KX5IA4fdk18l+sbrIiVCkOC+WbMVMQ==" saltValue="0a+B+UfV5YJGpAy8haYrC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SrDhexefBsC/D5BGExll7k3OBHHntOlCCEu9i38wW5A2n+G2olaKR5CfEnbEVt7Fc29xrqCYoEWzHccet2RLlw==" saltValue="1NlDStTwaJP57fE2f6Ht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gQ18t9p6ojw6/ota3bUt1VoTbH/P5IVHO2v2gG48VuX4vVHyhGd4RuLGV6eN3pwHlY4S/mv2+c0FburLeP5kg==" saltValue="NRUGFqvPcl6IZaQu2cRB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PUZKt5ztwlfWyaikqJAo6g6zS6+lf/OV91kYG3LdJf6hh1Tv4bC2ZOd9XC69Rn4tC6O9pv5lY1BJQtMUsJss+w==" saltValue="QkwqXh35dVc2WnQOwu/v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91.27399970601509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43.717353164893979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935.6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1.572771923276882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14.73506506491457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14.73506506491457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14.73506506491457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14.73506506491457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14.73506506491457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14.73506506491457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1.474307802764647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0.13023111111111099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21.412062375026149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21.412062375026149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17.19927253299581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25.79440028261962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5.2081376493661544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0.67930453000000002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20.734427315471159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189.5238105577576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0.83911365311495534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3.2374309865658208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0.78326970000000007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8.6805561005393574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VQwZwapGP5KUiYnz6VPDDRo+7MZJL8AUXMOHcm2EkjxK+sdW4HuvYEG5m0So6ZzNQ4Un26WG+B2pXSEFsFGT5Q==" saltValue="r5owGAUBMc0vczPkiXkh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Y2AM1MrOn5qF/ArxB2sh42vk3BhLLVlKlZ5QhZ5TBfIICB5j4jOMSv4RhYm1+qiMNDVjpfbJhti0n92BPjE0DQ==" saltValue="zbQ9SRDHtbf/KK19jR19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tAQWHYb0oL0kmJaTn9QwaRGvfUq3CkyBvRzKjf8f8/lcuy5/ghZw1INANQdzLRuE0IVqjy3iht/+Nfn22g2vPw==" saltValue="5VT0zuOox9PkCdAQzcqg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h3hV4KEOfuzJxqnzY2YGGexwlMw8H65XsYWrIktrVHO7q5aH0WgzrO/BkYILsEI/Yav7nIJFEDQwh7PlOqreMw==" saltValue="vVn0k/akgFe61rhlV9gd5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0.13754826470794676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5.894925630340575E-2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7.2456107528686503E-2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0.73104637145996099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0lPp0gACyiRwruCWsnju1tHZVrJ81tYE6srcExCk/9Gu9iww9HfZVO2SWVM8M/apVWOSwCadcAQ5YVGN4tFXA==" saltValue="8mlZIOUYMOsVHzLScuFT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Ert8EOd3GtQgqYJdBKM8H3oSoG2+vcPo0DNyVjzqiOAYIOydmw4u0tUAi2XowM8MiOG1Pxld2s2ZlvdEjUYAmQ==" saltValue="WXySAIgolHvztrz1Ryg2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bVOZWKzGC2Q/YsbSlC0TrAuUptiEX4rnVmH4iwv4n1+WwZzI1bCmQsByGEZdUbHWbfJiORIasYGIarB+mzxlg==" saltValue="tB67infql5R1qDzc8HUT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eFFueM4XY2D4ulCgL1Q4eKtK+qL+xJSjiPxP+sQec3eXRWuNvrjWHlXJmeC72iW9QOVMrBydsjIORYGA5vu1A==" saltValue="2bzamvnpKP60JfKQJdja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OgMRgcyhnGYBl/x6kCbvMJyhDPMriNkeDvt8ionB1xDxmtL5e1zS5it+0m77vQZrWY0bM2ihZCwcVyr9uIrMA==" saltValue="bNzIrQ3KtnKplWDLUgj0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5MvTZgrlVh3YCcyoUyrzp7dhh079FkTLAbrE4nMPdgTD+AnURdOtduZWNvsTMYdF2cZ+AP9weyt3yNk/3Qbw3A==" saltValue="zmcUw2+flFYIydEt/wTl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ZGhKjHQvV4a5WEY+Rq6RnkW7FAZNUt8h53raznPosaFt3ODtuy/6rcfsW0F3OmaOCSDOfwuruoKVfBkfiAE1w==" saltValue="jbbxQxc3cIZqWBI9I5ceI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CvsOrk3eIFXm2o0j19hWJb4K4hlMkVmmP9j4tBzoLIlbm21Q4RgoRkU2ZSy0XqOvEbOwjyt5BJwsuKZCD7Xkw==" saltValue="7gtkQ4MiXRY0BIIyrruS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5IO7NLeTWf0nnTRlhenDF5UleOnNs/NzHuy36Jjo1KRSQdL5tClpav6sL2P40A4VsUVzAaVs2jl+TQgmldgYA==" saltValue="I3tEAL0FESzh88vuA3WB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0QvcU8EE3LY5nAnFIpZOKgRIj1REOJ2z1Ug0ozis5oOrZJqb/crBc7S4UsH1YOvShyOsD/FvJ2x5j/q+ybfTYQ==" saltValue="SdqD8LxaizGQ1ytyw1kk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+X6PKqXkTa+LpF6q+qZVD2LRR78nNjGH7V7eqPBz023tuFd1YuF7F/mtsC/PlYxpiyNuMJNz85K3PH0bnvvLQ==" saltValue="cdJLkuumUZig52QCKoOg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ScYbLjweMQ1yJg0dd4erbXN4bBkqHmfiLPy7wefVMC6IsiFlktkg3x2m3vxwkoUPsxntlB9pfYLY8wtNXtRNA==" saltValue="HWQu5eNlP/saBryGmwio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Xt9Sj47nVyGJaONS9/ICd0GWltrp275YGy0u0IrcupEVkfy29v/rYM8E7jQ2MOiJcX7ZX+s0dDupna9CwAHqA==" saltValue="5PkQjy89kkMlNrRdKF83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uRf6N1PUneE9wtZXlh1HwxyEtLhUw1RcnG+hpG1E36JQcIC55Zni9Xj9WAeu4YwnvsyQnP7KfB8AafgptbsUw==" saltValue="gySL3c17LeHRo3WoXAg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68b1GfJ1ASVtwEZh8q+M5eTN0UVIhWTbOxIa5xyWs4piIIuVaNn2deO0ORs4ogNo4gh/VOYOzZqzRawWxNp9MA==" saltValue="8zPHnoQfiMxXPF7lix52d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2024-08-06T08:31:39Z</dcterms:modified>
</cp:coreProperties>
</file>