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411A82B-0A65-440B-A4F3-13C06779074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F152" i="27" s="1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24" i="2"/>
  <c r="A23" i="2"/>
  <c r="H13" i="2"/>
  <c r="G13" i="2"/>
  <c r="I13" i="2" s="1"/>
  <c r="H12" i="2"/>
  <c r="G12" i="2"/>
  <c r="H11" i="2"/>
  <c r="G11" i="2"/>
  <c r="H10" i="2"/>
  <c r="G10" i="2"/>
  <c r="I10" i="2" s="1"/>
  <c r="H9" i="2"/>
  <c r="G9" i="2"/>
  <c r="I9" i="2" s="1"/>
  <c r="H8" i="2"/>
  <c r="G8" i="2"/>
  <c r="H7" i="2"/>
  <c r="G7" i="2"/>
  <c r="H6" i="2"/>
  <c r="G6" i="2"/>
  <c r="I6" i="2" s="1"/>
  <c r="H5" i="2"/>
  <c r="G5" i="2"/>
  <c r="I5" i="2" s="1"/>
  <c r="H4" i="2"/>
  <c r="G4" i="2"/>
  <c r="H3" i="2"/>
  <c r="G3" i="2"/>
  <c r="H2" i="2"/>
  <c r="G2" i="2"/>
  <c r="I2" i="2" s="1"/>
  <c r="A2" i="2"/>
  <c r="A40" i="2" s="1"/>
  <c r="C33" i="1"/>
  <c r="C20" i="1"/>
  <c r="A16" i="2" l="1"/>
  <c r="A29" i="2"/>
  <c r="I3" i="2"/>
  <c r="I7" i="2"/>
  <c r="I11" i="2"/>
  <c r="A19" i="2"/>
  <c r="A31" i="2"/>
  <c r="I40" i="2"/>
  <c r="A27" i="2"/>
  <c r="A15" i="2"/>
  <c r="A28" i="2"/>
  <c r="A20" i="2"/>
  <c r="A35" i="2"/>
  <c r="I4" i="2"/>
  <c r="I8" i="2"/>
  <c r="I12" i="2"/>
  <c r="A21" i="2"/>
  <c r="A36" i="2"/>
  <c r="A17" i="2"/>
  <c r="A25" i="2"/>
  <c r="A33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  <c r="A39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<sst xmlns="http://schemas.openxmlformats.org/spreadsheetml/2006/main" count="2101" uniqueCount="341">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</sst>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616375.58984375</v>
      </c>
    </row>
    <row r="8" spans="1:3" ht="15" customHeight="1" x14ac:dyDescent="0.25">
      <c r="B8" s="5" t="s">
        <v>44</v>
      </c>
      <c r="C8" s="44">
        <v>0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0.91188728330000002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0.1489</v>
      </c>
    </row>
    <row r="24" spans="1:3" ht="15" customHeight="1" x14ac:dyDescent="0.25">
      <c r="B24" s="15" t="s">
        <v>46</v>
      </c>
      <c r="C24" s="45">
        <v>0.65529999999999999</v>
      </c>
    </row>
    <row r="25" spans="1:3" ht="15" customHeight="1" x14ac:dyDescent="0.25">
      <c r="B25" s="15" t="s">
        <v>47</v>
      </c>
      <c r="C25" s="45">
        <v>0.1857</v>
      </c>
    </row>
    <row r="26" spans="1:3" ht="15" customHeight="1" x14ac:dyDescent="0.25">
      <c r="B26" s="15" t="s">
        <v>48</v>
      </c>
      <c r="C26" s="45">
        <v>1.01E-2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0.43972863237246501</v>
      </c>
    </row>
    <row r="30" spans="1:3" ht="14.25" customHeight="1" x14ac:dyDescent="0.25">
      <c r="B30" s="25" t="s">
        <v>63</v>
      </c>
      <c r="C30" s="99">
        <v>0.10181424433873699</v>
      </c>
    </row>
    <row r="31" spans="1:3" ht="14.25" customHeight="1" x14ac:dyDescent="0.25">
      <c r="B31" s="25" t="s">
        <v>10</v>
      </c>
      <c r="C31" s="99">
        <v>9.9255704226601515E-2</v>
      </c>
    </row>
    <row r="32" spans="1:3" ht="14.25" customHeight="1" x14ac:dyDescent="0.25">
      <c r="B32" s="25" t="s">
        <v>11</v>
      </c>
      <c r="C32" s="99">
        <v>0.35920141906219599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9.5091000000000001</v>
      </c>
    </row>
    <row r="38" spans="1:5" ht="15" customHeight="1" x14ac:dyDescent="0.25">
      <c r="B38" s="11" t="s">
        <v>35</v>
      </c>
      <c r="C38" s="43">
        <v>16.60615</v>
      </c>
      <c r="D38" s="12"/>
      <c r="E38" s="13"/>
    </row>
    <row r="39" spans="1:5" ht="15" customHeight="1" x14ac:dyDescent="0.25">
      <c r="B39" s="11" t="s">
        <v>61</v>
      </c>
      <c r="C39" s="43">
        <v>18.586200000000002</v>
      </c>
      <c r="D39" s="12"/>
      <c r="E39" s="12"/>
    </row>
    <row r="40" spans="1:5" ht="15" customHeight="1" x14ac:dyDescent="0.25">
      <c r="B40" s="11" t="s">
        <v>36</v>
      </c>
      <c r="C40" s="100">
        <v>0.41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8.7131299999999996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7.5017E-3</v>
      </c>
      <c r="D45" s="12"/>
    </row>
    <row r="46" spans="1:5" ht="15.75" customHeight="1" x14ac:dyDescent="0.25">
      <c r="B46" s="11" t="s">
        <v>51</v>
      </c>
      <c r="C46" s="45">
        <v>8.0604700000000001E-2</v>
      </c>
      <c r="D46" s="12"/>
    </row>
    <row r="47" spans="1:5" ht="15.75" customHeight="1" x14ac:dyDescent="0.25">
      <c r="B47" s="11" t="s">
        <v>59</v>
      </c>
      <c r="C47" s="45">
        <v>7.3866899999999999E-2</v>
      </c>
      <c r="D47" s="12"/>
      <c r="E47" s="13"/>
    </row>
    <row r="48" spans="1:5" ht="15" customHeight="1" x14ac:dyDescent="0.25">
      <c r="B48" s="11" t="s">
        <v>58</v>
      </c>
      <c r="C48" s="46">
        <v>0.83802670000000001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2.8</v>
      </c>
      <c r="D51" s="12"/>
    </row>
    <row r="52" spans="1:4" ht="15" customHeight="1" x14ac:dyDescent="0.25">
      <c r="B52" s="11" t="s">
        <v>13</v>
      </c>
      <c r="C52" s="100">
        <v>2.8</v>
      </c>
    </row>
    <row r="53" spans="1:4" ht="15.75" customHeight="1" x14ac:dyDescent="0.25">
      <c r="B53" s="11" t="s">
        <v>16</v>
      </c>
      <c r="C53" s="100">
        <v>2.8</v>
      </c>
    </row>
    <row r="54" spans="1:4" ht="15.75" customHeight="1" x14ac:dyDescent="0.25">
      <c r="B54" s="11" t="s">
        <v>14</v>
      </c>
      <c r="C54" s="100">
        <v>2.8</v>
      </c>
    </row>
    <row r="55" spans="1:4" ht="15.75" customHeight="1" x14ac:dyDescent="0.25">
      <c r="B55" s="11" t="s">
        <v>15</v>
      </c>
      <c r="C55" s="100">
        <v>2.8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1.6428571428571431E-2</v>
      </c>
    </row>
    <row r="59" spans="1:4" ht="15.75" customHeight="1" x14ac:dyDescent="0.25">
      <c r="B59" s="11" t="s">
        <v>40</v>
      </c>
      <c r="C59" s="45">
        <v>0.57557999999999998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7.2826089999999899E-2</v>
      </c>
    </row>
    <row r="63" spans="1:4" ht="15.75" customHeight="1" x14ac:dyDescent="0.3">
      <c r="A63" s="4"/>
    </row>
  </sheetData>
  <sheetProtection algorithmName="SHA-512" hashValue="B6LJy+TX+NoIuo9NP+vYwea6t9g7RQpc+6hmK4D2TVLZVPzZBg+9tRhmn+IdX3WhNb//Mj9/OxPrEGr5GNiA6w==" saltValue="p8u4tKQ7GdIepQJKm7K8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118216</v>
      </c>
      <c r="C2" s="49">
        <v>445853</v>
      </c>
      <c r="D2" s="49">
        <v>675555</v>
      </c>
      <c r="E2" s="49">
        <v>933227.5</v>
      </c>
      <c r="F2" s="49">
        <v>658536.5</v>
      </c>
      <c r="G2" s="17">
        <f t="shared" ref="G2:G13" si="0">C2+D2+E2+F2</f>
        <v>2713172</v>
      </c>
      <c r="H2" s="17">
        <f t="shared" ref="H2:H13" si="1">(B2 + stillbirth*B2/(1000-stillbirth))/(1-abortion)</f>
        <v>135517.14211282111</v>
      </c>
      <c r="I2" s="17">
        <f t="shared" ref="I2:I13" si="2">G2-H2</f>
        <v>2577654.8578871787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116697</v>
      </c>
      <c r="C3" s="50">
        <v>462545</v>
      </c>
      <c r="D3" s="50">
        <v>659707.5</v>
      </c>
      <c r="E3" s="50">
        <v>923025.5</v>
      </c>
      <c r="F3" s="50">
        <v>681065</v>
      </c>
      <c r="G3" s="17">
        <f t="shared" si="0"/>
        <v>2726343</v>
      </c>
      <c r="H3" s="17">
        <f t="shared" si="1"/>
        <v>133775.83350087877</v>
      </c>
      <c r="I3" s="17">
        <f t="shared" si="2"/>
        <v>2592567.1664991211</v>
      </c>
    </row>
    <row r="4" spans="1:9" ht="15.75" customHeight="1" x14ac:dyDescent="0.25">
      <c r="A4" s="5">
        <f t="shared" si="3"/>
        <v>2026</v>
      </c>
      <c r="B4" s="49">
        <v>116230</v>
      </c>
      <c r="C4" s="50">
        <v>478325.99999999988</v>
      </c>
      <c r="D4" s="50">
        <v>651937</v>
      </c>
      <c r="E4" s="50">
        <v>905372</v>
      </c>
      <c r="F4" s="50">
        <v>705845</v>
      </c>
      <c r="G4" s="17">
        <f t="shared" si="0"/>
        <v>2741480</v>
      </c>
      <c r="H4" s="17">
        <f t="shared" si="1"/>
        <v>133240.48714026189</v>
      </c>
      <c r="I4" s="17">
        <f t="shared" si="2"/>
        <v>2608239.512859738</v>
      </c>
    </row>
    <row r="5" spans="1:9" ht="15.75" customHeight="1" x14ac:dyDescent="0.25">
      <c r="A5" s="5">
        <f t="shared" si="3"/>
        <v>2027</v>
      </c>
      <c r="B5" s="49">
        <v>116620</v>
      </c>
      <c r="C5" s="50">
        <v>491978</v>
      </c>
      <c r="D5" s="50">
        <v>652685</v>
      </c>
      <c r="E5" s="50">
        <v>880716.5</v>
      </c>
      <c r="F5" s="50">
        <v>731689</v>
      </c>
      <c r="G5" s="17">
        <f t="shared" si="0"/>
        <v>2757068.5</v>
      </c>
      <c r="H5" s="17">
        <f t="shared" si="1"/>
        <v>133687.56440073426</v>
      </c>
      <c r="I5" s="17">
        <f t="shared" si="2"/>
        <v>2623380.9355992656</v>
      </c>
    </row>
    <row r="6" spans="1:9" ht="15.75" customHeight="1" x14ac:dyDescent="0.25">
      <c r="A6" s="5">
        <f t="shared" si="3"/>
        <v>2028</v>
      </c>
      <c r="B6" s="49">
        <v>116785</v>
      </c>
      <c r="C6" s="50">
        <v>502463</v>
      </c>
      <c r="D6" s="50">
        <v>660697.5</v>
      </c>
      <c r="E6" s="50">
        <v>850995</v>
      </c>
      <c r="F6" s="50">
        <v>757099.5</v>
      </c>
      <c r="G6" s="17">
        <f t="shared" si="0"/>
        <v>2771255</v>
      </c>
      <c r="H6" s="17">
        <f t="shared" si="1"/>
        <v>133876.71247247254</v>
      </c>
      <c r="I6" s="17">
        <f t="shared" si="2"/>
        <v>2637378.2875275277</v>
      </c>
    </row>
    <row r="7" spans="1:9" ht="15.75" customHeight="1" x14ac:dyDescent="0.25">
      <c r="A7" s="5">
        <f t="shared" si="3"/>
        <v>2029</v>
      </c>
      <c r="B7" s="49">
        <v>118115</v>
      </c>
      <c r="C7" s="50">
        <v>508536.00000000012</v>
      </c>
      <c r="D7" s="50">
        <v>673815</v>
      </c>
      <c r="E7" s="50">
        <v>818681.5</v>
      </c>
      <c r="F7" s="50">
        <v>780492</v>
      </c>
      <c r="G7" s="17">
        <f t="shared" si="0"/>
        <v>2781524.5</v>
      </c>
      <c r="H7" s="17">
        <f t="shared" si="1"/>
        <v>135401.36056587828</v>
      </c>
      <c r="I7" s="17">
        <f t="shared" si="2"/>
        <v>2646123.1394341215</v>
      </c>
    </row>
    <row r="8" spans="1:9" ht="15.75" customHeight="1" x14ac:dyDescent="0.25">
      <c r="A8" s="5">
        <f t="shared" si="3"/>
        <v>2030</v>
      </c>
      <c r="B8" s="49">
        <v>119685</v>
      </c>
      <c r="C8" s="50">
        <v>508482</v>
      </c>
      <c r="D8" s="50">
        <v>691021</v>
      </c>
      <c r="E8" s="50">
        <v>785182.5</v>
      </c>
      <c r="F8" s="50">
        <v>800828.5</v>
      </c>
      <c r="G8" s="17">
        <f t="shared" si="0"/>
        <v>2785514</v>
      </c>
      <c r="H8" s="17">
        <f t="shared" si="1"/>
        <v>137201.13312726701</v>
      </c>
      <c r="I8" s="17">
        <f t="shared" si="2"/>
        <v>2648312.866872733</v>
      </c>
    </row>
    <row r="9" spans="1:9" ht="15.75" customHeight="1" x14ac:dyDescent="0.25">
      <c r="A9" s="5">
        <f t="shared" si="3"/>
        <v>2031</v>
      </c>
      <c r="B9" s="49">
        <v>121025</v>
      </c>
      <c r="C9" s="50">
        <v>498151</v>
      </c>
      <c r="D9" s="50">
        <v>712602</v>
      </c>
      <c r="E9" s="50">
        <v>751710.5</v>
      </c>
      <c r="F9" s="50">
        <v>817464</v>
      </c>
      <c r="G9" s="17">
        <f t="shared" si="0"/>
        <v>2779927.5</v>
      </c>
      <c r="H9" s="17">
        <f t="shared" si="1"/>
        <v>138737.24474017203</v>
      </c>
      <c r="I9" s="17">
        <f t="shared" si="2"/>
        <v>2641190.2552598282</v>
      </c>
    </row>
    <row r="10" spans="1:9" ht="15.75" customHeight="1" x14ac:dyDescent="0.25">
      <c r="A10" s="5">
        <f t="shared" si="3"/>
        <v>2032</v>
      </c>
      <c r="B10" s="49">
        <v>122985</v>
      </c>
      <c r="C10" s="50">
        <v>479022.50000000012</v>
      </c>
      <c r="D10" s="50">
        <v>737409</v>
      </c>
      <c r="E10" s="50">
        <v>720282</v>
      </c>
      <c r="F10" s="50">
        <v>829441.5</v>
      </c>
      <c r="G10" s="17">
        <f t="shared" si="0"/>
        <v>2766155</v>
      </c>
      <c r="H10" s="17">
        <f t="shared" si="1"/>
        <v>140984.0945620331</v>
      </c>
      <c r="I10" s="17">
        <f t="shared" si="2"/>
        <v>2625170.9054379668</v>
      </c>
    </row>
    <row r="11" spans="1:9" ht="15.75" customHeight="1" x14ac:dyDescent="0.25">
      <c r="A11" s="5">
        <f t="shared" si="3"/>
        <v>2033</v>
      </c>
      <c r="B11" s="49">
        <v>124084</v>
      </c>
      <c r="C11" s="50">
        <v>458630.5</v>
      </c>
      <c r="D11" s="50">
        <v>762509.5</v>
      </c>
      <c r="E11" s="50">
        <v>692706.5</v>
      </c>
      <c r="F11" s="50">
        <v>835761.5</v>
      </c>
      <c r="G11" s="17">
        <f t="shared" si="0"/>
        <v>2749608</v>
      </c>
      <c r="H11" s="17">
        <f t="shared" si="1"/>
        <v>142243.9353550052</v>
      </c>
      <c r="I11" s="17">
        <f t="shared" si="2"/>
        <v>2607364.0646449947</v>
      </c>
    </row>
    <row r="12" spans="1:9" ht="15.75" customHeight="1" x14ac:dyDescent="0.25">
      <c r="A12" s="5">
        <f t="shared" si="3"/>
        <v>2034</v>
      </c>
      <c r="B12" s="49">
        <v>125213</v>
      </c>
      <c r="C12" s="50">
        <v>435962.00000000012</v>
      </c>
      <c r="D12" s="50">
        <v>785411.5</v>
      </c>
      <c r="E12" s="50">
        <v>670350.5</v>
      </c>
      <c r="F12" s="50">
        <v>835942</v>
      </c>
      <c r="G12" s="17">
        <f t="shared" si="0"/>
        <v>2727666</v>
      </c>
      <c r="H12" s="17">
        <f t="shared" si="1"/>
        <v>143538.1667064752</v>
      </c>
      <c r="I12" s="17">
        <f t="shared" si="2"/>
        <v>2584127.8332935246</v>
      </c>
    </row>
    <row r="13" spans="1:9" ht="15.75" customHeight="1" x14ac:dyDescent="0.25">
      <c r="A13" s="5">
        <f t="shared" si="3"/>
        <v>2035</v>
      </c>
      <c r="B13" s="49">
        <v>125270</v>
      </c>
      <c r="C13" s="50">
        <v>410674</v>
      </c>
      <c r="D13" s="50">
        <v>803702</v>
      </c>
      <c r="E13" s="50">
        <v>654705</v>
      </c>
      <c r="F13" s="50">
        <v>829834</v>
      </c>
      <c r="G13" s="17">
        <f t="shared" si="0"/>
        <v>2698915</v>
      </c>
      <c r="H13" s="17">
        <f t="shared" si="1"/>
        <v>143603.50876762116</v>
      </c>
      <c r="I13" s="17">
        <f t="shared" si="2"/>
        <v>2555311.4912323789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XfyE2VfUaK8RzRud1qgo4xwGvUCxGcwPhsSRLgo7fZIjF8uI4iQeTD30ms6DxKMb4iS8+Z3pSxssqhSO4yKqQ==" saltValue="u/UztiKW7c2M+Y1eZrvm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7.6930000000000043E-4</v>
      </c>
    </row>
    <row r="4" spans="1:8" ht="15.75" customHeight="1" x14ac:dyDescent="0.25">
      <c r="B4" s="19" t="s">
        <v>97</v>
      </c>
      <c r="C4" s="101">
        <v>4.0746100000000042E-2</v>
      </c>
    </row>
    <row r="5" spans="1:8" ht="15.75" customHeight="1" x14ac:dyDescent="0.25">
      <c r="B5" s="19" t="s">
        <v>95</v>
      </c>
      <c r="C5" s="101">
        <v>3.8142599999999888E-2</v>
      </c>
    </row>
    <row r="6" spans="1:8" ht="15.75" customHeight="1" x14ac:dyDescent="0.25">
      <c r="B6" s="19" t="s">
        <v>91</v>
      </c>
      <c r="C6" s="101">
        <v>0.1658214999999999</v>
      </c>
    </row>
    <row r="7" spans="1:8" ht="15.75" customHeight="1" x14ac:dyDescent="0.25">
      <c r="B7" s="19" t="s">
        <v>96</v>
      </c>
      <c r="C7" s="101">
        <v>0.4688312999999999</v>
      </c>
    </row>
    <row r="8" spans="1:8" ht="15.75" customHeight="1" x14ac:dyDescent="0.25">
      <c r="B8" s="19" t="s">
        <v>98</v>
      </c>
      <c r="C8" s="101">
        <v>9.6299999999999942E-5</v>
      </c>
    </row>
    <row r="9" spans="1:8" ht="15.75" customHeight="1" x14ac:dyDescent="0.25">
      <c r="B9" s="19" t="s">
        <v>92</v>
      </c>
      <c r="C9" s="101">
        <v>0.20751630000000029</v>
      </c>
    </row>
    <row r="10" spans="1:8" ht="15.75" customHeight="1" x14ac:dyDescent="0.25">
      <c r="B10" s="19" t="s">
        <v>94</v>
      </c>
      <c r="C10" s="101">
        <v>7.8076599999999899E-2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5.3078907527641349E-2</v>
      </c>
      <c r="D14" s="55">
        <v>5.3078907527641349E-2</v>
      </c>
      <c r="E14" s="55">
        <v>5.3078907527641349E-2</v>
      </c>
      <c r="F14" s="55">
        <v>5.3078907527641349E-2</v>
      </c>
    </row>
    <row r="15" spans="1:8" ht="15.75" customHeight="1" x14ac:dyDescent="0.25">
      <c r="B15" s="19" t="s">
        <v>102</v>
      </c>
      <c r="C15" s="101">
        <v>0.30908005016101692</v>
      </c>
      <c r="D15" s="101">
        <v>0.30908005016101692</v>
      </c>
      <c r="E15" s="101">
        <v>0.30908005016101692</v>
      </c>
      <c r="F15" s="101">
        <v>0.30908005016101692</v>
      </c>
    </row>
    <row r="16" spans="1:8" ht="15.75" customHeight="1" x14ac:dyDescent="0.25">
      <c r="B16" s="19" t="s">
        <v>2</v>
      </c>
      <c r="C16" s="101">
        <v>2.0862040124609481E-2</v>
      </c>
      <c r="D16" s="101">
        <v>2.0862040124609481E-2</v>
      </c>
      <c r="E16" s="101">
        <v>2.0862040124609481E-2</v>
      </c>
      <c r="F16" s="101">
        <v>2.0862040124609481E-2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3.6157917131633778E-2</v>
      </c>
      <c r="D19" s="101">
        <v>3.6157917131633778E-2</v>
      </c>
      <c r="E19" s="101">
        <v>3.6157917131633778E-2</v>
      </c>
      <c r="F19" s="101">
        <v>3.6157917131633778E-2</v>
      </c>
    </row>
    <row r="20" spans="1:8" ht="15.75" customHeight="1" x14ac:dyDescent="0.25">
      <c r="B20" s="19" t="s">
        <v>79</v>
      </c>
      <c r="C20" s="101">
        <v>3.4706712718423171E-3</v>
      </c>
      <c r="D20" s="101">
        <v>3.4706712718423171E-3</v>
      </c>
      <c r="E20" s="101">
        <v>3.4706712718423171E-3</v>
      </c>
      <c r="F20" s="101">
        <v>3.4706712718423171E-3</v>
      </c>
    </row>
    <row r="21" spans="1:8" ht="15.75" customHeight="1" x14ac:dyDescent="0.25">
      <c r="B21" s="19" t="s">
        <v>88</v>
      </c>
      <c r="C21" s="101">
        <v>0.44912391833034337</v>
      </c>
      <c r="D21" s="101">
        <v>0.44912391833034337</v>
      </c>
      <c r="E21" s="101">
        <v>0.44912391833034337</v>
      </c>
      <c r="F21" s="101">
        <v>0.44912391833034337</v>
      </c>
    </row>
    <row r="22" spans="1:8" ht="15.75" customHeight="1" x14ac:dyDescent="0.25">
      <c r="B22" s="19" t="s">
        <v>99</v>
      </c>
      <c r="C22" s="101">
        <v>0.12822649545291279</v>
      </c>
      <c r="D22" s="101">
        <v>0.12822649545291279</v>
      </c>
      <c r="E22" s="101">
        <v>0.12822649545291279</v>
      </c>
      <c r="F22" s="101">
        <v>0.12822649545291279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3.2286483999999997E-2</v>
      </c>
    </row>
    <row r="27" spans="1:8" ht="15.75" customHeight="1" x14ac:dyDescent="0.25">
      <c r="B27" s="19" t="s">
        <v>89</v>
      </c>
      <c r="C27" s="101">
        <v>8.0926539000000006E-2</v>
      </c>
    </row>
    <row r="28" spans="1:8" ht="15.75" customHeight="1" x14ac:dyDescent="0.25">
      <c r="B28" s="19" t="s">
        <v>103</v>
      </c>
      <c r="C28" s="101">
        <v>0.11034517200000001</v>
      </c>
    </row>
    <row r="29" spans="1:8" ht="15.75" customHeight="1" x14ac:dyDescent="0.25">
      <c r="B29" s="19" t="s">
        <v>86</v>
      </c>
      <c r="C29" s="101">
        <v>8.99475E-2</v>
      </c>
    </row>
    <row r="30" spans="1:8" ht="15.75" customHeight="1" x14ac:dyDescent="0.25">
      <c r="B30" s="19" t="s">
        <v>4</v>
      </c>
      <c r="C30" s="101">
        <v>2.9600607000000001E-2</v>
      </c>
    </row>
    <row r="31" spans="1:8" ht="15.75" customHeight="1" x14ac:dyDescent="0.25">
      <c r="B31" s="19" t="s">
        <v>80</v>
      </c>
      <c r="C31" s="101">
        <v>3.5472995E-2</v>
      </c>
    </row>
    <row r="32" spans="1:8" ht="15.75" customHeight="1" x14ac:dyDescent="0.25">
      <c r="B32" s="19" t="s">
        <v>85</v>
      </c>
      <c r="C32" s="101">
        <v>0.250963082</v>
      </c>
    </row>
    <row r="33" spans="2:3" ht="15.75" customHeight="1" x14ac:dyDescent="0.25">
      <c r="B33" s="19" t="s">
        <v>100</v>
      </c>
      <c r="C33" s="101">
        <v>0.14174240299999999</v>
      </c>
    </row>
    <row r="34" spans="2:3" ht="15.75" customHeight="1" x14ac:dyDescent="0.25">
      <c r="B34" s="19" t="s">
        <v>87</v>
      </c>
      <c r="C34" s="101">
        <v>0.228715217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i/SFfPNm+06QfILccANGYJ7eQaAcXsnYsDtYVv+s766AwaG37SAPMsdXdY482KmjLuv5yJiAyCo4EDl9PVemag==" saltValue="mhs8rFSQ3ztHlRCOCnAFa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0.47739931224137999</v>
      </c>
      <c r="D2" s="52">
        <f>IFERROR(1-_xlfn.NORM.DIST(_xlfn.NORM.INV(SUM(D4:D5), 0, 1) + 1, 0, 1, TRUE), "")</f>
        <v>0.47739931224137999</v>
      </c>
      <c r="E2" s="52">
        <f>IFERROR(1-_xlfn.NORM.DIST(_xlfn.NORM.INV(SUM(E4:E5), 0, 1) + 1, 0, 1, TRUE), "")</f>
        <v>0.49818617359722817</v>
      </c>
      <c r="F2" s="52">
        <f>IFERROR(1-_xlfn.NORM.DIST(_xlfn.NORM.INV(SUM(F4:F5), 0, 1) + 1, 0, 1, TRUE), "")</f>
        <v>0.46686510877582754</v>
      </c>
      <c r="G2" s="52">
        <f>IFERROR(1-_xlfn.NORM.DIST(_xlfn.NORM.INV(SUM(G4:G5), 0, 1) + 1, 0, 1, TRUE), "")</f>
        <v>0.28615189256699458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0.34984158775862001</v>
      </c>
      <c r="D3" s="52">
        <f>IFERROR(_xlfn.NORM.DIST(_xlfn.NORM.INV(SUM(D4:D5), 0, 1) + 1, 0, 1, TRUE) - SUM(D4:D5), "")</f>
        <v>0.34984158775862001</v>
      </c>
      <c r="E3" s="52">
        <f>IFERROR(_xlfn.NORM.DIST(_xlfn.NORM.INV(SUM(E4:E5), 0, 1) + 1, 0, 1, TRUE) - SUM(E4:E5), "")</f>
        <v>0.34205592640277183</v>
      </c>
      <c r="F3" s="52">
        <f>IFERROR(_xlfn.NORM.DIST(_xlfn.NORM.INV(SUM(F4:F5), 0, 1) + 1, 0, 1, TRUE) - SUM(F4:F5), "")</f>
        <v>0.35352359122417248</v>
      </c>
      <c r="G3" s="52">
        <f>IFERROR(_xlfn.NORM.DIST(_xlfn.NORM.INV(SUM(G4:G5), 0, 1) + 1, 0, 1, TRUE) - SUM(G4:G5), "")</f>
        <v>0.38218960743300545</v>
      </c>
    </row>
    <row r="4" spans="1:15" ht="15.75" customHeight="1" x14ac:dyDescent="0.25">
      <c r="B4" s="5" t="s">
        <v>110</v>
      </c>
      <c r="C4" s="45">
        <v>9.1228099999999993E-2</v>
      </c>
      <c r="D4" s="53">
        <v>9.1228099999999993E-2</v>
      </c>
      <c r="E4" s="53">
        <v>7.3348999999999998E-2</v>
      </c>
      <c r="F4" s="53">
        <v>9.1956399999999994E-2</v>
      </c>
      <c r="G4" s="53">
        <v>0.16452</v>
      </c>
    </row>
    <row r="5" spans="1:15" ht="15.75" customHeight="1" x14ac:dyDescent="0.25">
      <c r="B5" s="5" t="s">
        <v>106</v>
      </c>
      <c r="C5" s="45">
        <v>8.1531000000000006E-2</v>
      </c>
      <c r="D5" s="53">
        <v>8.1531000000000006E-2</v>
      </c>
      <c r="E5" s="53">
        <v>8.6408900000000011E-2</v>
      </c>
      <c r="F5" s="53">
        <v>8.7654899999999994E-2</v>
      </c>
      <c r="G5" s="53">
        <v>0.1671385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0.46863868673029108</v>
      </c>
      <c r="D8" s="52">
        <f>IFERROR(1-_xlfn.NORM.DIST(_xlfn.NORM.INV(SUM(D10:D11), 0, 1) + 1, 0, 1, TRUE), "")</f>
        <v>0.46863868673029108</v>
      </c>
      <c r="E8" s="52">
        <f>IFERROR(1-_xlfn.NORM.DIST(_xlfn.NORM.INV(SUM(E10:E11), 0, 1) + 1, 0, 1, TRUE), "")</f>
        <v>0.51914326848214976</v>
      </c>
      <c r="F8" s="52">
        <f>IFERROR(1-_xlfn.NORM.DIST(_xlfn.NORM.INV(SUM(F10:F11), 0, 1) + 1, 0, 1, TRUE), "")</f>
        <v>0.71278063060972918</v>
      </c>
      <c r="G8" s="52">
        <f>IFERROR(1-_xlfn.NORM.DIST(_xlfn.NORM.INV(SUM(G10:G11), 0, 1) + 1, 0, 1, TRUE), "")</f>
        <v>0.78690015131897528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0.35291641326970891</v>
      </c>
      <c r="D9" s="52">
        <f>IFERROR(_xlfn.NORM.DIST(_xlfn.NORM.INV(SUM(D10:D11), 0, 1) + 1, 0, 1, TRUE) - SUM(D10:D11), "")</f>
        <v>0.35291641326970891</v>
      </c>
      <c r="E9" s="52">
        <f>IFERROR(_xlfn.NORM.DIST(_xlfn.NORM.INV(SUM(E10:E11), 0, 1) + 1, 0, 1, TRUE) - SUM(E10:E11), "")</f>
        <v>0.33353823151785028</v>
      </c>
      <c r="F9" s="52">
        <f>IFERROR(_xlfn.NORM.DIST(_xlfn.NORM.INV(SUM(F10:F11), 0, 1) + 1, 0, 1, TRUE) - SUM(F10:F11), "")</f>
        <v>0.22801956939027082</v>
      </c>
      <c r="G9" s="52">
        <f>IFERROR(_xlfn.NORM.DIST(_xlfn.NORM.INV(SUM(G10:G11), 0, 1) + 1, 0, 1, TRUE) - SUM(G10:G11), "")</f>
        <v>0.17682964868102474</v>
      </c>
    </row>
    <row r="10" spans="1:15" ht="15.75" customHeight="1" x14ac:dyDescent="0.25">
      <c r="B10" s="5" t="s">
        <v>107</v>
      </c>
      <c r="C10" s="45">
        <v>0.1270491</v>
      </c>
      <c r="D10" s="53">
        <v>0.1270491</v>
      </c>
      <c r="E10" s="53">
        <v>0.11937</v>
      </c>
      <c r="F10" s="53">
        <v>3.1077899999999999E-2</v>
      </c>
      <c r="G10" s="53">
        <v>2.2932299999999999E-2</v>
      </c>
    </row>
    <row r="11" spans="1:15" ht="15.75" customHeight="1" x14ac:dyDescent="0.25">
      <c r="B11" s="5" t="s">
        <v>119</v>
      </c>
      <c r="C11" s="45">
        <v>5.1395799999999998E-2</v>
      </c>
      <c r="D11" s="53">
        <v>5.1395799999999998E-2</v>
      </c>
      <c r="E11" s="53">
        <v>2.7948500000000001E-2</v>
      </c>
      <c r="F11" s="53">
        <v>2.8121899999999998E-2</v>
      </c>
      <c r="G11" s="53">
        <v>1.33379E-2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0.62129762875000005</v>
      </c>
      <c r="D14" s="54">
        <v>0.59335814614399995</v>
      </c>
      <c r="E14" s="54">
        <v>0.59335814614399995</v>
      </c>
      <c r="F14" s="54">
        <v>0.289678393378</v>
      </c>
      <c r="G14" s="54">
        <v>0.289678393378</v>
      </c>
      <c r="H14" s="45">
        <v>0.40100000000000002</v>
      </c>
      <c r="I14" s="55">
        <v>0.40100000000000002</v>
      </c>
      <c r="J14" s="55">
        <v>0.40100000000000002</v>
      </c>
      <c r="K14" s="55">
        <v>0.40100000000000002</v>
      </c>
      <c r="L14" s="45">
        <v>0.38400000000000001</v>
      </c>
      <c r="M14" s="55">
        <v>0.38400000000000001</v>
      </c>
      <c r="N14" s="55">
        <v>0.38400000000000001</v>
      </c>
      <c r="O14" s="55">
        <v>0.38400000000000001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0.35760648915592502</v>
      </c>
      <c r="D15" s="52">
        <f t="shared" si="0"/>
        <v>0.34152508175756346</v>
      </c>
      <c r="E15" s="52">
        <f t="shared" si="0"/>
        <v>0.34152508175756346</v>
      </c>
      <c r="F15" s="52">
        <f t="shared" si="0"/>
        <v>0.16673308966050923</v>
      </c>
      <c r="G15" s="52">
        <f t="shared" si="0"/>
        <v>0.16673308966050923</v>
      </c>
      <c r="H15" s="52">
        <f t="shared" si="0"/>
        <v>0.23080758000000001</v>
      </c>
      <c r="I15" s="52">
        <f t="shared" si="0"/>
        <v>0.23080758000000001</v>
      </c>
      <c r="J15" s="52">
        <f t="shared" si="0"/>
        <v>0.23080758000000001</v>
      </c>
      <c r="K15" s="52">
        <f t="shared" si="0"/>
        <v>0.23080758000000001</v>
      </c>
      <c r="L15" s="52">
        <f t="shared" si="0"/>
        <v>0.22102272000000001</v>
      </c>
      <c r="M15" s="52">
        <f t="shared" si="0"/>
        <v>0.22102272000000001</v>
      </c>
      <c r="N15" s="52">
        <f t="shared" si="0"/>
        <v>0.22102272000000001</v>
      </c>
      <c r="O15" s="52">
        <f t="shared" si="0"/>
        <v>0.22102272000000001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eyrY2pytILysz+U251KRZs2CCgWqGKFBy/SXUHotEC0EglNwNjuZLIHOVW1bnKrxap88DJHkz6rTgVI7dpm5A==" saltValue="rC6doM3HYZdtIgLdORsK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0.22567519999999999</v>
      </c>
      <c r="D2" s="53">
        <v>8.5698500000000011E-2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0.39929409999999999</v>
      </c>
      <c r="D3" s="53">
        <v>0.36836629999999998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0.27223619999999998</v>
      </c>
      <c r="D4" s="53">
        <v>0.3576281</v>
      </c>
      <c r="E4" s="53">
        <v>0.49657509999999999</v>
      </c>
      <c r="F4" s="53">
        <v>0.26392650000000001</v>
      </c>
      <c r="G4" s="53">
        <v>0</v>
      </c>
    </row>
    <row r="5" spans="1:7" x14ac:dyDescent="0.25">
      <c r="B5" s="3" t="s">
        <v>125</v>
      </c>
      <c r="C5" s="52">
        <v>0.1027945</v>
      </c>
      <c r="D5" s="52">
        <v>0.18830710000000001</v>
      </c>
      <c r="E5" s="52">
        <f>1-SUM(E2:E4)</f>
        <v>0.50342489999999995</v>
      </c>
      <c r="F5" s="52">
        <f>1-SUM(F2:F4)</f>
        <v>0.73607350000000005</v>
      </c>
      <c r="G5" s="52">
        <f>1-SUM(G2:G4)</f>
        <v>1</v>
      </c>
    </row>
  </sheetData>
  <sheetProtection algorithmName="SHA-512" hashValue="7qsLf0n6l0Yt2qxJzZJbmqCW2vP+hYIjWVDj4H7XLU8c0nEndq3qt4wPa5tCvcy4FC0UAmKnt2/tXY51PdJeIg==" saltValue="Mi3nfYZUP/0+LULk03Xxu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nRzjvVsIbZ9IcU/TNdQedgH6IqwvssDzX3o2/G309cAnSEl/Mm1aZw9rhPIOce05FuGrl0PCM9vD7EqsrFHlw==" saltValue="aOMwbNwdyxSBdD4ZFli3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j9UzMZnQtM+FYqwxKXaJK34sIW8e9uCtisdkcI9gvto4o9iXmzpuQyFlp0vM/ixdTzcCr2w3LbHaLIA1WolXMA==" saltValue="3DTM+PgwTmJEk+AOV2TAC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4uilEe7dJGyOFoqKUk5XqKPFozMiLrsS0LApHKifJwsowtL3NOQGHv3Y+VG2rh99A9C22DYwBkcOvoRPsKNPUA==" saltValue="9U3QxTTNP+AjSH6XaoWW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6DpCLtGeMPU7escP3cWF79oW3lFeKpAYeSpQg+QsOrPQS98fXz7mkQl9F1Ql5lsi2o8hVXljL0bh53weeSqPVg==" saltValue="SMCe0zwRqkKsT3BLNHvU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56.337138300604238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39.842199870999643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387.87092573663659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6.2265350403132853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1.6153600000000001E-2</v>
      </c>
      <c r="C10" s="98">
        <v>0.95</v>
      </c>
      <c r="D10" s="56">
        <v>12.974499314795549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12.974499314795549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12.974499314795549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12.974499314795549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1.6153600000000001E-2</v>
      </c>
      <c r="C14" s="98">
        <v>0.95</v>
      </c>
      <c r="D14" s="56">
        <v>12.974499314795549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12.974499314795549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0.68126511469090134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8.5698500000000011E-2</v>
      </c>
      <c r="C18" s="98">
        <v>0.95</v>
      </c>
      <c r="D18" s="56">
        <v>8.9498000901640609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8.5698500000000011E-2</v>
      </c>
      <c r="C19" s="98">
        <v>0.95</v>
      </c>
      <c r="D19" s="56">
        <v>8.9498000901640609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69.283092298354532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22.370086288750748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4.2557875816009592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0.55540145219353199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1.6153600000000001E-2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18.535649720195959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0.21083840000000001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0.34978969999999998</v>
      </c>
      <c r="C29" s="98">
        <v>0.95</v>
      </c>
      <c r="D29" s="56">
        <v>109.78567093836929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1.2514852015075351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0.41</v>
      </c>
      <c r="C32" s="98">
        <v>0.95</v>
      </c>
      <c r="D32" s="56">
        <v>1.45890481734541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0.89304019999999995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1.33188E-2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0.93835589999999991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2.24059070083436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RcfS03wG2llr/GROCmK2D0OOwkYlV4dVgXULXLv5r/q9DWAHBF3jGDUWoDPfzetaeyOpmvkIW/yh7Kg8IqSLzg==" saltValue="wQvGuHjlWPiMBastHZfF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kSBJ073n8FqKJWttgPjAsYAb+chFTZ5lm6PS2gThW4zrcvSr5kJC47odqGVWQokBuZjTiqeESgIwuvRYxTlH5g==" saltValue="bBoF+OIPDzrToPw95G8d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+RURp7VEYrJ5t20WzT4NuioRzPy26XAPPV/RL8d5R54WkEZEBAK2jT7JCgHSW4sM2JiZ6yEUcVWMycnseO7bMw==" saltValue="l7tPN/klUtQtd+HSShR9y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0.33032766000000002</v>
      </c>
      <c r="C3" s="21">
        <f>frac_mam_1_5months * 2.6</f>
        <v>0.33032766000000002</v>
      </c>
      <c r="D3" s="21">
        <f>frac_mam_6_11months * 2.6</f>
        <v>0.31036200000000003</v>
      </c>
      <c r="E3" s="21">
        <f>frac_mam_12_23months * 2.6</f>
        <v>8.0802539999999992E-2</v>
      </c>
      <c r="F3" s="21">
        <f>frac_mam_24_59months * 2.6</f>
        <v>5.962398E-2</v>
      </c>
    </row>
    <row r="4" spans="1:6" ht="15.75" customHeight="1" x14ac:dyDescent="0.25">
      <c r="A4" s="3" t="s">
        <v>207</v>
      </c>
      <c r="B4" s="21">
        <f>frac_sam_1month * 2.6</f>
        <v>0.13362908000000001</v>
      </c>
      <c r="C4" s="21">
        <f>frac_sam_1_5months * 2.6</f>
        <v>0.13362908000000001</v>
      </c>
      <c r="D4" s="21">
        <f>frac_sam_6_11months * 2.6</f>
        <v>7.2666100000000011E-2</v>
      </c>
      <c r="E4" s="21">
        <f>frac_sam_12_23months * 2.6</f>
        <v>7.3116939999999991E-2</v>
      </c>
      <c r="F4" s="21">
        <f>frac_sam_24_59months * 2.6</f>
        <v>3.4678540000000001E-2</v>
      </c>
    </row>
  </sheetData>
  <sheetProtection algorithmName="SHA-512" hashValue="gG1qAVx7VZnZbPeWkU4zyUbWgYkqZZT+rOwVGCQBGPX32D/yJ4jj5Al3xuksUB6cHSggOvePscbt3QJvxYe1qA==" saltValue="er/7lYn0MnrFFIEY5I/Vm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4.3175231182999992E-2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1.8503670506999994E-2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2.6433815009999993E-2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IqBwaV0fPIKzfh/VUkAt4ocTAA8G8bEstaG4IJg5BK0K2oTqyxqji7304WnAe1tGpNjj7Y/l1JoiWJBf5/Js5A==" saltValue="6ToP1bndV9IOF2X5RLHid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9I0oj07m18QgCeVVTbH66x8ebc7RK/jeAijV5U18WB2k/AFLy9KJ5po4Iijhn4yzSL0LRifJnrfYGLfus47ug==" saltValue="Xzaf2q7/owbhjjV9IdXkz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/W/9w5wyI+sWAlM4QOp/kao1lvu+Hu8Lgdw8LbFMfROuYj+33YJ9jCx/8DqiWxJdDZFBYbxPR8TFaZAYcuU4A==" saltValue="MHp9KJBk1jRCzmmk/4pL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LC2PLGA9kbTxZpUiPSoMf0SpqpRtLGPaY2NPhSYuBAHbvPOe6lvvtLHHlIe7BptBzLIOMN9pSys7kWh89/srg==" saltValue="LDIniktimQYCaK7j79wC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qvRI9l7nF1pPjnwdzq+uYaSpG933tS9j4OHCGYLakd6/m78cMGgx2Swwts6fdEZKxScCjfU/rObdKRYBvO94kA==" saltValue="8HHJhQfLs+LboNSB8KHn7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OoGihYC3W9GGKElFZv8g1o76uW5e4h7EOFWDH20AifBT59xRt+rZjX1oDwjeye9QxDP8HxpAd3ESTkgvhsE0g==" saltValue="0kumk0UvzSr5vKLxYi48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3uXjTrAlItfgczIAbiEGz7+ftGtzX+5Lym5ASRzUG1ICjWdKUKjo7o3d7lNDDxlmwK9kUSLlgRajlzWKaKpSg==" saltValue="mRQFxVm2KJ0niaZuqmuuw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o0SUGQgG1eHTjcyXkDJ49ararT8gi0XfDfwXtwka26mjBKT9WUznaXA6pvFXAOEoNOAj025IC05K1Smh6pSgg==" saltValue="yVZu4gRc/6ShpfIJbtGC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t1JYSFFpZhMgJpmItAPX4PZLExKw8Lipx1NSURH7e5q5ZB1baUjlU9QiIlHaAMUUqOW8FxX99C0DoNPTOCeww==" saltValue="ntnrjmLUGpXjT4gGV6w5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LLd1kjgsb7/77mg7yTD3JzIsj11gkJTIJGtwG7kTGM5gNSj9PgoFA7WG7kdZ8bSaA+keIhA5BgcfKmRc+D0RQ==" saltValue="a10kk+tyx9dsyyTEXbLP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IsG+Xe9ex8IRqXpYllBfQnV1IZmN1J6G77QY1T+AZCcuoVIY4yv5wgPUNqBzzUe01Qt+XXIfUQkKaLHn5IPdg==" saltValue="HqMdQJUd9rdGkIK6KZ58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zNIDULCDwXMBGECOTtomgtxJ+trs0dLCWBXL0Tx6Mc/0bnCXh+2ulN8KzjBK40gdqpq7gInSbdN8wSA2KB3CA==" saltValue="g9zXbdorxnkhOytbXi4H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1NXUITv8m1PuSjjFj8dpuVeqP4Jd/kgMp1OCCtmZ6aB3H6ZUpeJIhvh6t0BU/dpfC8U09/RbluniYP7R7pPfg==" saltValue="a/OVxK2ObVaISOpCsXXg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0.10725540404258715</v>
      </c>
      <c r="G18" s="90">
        <f>MIN(MAX(1-0.89/(1-frac_sam_12_23months+(frac_sam_12_23months*0.89)),0),1)</f>
        <v>0.10723832299349301</v>
      </c>
      <c r="H18" s="90">
        <f>MIN(MAX(1-0.89/(1-frac_sam_24_59months+(frac_sam_24_59months*0.89)),0),1)</f>
        <v>0.10869230097452853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9.8158185688824284E-2</v>
      </c>
      <c r="G20" s="90">
        <f>MIN(MAX(1-0.89/(1-frac_mam_12_23months+(frac_mam_12_23months*0.89)),0),1)</f>
        <v>0.10694703682473083</v>
      </c>
      <c r="H20" s="90">
        <f>MIN(MAX(1-0.89/(1-frac_mam_24_59months+(frac_mam_24_59months*0.89)),0),1)</f>
        <v>0.10774925019432535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9.7232324976345152E-3</v>
      </c>
      <c r="G73" s="90">
        <f>MIN(MAX(1-0.99/(1-frac_sam_12_23months+(frac_sam_12_23months*0.99)),0),1)</f>
        <v>9.7215148746915281E-3</v>
      </c>
      <c r="H73" s="90">
        <f>MIN(MAX(1-0.99/(1-frac_sam_24_59months+(frac_sam_24_59months*0.99)),0),1)</f>
        <v>9.8679371755925338E-3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8.8168246435771369E-3</v>
      </c>
      <c r="G75" s="90">
        <f>MIN(MAX(1-0.99/(1-frac_mam_12_23months+(frac_mam_12_23months*0.99)),0),1)</f>
        <v>9.6922331425238761E-3</v>
      </c>
      <c r="H75" s="90">
        <f>MIN(MAX(1-0.99/(1-frac_mam_24_59months+(frac_mam_24_59months*0.99)),0),1)</f>
        <v>9.772918154909993E-3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0.1955031036987448</v>
      </c>
      <c r="G128" s="90">
        <f>MIN(MAX(1-0.8/(1-frac_sam_12_23months+(frac_sam_12_23months*0.8)),0),1)</f>
        <v>0.19547504593887766</v>
      </c>
      <c r="H128" s="90">
        <f>MIN(MAX(1-0.8/(1-frac_sam_24_59months+(frac_sam_24_59months*0.8)),0),1)</f>
        <v>0.19786022798697345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0.18043367352165596</v>
      </c>
      <c r="G130" s="90">
        <f>MIN(MAX(1-0.8/(1-frac_mam_12_23months+(frac_mam_12_23months*0.8)),0),1)</f>
        <v>0.19499643594734561</v>
      </c>
      <c r="H130" s="90">
        <f>MIN(MAX(1-0.8/(1-frac_mam_24_59months+(frac_mam_24_59months*0.8)),0),1)</f>
        <v>0.19631392596889918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b9pzuNLmphxMVksgw22yY+TRPaXN22KdA1XoXBCZBEadTnwa+KVTzuyE3LUnIq4EAaCC2T3M54W5HVaNDcHOQ==" saltValue="8Q2WWvpTnQtTUzqZIutG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fy02IociagNHEV4nUD1bJl9fzCKhNfBK1WgPXzOXoy804HVTPHLKx+ZKtkJ2TOJKsJQCIU1xXatwmoVt7iMjw==" saltValue="nDityJPJEkJ5IwDbZpS01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2024-08-06T07:14:55Z</dcterms:modified>
</cp:coreProperties>
</file>