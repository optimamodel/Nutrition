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B53FF671-314C-4324-8F11-ED222C8AE02D}" xr6:coauthVersionLast="47" xr6:coauthVersionMax="47" xr10:uidLastSave="{00000000-0000-0000-0000-000000000000}"/>
  <bookViews>
    <workbookView xWindow="20" yWindow="20" windowWidth="19180" windowHeight="10180" tabRatio="961" firstSheet="6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22" i="2"/>
  <c r="A36" i="2"/>
  <c r="I3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<sst xmlns="http://schemas.openxmlformats.org/spreadsheetml/2006/main" count="2159" uniqueCount="372">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</sst>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630394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0.1489</v>
      </c>
    </row>
    <row r="24" spans="1:3" ht="15" customHeight="1" x14ac:dyDescent="0.25">
      <c r="B24" s="15" t="s">
        <v>65</v>
      </c>
      <c r="C24" s="45">
        <v>0.65529999999999999</v>
      </c>
    </row>
    <row r="25" spans="1:3" ht="15" customHeight="1" x14ac:dyDescent="0.25">
      <c r="B25" s="15" t="s">
        <v>66</v>
      </c>
      <c r="C25" s="45">
        <v>0.1857</v>
      </c>
    </row>
    <row r="26" spans="1:3" ht="15" customHeight="1" x14ac:dyDescent="0.25">
      <c r="B26" s="15" t="s">
        <v>67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0.43972863237246501</v>
      </c>
    </row>
    <row r="30" spans="1:3" ht="14.25" customHeight="1" x14ac:dyDescent="0.25">
      <c r="B30" s="25" t="s">
        <v>82</v>
      </c>
      <c r="C30" s="99">
        <v>0.10181424433873699</v>
      </c>
    </row>
    <row r="31" spans="1:3" ht="14.25" customHeight="1" x14ac:dyDescent="0.25">
      <c r="B31" s="25" t="s">
        <v>29</v>
      </c>
      <c r="C31" s="99">
        <v>9.9255704226601515E-2</v>
      </c>
    </row>
    <row r="32" spans="1:3" ht="14.25" customHeight="1" x14ac:dyDescent="0.25">
      <c r="B32" s="25" t="s">
        <v>30</v>
      </c>
      <c r="C32" s="99">
        <v>0.35920141906219599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9.5091000000000001</v>
      </c>
    </row>
    <row r="38" spans="1:5" ht="15" customHeight="1" x14ac:dyDescent="0.25">
      <c r="B38" s="11" t="s">
        <v>54</v>
      </c>
      <c r="C38" s="43">
        <v>16.60615</v>
      </c>
      <c r="D38" s="12"/>
      <c r="E38" s="13"/>
    </row>
    <row r="39" spans="1:5" ht="15" customHeight="1" x14ac:dyDescent="0.25">
      <c r="B39" s="11" t="s">
        <v>80</v>
      </c>
      <c r="C39" s="43">
        <v>18.586200000000002</v>
      </c>
      <c r="D39" s="12"/>
      <c r="E39" s="12"/>
    </row>
    <row r="40" spans="1:5" ht="15" customHeight="1" x14ac:dyDescent="0.25">
      <c r="B40" s="11" t="s">
        <v>55</v>
      </c>
      <c r="C40" s="100">
        <v>0.41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7.5017E-3</v>
      </c>
      <c r="D45" s="12"/>
    </row>
    <row r="46" spans="1:5" ht="15.75" customHeight="1" x14ac:dyDescent="0.25">
      <c r="B46" s="11" t="s">
        <v>70</v>
      </c>
      <c r="C46" s="45">
        <v>8.0604700000000001E-2</v>
      </c>
      <c r="D46" s="12"/>
    </row>
    <row r="47" spans="1:5" ht="15.75" customHeight="1" x14ac:dyDescent="0.25">
      <c r="B47" s="11" t="s">
        <v>78</v>
      </c>
      <c r="C47" s="45">
        <v>7.3866899999999999E-2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0.57557999999999998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rQUUX7K58rSKTcSr0mg52qxocymFFia4qfhAR0u/C9D0riyQEr9gElv3gkUn+Hoh8IxMujfzhMzliJlFjWkPjQ==" saltValue="tEEzooi8l/O6MVq1zn9d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121322</v>
      </c>
      <c r="C2" s="49">
        <v>359811.5</v>
      </c>
      <c r="D2" s="49">
        <v>685975</v>
      </c>
      <c r="E2" s="49">
        <v>952964</v>
      </c>
      <c r="F2" s="49">
        <v>721994.5</v>
      </c>
      <c r="G2" s="17">
        <f t="shared" ref="G2:G13" si="0">C2+D2+E2+F2</f>
        <v>2720745</v>
      </c>
      <c r="H2" s="17">
        <f t="shared" ref="H2:H13" si="1">(B2 + stillbirth*B2/(1000-stillbirth))/(1-abortion)</f>
        <v>139077.71126930098</v>
      </c>
      <c r="I2" s="17">
        <f t="shared" ref="I2:I13" si="2">G2-H2</f>
        <v>2581667.2887306991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120097</v>
      </c>
      <c r="C3" s="50">
        <v>375047.5</v>
      </c>
      <c r="D3" s="50">
        <v>669610.5</v>
      </c>
      <c r="E3" s="50">
        <v>949094</v>
      </c>
      <c r="F3" s="50">
        <v>746582</v>
      </c>
      <c r="G3" s="17">
        <f t="shared" si="0"/>
        <v>2740334</v>
      </c>
      <c r="H3" s="17">
        <f t="shared" si="1"/>
        <v>137673.4301306378</v>
      </c>
      <c r="I3" s="17">
        <f t="shared" si="2"/>
        <v>2602660.5698693623</v>
      </c>
    </row>
    <row r="4" spans="1:9" ht="15.75" customHeight="1" x14ac:dyDescent="0.25">
      <c r="A4" s="5">
        <f t="shared" si="3"/>
        <v>2026</v>
      </c>
      <c r="B4" s="49">
        <v>119620</v>
      </c>
      <c r="C4" s="50">
        <v>387229.5</v>
      </c>
      <c r="D4" s="50">
        <v>662929.5</v>
      </c>
      <c r="E4" s="50">
        <v>935694</v>
      </c>
      <c r="F4" s="50">
        <v>771950.5</v>
      </c>
      <c r="G4" s="17">
        <f t="shared" si="0"/>
        <v>2757803.5</v>
      </c>
      <c r="H4" s="17">
        <f t="shared" si="1"/>
        <v>137126.62025052161</v>
      </c>
      <c r="I4" s="17">
        <f t="shared" si="2"/>
        <v>2620676.8797494783</v>
      </c>
    </row>
    <row r="5" spans="1:9" ht="15.75" customHeight="1" x14ac:dyDescent="0.25">
      <c r="A5" s="5">
        <f t="shared" si="3"/>
        <v>2027</v>
      </c>
      <c r="B5" s="49">
        <v>119961</v>
      </c>
      <c r="C5" s="50">
        <v>396956.5</v>
      </c>
      <c r="D5" s="50">
        <v>665782.99999999988</v>
      </c>
      <c r="E5" s="50">
        <v>913961</v>
      </c>
      <c r="F5" s="50">
        <v>797814.5</v>
      </c>
      <c r="G5" s="17">
        <f t="shared" si="0"/>
        <v>2774515</v>
      </c>
      <c r="H5" s="17">
        <f t="shared" si="1"/>
        <v>137517.52626544744</v>
      </c>
      <c r="I5" s="17">
        <f t="shared" si="2"/>
        <v>2636997.4737345525</v>
      </c>
    </row>
    <row r="6" spans="1:9" ht="15.75" customHeight="1" x14ac:dyDescent="0.25">
      <c r="A6" s="5">
        <f t="shared" si="3"/>
        <v>2028</v>
      </c>
      <c r="B6" s="49">
        <v>120765</v>
      </c>
      <c r="C6" s="50">
        <v>404354.5</v>
      </c>
      <c r="D6" s="50">
        <v>677988.49999999988</v>
      </c>
      <c r="E6" s="50">
        <v>883894</v>
      </c>
      <c r="F6" s="50">
        <v>824294.5</v>
      </c>
      <c r="G6" s="17">
        <f t="shared" si="0"/>
        <v>2790531.5</v>
      </c>
      <c r="H6" s="17">
        <f t="shared" si="1"/>
        <v>138439.19323319045</v>
      </c>
      <c r="I6" s="17">
        <f t="shared" si="2"/>
        <v>2652092.3067668094</v>
      </c>
    </row>
    <row r="7" spans="1:9" ht="15.75" customHeight="1" x14ac:dyDescent="0.25">
      <c r="A7" s="5">
        <f t="shared" si="3"/>
        <v>2029</v>
      </c>
      <c r="B7" s="49">
        <v>121981</v>
      </c>
      <c r="C7" s="50">
        <v>407994</v>
      </c>
      <c r="D7" s="50">
        <v>695928.5</v>
      </c>
      <c r="E7" s="50">
        <v>847902.5</v>
      </c>
      <c r="F7" s="50">
        <v>850699.00000000012</v>
      </c>
      <c r="G7" s="17">
        <f t="shared" si="0"/>
        <v>2802524</v>
      </c>
      <c r="H7" s="17">
        <f t="shared" si="1"/>
        <v>139833.15720430427</v>
      </c>
      <c r="I7" s="17">
        <f t="shared" si="2"/>
        <v>2662690.8427956956</v>
      </c>
    </row>
    <row r="8" spans="1:9" ht="15.75" customHeight="1" x14ac:dyDescent="0.25">
      <c r="A8" s="5">
        <f t="shared" si="3"/>
        <v>2030</v>
      </c>
      <c r="B8" s="49">
        <v>123303</v>
      </c>
      <c r="C8" s="50">
        <v>407077.5</v>
      </c>
      <c r="D8" s="50">
        <v>718378.5</v>
      </c>
      <c r="E8" s="50">
        <v>807591</v>
      </c>
      <c r="F8" s="50">
        <v>875268.49999999988</v>
      </c>
      <c r="G8" s="17">
        <f t="shared" si="0"/>
        <v>2808315.5</v>
      </c>
      <c r="H8" s="17">
        <f t="shared" si="1"/>
        <v>141348.63448211056</v>
      </c>
      <c r="I8" s="17">
        <f t="shared" si="2"/>
        <v>2666966.8655178896</v>
      </c>
    </row>
    <row r="9" spans="1:9" ht="15.75" customHeight="1" x14ac:dyDescent="0.25">
      <c r="A9" s="5">
        <f t="shared" si="3"/>
        <v>2031</v>
      </c>
      <c r="B9" s="49">
        <v>124540</v>
      </c>
      <c r="C9" s="50">
        <v>402086</v>
      </c>
      <c r="D9" s="50">
        <v>744087</v>
      </c>
      <c r="E9" s="50">
        <v>765959.49999999988</v>
      </c>
      <c r="F9" s="50">
        <v>896122</v>
      </c>
      <c r="G9" s="17">
        <f t="shared" si="0"/>
        <v>2808254.5</v>
      </c>
      <c r="H9" s="17">
        <f t="shared" si="1"/>
        <v>142766.6718441729</v>
      </c>
      <c r="I9" s="17">
        <f t="shared" si="2"/>
        <v>2665487.8281558272</v>
      </c>
    </row>
    <row r="10" spans="1:9" ht="15.75" customHeight="1" x14ac:dyDescent="0.25">
      <c r="A10" s="5">
        <f t="shared" si="3"/>
        <v>2032</v>
      </c>
      <c r="B10" s="49">
        <v>125946</v>
      </c>
      <c r="C10" s="50">
        <v>392321</v>
      </c>
      <c r="D10" s="50">
        <v>770970</v>
      </c>
      <c r="E10" s="50">
        <v>726931.49999999988</v>
      </c>
      <c r="F10" s="50">
        <v>913178.5</v>
      </c>
      <c r="G10" s="17">
        <f t="shared" si="0"/>
        <v>2803401</v>
      </c>
      <c r="H10" s="17">
        <f t="shared" si="1"/>
        <v>144378.44268577325</v>
      </c>
      <c r="I10" s="17">
        <f t="shared" si="2"/>
        <v>2659022.5573142269</v>
      </c>
    </row>
    <row r="11" spans="1:9" ht="15.75" customHeight="1" x14ac:dyDescent="0.25">
      <c r="A11" s="5">
        <f t="shared" si="3"/>
        <v>2033</v>
      </c>
      <c r="B11" s="49">
        <v>127122</v>
      </c>
      <c r="C11" s="50">
        <v>375585</v>
      </c>
      <c r="D11" s="50">
        <v>796557</v>
      </c>
      <c r="E11" s="50">
        <v>692972.5</v>
      </c>
      <c r="F11" s="50">
        <v>924459.49999999988</v>
      </c>
      <c r="G11" s="17">
        <f t="shared" si="0"/>
        <v>2789574</v>
      </c>
      <c r="H11" s="17">
        <f t="shared" si="1"/>
        <v>145726.55257888988</v>
      </c>
      <c r="I11" s="17">
        <f t="shared" si="2"/>
        <v>2643847.4474211102</v>
      </c>
    </row>
    <row r="12" spans="1:9" ht="15.75" customHeight="1" x14ac:dyDescent="0.25">
      <c r="A12" s="5">
        <f t="shared" si="3"/>
        <v>2034</v>
      </c>
      <c r="B12" s="49">
        <v>128097.00000000001</v>
      </c>
      <c r="C12" s="50">
        <v>360324.5</v>
      </c>
      <c r="D12" s="50">
        <v>817176.99999999988</v>
      </c>
      <c r="E12" s="50">
        <v>666514</v>
      </c>
      <c r="F12" s="50">
        <v>928655.50000000012</v>
      </c>
      <c r="G12" s="17">
        <f t="shared" si="0"/>
        <v>2772671</v>
      </c>
      <c r="H12" s="17">
        <f t="shared" si="1"/>
        <v>146844.24573007078</v>
      </c>
      <c r="I12" s="17">
        <f t="shared" si="2"/>
        <v>2625826.7542699291</v>
      </c>
    </row>
    <row r="13" spans="1:9" ht="15.75" customHeight="1" x14ac:dyDescent="0.25">
      <c r="A13" s="5">
        <f t="shared" si="3"/>
        <v>2035</v>
      </c>
      <c r="B13" s="49">
        <v>128598.99999999999</v>
      </c>
      <c r="C13" s="50">
        <v>348512.5</v>
      </c>
      <c r="D13" s="50">
        <v>831391.00000000012</v>
      </c>
      <c r="E13" s="50">
        <v>649475</v>
      </c>
      <c r="F13" s="50">
        <v>924415.99999999988</v>
      </c>
      <c r="G13" s="17">
        <f t="shared" si="0"/>
        <v>2753794.5</v>
      </c>
      <c r="H13" s="17">
        <f t="shared" si="1"/>
        <v>147419.71440893519</v>
      </c>
      <c r="I13" s="17">
        <f t="shared" si="2"/>
        <v>2606374.785591065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gkHgmRH+e9Ont/H8xDh/hnzg+8ZGKTDQEN8toG1SSS3mpRHRcnFyeD+zOSpiNb+xuECMxvWvNWSKKwzGoKUGA==" saltValue="v+CzKFMKTnjJj8R/F0KI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7.6930000000000043E-4</v>
      </c>
    </row>
    <row r="4" spans="1:8" ht="15.75" customHeight="1" x14ac:dyDescent="0.25">
      <c r="B4" s="19" t="s">
        <v>116</v>
      </c>
      <c r="C4" s="101">
        <v>4.0746100000000042E-2</v>
      </c>
    </row>
    <row r="5" spans="1:8" ht="15.75" customHeight="1" x14ac:dyDescent="0.25">
      <c r="B5" s="19" t="s">
        <v>114</v>
      </c>
      <c r="C5" s="101">
        <v>3.8142599999999888E-2</v>
      </c>
    </row>
    <row r="6" spans="1:8" ht="15.75" customHeight="1" x14ac:dyDescent="0.25">
      <c r="B6" s="19" t="s">
        <v>110</v>
      </c>
      <c r="C6" s="101">
        <v>0.1658214999999999</v>
      </c>
    </row>
    <row r="7" spans="1:8" ht="15.75" customHeight="1" x14ac:dyDescent="0.25">
      <c r="B7" s="19" t="s">
        <v>115</v>
      </c>
      <c r="C7" s="101">
        <v>0.4688312999999999</v>
      </c>
    </row>
    <row r="8" spans="1:8" ht="15.75" customHeight="1" x14ac:dyDescent="0.25">
      <c r="B8" s="19" t="s">
        <v>117</v>
      </c>
      <c r="C8" s="101">
        <v>9.6299999999999942E-5</v>
      </c>
    </row>
    <row r="9" spans="1:8" ht="15.75" customHeight="1" x14ac:dyDescent="0.25">
      <c r="B9" s="19" t="s">
        <v>111</v>
      </c>
      <c r="C9" s="101">
        <v>0.20751630000000029</v>
      </c>
    </row>
    <row r="10" spans="1:8" ht="15.75" customHeight="1" x14ac:dyDescent="0.25">
      <c r="B10" s="19" t="s">
        <v>113</v>
      </c>
      <c r="C10" s="101">
        <v>7.8076599999999899E-2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121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2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98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107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118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3.2286483999999997E-2</v>
      </c>
    </row>
    <row r="27" spans="1:8" ht="15.75" customHeight="1" x14ac:dyDescent="0.25">
      <c r="B27" s="19" t="s">
        <v>108</v>
      </c>
      <c r="C27" s="101">
        <v>8.0926539000000006E-2</v>
      </c>
    </row>
    <row r="28" spans="1:8" ht="15.75" customHeight="1" x14ac:dyDescent="0.25">
      <c r="B28" s="19" t="s">
        <v>122</v>
      </c>
      <c r="C28" s="101">
        <v>0.11034517200000001</v>
      </c>
    </row>
    <row r="29" spans="1:8" ht="15.75" customHeight="1" x14ac:dyDescent="0.25">
      <c r="B29" s="19" t="s">
        <v>105</v>
      </c>
      <c r="C29" s="101">
        <v>8.99475E-2</v>
      </c>
    </row>
    <row r="30" spans="1:8" ht="15.75" customHeight="1" x14ac:dyDescent="0.25">
      <c r="B30" s="19" t="s">
        <v>4</v>
      </c>
      <c r="C30" s="101">
        <v>2.9600607000000001E-2</v>
      </c>
    </row>
    <row r="31" spans="1:8" ht="15.75" customHeight="1" x14ac:dyDescent="0.25">
      <c r="B31" s="19" t="s">
        <v>99</v>
      </c>
      <c r="C31" s="101">
        <v>3.5472995E-2</v>
      </c>
    </row>
    <row r="32" spans="1:8" ht="15.75" customHeight="1" x14ac:dyDescent="0.25">
      <c r="B32" s="19" t="s">
        <v>104</v>
      </c>
      <c r="C32" s="101">
        <v>0.250963082</v>
      </c>
    </row>
    <row r="33" spans="2:3" ht="15.75" customHeight="1" x14ac:dyDescent="0.25">
      <c r="B33" s="19" t="s">
        <v>119</v>
      </c>
      <c r="C33" s="101">
        <v>0.14174240299999999</v>
      </c>
    </row>
    <row r="34" spans="2:3" ht="15.75" customHeight="1" x14ac:dyDescent="0.25">
      <c r="B34" s="19" t="s">
        <v>106</v>
      </c>
      <c r="C34" s="101">
        <v>0.228715217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LxVxdFQ1gEvu+3IFSINSu40h5HkEdWgUy3qZO5eCztCteM72TwZfWT0JbIlklfwX6l4qZoQRNb6VoxXInQFoLA==" saltValue="fpRK4uU+BYhIyOz2gnNL0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129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125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126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138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27X52uoX2XfUTuvsK3HEh2gkeetFkEAtyp2s5CA0DViSBZx+7c3aeNo5N5gTioE+yvkKSWOebn8Gv1UIPFM9Q==" saltValue="GEqy2E4cEPQfhHfV7WNV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0.10279450000000012</v>
      </c>
      <c r="D5" s="52">
        <f t="shared" si="0"/>
        <v>0.18830710000000006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kFMtJbyRREhNoi0QZm1mhQcqeBvIxji8qyscmrt+nRif8ZhrqD5xYxOjLI6khci2CSLDpXmjX/joJP1BGJcYZA==" saltValue="X9phl4aRzQnqj65Lb+pj5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7kIpQ7Hsy2+LD5Xk4vH8NvNhR709M6iXJUvmg7A1X8ufiOY74uHqgKEqDA/Yb5MVbFk6Fc2OVy5itXhKN99QQ==" saltValue="bbIN6zxAbzYISsZR/Bkw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7762.0738285883999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0.46567000000000003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0.746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1.3172659202306283E-2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97828.187860000005</v>
      </c>
      <c r="C22" s="109">
        <v>97670.950490000003</v>
      </c>
      <c r="D22" s="109">
        <v>97529.362949999995</v>
      </c>
      <c r="E22" s="109">
        <v>97253.044750000001</v>
      </c>
      <c r="F22" s="109">
        <v>96852.336469999995</v>
      </c>
      <c r="G22" s="109">
        <v>96430.079379999996</v>
      </c>
      <c r="H22" s="109">
        <v>95894.986619999996</v>
      </c>
      <c r="I22" s="109">
        <v>95131.926749999999</v>
      </c>
      <c r="J22" s="109">
        <v>93955.619160000002</v>
      </c>
      <c r="K22" s="109">
        <v>92113.938970000003</v>
      </c>
      <c r="L22" s="109">
        <v>89106.894440000004</v>
      </c>
      <c r="M22" s="109">
        <v>84271.890910000002</v>
      </c>
      <c r="N22" s="109">
        <v>76748.593859999994</v>
      </c>
      <c r="O22" s="109">
        <v>65502.907200000001</v>
      </c>
    </row>
  </sheetData>
  <sheetProtection algorithmName="SHA-512" hashValue="kwSznDMXz7STPXihqH9RhlZkCIZnkiT32GIWxbfKB43CCnSteKvDshBgNZG7dOzb7oetXliARS9CrzKNE3Sv6g==" saltValue="0CfdID8cIyEQk9tg87dER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hqzKRjZt+ZHhqT4BzwPWYH1JQ0hrP3yFVP4msexgjZf9bi47SJ3gLiZmsArfdoGJ2t3rSNbGNf22kiPeMO0IQ==" saltValue="rYIsI5SKpXHIQD3n94+d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GAO9CT+rARNtlMG4JMw6w8l8LXnirH896d1xc8rG+Wsxpi6NT0v+UBWooCqQUHV4PZRwm7kTV/HLoXZtuu9qJA==" saltValue="cNyue9BfFHJ7ieM5deaB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1.6153600000000001E-2</v>
      </c>
      <c r="C10" s="98">
        <v>0.95</v>
      </c>
      <c r="D10" s="56">
        <v>12.974499314795549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12.974499314795549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12.974499314795549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12.974499314795549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1.6153600000000001E-2</v>
      </c>
      <c r="C14" s="98">
        <v>0.95</v>
      </c>
      <c r="D14" s="56">
        <v>12.974499314795549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12.974499314795549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8.5698500000000011E-2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8.5698500000000011E-2</v>
      </c>
      <c r="C19" s="98">
        <v>0.95</v>
      </c>
      <c r="D19" s="56">
        <v>8.9498000901640609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4.2557875816009592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0.55540145219353199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1.6153600000000001E-2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0.21083840000000001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0.34978969999999998</v>
      </c>
      <c r="C29" s="98">
        <v>0.95</v>
      </c>
      <c r="D29" s="56">
        <v>109.78567093836929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0.41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0.89304019999999995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1.33188E-2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0.93835589999999991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fae6kyZ54ly1AXHxjB/WsGHRhrgXZyxRYiXC14utDZKgMhcpId4N3wo9LoWU+ds7QAA6eTyJ4lwDbEEPUjeklg==" saltValue="ovh8FSgzXFMTmQjqmjsN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L5e2nfJKI3wVhJgSd0z5+nmWs3UfyUQCVj4xNjQ93+FQbVxzC3cAvc0GMYCfiJ9QDWnaSGYYQwu23+bsd1v+A==" saltValue="rbnq2qF3BFFAl7jCz54k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W0msj13IX5+eIM/W+jbTHjpQg1mu2QlWgNkuaVUUJ+JJiGSXad4jcxiasZsqYQhl+dAdG9DvZAklYVC652uKA==" saltValue="ivvvL7UzGyMTCFMJzuSD6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236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tieoduxfS/bl1oM4EkLgMV36nGpE3daEzZeoeArWfxK1O/nEUkYkRgdeW83r8Y0o23N8ZtpqUqHRFKkUyr/Acw==" saltValue="wLkLA3ZxLqRpR/2dxNmeQ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JJwsBrBmH0p4K6D6NaoaNs8tIuCf2fnAKzhD0ZOEeMoz4axrKjOx+m0A79hRyCRHO+gTTBF0pKhpEoF+vYCuA==" saltValue="MN+5n6MOAEqwXNIpIGAeu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cwIFJ+G2ws7lD63qN77XDj0Ed9VICgxPvPWLdGfkuwOfGS5VKMmz/mXVTY4LSDWIsJbxsYiowpyggVQN9VfFA==" saltValue="By1S1WyurWS611jjFJ4/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SmC66k7bJjNzIIPzVhibEVKeR59SS5iwqn5Yxl6+RrcdnnYMe+4TpES5aulwwDxcKGUBogDL8/X8XtaKFxnaQ==" saltValue="hC9jdMokAyoMWxv6YbcA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pUO867vY6JzkcQifhEk38aI8FY2Se7dCEYCHAB2xoyx0Yw7kj5eSgDRb8bPKlIdOv1QCCLhif108wwN7rn46g==" saltValue="Ro8AlhCVoiiK27IrMH1y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Vm4krUOR+7n0iEfqfnu757bnd+VOef6aGBLBvH1TLPMPO5LD2Xj9oaHmcQvHKRtj2ICrHonQhJNWwPbfOYq1KQ==" saltValue="IFg6rpenclPo+igjbJlm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GiMEdtQ8hsHHdyem4Jwg/5UnYupVMLwAWebNQZljzWs9f6eJBcCBzYck+67NI5V3B3RIMj9oOiJ5EzWs+d4Rw==" saltValue="wn2NmbC8Afkd4ZkhMzG0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+VYVrlxckc2Ixioih2EfWpBUVxBFiPa390g79son36xC5jwMQrHtmHb88FkjB3aPAw12TIXtk5C2vp7tUYE+Q==" saltValue="UbFYNIh9ZrdtxRRbeH63v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2zwvT1SFnqPOxn/86dOGHMUxfNgqoE3gfjJfvG2WnqPLGSaYUEFRcycszlydqNT1zR7aH6eKHev/1Up2vfjAw==" saltValue="7mzCXMmZcSUODrkth/ij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xX4/AEIhvjZ6+gTkv4YAIoiksS5U9ZUwOi1K28EuojVJSD3FJcBVOOn3miSgu+e3aAOdB3hxVM6Gzr09D6QgQ==" saltValue="TlkD9OzqAFuggtn4WOOw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ETuYwrhJ/7Y5hoHhKGDt25hHCWEEXz2tbBSiGt+mVXTs5/tEE7fVEXLRTqgAJBkHlRVGvWEWtWz3FuHklIWgQ==" saltValue="IiNmT2ItZFl5i/oEW3HT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XrQZhSpvH/Dp5ac61if9Ih4UygtSdvkJwBL946QMj1+BpxNLWQs1oSiYaGOs7ru6xL11lH3NYsD8NaSZRJoGg==" saltValue="ev6Bdudh3wwTsoZ/TrwX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14YovHH3lcz/2+jtOtS8lk0PgHg96E54hudDq6Xb6cJjCQhKJG9gbc94q2WupAQNiSV+1fQzkquxr7E9B6AmA==" saltValue="QTO4+9MS6ZBrqNSE2IaM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eqIJz3bCsK7nyCQ8oXiHbwz2RydMplOico0b08on8pg+01goewXcsT49E7PBvJqYYiIKFJt1N0c1PlhDX28oA==" saltValue="SHGak8MRgJdu3Fg+ON0wo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XrZdBwygoFo7BjyeuWe7P7mlyhB4n/EBqZFsnWt+dkSRSkXiQNkaDkZRqmBdhVj8VfC57sa+FQu86YraN11Jg==" saltValue="XObdqp15a3YThdOB2t4r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6E1TlozYD/Pa1TuWRThl/X9be43uh8p9CJ+JhiVmzUw0FidC0S450QbMsdix8bXGQlOgV2zXPVZMhY23/OxUJw==" saltValue="PFEfBxNhdyThmaThhP3u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