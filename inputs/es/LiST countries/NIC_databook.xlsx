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49CA4D8-1E25-42D6-A8F8-06F8F876A0A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2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37" i="2" s="1"/>
  <c r="C33" i="1"/>
  <c r="C20" i="1"/>
  <c r="A40" i="2" l="1"/>
  <c r="A31" i="2"/>
  <c r="A15" i="2"/>
  <c r="A23" i="2"/>
  <c r="A16" i="2"/>
  <c r="A24" i="2"/>
  <c r="A32" i="2"/>
  <c r="A17" i="2"/>
  <c r="A25" i="2"/>
  <c r="A33" i="2"/>
  <c r="A38" i="2"/>
  <c r="A39" i="2"/>
  <c r="A1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19" i="2"/>
  <c r="A27" i="2"/>
  <c r="A35" i="2"/>
  <c r="A30" i="2"/>
  <c r="A20" i="2"/>
  <c r="A28" i="2"/>
  <c r="A36" i="2"/>
  <c r="A21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<sst xmlns="http://schemas.openxmlformats.org/spreadsheetml/2006/main" count="2101" uniqueCount="341">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</sst>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683661.703125</v>
      </c>
    </row>
    <row r="8" spans="1:3" ht="15" customHeight="1" x14ac:dyDescent="0.25">
      <c r="B8" s="5" t="s">
        <v>44</v>
      </c>
      <c r="C8" s="44">
        <v>3.2000000000000001E-2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0.78792312620000005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0.19850000000000001</v>
      </c>
    </row>
    <row r="24" spans="1:3" ht="15" customHeight="1" x14ac:dyDescent="0.25">
      <c r="B24" s="15" t="s">
        <v>46</v>
      </c>
      <c r="C24" s="45">
        <v>0.49969999999999998</v>
      </c>
    </row>
    <row r="25" spans="1:3" ht="15" customHeight="1" x14ac:dyDescent="0.25">
      <c r="B25" s="15" t="s">
        <v>47</v>
      </c>
      <c r="C25" s="45">
        <v>0.25750000000000001</v>
      </c>
    </row>
    <row r="26" spans="1:3" ht="15" customHeight="1" x14ac:dyDescent="0.25">
      <c r="B26" s="15" t="s">
        <v>48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0.31194267237106899</v>
      </c>
    </row>
    <row r="30" spans="1:3" ht="14.25" customHeight="1" x14ac:dyDescent="0.25">
      <c r="B30" s="25" t="s">
        <v>63</v>
      </c>
      <c r="C30" s="99">
        <v>7.9911270967818207E-2</v>
      </c>
    </row>
    <row r="31" spans="1:3" ht="14.25" customHeight="1" x14ac:dyDescent="0.25">
      <c r="B31" s="25" t="s">
        <v>10</v>
      </c>
      <c r="C31" s="99">
        <v>0.101230174619235</v>
      </c>
    </row>
    <row r="32" spans="1:3" ht="14.25" customHeight="1" x14ac:dyDescent="0.25">
      <c r="B32" s="25" t="s">
        <v>11</v>
      </c>
      <c r="C32" s="99">
        <v>0.50691588204187699</v>
      </c>
    </row>
    <row r="33" spans="1:5" ht="13" customHeight="1" x14ac:dyDescent="0.25">
      <c r="B33" s="27" t="s">
        <v>60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7.3659999999999997</v>
      </c>
    </row>
    <row r="38" spans="1:5" ht="15" customHeight="1" x14ac:dyDescent="0.25">
      <c r="B38" s="11" t="s">
        <v>35</v>
      </c>
      <c r="C38" s="43">
        <v>11.41046</v>
      </c>
      <c r="D38" s="12"/>
      <c r="E38" s="13"/>
    </row>
    <row r="39" spans="1:5" ht="15" customHeight="1" x14ac:dyDescent="0.25">
      <c r="B39" s="11" t="s">
        <v>61</v>
      </c>
      <c r="C39" s="43">
        <v>13.255420000000001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4.9385999999999996E-3</v>
      </c>
      <c r="D45" s="12"/>
    </row>
    <row r="46" spans="1:5" ht="15.75" customHeight="1" x14ac:dyDescent="0.25">
      <c r="B46" s="11" t="s">
        <v>51</v>
      </c>
      <c r="C46" s="45">
        <v>5.3064699999999999E-2</v>
      </c>
      <c r="D46" s="12"/>
    </row>
    <row r="47" spans="1:5" ht="15.75" customHeight="1" x14ac:dyDescent="0.25">
      <c r="B47" s="11" t="s">
        <v>59</v>
      </c>
      <c r="C47" s="45">
        <v>7.6305300000000006E-2</v>
      </c>
      <c r="D47" s="12"/>
      <c r="E47" s="13"/>
    </row>
    <row r="48" spans="1:5" ht="15" customHeight="1" x14ac:dyDescent="0.25">
      <c r="B48" s="11" t="s">
        <v>58</v>
      </c>
      <c r="C48" s="46">
        <v>0.8656914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0.50332299999999996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0.10669083</v>
      </c>
    </row>
    <row r="63" spans="1:4" ht="15.75" customHeight="1" x14ac:dyDescent="0.3">
      <c r="A63" s="4"/>
    </row>
  </sheetData>
  <sheetProtection algorithmName="SHA-512" hashValue="w0IEf25LD74GTQO4WOrzuWRAK8D/+q9RDuKu37H3c9Y0pzu9nSYhkfh2QP3FapQ9Gue325Ya7TL0d5BpB6efBA==" saltValue="E4rkCMMt+LjNbmTRIdPU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137110</v>
      </c>
      <c r="C2" s="49">
        <v>389816.49999999988</v>
      </c>
      <c r="D2" s="49">
        <v>633097.5</v>
      </c>
      <c r="E2" s="49">
        <v>570366.5</v>
      </c>
      <c r="F2" s="49">
        <v>389018</v>
      </c>
      <c r="G2" s="17">
        <f t="shared" ref="G2:G13" si="0">C2+D2+E2+F2</f>
        <v>1982298.5</v>
      </c>
      <c r="H2" s="17">
        <f t="shared" ref="H2:H13" si="1">(B2 + stillbirth*B2/(1000-stillbirth))/(1-abortion)</f>
        <v>157353.43565971134</v>
      </c>
      <c r="I2" s="17">
        <f t="shared" ref="I2:I13" si="2">G2-H2</f>
        <v>1824945.0643402888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136567</v>
      </c>
      <c r="C3" s="50">
        <v>392459.99999999988</v>
      </c>
      <c r="D3" s="50">
        <v>632074</v>
      </c>
      <c r="E3" s="50">
        <v>580656</v>
      </c>
      <c r="F3" s="50">
        <v>399856.5</v>
      </c>
      <c r="G3" s="17">
        <f t="shared" si="0"/>
        <v>2005046.5</v>
      </c>
      <c r="H3" s="17">
        <f t="shared" si="1"/>
        <v>156730.26509911602</v>
      </c>
      <c r="I3" s="17">
        <f t="shared" si="2"/>
        <v>1848316.2349008839</v>
      </c>
    </row>
    <row r="4" spans="1:9" ht="15.75" customHeight="1" x14ac:dyDescent="0.25">
      <c r="A4" s="5">
        <f t="shared" si="3"/>
        <v>2026</v>
      </c>
      <c r="B4" s="49">
        <v>135747</v>
      </c>
      <c r="C4" s="50">
        <v>395415.99999999988</v>
      </c>
      <c r="D4" s="50">
        <v>630965</v>
      </c>
      <c r="E4" s="50">
        <v>590098.5</v>
      </c>
      <c r="F4" s="50">
        <v>410529</v>
      </c>
      <c r="G4" s="17">
        <f t="shared" si="0"/>
        <v>2027008.5</v>
      </c>
      <c r="H4" s="17">
        <f t="shared" si="1"/>
        <v>155789.19721755403</v>
      </c>
      <c r="I4" s="17">
        <f t="shared" si="2"/>
        <v>1871219.3027824459</v>
      </c>
    </row>
    <row r="5" spans="1:9" ht="15.75" customHeight="1" x14ac:dyDescent="0.25">
      <c r="A5" s="5">
        <f t="shared" si="3"/>
        <v>2027</v>
      </c>
      <c r="B5" s="49">
        <v>134671</v>
      </c>
      <c r="C5" s="50">
        <v>398350.5</v>
      </c>
      <c r="D5" s="50">
        <v>630425.00000000012</v>
      </c>
      <c r="E5" s="50">
        <v>598220</v>
      </c>
      <c r="F5" s="50">
        <v>421081.5</v>
      </c>
      <c r="G5" s="17">
        <f t="shared" si="0"/>
        <v>2048077</v>
      </c>
      <c r="H5" s="17">
        <f t="shared" si="1"/>
        <v>154554.33253394344</v>
      </c>
      <c r="I5" s="17">
        <f t="shared" si="2"/>
        <v>1893522.6674660565</v>
      </c>
    </row>
    <row r="6" spans="1:9" ht="15.75" customHeight="1" x14ac:dyDescent="0.25">
      <c r="A6" s="5">
        <f t="shared" si="3"/>
        <v>2028</v>
      </c>
      <c r="B6" s="49">
        <v>133988</v>
      </c>
      <c r="C6" s="50">
        <v>401132.50000000012</v>
      </c>
      <c r="D6" s="50">
        <v>630660</v>
      </c>
      <c r="E6" s="50">
        <v>604642.5</v>
      </c>
      <c r="F6" s="50">
        <v>431634</v>
      </c>
      <c r="G6" s="17">
        <f t="shared" si="0"/>
        <v>2068069</v>
      </c>
      <c r="H6" s="17">
        <f t="shared" si="1"/>
        <v>153770.49184722779</v>
      </c>
      <c r="I6" s="17">
        <f t="shared" si="2"/>
        <v>1914298.5081527722</v>
      </c>
    </row>
    <row r="7" spans="1:9" ht="15.75" customHeight="1" x14ac:dyDescent="0.25">
      <c r="A7" s="5">
        <f t="shared" si="3"/>
        <v>2029</v>
      </c>
      <c r="B7" s="49">
        <v>133561</v>
      </c>
      <c r="C7" s="50">
        <v>403627</v>
      </c>
      <c r="D7" s="50">
        <v>631548.5</v>
      </c>
      <c r="E7" s="50">
        <v>609593.5</v>
      </c>
      <c r="F7" s="50">
        <v>442375</v>
      </c>
      <c r="G7" s="17">
        <f t="shared" si="0"/>
        <v>2087144</v>
      </c>
      <c r="H7" s="17">
        <f t="shared" si="1"/>
        <v>153280.44796256075</v>
      </c>
      <c r="I7" s="17">
        <f t="shared" si="2"/>
        <v>1933863.5520374393</v>
      </c>
    </row>
    <row r="8" spans="1:9" ht="15.75" customHeight="1" x14ac:dyDescent="0.25">
      <c r="A8" s="5">
        <f t="shared" si="3"/>
        <v>2030</v>
      </c>
      <c r="B8" s="49">
        <v>132624</v>
      </c>
      <c r="C8" s="50">
        <v>405697</v>
      </c>
      <c r="D8" s="50">
        <v>633096</v>
      </c>
      <c r="E8" s="50">
        <v>613215</v>
      </c>
      <c r="F8" s="50">
        <v>453243</v>
      </c>
      <c r="G8" s="17">
        <f t="shared" si="0"/>
        <v>2105251</v>
      </c>
      <c r="H8" s="17">
        <f t="shared" si="1"/>
        <v>152205.1057613125</v>
      </c>
      <c r="I8" s="17">
        <f t="shared" si="2"/>
        <v>1953045.8942386876</v>
      </c>
    </row>
    <row r="9" spans="1:9" ht="15.75" customHeight="1" x14ac:dyDescent="0.25">
      <c r="A9" s="5">
        <f t="shared" si="3"/>
        <v>2031</v>
      </c>
      <c r="B9" s="49">
        <v>132052</v>
      </c>
      <c r="C9" s="50">
        <v>407251</v>
      </c>
      <c r="D9" s="50">
        <v>635304</v>
      </c>
      <c r="E9" s="50">
        <v>615456</v>
      </c>
      <c r="F9" s="50">
        <v>464133</v>
      </c>
      <c r="G9" s="17">
        <f t="shared" si="0"/>
        <v>2122144</v>
      </c>
      <c r="H9" s="17">
        <f t="shared" si="1"/>
        <v>151548.65353173512</v>
      </c>
      <c r="I9" s="17">
        <f t="shared" si="2"/>
        <v>1970595.3464682649</v>
      </c>
    </row>
    <row r="10" spans="1:9" ht="15.75" customHeight="1" x14ac:dyDescent="0.25">
      <c r="A10" s="5">
        <f t="shared" si="3"/>
        <v>2032</v>
      </c>
      <c r="B10" s="49">
        <v>131489</v>
      </c>
      <c r="C10" s="50">
        <v>408245</v>
      </c>
      <c r="D10" s="50">
        <v>638104</v>
      </c>
      <c r="E10" s="50">
        <v>616530.5</v>
      </c>
      <c r="F10" s="50">
        <v>474962</v>
      </c>
      <c r="G10" s="17">
        <f t="shared" si="0"/>
        <v>2137841.5</v>
      </c>
      <c r="H10" s="17">
        <f t="shared" si="1"/>
        <v>150902.53009597975</v>
      </c>
      <c r="I10" s="17">
        <f t="shared" si="2"/>
        <v>1986938.9699040202</v>
      </c>
    </row>
    <row r="11" spans="1:9" ht="15.75" customHeight="1" x14ac:dyDescent="0.25">
      <c r="A11" s="5">
        <f t="shared" si="3"/>
        <v>2033</v>
      </c>
      <c r="B11" s="49">
        <v>131155</v>
      </c>
      <c r="C11" s="50">
        <v>408675.49999999988</v>
      </c>
      <c r="D11" s="50">
        <v>641423</v>
      </c>
      <c r="E11" s="50">
        <v>616680.5</v>
      </c>
      <c r="F11" s="50">
        <v>485641.99999999988</v>
      </c>
      <c r="G11" s="17">
        <f t="shared" si="0"/>
        <v>2152421</v>
      </c>
      <c r="H11" s="17">
        <f t="shared" si="1"/>
        <v>150519.21708080696</v>
      </c>
      <c r="I11" s="17">
        <f t="shared" si="2"/>
        <v>2001901.7829191932</v>
      </c>
    </row>
    <row r="12" spans="1:9" ht="15.75" customHeight="1" x14ac:dyDescent="0.25">
      <c r="A12" s="5">
        <f t="shared" si="3"/>
        <v>2034</v>
      </c>
      <c r="B12" s="49">
        <v>130789</v>
      </c>
      <c r="C12" s="50">
        <v>408540</v>
      </c>
      <c r="D12" s="50">
        <v>645187</v>
      </c>
      <c r="E12" s="50">
        <v>616176</v>
      </c>
      <c r="F12" s="50">
        <v>496108</v>
      </c>
      <c r="G12" s="17">
        <f t="shared" si="0"/>
        <v>2166011</v>
      </c>
      <c r="H12" s="17">
        <f t="shared" si="1"/>
        <v>150099.17946537805</v>
      </c>
      <c r="I12" s="17">
        <f t="shared" si="2"/>
        <v>2015911.8205346218</v>
      </c>
    </row>
    <row r="13" spans="1:9" ht="15.75" customHeight="1" x14ac:dyDescent="0.25">
      <c r="A13" s="5">
        <f t="shared" si="3"/>
        <v>2035</v>
      </c>
      <c r="B13" s="49">
        <v>130043</v>
      </c>
      <c r="C13" s="50">
        <v>407872.5</v>
      </c>
      <c r="D13" s="50">
        <v>649303</v>
      </c>
      <c r="E13" s="50">
        <v>615227</v>
      </c>
      <c r="F13" s="50">
        <v>506027.00000000012</v>
      </c>
      <c r="G13" s="17">
        <f t="shared" si="0"/>
        <v>2178429.5</v>
      </c>
      <c r="H13" s="17">
        <f t="shared" si="1"/>
        <v>149243.03722190825</v>
      </c>
      <c r="I13" s="17">
        <f t="shared" si="2"/>
        <v>2029186.4627780917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BslmTM8owXUcd++tWrmzzKi4RVhHBuEk1RA909tQyydmxCWJj3cTpSjOj20mOYnpBW7HJgtIZK+n80rs3sWfw==" saltValue="WWRrwoyKZWDjUEpUqYQ6S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0.1646432164643217</v>
      </c>
    </row>
    <row r="5" spans="1:8" ht="15.75" customHeight="1" x14ac:dyDescent="0.25">
      <c r="B5" s="19" t="s">
        <v>95</v>
      </c>
      <c r="C5" s="101">
        <v>8.8069308806930965E-2</v>
      </c>
    </row>
    <row r="6" spans="1:8" ht="15.75" customHeight="1" x14ac:dyDescent="0.25">
      <c r="B6" s="19" t="s">
        <v>91</v>
      </c>
      <c r="C6" s="101">
        <v>0.15137381513738149</v>
      </c>
    </row>
    <row r="7" spans="1:8" ht="15.75" customHeight="1" x14ac:dyDescent="0.25">
      <c r="B7" s="19" t="s">
        <v>96</v>
      </c>
      <c r="C7" s="101">
        <v>0.33688533368853352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0.2339606233960623</v>
      </c>
    </row>
    <row r="10" spans="1:8" ht="15.75" customHeight="1" x14ac:dyDescent="0.25">
      <c r="B10" s="19" t="s">
        <v>94</v>
      </c>
      <c r="C10" s="101">
        <v>2.5067702506770269E-2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102</v>
      </c>
      <c r="C15" s="101">
        <v>0.47120749583080251</v>
      </c>
      <c r="D15" s="101">
        <v>0.47120749583080251</v>
      </c>
      <c r="E15" s="101">
        <v>0.47120749583080251</v>
      </c>
      <c r="F15" s="101">
        <v>0.47120749583080251</v>
      </c>
    </row>
    <row r="16" spans="1:8" ht="15.75" customHeight="1" x14ac:dyDescent="0.25">
      <c r="B16" s="19" t="s">
        <v>2</v>
      </c>
      <c r="C16" s="101">
        <v>4.2214594997239903E-2</v>
      </c>
      <c r="D16" s="101">
        <v>4.2214594997239903E-2</v>
      </c>
      <c r="E16" s="101">
        <v>4.2214594997239903E-2</v>
      </c>
      <c r="F16" s="101">
        <v>4.2214594997239903E-2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5.5943415620592204E-3</v>
      </c>
      <c r="D18" s="101">
        <v>5.5943415620592204E-3</v>
      </c>
      <c r="E18" s="101">
        <v>5.5943415620592204E-3</v>
      </c>
      <c r="F18" s="101">
        <v>5.5943415620592204E-3</v>
      </c>
    </row>
    <row r="19" spans="1:8" ht="15.75" customHeight="1" x14ac:dyDescent="0.25">
      <c r="B19" s="19" t="s">
        <v>101</v>
      </c>
      <c r="C19" s="101">
        <v>1.715633356016992E-2</v>
      </c>
      <c r="D19" s="101">
        <v>1.715633356016992E-2</v>
      </c>
      <c r="E19" s="101">
        <v>1.715633356016992E-2</v>
      </c>
      <c r="F19" s="101">
        <v>1.715633356016992E-2</v>
      </c>
    </row>
    <row r="20" spans="1:8" ht="15.75" customHeight="1" x14ac:dyDescent="0.25">
      <c r="B20" s="19" t="s">
        <v>79</v>
      </c>
      <c r="C20" s="101">
        <v>2.492730115664487E-2</v>
      </c>
      <c r="D20" s="101">
        <v>2.492730115664487E-2</v>
      </c>
      <c r="E20" s="101">
        <v>2.492730115664487E-2</v>
      </c>
      <c r="F20" s="101">
        <v>2.492730115664487E-2</v>
      </c>
    </row>
    <row r="21" spans="1:8" ht="15.75" customHeight="1" x14ac:dyDescent="0.25">
      <c r="B21" s="19" t="s">
        <v>88</v>
      </c>
      <c r="C21" s="101">
        <v>0.16105601684657589</v>
      </c>
      <c r="D21" s="101">
        <v>0.16105601684657589</v>
      </c>
      <c r="E21" s="101">
        <v>0.16105601684657589</v>
      </c>
      <c r="F21" s="101">
        <v>0.16105601684657589</v>
      </c>
    </row>
    <row r="22" spans="1:8" ht="15.75" customHeight="1" x14ac:dyDescent="0.25">
      <c r="B22" s="19" t="s">
        <v>99</v>
      </c>
      <c r="C22" s="101">
        <v>0.121749428144969</v>
      </c>
      <c r="D22" s="101">
        <v>0.121749428144969</v>
      </c>
      <c r="E22" s="101">
        <v>0.121749428144969</v>
      </c>
      <c r="F22" s="101">
        <v>0.121749428144969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3.3953507000000001E-2</v>
      </c>
    </row>
    <row r="27" spans="1:8" ht="15.75" customHeight="1" x14ac:dyDescent="0.25">
      <c r="B27" s="19" t="s">
        <v>89</v>
      </c>
      <c r="C27" s="101">
        <v>3.6358831000000001E-2</v>
      </c>
    </row>
    <row r="28" spans="1:8" ht="15.75" customHeight="1" x14ac:dyDescent="0.25">
      <c r="B28" s="19" t="s">
        <v>103</v>
      </c>
      <c r="C28" s="101">
        <v>0.29059849599999998</v>
      </c>
    </row>
    <row r="29" spans="1:8" ht="15.75" customHeight="1" x14ac:dyDescent="0.25">
      <c r="B29" s="19" t="s">
        <v>86</v>
      </c>
      <c r="C29" s="101">
        <v>0.18423973499999999</v>
      </c>
    </row>
    <row r="30" spans="1:8" ht="15.75" customHeight="1" x14ac:dyDescent="0.25">
      <c r="B30" s="19" t="s">
        <v>4</v>
      </c>
      <c r="C30" s="101">
        <v>8.8893533999999996E-2</v>
      </c>
    </row>
    <row r="31" spans="1:8" ht="15.75" customHeight="1" x14ac:dyDescent="0.25">
      <c r="B31" s="19" t="s">
        <v>80</v>
      </c>
      <c r="C31" s="101">
        <v>4.6759898000000001E-2</v>
      </c>
    </row>
    <row r="32" spans="1:8" ht="15.75" customHeight="1" x14ac:dyDescent="0.25">
      <c r="B32" s="19" t="s">
        <v>85</v>
      </c>
      <c r="C32" s="101">
        <v>5.1759430999999988E-2</v>
      </c>
    </row>
    <row r="33" spans="2:3" ht="15.75" customHeight="1" x14ac:dyDescent="0.25">
      <c r="B33" s="19" t="s">
        <v>100</v>
      </c>
      <c r="C33" s="101">
        <v>0.101392051</v>
      </c>
    </row>
    <row r="34" spans="2:3" ht="15.75" customHeight="1" x14ac:dyDescent="0.25">
      <c r="B34" s="19" t="s">
        <v>87</v>
      </c>
      <c r="C34" s="101">
        <v>0.166044517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MHgbn6IHtz9Gn6Nh6rsIzZMCaYfRjx52cw7+Rf3LgJHEp4h+BkXcoNBndsH10/J6vJswVHgNn04neZFOUYKeIg==" saltValue="qeYPqzL7+4q12gfQIkhWw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110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106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107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119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5Z7HJLYeRD4E2uOZqSMVbwHz8Vp31FQgn8utImfa8tlMwEpN3Mx4eWeqcFrrLSTvG0YHPLWxgxtpg+cxxVDBQ==" saltValue="Dip4Lg6OIu6tSabh7lTA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125</v>
      </c>
      <c r="C5" s="52">
        <v>3.2688200000000001E-2</v>
      </c>
      <c r="D5" s="52">
        <v>7.91544E-2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U/DSXMvIPKLY4Lhe8fjAKVHNtDlZRCaClfieTZB3W5bxBIgBpl6hn+jIfDWDj/Av9kXwMOr1hOrz/uL6lpq2+Q==" saltValue="BJH+hsY9MgqSBppKSSWgz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G5S7z14pdjiw8iC/ozEWpa6sSP0FFQmeuEUk/iMpSxfZHu2KxZm1hJIoo4bGqMOCzsbEg/8o0FRBuuNq3UVTw==" saltValue="mzEE0bh+hChnn7F5Hesbm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pWaRW2w1K9xUY/8SQdmXNgHTamytXwOre141SCDVVZTYJpCVplVVYjKbKesd1v1HfEQKKYsfyltOxaoFZqUHCQ==" saltValue="oFM/B4LuJSG8rVN/pjH0e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xi7sdZ06WF1dGL2oSpb6vy1JmY+k9+JlZNna4maYOPrSfbx3wkTc8dbbAy5DVz8sIld9b4dGopHRvNcq+We6TQ==" saltValue="f1HZ9zFuv/L3tpIkeG6la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mNwr547QX8D0aOr4Q1DMzPxDhmXdnSDkteRp6CTleDMz1OoP7NmnxtIqKn0X3+IfrWPjHcuVg/IRxbAl0Ahs1g==" saltValue="fHERXIkWHqJuMhI5kcup5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45.319393542983583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42.687335931091802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215.13820465634649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1.130102918328614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0.61550340000000003</v>
      </c>
      <c r="C10" s="98">
        <v>0.95</v>
      </c>
      <c r="D10" s="56">
        <v>13.705047831112401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13.705047831112401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13.705047831112401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13.705047831112401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0.61550340000000003</v>
      </c>
      <c r="C14" s="98">
        <v>0.95</v>
      </c>
      <c r="D14" s="56">
        <v>13.705047831112401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13.705047831112401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0.44429056896247249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0.236988888888889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0.27199479999999998</v>
      </c>
      <c r="C18" s="98">
        <v>0.95</v>
      </c>
      <c r="D18" s="56">
        <v>5.0196810287000124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0.27199479999999998</v>
      </c>
      <c r="C19" s="98">
        <v>0.95</v>
      </c>
      <c r="D19" s="56">
        <v>5.0196810287000124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11.663682971302389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23.476861506564731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4.5643768782397949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0.53800854420833999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0.61550340000000003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19.712589805544962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0.65400000000000003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84.63932308590087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0.70370696748114991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0.03</v>
      </c>
      <c r="C32" s="98">
        <v>0.95</v>
      </c>
      <c r="D32" s="56">
        <v>0.9198919947883043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0.43180760000000001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0.69741069999999994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5.3194821474431118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MleVEWlKk/rknSGDw7dcwPKYJVk4ny7/rV1YIv+bNN5bapBZoUCEgayDLvca3cGgoTPnOhYI3+sV0mw5fYq8Ow==" saltValue="mPHKL+CEQ7n9kT++mtOC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JWipE6kMvXT1fISvccBHgmTi88tEFXdwbWe0T621Gl76X40LEm+zWDJWzL66BYPpMuRoroUj6OQ0MHsgPW5Oiw==" saltValue="E2Zlpvo9RLNnahE0xJguY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+No6rRt++rrkh7Xw6xQt9vYi5xSWMsMyYyIoyplC8P6n5cEoH7SE/X1bXJIgcxMxGMZ9ZWmJGEPYuIljuIIS7w==" saltValue="2RlR8x9Kj/307zemkr9+y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207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sheetProtection algorithmName="SHA-512" hashValue="k9Utlyil8UzgHPBRmh2nedzshJFYlJRE9voPqdNAKPPfxXdoTrNpuL56ciB1yVy9NLak3k+XEkW0u7wdWoMvNg==" saltValue="Wk/j4G5pFJ0n2htTT3SR0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DNzv3GEYYoWf9zyTdn1WE30BdQ8f2Ca3ipyjRCbNqV3bPHsgRC6TXN8eYhi16BKx7r3E2N1NJOlbt5Y+cUV4Q==" saltValue="UsCdh8R0rz7ALfqOYuBti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C2FNMERO0vsHFCccv6Q+jyPjS21mQQzWUSu3C/FcbUxsbSLi61xvpSrobWKNOXMOK18lJLutoAXZGbtF25wRUw==" saltValue="tmg/A2aWD6MgLAXcjS/dj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qEdUsXqmlgFCxFuMchrn6Gey7eXb1pHmJL+FZdxp6bhu2iP57tiU2V7xE1lOiKvaF3qwZn6kO7fJbzfE+0gaw==" saltValue="IWRho94TjMDfID9UtxAR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AHZ63xKwgtwvwYMIFPEPPCxCVdur6tcHLrX8pjItE6ce0omWNTMWXeedcI+YNxOKJ7QBCkPc1nEztfxKqfcjg==" saltValue="PidGV+TXLvG7vOYkeFFDq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PJ0ERVIzfqBJ+q5xtGoCKw6yH+LjkaAlZsenQqK13FXWEr63SOF1MjodwCDnRzDFNeS1K96IEYscpEcl2N8eQQ==" saltValue="CoIf5i1IGqjHONp238rXL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/giWlUiaXCy2O5p5C5UL4IgAq/Esy7voocAR/MCqbhjo91g2oi28XTza51i27MbE2mxhYEKlIzXt4vbETYCFwg==" saltValue="1pOAZdZdD0JyURilq/Zgg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AzD6qoiadxXFnklNGR345YlQstN//bQTp66a6Tg7DLyUmmB70Ctt6TXFm17m86saVbxFsPo6hDybfRqKeILag==" saltValue="l1t4xYtLX49jUNG4wqm2P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RV8TTqUrXdHSlANK2nAYsGO97PJ4ugSdbRy2WJwHdVZAb9xxJ7C93rHI6MSTKoD0UKdmZ6/mL7AlEHvExFfyQ==" saltValue="hIkg4XRwHLiAGhG9GlV0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yBq4VnMn+NTIYOUO2d0uUF9gZt7sQBiA50RWT7JCCXRECftbilWTsDRUn7/RLwU25KNIZYj8041OqhTUfyTYg==" saltValue="D9p/lYkXjGbHgYXDpB6/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z2s3uNPJkQDlOCbYbbfrZ41Uj6tY8Q695J8LKoSYuSgsy4kApXqfYrmgAIEq2xmXJWp3AqZwsSwqdU2BW3qOg==" saltValue="3ByHIIzokE5Xzby/e9wD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pLhfsF1isINMsQYgMC/h4P7MXFkh9ljTL0ewCOB7k859b/r9FBDxwpX/gbPNrSDpxlsJXzd9a9bq/CNWb2Iv2A==" saltValue="PeLw05wCl/nJyWK+Yixm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JyqtUVijiAXsZgE+QauSs4dliNQRYFncoctcBEVWmpbGloejE1tXCTdV0yRJMIodY1J95HauMXGSSXbb81LEQ==" saltValue="cOfdfklij6PS0PsQo/7r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m3erObhsPjND+YECR2JX8+eUof9un7xiQcvKbosquYRCwBIzJpKkMETeK8a5me9riSDIcU7EHAHY03CrqZxGw==" saltValue="c4Z5+8HlW6kB2y1A+arH6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0.10930029748819625</v>
      </c>
      <c r="G18" s="90">
        <f>MIN(MAX(1-0.89/(1-frac_sam_12_23months+(frac_sam_12_23months*0.89)),0),1)</f>
        <v>0.10963437937117937</v>
      </c>
      <c r="H18" s="90">
        <f>MIN(MAX(1-0.89/(1-frac_sam_24_59months+(frac_sam_24_59months*0.89)),0),1)</f>
        <v>0.10966873979000125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0.10932809492825191</v>
      </c>
      <c r="G20" s="90">
        <f>MIN(MAX(1-0.89/(1-frac_mam_12_23months+(frac_mam_12_23months*0.89)),0),1)</f>
        <v>0.10895665239507568</v>
      </c>
      <c r="H20" s="90">
        <f>MIN(MAX(1-0.89/(1-frac_mam_24_59months+(frac_mam_24_59months*0.89)),0),1)</f>
        <v>0.10936454763617653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9.9292941005381108E-3</v>
      </c>
      <c r="G73" s="90">
        <f>MIN(MAX(1-0.99/(1-frac_sam_12_23months+(frac_sam_12_23months*0.99)),0),1)</f>
        <v>9.9630409302809975E-3</v>
      </c>
      <c r="H73" s="90">
        <f>MIN(MAX(1-0.99/(1-frac_sam_24_59months+(frac_sam_24_59months*0.99)),0),1)</f>
        <v>9.9665131073394253E-3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9.9321011434964079E-3</v>
      </c>
      <c r="G75" s="90">
        <f>MIN(MAX(1-0.99/(1-frac_mam_12_23months+(frac_mam_12_23months*0.99)),0),1)</f>
        <v>9.8946052609407698E-3</v>
      </c>
      <c r="H75" s="90">
        <f>MIN(MAX(1-0.99/(1-frac_mam_24_59months+(frac_mam_24_59months*0.99)),0),1)</f>
        <v>9.9357824547215978E-3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0.19885572563292142</v>
      </c>
      <c r="G128" s="90">
        <f>MIN(MAX(1-0.8/(1-frac_sam_12_23months+(frac_sam_12_23months*0.8)),0),1)</f>
        <v>0.19940225771365405</v>
      </c>
      <c r="H128" s="90">
        <f>MIN(MAX(1-0.8/(1-frac_sam_24_59months+(frac_sam_24_59months*0.8)),0),1)</f>
        <v>0.19945844965202053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0.19890121290361851</v>
      </c>
      <c r="G130" s="90">
        <f>MIN(MAX(1-0.8/(1-frac_mam_12_23months+(frac_mam_12_23months*0.8)),0),1)</f>
        <v>0.19829319828742598</v>
      </c>
      <c r="H130" s="90">
        <f>MIN(MAX(1-0.8/(1-frac_mam_24_59months+(frac_mam_24_59months*0.8)),0),1)</f>
        <v>0.19896085998600821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4uuNA9eVqBcm5knE+EX4swkO0y4mPrAM9mPakFi2tmthjbaqK5QXnAu9SsbT8Xo9WPnz+Y7Um/5JJujfkH8ug==" saltValue="3/ze65m0zVPOg6JuxDvs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3hY25ZOx2jvV62Ul3osOO/OCxfyfozTR5mBgSHf83YYuDZe9aP1aDmIDuQ5kLtukunmvwn//5ILjmjX2yp6VA==" saltValue="xOLzfyiLuk4hiKtCg7otm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2024-08-06T08:07:47Z</dcterms:modified>
</cp:coreProperties>
</file>