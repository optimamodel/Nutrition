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CB0982D0-254B-4C69-9920-8F172CA52D7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4" i="2"/>
  <c r="A31" i="2"/>
  <c r="A26" i="2"/>
  <c r="A25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36" i="2"/>
  <c r="I7" i="2"/>
  <c r="I13" i="2"/>
  <c r="A37" i="2"/>
  <c r="A19" i="2"/>
  <c r="A22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<sst xmlns="http://schemas.openxmlformats.org/spreadsheetml/2006/main" count="2169" uniqueCount="373">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</sst>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652556</v>
      </c>
    </row>
    <row r="8" spans="1:3" ht="15" customHeight="1" x14ac:dyDescent="0.25">
      <c r="B8" s="5" t="s">
        <v>63</v>
      </c>
      <c r="C8" s="44">
        <v>3.2000000000000001E-2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0.78792312620000005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0.19850000000000001</v>
      </c>
    </row>
    <row r="24" spans="1:3" ht="15" customHeight="1" x14ac:dyDescent="0.25">
      <c r="B24" s="15" t="s">
        <v>65</v>
      </c>
      <c r="C24" s="45">
        <v>0.49969999999999998</v>
      </c>
    </row>
    <row r="25" spans="1:3" ht="15" customHeight="1" x14ac:dyDescent="0.25">
      <c r="B25" s="15" t="s">
        <v>66</v>
      </c>
      <c r="C25" s="45">
        <v>0.25750000000000001</v>
      </c>
    </row>
    <row r="26" spans="1:3" ht="15" customHeight="1" x14ac:dyDescent="0.25">
      <c r="B26" s="15" t="s">
        <v>67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0.31194267237106899</v>
      </c>
    </row>
    <row r="30" spans="1:3" ht="14.25" customHeight="1" x14ac:dyDescent="0.25">
      <c r="B30" s="25" t="s">
        <v>82</v>
      </c>
      <c r="C30" s="97">
        <v>7.9911270967818207E-2</v>
      </c>
    </row>
    <row r="31" spans="1:3" ht="14.25" customHeight="1" x14ac:dyDescent="0.25">
      <c r="B31" s="25" t="s">
        <v>29</v>
      </c>
      <c r="C31" s="97">
        <v>0.101230174619235</v>
      </c>
    </row>
    <row r="32" spans="1:3" ht="14.25" customHeight="1" x14ac:dyDescent="0.25">
      <c r="B32" s="25" t="s">
        <v>30</v>
      </c>
      <c r="C32" s="97">
        <v>0.50691588204187699</v>
      </c>
    </row>
    <row r="33" spans="1:5" ht="13.25" customHeight="1" x14ac:dyDescent="0.25">
      <c r="B33" s="27" t="s">
        <v>79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7.3659999999999997</v>
      </c>
    </row>
    <row r="38" spans="1:5" ht="15" customHeight="1" x14ac:dyDescent="0.25">
      <c r="B38" s="11" t="s">
        <v>54</v>
      </c>
      <c r="C38" s="43">
        <v>11.41046</v>
      </c>
      <c r="D38" s="12"/>
      <c r="E38" s="13"/>
    </row>
    <row r="39" spans="1:5" ht="15" customHeight="1" x14ac:dyDescent="0.25">
      <c r="B39" s="11" t="s">
        <v>80</v>
      </c>
      <c r="C39" s="43">
        <v>13.255420000000001</v>
      </c>
      <c r="D39" s="12"/>
      <c r="E39" s="12"/>
    </row>
    <row r="40" spans="1:5" ht="15" customHeight="1" x14ac:dyDescent="0.25">
      <c r="B40" s="11" t="s">
        <v>55</v>
      </c>
      <c r="C40" s="98">
        <v>0.78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4.9385999999999996E-3</v>
      </c>
      <c r="D45" s="12"/>
    </row>
    <row r="46" spans="1:5" ht="15.75" customHeight="1" x14ac:dyDescent="0.25">
      <c r="B46" s="11" t="s">
        <v>70</v>
      </c>
      <c r="C46" s="45">
        <v>5.3064699999999999E-2</v>
      </c>
      <c r="D46" s="12"/>
    </row>
    <row r="47" spans="1:5" ht="15.75" customHeight="1" x14ac:dyDescent="0.25">
      <c r="B47" s="11" t="s">
        <v>78</v>
      </c>
      <c r="C47" s="45">
        <v>7.6305300000000006E-2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0.50332299999999996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0.10669083</v>
      </c>
    </row>
    <row r="63" spans="1:4" ht="15.75" customHeight="1" x14ac:dyDescent="0.3">
      <c r="A63" s="4"/>
    </row>
  </sheetData>
  <sheetProtection algorithmName="SHA-512" hashValue="L1Naoxnl26xbQxaaVM4JBU8jsAf8ZzBlp/NBPT3UvuHuQd1ItCTXxLoiSK5ueWCyM1qE/fTAwoaMSvGy2eGujw==" saltValue="i691NcHyB+GN6adC3UgO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132383</v>
      </c>
      <c r="C2" s="49">
        <v>321408.5</v>
      </c>
      <c r="D2" s="49">
        <v>605759</v>
      </c>
      <c r="E2" s="49">
        <v>553171.49999999988</v>
      </c>
      <c r="F2" s="49">
        <v>429971</v>
      </c>
      <c r="G2" s="17">
        <f t="shared" ref="G2:G13" si="0">C2+D2+E2+F2</f>
        <v>1910310</v>
      </c>
      <c r="H2" s="17">
        <f t="shared" ref="H2:H13" si="1">(B2 + stillbirth*B2/(1000-stillbirth))/(1-abortion)</f>
        <v>151928.52361563392</v>
      </c>
      <c r="I2" s="17">
        <f t="shared" ref="I2:I13" si="2">G2-H2</f>
        <v>1758381.4763843662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131804</v>
      </c>
      <c r="C3" s="50">
        <v>323591</v>
      </c>
      <c r="D3" s="50">
        <v>607768</v>
      </c>
      <c r="E3" s="50">
        <v>560842.5</v>
      </c>
      <c r="F3" s="50">
        <v>442265.5</v>
      </c>
      <c r="G3" s="17">
        <f t="shared" si="0"/>
        <v>1934467</v>
      </c>
      <c r="H3" s="17">
        <f t="shared" si="1"/>
        <v>151264.03787975051</v>
      </c>
      <c r="I3" s="17">
        <f t="shared" si="2"/>
        <v>1783202.9621202494</v>
      </c>
    </row>
    <row r="4" spans="1:9" ht="15.75" customHeight="1" x14ac:dyDescent="0.25">
      <c r="A4" s="5">
        <f t="shared" si="3"/>
        <v>2026</v>
      </c>
      <c r="B4" s="49">
        <v>131205</v>
      </c>
      <c r="C4" s="50">
        <v>325208</v>
      </c>
      <c r="D4" s="50">
        <v>610237.00000000012</v>
      </c>
      <c r="E4" s="50">
        <v>567627</v>
      </c>
      <c r="F4" s="50">
        <v>454424.49999999994</v>
      </c>
      <c r="G4" s="17">
        <f t="shared" si="0"/>
        <v>1957496.5</v>
      </c>
      <c r="H4" s="17">
        <f t="shared" si="1"/>
        <v>150576.5992687071</v>
      </c>
      <c r="I4" s="17">
        <f t="shared" si="2"/>
        <v>1806919.900731293</v>
      </c>
    </row>
    <row r="5" spans="1:9" ht="15.75" customHeight="1" x14ac:dyDescent="0.25">
      <c r="A5" s="5">
        <f t="shared" si="3"/>
        <v>2027</v>
      </c>
      <c r="B5" s="49">
        <v>130627.99999999999</v>
      </c>
      <c r="C5" s="50">
        <v>326475</v>
      </c>
      <c r="D5" s="50">
        <v>612925.99999999988</v>
      </c>
      <c r="E5" s="50">
        <v>573471</v>
      </c>
      <c r="F5" s="50">
        <v>466358.5</v>
      </c>
      <c r="G5" s="17">
        <f t="shared" si="0"/>
        <v>1979230.5</v>
      </c>
      <c r="H5" s="17">
        <f t="shared" si="1"/>
        <v>149914.40882033965</v>
      </c>
      <c r="I5" s="17">
        <f t="shared" si="2"/>
        <v>1829316.0911796603</v>
      </c>
    </row>
    <row r="6" spans="1:9" ht="15.75" customHeight="1" x14ac:dyDescent="0.25">
      <c r="A6" s="5">
        <f t="shared" si="3"/>
        <v>2028</v>
      </c>
      <c r="B6" s="49">
        <v>129882</v>
      </c>
      <c r="C6" s="50">
        <v>327298.5</v>
      </c>
      <c r="D6" s="50">
        <v>616108.5</v>
      </c>
      <c r="E6" s="50">
        <v>578109.5</v>
      </c>
      <c r="F6" s="50">
        <v>478177.5</v>
      </c>
      <c r="G6" s="17">
        <f t="shared" si="0"/>
        <v>1999694</v>
      </c>
      <c r="H6" s="17">
        <f t="shared" si="1"/>
        <v>149058.26657686988</v>
      </c>
      <c r="I6" s="17">
        <f t="shared" si="2"/>
        <v>1850635.7334231301</v>
      </c>
    </row>
    <row r="7" spans="1:9" ht="15.75" customHeight="1" x14ac:dyDescent="0.25">
      <c r="A7" s="5">
        <f t="shared" si="3"/>
        <v>2029</v>
      </c>
      <c r="B7" s="49">
        <v>129145.99999999999</v>
      </c>
      <c r="C7" s="50">
        <v>327679.5</v>
      </c>
      <c r="D7" s="50">
        <v>619506.5</v>
      </c>
      <c r="E7" s="50">
        <v>581828</v>
      </c>
      <c r="F7" s="50">
        <v>489696</v>
      </c>
      <c r="G7" s="17">
        <f t="shared" si="0"/>
        <v>2018710</v>
      </c>
      <c r="H7" s="17">
        <f t="shared" si="1"/>
        <v>148213.60077098009</v>
      </c>
      <c r="I7" s="17">
        <f t="shared" si="2"/>
        <v>1870496.3992290199</v>
      </c>
    </row>
    <row r="8" spans="1:9" ht="15.75" customHeight="1" x14ac:dyDescent="0.25">
      <c r="A8" s="5">
        <f t="shared" si="3"/>
        <v>2030</v>
      </c>
      <c r="B8" s="49">
        <v>128473.99999999999</v>
      </c>
      <c r="C8" s="50">
        <v>327625</v>
      </c>
      <c r="D8" s="50">
        <v>622956.5</v>
      </c>
      <c r="E8" s="50">
        <v>584910.00000000012</v>
      </c>
      <c r="F8" s="50">
        <v>500719.5</v>
      </c>
      <c r="G8" s="17">
        <f t="shared" si="0"/>
        <v>2036211</v>
      </c>
      <c r="H8" s="17">
        <f t="shared" si="1"/>
        <v>147442.38416560247</v>
      </c>
      <c r="I8" s="17">
        <f t="shared" si="2"/>
        <v>1888768.6158343975</v>
      </c>
    </row>
    <row r="9" spans="1:9" ht="15.75" customHeight="1" x14ac:dyDescent="0.25">
      <c r="A9" s="5">
        <f t="shared" si="3"/>
        <v>2031</v>
      </c>
      <c r="B9" s="49">
        <v>127741</v>
      </c>
      <c r="C9" s="50">
        <v>327247.5</v>
      </c>
      <c r="D9" s="50">
        <v>626666.5</v>
      </c>
      <c r="E9" s="50">
        <v>587000.5</v>
      </c>
      <c r="F9" s="50">
        <v>511486</v>
      </c>
      <c r="G9" s="17">
        <f t="shared" si="0"/>
        <v>2052400.5</v>
      </c>
      <c r="H9" s="17">
        <f t="shared" si="1"/>
        <v>146601.1612909867</v>
      </c>
      <c r="I9" s="17">
        <f t="shared" si="2"/>
        <v>1905799.3387090133</v>
      </c>
    </row>
    <row r="10" spans="1:9" ht="15.75" customHeight="1" x14ac:dyDescent="0.25">
      <c r="A10" s="5">
        <f t="shared" si="3"/>
        <v>2032</v>
      </c>
      <c r="B10" s="49">
        <v>127223</v>
      </c>
      <c r="C10" s="50">
        <v>326598</v>
      </c>
      <c r="D10" s="50">
        <v>630799.5</v>
      </c>
      <c r="E10" s="50">
        <v>587965</v>
      </c>
      <c r="F10" s="50">
        <v>521782.5</v>
      </c>
      <c r="G10" s="17">
        <f t="shared" si="0"/>
        <v>2067145</v>
      </c>
      <c r="H10" s="17">
        <f t="shared" si="1"/>
        <v>146006.68182434145</v>
      </c>
      <c r="I10" s="17">
        <f t="shared" si="2"/>
        <v>1921138.3181756586</v>
      </c>
    </row>
    <row r="11" spans="1:9" ht="15.75" customHeight="1" x14ac:dyDescent="0.25">
      <c r="A11" s="5">
        <f t="shared" si="3"/>
        <v>2033</v>
      </c>
      <c r="B11" s="49">
        <v>126735</v>
      </c>
      <c r="C11" s="50">
        <v>325631.5</v>
      </c>
      <c r="D11" s="50">
        <v>634760</v>
      </c>
      <c r="E11" s="50">
        <v>588600.5</v>
      </c>
      <c r="F11" s="50">
        <v>531317</v>
      </c>
      <c r="G11" s="17">
        <f t="shared" si="0"/>
        <v>2080309</v>
      </c>
      <c r="H11" s="17">
        <f t="shared" si="1"/>
        <v>145446.63167043627</v>
      </c>
      <c r="I11" s="17">
        <f t="shared" si="2"/>
        <v>1934862.3683295636</v>
      </c>
    </row>
    <row r="12" spans="1:9" ht="15.75" customHeight="1" x14ac:dyDescent="0.25">
      <c r="A12" s="5">
        <f t="shared" si="3"/>
        <v>2034</v>
      </c>
      <c r="B12" s="49">
        <v>126239</v>
      </c>
      <c r="C12" s="50">
        <v>324402</v>
      </c>
      <c r="D12" s="50">
        <v>637937</v>
      </c>
      <c r="E12" s="50">
        <v>589687.5</v>
      </c>
      <c r="F12" s="50">
        <v>539989</v>
      </c>
      <c r="G12" s="17">
        <f t="shared" si="0"/>
        <v>2092015.5</v>
      </c>
      <c r="H12" s="17">
        <f t="shared" si="1"/>
        <v>144877.40036646707</v>
      </c>
      <c r="I12" s="17">
        <f t="shared" si="2"/>
        <v>1947138.099633533</v>
      </c>
    </row>
    <row r="13" spans="1:9" ht="15.75" customHeight="1" x14ac:dyDescent="0.25">
      <c r="A13" s="5">
        <f t="shared" si="3"/>
        <v>2035</v>
      </c>
      <c r="B13" s="49">
        <v>125687</v>
      </c>
      <c r="C13" s="50">
        <v>322988.5</v>
      </c>
      <c r="D13" s="50">
        <v>640023.5</v>
      </c>
      <c r="E13" s="50">
        <v>591668.5</v>
      </c>
      <c r="F13" s="50">
        <v>547616</v>
      </c>
      <c r="G13" s="17">
        <f t="shared" si="0"/>
        <v>2102296.5</v>
      </c>
      <c r="H13" s="17">
        <f t="shared" si="1"/>
        <v>144243.90101204973</v>
      </c>
      <c r="I13" s="17">
        <f t="shared" si="2"/>
        <v>1958052.5989879502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+luL56vWdP/02puYcE0fm83cZbGefTZUXeuZst0Q9pz5tKYe2lH2ZnpkdSCijp0giGWslG0BERpv4sX2ATqDg==" saltValue="a72ncbT4ledPiHu2dbqOH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0.1646432164643217</v>
      </c>
    </row>
    <row r="5" spans="1:8" ht="15.75" customHeight="1" x14ac:dyDescent="0.25">
      <c r="B5" s="19" t="s">
        <v>114</v>
      </c>
      <c r="C5" s="99">
        <v>8.8069308806930965E-2</v>
      </c>
    </row>
    <row r="6" spans="1:8" ht="15.75" customHeight="1" x14ac:dyDescent="0.25">
      <c r="B6" s="19" t="s">
        <v>110</v>
      </c>
      <c r="C6" s="99">
        <v>0.15137381513738149</v>
      </c>
    </row>
    <row r="7" spans="1:8" ht="15.75" customHeight="1" x14ac:dyDescent="0.25">
      <c r="B7" s="19" t="s">
        <v>115</v>
      </c>
      <c r="C7" s="99">
        <v>0.33688533368853352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0.2339606233960623</v>
      </c>
    </row>
    <row r="10" spans="1:8" ht="15.75" customHeight="1" x14ac:dyDescent="0.25">
      <c r="B10" s="19" t="s">
        <v>113</v>
      </c>
      <c r="C10" s="99">
        <v>2.5067702506770269E-2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121</v>
      </c>
      <c r="C15" s="99">
        <v>0.47120749583080251</v>
      </c>
      <c r="D15" s="99">
        <v>0.47120749583080251</v>
      </c>
      <c r="E15" s="99">
        <v>0.47120749583080251</v>
      </c>
      <c r="F15" s="99">
        <v>0.47120749583080251</v>
      </c>
    </row>
    <row r="16" spans="1:8" ht="15.75" customHeight="1" x14ac:dyDescent="0.25">
      <c r="B16" s="19" t="s">
        <v>2</v>
      </c>
      <c r="C16" s="99">
        <v>4.2214594997239903E-2</v>
      </c>
      <c r="D16" s="99">
        <v>4.2214594997239903E-2</v>
      </c>
      <c r="E16" s="99">
        <v>4.2214594997239903E-2</v>
      </c>
      <c r="F16" s="99">
        <v>4.2214594997239903E-2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5.5943415620592204E-3</v>
      </c>
      <c r="D18" s="99">
        <v>5.5943415620592204E-3</v>
      </c>
      <c r="E18" s="99">
        <v>5.5943415620592204E-3</v>
      </c>
      <c r="F18" s="99">
        <v>5.5943415620592204E-3</v>
      </c>
    </row>
    <row r="19" spans="1:8" ht="15.75" customHeight="1" x14ac:dyDescent="0.25">
      <c r="B19" s="19" t="s">
        <v>120</v>
      </c>
      <c r="C19" s="99">
        <v>1.715633356016992E-2</v>
      </c>
      <c r="D19" s="99">
        <v>1.715633356016992E-2</v>
      </c>
      <c r="E19" s="99">
        <v>1.715633356016992E-2</v>
      </c>
      <c r="F19" s="99">
        <v>1.715633356016992E-2</v>
      </c>
    </row>
    <row r="20" spans="1:8" ht="15.75" customHeight="1" x14ac:dyDescent="0.25">
      <c r="B20" s="19" t="s">
        <v>98</v>
      </c>
      <c r="C20" s="99">
        <v>2.492730115664487E-2</v>
      </c>
      <c r="D20" s="99">
        <v>2.492730115664487E-2</v>
      </c>
      <c r="E20" s="99">
        <v>2.492730115664487E-2</v>
      </c>
      <c r="F20" s="99">
        <v>2.492730115664487E-2</v>
      </c>
    </row>
    <row r="21" spans="1:8" ht="15.75" customHeight="1" x14ac:dyDescent="0.25">
      <c r="B21" s="19" t="s">
        <v>107</v>
      </c>
      <c r="C21" s="99">
        <v>0.16105601684657589</v>
      </c>
      <c r="D21" s="99">
        <v>0.16105601684657589</v>
      </c>
      <c r="E21" s="99">
        <v>0.16105601684657589</v>
      </c>
      <c r="F21" s="99">
        <v>0.16105601684657589</v>
      </c>
    </row>
    <row r="22" spans="1:8" ht="15.75" customHeight="1" x14ac:dyDescent="0.25">
      <c r="B22" s="19" t="s">
        <v>118</v>
      </c>
      <c r="C22" s="99">
        <v>0.121749428144969</v>
      </c>
      <c r="D22" s="99">
        <v>0.121749428144969</v>
      </c>
      <c r="E22" s="99">
        <v>0.121749428144969</v>
      </c>
      <c r="F22" s="99">
        <v>0.121749428144969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3.3953507000000001E-2</v>
      </c>
    </row>
    <row r="27" spans="1:8" ht="15.75" customHeight="1" x14ac:dyDescent="0.25">
      <c r="B27" s="19" t="s">
        <v>108</v>
      </c>
      <c r="C27" s="99">
        <v>3.6358831000000001E-2</v>
      </c>
    </row>
    <row r="28" spans="1:8" ht="15.75" customHeight="1" x14ac:dyDescent="0.25">
      <c r="B28" s="19" t="s">
        <v>122</v>
      </c>
      <c r="C28" s="99">
        <v>0.29059849599999998</v>
      </c>
    </row>
    <row r="29" spans="1:8" ht="15.75" customHeight="1" x14ac:dyDescent="0.25">
      <c r="B29" s="19" t="s">
        <v>105</v>
      </c>
      <c r="C29" s="99">
        <v>0.18423973499999999</v>
      </c>
    </row>
    <row r="30" spans="1:8" ht="15.75" customHeight="1" x14ac:dyDescent="0.25">
      <c r="B30" s="19" t="s">
        <v>4</v>
      </c>
      <c r="C30" s="99">
        <v>8.8893533999999996E-2</v>
      </c>
    </row>
    <row r="31" spans="1:8" ht="15.75" customHeight="1" x14ac:dyDescent="0.25">
      <c r="B31" s="19" t="s">
        <v>99</v>
      </c>
      <c r="C31" s="99">
        <v>4.6759898000000001E-2</v>
      </c>
    </row>
    <row r="32" spans="1:8" ht="15.75" customHeight="1" x14ac:dyDescent="0.25">
      <c r="B32" s="19" t="s">
        <v>104</v>
      </c>
      <c r="C32" s="99">
        <v>5.1759430999999988E-2</v>
      </c>
    </row>
    <row r="33" spans="2:3" ht="15.75" customHeight="1" x14ac:dyDescent="0.25">
      <c r="B33" s="19" t="s">
        <v>119</v>
      </c>
      <c r="C33" s="99">
        <v>0.101392051</v>
      </c>
    </row>
    <row r="34" spans="2:3" ht="15.75" customHeight="1" x14ac:dyDescent="0.25">
      <c r="B34" s="19" t="s">
        <v>106</v>
      </c>
      <c r="C34" s="99">
        <v>0.166044517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Q/fBx909KauMl1OA7qkvHZspFUEZtbHbRFBgbnObVuEoT7tn0FBHC54ZHxm2l1oQjEBxyath+F3sww9pKuTA0A==" saltValue="FGjTr0P4mVTbS0Eagc5px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129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125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126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138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W2BKNPRW2XFI1RUyjNcYorJh/VXS1mRXC/IM/BQHVreMMXmPk3k6m1OsMRjEH/cmuyPY473c2XJPe9cmIfYNw==" saltValue="lFEUNrcb6wnBWWQD9dMT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3.2688300000000003E-2</v>
      </c>
      <c r="D5" s="52">
        <f t="shared" si="0"/>
        <v>7.9154500000000017E-2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/x80PtXh7aq8aHoDV1RDrOGZTB/nMjpjF65Gzv3Wa89SGo2odLgON9qQQxp/osPBoDEuGiGD7BYxZBTnMUKcbA==" saltValue="RX1jZFDQHcJar6eogjCo0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pdZ21nK78DZxhZeoTWzppJixrNAKUR6yycvMU/3uHAqqEDvy0iYA2j3zkJPiIg38qsV15ZuYpW2zcvxE9FI0A==" saltValue="4oFRSL5HpMNdly5dxGhn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2255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0.46903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0.52010000000000001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1.9502823669685119E-2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98324.782949999993</v>
      </c>
      <c r="C22" s="107">
        <v>98193.158920000002</v>
      </c>
      <c r="D22" s="107">
        <v>97995.294240000003</v>
      </c>
      <c r="E22" s="107">
        <v>97687.764939999994</v>
      </c>
      <c r="F22" s="107">
        <v>97296.638330000002</v>
      </c>
      <c r="G22" s="107">
        <v>96904.556559999997</v>
      </c>
      <c r="H22" s="107">
        <v>96449.225789999997</v>
      </c>
      <c r="I22" s="107">
        <v>95831.989549999998</v>
      </c>
      <c r="J22" s="107">
        <v>94895.171189999994</v>
      </c>
      <c r="K22" s="107">
        <v>93382.995639999994</v>
      </c>
      <c r="L22" s="107">
        <v>91002.091050000003</v>
      </c>
      <c r="M22" s="107">
        <v>87304.044389999995</v>
      </c>
      <c r="N22" s="107">
        <v>81605.085380000004</v>
      </c>
      <c r="O22" s="107">
        <v>73326.113500000007</v>
      </c>
    </row>
  </sheetData>
  <sheetProtection algorithmName="SHA-512" hashValue="d2PBOD6MyYy9tFTtZyP+HQhQcSXsalbuFgY3bhTcoXAOzTz4hu+UeObHJP0YOQ6/zvxk8uHm+VgFC9+I+uGjsg==" saltValue="38HW+Lt3HUJ1yyIWIeg38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UwyMWbz9NZG8OL7dMTQUcW74ewHqtCcbBwt7ZS4FnVcWNjCZBIoFo39cqJBC5ZACrrXJFJHXpvxOI1NfYBYiQ==" saltValue="mm6pKp7U2errvOO5j5QXM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5PczQFbB+d5A9wpPtaZ3Iud4BQ8FnxrqdE4vas8M61rFfxRDQ6+OZ192qIAGXuYfRz9Fm4AoBXN7Jfz3qFEKQ==" saltValue="M5Zfpuff+F5NjrNBKmML/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0.61550340000000003</v>
      </c>
      <c r="C10" s="96">
        <v>0.95</v>
      </c>
      <c r="D10" s="56">
        <v>13.705047831112401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13.705047831112401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13.705047831112401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13.705047831112401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0.61550340000000003</v>
      </c>
      <c r="C14" s="96">
        <v>0.95</v>
      </c>
      <c r="D14" s="56">
        <v>13.705047831112401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13.705047831112401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0.236988888888889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0.27199479999999998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0.27199479999999998</v>
      </c>
      <c r="C19" s="96">
        <v>0.95</v>
      </c>
      <c r="D19" s="56">
        <v>5.0196810287000124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4.5643768782397949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0.53800854420833999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0.61550340000000003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0.65400000000000003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84.63932308590087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0.03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0.43180760000000001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0.69741069999999994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EksnTBB/TvzQIyqv8MhemBI5Va/stssCF8SLPJjIb8KlPTzRNqSbxCv7+gYC1ijQg1So83Q9zDPYey2Ct40z8g==" saltValue="nz/L4oOC3liqYJTfZiw2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0LB/R0b5J0KwrvcpCEa7y4KzlIz3YLy/axi/Yke7T9xOiPkvDUqIKnZxqeLBapiqoC2/szoaq4eAo/jvmPBwg==" saltValue="e6ki7lIevGheiYXRNfKz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3kW9yDVXK6jYZC70Qw3lydWxxuo7+RqCh5l2E66D55azBjnvusF8pvHZHwTKX61NY+Y0rlUzJBDq3eQwJBUow==" saltValue="XxrgFaKbaHvRaLNkn7X+0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236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sheetProtection algorithmName="SHA-512" hashValue="Z7BI3x8nJ85UhsFpoenXyADVbg/Tj1fobe0AtKcO+na45n28ITcX8/+0AMYJIIL/RTr2fNP2Ni/pkz08etMrvw==" saltValue="jXpoPNsncuGb/FNPa1yaJ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3.2000000000000001E-2</v>
      </c>
      <c r="F2" s="60">
        <f>food_insecure</f>
        <v>3.2000000000000001E-2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3.2000000000000001E-2</v>
      </c>
      <c r="I15" s="60">
        <f t="shared" si="0"/>
        <v>3.2000000000000001E-2</v>
      </c>
      <c r="J15" s="60">
        <f t="shared" si="0"/>
        <v>3.2000000000000001E-2</v>
      </c>
      <c r="K15" s="60">
        <f t="shared" si="0"/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3.2000000000000001E-2</v>
      </c>
      <c r="I16" s="60">
        <f t="shared" si="0"/>
        <v>3.2000000000000001E-2</v>
      </c>
      <c r="J16" s="60">
        <f t="shared" si="0"/>
        <v>3.2000000000000001E-2</v>
      </c>
      <c r="K16" s="60">
        <f t="shared" si="0"/>
        <v>3.2000000000000001E-2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nvjQRe/PgzDlOhLvCQ+Jl1XD6UINPZfiD2mduZqc8SB614yg61xMBbwZS4RWJkxGprVv7KG/zx1Tfw6EDBYWQ==" saltValue="KaHjXFy6oImHchuZKcE1O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57v01uuhTGjMO8m9jONxXPXM3Uatic71NNxI5eHXStXkjyPCMiLd3ARb9Xp2R/UFFtGZmxu5+gcif4n5QVwN3A==" saltValue="btJwW6qIdsCeGx9hPVPcl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ID+BheEaLwxA3LCXI1xQarMIrxOCJK/FNybF+ESaruK2wdZeWgmQShwzZ303b9jhUcQ0vPcZhnAWJ/6H+B2Zg==" saltValue="FGEqI3GfedV4gd4OCpmg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MaLNLQQOiDE8W9dvb1PFbS29bAboBp0wdQGOCEH874dtcCdvsSqQYtUc17t5tD/g54cas6mVyRHNnsb5AqZwg==" saltValue="/BfSPWJirz7PNJgsEoAh6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skn7Mpq7QNwrpwSBvoqFSmOPINjsLhLzPGwULJCEsIDcqLfbu8qLwxPqUYaNG3LyMOHBdk2z/Pz+V/Ar2LSq4Q==" saltValue="y4jIMv+vLcnVjOSed9k2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DfIRd/RISbEsQMiQLHyaqFq5TmFizhNPK4goD9dF/95SUvb6JGhbme8S4FCAHL7O6kFyJrh2CT5nb5enRnZICA==" saltValue="QX4yjzqE6DotUqDk8lIbT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e62eO0Z9AOmG3lL0prnrQrmQQEIuMVokAfc9yAHg6lWW6+SBnOUa/3j3oz66uhdssjw4PktHx11Z6Vf3XhN/Q==" saltValue="mjEdhXQRPF6bDZx4biW/r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kfNTnhxZ7ScHktK1BK/eWQftSLQgTUUiyCcGUp2yQHRD+LYaKePYlzXwoBon9jA6OFAFa1KUtktiMxONtJv0A==" saltValue="hJ+7RUmmcBL/vKWjf41X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/2AQnGB19UNctKA2mcGYc6R6JzN9axIEwn9vhrsM0IXSosXpWQ2AVjmn+JI1JWqW7mroLOk87Cy5tohVHfxO4g==" saltValue="Jt1l2D5TaHH7iEPnr0yl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13gLOaRg2UfRpxgHLob5hluMGyrm/SISs3TePIVhQbZm3WREk/Ty+e3oWDc2FHahVPFj3xLbXvkwVSTJITgZw==" saltValue="I+Qc1HacZVB/F+RVn2TO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gGMNXGc4nrxYST/zTxj4I5y0Ou9XEJ8pwy/cjTarckRjlnnHJzd5cNCpP/yRNTDdTwe9KnnxBBuyMt1/mOwtQ==" saltValue="6cioGIfGHCUgf4fh8LBQ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CisKrfe82Icl0nM7uh1CPH/BNVH9iWk5nhkZN3H7sbBxE2AMMNHxgvkTLjmSc2hM2Bk8/x0TOWHkA9Vpz8zUQ==" saltValue="VdVmwPc1sNb4rSZ9Ki5j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gR0o3F2XbZdlF//rMxF8Westobzg17cgFJEm60J8/Wbi4rMAjTmhP9euND8wRpWdVsVxvjz6Gvj8bCDd3YV1Q==" saltValue="qkUs9WSRmKdeHfMmM1ZT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NMM+EFsTXQvLFYUrbE2kskR6QeNGbZEWvd+Sw7tGq8TYDXzSjGLuOHqyi3NoPziql3z+2euJpsEorOcGQ50WA==" saltValue="GTsE6mWjCbUdnLgcqizA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IM1ceBXz6iorTREnY7/NB75qNvup6y9BqZMH4z3ZuiROVAKJkg2fyuDFIsa9+DfINO/mFoJp0+jbUwqJOVgk8g==" saltValue="JaXeDQpCf1ILDPtpfMMyJ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2026-04-29T03:25:53Z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