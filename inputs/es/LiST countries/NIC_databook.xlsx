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81ABC27-F7D9-4833-988E-BFF594E5B2B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24" i="2"/>
  <c r="A26" i="2"/>
  <c r="I4" i="2"/>
  <c r="I8" i="2"/>
  <c r="I12" i="2"/>
  <c r="A25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<sst xmlns="http://schemas.openxmlformats.org/spreadsheetml/2006/main" count="2159" uniqueCount="372">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</sst>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652556</v>
      </c>
    </row>
    <row r="8" spans="1:3" ht="15" customHeight="1" x14ac:dyDescent="0.25">
      <c r="B8" s="5" t="s">
        <v>63</v>
      </c>
      <c r="C8" s="44">
        <v>3.2000000000000001E-2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0.78792312620000005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0.19850000000000001</v>
      </c>
    </row>
    <row r="24" spans="1:3" ht="15" customHeight="1" x14ac:dyDescent="0.25">
      <c r="B24" s="15" t="s">
        <v>65</v>
      </c>
      <c r="C24" s="45">
        <v>0.49969999999999998</v>
      </c>
    </row>
    <row r="25" spans="1:3" ht="15" customHeight="1" x14ac:dyDescent="0.25">
      <c r="B25" s="15" t="s">
        <v>66</v>
      </c>
      <c r="C25" s="45">
        <v>0.25750000000000001</v>
      </c>
    </row>
    <row r="26" spans="1:3" ht="15" customHeight="1" x14ac:dyDescent="0.25">
      <c r="B26" s="15" t="s">
        <v>67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0.31194267237106899</v>
      </c>
    </row>
    <row r="30" spans="1:3" ht="14.25" customHeight="1" x14ac:dyDescent="0.25">
      <c r="B30" s="25" t="s">
        <v>82</v>
      </c>
      <c r="C30" s="99">
        <v>7.9911270967818207E-2</v>
      </c>
    </row>
    <row r="31" spans="1:3" ht="14.25" customHeight="1" x14ac:dyDescent="0.25">
      <c r="B31" s="25" t="s">
        <v>29</v>
      </c>
      <c r="C31" s="99">
        <v>0.101230174619235</v>
      </c>
    </row>
    <row r="32" spans="1:3" ht="14.25" customHeight="1" x14ac:dyDescent="0.25">
      <c r="B32" s="25" t="s">
        <v>30</v>
      </c>
      <c r="C32" s="99">
        <v>0.50691588204187699</v>
      </c>
    </row>
    <row r="33" spans="1:5" ht="13.25" customHeight="1" x14ac:dyDescent="0.25">
      <c r="B33" s="27" t="s">
        <v>79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7.3659999999999997</v>
      </c>
    </row>
    <row r="38" spans="1:5" ht="15" customHeight="1" x14ac:dyDescent="0.25">
      <c r="B38" s="11" t="s">
        <v>54</v>
      </c>
      <c r="C38" s="43">
        <v>11.41046</v>
      </c>
      <c r="D38" s="12"/>
      <c r="E38" s="13"/>
    </row>
    <row r="39" spans="1:5" ht="15" customHeight="1" x14ac:dyDescent="0.25">
      <c r="B39" s="11" t="s">
        <v>80</v>
      </c>
      <c r="C39" s="43">
        <v>13.255420000000001</v>
      </c>
      <c r="D39" s="12"/>
      <c r="E39" s="12"/>
    </row>
    <row r="40" spans="1:5" ht="15" customHeight="1" x14ac:dyDescent="0.25">
      <c r="B40" s="11" t="s">
        <v>55</v>
      </c>
      <c r="C40" s="100">
        <v>0.78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4.9385999999999996E-3</v>
      </c>
      <c r="D45" s="12"/>
    </row>
    <row r="46" spans="1:5" ht="15.75" customHeight="1" x14ac:dyDescent="0.25">
      <c r="B46" s="11" t="s">
        <v>70</v>
      </c>
      <c r="C46" s="45">
        <v>5.3064699999999999E-2</v>
      </c>
      <c r="D46" s="12"/>
    </row>
    <row r="47" spans="1:5" ht="15.75" customHeight="1" x14ac:dyDescent="0.25">
      <c r="B47" s="11" t="s">
        <v>78</v>
      </c>
      <c r="C47" s="45">
        <v>7.6305300000000006E-2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0.50332299999999996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0.10669083</v>
      </c>
    </row>
    <row r="63" spans="1:4" ht="15.75" customHeight="1" x14ac:dyDescent="0.3">
      <c r="A63" s="4"/>
    </row>
  </sheetData>
  <sheetProtection algorithmName="SHA-512" hashValue="0dKR08b90+sqEQ4xBLAwAYkDykoToniu8TghgT8eJhJ1ig453m6TpVYYpeanwkebp7WkfrMWQSiPYBGefW3kLw==" saltValue="PnU49+B780n+LPSC1/eW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132383</v>
      </c>
      <c r="C2" s="49">
        <v>321408.5</v>
      </c>
      <c r="D2" s="49">
        <v>605759</v>
      </c>
      <c r="E2" s="49">
        <v>553171.49999999988</v>
      </c>
      <c r="F2" s="49">
        <v>429971</v>
      </c>
      <c r="G2" s="17">
        <f t="shared" ref="G2:G13" si="0">C2+D2+E2+F2</f>
        <v>1910310</v>
      </c>
      <c r="H2" s="17">
        <f t="shared" ref="H2:H13" si="1">(B2 + stillbirth*B2/(1000-stillbirth))/(1-abortion)</f>
        <v>151928.52361563392</v>
      </c>
      <c r="I2" s="17">
        <f t="shared" ref="I2:I13" si="2">G2-H2</f>
        <v>1758381.4763843662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131804</v>
      </c>
      <c r="C3" s="50">
        <v>323591</v>
      </c>
      <c r="D3" s="50">
        <v>607768</v>
      </c>
      <c r="E3" s="50">
        <v>560842.5</v>
      </c>
      <c r="F3" s="50">
        <v>442265.5</v>
      </c>
      <c r="G3" s="17">
        <f t="shared" si="0"/>
        <v>1934467</v>
      </c>
      <c r="H3" s="17">
        <f t="shared" si="1"/>
        <v>151264.03787975051</v>
      </c>
      <c r="I3" s="17">
        <f t="shared" si="2"/>
        <v>1783202.9621202494</v>
      </c>
    </row>
    <row r="4" spans="1:9" ht="15.75" customHeight="1" x14ac:dyDescent="0.25">
      <c r="A4" s="5">
        <f t="shared" si="3"/>
        <v>2026</v>
      </c>
      <c r="B4" s="49">
        <v>131205</v>
      </c>
      <c r="C4" s="50">
        <v>325208</v>
      </c>
      <c r="D4" s="50">
        <v>610237.00000000012</v>
      </c>
      <c r="E4" s="50">
        <v>567627</v>
      </c>
      <c r="F4" s="50">
        <v>454424.49999999994</v>
      </c>
      <c r="G4" s="17">
        <f t="shared" si="0"/>
        <v>1957496.5</v>
      </c>
      <c r="H4" s="17">
        <f t="shared" si="1"/>
        <v>150576.5992687071</v>
      </c>
      <c r="I4" s="17">
        <f t="shared" si="2"/>
        <v>1806919.900731293</v>
      </c>
    </row>
    <row r="5" spans="1:9" ht="15.75" customHeight="1" x14ac:dyDescent="0.25">
      <c r="A5" s="5">
        <f t="shared" si="3"/>
        <v>2027</v>
      </c>
      <c r="B5" s="49">
        <v>130627.99999999999</v>
      </c>
      <c r="C5" s="50">
        <v>326475</v>
      </c>
      <c r="D5" s="50">
        <v>612925.99999999988</v>
      </c>
      <c r="E5" s="50">
        <v>573471</v>
      </c>
      <c r="F5" s="50">
        <v>466358.5</v>
      </c>
      <c r="G5" s="17">
        <f t="shared" si="0"/>
        <v>1979230.5</v>
      </c>
      <c r="H5" s="17">
        <f t="shared" si="1"/>
        <v>149914.40882033965</v>
      </c>
      <c r="I5" s="17">
        <f t="shared" si="2"/>
        <v>1829316.0911796603</v>
      </c>
    </row>
    <row r="6" spans="1:9" ht="15.75" customHeight="1" x14ac:dyDescent="0.25">
      <c r="A6" s="5">
        <f t="shared" si="3"/>
        <v>2028</v>
      </c>
      <c r="B6" s="49">
        <v>129882</v>
      </c>
      <c r="C6" s="50">
        <v>327298.5</v>
      </c>
      <c r="D6" s="50">
        <v>616108.5</v>
      </c>
      <c r="E6" s="50">
        <v>578109.5</v>
      </c>
      <c r="F6" s="50">
        <v>478177.5</v>
      </c>
      <c r="G6" s="17">
        <f t="shared" si="0"/>
        <v>1999694</v>
      </c>
      <c r="H6" s="17">
        <f t="shared" si="1"/>
        <v>149058.26657686988</v>
      </c>
      <c r="I6" s="17">
        <f t="shared" si="2"/>
        <v>1850635.7334231301</v>
      </c>
    </row>
    <row r="7" spans="1:9" ht="15.75" customHeight="1" x14ac:dyDescent="0.25">
      <c r="A7" s="5">
        <f t="shared" si="3"/>
        <v>2029</v>
      </c>
      <c r="B7" s="49">
        <v>129145.99999999999</v>
      </c>
      <c r="C7" s="50">
        <v>327679.5</v>
      </c>
      <c r="D7" s="50">
        <v>619506.5</v>
      </c>
      <c r="E7" s="50">
        <v>581828</v>
      </c>
      <c r="F7" s="50">
        <v>489696</v>
      </c>
      <c r="G7" s="17">
        <f t="shared" si="0"/>
        <v>2018710</v>
      </c>
      <c r="H7" s="17">
        <f t="shared" si="1"/>
        <v>148213.60077098009</v>
      </c>
      <c r="I7" s="17">
        <f t="shared" si="2"/>
        <v>1870496.3992290199</v>
      </c>
    </row>
    <row r="8" spans="1:9" ht="15.75" customHeight="1" x14ac:dyDescent="0.25">
      <c r="A8" s="5">
        <f t="shared" si="3"/>
        <v>2030</v>
      </c>
      <c r="B8" s="49">
        <v>128473.99999999999</v>
      </c>
      <c r="C8" s="50">
        <v>327625</v>
      </c>
      <c r="D8" s="50">
        <v>622956.5</v>
      </c>
      <c r="E8" s="50">
        <v>584910.00000000012</v>
      </c>
      <c r="F8" s="50">
        <v>500719.5</v>
      </c>
      <c r="G8" s="17">
        <f t="shared" si="0"/>
        <v>2036211</v>
      </c>
      <c r="H8" s="17">
        <f t="shared" si="1"/>
        <v>147442.38416560247</v>
      </c>
      <c r="I8" s="17">
        <f t="shared" si="2"/>
        <v>1888768.6158343975</v>
      </c>
    </row>
    <row r="9" spans="1:9" ht="15.75" customHeight="1" x14ac:dyDescent="0.25">
      <c r="A9" s="5">
        <f t="shared" si="3"/>
        <v>2031</v>
      </c>
      <c r="B9" s="49">
        <v>127741</v>
      </c>
      <c r="C9" s="50">
        <v>327247.5</v>
      </c>
      <c r="D9" s="50">
        <v>626666.5</v>
      </c>
      <c r="E9" s="50">
        <v>587000.5</v>
      </c>
      <c r="F9" s="50">
        <v>511486</v>
      </c>
      <c r="G9" s="17">
        <f t="shared" si="0"/>
        <v>2052400.5</v>
      </c>
      <c r="H9" s="17">
        <f t="shared" si="1"/>
        <v>146601.1612909867</v>
      </c>
      <c r="I9" s="17">
        <f t="shared" si="2"/>
        <v>1905799.3387090133</v>
      </c>
    </row>
    <row r="10" spans="1:9" ht="15.75" customHeight="1" x14ac:dyDescent="0.25">
      <c r="A10" s="5">
        <f t="shared" si="3"/>
        <v>2032</v>
      </c>
      <c r="B10" s="49">
        <v>127223</v>
      </c>
      <c r="C10" s="50">
        <v>326598</v>
      </c>
      <c r="D10" s="50">
        <v>630799.5</v>
      </c>
      <c r="E10" s="50">
        <v>587965</v>
      </c>
      <c r="F10" s="50">
        <v>521782.5</v>
      </c>
      <c r="G10" s="17">
        <f t="shared" si="0"/>
        <v>2067145</v>
      </c>
      <c r="H10" s="17">
        <f t="shared" si="1"/>
        <v>146006.68182434145</v>
      </c>
      <c r="I10" s="17">
        <f t="shared" si="2"/>
        <v>1921138.3181756586</v>
      </c>
    </row>
    <row r="11" spans="1:9" ht="15.75" customHeight="1" x14ac:dyDescent="0.25">
      <c r="A11" s="5">
        <f t="shared" si="3"/>
        <v>2033</v>
      </c>
      <c r="B11" s="49">
        <v>126735</v>
      </c>
      <c r="C11" s="50">
        <v>325631.5</v>
      </c>
      <c r="D11" s="50">
        <v>634760</v>
      </c>
      <c r="E11" s="50">
        <v>588600.5</v>
      </c>
      <c r="F11" s="50">
        <v>531317</v>
      </c>
      <c r="G11" s="17">
        <f t="shared" si="0"/>
        <v>2080309</v>
      </c>
      <c r="H11" s="17">
        <f t="shared" si="1"/>
        <v>145446.63167043627</v>
      </c>
      <c r="I11" s="17">
        <f t="shared" si="2"/>
        <v>1934862.3683295636</v>
      </c>
    </row>
    <row r="12" spans="1:9" ht="15.75" customHeight="1" x14ac:dyDescent="0.25">
      <c r="A12" s="5">
        <f t="shared" si="3"/>
        <v>2034</v>
      </c>
      <c r="B12" s="49">
        <v>126239</v>
      </c>
      <c r="C12" s="50">
        <v>324402</v>
      </c>
      <c r="D12" s="50">
        <v>637937</v>
      </c>
      <c r="E12" s="50">
        <v>589687.5</v>
      </c>
      <c r="F12" s="50">
        <v>539989</v>
      </c>
      <c r="G12" s="17">
        <f t="shared" si="0"/>
        <v>2092015.5</v>
      </c>
      <c r="H12" s="17">
        <f t="shared" si="1"/>
        <v>144877.40036646707</v>
      </c>
      <c r="I12" s="17">
        <f t="shared" si="2"/>
        <v>1947138.099633533</v>
      </c>
    </row>
    <row r="13" spans="1:9" ht="15.75" customHeight="1" x14ac:dyDescent="0.25">
      <c r="A13" s="5">
        <f t="shared" si="3"/>
        <v>2035</v>
      </c>
      <c r="B13" s="49">
        <v>125687</v>
      </c>
      <c r="C13" s="50">
        <v>322988.5</v>
      </c>
      <c r="D13" s="50">
        <v>640023.5</v>
      </c>
      <c r="E13" s="50">
        <v>591668.5</v>
      </c>
      <c r="F13" s="50">
        <v>547616</v>
      </c>
      <c r="G13" s="17">
        <f t="shared" si="0"/>
        <v>2102296.5</v>
      </c>
      <c r="H13" s="17">
        <f t="shared" si="1"/>
        <v>144243.90101204973</v>
      </c>
      <c r="I13" s="17">
        <f t="shared" si="2"/>
        <v>1958052.5989879502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spzTVba5td/nZaUcXbMmI/kK+vQ61R9hKqPxbw3Ce4ZttR6Etke3TaI8pKf4ttBUfBSf4Mtuvnia7aKocEjTw==" saltValue="IlCNOy1/q6TDrzu8Lyiq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0.1646432164643217</v>
      </c>
    </row>
    <row r="5" spans="1:8" ht="15.75" customHeight="1" x14ac:dyDescent="0.25">
      <c r="B5" s="19" t="s">
        <v>114</v>
      </c>
      <c r="C5" s="101">
        <v>8.8069308806930965E-2</v>
      </c>
    </row>
    <row r="6" spans="1:8" ht="15.75" customHeight="1" x14ac:dyDescent="0.25">
      <c r="B6" s="19" t="s">
        <v>110</v>
      </c>
      <c r="C6" s="101">
        <v>0.15137381513738149</v>
      </c>
    </row>
    <row r="7" spans="1:8" ht="15.75" customHeight="1" x14ac:dyDescent="0.25">
      <c r="B7" s="19" t="s">
        <v>115</v>
      </c>
      <c r="C7" s="101">
        <v>0.33688533368853352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0.2339606233960623</v>
      </c>
    </row>
    <row r="10" spans="1:8" ht="15.75" customHeight="1" x14ac:dyDescent="0.25">
      <c r="B10" s="19" t="s">
        <v>113</v>
      </c>
      <c r="C10" s="101">
        <v>2.5067702506770269E-2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121</v>
      </c>
      <c r="C15" s="101">
        <v>0.47120749583080251</v>
      </c>
      <c r="D15" s="101">
        <v>0.47120749583080251</v>
      </c>
      <c r="E15" s="101">
        <v>0.47120749583080251</v>
      </c>
      <c r="F15" s="101">
        <v>0.47120749583080251</v>
      </c>
    </row>
    <row r="16" spans="1:8" ht="15.75" customHeight="1" x14ac:dyDescent="0.25">
      <c r="B16" s="19" t="s">
        <v>2</v>
      </c>
      <c r="C16" s="101">
        <v>4.2214594997239903E-2</v>
      </c>
      <c r="D16" s="101">
        <v>4.2214594997239903E-2</v>
      </c>
      <c r="E16" s="101">
        <v>4.2214594997239903E-2</v>
      </c>
      <c r="F16" s="101">
        <v>4.2214594997239903E-2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5.5943415620592204E-3</v>
      </c>
      <c r="D18" s="101">
        <v>5.5943415620592204E-3</v>
      </c>
      <c r="E18" s="101">
        <v>5.5943415620592204E-3</v>
      </c>
      <c r="F18" s="101">
        <v>5.5943415620592204E-3</v>
      </c>
    </row>
    <row r="19" spans="1:8" ht="15.75" customHeight="1" x14ac:dyDescent="0.25">
      <c r="B19" s="19" t="s">
        <v>120</v>
      </c>
      <c r="C19" s="101">
        <v>1.715633356016992E-2</v>
      </c>
      <c r="D19" s="101">
        <v>1.715633356016992E-2</v>
      </c>
      <c r="E19" s="101">
        <v>1.715633356016992E-2</v>
      </c>
      <c r="F19" s="101">
        <v>1.715633356016992E-2</v>
      </c>
    </row>
    <row r="20" spans="1:8" ht="15.75" customHeight="1" x14ac:dyDescent="0.25">
      <c r="B20" s="19" t="s">
        <v>98</v>
      </c>
      <c r="C20" s="101">
        <v>2.492730115664487E-2</v>
      </c>
      <c r="D20" s="101">
        <v>2.492730115664487E-2</v>
      </c>
      <c r="E20" s="101">
        <v>2.492730115664487E-2</v>
      </c>
      <c r="F20" s="101">
        <v>2.492730115664487E-2</v>
      </c>
    </row>
    <row r="21" spans="1:8" ht="15.75" customHeight="1" x14ac:dyDescent="0.25">
      <c r="B21" s="19" t="s">
        <v>107</v>
      </c>
      <c r="C21" s="101">
        <v>0.16105601684657589</v>
      </c>
      <c r="D21" s="101">
        <v>0.16105601684657589</v>
      </c>
      <c r="E21" s="101">
        <v>0.16105601684657589</v>
      </c>
      <c r="F21" s="101">
        <v>0.16105601684657589</v>
      </c>
    </row>
    <row r="22" spans="1:8" ht="15.75" customHeight="1" x14ac:dyDescent="0.25">
      <c r="B22" s="19" t="s">
        <v>118</v>
      </c>
      <c r="C22" s="101">
        <v>0.121749428144969</v>
      </c>
      <c r="D22" s="101">
        <v>0.121749428144969</v>
      </c>
      <c r="E22" s="101">
        <v>0.121749428144969</v>
      </c>
      <c r="F22" s="101">
        <v>0.121749428144969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3.3953507000000001E-2</v>
      </c>
    </row>
    <row r="27" spans="1:8" ht="15.75" customHeight="1" x14ac:dyDescent="0.25">
      <c r="B27" s="19" t="s">
        <v>108</v>
      </c>
      <c r="C27" s="101">
        <v>3.6358831000000001E-2</v>
      </c>
    </row>
    <row r="28" spans="1:8" ht="15.75" customHeight="1" x14ac:dyDescent="0.25">
      <c r="B28" s="19" t="s">
        <v>122</v>
      </c>
      <c r="C28" s="101">
        <v>0.29059849599999998</v>
      </c>
    </row>
    <row r="29" spans="1:8" ht="15.75" customHeight="1" x14ac:dyDescent="0.25">
      <c r="B29" s="19" t="s">
        <v>105</v>
      </c>
      <c r="C29" s="101">
        <v>0.18423973499999999</v>
      </c>
    </row>
    <row r="30" spans="1:8" ht="15.75" customHeight="1" x14ac:dyDescent="0.25">
      <c r="B30" s="19" t="s">
        <v>4</v>
      </c>
      <c r="C30" s="101">
        <v>8.8893533999999996E-2</v>
      </c>
    </row>
    <row r="31" spans="1:8" ht="15.75" customHeight="1" x14ac:dyDescent="0.25">
      <c r="B31" s="19" t="s">
        <v>99</v>
      </c>
      <c r="C31" s="101">
        <v>4.6759898000000001E-2</v>
      </c>
    </row>
    <row r="32" spans="1:8" ht="15.75" customHeight="1" x14ac:dyDescent="0.25">
      <c r="B32" s="19" t="s">
        <v>104</v>
      </c>
      <c r="C32" s="101">
        <v>5.1759430999999988E-2</v>
      </c>
    </row>
    <row r="33" spans="2:3" ht="15.75" customHeight="1" x14ac:dyDescent="0.25">
      <c r="B33" s="19" t="s">
        <v>119</v>
      </c>
      <c r="C33" s="101">
        <v>0.101392051</v>
      </c>
    </row>
    <row r="34" spans="2:3" ht="15.75" customHeight="1" x14ac:dyDescent="0.25">
      <c r="B34" s="19" t="s">
        <v>106</v>
      </c>
      <c r="C34" s="101">
        <v>0.166044517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7riZIn2qD6i1uECWx4QC4tZwTr8VYAltwTQzgA5m7JYRz/Gx6hdIV9brCQqtXb/+JrbXkR7yViGNPrG57iqkAg==" saltValue="fiv0mY/LDzWNvbWweqGs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129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125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126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138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DFgeQV0/rZAUrvECVb4uwmpExcASzX0HeStXlF3sevDZf7sNxE6oSC3j0wXC25RTwYEVU1DaAs3qa21ZVYIIw==" saltValue="GrCJjCUgv7b6XY/GW7V/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3.2688300000000003E-2</v>
      </c>
      <c r="D5" s="52">
        <f t="shared" si="0"/>
        <v>7.9154500000000017E-2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YBqCqKIxRuROXaDPdo2q49xU/JyNPg2t6csiaDeLy9SDcGmJTnIY7AKVm7qBArEuW27Qbz8BNp5tWIuL5ohi4w==" saltValue="qaPs9IQdzHdVxCwkEzpeQ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VlC/mUo2whMBlonIleyn49PZdinpj7HuJY5Q9wunlr6EngATl/nrcoU+m25Ml9dRp259YSxX0U5hWHVteEmbQ==" saltValue="hasBZ+lbQVc+gvHDUjXQ3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2255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0.46903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0.52010000000000001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1.9502823669685119E-2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98324.782949999993</v>
      </c>
      <c r="C22" s="109">
        <v>98193.158920000002</v>
      </c>
      <c r="D22" s="109">
        <v>97995.294240000003</v>
      </c>
      <c r="E22" s="109">
        <v>97687.764939999994</v>
      </c>
      <c r="F22" s="109">
        <v>97296.638330000002</v>
      </c>
      <c r="G22" s="109">
        <v>96904.556559999997</v>
      </c>
      <c r="H22" s="109">
        <v>96449.225789999997</v>
      </c>
      <c r="I22" s="109">
        <v>95831.989549999998</v>
      </c>
      <c r="J22" s="109">
        <v>94895.171189999994</v>
      </c>
      <c r="K22" s="109">
        <v>93382.995639999994</v>
      </c>
      <c r="L22" s="109">
        <v>91002.091050000003</v>
      </c>
      <c r="M22" s="109">
        <v>87304.044389999995</v>
      </c>
      <c r="N22" s="109">
        <v>81605.085380000004</v>
      </c>
      <c r="O22" s="109">
        <v>73326.113500000007</v>
      </c>
    </row>
  </sheetData>
  <sheetProtection algorithmName="SHA-512" hashValue="rpA9Ui8uz9UP5H9EtPTzUs4GuJhWDxx+xYuJoaxS38MKf+nwGmKCKMX06qzx8eBQEws7hqMSN9e7pGLj5+5GtA==" saltValue="A7tHJpeFkEIF8EK+1q5b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FjeczMSJKCmKg0k83XGSCkbqVQ257E88BQTqN/LzpyGQzUOD1Escgp+gfyFks4WKlqaSDjnRJhrzn2q8Ono8g==" saltValue="gvWZV5edTFgN3c9gwIRN4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l15Se7hbrdy88G9ahsa1MLhkGrQ77acdTj7OPBGaYGWazlBxP6v9d6wTaxq4i4T6FTvFKgyceuk4Wp16mBH8AA==" saltValue="+8r8hNa0snH113OVe/xk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0.61550340000000003</v>
      </c>
      <c r="C10" s="98">
        <v>0.95</v>
      </c>
      <c r="D10" s="56">
        <v>13.705047831112401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13.705047831112401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13.705047831112401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13.705047831112401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0.61550340000000003</v>
      </c>
      <c r="C14" s="98">
        <v>0.95</v>
      </c>
      <c r="D14" s="56">
        <v>13.705047831112401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13.705047831112401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0.236988888888889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0.27199479999999998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0.27199479999999998</v>
      </c>
      <c r="C19" s="98">
        <v>0.95</v>
      </c>
      <c r="D19" s="56">
        <v>5.0196810287000124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4.5643768782397949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0.53800854420833999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0.61550340000000003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0.65400000000000003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84.63932308590087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0.03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0.43180760000000001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0.69741069999999994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b9CJ+vJ1DZYagopeGFtxd2PhgEFIVCR91lW81qftLI44irYZ3QgJ4uvdc952n2karx8Qe4Ny0S6TQmvbLX535w==" saltValue="YPTTv4TU6RyI//jjvSv/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uHqmiG5ZqSX2YWsuruc/V67nHdGFf312SghhVLrtuO3tQNpHhnrHJ710DrIHl6BxIHkc9DcM0nJ7XJFH1L8Xw==" saltValue="KGtLXbHx8Bu4zJH2lkK5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UGp+qTns/WryOnUfqLH/PP9Ct1u0YGU0n/h7yXq+is32P80jt0/Cdr2Xc+X+a2Zzu+1gqGoe3Ixd9NkLeB0zQ==" saltValue="h6CMrBT9mMmCof97v/7d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236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sheetProtection algorithmName="SHA-512" hashValue="on+6RwGDPphhmUsFDD7tIx3CTVrLzSeUabk94OXprIFqq1w0uC/S3704FDdrG8UArLgbWtgbz/MKB/yVecIV2g==" saltValue="9saSbzjina8iM1/cxMeMR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3.2000000000000001E-2</v>
      </c>
      <c r="F2" s="60">
        <f>food_insecure</f>
        <v>3.2000000000000001E-2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3.2000000000000001E-2</v>
      </c>
      <c r="I15" s="60">
        <f t="shared" si="0"/>
        <v>3.2000000000000001E-2</v>
      </c>
      <c r="J15" s="60">
        <f t="shared" si="0"/>
        <v>3.2000000000000001E-2</v>
      </c>
      <c r="K15" s="60">
        <f t="shared" si="0"/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3.2000000000000001E-2</v>
      </c>
      <c r="I16" s="60">
        <f t="shared" si="0"/>
        <v>3.2000000000000001E-2</v>
      </c>
      <c r="J16" s="60">
        <f t="shared" si="0"/>
        <v>3.2000000000000001E-2</v>
      </c>
      <c r="K16" s="60">
        <f t="shared" si="0"/>
        <v>3.2000000000000001E-2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GjmoYDn+iQQe1/AJyuAljj0vF7ZUFz3yrknlFf6kqFPRNf8Vh2bc62wBZLn5fIPD2dfWnwxtnWJgd9Rnh4ZAQ==" saltValue="iHmTKGd8C+y+PPbQB1tz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m1xzRR/rwky7ZXY6BiwPpSJq4/r+YS5aOkGvLTqsc6Rw2tMa22U79niM+V37ZvIrreMhzDptR7NkqipcNJQLw==" saltValue="v3cWq1z730amIWZZSOZY/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ZciLFtHMF+ZsiFcw7tMx7n5nv+9J2RstbaYoJSAfe2HQmoLzcUe6In6vcQv0VOnIiS64JDOFAbhjXale2yYsA==" saltValue="MtKGltJ/FiDbel3mJnSsa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b8AmRmimBlxjz4Sn96AGa7IWNduDeYLi3GksYM5338cxd0onHHtnehdX7Gy9C9UbZeg8HEIpmANkhcHOEe3GQ==" saltValue="JowIMrgj+r96PruueVSS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ZZi7jUbuOkgqip77dd9XOyQcScKJwfAWs7I4TUecVjgdLSyUHNf1Uzc1tk1ydfulUiapcxJcmW+2ml0StJWq3g==" saltValue="eFKzntjRTjqgzLSYY9++/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b9Pk+Ss8pCrN3zKGfEFEo/85ortNRaenrce727bMDzY2V5DmCQyhtAaVKQzns7qqrryTX05UtsJsZ3VtLDJg5Q==" saltValue="8FfY3KoPuiZ/y7hvMput3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0li1RRdNtuVlKyAFxglIqgEZIGe9IniJxKXeaZpHxEm+6Zm60Oi0hwsmafAuplojTJwPoSErwbldzgUdGFP+w==" saltValue="UyskJELR5dNKpq8omLOoj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/Ro5WFxT7xjOW47Ap5lXCaMSYxsTSqfz6Fbd6IYwBsrVqpSiYg7KMM4Y9jZldhCwL9z7mJTJkVJO27WqdjvwA==" saltValue="RLjBmcX0nUZC3XvFmn7z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FkeXEkt1sKUdTGK8J0NxKubhLLInUG+Ub7amxw8MMNs+ckHUfEtY6H5HcRu5cftWjYUWCRK8UvsOfZFghVlb0A==" saltValue="d78+VsDI/9+JeZtVQ6QX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OM8Rj1l81ObqbfseMgrOEPdFXiIjcKQBgOGpBXxFbveHJeums+DgaehjOHzoe4xvsoL9kTFKc01TiWYncE71Q==" saltValue="Rgzs/Y+MJPYIoRwsHOZd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b7c6Bz5Kc60m2ZrM5IWC5nAi2D/03/bWUUnXWa6cD2whCaC9WoUomu6bTY4+dL33s3OENUMS1x88yW5MAs9Sw==" saltValue="aeEquRhkQjxjpHoAv8ia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0gTVK1ydnkGUMB/5wDafC5T4sL3yo+V9OusApQSIsh497PokPNV3be3dWfd4h/2aTau/HstGiVeTqWi1qJJSw==" saltValue="ze7you3PhpXVlkIxd12Z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R+lh5ryoWz0nR5pTSJ0g2BpGt6xg2l8ZKo4Ktkm1TJPG8xZKmXZoQHEAyVUIpQTcnT8iC/sn+XWfrYaP8mJ0Q==" saltValue="YGD5KQx4V5enNTPCDXw9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P5cRpu4p/S+JFVgxckcXFN+LhQ+TJc4N0UZV15Sjild1U0zLZHpXMVVNHAVtEvusSsEkiSTgtNax4kzx8YBrg==" saltValue="0SieM/3xtYfbTuyuPz5b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BER7aygtRMAGnSp2DJ5qvCkDH1bTrYrjCdqU3WX01quS+kdQW0I47G3sUICxRku4m7vCVEQ/K/y0ZJ+oFsJTQ==" saltValue="VdolqWj+i5vA1xmX1LwHP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2025-07-04T02:14:49Z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