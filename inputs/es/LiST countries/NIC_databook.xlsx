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3560004F-C50D-49DF-B6F0-6E681630D99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<sst xmlns="http://schemas.openxmlformats.org/spreadsheetml/2006/main" count="2102" uniqueCount="341">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</sst>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683661.703125</v>
      </c>
    </row>
    <row r="8" spans="1:3" ht="15" customHeight="1" x14ac:dyDescent="0.25">
      <c r="B8" s="5" t="s">
        <v>44</v>
      </c>
      <c r="C8" s="44">
        <v>3.2000000000000001E-2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0.78792312620000005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0.19850000000000001</v>
      </c>
    </row>
    <row r="24" spans="1:3" ht="15" customHeight="1" x14ac:dyDescent="0.25">
      <c r="B24" s="15" t="s">
        <v>46</v>
      </c>
      <c r="C24" s="45">
        <v>0.49969999999999998</v>
      </c>
    </row>
    <row r="25" spans="1:3" ht="15" customHeight="1" x14ac:dyDescent="0.25">
      <c r="B25" s="15" t="s">
        <v>47</v>
      </c>
      <c r="C25" s="45">
        <v>0.25750000000000001</v>
      </c>
    </row>
    <row r="26" spans="1:3" ht="15" customHeight="1" x14ac:dyDescent="0.25">
      <c r="B26" s="15" t="s">
        <v>48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0.31194267237106899</v>
      </c>
    </row>
    <row r="30" spans="1:3" ht="14.25" customHeight="1" x14ac:dyDescent="0.25">
      <c r="B30" s="25" t="s">
        <v>63</v>
      </c>
      <c r="C30" s="99">
        <v>7.9911270967818207E-2</v>
      </c>
    </row>
    <row r="31" spans="1:3" ht="14.25" customHeight="1" x14ac:dyDescent="0.25">
      <c r="B31" s="25" t="s">
        <v>10</v>
      </c>
      <c r="C31" s="99">
        <v>0.101230174619235</v>
      </c>
    </row>
    <row r="32" spans="1:3" ht="14.25" customHeight="1" x14ac:dyDescent="0.25">
      <c r="B32" s="25" t="s">
        <v>11</v>
      </c>
      <c r="C32" s="99">
        <v>0.50691588204187699</v>
      </c>
    </row>
    <row r="33" spans="1:5" ht="13" customHeight="1" x14ac:dyDescent="0.25">
      <c r="B33" s="27" t="s">
        <v>60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7.3659999999999997</v>
      </c>
    </row>
    <row r="38" spans="1:5" ht="15" customHeight="1" x14ac:dyDescent="0.25">
      <c r="B38" s="11" t="s">
        <v>35</v>
      </c>
      <c r="C38" s="43">
        <v>11.41046</v>
      </c>
      <c r="D38" s="12"/>
      <c r="E38" s="13"/>
    </row>
    <row r="39" spans="1:5" ht="15" customHeight="1" x14ac:dyDescent="0.25">
      <c r="B39" s="11" t="s">
        <v>61</v>
      </c>
      <c r="C39" s="43">
        <v>13.255420000000001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4.9385999999999996E-3</v>
      </c>
      <c r="D45" s="12"/>
    </row>
    <row r="46" spans="1:5" ht="15.75" customHeight="1" x14ac:dyDescent="0.25">
      <c r="B46" s="11" t="s">
        <v>51</v>
      </c>
      <c r="C46" s="45">
        <v>5.3064699999999999E-2</v>
      </c>
      <c r="D46" s="12"/>
    </row>
    <row r="47" spans="1:5" ht="15.75" customHeight="1" x14ac:dyDescent="0.25">
      <c r="B47" s="11" t="s">
        <v>59</v>
      </c>
      <c r="C47" s="45">
        <v>7.6305300000000006E-2</v>
      </c>
      <c r="D47" s="12"/>
      <c r="E47" s="13"/>
    </row>
    <row r="48" spans="1:5" ht="15" customHeight="1" x14ac:dyDescent="0.25">
      <c r="B48" s="11" t="s">
        <v>58</v>
      </c>
      <c r="C48" s="46">
        <v>0.8656914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0.50332299999999996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0.10669083</v>
      </c>
    </row>
    <row r="63" spans="1:4" ht="15.75" customHeight="1" x14ac:dyDescent="0.3">
      <c r="A63" s="4"/>
    </row>
  </sheetData>
  <sheetProtection algorithmName="SHA-512" hashValue="rM21r2DEoFEoY2blfu+SOhxxJ7OmirmO6+uuLpD/FBPFe6JvW+CCWcTCj41neaNJHmqSqe6W6EiJATkYeuuaiA==" saltValue="/Wc0mMAV+0QgFOcoa3G3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137110</v>
      </c>
      <c r="C2" s="49">
        <v>389816.49999999988</v>
      </c>
      <c r="D2" s="49">
        <v>633097.5</v>
      </c>
      <c r="E2" s="49">
        <v>570366.5</v>
      </c>
      <c r="F2" s="49">
        <v>389018</v>
      </c>
      <c r="G2" s="17">
        <f t="shared" ref="G2:G13" si="0">C2+D2+E2+F2</f>
        <v>1982298.5</v>
      </c>
      <c r="H2" s="17">
        <f t="shared" ref="H2:H13" si="1">(B2 + stillbirth*B2/(1000-stillbirth))/(1-abortion)</f>
        <v>157353.43565971134</v>
      </c>
      <c r="I2" s="17">
        <f t="shared" ref="I2:I13" si="2">G2-H2</f>
        <v>1824945.0643402888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136567</v>
      </c>
      <c r="C3" s="50">
        <v>392459.99999999988</v>
      </c>
      <c r="D3" s="50">
        <v>632074</v>
      </c>
      <c r="E3" s="50">
        <v>580656</v>
      </c>
      <c r="F3" s="50">
        <v>399856.5</v>
      </c>
      <c r="G3" s="17">
        <f t="shared" si="0"/>
        <v>2005046.5</v>
      </c>
      <c r="H3" s="17">
        <f t="shared" si="1"/>
        <v>156730.26509911602</v>
      </c>
      <c r="I3" s="17">
        <f t="shared" si="2"/>
        <v>1848316.2349008839</v>
      </c>
    </row>
    <row r="4" spans="1:9" ht="15.75" customHeight="1" x14ac:dyDescent="0.25">
      <c r="A4" s="5">
        <f t="shared" si="3"/>
        <v>2026</v>
      </c>
      <c r="B4" s="49">
        <v>135747</v>
      </c>
      <c r="C4" s="50">
        <v>395415.99999999988</v>
      </c>
      <c r="D4" s="50">
        <v>630965</v>
      </c>
      <c r="E4" s="50">
        <v>590098.5</v>
      </c>
      <c r="F4" s="50">
        <v>410529</v>
      </c>
      <c r="G4" s="17">
        <f t="shared" si="0"/>
        <v>2027008.5</v>
      </c>
      <c r="H4" s="17">
        <f t="shared" si="1"/>
        <v>155789.19721755403</v>
      </c>
      <c r="I4" s="17">
        <f t="shared" si="2"/>
        <v>1871219.3027824459</v>
      </c>
    </row>
    <row r="5" spans="1:9" ht="15.75" customHeight="1" x14ac:dyDescent="0.25">
      <c r="A5" s="5">
        <f t="shared" si="3"/>
        <v>2027</v>
      </c>
      <c r="B5" s="49">
        <v>134671</v>
      </c>
      <c r="C5" s="50">
        <v>398350.5</v>
      </c>
      <c r="D5" s="50">
        <v>630425.00000000012</v>
      </c>
      <c r="E5" s="50">
        <v>598220</v>
      </c>
      <c r="F5" s="50">
        <v>421081.5</v>
      </c>
      <c r="G5" s="17">
        <f t="shared" si="0"/>
        <v>2048077</v>
      </c>
      <c r="H5" s="17">
        <f t="shared" si="1"/>
        <v>154554.33253394344</v>
      </c>
      <c r="I5" s="17">
        <f t="shared" si="2"/>
        <v>1893522.6674660565</v>
      </c>
    </row>
    <row r="6" spans="1:9" ht="15.75" customHeight="1" x14ac:dyDescent="0.25">
      <c r="A6" s="5">
        <f t="shared" si="3"/>
        <v>2028</v>
      </c>
      <c r="B6" s="49">
        <v>133988</v>
      </c>
      <c r="C6" s="50">
        <v>401132.50000000012</v>
      </c>
      <c r="D6" s="50">
        <v>630660</v>
      </c>
      <c r="E6" s="50">
        <v>604642.5</v>
      </c>
      <c r="F6" s="50">
        <v>431634</v>
      </c>
      <c r="G6" s="17">
        <f t="shared" si="0"/>
        <v>2068069</v>
      </c>
      <c r="H6" s="17">
        <f t="shared" si="1"/>
        <v>153770.49184722779</v>
      </c>
      <c r="I6" s="17">
        <f t="shared" si="2"/>
        <v>1914298.5081527722</v>
      </c>
    </row>
    <row r="7" spans="1:9" ht="15.75" customHeight="1" x14ac:dyDescent="0.25">
      <c r="A7" s="5">
        <f t="shared" si="3"/>
        <v>2029</v>
      </c>
      <c r="B7" s="49">
        <v>133561</v>
      </c>
      <c r="C7" s="50">
        <v>403627</v>
      </c>
      <c r="D7" s="50">
        <v>631548.5</v>
      </c>
      <c r="E7" s="50">
        <v>609593.5</v>
      </c>
      <c r="F7" s="50">
        <v>442375</v>
      </c>
      <c r="G7" s="17">
        <f t="shared" si="0"/>
        <v>2087144</v>
      </c>
      <c r="H7" s="17">
        <f t="shared" si="1"/>
        <v>153280.44796256075</v>
      </c>
      <c r="I7" s="17">
        <f t="shared" si="2"/>
        <v>1933863.5520374393</v>
      </c>
    </row>
    <row r="8" spans="1:9" ht="15.75" customHeight="1" x14ac:dyDescent="0.25">
      <c r="A8" s="5">
        <f t="shared" si="3"/>
        <v>2030</v>
      </c>
      <c r="B8" s="49">
        <v>132624</v>
      </c>
      <c r="C8" s="50">
        <v>405697</v>
      </c>
      <c r="D8" s="50">
        <v>633096</v>
      </c>
      <c r="E8" s="50">
        <v>613215</v>
      </c>
      <c r="F8" s="50">
        <v>453243</v>
      </c>
      <c r="G8" s="17">
        <f t="shared" si="0"/>
        <v>2105251</v>
      </c>
      <c r="H8" s="17">
        <f t="shared" si="1"/>
        <v>152205.1057613125</v>
      </c>
      <c r="I8" s="17">
        <f t="shared" si="2"/>
        <v>1953045.8942386876</v>
      </c>
    </row>
    <row r="9" spans="1:9" ht="15.75" customHeight="1" x14ac:dyDescent="0.25">
      <c r="A9" s="5">
        <f t="shared" si="3"/>
        <v>2031</v>
      </c>
      <c r="B9" s="49">
        <v>132052</v>
      </c>
      <c r="C9" s="50">
        <v>407251</v>
      </c>
      <c r="D9" s="50">
        <v>635304</v>
      </c>
      <c r="E9" s="50">
        <v>615456</v>
      </c>
      <c r="F9" s="50">
        <v>464133</v>
      </c>
      <c r="G9" s="17">
        <f t="shared" si="0"/>
        <v>2122144</v>
      </c>
      <c r="H9" s="17">
        <f t="shared" si="1"/>
        <v>151548.65353173512</v>
      </c>
      <c r="I9" s="17">
        <f t="shared" si="2"/>
        <v>1970595.3464682649</v>
      </c>
    </row>
    <row r="10" spans="1:9" ht="15.75" customHeight="1" x14ac:dyDescent="0.25">
      <c r="A10" s="5">
        <f t="shared" si="3"/>
        <v>2032</v>
      </c>
      <c r="B10" s="49">
        <v>131489</v>
      </c>
      <c r="C10" s="50">
        <v>408245</v>
      </c>
      <c r="D10" s="50">
        <v>638104</v>
      </c>
      <c r="E10" s="50">
        <v>616530.5</v>
      </c>
      <c r="F10" s="50">
        <v>474962</v>
      </c>
      <c r="G10" s="17">
        <f t="shared" si="0"/>
        <v>2137841.5</v>
      </c>
      <c r="H10" s="17">
        <f t="shared" si="1"/>
        <v>150902.53009597975</v>
      </c>
      <c r="I10" s="17">
        <f t="shared" si="2"/>
        <v>1986938.9699040202</v>
      </c>
    </row>
    <row r="11" spans="1:9" ht="15.75" customHeight="1" x14ac:dyDescent="0.25">
      <c r="A11" s="5">
        <f t="shared" si="3"/>
        <v>2033</v>
      </c>
      <c r="B11" s="49">
        <v>131155</v>
      </c>
      <c r="C11" s="50">
        <v>408675.49999999988</v>
      </c>
      <c r="D11" s="50">
        <v>641423</v>
      </c>
      <c r="E11" s="50">
        <v>616680.5</v>
      </c>
      <c r="F11" s="50">
        <v>485641.99999999988</v>
      </c>
      <c r="G11" s="17">
        <f t="shared" si="0"/>
        <v>2152421</v>
      </c>
      <c r="H11" s="17">
        <f t="shared" si="1"/>
        <v>150519.21708080696</v>
      </c>
      <c r="I11" s="17">
        <f t="shared" si="2"/>
        <v>2001901.7829191932</v>
      </c>
    </row>
    <row r="12" spans="1:9" ht="15.75" customHeight="1" x14ac:dyDescent="0.25">
      <c r="A12" s="5">
        <f t="shared" si="3"/>
        <v>2034</v>
      </c>
      <c r="B12" s="49">
        <v>130789</v>
      </c>
      <c r="C12" s="50">
        <v>408540</v>
      </c>
      <c r="D12" s="50">
        <v>645187</v>
      </c>
      <c r="E12" s="50">
        <v>616176</v>
      </c>
      <c r="F12" s="50">
        <v>496108</v>
      </c>
      <c r="G12" s="17">
        <f t="shared" si="0"/>
        <v>2166011</v>
      </c>
      <c r="H12" s="17">
        <f t="shared" si="1"/>
        <v>150099.17946537805</v>
      </c>
      <c r="I12" s="17">
        <f t="shared" si="2"/>
        <v>2015911.8205346218</v>
      </c>
    </row>
    <row r="13" spans="1:9" ht="15.75" customHeight="1" x14ac:dyDescent="0.25">
      <c r="A13" s="5">
        <f t="shared" si="3"/>
        <v>2035</v>
      </c>
      <c r="B13" s="49">
        <v>130043</v>
      </c>
      <c r="C13" s="50">
        <v>407872.5</v>
      </c>
      <c r="D13" s="50">
        <v>649303</v>
      </c>
      <c r="E13" s="50">
        <v>615227</v>
      </c>
      <c r="F13" s="50">
        <v>506027.00000000012</v>
      </c>
      <c r="G13" s="17">
        <f t="shared" si="0"/>
        <v>2178429.5</v>
      </c>
      <c r="H13" s="17">
        <f t="shared" si="1"/>
        <v>149243.03722190825</v>
      </c>
      <c r="I13" s="17">
        <f t="shared" si="2"/>
        <v>2029186.4627780917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YGUo4kY0JGoEmfiPGfkKTH3ifzEAlyDpv8/9/7jB3t4icA68gjRFlseSISyuvTR7gpxO2zEMCClfl58NBSyIw==" saltValue="N4a1FfynqCIcadAr2et7+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0.1646432164643217</v>
      </c>
    </row>
    <row r="5" spans="1:8" ht="15.75" customHeight="1" x14ac:dyDescent="0.25">
      <c r="B5" s="19" t="s">
        <v>95</v>
      </c>
      <c r="C5" s="101">
        <v>8.8069308806930965E-2</v>
      </c>
    </row>
    <row r="6" spans="1:8" ht="15.75" customHeight="1" x14ac:dyDescent="0.25">
      <c r="B6" s="19" t="s">
        <v>91</v>
      </c>
      <c r="C6" s="101">
        <v>0.15137381513738149</v>
      </c>
    </row>
    <row r="7" spans="1:8" ht="15.75" customHeight="1" x14ac:dyDescent="0.25">
      <c r="B7" s="19" t="s">
        <v>96</v>
      </c>
      <c r="C7" s="101">
        <v>0.33688533368853352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0.2339606233960623</v>
      </c>
    </row>
    <row r="10" spans="1:8" ht="15.75" customHeight="1" x14ac:dyDescent="0.25">
      <c r="B10" s="19" t="s">
        <v>94</v>
      </c>
      <c r="C10" s="101">
        <v>2.5067702506770269E-2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102</v>
      </c>
      <c r="C15" s="101">
        <v>0.47120749583080251</v>
      </c>
      <c r="D15" s="101">
        <v>0.47120749583080251</v>
      </c>
      <c r="E15" s="101">
        <v>0.47120749583080251</v>
      </c>
      <c r="F15" s="101">
        <v>0.47120749583080251</v>
      </c>
    </row>
    <row r="16" spans="1:8" ht="15.75" customHeight="1" x14ac:dyDescent="0.25">
      <c r="B16" s="19" t="s">
        <v>2</v>
      </c>
      <c r="C16" s="101">
        <v>4.2214594997239903E-2</v>
      </c>
      <c r="D16" s="101">
        <v>4.2214594997239903E-2</v>
      </c>
      <c r="E16" s="101">
        <v>4.2214594997239903E-2</v>
      </c>
      <c r="F16" s="101">
        <v>4.2214594997239903E-2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5.5943415620592204E-3</v>
      </c>
      <c r="D18" s="101">
        <v>5.5943415620592204E-3</v>
      </c>
      <c r="E18" s="101">
        <v>5.5943415620592204E-3</v>
      </c>
      <c r="F18" s="101">
        <v>5.5943415620592204E-3</v>
      </c>
    </row>
    <row r="19" spans="1:8" ht="15.75" customHeight="1" x14ac:dyDescent="0.25">
      <c r="B19" s="19" t="s">
        <v>101</v>
      </c>
      <c r="C19" s="101">
        <v>1.715633356016992E-2</v>
      </c>
      <c r="D19" s="101">
        <v>1.715633356016992E-2</v>
      </c>
      <c r="E19" s="101">
        <v>1.715633356016992E-2</v>
      </c>
      <c r="F19" s="101">
        <v>1.715633356016992E-2</v>
      </c>
    </row>
    <row r="20" spans="1:8" ht="15.75" customHeight="1" x14ac:dyDescent="0.25">
      <c r="B20" s="19" t="s">
        <v>79</v>
      </c>
      <c r="C20" s="101">
        <v>2.492730115664487E-2</v>
      </c>
      <c r="D20" s="101">
        <v>2.492730115664487E-2</v>
      </c>
      <c r="E20" s="101">
        <v>2.492730115664487E-2</v>
      </c>
      <c r="F20" s="101">
        <v>2.492730115664487E-2</v>
      </c>
    </row>
    <row r="21" spans="1:8" ht="15.75" customHeight="1" x14ac:dyDescent="0.25">
      <c r="B21" s="19" t="s">
        <v>88</v>
      </c>
      <c r="C21" s="101">
        <v>0.16105601684657589</v>
      </c>
      <c r="D21" s="101">
        <v>0.16105601684657589</v>
      </c>
      <c r="E21" s="101">
        <v>0.16105601684657589</v>
      </c>
      <c r="F21" s="101">
        <v>0.16105601684657589</v>
      </c>
    </row>
    <row r="22" spans="1:8" ht="15.75" customHeight="1" x14ac:dyDescent="0.25">
      <c r="B22" s="19" t="s">
        <v>99</v>
      </c>
      <c r="C22" s="101">
        <v>0.121749428144969</v>
      </c>
      <c r="D22" s="101">
        <v>0.121749428144969</v>
      </c>
      <c r="E22" s="101">
        <v>0.121749428144969</v>
      </c>
      <c r="F22" s="101">
        <v>0.121749428144969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3.3953507000000001E-2</v>
      </c>
    </row>
    <row r="27" spans="1:8" ht="15.75" customHeight="1" x14ac:dyDescent="0.25">
      <c r="B27" s="19" t="s">
        <v>89</v>
      </c>
      <c r="C27" s="101">
        <v>3.6358831000000001E-2</v>
      </c>
    </row>
    <row r="28" spans="1:8" ht="15.75" customHeight="1" x14ac:dyDescent="0.25">
      <c r="B28" s="19" t="s">
        <v>103</v>
      </c>
      <c r="C28" s="101">
        <v>0.29059849599999998</v>
      </c>
    </row>
    <row r="29" spans="1:8" ht="15.75" customHeight="1" x14ac:dyDescent="0.25">
      <c r="B29" s="19" t="s">
        <v>86</v>
      </c>
      <c r="C29" s="101">
        <v>0.18423973499999999</v>
      </c>
    </row>
    <row r="30" spans="1:8" ht="15.75" customHeight="1" x14ac:dyDescent="0.25">
      <c r="B30" s="19" t="s">
        <v>4</v>
      </c>
      <c r="C30" s="101">
        <v>8.8893533999999996E-2</v>
      </c>
    </row>
    <row r="31" spans="1:8" ht="15.75" customHeight="1" x14ac:dyDescent="0.25">
      <c r="B31" s="19" t="s">
        <v>80</v>
      </c>
      <c r="C31" s="101">
        <v>4.6759898000000001E-2</v>
      </c>
    </row>
    <row r="32" spans="1:8" ht="15.75" customHeight="1" x14ac:dyDescent="0.25">
      <c r="B32" s="19" t="s">
        <v>85</v>
      </c>
      <c r="C32" s="101">
        <v>5.1759430999999988E-2</v>
      </c>
    </row>
    <row r="33" spans="2:3" ht="15.75" customHeight="1" x14ac:dyDescent="0.25">
      <c r="B33" s="19" t="s">
        <v>100</v>
      </c>
      <c r="C33" s="101">
        <v>0.101392051</v>
      </c>
    </row>
    <row r="34" spans="2:3" ht="15.75" customHeight="1" x14ac:dyDescent="0.25">
      <c r="B34" s="19" t="s">
        <v>87</v>
      </c>
      <c r="C34" s="101">
        <v>0.166044517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uQK/XqEuacH1k/y3wA8fv2xIeZkN2yyRTeJhj8LIcdArxLOu+BBVzTyLu19fny915Z1v/lA+VswJrviPlIn0Iw==" saltValue="DD9k7rRJ+WBmkzqrnDjGZ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110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106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107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119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NtlK34kN21Cx6rngie2gvbKNYuhUaB4cgP022pFhBKf6lvIFB4EQ6sbUuIutQ/k5RmLWl/sYy4UdYfm2BX/YA==" saltValue="PY0sYtNYMXmuG3A8YlT4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125</v>
      </c>
      <c r="C5" s="52">
        <v>3.2688200000000001E-2</v>
      </c>
      <c r="D5" s="52">
        <v>7.91544E-2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ttRLuWm8531s+CySMN+t3VmThiPFPl45Yv8HeYNpUQeKNiTXjnDGn62Aj/vPeqlsYqyT6ShlLeS+aJWUMc4xrA==" saltValue="McJmPwZ+PLZCGRXX8F9pK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1r2rRIMUo+7l9AVdQuB9lxQbAKeDdCBgjP7fP0WKSlZbodTrQXw9ucFIytqxWXQD8RAEpQOo9GZ6vK66Lh1WOQ==" saltValue="qLE25fhbjwQ+5eHgEqoxJ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AhTbcs7gP/sPSSGBU4zkyBLhMmRZzIWbHlq1hkpMH2r2IPrGyUm4Z/DyDNFGZRc/IfprwKS3w8J9r5Ob8rK9PA==" saltValue="AMVdAY/GDMfnN3ywarUjA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i91a/073u+hbczsnbZ0EHOVImd0bgmABCZyISva4SBT/JLPp5SFJPwbY17Jc2PgSZjBTGyjSWUMsZGgzWJZdHQ==" saltValue="Q1Y8qrBkYbQWooVTqO/nn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8NDdDHA4KvTl8rK7xlKLugyHmftjG4vhw2dJP0AB9+PGgCQ7OVmELNTntd0TpUeGuZW2jUOwiBI8Yma8E2Uy/w==" saltValue="P8iMEHOpO04dbTYj1HeFW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45.319393542983583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0.217064428</v>
      </c>
      <c r="C3" s="98">
        <v>0.95</v>
      </c>
      <c r="D3" s="56">
        <v>42.687335931091802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215.13820465634649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1.130102918328614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0.61550340000000003</v>
      </c>
      <c r="C10" s="98">
        <v>0.95</v>
      </c>
      <c r="D10" s="56">
        <v>13.705047831112401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0.61550340000000003</v>
      </c>
      <c r="C11" s="98">
        <v>0.95</v>
      </c>
      <c r="D11" s="56">
        <v>13.705047831112401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0.61550340000000003</v>
      </c>
      <c r="C12" s="98">
        <v>0.95</v>
      </c>
      <c r="D12" s="56">
        <v>13.705047831112401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0.61550340000000003</v>
      </c>
      <c r="C13" s="98">
        <v>0.95</v>
      </c>
      <c r="D13" s="56">
        <v>13.705047831112401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0.61550340000000003</v>
      </c>
      <c r="C14" s="98">
        <v>0.95</v>
      </c>
      <c r="D14" s="56">
        <v>13.705047831112401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0.61550340000000003</v>
      </c>
      <c r="C15" s="98">
        <v>0.95</v>
      </c>
      <c r="D15" s="56">
        <v>13.705047831112401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0.92</v>
      </c>
      <c r="C16" s="98">
        <v>0.95</v>
      </c>
      <c r="D16" s="56">
        <v>0.44429056896247249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0.236988888888889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9.4748941503809997E-2</v>
      </c>
      <c r="C18" s="98">
        <v>0.95</v>
      </c>
      <c r="D18" s="56">
        <v>5.0196810287000124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0.73021100000000005</v>
      </c>
      <c r="C19" s="98">
        <v>0.95</v>
      </c>
      <c r="D19" s="56">
        <v>5.0196810287000124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0.69741069999999994</v>
      </c>
      <c r="C21" s="98">
        <v>0.95</v>
      </c>
      <c r="D21" s="56">
        <v>11.663682971302389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23.476861506564731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4.5643768782397949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0.71797623925571996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0.61550340000000003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19.712589805544962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0.56303536975191004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84.63932308590087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0.03</v>
      </c>
      <c r="C31" s="98">
        <v>0.95</v>
      </c>
      <c r="D31" s="56">
        <v>0.70370696748114991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0.9198919947883043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0.03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0.65400000000000003</v>
      </c>
      <c r="C38" s="98">
        <v>0.95</v>
      </c>
      <c r="D38" s="56">
        <v>5.3194821474431118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RUApdQeoWw7WskqE8RA3mPwfvPdzjVvI4KZnUXK8WXVoJHVShJizISwsrYe7o941C/M5EkP+BPCP8PYgj6f9XA==" saltValue="hqN3AhhjxYxDOmieWd4H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IZUGLg+As+nKqCFGgulBtn8ke55rlq88vpk8MqKwz1VY4mSrgA36GlAp2C3tHz9yM2h8RD1CSM6Lk7jrkDymA==" saltValue="QeLrJcjKncxP+H+FFeSIW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FemnS8ZisnCDldw1rmlZnbqIeKUdlAPisPgEYZe9sjUtlKxdu9vLjKXUMxdDvJNPIrLEzsy/aXpVVc+oh1b6g==" saltValue="By+sBj4m7a1q9BqlducdG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207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sheetProtection algorithmName="SHA-512" hashValue="Qr+yxa/x/va/+ZcYssOVGldzS4blnC4PMQyZKi6P12dHEmLe3zo0Z6m1VWu2oLyeozjDyF6nK8MMxQQxVIbUfw==" saltValue="uqTNx/9drFAiyiN+NovL4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3eBkKvQtodRBlfAQxOROD5s3sB35hvQ5JLqSf7UqqdwOBdE0OERp0uRhRAch3Orz3AekcvuMDskmWEeJSdDWw==" saltValue="+i4Kr+GuDDsjO3nCD5JTp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f+e533rpApLwZ9VVmhMM0KDGvL9Kf7tuUEOUsj0uIycp9ci0oV9vcDlGeB/Qn17z7asclChlwtD8Pr9/xw22xQ==" saltValue="ykOt+8EYoanPkt2s0AJAa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cshUz/+cgb07JjiaHLpn/M2i9NQbwIHDS0KEcj8NlXyj5seWSBb8D1uDIRLE8yOQzmqqSO/aSthdQBs1PCsjA==" saltValue="cMBMbCsUsB3yBfuTtv8EX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nWXjm4ZBjm0dfIfI5uJxt/H3LJFjlw69h9111+baOf6bHlVpn9TchfgN4olmfEwCyTBwyB3QCoQXPPMoh6ARg==" saltValue="mU6KV+yYO27ZO7fj/UobZ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z1HNg4+dQy0at7/ADpMXOw61xHhpwU7bFbj2oGYCpLKf7ea1DNmO4SR8i51Kg3GQohS9Vpv58J5G5Scp5o4H7Q==" saltValue="CptitodXKQ34XuadI9k9O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pvdhsF0BdGpqiqYpvaCML569reK5RlQ6AFlu1D8vEnIoSF5m/jiHgC8/FNF6MFhh/DMcMxibqk1dLlH+YYuKEA==" saltValue="B+LcXVcSgW8b37tan/gNw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XOI0gwL2htBdQJr8VeiKPC7Ig8Ii94s1v2p+i7O3q5ccJKVC0ITAEGJVyiA4+rx+DtjpZS3cZNu7u2FJEFkp9g==" saltValue="2nlPqpxlAHT7BzGhVnvnD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CCmSZfi3IE8MWBDh2Sxp7PWxqrmxWaCfR/IxcsOHdKbHyvQY5cE23wcegv97KW3NDGg9ucZ3mcoeejq519tFQ==" saltValue="luCmUaxnxaCrSrC5RpAW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41xL3yxuNgvqSJN9gt8jabzIg6M4fcEDTW1HpPGiqdjWqerG+fXLBGBd8lcdWIglPs9pL5kQj/GWeGYovSHLQ==" saltValue="C/hTx8W0WruqLhevNJyb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5m74bMYv8Ox5K9aOgF2QtZQiL41jyYU3TGUrL0j3La17sFVSejOFfdV2wLuAYz5SrEKD95x4db3qgURarDS98A==" saltValue="y1W6ZaJcHSLrG3E8D1qb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4+msLGrPSYLVV85Ztwaq2tk/c9J9ea1Abhhntkr2UTXEYNb3MRSlvVWAL0DuiIAjE7MFzcxufSb14CLkM8fRWQ==" saltValue="pp+g4J5NAasAXstlvjwN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ZiitblVf6czONRHUhSwLOeEduxfosMBzK+LlNzfNfhN1/HUhxpBya0b9U/9mdVG8HcWoh5KTF2btP1dTAE0cg==" saltValue="sgwx+Jg1x//uv7gebvVM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UrkJLa5klsx+kB6+4mIVhQVyX9LjueNYA4XuR4mT+nP5Xfo1nYtvm6EmGxSZD2XLhoIUQDiWfKAqF4cRlFbqQ==" saltValue="reCxwAJ11nkX5qn4Yd7C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5rGYnnmSNTzsBJznimOel9lDO/ZkJEOeDi9hQKnr0xGaCpqfPQKeXTMV/fNeabrzSVI9HOHm3B3VLUhhBYA2w==" saltValue="QHoWMjrf+QNzfzHg9nnt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r6uhoypAo9+bpVt8YpQUacB8bYX/Ws5oSznm+3JVvBgrrXo8QK5uE1MMMDAtuleJP/j/xEGT20h7wKnxX+qZyw==" saltValue="SxhG8Ow4X4orCnFy9Npsj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2024-05-16T23:53:30Z</dcterms:modified>
</cp:coreProperties>
</file>