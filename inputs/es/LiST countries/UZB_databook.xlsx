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830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Modeling\Nutrition\inputs\es\LiST countries\"/>
    </mc:Choice>
  </mc:AlternateContent>
  <xr:revisionPtr revIDLastSave="0" documentId="8_{D15AA98A-23CF-4C42-8365-71E2DC79BE98}" xr6:coauthVersionLast="47" xr6:coauthVersionMax="47" xr10:uidLastSave="{00000000-0000-0000-0000-000000000000}"/>
  <bookViews>
    <workbookView xWindow="20" yWindow="620" windowWidth="19180" windowHeight="10180" tabRatio="961" xr2:uid="{00000000-000D-0000-FFFF-FFFF00000000}"/>
  </bookViews>
  <sheets>
    <sheet name="Entradas de población-año base" sheetId="1" r:id="rId1"/>
    <sheet name="Proyecciones demográficas" sheetId="2" r:id="rId2"/>
    <sheet name="Causas de muerte" sheetId="3" r:id="rId3"/>
    <sheet name="Distribución estado nutricional" sheetId="4" r:id="rId4"/>
    <sheet name="Distribución de lactancia" sheetId="5" r:id="rId5"/>
    <sheet name="Tendencias temporales" sheetId="6" r:id="rId6"/>
    <sheet name="Pérdida económica" sheetId="7" r:id="rId7"/>
    <sheet name="Paquetes de IYCF" sheetId="8" r:id="rId8"/>
    <sheet name="Tratamiento de la MAS" sheetId="9" r:id="rId9"/>
    <sheet name="Costo y cobertura del programa" sheetId="10" r:id="rId10"/>
    <sheet name="Dependencias del programa" sheetId="11" r:id="rId11"/>
    <sheet name="Programas de referencia" sheetId="12" state="hidden" r:id="rId12"/>
    <sheet name="Incidencia de las afecciones" sheetId="13" state="hidden" r:id="rId13"/>
    <sheet name="Población objetivo del programa" sheetId="14" state="hidden" r:id="rId14"/>
    <sheet name="Opciones de la curva de costos" sheetId="15" state="hidden" r:id="rId15"/>
    <sheet name="Prog. de planificación familiar" sheetId="16" state="hidden" r:id="rId16"/>
    <sheet name="Programas población afectada" sheetId="17" state="hidden" r:id="rId17"/>
    <sheet name="Riesgos que impacta programa" sheetId="18" state="hidden" r:id="rId18"/>
    <sheet name="Riegos para la población" sheetId="19" state="hidden" r:id="rId19"/>
    <sheet name="Razón de momios IYCF" sheetId="20" state="hidden" r:id="rId20"/>
    <sheet name="Riesgos desenlace de nacimiento" sheetId="21" state="hidden" r:id="rId21"/>
    <sheet name="Riesgos relativos" sheetId="22" state="hidden" r:id="rId22"/>
    <sheet name="Razón de momios" sheetId="23" state="hidden" r:id="rId23"/>
    <sheet name="Resultados de nacimiento- prog" sheetId="24" state="hidden" r:id="rId24"/>
    <sheet name="Programas de anemia" sheetId="25" state="hidden" r:id="rId25"/>
    <sheet name="Programas para emaciación" sheetId="26" state="hidden" r:id="rId26"/>
    <sheet name="Programas para niños" sheetId="27" state="hidden" r:id="rId27"/>
    <sheet name="Prog. para mujeres embarazadas" sheetId="28" state="hidden" r:id="rId28"/>
  </sheets>
  <definedNames>
    <definedName name="abortion" localSheetId="7">'Entradas de población-año base'!$C$38</definedName>
    <definedName name="abortion">'Entradas de población-año base'!$C$41</definedName>
    <definedName name="comm_deliv">'Tratamiento de la MAS'!$D$3</definedName>
    <definedName name="diarrhoea_1_5mo">'Entradas de población-año base'!$C$52</definedName>
    <definedName name="diarrhoea_12_23mo">'Entradas de población-año base'!$C$54</definedName>
    <definedName name="diarrhoea_1mo">'Entradas de población-año base'!$C$51</definedName>
    <definedName name="diarrhoea_24_59mo">'Entradas de población-año base'!$C$55</definedName>
    <definedName name="diarrhoea_6_11mo">'Entradas de población-año base'!$C$53</definedName>
    <definedName name="end_year">'Entradas de población-año base'!$C$4</definedName>
    <definedName name="famplan_unmet_need">'Entradas de población-año base'!$C$13</definedName>
    <definedName name="food_insecure">'Entradas de población-año base'!$C$8</definedName>
    <definedName name="frac_children_health_facility">'Entradas de población-año base'!$C$12</definedName>
    <definedName name="frac_diarrhea_severe">'Entradas de población-año base'!$C$58</definedName>
    <definedName name="frac_maize">'Entradas de población-año base'!$C$19</definedName>
    <definedName name="frac_malaria_risk">'Entradas de población-año base'!$C$9</definedName>
    <definedName name="frac_mam_1_5months">'Distribución estado nutricional'!$D$10</definedName>
    <definedName name="frac_mam_12_23months">'Distribución estado nutricional'!$F$10</definedName>
    <definedName name="frac_mam_1month">'Distribución estado nutricional'!$C$10</definedName>
    <definedName name="frac_mam_24_59months">'Distribución estado nutricional'!$G$10</definedName>
    <definedName name="frac_mam_6_11months">'Distribución estado nutricional'!$E$10</definedName>
    <definedName name="frac_MAMtoSAM">'Entradas de población-año base'!#REF!</definedName>
    <definedName name="frac_other_staples">'Entradas de población-año base'!$C$20</definedName>
    <definedName name="frac_PW_health_facility">'Entradas de población-año base'!$C$11</definedName>
    <definedName name="frac_rice">'Entradas de población-año base'!$C$17</definedName>
    <definedName name="frac_sam_1_5months">'Distribución estado nutricional'!$D$11</definedName>
    <definedName name="frac_sam_12_23months">'Distribución estado nutricional'!$F$11</definedName>
    <definedName name="frac_sam_1month">'Distribución estado nutricional'!$C$11</definedName>
    <definedName name="frac_sam_24_59months">'Distribución estado nutricional'!$G$11</definedName>
    <definedName name="frac_sam_6_11months">'Distribución estado nutricional'!$E$11</definedName>
    <definedName name="frac_SAMtoMAM">'Entradas de población-año base'!#REF!</definedName>
    <definedName name="frac_subsistence_farming">'Entradas de población-año base'!$C$16</definedName>
    <definedName name="frac_wheat">'Entradas de población-año base'!$C$18</definedName>
    <definedName name="infant_mortality">'Entradas de población-año base'!$C$38</definedName>
    <definedName name="iron_deficiency_anaemia">'Entradas de población-año base'!$C$59</definedName>
    <definedName name="manage_mam">'Tratamiento de la MAS'!$D$2</definedName>
    <definedName name="maternal_mortality">'Entradas de población-año base'!$C$40</definedName>
    <definedName name="neonatal_mortality">'Entradas de población-año base'!$C$37</definedName>
    <definedName name="Percentage_of_pregnant_women_attending_health_facility">'Entradas de población-año base'!$C$11</definedName>
    <definedName name="preterm_AGA">'Entradas de población-año base'!$C$46</definedName>
    <definedName name="preterm_SGA">'Entradas de población-año base'!$C$45</definedName>
    <definedName name="school_attendance">'Entradas de población-año base'!$C$10</definedName>
    <definedName name="start_year">'Entradas de población-año base'!$C$3</definedName>
    <definedName name="stillbirth" localSheetId="7">'Entradas de población-año base'!$C$39</definedName>
    <definedName name="stillbirth">'Entradas de población-año base'!$C$42</definedName>
    <definedName name="term_AGA">'Entradas de población-año base'!$C$48</definedName>
    <definedName name="term_SGA">'Entradas de población-año base'!$C$47</definedName>
    <definedName name="U5_mortality">'Entradas de población-año base'!$C$39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G25" i="28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H132" i="27"/>
  <c r="G132" i="27"/>
  <c r="F132" i="27"/>
  <c r="E132" i="27"/>
  <c r="H131" i="27"/>
  <c r="G131" i="27"/>
  <c r="F131" i="27"/>
  <c r="E131" i="27"/>
  <c r="H130" i="27"/>
  <c r="G130" i="27"/>
  <c r="F130" i="27"/>
  <c r="E130" i="27"/>
  <c r="D130" i="27"/>
  <c r="E129" i="27"/>
  <c r="D129" i="27"/>
  <c r="H128" i="27"/>
  <c r="G128" i="27"/>
  <c r="F128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E112" i="27"/>
  <c r="D112" i="27"/>
  <c r="H97" i="27"/>
  <c r="H152" i="27" s="1"/>
  <c r="G97" i="27"/>
  <c r="G152" i="27" s="1"/>
  <c r="F97" i="27"/>
  <c r="F152" i="27" s="1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D133" i="27" s="1"/>
  <c r="H77" i="27"/>
  <c r="G77" i="27"/>
  <c r="F77" i="27"/>
  <c r="E77" i="27"/>
  <c r="H76" i="27"/>
  <c r="G76" i="27"/>
  <c r="F76" i="27"/>
  <c r="E76" i="27"/>
  <c r="D76" i="27"/>
  <c r="D131" i="27" s="1"/>
  <c r="H75" i="27"/>
  <c r="G75" i="27"/>
  <c r="F75" i="27"/>
  <c r="E75" i="27"/>
  <c r="D75" i="27"/>
  <c r="E74" i="27"/>
  <c r="D74" i="27"/>
  <c r="H73" i="27"/>
  <c r="G73" i="27"/>
  <c r="F73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H112" i="27" s="1"/>
  <c r="G57" i="27"/>
  <c r="G112" i="27" s="1"/>
  <c r="F57" i="27"/>
  <c r="F112" i="27" s="1"/>
  <c r="E57" i="27"/>
  <c r="D57" i="27"/>
  <c r="H20" i="27"/>
  <c r="G20" i="27"/>
  <c r="F20" i="27"/>
  <c r="H18" i="27"/>
  <c r="G18" i="27"/>
  <c r="F18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49" i="23"/>
  <c r="F49" i="23"/>
  <c r="E49" i="23"/>
  <c r="D49" i="23"/>
  <c r="C44" i="23"/>
  <c r="G40" i="23"/>
  <c r="F40" i="23"/>
  <c r="E40" i="23"/>
  <c r="D40" i="23"/>
  <c r="C40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F120" i="20" s="1"/>
  <c r="E67" i="20"/>
  <c r="E120" i="20" s="1"/>
  <c r="D67" i="20"/>
  <c r="D120" i="20" s="1"/>
  <c r="H66" i="20"/>
  <c r="G66" i="20"/>
  <c r="G119" i="20" s="1"/>
  <c r="F66" i="20"/>
  <c r="F119" i="20" s="1"/>
  <c r="E66" i="20"/>
  <c r="E119" i="20" s="1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G117" i="20" s="1"/>
  <c r="E64" i="20"/>
  <c r="E117" i="20" s="1"/>
  <c r="D64" i="20"/>
  <c r="D117" i="20" s="1"/>
  <c r="H63" i="20"/>
  <c r="G63" i="20"/>
  <c r="G116" i="20" s="1"/>
  <c r="F63" i="20"/>
  <c r="F116" i="20" s="1"/>
  <c r="E63" i="20"/>
  <c r="E116" i="20" s="1"/>
  <c r="D63" i="20"/>
  <c r="D116" i="20" s="1"/>
  <c r="H62" i="20"/>
  <c r="G62" i="20"/>
  <c r="G115" i="20" s="1"/>
  <c r="F62" i="20"/>
  <c r="F115" i="20" s="1"/>
  <c r="D62" i="20"/>
  <c r="D115" i="20" s="1"/>
  <c r="H61" i="20"/>
  <c r="G61" i="20"/>
  <c r="G114" i="20" s="1"/>
  <c r="F61" i="20"/>
  <c r="F114" i="20" s="1"/>
  <c r="D61" i="20"/>
  <c r="D114" i="20" s="1"/>
  <c r="H60" i="20"/>
  <c r="G60" i="20"/>
  <c r="G113" i="20" s="1"/>
  <c r="F60" i="20"/>
  <c r="F113" i="20" s="1"/>
  <c r="E60" i="20"/>
  <c r="E113" i="20" s="1"/>
  <c r="D60" i="20"/>
  <c r="D113" i="20" s="1"/>
  <c r="H59" i="20"/>
  <c r="G59" i="20"/>
  <c r="G112" i="20" s="1"/>
  <c r="F59" i="20"/>
  <c r="F112" i="20" s="1"/>
  <c r="E59" i="20"/>
  <c r="E112" i="20" s="1"/>
  <c r="H58" i="20"/>
  <c r="G58" i="20"/>
  <c r="G111" i="20" s="1"/>
  <c r="F58" i="20"/>
  <c r="F111" i="20" s="1"/>
  <c r="E58" i="20"/>
  <c r="E111" i="20" s="1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I40" i="2" s="1"/>
  <c r="G40" i="2"/>
  <c r="H39" i="2"/>
  <c r="I39" i="2" s="1"/>
  <c r="G39" i="2"/>
  <c r="H38" i="2"/>
  <c r="I38" i="2" s="1"/>
  <c r="G38" i="2"/>
  <c r="A25" i="2"/>
  <c r="H13" i="2"/>
  <c r="I13" i="2" s="1"/>
  <c r="G13" i="2"/>
  <c r="I12" i="2"/>
  <c r="H12" i="2"/>
  <c r="G12" i="2"/>
  <c r="I11" i="2"/>
  <c r="H11" i="2"/>
  <c r="G11" i="2"/>
  <c r="H10" i="2"/>
  <c r="I10" i="2" s="1"/>
  <c r="G10" i="2"/>
  <c r="H9" i="2"/>
  <c r="I9" i="2" s="1"/>
  <c r="G9" i="2"/>
  <c r="H8" i="2"/>
  <c r="I8" i="2" s="1"/>
  <c r="G8" i="2"/>
  <c r="H7" i="2"/>
  <c r="I7" i="2" s="1"/>
  <c r="G7" i="2"/>
  <c r="H6" i="2"/>
  <c r="I6" i="2" s="1"/>
  <c r="G6" i="2"/>
  <c r="H5" i="2"/>
  <c r="I5" i="2" s="1"/>
  <c r="G5" i="2"/>
  <c r="I4" i="2"/>
  <c r="H4" i="2"/>
  <c r="G4" i="2"/>
  <c r="I3" i="2"/>
  <c r="H3" i="2"/>
  <c r="G3" i="2"/>
  <c r="A3" i="2"/>
  <c r="H2" i="2"/>
  <c r="I2" i="2" s="1"/>
  <c r="G2" i="2"/>
  <c r="A2" i="2"/>
  <c r="A38" i="2" s="1"/>
  <c r="C33" i="1"/>
  <c r="C20" i="1"/>
  <c r="A17" i="2" l="1"/>
  <c r="A33" i="2"/>
  <c r="A4" i="2"/>
  <c r="A5" i="2" s="1"/>
  <c r="A6" i="2" s="1"/>
  <c r="A7" i="2" s="1"/>
  <c r="A8" i="2" s="1"/>
  <c r="A9" i="2" s="1"/>
  <c r="A10" i="2" s="1"/>
  <c r="A11" i="2" s="1"/>
  <c r="A12" i="2" s="1"/>
  <c r="A13" i="2" s="1"/>
  <c r="A14" i="2"/>
  <c r="A22" i="2"/>
  <c r="A30" i="2"/>
  <c r="A40" i="2"/>
  <c r="A15" i="2"/>
  <c r="A23" i="2"/>
  <c r="A31" i="2"/>
  <c r="A16" i="2"/>
  <c r="A24" i="2"/>
  <c r="A32" i="2"/>
  <c r="A18" i="2"/>
  <c r="A26" i="2"/>
  <c r="A39" i="2"/>
  <c r="A19" i="2"/>
  <c r="A27" i="2"/>
  <c r="A35" i="2"/>
  <c r="A34" i="2"/>
  <c r="A20" i="2"/>
  <c r="A28" i="2"/>
  <c r="A36" i="2"/>
  <c r="A21" i="2"/>
  <c r="A29" i="2"/>
  <c r="A37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00000000-0006-0000-1600-000001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B6" authorId="0" shapeId="0" xr:uid="{00000000-0006-0000-1600-000002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4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5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6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9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A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0" shapeId="0" xr:uid="{00000000-0006-0000-1600-00000B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D12" authorId="1" shapeId="0" xr:uid="{00000000-0006-0000-1600-00000C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C15" authorId="0" shapeId="0" xr:uid="{00000000-0006-0000-1600-00000D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16" authorId="0" shapeId="0" xr:uid="{00000000-0006-0000-1600-00000E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27" authorId="0" shapeId="0" xr:uid="{00000000-0006-0000-1600-00000F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28" authorId="1" shapeId="0" xr:uid="{00000000-0006-0000-1600-000010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1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12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13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4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5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35" authorId="0" shapeId="0" xr:uid="{00000000-0006-0000-1600-000016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A37" authorId="1" shapeId="0" xr:uid="{00000000-0006-0000-1600-000017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38" authorId="0" shapeId="0" xr:uid="{00000000-0006-0000-1600-000018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39" authorId="0" shapeId="0" xr:uid="{00000000-0006-0000-1600-000019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B44" authorId="1" shapeId="0" xr:uid="{00000000-0006-0000-1600-00001A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50" authorId="0" shapeId="0" xr:uid="{00000000-0006-0000-1600-00001B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51" authorId="1" shapeId="0" xr:uid="{00000000-0006-0000-1600-00001C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E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20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C58" authorId="0" shapeId="0" xr:uid="{00000000-0006-0000-1600-000021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C61" authorId="0" shapeId="0" xr:uid="{00000000-0006-0000-1600-000022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62" authorId="0" shapeId="0" xr:uid="{00000000-0006-0000-1600-000023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4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5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4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5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8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9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A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B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18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18" authorId="0" shapeId="0" xr:uid="{00000000-0006-0000-1800-00002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18" authorId="0" shapeId="0" xr:uid="{00000000-0006-0000-1800-00002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18" authorId="0" shapeId="0" xr:uid="{00000000-0006-0000-1800-00003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18" authorId="0" shapeId="0" xr:uid="{00000000-0006-0000-1800-00003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18" authorId="0" shapeId="0" xr:uid="{00000000-0006-0000-1800-00003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18" authorId="0" shapeId="0" xr:uid="{00000000-0006-0000-1800-00003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18" authorId="0" shapeId="0" xr:uid="{00000000-0006-0000-1800-00003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18" authorId="0" shapeId="0" xr:uid="{00000000-0006-0000-1800-000035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18" authorId="0" shapeId="0" xr:uid="{00000000-0006-0000-1800-000036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19" authorId="0" shapeId="0" xr:uid="{00000000-0006-0000-1800-000037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38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20" authorId="0" shapeId="0" xr:uid="{00000000-0006-0000-1800-000039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20" authorId="0" shapeId="0" xr:uid="{00000000-0006-0000-1800-00003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20" authorId="0" shapeId="0" xr:uid="{00000000-0006-0000-1800-00003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20" authorId="0" shapeId="0" xr:uid="{00000000-0006-0000-1800-00003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20" authorId="0" shapeId="0" xr:uid="{00000000-0006-0000-1800-00003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20" authorId="0" shapeId="0" xr:uid="{00000000-0006-0000-1800-00003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20" authorId="0" shapeId="0" xr:uid="{00000000-0006-0000-1800-00003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20" authorId="0" shapeId="0" xr:uid="{00000000-0006-0000-1800-00004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20" authorId="0" shapeId="0" xr:uid="{00000000-0006-0000-1800-00004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20" authorId="0" shapeId="0" xr:uid="{00000000-0006-0000-1800-00004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1" authorId="0" shapeId="0" xr:uid="{00000000-0006-0000-1800-00004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44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5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6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7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27" authorId="0" shapeId="0" xr:uid="{00000000-0006-0000-1800-00004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4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4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4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50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51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52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53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54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55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56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57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5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6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5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66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67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6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2" authorId="0" shapeId="0" xr:uid="{00000000-0006-0000-1800-00006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3" authorId="0" shapeId="0" xr:uid="{00000000-0006-0000-1800-00006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6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6E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F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70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50" authorId="0" shapeId="0" xr:uid="{00000000-0006-0000-1800-00007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1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82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83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8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8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8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8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8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89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8A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8B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8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8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9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A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9B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9C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9D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E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5" authorId="0" shapeId="0" xr:uid="{00000000-0006-0000-1800-0000A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6" authorId="0" shapeId="0" xr:uid="{00000000-0006-0000-1800-0000A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A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1" shapeId="0" xr:uid="{00000000-0006-0000-1A00-000013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20" authorId="1" shapeId="0" xr:uid="{00000000-0006-0000-1A00-000014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22" authorId="0" shapeId="0" xr:uid="{00000000-0006-0000-1A00-000015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6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7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1" shapeId="0" xr:uid="{00000000-0006-0000-1A00-000018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28" authorId="1" shapeId="0" xr:uid="{00000000-0006-0000-1A00-000019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28" authorId="1" shapeId="0" xr:uid="{00000000-0006-0000-1A00-00001A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28" authorId="1" shapeId="0" xr:uid="{00000000-0006-0000-1A00-00001B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28" authorId="1" shapeId="0" xr:uid="{00000000-0006-0000-1A00-00001C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1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3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6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C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40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4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8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1" shapeId="0" xr:uid="{00000000-0006-0000-1A00-000049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A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C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D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1" shapeId="0" xr:uid="{00000000-0006-0000-1A00-00004E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3" authorId="1" shapeId="0" xr:uid="{00000000-0006-0000-1A00-00004F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3" authorId="1" shapeId="0" xr:uid="{00000000-0006-0000-1A00-000050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3" authorId="1" shapeId="0" xr:uid="{00000000-0006-0000-1A00-000051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3" authorId="1" shapeId="0" xr:uid="{00000000-0006-0000-1A00-000052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7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C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6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61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6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7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C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D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70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71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4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5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8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9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1" shapeId="0" xr:uid="{00000000-0006-0000-1A00-00007A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B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C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D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8" authorId="1" shapeId="0" xr:uid="{00000000-0006-0000-1A00-00007F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38" authorId="1" shapeId="0" xr:uid="{00000000-0006-0000-1A00-000080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38" authorId="1" shapeId="0" xr:uid="{00000000-0006-0000-1A00-000081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38" authorId="1" shapeId="0" xr:uid="{00000000-0006-0000-1A00-000082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38" authorId="1" shapeId="0" xr:uid="{00000000-0006-0000-1A00-000083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7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8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C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D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9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91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92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6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7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8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2" authorId="0" shapeId="0" xr:uid="{00000000-0006-0000-1B00-000001000000}">
      <text>
        <r>
          <rPr>
            <sz val="10"/>
            <color rgb="FF000000"/>
            <rFont val="Arial"/>
          </rPr>
          <t>Nick Scott:
Note: Ca supplementation impacts preterm birth, not curretly captured in the model Hofmeyr et al 2023, RR 0.76 (0.60-0.97), all women</t>
        </r>
      </text>
    </comment>
    <comment ref="D3" authorId="1" shapeId="0" xr:uid="{00000000-0006-0000-1B00-000002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E3" authorId="1" shapeId="0" xr:uid="{00000000-0006-0000-1B00-000003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F3" authorId="1" shapeId="0" xr:uid="{00000000-0006-0000-1B00-000004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G3" authorId="1" shapeId="0" xr:uid="{00000000-0006-0000-1B00-000005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D5" authorId="1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1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1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1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1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1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1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1" shapeId="0" xr:uid="{00000000-0006-0000-1B00-00000D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1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1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1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1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1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1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1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1" shapeId="0" xr:uid="{00000000-0006-0000-1B00-000015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<sst xmlns="http://schemas.openxmlformats.org/spreadsheetml/2006/main" count="2101" uniqueCount="341">
  <si>
    <t>Field</t>
  </si>
  <si>
    <t>Neonatal</t>
  </si>
  <si>
    <t>Meningitis</t>
  </si>
  <si>
    <t>Malaria</t>
  </si>
  <si>
    <t>Sepsis</t>
  </si>
  <si>
    <t>x</t>
  </si>
  <si>
    <t>MAM</t>
  </si>
  <si>
    <t>Normal</t>
  </si>
  <si>
    <t>N/A</t>
  </si>
  <si>
    <t>Outcome</t>
  </si>
  <si>
    <t>18-23 meses</t>
  </si>
  <si>
    <t>24 meses o más</t>
  </si>
  <si>
    <t>Distribución de edad de las mujeres embarazadas</t>
  </si>
  <si>
    <t>Promedio de episodios por año: 1-5 meses</t>
  </si>
  <si>
    <t>Promedio de episodios por año: 12-23 meses</t>
  </si>
  <si>
    <t>Promedio de episodios por año: 24-59 meses</t>
  </si>
  <si>
    <t>Promedio de episodios por año: 6-11 meses</t>
  </si>
  <si>
    <t>Promedio de episodios por año: &lt;1 mes</t>
  </si>
  <si>
    <t>Año de referencia (año de inicio de la proyección)</t>
  </si>
  <si>
    <t>Datos del año de referencia</t>
  </si>
  <si>
    <t>Mortalidad y factores de riesgo en el año de referencia</t>
  </si>
  <si>
    <t>Distribución del desenlace del nacimiento</t>
  </si>
  <si>
    <t>Espaciamiento entre los nacimientos</t>
  </si>
  <si>
    <t>Población infantil menor de 5 años</t>
  </si>
  <si>
    <t>Datos</t>
  </si>
  <si>
    <t>Incidencia de la diarrea</t>
  </si>
  <si>
    <t>Año final</t>
  </si>
  <si>
    <t>El primer nacimiento</t>
  </si>
  <si>
    <t>Alimento</t>
  </si>
  <si>
    <t>Fracción que consume maíz como principal alimento básico</t>
  </si>
  <si>
    <t>Fracción que consume arroz como principal alimento básico</t>
  </si>
  <si>
    <t>Fracción que consume trigo como principal alimento básico</t>
  </si>
  <si>
    <t>Fracción de embarazos que terminan en aborto espontáneo</t>
  </si>
  <si>
    <t>Fracción de agricultura de subsistencia</t>
  </si>
  <si>
    <t>Fracción de otros alimentos básicos como alimento principal</t>
  </si>
  <si>
    <t>Mortalidad infantil (por cada 1.000 nacidos vivos)</t>
  </si>
  <si>
    <t>Mortalidad materna (por cada 1.000 nacidos vivos)</t>
  </si>
  <si>
    <t>Mortalidad</t>
  </si>
  <si>
    <t>Mortalidad neonatal (por cada 1.000 nacidos vivos)</t>
  </si>
  <si>
    <t>Otros riesgos</t>
  </si>
  <si>
    <t>Porcentaje de anemia que es deficiente en hierro</t>
  </si>
  <si>
    <t>Porcentaje de niños que acuden a un centro de salud</t>
  </si>
  <si>
    <t>Porcentaje de diarrea grave</t>
  </si>
  <si>
    <t>Porcentaje de población con riesgo de malaria</t>
  </si>
  <si>
    <t>Porcentaje de población con inseguridad alimentaria (pobre por defecto)</t>
  </si>
  <si>
    <t>Porcentaje de mujeres embarazadas de 15 a 19 años</t>
  </si>
  <si>
    <t>Porcentaje de mujeres embarazadas de 20 a 29 años</t>
  </si>
  <si>
    <t>Porcentaje de mujeres embarazadas de 30 a 39 años</t>
  </si>
  <si>
    <t>Porcentaje de mujeres embarazadas de 40 a 49 años</t>
  </si>
  <si>
    <t>Porcentaje de mujeres embarazadas que acuden a un centro de salud</t>
  </si>
  <si>
    <t>Datos poblacionales</t>
  </si>
  <si>
    <t>Prematuro AEG (adecuado para edad gestacional)</t>
  </si>
  <si>
    <t>Prematuro PEG (pequeño para la edad gestacional)</t>
  </si>
  <si>
    <t>Prevalencia de eclampsia</t>
  </si>
  <si>
    <t>Prevalencia de preeclampsia</t>
  </si>
  <si>
    <t>Años de proyección</t>
  </si>
  <si>
    <t>Asistencia a la escuela (porcentaje de mujeres de 15 a 19 años)</t>
  </si>
  <si>
    <t>Nacidos muertos (por cada 1.000 nacimientos totales)</t>
  </si>
  <si>
    <t>Nacido a término AEG (Adecuado para la edad gestacional)</t>
  </si>
  <si>
    <t>Nacido a término PEG (pequeño para la edad gestacional)</t>
  </si>
  <si>
    <t>Total (debe ser el 100%)</t>
  </si>
  <si>
    <t>Mortalidad de menores de 5 años (por cada 1.000 nacidos vivos)</t>
  </si>
  <si>
    <t>Necesidad insatisfecha de planificación familiar</t>
  </si>
  <si>
    <t>menos de 18 meses</t>
  </si>
  <si>
    <t>Bajo peso al nacer</t>
  </si>
  <si>
    <t>Estimación de mujeres embarazadas</t>
  </si>
  <si>
    <t>Número de nacimientos</t>
  </si>
  <si>
    <t>Total mujeres en edad reproductiva</t>
  </si>
  <si>
    <t>WRA: 15-19 años  (mujeres en edad reproductiva)</t>
  </si>
  <si>
    <t>WRA: 20-29 años (mujeres en edad reproductiva)</t>
  </si>
  <si>
    <t>WRA: 30-39 años (mujeres en edad reproductiva)</t>
  </si>
  <si>
    <t>WRA: 40-49 años (mujeres en edad reproductiva)</t>
  </si>
  <si>
    <t>mujeres en edad reproductiva no embarazadas</t>
  </si>
  <si>
    <t>año</t>
  </si>
  <si>
    <t>1-5 meses</t>
  </si>
  <si>
    <t>12-23 meses</t>
  </si>
  <si>
    <t>24-59 meses</t>
  </si>
  <si>
    <t>6-11 meses</t>
  </si>
  <si>
    <t>&lt;1 mes</t>
  </si>
  <si>
    <t>SIDA</t>
  </si>
  <si>
    <t>Aborto</t>
  </si>
  <si>
    <t>Hemorragia pre-parto</t>
  </si>
  <si>
    <t>Causas</t>
  </si>
  <si>
    <t>Niños</t>
  </si>
  <si>
    <t>Diarrea</t>
  </si>
  <si>
    <t>Embolia</t>
  </si>
  <si>
    <t>Trastornos hipertensivos</t>
  </si>
  <si>
    <t>Causas indirectas</t>
  </si>
  <si>
    <t>Lesión</t>
  </si>
  <si>
    <t>Hemorragia intraparto</t>
  </si>
  <si>
    <t>Sarampión</t>
  </si>
  <si>
    <t>Asfixia neonatal</t>
  </si>
  <si>
    <t>Anomalías congénitas neonatales</t>
  </si>
  <si>
    <t>Diarrea neonatal</t>
  </si>
  <si>
    <t>Neonatal otros</t>
  </si>
  <si>
    <t>Neumonía neonatal</t>
  </si>
  <si>
    <t>Prematuridad neonatal</t>
  </si>
  <si>
    <t>Sepsis neonatal</t>
  </si>
  <si>
    <t>Tétanos neonatal</t>
  </si>
  <si>
    <t>Otro</t>
  </si>
  <si>
    <t>Otras causas directas</t>
  </si>
  <si>
    <t>Tosferina</t>
  </si>
  <si>
    <t>Neumonía</t>
  </si>
  <si>
    <t>Hemorragia posparto</t>
  </si>
  <si>
    <t>Mujeres embarazadas</t>
  </si>
  <si>
    <t>Anemia</t>
  </si>
  <si>
    <t>Alto (puntuación HAZ &lt; -3)</t>
  </si>
  <si>
    <t>MAM (puntuación WHZ entre -3 y -2)</t>
  </si>
  <si>
    <t>Leve (score HAZ entre -2 y -1)</t>
  </si>
  <si>
    <t>Leve (score WHZ entre -2 y -1)</t>
  </si>
  <si>
    <t>Moderado (score HAZ entre -3 y -2)</t>
  </si>
  <si>
    <t>Normal (score HAZ &gt; -1)</t>
  </si>
  <si>
    <t>Normal (score WHZ &gt; -1)</t>
  </si>
  <si>
    <t>PW: 15-19 años</t>
  </si>
  <si>
    <t>PW: 20-29 años</t>
  </si>
  <si>
    <t>PW: 30-39 años</t>
  </si>
  <si>
    <t>PW: 40-49 años</t>
  </si>
  <si>
    <t>Prevalencia de anemia</t>
  </si>
  <si>
    <t>Prevalencia de anemia por deficiencia de hierro</t>
  </si>
  <si>
    <t>MAS (score WHZ &lt; -3)</t>
  </si>
  <si>
    <t>Estado</t>
  </si>
  <si>
    <t>Retraso en el crecimiento (Talla para la edad)</t>
  </si>
  <si>
    <t>Emaciación (peso para la talla)</t>
  </si>
  <si>
    <t>Lactancia materna</t>
  </si>
  <si>
    <t>Exclusivo</t>
  </si>
  <si>
    <t>Ninguno</t>
  </si>
  <si>
    <t>Parcial</t>
  </si>
  <si>
    <t>Predominante</t>
  </si>
  <si>
    <t>Prevalencia de anemia (%)</t>
  </si>
  <si>
    <t>Niños de 0 a 5 meses</t>
  </si>
  <si>
    <t>Niños de 0 a 59 meses</t>
  </si>
  <si>
    <t>Niños de 6 a 23 meses</t>
  </si>
  <si>
    <t>Materna (muertes por cada 1.000 nacimientos)</t>
  </si>
  <si>
    <t>Población</t>
  </si>
  <si>
    <t>Prevalencia de lactancia materna adecuada para la edad</t>
  </si>
  <si>
    <t>Riesgo</t>
  </si>
  <si>
    <t>Prevalencia del retraso del crecimiento (%)</t>
  </si>
  <si>
    <t>Menores de cinco años (muertes por cada 1.000 nacimientos)</t>
  </si>
  <si>
    <t>Prevalencia de emaciación (%)</t>
  </si>
  <si>
    <t>Mujeres en edad reproductiva</t>
  </si>
  <si>
    <t>Niño anémico (por año)</t>
  </si>
  <si>
    <t>Mujer embarazada anémica (por embarazo)</t>
  </si>
  <si>
    <t>Muerte del niño</t>
  </si>
  <si>
    <t>Niño que cumple 5 años con retraso en el crecimiento (a lo largo de su vida)</t>
  </si>
  <si>
    <t>Episodio de emaciación infantil</t>
  </si>
  <si>
    <t>Costo</t>
  </si>
  <si>
    <t>Muerte materna</t>
  </si>
  <si>
    <t>Tipo</t>
  </si>
  <si>
    <t>Todo</t>
  </si>
  <si>
    <t>Comunidad</t>
  </si>
  <si>
    <t>Centro de salud</t>
  </si>
  <si>
    <t>IYCF 1-alimentación del lactante y del niño pequeño</t>
  </si>
  <si>
    <t>IYCF 2-alimentación del lactante y del niño pequeño</t>
  </si>
  <si>
    <t>IYCF 3-alimentación del lactante y del niño pequeño</t>
  </si>
  <si>
    <t>Paquete alimentación del lactante y del niño pequeño (IYCF)</t>
  </si>
  <si>
    <t>Medios de comunicación masivos</t>
  </si>
  <si>
    <t>Población objetivo</t>
  </si>
  <si>
    <t>Añadir extensión</t>
  </si>
  <si>
    <t>Basado en la comunidad</t>
  </si>
  <si>
    <t>Por defecto</t>
  </si>
  <si>
    <t>Método de entrega</t>
  </si>
  <si>
    <t>Extensión</t>
  </si>
  <si>
    <t>Manejo de la Malnutrición Aguda Moderada (MAM)</t>
  </si>
  <si>
    <t>Programa</t>
  </si>
  <si>
    <t>Tratamiento de la MAS</t>
  </si>
  <si>
    <t>Suplemento energético-proteico equilibrado</t>
  </si>
  <si>
    <t>Suplemento con calcio</t>
  </si>
  <si>
    <t>Transferencias de efectivo</t>
  </si>
  <si>
    <t>Relación costo-cobertura</t>
  </si>
  <si>
    <t>Retraso en el pinzamiento del cordón umbilical</t>
  </si>
  <si>
    <t>Planificación familiar</t>
  </si>
  <si>
    <t>Enriquecimiento del maíz con hierro y ácido fólico</t>
  </si>
  <si>
    <t>Enriquecimiento del arroz con hierro y ácido fólico</t>
  </si>
  <si>
    <t>Enriquecimiento de la harina de trigo con hierro y ácido fólico</t>
  </si>
  <si>
    <t>Suplementación con hierro y ácido fólico (comunidad)</t>
  </si>
  <si>
    <t>Suplementación con hierro y ácido fólico (centro de salud)</t>
  </si>
  <si>
    <t>Suplementación con hierro y ácido fólico (minorista)</t>
  </si>
  <si>
    <t>Suplementación con hierro y ácido fólico (escuela)</t>
  </si>
  <si>
    <t>Suplementación con hierro y ácido fólico para mujeres embarazadas (comunidad)</t>
  </si>
  <si>
    <t>Suplementación con hierro y ácido fólico para mujeres embarazadas (centro de salud)</t>
  </si>
  <si>
    <t>IPTp-Tratamiento preventivo intermitente de la malaria en el embarazo</t>
  </si>
  <si>
    <t>Fortificación de la sal con hierro y yodo</t>
  </si>
  <si>
    <t>Método de la madre canguro</t>
  </si>
  <si>
    <t>Lineal (costo marginal constante) [por defecto]</t>
  </si>
  <si>
    <t>Suplementos nutricionales a base de lípidos</t>
  </si>
  <si>
    <t>Mosquiteros tratados con insecticida de larga duración</t>
  </si>
  <si>
    <t>Disminución máxima anual</t>
  </si>
  <si>
    <t>Aumento máximo anual</t>
  </si>
  <si>
    <t>Magnesio para la eclampsia</t>
  </si>
  <si>
    <t>Magnesio para la preeclampsia</t>
  </si>
  <si>
    <t>Micronutrientes en polvo</t>
  </si>
  <si>
    <t>Suplementación con micronutrientes múltiples</t>
  </si>
  <si>
    <t>Sales de rehidratación oral</t>
  </si>
  <si>
    <t>Suministro público de alimentos complementarios</t>
  </si>
  <si>
    <t>Cobertura de saturación de la población objetivo</t>
  </si>
  <si>
    <t>Costo unitario (US$)</t>
  </si>
  <si>
    <t>Suplementación con vitamina A</t>
  </si>
  <si>
    <t>WASH: Lavado de manos</t>
  </si>
  <si>
    <t>WASH: Eliminación higiénica de residuos</t>
  </si>
  <si>
    <t>WASH: Mejora del saneamiento</t>
  </si>
  <si>
    <t>WASH: Mejora de la fuente de agua</t>
  </si>
  <si>
    <t>WASH: Agua corriente o entubada</t>
  </si>
  <si>
    <t>Zinc para el tratamiento + SRO</t>
  </si>
  <si>
    <t>Suplementación con zinc</t>
  </si>
  <si>
    <t>Suplementos nutricionales a base de lípidos en pequeñas cantidades</t>
  </si>
  <si>
    <t>Exclusión de intervención dependiente</t>
  </si>
  <si>
    <t>Dependencia de otra intervención</t>
  </si>
  <si>
    <t>MAS</t>
  </si>
  <si>
    <t>Condición</t>
  </si>
  <si>
    <t>Amplio grupo de población</t>
  </si>
  <si>
    <t>Población general</t>
  </si>
  <si>
    <t>Mujeres en edad reproductiva no embarazadas</t>
  </si>
  <si>
    <t>Curva con costo marginal decreciente</t>
  </si>
  <si>
    <t>Curva con costo marginal creciente</t>
  </si>
  <si>
    <t>En forma de S (costo marginal decreciente y luego creciente)</t>
  </si>
  <si>
    <t>Preservativo/condón</t>
  </si>
  <si>
    <t>Efectividad</t>
  </si>
  <si>
    <t>Esterilización femenina</t>
  </si>
  <si>
    <t>Planificación Familiar Natural</t>
  </si>
  <si>
    <t>Dispositivo Intrauterino (DIU)</t>
  </si>
  <si>
    <t>Implante</t>
  </si>
  <si>
    <t>Inyectable</t>
  </si>
  <si>
    <t>Esterilización masculina</t>
  </si>
  <si>
    <t>Método</t>
  </si>
  <si>
    <t>Cápsula/píldora</t>
  </si>
  <si>
    <t>Costo proporcional</t>
  </si>
  <si>
    <t>Retiro</t>
  </si>
  <si>
    <t>Distribución</t>
  </si>
  <si>
    <t>Número de nacimiento</t>
  </si>
  <si>
    <t>Desenlaces del nacimiento</t>
  </si>
  <si>
    <t>Baja talla o retraso en el crecimiento</t>
  </si>
  <si>
    <t>Prevención de la emaciación</t>
  </si>
  <si>
    <t>Tratamiento de la emaciación</t>
  </si>
  <si>
    <t>Rango de edades</t>
  </si>
  <si>
    <t>Comportamiento</t>
  </si>
  <si>
    <t>Límites inferiores</t>
  </si>
  <si>
    <t>Razón de momios para lactancia materna adecuada</t>
  </si>
  <si>
    <t>Razón de momios para lactancia materna adecuada- inferior</t>
  </si>
  <si>
    <t>Razón de momios para lactancia materna adecuada - superior</t>
  </si>
  <si>
    <t>Razón de momios para alimentación complementaria correcta</t>
  </si>
  <si>
    <t>Razón de momios para alimentación complementaria correcta - inferior</t>
  </si>
  <si>
    <t>Razón de momios para alimentación complementaria correcta - superior</t>
  </si>
  <si>
    <t>Razón de momios para baja talla o retraso en el crecimiento</t>
  </si>
  <si>
    <t>Razón de momios para baja talla - inferior</t>
  </si>
  <si>
    <t>Razón de momios para baja talla - superior</t>
  </si>
  <si>
    <t>Límites superiores</t>
  </si>
  <si>
    <t>MAM (puntuación WHZ entre -3 y -2)-inferior</t>
  </si>
  <si>
    <t>MAM (puntuación WHZ entre -3 y -2)-superior</t>
  </si>
  <si>
    <t>Factores de riesgo materno que conducen a los resultados del nacimiento</t>
  </si>
  <si>
    <t>Razón de momios para las condiciones</t>
  </si>
  <si>
    <t>Razón de momios para las condiciones - inferior</t>
  </si>
  <si>
    <t>Razón de momios para las condiciones - superior</t>
  </si>
  <si>
    <t>Razón de momios para mujeres con anemia materna</t>
  </si>
  <si>
    <t>Razón de momios para mujeres con anemia materna-inferior</t>
  </si>
  <si>
    <t>Razón de momios para mujeres con anemia materna-superior</t>
  </si>
  <si>
    <t>Riesgo relativo según el espaciamiento de los nacimientos</t>
  </si>
  <si>
    <t>Riesgo relativo según el espaciamiento de los nacimientos-inferior</t>
  </si>
  <si>
    <t>Riesgo relativo según el espaciamiento de los nacimientos - superior</t>
  </si>
  <si>
    <t>Riesgos relativos de las causas de muerte neonatal</t>
  </si>
  <si>
    <t>Riesgos relativos de las causas de muerte neonatal - inferior</t>
  </si>
  <si>
    <t>Riesgos relativos de las causas de muerte neonatal - superior</t>
  </si>
  <si>
    <t>Riesgos para los niños que experimentan desenlaces al nacimiento</t>
  </si>
  <si>
    <t>MAS (score WHZ &lt; -3)-Inferior</t>
  </si>
  <si>
    <t>MAS (score WHZ &lt; -3)-superior</t>
  </si>
  <si>
    <t>Retraso en el crecimiento (score HAZ &lt; -2)</t>
  </si>
  <si>
    <t>Retraso en el crecimiento (score HAZ &lt; -2)-Inferior</t>
  </si>
  <si>
    <t>Retraso en el crecimiento (score HAZ &lt; -2)-superior</t>
  </si>
  <si>
    <t>Estado de anemia</t>
  </si>
  <si>
    <t>Anémico</t>
  </si>
  <si>
    <t>Situación de lactancia materna</t>
  </si>
  <si>
    <t>Causa de muerte</t>
  </si>
  <si>
    <t>Estado de HAZ (baja talla)</t>
  </si>
  <si>
    <t>Alto</t>
  </si>
  <si>
    <t>Leve</t>
  </si>
  <si>
    <t>Moderado</t>
  </si>
  <si>
    <t>No anémico</t>
  </si>
  <si>
    <t>Riesgo relativo de las causas de muerte según el estado de la anemia</t>
  </si>
  <si>
    <t>Riesgo relativo de las causas de muerte según el estado de la lactancia materna</t>
  </si>
  <si>
    <t>Riesgo relativo de las causas de muerte según la distribución de talla para la edad (retraso en el crecimiento)</t>
  </si>
  <si>
    <t>Riesgo relativo de las causas de muerte según la distribución del peso para la talla (emaciación)</t>
  </si>
  <si>
    <t>Riesgos relativos de sufrir diarrea según el estado de la lactancia materna</t>
  </si>
  <si>
    <t>Estado de la peso para la talla (WHZ)</t>
  </si>
  <si>
    <t>Emaciación</t>
  </si>
  <si>
    <t>Por programa</t>
  </si>
  <si>
    <t>Por programa - inferior</t>
  </si>
  <si>
    <t>Por programa - superior</t>
  </si>
  <si>
    <t>Diarrea (por episodio adicional)</t>
  </si>
  <si>
    <t>Diarrea (por episodio adicional) - inferior</t>
  </si>
  <si>
    <t>Diarrea (por episodio adicional) - superior</t>
  </si>
  <si>
    <t>Planificación familiar - más baja</t>
  </si>
  <si>
    <t>Planificación familiar - superior</t>
  </si>
  <si>
    <t>Para MAM por episodio adicional de diarrea</t>
  </si>
  <si>
    <t>Para MAM por episodio adicional de diarrea - inferior</t>
  </si>
  <si>
    <t>Para MAM por episodio adicional de diarrea - superior</t>
  </si>
  <si>
    <t>Para MAS por episodio adicional de diarrea</t>
  </si>
  <si>
    <t>Para MAS por episodio adicional de diarrea - inferior</t>
  </si>
  <si>
    <t>Para MAS por episodio adicional de diarrea - superior</t>
  </si>
  <si>
    <t>Para anemia por episodio adicional de diarrea grave</t>
  </si>
  <si>
    <t>Para anemia por episodio adicional de diarrea grave - inferior</t>
  </si>
  <si>
    <t>Para anemia por episodio adicional de diarrea grave - superior</t>
  </si>
  <si>
    <t>Dada la baja talla previa  (HAZ &lt; -2 en la banda de edad anterior)</t>
  </si>
  <si>
    <t>Dada a baja talla previa (HAZ &lt; -2 en la banda de edad anterior) - inferior</t>
  </si>
  <si>
    <t>Dada la baja talla previa (HAZ &lt; -2 en la banda de edad anterior) - superior</t>
  </si>
  <si>
    <t>Método madre canguro - inferior</t>
  </si>
  <si>
    <t>Método madre canguro - superior</t>
  </si>
  <si>
    <t>Suplementos nutricionales a base de lípidos: más bajos</t>
  </si>
  <si>
    <t>Suplementos nutricionales a base de lípidos - superior</t>
  </si>
  <si>
    <t>Razón de momios de lactancia materna adecuada por programa</t>
  </si>
  <si>
    <t>Razón de momios de lactancia materna adecuada por programa - inferior</t>
  </si>
  <si>
    <t>Razón de momios de lactancia materna adecuada por programa - superior</t>
  </si>
  <si>
    <t>Razón de momios para el espaciamiento óptimo de los nacimientos por programa</t>
  </si>
  <si>
    <t>Razón de momios para el espaciamiento óptimo de los nacimientos por programa - inferior</t>
  </si>
  <si>
    <t>Razón de momios para el espaciamiento óptimo de los nacimientos por programa - superior</t>
  </si>
  <si>
    <t>Razón de momios de baja talla o retraso en el crecimiento</t>
  </si>
  <si>
    <t>Otras razones de momios</t>
  </si>
  <si>
    <t>Suministro público de alimentos complementarios - inferior</t>
  </si>
  <si>
    <t>Suministro público de alimentos complementarios - superior</t>
  </si>
  <si>
    <t>Suplementación con zinc - inferior</t>
  </si>
  <si>
    <t>Suplementación con zinc- superior</t>
  </si>
  <si>
    <t>Suplementos nutricionales a base de lípidos en pequeñas cantidades: lower</t>
  </si>
  <si>
    <t>Suplementos nutricionales a base de lípidos en pequeñas cantidades - superior</t>
  </si>
  <si>
    <t>fracción afectada</t>
  </si>
  <si>
    <t>efectividad</t>
  </si>
  <si>
    <t>Razón de momios de ser anémico cuando está cubierto por la intervención</t>
  </si>
  <si>
    <t>Razón de momios de ser anémico cuando está cubierto por la intervención-menor</t>
  </si>
  <si>
    <t>Razón de momios de ser anémico cuando está cubierto por la intervención - superior</t>
  </si>
  <si>
    <t>Riesgos relativos de anemia cuando está cubierto por la intervención</t>
  </si>
  <si>
    <t>Riesgos relativos de anemia cuando está cubierto por la intervención - inferior</t>
  </si>
  <si>
    <t>Riesgos relativos de anemia cuando está cubierto por la intervención - superior</t>
  </si>
  <si>
    <t>Límite inferior</t>
  </si>
  <si>
    <t>Razón de momios de MAM cuando está cubierto por el programa</t>
  </si>
  <si>
    <t>Razón de momios de MAM cuando está cubierto por el programa - inferior</t>
  </si>
  <si>
    <t>Razón de momios de MAM cuando está cubierto por el programaa - superior</t>
  </si>
  <si>
    <t>Razón de momios de MAS cuando está cubierto por el programa</t>
  </si>
  <si>
    <t>Razón de momios de MAS cuando está cubierto por el programa - inferior</t>
  </si>
  <si>
    <t>Razón de momios de MAS cuando está cubierto por el programa - superior</t>
  </si>
  <si>
    <t>Límite superior</t>
  </si>
  <si>
    <t>Fracción afectada</t>
  </si>
  <si>
    <t>Efectividad en incidencia</t>
  </si>
  <si>
    <t>Efectividad en mortalidad</t>
  </si>
  <si>
    <t>Condición objetivo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</si>
</sst>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abSelected="1"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19</v>
      </c>
      <c r="B1" s="29" t="s">
        <v>0</v>
      </c>
      <c r="C1" s="29" t="s">
        <v>24</v>
      </c>
    </row>
    <row r="2" spans="1:3" ht="15.9" customHeight="1" x14ac:dyDescent="0.3">
      <c r="A2" s="8" t="s">
        <v>55</v>
      </c>
      <c r="B2" s="29"/>
      <c r="C2" s="29"/>
    </row>
    <row r="3" spans="1:3" ht="15.9" customHeight="1" x14ac:dyDescent="0.3">
      <c r="A3" s="1"/>
      <c r="B3" s="5" t="s">
        <v>18</v>
      </c>
      <c r="C3" s="41">
        <v>2024</v>
      </c>
    </row>
    <row r="4" spans="1:3" ht="15.9" customHeight="1" x14ac:dyDescent="0.3">
      <c r="A4" s="1"/>
      <c r="B4" s="5" t="s">
        <v>26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50</v>
      </c>
    </row>
    <row r="7" spans="1:3" ht="15" customHeight="1" x14ac:dyDescent="0.25">
      <c r="B7" s="11" t="s">
        <v>23</v>
      </c>
      <c r="C7" s="43">
        <v>3853603.25</v>
      </c>
    </row>
    <row r="8" spans="1:3" ht="15" customHeight="1" x14ac:dyDescent="0.25">
      <c r="B8" s="5" t="s">
        <v>44</v>
      </c>
      <c r="C8" s="44">
        <v>0.621</v>
      </c>
    </row>
    <row r="9" spans="1:3" ht="15" customHeight="1" x14ac:dyDescent="0.25">
      <c r="B9" s="5" t="s">
        <v>43</v>
      </c>
      <c r="C9" s="45">
        <v>0.01</v>
      </c>
    </row>
    <row r="10" spans="1:3" ht="15" customHeight="1" x14ac:dyDescent="0.25">
      <c r="B10" s="5" t="s">
        <v>56</v>
      </c>
      <c r="C10" s="45">
        <v>0.90041511535644503</v>
      </c>
    </row>
    <row r="11" spans="1:3" ht="15" customHeight="1" x14ac:dyDescent="0.25">
      <c r="B11" s="5" t="s">
        <v>49</v>
      </c>
      <c r="C11" s="45">
        <v>1</v>
      </c>
    </row>
    <row r="12" spans="1:3" ht="15" customHeight="1" x14ac:dyDescent="0.25">
      <c r="B12" s="5" t="s">
        <v>41</v>
      </c>
      <c r="C12" s="45">
        <v>1</v>
      </c>
    </row>
    <row r="13" spans="1:3" ht="15" customHeight="1" x14ac:dyDescent="0.25">
      <c r="B13" s="5" t="s">
        <v>62</v>
      </c>
      <c r="C13" s="45">
        <v>0.249</v>
      </c>
    </row>
    <row r="14" spans="1:3" ht="15" customHeight="1" x14ac:dyDescent="0.25">
      <c r="B14" s="8"/>
    </row>
    <row r="15" spans="1:3" ht="15" customHeight="1" x14ac:dyDescent="0.3">
      <c r="A15" s="8" t="s">
        <v>28</v>
      </c>
      <c r="B15" s="14"/>
      <c r="C15" s="3"/>
    </row>
    <row r="16" spans="1:3" ht="15" customHeight="1" x14ac:dyDescent="0.25">
      <c r="B16" s="5" t="s">
        <v>33</v>
      </c>
      <c r="C16" s="45">
        <v>0.1</v>
      </c>
    </row>
    <row r="17" spans="1:3" ht="15" customHeight="1" x14ac:dyDescent="0.25">
      <c r="B17" s="5" t="s">
        <v>30</v>
      </c>
      <c r="C17" s="45">
        <v>0.01</v>
      </c>
    </row>
    <row r="18" spans="1:3" ht="15" customHeight="1" x14ac:dyDescent="0.25">
      <c r="B18" s="5" t="s">
        <v>31</v>
      </c>
      <c r="C18" s="45">
        <v>0.98</v>
      </c>
    </row>
    <row r="19" spans="1:3" ht="15" customHeight="1" x14ac:dyDescent="0.25">
      <c r="B19" s="5" t="s">
        <v>29</v>
      </c>
      <c r="C19" s="45">
        <v>0.01</v>
      </c>
    </row>
    <row r="20" spans="1:3" ht="15" customHeight="1" x14ac:dyDescent="0.25">
      <c r="B20" s="5" t="s">
        <v>34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12</v>
      </c>
    </row>
    <row r="23" spans="1:3" ht="15" customHeight="1" x14ac:dyDescent="0.25">
      <c r="B23" s="15" t="s">
        <v>45</v>
      </c>
      <c r="C23" s="45">
        <v>9.3399999999999997E-2</v>
      </c>
    </row>
    <row r="24" spans="1:3" ht="15" customHeight="1" x14ac:dyDescent="0.25">
      <c r="B24" s="15" t="s">
        <v>46</v>
      </c>
      <c r="C24" s="45">
        <v>0.65379999999999994</v>
      </c>
    </row>
    <row r="25" spans="1:3" ht="15" customHeight="1" x14ac:dyDescent="0.25">
      <c r="B25" s="15" t="s">
        <v>47</v>
      </c>
      <c r="C25" s="45">
        <v>0.23599999999999999</v>
      </c>
    </row>
    <row r="26" spans="1:3" ht="15" customHeight="1" x14ac:dyDescent="0.25">
      <c r="B26" s="15" t="s">
        <v>48</v>
      </c>
      <c r="C26" s="45">
        <v>1.6799999999999999E-2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22</v>
      </c>
      <c r="B28" s="15"/>
      <c r="C28" s="15"/>
    </row>
    <row r="29" spans="1:3" ht="14.25" customHeight="1" x14ac:dyDescent="0.25">
      <c r="B29" s="25" t="s">
        <v>27</v>
      </c>
      <c r="C29" s="45">
        <v>0.305826683497959</v>
      </c>
    </row>
    <row r="30" spans="1:3" ht="14.25" customHeight="1" x14ac:dyDescent="0.25">
      <c r="B30" s="25" t="s">
        <v>63</v>
      </c>
      <c r="C30" s="99">
        <v>8.0334841914884408E-2</v>
      </c>
    </row>
    <row r="31" spans="1:3" ht="14.25" customHeight="1" x14ac:dyDescent="0.25">
      <c r="B31" s="25" t="s">
        <v>10</v>
      </c>
      <c r="C31" s="99">
        <v>0.12438567345943199</v>
      </c>
    </row>
    <row r="32" spans="1:3" ht="14.25" customHeight="1" x14ac:dyDescent="0.25">
      <c r="B32" s="25" t="s">
        <v>11</v>
      </c>
      <c r="C32" s="99">
        <v>0.48945280112772499</v>
      </c>
    </row>
    <row r="33" spans="1:5" ht="13" customHeight="1" x14ac:dyDescent="0.25">
      <c r="B33" s="27" t="s">
        <v>60</v>
      </c>
      <c r="C33" s="48">
        <f>SUM(C29:C32)</f>
        <v>1.0000000000000004</v>
      </c>
    </row>
    <row r="34" spans="1:5" ht="15" customHeight="1" x14ac:dyDescent="0.25"/>
    <row r="35" spans="1:5" ht="15" customHeight="1" x14ac:dyDescent="0.3">
      <c r="A35" s="4" t="s">
        <v>20</v>
      </c>
    </row>
    <row r="36" spans="1:5" ht="15" customHeight="1" x14ac:dyDescent="0.25">
      <c r="A36" s="8" t="s">
        <v>37</v>
      </c>
      <c r="B36" s="5"/>
    </row>
    <row r="37" spans="1:5" ht="15" customHeight="1" x14ac:dyDescent="0.25">
      <c r="B37" s="11" t="s">
        <v>38</v>
      </c>
      <c r="C37" s="43">
        <v>7.6795799999999996</v>
      </c>
    </row>
    <row r="38" spans="1:5" ht="15" customHeight="1" x14ac:dyDescent="0.25">
      <c r="B38" s="11" t="s">
        <v>35</v>
      </c>
      <c r="C38" s="43">
        <v>12.565189999999999</v>
      </c>
      <c r="D38" s="12"/>
      <c r="E38" s="13"/>
    </row>
    <row r="39" spans="1:5" ht="15" customHeight="1" x14ac:dyDescent="0.25">
      <c r="B39" s="11" t="s">
        <v>61</v>
      </c>
      <c r="C39" s="43">
        <v>14.06606</v>
      </c>
      <c r="D39" s="12"/>
      <c r="E39" s="12"/>
    </row>
    <row r="40" spans="1:5" ht="15" customHeight="1" x14ac:dyDescent="0.25">
      <c r="B40" s="11" t="s">
        <v>36</v>
      </c>
      <c r="C40" s="100">
        <v>0.3</v>
      </c>
    </row>
    <row r="41" spans="1:5" ht="15" customHeight="1" x14ac:dyDescent="0.25">
      <c r="B41" s="11" t="s">
        <v>32</v>
      </c>
      <c r="C41" s="45">
        <v>0.12</v>
      </c>
    </row>
    <row r="42" spans="1:5" ht="15" customHeight="1" x14ac:dyDescent="0.25">
      <c r="B42" s="11" t="s">
        <v>57</v>
      </c>
      <c r="C42" s="43">
        <v>5.8695899999999996</v>
      </c>
    </row>
    <row r="43" spans="1:5" ht="15.75" customHeight="1" x14ac:dyDescent="0.25">
      <c r="D43" s="12"/>
    </row>
    <row r="44" spans="1:5" ht="15.75" customHeight="1" x14ac:dyDescent="0.25">
      <c r="A44" s="8" t="s">
        <v>21</v>
      </c>
      <c r="D44" s="12"/>
    </row>
    <row r="45" spans="1:5" ht="15.75" customHeight="1" x14ac:dyDescent="0.25">
      <c r="B45" s="11" t="s">
        <v>52</v>
      </c>
      <c r="C45" s="45">
        <v>5.9385999999999996E-3</v>
      </c>
      <c r="D45" s="12"/>
    </row>
    <row r="46" spans="1:5" ht="15.75" customHeight="1" x14ac:dyDescent="0.25">
      <c r="B46" s="11" t="s">
        <v>51</v>
      </c>
      <c r="C46" s="45">
        <v>6.3809699999999997E-2</v>
      </c>
      <c r="D46" s="12"/>
    </row>
    <row r="47" spans="1:5" ht="15.75" customHeight="1" x14ac:dyDescent="0.25">
      <c r="B47" s="11" t="s">
        <v>59</v>
      </c>
      <c r="C47" s="45">
        <v>7.5353900000000001E-2</v>
      </c>
      <c r="D47" s="12"/>
      <c r="E47" s="13"/>
    </row>
    <row r="48" spans="1:5" ht="15" customHeight="1" x14ac:dyDescent="0.25">
      <c r="B48" s="11" t="s">
        <v>58</v>
      </c>
      <c r="C48" s="46">
        <v>0.85489779999999993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25</v>
      </c>
      <c r="D50" s="12"/>
    </row>
    <row r="51" spans="1:4" ht="15.75" customHeight="1" x14ac:dyDescent="0.25">
      <c r="B51" s="11" t="s">
        <v>17</v>
      </c>
      <c r="C51" s="100">
        <v>2.8</v>
      </c>
      <c r="D51" s="12"/>
    </row>
    <row r="52" spans="1:4" ht="15" customHeight="1" x14ac:dyDescent="0.25">
      <c r="B52" s="11" t="s">
        <v>13</v>
      </c>
      <c r="C52" s="100">
        <v>2.8</v>
      </c>
    </row>
    <row r="53" spans="1:4" ht="15.75" customHeight="1" x14ac:dyDescent="0.25">
      <c r="B53" s="11" t="s">
        <v>16</v>
      </c>
      <c r="C53" s="100">
        <v>2.8</v>
      </c>
    </row>
    <row r="54" spans="1:4" ht="15.75" customHeight="1" x14ac:dyDescent="0.25">
      <c r="B54" s="11" t="s">
        <v>14</v>
      </c>
      <c r="C54" s="100">
        <v>2.8</v>
      </c>
    </row>
    <row r="55" spans="1:4" ht="15.75" customHeight="1" x14ac:dyDescent="0.25">
      <c r="B55" s="11" t="s">
        <v>15</v>
      </c>
      <c r="C55" s="100">
        <v>2.8</v>
      </c>
    </row>
    <row r="57" spans="1:4" ht="15.75" customHeight="1" x14ac:dyDescent="0.25">
      <c r="A57" s="8" t="s">
        <v>39</v>
      </c>
    </row>
    <row r="58" spans="1:4" ht="15.75" customHeight="1" x14ac:dyDescent="0.25">
      <c r="B58" s="5" t="s">
        <v>42</v>
      </c>
      <c r="C58" s="45">
        <v>1.6428571428571431E-2</v>
      </c>
    </row>
    <row r="59" spans="1:4" ht="15.75" customHeight="1" x14ac:dyDescent="0.25">
      <c r="B59" s="11" t="s">
        <v>40</v>
      </c>
      <c r="C59" s="45">
        <v>0.59351200000000004</v>
      </c>
    </row>
    <row r="60" spans="1:4" ht="15.75" customHeight="1" x14ac:dyDescent="0.25">
      <c r="B60" s="11" t="s">
        <v>54</v>
      </c>
      <c r="C60" s="45">
        <v>4.5999999999999999E-2</v>
      </c>
    </row>
    <row r="61" spans="1:4" ht="15.75" customHeight="1" x14ac:dyDescent="0.25">
      <c r="B61" s="11" t="s">
        <v>53</v>
      </c>
      <c r="C61" s="45">
        <v>1.4E-2</v>
      </c>
    </row>
    <row r="62" spans="1:4" ht="15.75" customHeight="1" x14ac:dyDescent="0.25">
      <c r="B62" s="11" t="s">
        <v>64</v>
      </c>
      <c r="C62" s="44">
        <v>5.2605475999999901E-2</v>
      </c>
    </row>
    <row r="63" spans="1:4" ht="15.75" customHeight="1" x14ac:dyDescent="0.3">
      <c r="A63" s="4"/>
    </row>
  </sheetData>
  <sheetProtection algorithmName="SHA-512" hashValue="45i2DmOBcT+6Yo+OIyXkgZNqVqV7/slBxayolkovW7PJ1PmqiXCZjk7d9LCAZ2S1nqnymNwb5p+M76Kc+vi5AA==" saltValue="aAyTvdl4Supsl2qMGvz5C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73</v>
      </c>
      <c r="B1" s="20" t="s">
        <v>66</v>
      </c>
      <c r="C1" s="18" t="s">
        <v>68</v>
      </c>
      <c r="D1" s="18" t="s">
        <v>69</v>
      </c>
      <c r="E1" s="18" t="s">
        <v>70</v>
      </c>
      <c r="F1" s="18" t="s">
        <v>71</v>
      </c>
      <c r="G1" s="18" t="s">
        <v>67</v>
      </c>
      <c r="H1" s="18" t="s">
        <v>65</v>
      </c>
      <c r="I1" s="18" t="s">
        <v>72</v>
      </c>
    </row>
    <row r="2" spans="1:9" ht="15.75" customHeight="1" x14ac:dyDescent="0.25">
      <c r="A2" s="5">
        <f>start_year</f>
        <v>2024</v>
      </c>
      <c r="B2" s="49">
        <v>732525</v>
      </c>
      <c r="C2" s="49">
        <v>1678074.5</v>
      </c>
      <c r="D2" s="49">
        <v>2625416.5</v>
      </c>
      <c r="E2" s="49">
        <v>2937205</v>
      </c>
      <c r="F2" s="49">
        <v>1953296</v>
      </c>
      <c r="G2" s="17">
        <f t="shared" ref="G2:G13" si="0">C2+D2+E2+F2</f>
        <v>9193992</v>
      </c>
      <c r="H2" s="17">
        <f t="shared" ref="H2:H13" si="1">(B2 + stillbirth*B2/(1000-stillbirth))/(1-abortion)</f>
        <v>837329.55390356958</v>
      </c>
      <c r="I2" s="17">
        <f t="shared" ref="I2:I13" si="2">G2-H2</f>
        <v>8356662.4460964305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714952</v>
      </c>
      <c r="C3" s="50">
        <v>1727863.5</v>
      </c>
      <c r="D3" s="50">
        <v>2576514.5</v>
      </c>
      <c r="E3" s="50">
        <v>2959064</v>
      </c>
      <c r="F3" s="50">
        <v>2010970.5</v>
      </c>
      <c r="G3" s="17">
        <f t="shared" si="0"/>
        <v>9274412.5</v>
      </c>
      <c r="H3" s="17">
        <f t="shared" si="1"/>
        <v>817242.33196473133</v>
      </c>
      <c r="I3" s="17">
        <f t="shared" si="2"/>
        <v>8457170.1680352688</v>
      </c>
    </row>
    <row r="4" spans="1:9" ht="15.75" customHeight="1" x14ac:dyDescent="0.25">
      <c r="A4" s="5">
        <f t="shared" si="3"/>
        <v>2026</v>
      </c>
      <c r="B4" s="49">
        <v>698119</v>
      </c>
      <c r="C4" s="50">
        <v>1772315</v>
      </c>
      <c r="D4" s="50">
        <v>2541203</v>
      </c>
      <c r="E4" s="50">
        <v>2963134.5</v>
      </c>
      <c r="F4" s="50">
        <v>2076009.5</v>
      </c>
      <c r="G4" s="17">
        <f t="shared" si="0"/>
        <v>9352662</v>
      </c>
      <c r="H4" s="17">
        <f t="shared" si="1"/>
        <v>798000.9840505186</v>
      </c>
      <c r="I4" s="17">
        <f t="shared" si="2"/>
        <v>8554661.0159494821</v>
      </c>
    </row>
    <row r="5" spans="1:9" ht="15.75" customHeight="1" x14ac:dyDescent="0.25">
      <c r="A5" s="5">
        <f t="shared" si="3"/>
        <v>2027</v>
      </c>
      <c r="B5" s="49">
        <v>684830</v>
      </c>
      <c r="C5" s="50">
        <v>1811713.5</v>
      </c>
      <c r="D5" s="50">
        <v>2530522.5</v>
      </c>
      <c r="E5" s="50">
        <v>2949002</v>
      </c>
      <c r="F5" s="50">
        <v>2147697</v>
      </c>
      <c r="G5" s="17">
        <f t="shared" si="0"/>
        <v>9438935</v>
      </c>
      <c r="H5" s="17">
        <f t="shared" si="1"/>
        <v>782810.68687045702</v>
      </c>
      <c r="I5" s="17">
        <f t="shared" si="2"/>
        <v>8656124.3131295424</v>
      </c>
    </row>
    <row r="6" spans="1:9" ht="15.75" customHeight="1" x14ac:dyDescent="0.25">
      <c r="A6" s="5">
        <f t="shared" si="3"/>
        <v>2028</v>
      </c>
      <c r="B6" s="49">
        <v>678347</v>
      </c>
      <c r="C6" s="50">
        <v>1847655</v>
      </c>
      <c r="D6" s="50">
        <v>2549681</v>
      </c>
      <c r="E6" s="50">
        <v>2920168.5</v>
      </c>
      <c r="F6" s="50">
        <v>2222669.5</v>
      </c>
      <c r="G6" s="17">
        <f t="shared" si="0"/>
        <v>9540174</v>
      </c>
      <c r="H6" s="17">
        <f t="shared" si="1"/>
        <v>775400.14457093575</v>
      </c>
      <c r="I6" s="17">
        <f t="shared" si="2"/>
        <v>8764773.8554290645</v>
      </c>
    </row>
    <row r="7" spans="1:9" ht="15.75" customHeight="1" x14ac:dyDescent="0.25">
      <c r="A7" s="5">
        <f t="shared" si="3"/>
        <v>2029</v>
      </c>
      <c r="B7" s="49">
        <v>672981</v>
      </c>
      <c r="C7" s="50">
        <v>1882559</v>
      </c>
      <c r="D7" s="50">
        <v>2592138</v>
      </c>
      <c r="E7" s="50">
        <v>2879461</v>
      </c>
      <c r="F7" s="50">
        <v>2292972</v>
      </c>
      <c r="G7" s="17">
        <f t="shared" si="0"/>
        <v>9647130</v>
      </c>
      <c r="H7" s="17">
        <f t="shared" si="1"/>
        <v>769266.4148193961</v>
      </c>
      <c r="I7" s="17">
        <f t="shared" si="2"/>
        <v>8877863.585180603</v>
      </c>
    </row>
    <row r="8" spans="1:9" ht="15.75" customHeight="1" x14ac:dyDescent="0.25">
      <c r="A8" s="5">
        <f t="shared" si="3"/>
        <v>2030</v>
      </c>
      <c r="B8" s="49">
        <v>671944</v>
      </c>
      <c r="C8" s="50">
        <v>1919143</v>
      </c>
      <c r="D8" s="50">
        <v>2644051</v>
      </c>
      <c r="E8" s="50">
        <v>2827141.5</v>
      </c>
      <c r="F8" s="50">
        <v>2356372.5</v>
      </c>
      <c r="G8" s="17">
        <f t="shared" si="0"/>
        <v>9746708</v>
      </c>
      <c r="H8" s="17">
        <f t="shared" si="1"/>
        <v>768081.04811191442</v>
      </c>
      <c r="I8" s="17">
        <f t="shared" si="2"/>
        <v>8978626.9518880863</v>
      </c>
    </row>
    <row r="9" spans="1:9" ht="15.75" customHeight="1" x14ac:dyDescent="0.25">
      <c r="A9" s="5">
        <f t="shared" si="3"/>
        <v>2031</v>
      </c>
      <c r="B9" s="49">
        <v>668197</v>
      </c>
      <c r="C9" s="50">
        <v>1958617.5</v>
      </c>
      <c r="D9" s="50">
        <v>2696658.5</v>
      </c>
      <c r="E9" s="50">
        <v>2765324</v>
      </c>
      <c r="F9" s="50">
        <v>2419521.5</v>
      </c>
      <c r="G9" s="17">
        <f t="shared" si="0"/>
        <v>9840121.5</v>
      </c>
      <c r="H9" s="17">
        <f t="shared" si="1"/>
        <v>763797.95355749433</v>
      </c>
      <c r="I9" s="17">
        <f t="shared" si="2"/>
        <v>9076323.546442505</v>
      </c>
    </row>
    <row r="10" spans="1:9" ht="15.75" customHeight="1" x14ac:dyDescent="0.25">
      <c r="A10" s="5">
        <f t="shared" si="3"/>
        <v>2032</v>
      </c>
      <c r="B10" s="49">
        <v>664696</v>
      </c>
      <c r="C10" s="50">
        <v>2009074.5</v>
      </c>
      <c r="D10" s="50">
        <v>2750849.5</v>
      </c>
      <c r="E10" s="50">
        <v>2702334</v>
      </c>
      <c r="F10" s="50">
        <v>2484054</v>
      </c>
      <c r="G10" s="17">
        <f t="shared" si="0"/>
        <v>9946312</v>
      </c>
      <c r="H10" s="17">
        <f t="shared" si="1"/>
        <v>759796.05496261152</v>
      </c>
      <c r="I10" s="17">
        <f t="shared" si="2"/>
        <v>9186515.9450373892</v>
      </c>
    </row>
    <row r="11" spans="1:9" ht="15.75" customHeight="1" x14ac:dyDescent="0.25">
      <c r="A11" s="5">
        <f t="shared" si="3"/>
        <v>2033</v>
      </c>
      <c r="B11" s="49">
        <v>667198</v>
      </c>
      <c r="C11" s="50">
        <v>2068905.5</v>
      </c>
      <c r="D11" s="50">
        <v>2815605.5</v>
      </c>
      <c r="E11" s="50">
        <v>2640574.5</v>
      </c>
      <c r="F11" s="50">
        <v>2541504</v>
      </c>
      <c r="G11" s="17">
        <f t="shared" si="0"/>
        <v>10066589.5</v>
      </c>
      <c r="H11" s="17">
        <f t="shared" si="1"/>
        <v>762656.02362425008</v>
      </c>
      <c r="I11" s="17">
        <f t="shared" si="2"/>
        <v>9303933.4763757493</v>
      </c>
    </row>
    <row r="12" spans="1:9" ht="15.75" customHeight="1" x14ac:dyDescent="0.25">
      <c r="A12" s="5">
        <f t="shared" si="3"/>
        <v>2034</v>
      </c>
      <c r="B12" s="49">
        <v>669130</v>
      </c>
      <c r="C12" s="50">
        <v>2129417.5</v>
      </c>
      <c r="D12" s="50">
        <v>2892515.5</v>
      </c>
      <c r="E12" s="50">
        <v>2583608.5</v>
      </c>
      <c r="F12" s="50">
        <v>2584338</v>
      </c>
      <c r="G12" s="17">
        <f t="shared" si="0"/>
        <v>10189879.5</v>
      </c>
      <c r="H12" s="17">
        <f t="shared" si="1"/>
        <v>764864.4406723259</v>
      </c>
      <c r="I12" s="17">
        <f t="shared" si="2"/>
        <v>9425015.0593276732</v>
      </c>
    </row>
    <row r="13" spans="1:9" ht="15.75" customHeight="1" x14ac:dyDescent="0.25">
      <c r="A13" s="5">
        <f t="shared" si="3"/>
        <v>2035</v>
      </c>
      <c r="B13" s="49">
        <v>671915</v>
      </c>
      <c r="C13" s="50">
        <v>2180307</v>
      </c>
      <c r="D13" s="50">
        <v>2975157.5</v>
      </c>
      <c r="E13" s="50">
        <v>2535472.5</v>
      </c>
      <c r="F13" s="50">
        <v>2610650</v>
      </c>
      <c r="G13" s="17">
        <f t="shared" si="0"/>
        <v>10301587</v>
      </c>
      <c r="H13" s="17">
        <f t="shared" si="1"/>
        <v>768047.89899473323</v>
      </c>
      <c r="I13" s="17">
        <f t="shared" si="2"/>
        <v>9533539.1010052674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gTVUEi5S5nIIF7yuHH7rc0KBwK/VHQqbDlvuG4hMjKSl0GtnlYFB9cMlTTY0zj+/TgHrM+GwbOFzywItMMtGyg==" saltValue="4CpFPhvzYT5FC9xFyfDqOA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"Porcentaje de muertes en el año de referencia ("&amp;start_year&amp;") atribuible a la causa"</f>
        <v>Porcentaje de muertes en el año de referencia (2024) atribuible a la causa</v>
      </c>
      <c r="B1" s="29"/>
      <c r="C1" s="29"/>
      <c r="D1" s="29"/>
      <c r="E1" s="29"/>
      <c r="F1" s="29"/>
    </row>
    <row r="2" spans="1:8" ht="27.75" customHeight="1" x14ac:dyDescent="0.3">
      <c r="A2" t="s">
        <v>1</v>
      </c>
      <c r="B2" s="29" t="s">
        <v>82</v>
      </c>
      <c r="C2" s="29" t="s">
        <v>78</v>
      </c>
      <c r="D2" s="29"/>
      <c r="E2" s="29"/>
      <c r="F2" s="29"/>
      <c r="G2" s="29"/>
    </row>
    <row r="3" spans="1:8" ht="15.75" customHeight="1" x14ac:dyDescent="0.25">
      <c r="B3" s="19" t="s">
        <v>93</v>
      </c>
      <c r="C3" s="55">
        <v>4.4007592784674611E-4</v>
      </c>
    </row>
    <row r="4" spans="1:8" ht="15.75" customHeight="1" x14ac:dyDescent="0.25">
      <c r="B4" s="19" t="s">
        <v>97</v>
      </c>
      <c r="C4" s="101">
        <v>5.7395460468312433E-2</v>
      </c>
    </row>
    <row r="5" spans="1:8" ht="15.75" customHeight="1" x14ac:dyDescent="0.25">
      <c r="B5" s="19" t="s">
        <v>95</v>
      </c>
      <c r="C5" s="101">
        <v>4.4677456143148997E-2</v>
      </c>
    </row>
    <row r="6" spans="1:8" ht="15.75" customHeight="1" x14ac:dyDescent="0.25">
      <c r="B6" s="19" t="s">
        <v>91</v>
      </c>
      <c r="C6" s="101">
        <v>0.17366390058463799</v>
      </c>
    </row>
    <row r="7" spans="1:8" ht="15.75" customHeight="1" x14ac:dyDescent="0.25">
      <c r="B7" s="19" t="s">
        <v>96</v>
      </c>
      <c r="C7" s="101">
        <v>0.43792874529763209</v>
      </c>
    </row>
    <row r="8" spans="1:8" ht="15.75" customHeight="1" x14ac:dyDescent="0.25">
      <c r="B8" s="19" t="s">
        <v>98</v>
      </c>
      <c r="C8" s="101">
        <v>5.1597177634383427E-5</v>
      </c>
    </row>
    <row r="9" spans="1:8" ht="15.75" customHeight="1" x14ac:dyDescent="0.25">
      <c r="B9" s="19" t="s">
        <v>92</v>
      </c>
      <c r="C9" s="101">
        <v>0.2093974459597063</v>
      </c>
    </row>
    <row r="10" spans="1:8" ht="15.75" customHeight="1" x14ac:dyDescent="0.25">
      <c r="B10" s="19" t="s">
        <v>94</v>
      </c>
      <c r="C10" s="101">
        <v>7.6445318441081156E-2</v>
      </c>
    </row>
    <row r="11" spans="1:8" ht="15.75" customHeight="1" x14ac:dyDescent="0.25">
      <c r="B11" s="27" t="s">
        <v>60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83</v>
      </c>
      <c r="B13" s="29" t="s">
        <v>82</v>
      </c>
      <c r="C13" s="102" t="s">
        <v>74</v>
      </c>
      <c r="D13" s="102" t="s">
        <v>77</v>
      </c>
      <c r="E13" s="102" t="s">
        <v>75</v>
      </c>
      <c r="F13" s="102" t="s">
        <v>76</v>
      </c>
      <c r="G13" s="19"/>
    </row>
    <row r="14" spans="1:8" ht="15.75" customHeight="1" x14ac:dyDescent="0.25">
      <c r="B14" s="19" t="s">
        <v>84</v>
      </c>
      <c r="C14" s="55">
        <v>5.764566260160673E-2</v>
      </c>
      <c r="D14" s="55">
        <v>5.764566260160673E-2</v>
      </c>
      <c r="E14" s="55">
        <v>5.764566260160673E-2</v>
      </c>
      <c r="F14" s="55">
        <v>5.764566260160673E-2</v>
      </c>
    </row>
    <row r="15" spans="1:8" ht="15.75" customHeight="1" x14ac:dyDescent="0.25">
      <c r="B15" s="19" t="s">
        <v>102</v>
      </c>
      <c r="C15" s="101">
        <v>0.36879511464592329</v>
      </c>
      <c r="D15" s="101">
        <v>0.36879511464592329</v>
      </c>
      <c r="E15" s="101">
        <v>0.36879511464592329</v>
      </c>
      <c r="F15" s="101">
        <v>0.36879511464592329</v>
      </c>
    </row>
    <row r="16" spans="1:8" ht="15.75" customHeight="1" x14ac:dyDescent="0.25">
      <c r="B16" s="19" t="s">
        <v>2</v>
      </c>
      <c r="C16" s="101">
        <v>2.4413339123503991E-2</v>
      </c>
      <c r="D16" s="101">
        <v>2.4413339123503991E-2</v>
      </c>
      <c r="E16" s="101">
        <v>2.4413339123503991E-2</v>
      </c>
      <c r="F16" s="101">
        <v>2.4413339123503991E-2</v>
      </c>
    </row>
    <row r="17" spans="1:8" ht="15.75" customHeight="1" x14ac:dyDescent="0.25">
      <c r="B17" s="19" t="s">
        <v>90</v>
      </c>
      <c r="C17" s="101">
        <v>2.4697229962766711E-4</v>
      </c>
      <c r="D17" s="101">
        <v>2.4697229962766711E-4</v>
      </c>
      <c r="E17" s="101">
        <v>2.4697229962766711E-4</v>
      </c>
      <c r="F17" s="101">
        <v>2.4697229962766711E-4</v>
      </c>
    </row>
    <row r="18" spans="1:8" ht="15.75" customHeight="1" x14ac:dyDescent="0.25">
      <c r="B18" s="19" t="s">
        <v>3</v>
      </c>
      <c r="C18" s="101">
        <v>0</v>
      </c>
      <c r="D18" s="101">
        <v>0</v>
      </c>
      <c r="E18" s="101">
        <v>0</v>
      </c>
      <c r="F18" s="101">
        <v>0</v>
      </c>
    </row>
    <row r="19" spans="1:8" ht="15.75" customHeight="1" x14ac:dyDescent="0.25">
      <c r="B19" s="19" t="s">
        <v>101</v>
      </c>
      <c r="C19" s="101">
        <v>5.9231523023368969E-3</v>
      </c>
      <c r="D19" s="101">
        <v>5.9231523023368969E-3</v>
      </c>
      <c r="E19" s="101">
        <v>5.9231523023368969E-3</v>
      </c>
      <c r="F19" s="101">
        <v>5.9231523023368969E-3</v>
      </c>
    </row>
    <row r="20" spans="1:8" ht="15.75" customHeight="1" x14ac:dyDescent="0.25">
      <c r="B20" s="19" t="s">
        <v>79</v>
      </c>
      <c r="C20" s="101">
        <v>9.0116220308402023E-2</v>
      </c>
      <c r="D20" s="101">
        <v>9.0116220308402023E-2</v>
      </c>
      <c r="E20" s="101">
        <v>9.0116220308402023E-2</v>
      </c>
      <c r="F20" s="101">
        <v>9.0116220308402023E-2</v>
      </c>
    </row>
    <row r="21" spans="1:8" ht="15.75" customHeight="1" x14ac:dyDescent="0.25">
      <c r="B21" s="19" t="s">
        <v>88</v>
      </c>
      <c r="C21" s="101">
        <v>0.31442374459401951</v>
      </c>
      <c r="D21" s="101">
        <v>0.31442374459401951</v>
      </c>
      <c r="E21" s="101">
        <v>0.31442374459401951</v>
      </c>
      <c r="F21" s="101">
        <v>0.31442374459401951</v>
      </c>
    </row>
    <row r="22" spans="1:8" ht="15.75" customHeight="1" x14ac:dyDescent="0.25">
      <c r="B22" s="19" t="s">
        <v>99</v>
      </c>
      <c r="C22" s="101">
        <v>0.1384357941245801</v>
      </c>
      <c r="D22" s="101">
        <v>0.1384357941245801</v>
      </c>
      <c r="E22" s="101">
        <v>0.1384357941245801</v>
      </c>
      <c r="F22" s="101">
        <v>0.1384357941245801</v>
      </c>
    </row>
    <row r="23" spans="1:8" ht="15.75" customHeight="1" x14ac:dyDescent="0.25">
      <c r="B23" s="27" t="s">
        <v>60</v>
      </c>
      <c r="C23" s="48">
        <f>SUM(C14:C22)</f>
        <v>1.0000000000000002</v>
      </c>
      <c r="D23" s="48">
        <f>SUM(D14:D22)</f>
        <v>1.0000000000000002</v>
      </c>
      <c r="E23" s="48">
        <f>SUM(E14:E22)</f>
        <v>1.0000000000000002</v>
      </c>
      <c r="F23" s="48">
        <f>SUM(F14:F22)</f>
        <v>1.0000000000000002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104</v>
      </c>
      <c r="B25" s="29" t="s">
        <v>82</v>
      </c>
      <c r="C25" s="29" t="s">
        <v>104</v>
      </c>
      <c r="D25" s="19"/>
      <c r="E25" s="19"/>
      <c r="F25" s="19"/>
      <c r="G25" s="19"/>
      <c r="H25" s="19"/>
    </row>
    <row r="26" spans="1:8" ht="15.75" customHeight="1" x14ac:dyDescent="0.25">
      <c r="B26" s="19" t="s">
        <v>81</v>
      </c>
      <c r="C26" s="55">
        <v>6.9449472999999998E-2</v>
      </c>
    </row>
    <row r="27" spans="1:8" ht="15.75" customHeight="1" x14ac:dyDescent="0.25">
      <c r="B27" s="19" t="s">
        <v>89</v>
      </c>
      <c r="C27" s="101">
        <v>2.9846799E-2</v>
      </c>
    </row>
    <row r="28" spans="1:8" ht="15.75" customHeight="1" x14ac:dyDescent="0.25">
      <c r="B28" s="19" t="s">
        <v>103</v>
      </c>
      <c r="C28" s="101">
        <v>7.5538350000000004E-2</v>
      </c>
    </row>
    <row r="29" spans="1:8" ht="15.75" customHeight="1" x14ac:dyDescent="0.25">
      <c r="B29" s="19" t="s">
        <v>86</v>
      </c>
      <c r="C29" s="101">
        <v>0.20332114100000001</v>
      </c>
    </row>
    <row r="30" spans="1:8" ht="15.75" customHeight="1" x14ac:dyDescent="0.25">
      <c r="B30" s="19" t="s">
        <v>4</v>
      </c>
      <c r="C30" s="101">
        <v>4.5681777999999999E-2</v>
      </c>
    </row>
    <row r="31" spans="1:8" ht="15.75" customHeight="1" x14ac:dyDescent="0.25">
      <c r="B31" s="19" t="s">
        <v>80</v>
      </c>
      <c r="C31" s="101">
        <v>1.9566962E-2</v>
      </c>
    </row>
    <row r="32" spans="1:8" ht="15.75" customHeight="1" x14ac:dyDescent="0.25">
      <c r="B32" s="19" t="s">
        <v>85</v>
      </c>
      <c r="C32" s="101">
        <v>8.5306862999999997E-2</v>
      </c>
    </row>
    <row r="33" spans="2:3" ht="15.75" customHeight="1" x14ac:dyDescent="0.25">
      <c r="B33" s="19" t="s">
        <v>100</v>
      </c>
      <c r="C33" s="101">
        <v>0.392452888</v>
      </c>
    </row>
    <row r="34" spans="2:3" ht="15.75" customHeight="1" x14ac:dyDescent="0.25">
      <c r="B34" s="19" t="s">
        <v>87</v>
      </c>
      <c r="C34" s="101">
        <v>7.8835746999999998E-2</v>
      </c>
    </row>
    <row r="35" spans="2:3" ht="15.75" customHeight="1" x14ac:dyDescent="0.25">
      <c r="B35" s="27" t="s">
        <v>60</v>
      </c>
      <c r="C35" s="48">
        <f>SUM(C26:C34)</f>
        <v>1.0000000010000001</v>
      </c>
    </row>
  </sheetData>
  <sheetProtection algorithmName="SHA-512" hashValue="NbW4e/5TDjfN8DmqoaOr9rsVKn4mL2caoUNfhN+i9/hb7TMvLOuKISAAkAU7+Z2TqG/QPk+/tQ4OgEXkraww8w==" saltValue="mMDWBHGz2dHrQjgrCbmJfg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"Porcentaje de población en cada categoría en el año de referencia ("&amp;start_year&amp;")"</f>
        <v>Porcentaje de población en cada categoría en el año de referencia (2024)</v>
      </c>
      <c r="B1" s="1" t="s">
        <v>120</v>
      </c>
      <c r="C1" s="11" t="s">
        <v>78</v>
      </c>
      <c r="D1" s="11" t="s">
        <v>74</v>
      </c>
      <c r="E1" s="11" t="s">
        <v>77</v>
      </c>
      <c r="F1" s="11" t="s">
        <v>75</v>
      </c>
      <c r="G1" s="11" t="s">
        <v>76</v>
      </c>
    </row>
    <row r="2" spans="1:15" ht="15.75" customHeight="1" x14ac:dyDescent="0.25">
      <c r="A2" s="3" t="s">
        <v>121</v>
      </c>
      <c r="B2" s="5" t="s">
        <v>111</v>
      </c>
      <c r="C2" s="52">
        <f>IFERROR(1-_xlfn.NORM.DIST(_xlfn.NORM.INV(SUM(C4:C5), 0, 1) + 1, 0, 1, TRUE), "")</f>
        <v>0.75765132796850709</v>
      </c>
      <c r="D2" s="52">
        <f>IFERROR(1-_xlfn.NORM.DIST(_xlfn.NORM.INV(SUM(D4:D5), 0, 1) + 1, 0, 1, TRUE), "")</f>
        <v>0.75765132796850709</v>
      </c>
      <c r="E2" s="52">
        <f>IFERROR(1-_xlfn.NORM.DIST(_xlfn.NORM.INV(SUM(E4:E5), 0, 1) + 1, 0, 1, TRUE), "")</f>
        <v>0.84134937098361795</v>
      </c>
      <c r="F2" s="52">
        <f>IFERROR(1-_xlfn.NORM.DIST(_xlfn.NORM.INV(SUM(F4:F5), 0, 1) + 1, 0, 1, TRUE), "")</f>
        <v>0.69808734986810583</v>
      </c>
      <c r="G2" s="52">
        <f>IFERROR(1-_xlfn.NORM.DIST(_xlfn.NORM.INV(SUM(G4:G5), 0, 1) + 1, 0, 1, TRUE), "")</f>
        <v>0.66053563833455031</v>
      </c>
    </row>
    <row r="3" spans="1:15" ht="15.75" customHeight="1" x14ac:dyDescent="0.25">
      <c r="B3" s="5" t="s">
        <v>108</v>
      </c>
      <c r="C3" s="52">
        <f>IFERROR(_xlfn.NORM.DIST(_xlfn.NORM.INV(SUM(C4:C5), 0, 1) + 1, 0, 1, TRUE) - SUM(C4:C5), "")</f>
        <v>0.19766717203149292</v>
      </c>
      <c r="D3" s="52">
        <f>IFERROR(_xlfn.NORM.DIST(_xlfn.NORM.INV(SUM(D4:D5), 0, 1) + 1, 0, 1, TRUE) - SUM(D4:D5), "")</f>
        <v>0.19766717203149292</v>
      </c>
      <c r="E3" s="52">
        <f>IFERROR(_xlfn.NORM.DIST(_xlfn.NORM.INV(SUM(E4:E5), 0, 1) + 1, 0, 1, TRUE) - SUM(E4:E5), "")</f>
        <v>0.13590152901638203</v>
      </c>
      <c r="F3" s="52">
        <f>IFERROR(_xlfn.NORM.DIST(_xlfn.NORM.INV(SUM(F4:F5), 0, 1) + 1, 0, 1, TRUE) - SUM(F4:F5), "")</f>
        <v>0.23751975013189416</v>
      </c>
      <c r="G3" s="52">
        <f>IFERROR(_xlfn.NORM.DIST(_xlfn.NORM.INV(SUM(G4:G5), 0, 1) + 1, 0, 1, TRUE) - SUM(G4:G5), "")</f>
        <v>0.26077246166544965</v>
      </c>
    </row>
    <row r="4" spans="1:15" ht="15.75" customHeight="1" x14ac:dyDescent="0.25">
      <c r="B4" s="5" t="s">
        <v>110</v>
      </c>
      <c r="C4" s="45">
        <v>3.5156E-2</v>
      </c>
      <c r="D4" s="53">
        <v>3.5156E-2</v>
      </c>
      <c r="E4" s="53">
        <v>9.1557999999999987E-3</v>
      </c>
      <c r="F4" s="53">
        <v>4.33821E-2</v>
      </c>
      <c r="G4" s="53">
        <v>6.2159000000000013E-2</v>
      </c>
    </row>
    <row r="5" spans="1:15" ht="15.75" customHeight="1" x14ac:dyDescent="0.25">
      <c r="B5" s="5" t="s">
        <v>106</v>
      </c>
      <c r="C5" s="45">
        <v>9.5254999999999992E-3</v>
      </c>
      <c r="D5" s="53">
        <v>9.5254999999999992E-3</v>
      </c>
      <c r="E5" s="53">
        <v>1.3593299999999999E-2</v>
      </c>
      <c r="F5" s="53">
        <v>2.10108E-2</v>
      </c>
      <c r="G5" s="53">
        <v>1.65329E-2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122</v>
      </c>
      <c r="B8" s="5" t="s">
        <v>112</v>
      </c>
      <c r="C8" s="52">
        <f>IFERROR(1-_xlfn.NORM.DIST(_xlfn.NORM.INV(SUM(C10:C11), 0, 1) + 1, 0, 1, TRUE), "")</f>
        <v>0.57494409810404734</v>
      </c>
      <c r="D8" s="52">
        <f>IFERROR(1-_xlfn.NORM.DIST(_xlfn.NORM.INV(SUM(D10:D11), 0, 1) + 1, 0, 1, TRUE), "")</f>
        <v>0.57494409810404734</v>
      </c>
      <c r="E8" s="52">
        <f>IFERROR(1-_xlfn.NORM.DIST(_xlfn.NORM.INV(SUM(E10:E11), 0, 1) + 1, 0, 1, TRUE), "")</f>
        <v>0.8071329654504702</v>
      </c>
      <c r="F8" s="52">
        <f>IFERROR(1-_xlfn.NORM.DIST(_xlfn.NORM.INV(SUM(F10:F11), 0, 1) + 1, 0, 1, TRUE), "")</f>
        <v>0.91760446438558874</v>
      </c>
      <c r="G8" s="52">
        <f>IFERROR(1-_xlfn.NORM.DIST(_xlfn.NORM.INV(SUM(G10:G11), 0, 1) + 1, 0, 1, TRUE), "")</f>
        <v>0.89121309206922394</v>
      </c>
    </row>
    <row r="9" spans="1:15" ht="15.75" customHeight="1" x14ac:dyDescent="0.25">
      <c r="B9" s="5" t="s">
        <v>109</v>
      </c>
      <c r="C9" s="52">
        <f>IFERROR(_xlfn.NORM.DIST(_xlfn.NORM.INV(SUM(C10:C11), 0, 1) + 1, 0, 1, TRUE) - SUM(C10:C11), "")</f>
        <v>0.30783130189595265</v>
      </c>
      <c r="D9" s="52">
        <f>IFERROR(_xlfn.NORM.DIST(_xlfn.NORM.INV(SUM(D10:D11), 0, 1) + 1, 0, 1, TRUE) - SUM(D10:D11), "")</f>
        <v>0.30783130189595265</v>
      </c>
      <c r="E9" s="52">
        <f>IFERROR(_xlfn.NORM.DIST(_xlfn.NORM.INV(SUM(E10:E11), 0, 1) + 1, 0, 1, TRUE) - SUM(E10:E11), "")</f>
        <v>0.16194273454952973</v>
      </c>
      <c r="F9" s="52">
        <f>IFERROR(_xlfn.NORM.DIST(_xlfn.NORM.INV(SUM(F10:F11), 0, 1) + 1, 0, 1, TRUE) - SUM(F10:F11), "")</f>
        <v>7.3951535614411285E-2</v>
      </c>
      <c r="G9" s="52">
        <f>IFERROR(_xlfn.NORM.DIST(_xlfn.NORM.INV(SUM(G10:G11), 0, 1) + 1, 0, 1, TRUE) - SUM(G10:G11), "")</f>
        <v>9.6012607930776053E-2</v>
      </c>
    </row>
    <row r="10" spans="1:15" ht="15.75" customHeight="1" x14ac:dyDescent="0.25">
      <c r="B10" s="5" t="s">
        <v>107</v>
      </c>
      <c r="C10" s="45">
        <v>5.5227199999999997E-2</v>
      </c>
      <c r="D10" s="53">
        <v>5.5227199999999997E-2</v>
      </c>
      <c r="E10" s="53">
        <v>1.86021E-2</v>
      </c>
      <c r="F10" s="53">
        <v>5.7038999999999996E-3</v>
      </c>
      <c r="G10" s="53">
        <v>7.8141000000000009E-3</v>
      </c>
    </row>
    <row r="11" spans="1:15" ht="15.75" customHeight="1" x14ac:dyDescent="0.25">
      <c r="B11" s="5" t="s">
        <v>119</v>
      </c>
      <c r="C11" s="45">
        <v>6.1997400000000001E-2</v>
      </c>
      <c r="D11" s="53">
        <v>6.1997400000000001E-2</v>
      </c>
      <c r="E11" s="53">
        <v>1.23222E-2</v>
      </c>
      <c r="F11" s="53">
        <v>2.7401000000000001E-3</v>
      </c>
      <c r="G11" s="53">
        <v>4.9602000000000014E-3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105</v>
      </c>
      <c r="C13" s="11" t="s">
        <v>78</v>
      </c>
      <c r="D13" s="11" t="s">
        <v>74</v>
      </c>
      <c r="E13" s="11" t="s">
        <v>77</v>
      </c>
      <c r="F13" s="11" t="s">
        <v>75</v>
      </c>
      <c r="G13" s="11" t="s">
        <v>76</v>
      </c>
      <c r="H13" s="18" t="s">
        <v>113</v>
      </c>
      <c r="I13" s="18" t="s">
        <v>114</v>
      </c>
      <c r="J13" s="18" t="s">
        <v>115</v>
      </c>
      <c r="K13" s="18" t="s">
        <v>116</v>
      </c>
      <c r="L13" s="18" t="s">
        <v>68</v>
      </c>
      <c r="M13" s="18" t="s">
        <v>69</v>
      </c>
      <c r="N13" s="18" t="s">
        <v>70</v>
      </c>
      <c r="O13" s="18" t="s">
        <v>71</v>
      </c>
    </row>
    <row r="14" spans="1:15" ht="15.75" customHeight="1" x14ac:dyDescent="0.25">
      <c r="B14" s="11" t="s">
        <v>117</v>
      </c>
      <c r="C14" s="51">
        <v>0.57191562900000004</v>
      </c>
      <c r="D14" s="54">
        <v>0.54790967291399995</v>
      </c>
      <c r="E14" s="54">
        <v>0.54790967291399995</v>
      </c>
      <c r="F14" s="54">
        <v>0.52659723782500001</v>
      </c>
      <c r="G14" s="54">
        <v>0.52659723782500001</v>
      </c>
      <c r="H14" s="45">
        <v>0.249</v>
      </c>
      <c r="I14" s="55">
        <v>0.249</v>
      </c>
      <c r="J14" s="55">
        <v>0.249</v>
      </c>
      <c r="K14" s="55">
        <v>0.249</v>
      </c>
      <c r="L14" s="45">
        <v>0.36799999999999999</v>
      </c>
      <c r="M14" s="55">
        <v>0.36799999999999999</v>
      </c>
      <c r="N14" s="55">
        <v>0.36799999999999999</v>
      </c>
      <c r="O14" s="55">
        <v>0.36799999999999999</v>
      </c>
    </row>
    <row r="15" spans="1:15" ht="15.75" customHeight="1" x14ac:dyDescent="0.25">
      <c r="B15" s="11" t="s">
        <v>118</v>
      </c>
      <c r="C15" s="52">
        <f t="shared" ref="C15:O15" si="0">iron_deficiency_anaemia*C14</f>
        <v>0.33943878879904804</v>
      </c>
      <c r="D15" s="52">
        <f t="shared" si="0"/>
        <v>0.32519096579053397</v>
      </c>
      <c r="E15" s="52">
        <f t="shared" si="0"/>
        <v>0.32519096579053397</v>
      </c>
      <c r="F15" s="52">
        <f t="shared" si="0"/>
        <v>0.31254177981599141</v>
      </c>
      <c r="G15" s="52">
        <f t="shared" si="0"/>
        <v>0.31254177981599141</v>
      </c>
      <c r="H15" s="52">
        <f t="shared" si="0"/>
        <v>0.14778448800000002</v>
      </c>
      <c r="I15" s="52">
        <f t="shared" si="0"/>
        <v>0.14778448800000002</v>
      </c>
      <c r="J15" s="52">
        <f t="shared" si="0"/>
        <v>0.14778448800000002</v>
      </c>
      <c r="K15" s="52">
        <f t="shared" si="0"/>
        <v>0.14778448800000002</v>
      </c>
      <c r="L15" s="52">
        <f t="shared" si="0"/>
        <v>0.218412416</v>
      </c>
      <c r="M15" s="52">
        <f t="shared" si="0"/>
        <v>0.218412416</v>
      </c>
      <c r="N15" s="52">
        <f t="shared" si="0"/>
        <v>0.218412416</v>
      </c>
      <c r="O15" s="52">
        <f t="shared" si="0"/>
        <v>0.218412416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jJ4+7/7eUMLFLtL9HLiy/pTV44svemtit1lI6WS67W+SyOSa/7tgpeDKFOnYlUBJkxn+Z/rxl1SbYZiEbbDdKQ==" saltValue="GSwDZJ7+RDIHOqKV8f2ia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"Porcentaje de niños en cada categoría en el año de referencia ("&amp;start_year&amp;")"</f>
        <v>Porcentaje de niños en cada categoría en el año de referencia (2024)</v>
      </c>
      <c r="B1" s="1" t="s">
        <v>120</v>
      </c>
      <c r="C1" s="8" t="s">
        <v>78</v>
      </c>
      <c r="D1" s="8" t="s">
        <v>74</v>
      </c>
      <c r="E1" s="8" t="s">
        <v>77</v>
      </c>
      <c r="F1" s="8" t="s">
        <v>75</v>
      </c>
      <c r="G1" s="8" t="s">
        <v>76</v>
      </c>
    </row>
    <row r="2" spans="1:7" x14ac:dyDescent="0.25">
      <c r="A2" s="3" t="s">
        <v>123</v>
      </c>
      <c r="B2" s="3" t="s">
        <v>124</v>
      </c>
      <c r="C2" s="45">
        <v>0.38405719999999999</v>
      </c>
      <c r="D2" s="53">
        <v>0.2368297</v>
      </c>
      <c r="E2" s="53">
        <v>0</v>
      </c>
      <c r="F2" s="53">
        <v>0</v>
      </c>
      <c r="G2" s="53">
        <v>0</v>
      </c>
    </row>
    <row r="3" spans="1:7" x14ac:dyDescent="0.25">
      <c r="B3" s="3" t="s">
        <v>127</v>
      </c>
      <c r="C3" s="53">
        <v>0.26003510000000002</v>
      </c>
      <c r="D3" s="53">
        <v>0.27036789999999999</v>
      </c>
      <c r="E3" s="53">
        <v>0</v>
      </c>
      <c r="F3" s="53">
        <v>0</v>
      </c>
      <c r="G3" s="53">
        <v>0</v>
      </c>
    </row>
    <row r="4" spans="1:7" x14ac:dyDescent="0.25">
      <c r="B4" s="3" t="s">
        <v>126</v>
      </c>
      <c r="C4" s="53">
        <v>0.33245069999999999</v>
      </c>
      <c r="D4" s="53">
        <v>0.39943759999999989</v>
      </c>
      <c r="E4" s="53">
        <v>0.8590527</v>
      </c>
      <c r="F4" s="53">
        <v>0.64502399999999993</v>
      </c>
      <c r="G4" s="53">
        <v>0</v>
      </c>
    </row>
    <row r="5" spans="1:7" x14ac:dyDescent="0.25">
      <c r="B5" s="3" t="s">
        <v>125</v>
      </c>
      <c r="C5" s="52">
        <v>2.3456899999999999E-2</v>
      </c>
      <c r="D5" s="52">
        <v>9.3364799999999998E-2</v>
      </c>
      <c r="E5" s="52">
        <f>1-SUM(E2:E4)</f>
        <v>0.1409473</v>
      </c>
      <c r="F5" s="52">
        <f>1-SUM(F2:F4)</f>
        <v>0.35497600000000007</v>
      </c>
      <c r="G5" s="52">
        <f>1-SUM(G2:G4)</f>
        <v>1</v>
      </c>
    </row>
  </sheetData>
  <sheetProtection algorithmName="SHA-512" hashValue="SpiZb96F8Q2MYTJ6AKypV9JFQNWT9FO5VtsFimEW2WZ1BdNKGthxNh7c8rG6Zoz2lohkdf4vvfRIq5F/t79hdQ==" saltValue="dfJrIjepZ9I03eu5/v3GQQ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135</v>
      </c>
      <c r="B1" s="4" t="s">
        <v>133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ht="13.25" customHeight="1" x14ac:dyDescent="0.25">
      <c r="A2" t="s">
        <v>136</v>
      </c>
      <c r="B2" s="9" t="s">
        <v>130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ht="13.25" customHeight="1" x14ac:dyDescent="0.25">
      <c r="B3" s="9"/>
    </row>
    <row r="4" spans="1:11" ht="13.25" customHeight="1" x14ac:dyDescent="0.25">
      <c r="A4" t="s">
        <v>138</v>
      </c>
      <c r="B4" s="9" t="s">
        <v>130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ht="13.25" customHeight="1" x14ac:dyDescent="0.25">
      <c r="B5" s="9"/>
    </row>
    <row r="6" spans="1:11" ht="13.25" customHeight="1" x14ac:dyDescent="0.25">
      <c r="A6" t="s">
        <v>128</v>
      </c>
      <c r="B6" s="9" t="s">
        <v>130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ht="13.25" customHeight="1" x14ac:dyDescent="0.25">
      <c r="B7" s="9" t="s">
        <v>104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ht="13.25" customHeight="1" x14ac:dyDescent="0.25">
      <c r="B8" s="9" t="s">
        <v>139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ht="13.25" customHeight="1" x14ac:dyDescent="0.25">
      <c r="A10" t="s">
        <v>134</v>
      </c>
      <c r="B10" s="11" t="s">
        <v>129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ht="13.25" customHeight="1" x14ac:dyDescent="0.25">
      <c r="B11" s="11" t="s">
        <v>131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ht="13.25" customHeight="1" x14ac:dyDescent="0.25">
      <c r="A13" s="8" t="s">
        <v>37</v>
      </c>
      <c r="B13" s="11" t="s">
        <v>137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ht="13.25" customHeight="1" x14ac:dyDescent="0.25">
      <c r="B14" s="11" t="s">
        <v>132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/QeDfzG18GemTFRY5vUa0CzCYgh6N/nnn8cfUzk6fLWO7H25EI70Wm+0IzKyw43AlMunFs2vWbhv6XLVvsy9vA==" saltValue="NfE9x9/XE++rgefrSmg9DA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147</v>
      </c>
      <c r="B1" s="4" t="s">
        <v>145</v>
      </c>
    </row>
    <row r="2" spans="1:2" ht="13.25" customHeight="1" x14ac:dyDescent="0.25">
      <c r="A2" s="8" t="s">
        <v>144</v>
      </c>
      <c r="B2" s="41">
        <v>10</v>
      </c>
    </row>
    <row r="3" spans="1:2" ht="13.25" customHeight="1" x14ac:dyDescent="0.25">
      <c r="A3" s="8" t="s">
        <v>143</v>
      </c>
      <c r="B3" s="41">
        <v>10</v>
      </c>
    </row>
    <row r="4" spans="1:2" ht="13.25" customHeight="1" x14ac:dyDescent="0.25">
      <c r="A4" s="8" t="s">
        <v>142</v>
      </c>
      <c r="B4" s="41">
        <v>10</v>
      </c>
    </row>
    <row r="5" spans="1:2" ht="13.25" customHeight="1" x14ac:dyDescent="0.25">
      <c r="A5" s="8" t="s">
        <v>146</v>
      </c>
      <c r="B5" s="41">
        <v>10</v>
      </c>
    </row>
    <row r="6" spans="1:2" ht="13.25" customHeight="1" x14ac:dyDescent="0.25">
      <c r="A6" s="8" t="s">
        <v>140</v>
      </c>
      <c r="B6" s="41">
        <v>10</v>
      </c>
    </row>
    <row r="7" spans="1:2" ht="13.25" customHeight="1" x14ac:dyDescent="0.25">
      <c r="A7" s="8" t="s">
        <v>141</v>
      </c>
      <c r="B7" s="41">
        <v>10</v>
      </c>
    </row>
  </sheetData>
  <sheetProtection algorithmName="SHA-512" hashValue="ifwT4NK5yJem34T4jN8BnKcj+jr/anLoKgSELH4fbRid02mN/qo2K4fnvpvHmmoMtXWQwVsU/ZXHlfKPByTbGg==" saltValue="piAlVbnT/1jmiaWxlUmKNw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154</v>
      </c>
      <c r="B1" s="36" t="s">
        <v>156</v>
      </c>
      <c r="C1" s="36" t="s">
        <v>150</v>
      </c>
      <c r="D1" s="36" t="s">
        <v>149</v>
      </c>
      <c r="E1" s="36" t="s">
        <v>155</v>
      </c>
    </row>
    <row r="2" spans="1:5" ht="13" customHeight="1" x14ac:dyDescent="0.3">
      <c r="A2" s="34" t="s">
        <v>151</v>
      </c>
      <c r="B2" s="32" t="s">
        <v>104</v>
      </c>
      <c r="C2" s="47"/>
      <c r="D2" s="47"/>
      <c r="E2" s="38" t="str">
        <f>IF(E$7="","",E$7)</f>
        <v/>
      </c>
    </row>
    <row r="3" spans="1:5" ht="13.25" customHeight="1" x14ac:dyDescent="0.25">
      <c r="B3" s="32" t="s">
        <v>78</v>
      </c>
      <c r="C3" s="47"/>
      <c r="D3" s="47" t="s">
        <v>5</v>
      </c>
      <c r="E3" s="38" t="str">
        <f>IF(E$7="","",E$7)</f>
        <v/>
      </c>
    </row>
    <row r="4" spans="1:5" ht="13.25" customHeight="1" x14ac:dyDescent="0.25">
      <c r="B4" s="32" t="s">
        <v>74</v>
      </c>
      <c r="C4" s="47"/>
      <c r="D4" s="47" t="s">
        <v>5</v>
      </c>
      <c r="E4" s="38" t="str">
        <f>IF(E$7="","",E$7)</f>
        <v/>
      </c>
    </row>
    <row r="5" spans="1:5" ht="13.25" customHeight="1" x14ac:dyDescent="0.25">
      <c r="B5" s="32" t="s">
        <v>77</v>
      </c>
      <c r="C5" s="47"/>
      <c r="D5" s="47" t="s">
        <v>5</v>
      </c>
      <c r="E5" s="38" t="str">
        <f>IF(E$7="","",E$7)</f>
        <v/>
      </c>
    </row>
    <row r="6" spans="1:5" ht="13.25" customHeight="1" x14ac:dyDescent="0.25">
      <c r="B6" s="32" t="s">
        <v>75</v>
      </c>
      <c r="C6" s="47"/>
      <c r="D6" s="47" t="s">
        <v>5</v>
      </c>
      <c r="E6" s="38" t="str">
        <f>IF(E$7="","",E$7)</f>
        <v/>
      </c>
    </row>
    <row r="7" spans="1:5" ht="13.25" customHeight="1" x14ac:dyDescent="0.25">
      <c r="B7" s="32" t="s">
        <v>148</v>
      </c>
      <c r="C7" s="31"/>
      <c r="D7" s="30"/>
      <c r="E7" s="47"/>
    </row>
    <row r="9" spans="1:5" ht="13" customHeight="1" x14ac:dyDescent="0.3">
      <c r="A9" s="34" t="s">
        <v>152</v>
      </c>
      <c r="B9" s="32" t="s">
        <v>104</v>
      </c>
      <c r="C9" s="47"/>
      <c r="D9" s="47"/>
      <c r="E9" s="38" t="str">
        <f>IF(E$7="","",E$7)</f>
        <v/>
      </c>
    </row>
    <row r="10" spans="1:5" ht="13.25" customHeight="1" x14ac:dyDescent="0.25">
      <c r="B10" s="32" t="s">
        <v>78</v>
      </c>
      <c r="C10" s="47"/>
      <c r="D10" s="47"/>
      <c r="E10" s="38" t="str">
        <f>IF(E$7="","",E$7)</f>
        <v/>
      </c>
    </row>
    <row r="11" spans="1:5" ht="13.25" customHeight="1" x14ac:dyDescent="0.25">
      <c r="B11" s="32" t="s">
        <v>74</v>
      </c>
      <c r="C11" s="47"/>
      <c r="D11" s="47"/>
      <c r="E11" s="38" t="str">
        <f>IF(E$7="","",E$7)</f>
        <v/>
      </c>
    </row>
    <row r="12" spans="1:5" ht="13.25" customHeight="1" x14ac:dyDescent="0.25">
      <c r="B12" s="32" t="s">
        <v>77</v>
      </c>
      <c r="C12" s="47"/>
      <c r="D12" s="47" t="s">
        <v>5</v>
      </c>
      <c r="E12" s="38" t="str">
        <f>IF(E$7="","",E$7)</f>
        <v/>
      </c>
    </row>
    <row r="13" spans="1:5" ht="13.25" customHeight="1" x14ac:dyDescent="0.25">
      <c r="B13" s="32" t="s">
        <v>75</v>
      </c>
      <c r="C13" s="47"/>
      <c r="D13" s="47" t="s">
        <v>5</v>
      </c>
      <c r="E13" s="38" t="str">
        <f>IF(E$7="","",E$7)</f>
        <v/>
      </c>
    </row>
    <row r="14" spans="1:5" ht="13.25" customHeight="1" x14ac:dyDescent="0.25">
      <c r="B14" s="32" t="s">
        <v>148</v>
      </c>
      <c r="C14" s="31"/>
      <c r="D14" s="30"/>
      <c r="E14" s="47"/>
    </row>
    <row r="16" spans="1:5" ht="13" customHeight="1" x14ac:dyDescent="0.3">
      <c r="A16" s="34" t="s">
        <v>153</v>
      </c>
      <c r="B16" s="32" t="s">
        <v>104</v>
      </c>
      <c r="C16" s="47"/>
      <c r="D16" s="47" t="s">
        <v>5</v>
      </c>
      <c r="E16" s="38" t="str">
        <f>IF(E$7="","",E$7)</f>
        <v/>
      </c>
    </row>
    <row r="17" spans="2:5" ht="13.25" customHeight="1" x14ac:dyDescent="0.25">
      <c r="B17" s="32" t="s">
        <v>78</v>
      </c>
      <c r="C17" s="47"/>
      <c r="D17" s="47" t="s">
        <v>5</v>
      </c>
      <c r="E17" s="38" t="str">
        <f>IF(E$7="","",E$7)</f>
        <v/>
      </c>
    </row>
    <row r="18" spans="2:5" ht="13.25" customHeight="1" x14ac:dyDescent="0.25">
      <c r="B18" s="32" t="s">
        <v>74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77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75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148</v>
      </c>
      <c r="C21" s="31"/>
      <c r="D21" s="30"/>
      <c r="E21" s="47"/>
    </row>
  </sheetData>
  <sheetProtection algorithmName="SHA-512" hashValue="1UsZeEfpWG1EVg5xge8f1G74mJSorSHI0OLPKE/cDSbCdkacnnerEA+/8NH2abF2MaHBvzCs80FUiEGNsXZCug==" saltValue="TNx/1n3znGLfRVuPP+3hyQ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0</v>
      </c>
      <c r="B1" s="36" t="s">
        <v>159</v>
      </c>
      <c r="C1" s="40" t="s">
        <v>161</v>
      </c>
      <c r="D1" s="40" t="s">
        <v>157</v>
      </c>
    </row>
    <row r="2" spans="1:4" ht="13" customHeight="1" x14ac:dyDescent="0.3">
      <c r="A2" s="40" t="s">
        <v>163</v>
      </c>
      <c r="B2" s="32" t="s">
        <v>164</v>
      </c>
      <c r="C2" s="32" t="s">
        <v>162</v>
      </c>
      <c r="D2" s="47"/>
    </row>
    <row r="3" spans="1:4" ht="13" customHeight="1" x14ac:dyDescent="0.3">
      <c r="A3" s="40" t="s">
        <v>160</v>
      </c>
      <c r="B3" s="32" t="s">
        <v>150</v>
      </c>
      <c r="C3" s="32" t="s">
        <v>158</v>
      </c>
      <c r="D3" s="47"/>
    </row>
  </sheetData>
  <sheetProtection algorithmName="SHA-512" hashValue="EFqJXyNhwHcQ3vqyczEwrfdCq8k60IXGnXakQlLluXC9Tg5bLb6c/IVYqO7F/Syia+BHHtqh+gEMy+CWooZ6Qw==" saltValue="u0XodqBeXzhHnqdyvCh8WQ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zoomScale="70" zoomScaleNormal="70" workbookViewId="0">
      <selection activeCell="E32" sqref="E32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163</v>
      </c>
      <c r="B1" s="22" t="str">
        <f>"Cobertura de referencia ("&amp;start_year&amp;")"</f>
        <v>Cobertura de referencia (2024)</v>
      </c>
      <c r="C1" s="22" t="s">
        <v>194</v>
      </c>
      <c r="D1" s="22" t="s">
        <v>195</v>
      </c>
      <c r="E1" s="22" t="s">
        <v>168</v>
      </c>
      <c r="F1" s="22" t="s">
        <v>187</v>
      </c>
      <c r="G1" s="22" t="s">
        <v>186</v>
      </c>
    </row>
    <row r="2" spans="1:7" ht="15.75" customHeight="1" x14ac:dyDescent="0.25">
      <c r="A2" s="5" t="s">
        <v>165</v>
      </c>
      <c r="B2" s="45">
        <v>0</v>
      </c>
      <c r="C2" s="98">
        <v>0.95</v>
      </c>
      <c r="D2" s="56">
        <v>45.059697708734632</v>
      </c>
      <c r="E2" s="56" t="s">
        <v>183</v>
      </c>
      <c r="F2" s="98">
        <v>1</v>
      </c>
      <c r="G2" s="98">
        <v>1</v>
      </c>
    </row>
    <row r="3" spans="1:7" ht="15.75" customHeight="1" x14ac:dyDescent="0.25">
      <c r="A3" s="5" t="s">
        <v>166</v>
      </c>
      <c r="B3" s="45">
        <v>0</v>
      </c>
      <c r="C3" s="98">
        <v>0.95</v>
      </c>
      <c r="D3" s="56">
        <v>42.681515161267903</v>
      </c>
      <c r="E3" s="56" t="s">
        <v>183</v>
      </c>
      <c r="F3" s="98">
        <v>1</v>
      </c>
      <c r="G3" s="98">
        <v>1</v>
      </c>
    </row>
    <row r="4" spans="1:7" ht="15.75" customHeight="1" x14ac:dyDescent="0.25">
      <c r="A4" s="5" t="s">
        <v>167</v>
      </c>
      <c r="B4" s="98">
        <v>0</v>
      </c>
      <c r="C4" s="98">
        <v>0.95</v>
      </c>
      <c r="D4" s="56">
        <v>211.06677542197349</v>
      </c>
      <c r="E4" s="56" t="s">
        <v>183</v>
      </c>
      <c r="F4" s="98">
        <v>1</v>
      </c>
      <c r="G4" s="98">
        <v>1</v>
      </c>
    </row>
    <row r="5" spans="1:7" ht="15.75" customHeight="1" x14ac:dyDescent="0.25">
      <c r="A5" s="5" t="s">
        <v>169</v>
      </c>
      <c r="B5" s="98">
        <v>0</v>
      </c>
      <c r="C5" s="98">
        <v>0.95</v>
      </c>
      <c r="D5" s="56">
        <v>7.2395987071572607</v>
      </c>
      <c r="E5" s="56" t="s">
        <v>183</v>
      </c>
      <c r="F5" s="98">
        <v>1</v>
      </c>
      <c r="G5" s="98">
        <v>1</v>
      </c>
    </row>
    <row r="6" spans="1:7" ht="15.75" customHeight="1" x14ac:dyDescent="0.25">
      <c r="A6" s="5" t="s">
        <v>170</v>
      </c>
      <c r="B6" s="98">
        <v>0</v>
      </c>
      <c r="C6" s="98">
        <v>0.95</v>
      </c>
      <c r="D6" s="56">
        <v>99.99</v>
      </c>
      <c r="E6" s="56" t="s">
        <v>183</v>
      </c>
      <c r="F6" s="98">
        <v>1</v>
      </c>
      <c r="G6" s="98">
        <v>1</v>
      </c>
    </row>
    <row r="7" spans="1:7" ht="15.75" customHeight="1" x14ac:dyDescent="0.25">
      <c r="A7" s="5" t="s">
        <v>171</v>
      </c>
      <c r="B7" s="98">
        <v>0</v>
      </c>
      <c r="C7" s="98">
        <v>0.95</v>
      </c>
      <c r="D7" s="56">
        <v>99.99</v>
      </c>
      <c r="E7" s="56" t="s">
        <v>183</v>
      </c>
      <c r="F7" s="98">
        <v>1</v>
      </c>
      <c r="G7" s="98">
        <v>1</v>
      </c>
    </row>
    <row r="8" spans="1:7" ht="15.75" customHeight="1" x14ac:dyDescent="0.25">
      <c r="A8" s="5" t="s">
        <v>172</v>
      </c>
      <c r="B8" s="98">
        <v>0</v>
      </c>
      <c r="C8" s="98">
        <v>0.95</v>
      </c>
      <c r="D8" s="56">
        <v>99.99</v>
      </c>
      <c r="E8" s="56" t="s">
        <v>183</v>
      </c>
      <c r="F8" s="98">
        <v>1</v>
      </c>
      <c r="G8" s="98">
        <v>1</v>
      </c>
    </row>
    <row r="9" spans="1:7" ht="15.75" customHeight="1" x14ac:dyDescent="0.25">
      <c r="A9" s="5" t="s">
        <v>173</v>
      </c>
      <c r="B9" s="98">
        <v>0</v>
      </c>
      <c r="C9" s="98">
        <v>0.95</v>
      </c>
      <c r="D9" s="56">
        <v>99.99</v>
      </c>
      <c r="E9" s="56" t="s">
        <v>183</v>
      </c>
      <c r="F9" s="98">
        <v>1</v>
      </c>
      <c r="G9" s="98">
        <v>1</v>
      </c>
    </row>
    <row r="10" spans="1:7" ht="15.75" customHeight="1" x14ac:dyDescent="0.25">
      <c r="A10" s="11" t="s">
        <v>174</v>
      </c>
      <c r="B10" s="45">
        <v>0</v>
      </c>
      <c r="C10" s="98">
        <v>0.95</v>
      </c>
      <c r="D10" s="56">
        <v>13.699227061288489</v>
      </c>
      <c r="E10" s="56" t="s">
        <v>183</v>
      </c>
      <c r="F10" s="98">
        <v>1</v>
      </c>
      <c r="G10" s="98">
        <v>1</v>
      </c>
    </row>
    <row r="11" spans="1:7" ht="15.75" customHeight="1" x14ac:dyDescent="0.25">
      <c r="A11" s="11" t="s">
        <v>175</v>
      </c>
      <c r="B11" s="98">
        <v>0</v>
      </c>
      <c r="C11" s="98">
        <v>0.95</v>
      </c>
      <c r="D11" s="56">
        <v>13.699227061288489</v>
      </c>
      <c r="E11" s="56" t="s">
        <v>183</v>
      </c>
      <c r="F11" s="98">
        <v>1</v>
      </c>
      <c r="G11" s="98">
        <v>1</v>
      </c>
    </row>
    <row r="12" spans="1:7" ht="15.75" customHeight="1" x14ac:dyDescent="0.25">
      <c r="A12" s="11" t="s">
        <v>176</v>
      </c>
      <c r="B12" s="98">
        <v>0</v>
      </c>
      <c r="C12" s="98">
        <v>0.95</v>
      </c>
      <c r="D12" s="56">
        <v>13.699227061288489</v>
      </c>
      <c r="E12" s="56" t="s">
        <v>183</v>
      </c>
      <c r="F12" s="98">
        <v>1</v>
      </c>
      <c r="G12" s="98">
        <v>1</v>
      </c>
    </row>
    <row r="13" spans="1:7" ht="15.75" customHeight="1" x14ac:dyDescent="0.25">
      <c r="A13" s="11" t="s">
        <v>177</v>
      </c>
      <c r="B13" s="98">
        <v>0</v>
      </c>
      <c r="C13" s="98">
        <v>0.95</v>
      </c>
      <c r="D13" s="56">
        <v>13.699227061288489</v>
      </c>
      <c r="E13" s="56" t="s">
        <v>183</v>
      </c>
      <c r="F13" s="98">
        <v>1</v>
      </c>
      <c r="G13" s="98">
        <v>1</v>
      </c>
    </row>
    <row r="14" spans="1:7" ht="15.75" customHeight="1" x14ac:dyDescent="0.25">
      <c r="A14" s="5" t="s">
        <v>178</v>
      </c>
      <c r="B14" s="45">
        <v>0</v>
      </c>
      <c r="C14" s="98">
        <v>0.95</v>
      </c>
      <c r="D14" s="56">
        <v>13.699227061288489</v>
      </c>
      <c r="E14" s="56" t="s">
        <v>183</v>
      </c>
      <c r="F14" s="98">
        <v>1</v>
      </c>
      <c r="G14" s="98">
        <v>1</v>
      </c>
    </row>
    <row r="15" spans="1:7" ht="15.75" customHeight="1" x14ac:dyDescent="0.25">
      <c r="A15" s="5" t="s">
        <v>179</v>
      </c>
      <c r="B15" s="98">
        <v>0</v>
      </c>
      <c r="C15" s="98">
        <v>0.95</v>
      </c>
      <c r="D15" s="56">
        <v>13.699227061288489</v>
      </c>
      <c r="E15" s="56" t="s">
        <v>183</v>
      </c>
      <c r="F15" s="98">
        <v>1</v>
      </c>
      <c r="G15" s="98">
        <v>1</v>
      </c>
    </row>
    <row r="16" spans="1:7" ht="15.75" customHeight="1" x14ac:dyDescent="0.25">
      <c r="A16" s="5" t="s">
        <v>180</v>
      </c>
      <c r="B16" s="45">
        <v>0</v>
      </c>
      <c r="C16" s="98">
        <v>0.95</v>
      </c>
      <c r="D16" s="56">
        <v>0.43846979913857109</v>
      </c>
      <c r="E16" s="56" t="s">
        <v>183</v>
      </c>
      <c r="F16" s="98">
        <v>1</v>
      </c>
      <c r="G16" s="98">
        <v>1</v>
      </c>
    </row>
    <row r="17" spans="1:7" ht="15.75" customHeight="1" x14ac:dyDescent="0.25">
      <c r="A17" s="5" t="s">
        <v>181</v>
      </c>
      <c r="B17" s="98">
        <v>0.76225600000000004</v>
      </c>
      <c r="C17" s="98">
        <v>0.95</v>
      </c>
      <c r="D17" s="56">
        <v>0.1369044839662158</v>
      </c>
      <c r="E17" s="56" t="s">
        <v>183</v>
      </c>
      <c r="F17" s="98">
        <v>1</v>
      </c>
      <c r="G17" s="98">
        <v>1</v>
      </c>
    </row>
    <row r="18" spans="1:7" ht="15.9" customHeight="1" x14ac:dyDescent="0.25">
      <c r="A18" s="5" t="s">
        <v>151</v>
      </c>
      <c r="B18" s="98">
        <v>0.2368297</v>
      </c>
      <c r="C18" s="98">
        <v>0.95</v>
      </c>
      <c r="D18" s="56">
        <v>4.9270454148954128</v>
      </c>
      <c r="E18" s="56" t="s">
        <v>183</v>
      </c>
      <c r="F18" s="98">
        <v>1</v>
      </c>
      <c r="G18" s="98">
        <v>1</v>
      </c>
    </row>
    <row r="19" spans="1:7" ht="15.75" customHeight="1" x14ac:dyDescent="0.25">
      <c r="A19" s="5" t="s">
        <v>152</v>
      </c>
      <c r="B19" s="98">
        <v>0.2368297</v>
      </c>
      <c r="C19" s="98">
        <v>0.95</v>
      </c>
      <c r="D19" s="56">
        <v>4.9270454148954128</v>
      </c>
      <c r="E19" s="56" t="s">
        <v>183</v>
      </c>
      <c r="F19" s="98">
        <v>1</v>
      </c>
      <c r="G19" s="98">
        <v>1</v>
      </c>
    </row>
    <row r="20" spans="1:7" ht="15.75" customHeight="1" x14ac:dyDescent="0.25">
      <c r="A20" s="5" t="s">
        <v>153</v>
      </c>
      <c r="B20" s="98">
        <v>0</v>
      </c>
      <c r="C20" s="98">
        <v>0.95</v>
      </c>
      <c r="D20" s="56">
        <v>99.99</v>
      </c>
      <c r="E20" s="56" t="s">
        <v>183</v>
      </c>
      <c r="F20" s="98">
        <v>1</v>
      </c>
      <c r="G20" s="98">
        <v>1</v>
      </c>
    </row>
    <row r="21" spans="1:7" ht="15.75" customHeight="1" x14ac:dyDescent="0.25">
      <c r="A21" s="5" t="s">
        <v>182</v>
      </c>
      <c r="B21" s="45">
        <v>0</v>
      </c>
      <c r="C21" s="98">
        <v>0.95</v>
      </c>
      <c r="D21" s="56">
        <v>78.708084515042287</v>
      </c>
      <c r="E21" s="56" t="s">
        <v>183</v>
      </c>
      <c r="F21" s="98">
        <v>1</v>
      </c>
      <c r="G21" s="98">
        <v>1</v>
      </c>
    </row>
    <row r="22" spans="1:7" ht="15.75" customHeight="1" x14ac:dyDescent="0.25">
      <c r="A22" s="5" t="s">
        <v>184</v>
      </c>
      <c r="B22" s="98">
        <v>0</v>
      </c>
      <c r="C22" s="98">
        <v>0.95</v>
      </c>
      <c r="D22" s="56">
        <v>23.463764774460952</v>
      </c>
      <c r="E22" s="56" t="s">
        <v>183</v>
      </c>
      <c r="F22" s="98">
        <v>1</v>
      </c>
      <c r="G22" s="98">
        <v>1</v>
      </c>
    </row>
    <row r="23" spans="1:7" ht="15.75" customHeight="1" x14ac:dyDescent="0.25">
      <c r="A23" s="5" t="s">
        <v>185</v>
      </c>
      <c r="B23" s="98">
        <v>0</v>
      </c>
      <c r="C23" s="98">
        <v>0.95</v>
      </c>
      <c r="D23" s="56">
        <v>4.5607388970998564</v>
      </c>
      <c r="E23" s="56" t="s">
        <v>183</v>
      </c>
      <c r="F23" s="98">
        <v>1</v>
      </c>
      <c r="G23" s="98">
        <v>1</v>
      </c>
    </row>
    <row r="24" spans="1:7" ht="15.75" customHeight="1" x14ac:dyDescent="0.25">
      <c r="A24" s="5" t="s">
        <v>188</v>
      </c>
      <c r="B24" s="45">
        <v>0.70884126301032002</v>
      </c>
      <c r="C24" s="98">
        <v>0.95</v>
      </c>
      <c r="D24" s="56">
        <v>99.99</v>
      </c>
      <c r="E24" s="56" t="s">
        <v>183</v>
      </c>
      <c r="F24" s="98">
        <v>1</v>
      </c>
      <c r="G24" s="98">
        <v>1</v>
      </c>
    </row>
    <row r="25" spans="1:7" ht="15.75" customHeight="1" x14ac:dyDescent="0.25">
      <c r="A25" s="5" t="s">
        <v>189</v>
      </c>
      <c r="B25" s="98">
        <v>0</v>
      </c>
      <c r="C25" s="98">
        <v>0.95</v>
      </c>
      <c r="D25" s="56">
        <v>99.99</v>
      </c>
      <c r="E25" s="56" t="s">
        <v>183</v>
      </c>
      <c r="F25" s="98">
        <v>1</v>
      </c>
      <c r="G25" s="98">
        <v>1</v>
      </c>
    </row>
    <row r="26" spans="1:7" ht="15.75" customHeight="1" x14ac:dyDescent="0.25">
      <c r="A26" s="5" t="s">
        <v>190</v>
      </c>
      <c r="B26" s="45">
        <v>0</v>
      </c>
      <c r="C26" s="98">
        <v>0.95</v>
      </c>
      <c r="D26" s="56">
        <v>99.99</v>
      </c>
      <c r="E26" s="56" t="s">
        <v>183</v>
      </c>
      <c r="F26" s="98">
        <v>1</v>
      </c>
      <c r="G26" s="98">
        <v>1</v>
      </c>
    </row>
    <row r="27" spans="1:7" ht="15.75" customHeight="1" x14ac:dyDescent="0.25">
      <c r="A27" s="5" t="s">
        <v>191</v>
      </c>
      <c r="B27" s="45">
        <v>0</v>
      </c>
      <c r="C27" s="98">
        <v>0.95</v>
      </c>
      <c r="D27" s="56">
        <v>19.698516154118199</v>
      </c>
      <c r="E27" s="56" t="s">
        <v>183</v>
      </c>
      <c r="F27" s="98">
        <v>1</v>
      </c>
      <c r="G27" s="98">
        <v>1</v>
      </c>
    </row>
    <row r="28" spans="1:7" ht="15.75" customHeight="1" x14ac:dyDescent="0.25">
      <c r="A28" s="5" t="s">
        <v>192</v>
      </c>
      <c r="B28" s="45">
        <v>0.67195470000000002</v>
      </c>
      <c r="C28" s="98">
        <v>0.95</v>
      </c>
      <c r="D28" s="56">
        <v>99.99</v>
      </c>
      <c r="E28" s="56" t="s">
        <v>183</v>
      </c>
      <c r="F28" s="98">
        <v>1</v>
      </c>
      <c r="G28" s="98">
        <v>1</v>
      </c>
    </row>
    <row r="29" spans="1:7" ht="15.75" customHeight="1" x14ac:dyDescent="0.25">
      <c r="A29" s="5" t="s">
        <v>193</v>
      </c>
      <c r="B29" s="45">
        <v>0.56111960000000005</v>
      </c>
      <c r="C29" s="98">
        <v>0.95</v>
      </c>
      <c r="D29" s="56">
        <v>84.046606343271279</v>
      </c>
      <c r="E29" s="56" t="s">
        <v>183</v>
      </c>
      <c r="F29" s="98">
        <v>1</v>
      </c>
      <c r="G29" s="98">
        <v>1</v>
      </c>
    </row>
    <row r="30" spans="1:7" ht="15.75" customHeight="1" x14ac:dyDescent="0.25">
      <c r="A30" s="5" t="s">
        <v>204</v>
      </c>
      <c r="B30" s="98">
        <v>0</v>
      </c>
      <c r="C30" s="98">
        <v>0.95</v>
      </c>
      <c r="D30" s="56">
        <v>99</v>
      </c>
      <c r="E30" s="56" t="s">
        <v>183</v>
      </c>
      <c r="F30" s="98">
        <v>1</v>
      </c>
      <c r="G30" s="98">
        <v>1</v>
      </c>
    </row>
    <row r="31" spans="1:7" ht="15.75" customHeight="1" x14ac:dyDescent="0.25">
      <c r="A31" s="5" t="s">
        <v>164</v>
      </c>
      <c r="B31" s="45">
        <v>0</v>
      </c>
      <c r="C31" s="98">
        <v>0.95</v>
      </c>
      <c r="D31" s="56">
        <v>1.310082435231509</v>
      </c>
      <c r="E31" s="56" t="s">
        <v>183</v>
      </c>
      <c r="F31" s="98">
        <v>1</v>
      </c>
      <c r="G31" s="98">
        <v>1</v>
      </c>
    </row>
    <row r="32" spans="1:7" ht="15.75" customHeight="1" x14ac:dyDescent="0.25">
      <c r="A32" s="5" t="s">
        <v>196</v>
      </c>
      <c r="B32" s="45">
        <v>0.99</v>
      </c>
      <c r="C32" s="98">
        <v>0.95</v>
      </c>
      <c r="D32" s="56">
        <v>0.90679548983180225</v>
      </c>
      <c r="E32" s="56" t="s">
        <v>183</v>
      </c>
      <c r="F32" s="98">
        <v>1</v>
      </c>
      <c r="G32" s="98">
        <v>1</v>
      </c>
    </row>
    <row r="33" spans="1:7" ht="15.75" customHeight="1" x14ac:dyDescent="0.25">
      <c r="A33" s="5" t="s">
        <v>197</v>
      </c>
      <c r="B33" s="45">
        <v>0.8162645999999999</v>
      </c>
      <c r="C33" s="98">
        <v>0.95</v>
      </c>
      <c r="D33" s="56">
        <v>99.99</v>
      </c>
      <c r="E33" s="56" t="s">
        <v>183</v>
      </c>
      <c r="F33" s="98">
        <v>1</v>
      </c>
      <c r="G33" s="98">
        <v>1</v>
      </c>
    </row>
    <row r="34" spans="1:7" ht="15.75" customHeight="1" x14ac:dyDescent="0.25">
      <c r="A34" s="5" t="s">
        <v>198</v>
      </c>
      <c r="B34" s="45">
        <v>0.7434151</v>
      </c>
      <c r="C34" s="98">
        <v>0.95</v>
      </c>
      <c r="D34" s="56">
        <v>99.99</v>
      </c>
      <c r="E34" s="56" t="s">
        <v>183</v>
      </c>
      <c r="F34" s="98">
        <v>1</v>
      </c>
      <c r="G34" s="98">
        <v>1</v>
      </c>
    </row>
    <row r="35" spans="1:7" ht="15.75" customHeight="1" x14ac:dyDescent="0.25">
      <c r="A35" s="5" t="s">
        <v>199</v>
      </c>
      <c r="B35" s="98">
        <v>0</v>
      </c>
      <c r="C35" s="98">
        <v>0.95</v>
      </c>
      <c r="D35" s="56">
        <v>99.99</v>
      </c>
      <c r="E35" s="56" t="s">
        <v>183</v>
      </c>
      <c r="F35" s="98">
        <v>1</v>
      </c>
      <c r="G35" s="98">
        <v>1</v>
      </c>
    </row>
    <row r="36" spans="1:7" ht="15.75" customHeight="1" x14ac:dyDescent="0.25">
      <c r="A36" s="5" t="s">
        <v>200</v>
      </c>
      <c r="B36" s="45">
        <v>5.2288500000000002E-2</v>
      </c>
      <c r="C36" s="98">
        <v>0.95</v>
      </c>
      <c r="D36" s="56">
        <v>99.99</v>
      </c>
      <c r="E36" s="56" t="s">
        <v>183</v>
      </c>
      <c r="F36" s="98">
        <v>1</v>
      </c>
      <c r="G36" s="98">
        <v>1</v>
      </c>
    </row>
    <row r="37" spans="1:7" ht="15.75" customHeight="1" x14ac:dyDescent="0.25">
      <c r="A37" s="5" t="s">
        <v>201</v>
      </c>
      <c r="B37" s="45">
        <v>0.72948809999999997</v>
      </c>
      <c r="C37" s="98">
        <v>0.95</v>
      </c>
      <c r="D37" s="56">
        <v>99.99</v>
      </c>
      <c r="E37" s="56" t="s">
        <v>183</v>
      </c>
      <c r="F37" s="98">
        <v>1</v>
      </c>
      <c r="G37" s="98">
        <v>1</v>
      </c>
    </row>
    <row r="38" spans="1:7" ht="15.75" customHeight="1" x14ac:dyDescent="0.25">
      <c r="A38" s="5" t="s">
        <v>202</v>
      </c>
      <c r="B38" s="45">
        <v>0.1601621</v>
      </c>
      <c r="C38" s="98">
        <v>0.95</v>
      </c>
      <c r="D38" s="56">
        <v>1.362241488981754</v>
      </c>
      <c r="E38" s="56" t="s">
        <v>183</v>
      </c>
      <c r="F38" s="98">
        <v>1</v>
      </c>
      <c r="G38" s="98">
        <v>1</v>
      </c>
    </row>
    <row r="39" spans="1:7" ht="15.75" customHeight="1" x14ac:dyDescent="0.25">
      <c r="A39" s="5" t="s">
        <v>203</v>
      </c>
      <c r="B39" s="45">
        <v>0</v>
      </c>
      <c r="C39" s="98">
        <v>0.95</v>
      </c>
      <c r="D39" s="56">
        <v>99.99</v>
      </c>
      <c r="E39" s="56" t="s">
        <v>183</v>
      </c>
      <c r="F39" s="98">
        <v>1</v>
      </c>
      <c r="G39" s="98">
        <v>1</v>
      </c>
    </row>
  </sheetData>
  <sheetProtection algorithmName="SHA-512" hashValue="CaiIcgejdqIcvfJZ5uUQjwB4GlGrYHR2rv9YDRtprJtX6WCNqTBwMFcat9FbM1U/9LkQH35PbRKf9TBSgf9JZA==" saltValue="AU4haSOlG2XS+FvqaE+4K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workbookViewId="0">
      <selection activeCell="B7" sqref="B7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163</v>
      </c>
      <c r="B1" s="4" t="s">
        <v>205</v>
      </c>
      <c r="C1" s="4" t="s">
        <v>206</v>
      </c>
    </row>
    <row r="2" spans="1:3" ht="13.25" customHeight="1" x14ac:dyDescent="0.25">
      <c r="A2" s="57" t="s">
        <v>178</v>
      </c>
      <c r="B2" s="47" t="s">
        <v>191</v>
      </c>
      <c r="C2" s="47"/>
    </row>
    <row r="3" spans="1:3" ht="13.25" customHeight="1" x14ac:dyDescent="0.25">
      <c r="A3" s="57" t="s">
        <v>179</v>
      </c>
      <c r="B3" s="47" t="s">
        <v>191</v>
      </c>
      <c r="C3" s="47"/>
    </row>
    <row r="4" spans="1:3" ht="13.25" customHeight="1" x14ac:dyDescent="0.25">
      <c r="A4" s="57" t="s">
        <v>193</v>
      </c>
      <c r="B4" s="47" t="s">
        <v>184</v>
      </c>
      <c r="C4" s="47"/>
    </row>
    <row r="5" spans="1:3" ht="13.25" customHeight="1" x14ac:dyDescent="0.25">
      <c r="A5" s="57" t="s">
        <v>190</v>
      </c>
      <c r="B5" s="47" t="s">
        <v>184</v>
      </c>
      <c r="C5" s="47"/>
    </row>
    <row r="6" spans="1:3" ht="13.25" customHeight="1" x14ac:dyDescent="0.25">
      <c r="A6" s="57" t="s">
        <v>193</v>
      </c>
      <c r="B6" s="58" t="s">
        <v>204</v>
      </c>
      <c r="C6" s="58"/>
    </row>
    <row r="7" spans="1:3" ht="13.25" customHeight="1" x14ac:dyDescent="0.25">
      <c r="A7" s="57" t="s">
        <v>190</v>
      </c>
      <c r="B7" s="58" t="s">
        <v>204</v>
      </c>
      <c r="C7" s="58"/>
    </row>
    <row r="8" spans="1:3" ht="13.25" customHeight="1" x14ac:dyDescent="0.25">
      <c r="A8" s="57" t="s">
        <v>203</v>
      </c>
      <c r="B8" s="58" t="s">
        <v>204</v>
      </c>
      <c r="C8" s="58"/>
    </row>
    <row r="9" spans="1:3" ht="13.25" customHeight="1" x14ac:dyDescent="0.25">
      <c r="A9" s="57"/>
      <c r="B9" s="58"/>
      <c r="C9" s="58"/>
    </row>
    <row r="10" spans="1:3" ht="13.25" customHeight="1" x14ac:dyDescent="0.25">
      <c r="A10" s="57"/>
      <c r="B10" s="58"/>
      <c r="C10" s="58"/>
    </row>
    <row r="11" spans="1:3" ht="13.25" customHeight="1" x14ac:dyDescent="0.25">
      <c r="A11" s="59"/>
      <c r="B11" s="58"/>
      <c r="C11" s="58"/>
    </row>
    <row r="12" spans="1:3" ht="13.25" customHeight="1" x14ac:dyDescent="0.25">
      <c r="A12" s="59"/>
      <c r="B12" s="58"/>
      <c r="C12" s="58"/>
    </row>
    <row r="13" spans="1:3" ht="13.25" customHeight="1" x14ac:dyDescent="0.25">
      <c r="A13" s="59"/>
      <c r="B13" s="58"/>
      <c r="C13" s="58"/>
    </row>
    <row r="14" spans="1:3" ht="13.25" customHeight="1" x14ac:dyDescent="0.25">
      <c r="A14" s="59"/>
      <c r="B14" s="58"/>
      <c r="C14" s="58"/>
    </row>
    <row r="15" spans="1:3" ht="13.25" customHeight="1" x14ac:dyDescent="0.25">
      <c r="A15" s="59"/>
      <c r="B15" s="58"/>
      <c r="C15" s="58"/>
    </row>
    <row r="16" spans="1:3" ht="13.25" customHeight="1" x14ac:dyDescent="0.25">
      <c r="A16" s="59"/>
      <c r="B16" s="58"/>
      <c r="C16" s="58"/>
    </row>
    <row r="17" spans="1:3" ht="13.25" customHeight="1" x14ac:dyDescent="0.25">
      <c r="A17" s="59"/>
      <c r="B17" s="58"/>
      <c r="C17" s="58"/>
    </row>
    <row r="18" spans="1:3" ht="13.25" customHeight="1" x14ac:dyDescent="0.25">
      <c r="A18" s="59"/>
      <c r="B18" s="58"/>
      <c r="C18" s="58"/>
    </row>
    <row r="19" spans="1:3" ht="13.25" customHeight="1" x14ac:dyDescent="0.25">
      <c r="A19" s="57"/>
      <c r="B19" s="58"/>
      <c r="C19" s="58"/>
    </row>
    <row r="20" spans="1:3" ht="13.25" customHeight="1" x14ac:dyDescent="0.25">
      <c r="A20" s="57"/>
      <c r="B20" s="58"/>
      <c r="C20" s="58"/>
    </row>
  </sheetData>
  <sheetProtection algorithmName="SHA-512" hashValue="2/RMLf+gZc6AQLIBP4Kj6wnSHNI9se+5dAnNx+J/PDacb2rffNSHJG/xh3fOdl8/pCjbixk1zXZVbsO+5NR/Bw==" saltValue="20krpdmMK2AdST67iqOuyw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8" sqref="A8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163</v>
      </c>
    </row>
    <row r="2" spans="1:1" ht="13.25" customHeight="1" x14ac:dyDescent="0.25">
      <c r="A2" s="33" t="s">
        <v>170</v>
      </c>
    </row>
    <row r="3" spans="1:1" ht="13.25" customHeight="1" x14ac:dyDescent="0.25">
      <c r="A3" s="33" t="s">
        <v>180</v>
      </c>
    </row>
    <row r="4" spans="1:1" ht="13.25" customHeight="1" x14ac:dyDescent="0.25">
      <c r="A4" s="33" t="s">
        <v>185</v>
      </c>
    </row>
    <row r="5" spans="1:1" ht="13.25" customHeight="1" x14ac:dyDescent="0.25">
      <c r="A5" s="33" t="s">
        <v>197</v>
      </c>
    </row>
    <row r="6" spans="1:1" ht="13.25" customHeight="1" x14ac:dyDescent="0.25">
      <c r="A6" s="33" t="s">
        <v>198</v>
      </c>
    </row>
    <row r="7" spans="1:1" ht="13.25" customHeight="1" x14ac:dyDescent="0.25">
      <c r="A7" s="33" t="s">
        <v>199</v>
      </c>
    </row>
    <row r="8" spans="1:1" ht="13.25" customHeight="1" x14ac:dyDescent="0.25">
      <c r="A8" s="33" t="s">
        <v>200</v>
      </c>
    </row>
    <row r="9" spans="1:1" ht="13.25" customHeight="1" x14ac:dyDescent="0.25">
      <c r="A9" s="33" t="s">
        <v>201</v>
      </c>
    </row>
    <row r="10" spans="1:1" ht="13.25" customHeight="1" x14ac:dyDescent="0.25">
      <c r="A10" s="33" t="s">
        <v>164</v>
      </c>
    </row>
    <row r="11" spans="1:1" ht="13.25" customHeight="1" x14ac:dyDescent="0.25">
      <c r="A11" s="33"/>
    </row>
    <row r="12" spans="1:1" ht="13.25" customHeight="1" x14ac:dyDescent="0.25">
      <c r="A12" s="33"/>
    </row>
    <row r="13" spans="1:1" ht="13.25" customHeight="1" x14ac:dyDescent="0.25">
      <c r="A13" s="33"/>
    </row>
    <row r="14" spans="1:1" ht="13.25" customHeight="1" x14ac:dyDescent="0.25">
      <c r="A14" s="33"/>
    </row>
    <row r="15" spans="1:1" ht="13.25" customHeight="1" x14ac:dyDescent="0.25">
      <c r="A15" s="33"/>
    </row>
    <row r="16" spans="1:1" ht="13.25" customHeight="1" x14ac:dyDescent="0.25">
      <c r="A16" s="33"/>
    </row>
    <row r="17" spans="1:1" ht="13.25" customHeight="1" x14ac:dyDescent="0.25">
      <c r="A17" s="33"/>
    </row>
    <row r="18" spans="1:1" ht="13.25" customHeight="1" x14ac:dyDescent="0.25">
      <c r="A18" s="33"/>
    </row>
    <row r="19" spans="1:1" ht="13.25" customHeight="1" x14ac:dyDescent="0.25">
      <c r="A19" s="33"/>
    </row>
  </sheetData>
  <sheetProtection algorithmName="SHA-512" hashValue="Lt/w3NQLLdpR2espfvcjhWAqIYPuZgoakGP4DBPcdnuAnJ8gYYiTfXFWKF326TLjuJhZ1xIExeo5I+Ex+hYleg==" saltValue="OOTyprQ9Uzt2psMrGF7RKg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208</v>
      </c>
      <c r="B1" t="s">
        <v>78</v>
      </c>
      <c r="C1" t="s">
        <v>74</v>
      </c>
      <c r="D1" t="s">
        <v>77</v>
      </c>
      <c r="E1" t="s">
        <v>75</v>
      </c>
      <c r="F1" t="s">
        <v>76</v>
      </c>
    </row>
    <row r="2" spans="1:6" ht="15.75" customHeight="1" x14ac:dyDescent="0.25">
      <c r="A2" s="3" t="s">
        <v>84</v>
      </c>
      <c r="B2" s="21">
        <f>'Entradas de población-año base'!C51</f>
        <v>2.8</v>
      </c>
      <c r="C2" s="21">
        <f>'Entradas de población-año base'!C52</f>
        <v>2.8</v>
      </c>
      <c r="D2" s="21">
        <f>'Entradas de población-año base'!C53</f>
        <v>2.8</v>
      </c>
      <c r="E2" s="21">
        <f>'Entradas de población-año base'!C54</f>
        <v>2.8</v>
      </c>
      <c r="F2" s="21">
        <f>'Entradas de población-año base'!C55</f>
        <v>2.8</v>
      </c>
    </row>
    <row r="3" spans="1:6" ht="15.75" customHeight="1" x14ac:dyDescent="0.25">
      <c r="A3" s="3" t="s">
        <v>6</v>
      </c>
      <c r="B3" s="21">
        <f>frac_mam_1month * 2.6</f>
        <v>0.14359072000000001</v>
      </c>
      <c r="C3" s="21">
        <f>frac_mam_1_5months * 2.6</f>
        <v>0.14359072000000001</v>
      </c>
      <c r="D3" s="21">
        <f>frac_mam_6_11months * 2.6</f>
        <v>4.8365459999999999E-2</v>
      </c>
      <c r="E3" s="21">
        <f>frac_mam_12_23months * 2.6</f>
        <v>1.4830139999999999E-2</v>
      </c>
      <c r="F3" s="21">
        <f>frac_mam_24_59months * 2.6</f>
        <v>2.0316660000000004E-2</v>
      </c>
    </row>
    <row r="4" spans="1:6" ht="15.75" customHeight="1" x14ac:dyDescent="0.25">
      <c r="A4" s="3" t="s">
        <v>207</v>
      </c>
      <c r="B4" s="21">
        <f>frac_sam_1month * 2.6</f>
        <v>0.16119324000000002</v>
      </c>
      <c r="C4" s="21">
        <f>frac_sam_1_5months * 2.6</f>
        <v>0.16119324000000002</v>
      </c>
      <c r="D4" s="21">
        <f>frac_sam_6_11months * 2.6</f>
        <v>3.2037719999999999E-2</v>
      </c>
      <c r="E4" s="21">
        <f>frac_sam_12_23months * 2.6</f>
        <v>7.1242600000000003E-3</v>
      </c>
      <c r="F4" s="21">
        <f>frac_sam_24_59months * 2.6</f>
        <v>1.2896520000000003E-2</v>
      </c>
    </row>
  </sheetData>
  <sheetProtection algorithmName="SHA-512" hashValue="6zjU/AiGBb4XPTS+EZ6io/yDhVmsHGQDDtn+OpHzQjZ21iWUm7oRxHpXOUjI8ksRlBjGshQWCNj26RA/S+h0WA==" saltValue="zz/WthJM0UhiX1RxdTDzSg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209</v>
      </c>
      <c r="B1" s="1" t="s">
        <v>163</v>
      </c>
      <c r="C1" s="4" t="s">
        <v>78</v>
      </c>
      <c r="D1" s="4" t="s">
        <v>74</v>
      </c>
      <c r="E1" s="4" t="s">
        <v>77</v>
      </c>
      <c r="F1" s="4" t="s">
        <v>75</v>
      </c>
      <c r="G1" s="4" t="s">
        <v>76</v>
      </c>
      <c r="H1" s="4" t="s">
        <v>113</v>
      </c>
      <c r="I1" s="4" t="s">
        <v>114</v>
      </c>
      <c r="J1" s="4" t="s">
        <v>115</v>
      </c>
      <c r="K1" s="4" t="s">
        <v>116</v>
      </c>
      <c r="L1" s="4" t="s">
        <v>68</v>
      </c>
      <c r="M1" s="4" t="s">
        <v>69</v>
      </c>
      <c r="N1" s="4" t="s">
        <v>70</v>
      </c>
      <c r="O1" s="4" t="s">
        <v>71</v>
      </c>
    </row>
    <row r="2" spans="1:15" ht="15.75" customHeight="1" x14ac:dyDescent="0.3">
      <c r="A2" s="4" t="s">
        <v>83</v>
      </c>
      <c r="B2" s="5" t="s">
        <v>167</v>
      </c>
      <c r="C2" s="60">
        <v>0</v>
      </c>
      <c r="D2" s="60">
        <f>food_insecure</f>
        <v>0.621</v>
      </c>
      <c r="E2" s="60">
        <f>food_insecure</f>
        <v>0.621</v>
      </c>
      <c r="F2" s="60">
        <f>food_insecure</f>
        <v>0.621</v>
      </c>
      <c r="G2" s="60">
        <f>food_insecure</f>
        <v>0.621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169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182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184</v>
      </c>
      <c r="C5" s="60">
        <v>0</v>
      </c>
      <c r="D5" s="60">
        <v>0</v>
      </c>
      <c r="E5" s="60">
        <f>food_insecure</f>
        <v>0.621</v>
      </c>
      <c r="F5" s="60">
        <f>food_insecure</f>
        <v>0.621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190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192</v>
      </c>
      <c r="C7" s="60">
        <f>diarrhoea_1mo*frac_diarrhea_severe</f>
        <v>4.6000000000000006E-2</v>
      </c>
      <c r="D7" s="60">
        <f>diarrhoea_1_5mo*frac_diarrhea_severe</f>
        <v>4.6000000000000006E-2</v>
      </c>
      <c r="E7" s="60">
        <f>diarrhoea_6_11mo*frac_diarrhea_severe</f>
        <v>4.6000000000000006E-2</v>
      </c>
      <c r="F7" s="60">
        <f>diarrhoea_12_23mo*frac_diarrhea_severe</f>
        <v>4.6000000000000006E-2</v>
      </c>
      <c r="G7" s="60">
        <f>diarrhoea_24_59mo*frac_diarrhea_severe</f>
        <v>4.6000000000000006E-2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193</v>
      </c>
      <c r="C8" s="60">
        <v>0</v>
      </c>
      <c r="D8" s="60">
        <v>0</v>
      </c>
      <c r="E8" s="60">
        <f>food_insecure</f>
        <v>0.621</v>
      </c>
      <c r="F8" s="60">
        <f>food_insecure</f>
        <v>0.621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204</v>
      </c>
      <c r="C9" s="60">
        <v>0</v>
      </c>
      <c r="D9" s="60">
        <v>0</v>
      </c>
      <c r="E9" s="60">
        <f>food_insecure</f>
        <v>0.621</v>
      </c>
      <c r="F9" s="60">
        <f>food_insecure</f>
        <v>0.621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164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196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202</v>
      </c>
      <c r="C12" s="60">
        <f>diarrhoea_1mo*frac_diarrhea_severe</f>
        <v>4.6000000000000006E-2</v>
      </c>
      <c r="D12" s="60">
        <f>diarrhoea_1_5mo*frac_diarrhea_severe</f>
        <v>4.6000000000000006E-2</v>
      </c>
      <c r="E12" s="60">
        <f>diarrhoea_6_11mo*frac_diarrhea_severe</f>
        <v>4.6000000000000006E-2</v>
      </c>
      <c r="F12" s="60">
        <f>diarrhoea_12_23mo*frac_diarrhea_severe</f>
        <v>4.6000000000000006E-2</v>
      </c>
      <c r="G12" s="60">
        <f>diarrhoea_24_59mo*frac_diarrhea_severe</f>
        <v>4.6000000000000006E-2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203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104</v>
      </c>
      <c r="B15" s="9" t="s">
        <v>165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0.621</v>
      </c>
      <c r="I15" s="60">
        <f>food_insecure</f>
        <v>0.621</v>
      </c>
      <c r="J15" s="60">
        <f>food_insecure</f>
        <v>0.621</v>
      </c>
      <c r="K15" s="60">
        <f>food_insecure</f>
        <v>0.621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166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178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179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180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188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189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191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211</v>
      </c>
      <c r="B24" s="11" t="s">
        <v>170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0.249</v>
      </c>
      <c r="M24" s="60">
        <f>famplan_unmet_need</f>
        <v>0.249</v>
      </c>
      <c r="N24" s="60">
        <f>famplan_unmet_need</f>
        <v>0.249</v>
      </c>
      <c r="O24" s="60">
        <f>famplan_unmet_need</f>
        <v>0.249</v>
      </c>
    </row>
    <row r="25" spans="1:15" ht="15.75" customHeight="1" x14ac:dyDescent="0.25">
      <c r="B25" s="11" t="s">
        <v>174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6.1783458281707934E-2</v>
      </c>
      <c r="M25" s="60">
        <f>(1-food_insecure)*(0.49)+food_insecure*(0.7)</f>
        <v>0.62040999999999991</v>
      </c>
      <c r="N25" s="60">
        <f>(1-food_insecure)*(0.49)+food_insecure*(0.7)</f>
        <v>0.62040999999999991</v>
      </c>
      <c r="O25" s="60">
        <f>(1-food_insecure)*(0.49)+food_insecure*(0.7)</f>
        <v>0.62040999999999991</v>
      </c>
    </row>
    <row r="26" spans="1:15" ht="15.75" customHeight="1" x14ac:dyDescent="0.25">
      <c r="B26" s="11" t="s">
        <v>175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2.6478624977874829E-2</v>
      </c>
      <c r="M26" s="60">
        <f>(1-food_insecure)*(0.21)+food_insecure*(0.3)</f>
        <v>0.26588999999999996</v>
      </c>
      <c r="N26" s="60">
        <f>(1-food_insecure)*(0.21)+food_insecure*(0.3)</f>
        <v>0.26588999999999996</v>
      </c>
      <c r="O26" s="60">
        <f>(1-food_insecure)*(0.21)+food_insecure*(0.3)</f>
        <v>0.26588999999999996</v>
      </c>
    </row>
    <row r="27" spans="1:15" ht="15.75" customHeight="1" x14ac:dyDescent="0.25">
      <c r="B27" s="11" t="s">
        <v>176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1.13228013839722E-2</v>
      </c>
      <c r="M27" s="60">
        <f>(1-food_insecure)*(0.3)</f>
        <v>0.1137</v>
      </c>
      <c r="N27" s="60">
        <f>(1-food_insecure)*(0.3)</f>
        <v>0.1137</v>
      </c>
      <c r="O27" s="60">
        <f>(1-food_insecure)*(0.3)</f>
        <v>0.1137</v>
      </c>
    </row>
    <row r="28" spans="1:15" ht="15.75" customHeight="1" x14ac:dyDescent="0.25">
      <c r="B28" s="11" t="s">
        <v>177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0.90041511535644503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210</v>
      </c>
      <c r="B30" s="5" t="s">
        <v>171</v>
      </c>
      <c r="C30" s="60">
        <v>0</v>
      </c>
      <c r="D30" s="60">
        <v>0</v>
      </c>
      <c r="E30" s="60">
        <f t="shared" ref="E30:O30" si="0">frac_maize</f>
        <v>0.01</v>
      </c>
      <c r="F30" s="60">
        <f t="shared" si="0"/>
        <v>0.01</v>
      </c>
      <c r="G30" s="60">
        <f t="shared" si="0"/>
        <v>0.01</v>
      </c>
      <c r="H30" s="60">
        <f t="shared" si="0"/>
        <v>0.01</v>
      </c>
      <c r="I30" s="60">
        <f t="shared" si="0"/>
        <v>0.01</v>
      </c>
      <c r="J30" s="60">
        <f t="shared" si="0"/>
        <v>0.01</v>
      </c>
      <c r="K30" s="60">
        <f t="shared" si="0"/>
        <v>0.01</v>
      </c>
      <c r="L30" s="60">
        <f t="shared" si="0"/>
        <v>0.01</v>
      </c>
      <c r="M30" s="60">
        <f t="shared" si="0"/>
        <v>0.01</v>
      </c>
      <c r="N30" s="60">
        <f t="shared" si="0"/>
        <v>0.01</v>
      </c>
      <c r="O30" s="60">
        <f t="shared" si="0"/>
        <v>0.01</v>
      </c>
    </row>
    <row r="31" spans="1:15" ht="15.75" customHeight="1" x14ac:dyDescent="0.25">
      <c r="B31" s="5" t="s">
        <v>172</v>
      </c>
      <c r="C31" s="60">
        <v>0</v>
      </c>
      <c r="D31" s="60">
        <v>0</v>
      </c>
      <c r="E31" s="60">
        <f t="shared" ref="E31:O31" si="1">frac_rice</f>
        <v>0.01</v>
      </c>
      <c r="F31" s="60">
        <f t="shared" si="1"/>
        <v>0.01</v>
      </c>
      <c r="G31" s="60">
        <f t="shared" si="1"/>
        <v>0.01</v>
      </c>
      <c r="H31" s="60">
        <f t="shared" si="1"/>
        <v>0.01</v>
      </c>
      <c r="I31" s="60">
        <f t="shared" si="1"/>
        <v>0.01</v>
      </c>
      <c r="J31" s="60">
        <f t="shared" si="1"/>
        <v>0.01</v>
      </c>
      <c r="K31" s="60">
        <f t="shared" si="1"/>
        <v>0.01</v>
      </c>
      <c r="L31" s="60">
        <f t="shared" si="1"/>
        <v>0.01</v>
      </c>
      <c r="M31" s="60">
        <f t="shared" si="1"/>
        <v>0.01</v>
      </c>
      <c r="N31" s="60">
        <f t="shared" si="1"/>
        <v>0.01</v>
      </c>
      <c r="O31" s="60">
        <f t="shared" si="1"/>
        <v>0.01</v>
      </c>
    </row>
    <row r="32" spans="1:15" ht="15.75" customHeight="1" x14ac:dyDescent="0.25">
      <c r="B32" s="5" t="s">
        <v>173</v>
      </c>
      <c r="C32" s="60">
        <v>0</v>
      </c>
      <c r="D32" s="60">
        <v>0</v>
      </c>
      <c r="E32" s="60">
        <f t="shared" ref="E32:O32" si="2">frac_wheat</f>
        <v>0.98</v>
      </c>
      <c r="F32" s="60">
        <f t="shared" si="2"/>
        <v>0.98</v>
      </c>
      <c r="G32" s="60">
        <f t="shared" si="2"/>
        <v>0.98</v>
      </c>
      <c r="H32" s="60">
        <f t="shared" si="2"/>
        <v>0.98</v>
      </c>
      <c r="I32" s="60">
        <f t="shared" si="2"/>
        <v>0.98</v>
      </c>
      <c r="J32" s="60">
        <f t="shared" si="2"/>
        <v>0.98</v>
      </c>
      <c r="K32" s="60">
        <f t="shared" si="2"/>
        <v>0.98</v>
      </c>
      <c r="L32" s="60">
        <f t="shared" si="2"/>
        <v>0.98</v>
      </c>
      <c r="M32" s="60">
        <f t="shared" si="2"/>
        <v>0.98</v>
      </c>
      <c r="N32" s="60">
        <f t="shared" si="2"/>
        <v>0.98</v>
      </c>
      <c r="O32" s="60">
        <f t="shared" si="2"/>
        <v>0.98</v>
      </c>
    </row>
    <row r="33" spans="2:15" ht="15.75" customHeight="1" x14ac:dyDescent="0.25">
      <c r="B33" s="5" t="s">
        <v>181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185</v>
      </c>
      <c r="C34" s="60">
        <f t="shared" ref="C34:O34" si="3">frac_malaria_risk</f>
        <v>0.01</v>
      </c>
      <c r="D34" s="60">
        <f t="shared" si="3"/>
        <v>0.01</v>
      </c>
      <c r="E34" s="60">
        <f t="shared" si="3"/>
        <v>0.01</v>
      </c>
      <c r="F34" s="60">
        <f t="shared" si="3"/>
        <v>0.01</v>
      </c>
      <c r="G34" s="60">
        <f t="shared" si="3"/>
        <v>0.01</v>
      </c>
      <c r="H34" s="60">
        <f t="shared" si="3"/>
        <v>0.01</v>
      </c>
      <c r="I34" s="60">
        <f t="shared" si="3"/>
        <v>0.01</v>
      </c>
      <c r="J34" s="60">
        <f t="shared" si="3"/>
        <v>0.01</v>
      </c>
      <c r="K34" s="60">
        <f t="shared" si="3"/>
        <v>0.01</v>
      </c>
      <c r="L34" s="60">
        <f t="shared" si="3"/>
        <v>0.01</v>
      </c>
      <c r="M34" s="60">
        <f t="shared" si="3"/>
        <v>0.01</v>
      </c>
      <c r="N34" s="60">
        <f t="shared" si="3"/>
        <v>0.01</v>
      </c>
      <c r="O34" s="60">
        <f t="shared" si="3"/>
        <v>0.01</v>
      </c>
    </row>
    <row r="35" spans="2:15" ht="15.75" customHeight="1" x14ac:dyDescent="0.25">
      <c r="B35" s="9" t="s">
        <v>197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198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199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200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201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5Ou9VOOLXvBY9vVMwgItle8OUnP61FotL0SsZvZyeD3rBiSaRk/gBM4UCZJWHxiA4FnrE0cj4D/yG2g9a/DLoQ==" saltValue="HOltFUvAMYt6aRpn/AMQOA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183</v>
      </c>
    </row>
    <row r="2" spans="1:1" x14ac:dyDescent="0.25">
      <c r="A2" s="8" t="s">
        <v>213</v>
      </c>
    </row>
    <row r="3" spans="1:1" x14ac:dyDescent="0.25">
      <c r="A3" s="8" t="s">
        <v>212</v>
      </c>
    </row>
    <row r="4" spans="1:1" x14ac:dyDescent="0.25">
      <c r="A4" s="8" t="s">
        <v>214</v>
      </c>
    </row>
  </sheetData>
  <sheetProtection algorithmName="SHA-512" hashValue="lmgwTeXMJ1D5mvoqHLAkt/X3KlAP7hpgmBAzcHHaYnhpHUUD6x71/liP8lR1XigvOJR3hW62D3oTwob/pYCE4w==" saltValue="o6VkEcF45vata0ah/Uckzg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223</v>
      </c>
      <c r="B1" s="4" t="s">
        <v>216</v>
      </c>
      <c r="C1" s="4" t="s">
        <v>227</v>
      </c>
      <c r="D1" s="4" t="s">
        <v>145</v>
      </c>
      <c r="E1" s="4" t="s">
        <v>225</v>
      </c>
    </row>
    <row r="2" spans="1:5" ht="14" customHeight="1" x14ac:dyDescent="0.3">
      <c r="A2" s="28" t="s">
        <v>215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222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217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221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220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226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218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219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+976k5IXKq15leqFWiwv1YdTBAOf1xoC0UJM4NlM6/RvBMJfEjqgTbxhA44hlCdrEAxga+sdbdk2Pb6Qze+9Cw==" saltValue="76xu8++iuYL+lFkuAT/Kmw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C12" sqref="C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209</v>
      </c>
      <c r="B1" s="1" t="s">
        <v>163</v>
      </c>
      <c r="C1" s="4" t="s">
        <v>78</v>
      </c>
      <c r="D1" s="4" t="s">
        <v>74</v>
      </c>
      <c r="E1" s="4" t="s">
        <v>77</v>
      </c>
      <c r="F1" s="4" t="s">
        <v>75</v>
      </c>
      <c r="G1" s="4" t="s">
        <v>76</v>
      </c>
      <c r="H1" s="4" t="s">
        <v>113</v>
      </c>
      <c r="I1" s="4" t="s">
        <v>114</v>
      </c>
      <c r="J1" s="4" t="s">
        <v>115</v>
      </c>
      <c r="K1" s="4" t="s">
        <v>116</v>
      </c>
      <c r="L1" s="4" t="s">
        <v>68</v>
      </c>
      <c r="M1" s="4" t="s">
        <v>69</v>
      </c>
      <c r="N1" s="4" t="s">
        <v>70</v>
      </c>
      <c r="O1" s="4" t="s">
        <v>71</v>
      </c>
    </row>
    <row r="2" spans="1:15" ht="15.75" customHeight="1" x14ac:dyDescent="0.35">
      <c r="A2" s="4" t="s">
        <v>83</v>
      </c>
      <c r="B2" s="5" t="s">
        <v>167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169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151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152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153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182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190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192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193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204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164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196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202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203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104</v>
      </c>
      <c r="B18" s="5" t="s">
        <v>165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166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178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179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180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188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189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191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211</v>
      </c>
      <c r="B27" s="5" t="s">
        <v>170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174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175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176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177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210</v>
      </c>
      <c r="B33" s="5" t="s">
        <v>171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172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173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181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197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198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199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200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201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PWoHrN7ftBpK6ZPdXDL+UL00NqJr7bk8R3qNTJ1h0mThs6Il9UK17pYcgMxR4N2Q+BQxglIZwo/b6ZatxbRJnA==" saltValue="Q8JH3t+dBU5rfa1BC64PNA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163</v>
      </c>
      <c r="B1" s="8" t="s">
        <v>230</v>
      </c>
      <c r="C1" s="8" t="s">
        <v>105</v>
      </c>
      <c r="D1" s="8" t="s">
        <v>231</v>
      </c>
      <c r="E1" s="8" t="s">
        <v>232</v>
      </c>
      <c r="F1" s="8" t="s">
        <v>123</v>
      </c>
      <c r="G1" s="8" t="s">
        <v>84</v>
      </c>
      <c r="H1" s="8" t="s">
        <v>37</v>
      </c>
      <c r="I1" s="8" t="s">
        <v>229</v>
      </c>
      <c r="J1" s="8" t="s">
        <v>22</v>
      </c>
      <c r="K1" s="8" t="s">
        <v>228</v>
      </c>
    </row>
    <row r="2" spans="1:11" ht="13.25" customHeight="1" x14ac:dyDescent="0.25">
      <c r="A2" s="5" t="s">
        <v>165</v>
      </c>
      <c r="B2" s="87"/>
      <c r="C2" s="87"/>
      <c r="D2" s="87"/>
      <c r="E2" s="87"/>
      <c r="F2" s="87"/>
      <c r="G2" s="87"/>
      <c r="H2" s="87"/>
      <c r="I2" s="87" t="s">
        <v>5</v>
      </c>
      <c r="J2" s="87"/>
      <c r="K2" s="87"/>
    </row>
    <row r="3" spans="1:11" ht="13.25" customHeight="1" x14ac:dyDescent="0.25">
      <c r="A3" s="5" t="s">
        <v>166</v>
      </c>
      <c r="B3" s="87"/>
      <c r="C3" s="87"/>
      <c r="D3" s="87"/>
      <c r="E3" s="87"/>
      <c r="F3" s="87"/>
      <c r="G3" s="87"/>
      <c r="H3" s="87" t="s">
        <v>5</v>
      </c>
      <c r="I3" s="87"/>
      <c r="J3" s="87"/>
      <c r="K3" s="87"/>
    </row>
    <row r="4" spans="1:11" ht="13.25" customHeight="1" x14ac:dyDescent="0.25">
      <c r="A4" s="5" t="s">
        <v>167</v>
      </c>
      <c r="B4" s="87"/>
      <c r="C4" s="87"/>
      <c r="D4" s="87" t="s">
        <v>5</v>
      </c>
      <c r="E4" s="87"/>
      <c r="F4" s="87"/>
      <c r="G4" s="87"/>
      <c r="H4" s="87"/>
      <c r="I4" s="87"/>
      <c r="J4" s="87"/>
      <c r="K4" s="87"/>
    </row>
    <row r="5" spans="1:11" ht="13.25" customHeight="1" x14ac:dyDescent="0.25">
      <c r="A5" s="5" t="s">
        <v>169</v>
      </c>
      <c r="B5" s="87"/>
      <c r="C5" s="87" t="s">
        <v>5</v>
      </c>
      <c r="D5" s="87"/>
      <c r="E5" s="87"/>
      <c r="F5" s="87"/>
      <c r="G5" s="87"/>
      <c r="H5" s="87"/>
      <c r="I5" s="87"/>
      <c r="J5" s="87"/>
      <c r="K5" s="87"/>
    </row>
    <row r="6" spans="1:11" ht="13.25" customHeight="1" x14ac:dyDescent="0.25">
      <c r="A6" s="5" t="s">
        <v>170</v>
      </c>
      <c r="B6" s="87"/>
      <c r="C6" s="87"/>
      <c r="D6" s="87"/>
      <c r="E6" s="87"/>
      <c r="F6" s="87"/>
      <c r="G6" s="87"/>
      <c r="H6" s="87"/>
      <c r="I6" s="87"/>
      <c r="J6" s="87" t="s">
        <v>5</v>
      </c>
      <c r="K6" s="87" t="s">
        <v>5</v>
      </c>
    </row>
    <row r="7" spans="1:11" ht="13.25" customHeight="1" x14ac:dyDescent="0.25">
      <c r="A7" s="5" t="s">
        <v>171</v>
      </c>
      <c r="B7" s="87"/>
      <c r="C7" s="87" t="s">
        <v>5</v>
      </c>
      <c r="D7" s="87"/>
      <c r="E7" s="87"/>
      <c r="F7" s="87"/>
      <c r="G7" s="87"/>
      <c r="H7" s="87" t="s">
        <v>5</v>
      </c>
      <c r="I7" s="87"/>
      <c r="J7" s="87"/>
      <c r="K7" s="87"/>
    </row>
    <row r="8" spans="1:11" ht="13.25" customHeight="1" x14ac:dyDescent="0.25">
      <c r="A8" s="5" t="s">
        <v>172</v>
      </c>
      <c r="B8" s="87"/>
      <c r="C8" s="87" t="s">
        <v>5</v>
      </c>
      <c r="D8" s="87"/>
      <c r="E8" s="87"/>
      <c r="F8" s="87"/>
      <c r="G8" s="87"/>
      <c r="H8" s="87" t="s">
        <v>5</v>
      </c>
      <c r="I8" s="87"/>
      <c r="J8" s="87"/>
      <c r="K8" s="87"/>
    </row>
    <row r="9" spans="1:11" ht="13.25" customHeight="1" x14ac:dyDescent="0.25">
      <c r="A9" s="5" t="s">
        <v>173</v>
      </c>
      <c r="B9" s="87"/>
      <c r="C9" s="87" t="s">
        <v>5</v>
      </c>
      <c r="D9" s="87"/>
      <c r="E9" s="87"/>
      <c r="F9" s="87"/>
      <c r="G9" s="87"/>
      <c r="H9" s="87" t="s">
        <v>5</v>
      </c>
      <c r="I9" s="87"/>
      <c r="J9" s="87"/>
      <c r="K9" s="87"/>
    </row>
    <row r="10" spans="1:11" ht="13.25" customHeight="1" x14ac:dyDescent="0.25">
      <c r="A10" s="11" t="s">
        <v>174</v>
      </c>
      <c r="B10" s="87"/>
      <c r="C10" s="87" t="s">
        <v>5</v>
      </c>
      <c r="D10" s="87"/>
      <c r="E10" s="87"/>
      <c r="F10" s="87"/>
      <c r="G10" s="87"/>
      <c r="H10" s="87"/>
      <c r="I10" s="87"/>
      <c r="J10" s="87"/>
      <c r="K10" s="87"/>
    </row>
    <row r="11" spans="1:11" ht="13.25" customHeight="1" x14ac:dyDescent="0.25">
      <c r="A11" s="11" t="s">
        <v>175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/>
      <c r="K11" s="87"/>
    </row>
    <row r="12" spans="1:11" ht="13.25" customHeight="1" x14ac:dyDescent="0.25">
      <c r="A12" s="11" t="s">
        <v>176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/>
    </row>
    <row r="13" spans="1:11" ht="13.25" customHeight="1" x14ac:dyDescent="0.25">
      <c r="A13" s="11" t="s">
        <v>177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/>
    </row>
    <row r="14" spans="1:11" ht="13.25" customHeight="1" x14ac:dyDescent="0.25">
      <c r="A14" s="5" t="s">
        <v>178</v>
      </c>
      <c r="B14" s="87"/>
      <c r="C14" s="87" t="s">
        <v>5</v>
      </c>
      <c r="D14" s="87"/>
      <c r="E14" s="87"/>
      <c r="F14" s="87"/>
      <c r="G14" s="87"/>
      <c r="H14" s="87"/>
      <c r="I14" s="87" t="s">
        <v>5</v>
      </c>
      <c r="J14" s="87"/>
      <c r="K14" s="87"/>
    </row>
    <row r="15" spans="1:11" ht="13.25" customHeight="1" x14ac:dyDescent="0.25">
      <c r="A15" s="5" t="s">
        <v>179</v>
      </c>
      <c r="B15" s="87"/>
      <c r="C15" s="87" t="s">
        <v>5</v>
      </c>
      <c r="D15" s="87"/>
      <c r="E15" s="87"/>
      <c r="F15" s="87"/>
      <c r="G15" s="87"/>
      <c r="H15" s="87"/>
      <c r="I15" s="87" t="s">
        <v>5</v>
      </c>
      <c r="J15" s="87"/>
      <c r="K15" s="87"/>
    </row>
    <row r="16" spans="1:11" ht="13.25" customHeight="1" x14ac:dyDescent="0.25">
      <c r="A16" s="5" t="s">
        <v>180</v>
      </c>
      <c r="B16" s="87"/>
      <c r="C16" s="87" t="s">
        <v>5</v>
      </c>
      <c r="D16" s="87"/>
      <c r="E16" s="87"/>
      <c r="F16" s="87"/>
      <c r="G16" s="87"/>
      <c r="H16" s="87" t="s">
        <v>5</v>
      </c>
      <c r="I16" s="87" t="s">
        <v>5</v>
      </c>
      <c r="J16" s="87"/>
      <c r="K16" s="87"/>
    </row>
    <row r="17" spans="1:11" ht="13.25" customHeight="1" x14ac:dyDescent="0.25">
      <c r="A17" s="5" t="s">
        <v>181</v>
      </c>
      <c r="B17" s="87"/>
      <c r="C17" s="87" t="s">
        <v>5</v>
      </c>
      <c r="D17" s="87"/>
      <c r="E17" s="87"/>
      <c r="F17" s="87"/>
      <c r="G17" s="87"/>
      <c r="H17" s="87"/>
      <c r="I17" s="87"/>
      <c r="J17" s="87"/>
      <c r="K17" s="87"/>
    </row>
    <row r="18" spans="1:11" ht="13.25" customHeight="1" x14ac:dyDescent="0.25">
      <c r="A18" s="5" t="s">
        <v>151</v>
      </c>
      <c r="B18" s="87" t="s">
        <v>5</v>
      </c>
      <c r="C18" s="87"/>
      <c r="D18" s="87"/>
      <c r="E18" s="87"/>
      <c r="F18" s="87" t="s">
        <v>5</v>
      </c>
      <c r="G18" s="87"/>
      <c r="H18" s="87"/>
      <c r="I18" s="87"/>
      <c r="J18" s="87"/>
      <c r="K18" s="87"/>
    </row>
    <row r="19" spans="1:11" ht="13.25" customHeight="1" x14ac:dyDescent="0.25">
      <c r="A19" s="5" t="s">
        <v>152</v>
      </c>
      <c r="B19" s="87" t="s">
        <v>5</v>
      </c>
      <c r="C19" s="87"/>
      <c r="D19" s="87"/>
      <c r="E19" s="87"/>
      <c r="F19" s="87" t="s">
        <v>5</v>
      </c>
      <c r="G19" s="87"/>
      <c r="H19" s="87"/>
      <c r="I19" s="87"/>
      <c r="J19" s="87"/>
      <c r="K19" s="87"/>
    </row>
    <row r="20" spans="1:11" ht="13.25" customHeight="1" x14ac:dyDescent="0.25">
      <c r="A20" s="5" t="s">
        <v>153</v>
      </c>
      <c r="B20" s="87" t="s">
        <v>5</v>
      </c>
      <c r="C20" s="87"/>
      <c r="D20" s="87"/>
      <c r="E20" s="87"/>
      <c r="F20" s="87" t="s">
        <v>5</v>
      </c>
      <c r="G20" s="87"/>
      <c r="H20" s="87"/>
      <c r="I20" s="87"/>
      <c r="J20" s="87"/>
      <c r="K20" s="87"/>
    </row>
    <row r="21" spans="1:11" ht="13.25" customHeight="1" x14ac:dyDescent="0.25">
      <c r="A21" s="5" t="s">
        <v>182</v>
      </c>
      <c r="B21" s="87"/>
      <c r="C21" s="87"/>
      <c r="D21" s="87"/>
      <c r="E21" s="87"/>
      <c r="F21" s="87"/>
      <c r="G21" s="87"/>
      <c r="H21" s="87" t="s">
        <v>5</v>
      </c>
      <c r="I21" s="87" t="s">
        <v>5</v>
      </c>
      <c r="J21" s="87"/>
      <c r="K21" s="87"/>
    </row>
    <row r="22" spans="1:11" x14ac:dyDescent="0.25">
      <c r="A22" s="5" t="s">
        <v>184</v>
      </c>
      <c r="B22" s="87" t="s">
        <v>5</v>
      </c>
      <c r="C22" s="87" t="s">
        <v>5</v>
      </c>
      <c r="D22" s="87" t="s">
        <v>5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185</v>
      </c>
      <c r="B23" s="87"/>
      <c r="C23" s="87" t="s">
        <v>5</v>
      </c>
      <c r="D23" s="87"/>
      <c r="E23" s="87"/>
      <c r="F23" s="87"/>
      <c r="G23" s="87"/>
      <c r="H23" s="87"/>
      <c r="I23" s="87" t="s">
        <v>5</v>
      </c>
      <c r="J23" s="87"/>
      <c r="K23" s="87"/>
    </row>
    <row r="24" spans="1:11" x14ac:dyDescent="0.25">
      <c r="A24" s="5" t="s">
        <v>188</v>
      </c>
      <c r="B24" s="87"/>
      <c r="C24" s="87"/>
      <c r="D24" s="87"/>
      <c r="E24" s="87"/>
      <c r="F24" s="87"/>
      <c r="G24" s="87"/>
      <c r="H24" s="87" t="s">
        <v>5</v>
      </c>
      <c r="I24" s="87"/>
      <c r="J24" s="87"/>
      <c r="K24" s="87"/>
    </row>
    <row r="25" spans="1:11" x14ac:dyDescent="0.25">
      <c r="A25" s="5" t="s">
        <v>189</v>
      </c>
      <c r="B25" s="87"/>
      <c r="C25" s="87"/>
      <c r="D25" s="87"/>
      <c r="E25" s="87"/>
      <c r="F25" s="87"/>
      <c r="G25" s="87"/>
      <c r="H25" s="87" t="s">
        <v>5</v>
      </c>
      <c r="I25" s="87"/>
      <c r="J25" s="87"/>
      <c r="K25" s="87"/>
    </row>
    <row r="26" spans="1:11" x14ac:dyDescent="0.25">
      <c r="A26" s="5" t="s">
        <v>190</v>
      </c>
      <c r="B26" s="87"/>
      <c r="C26" s="87" t="s">
        <v>5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191</v>
      </c>
      <c r="B27" s="87"/>
      <c r="C27" s="87" t="s">
        <v>5</v>
      </c>
      <c r="D27" s="87"/>
      <c r="E27" s="87"/>
      <c r="F27" s="87"/>
      <c r="G27" s="87"/>
      <c r="H27" s="87"/>
      <c r="I27" s="87" t="s">
        <v>5</v>
      </c>
      <c r="J27" s="87"/>
      <c r="K27" s="87"/>
    </row>
    <row r="28" spans="1:11" x14ac:dyDescent="0.25">
      <c r="A28" s="5" t="s">
        <v>192</v>
      </c>
      <c r="B28" s="87"/>
      <c r="C28" s="87"/>
      <c r="D28" s="87"/>
      <c r="E28" s="87"/>
      <c r="F28" s="87"/>
      <c r="G28" s="87"/>
      <c r="H28" s="87" t="s">
        <v>5</v>
      </c>
      <c r="I28" s="87"/>
      <c r="J28" s="87"/>
      <c r="K28" s="87"/>
    </row>
    <row r="29" spans="1:11" x14ac:dyDescent="0.25">
      <c r="A29" s="5" t="s">
        <v>193</v>
      </c>
      <c r="B29" s="87" t="s">
        <v>5</v>
      </c>
      <c r="C29" s="87"/>
      <c r="D29" s="87" t="s">
        <v>5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204</v>
      </c>
      <c r="B30" s="87" t="s">
        <v>5</v>
      </c>
      <c r="C30" s="87" t="s">
        <v>5</v>
      </c>
      <c r="D30" s="87" t="s">
        <v>5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164</v>
      </c>
      <c r="B31" s="87"/>
      <c r="C31" s="87"/>
      <c r="D31" s="87"/>
      <c r="E31" s="87" t="s">
        <v>5</v>
      </c>
      <c r="F31" s="87"/>
      <c r="G31" s="87"/>
      <c r="H31" s="87"/>
      <c r="I31" s="87"/>
      <c r="J31" s="87"/>
      <c r="K31" s="87"/>
    </row>
    <row r="32" spans="1:11" x14ac:dyDescent="0.25">
      <c r="A32" s="5" t="s">
        <v>196</v>
      </c>
      <c r="B32" s="87"/>
      <c r="C32" s="87"/>
      <c r="D32" s="87"/>
      <c r="E32" s="87"/>
      <c r="F32" s="87"/>
      <c r="G32" s="87" t="s">
        <v>5</v>
      </c>
      <c r="H32" s="87" t="s">
        <v>5</v>
      </c>
      <c r="I32" s="87"/>
      <c r="J32" s="87"/>
      <c r="K32" s="87"/>
    </row>
    <row r="33" spans="1:11" x14ac:dyDescent="0.25">
      <c r="A33" s="5" t="s">
        <v>197</v>
      </c>
      <c r="B33" s="87"/>
      <c r="C33" s="87"/>
      <c r="D33" s="87"/>
      <c r="E33" s="87"/>
      <c r="F33" s="87"/>
      <c r="G33" s="87" t="s">
        <v>5</v>
      </c>
      <c r="H33" s="87" t="s">
        <v>5</v>
      </c>
      <c r="I33" s="87"/>
      <c r="J33" s="87"/>
      <c r="K33" s="87"/>
    </row>
    <row r="34" spans="1:11" x14ac:dyDescent="0.25">
      <c r="A34" s="5" t="s">
        <v>198</v>
      </c>
      <c r="B34" s="87"/>
      <c r="C34" s="87"/>
      <c r="D34" s="87"/>
      <c r="E34" s="87"/>
      <c r="F34" s="87"/>
      <c r="G34" s="87" t="s">
        <v>5</v>
      </c>
      <c r="H34" s="87" t="s">
        <v>5</v>
      </c>
      <c r="I34" s="87"/>
      <c r="J34" s="87"/>
      <c r="K34" s="87"/>
    </row>
    <row r="35" spans="1:11" x14ac:dyDescent="0.25">
      <c r="A35" s="5" t="s">
        <v>199</v>
      </c>
      <c r="B35" s="87"/>
      <c r="C35" s="87"/>
      <c r="D35" s="87"/>
      <c r="E35" s="87"/>
      <c r="F35" s="87"/>
      <c r="G35" s="87" t="s">
        <v>5</v>
      </c>
      <c r="H35" s="87" t="s">
        <v>5</v>
      </c>
      <c r="I35" s="87"/>
      <c r="J35" s="87"/>
      <c r="K35" s="87"/>
    </row>
    <row r="36" spans="1:11" x14ac:dyDescent="0.25">
      <c r="A36" s="5" t="s">
        <v>200</v>
      </c>
      <c r="B36" s="87"/>
      <c r="C36" s="87"/>
      <c r="D36" s="87"/>
      <c r="E36" s="87"/>
      <c r="F36" s="87"/>
      <c r="G36" s="87" t="s">
        <v>5</v>
      </c>
      <c r="H36" s="87" t="s">
        <v>5</v>
      </c>
      <c r="I36" s="87"/>
      <c r="J36" s="87"/>
      <c r="K36" s="87"/>
    </row>
    <row r="37" spans="1:11" x14ac:dyDescent="0.25">
      <c r="A37" s="5" t="s">
        <v>201</v>
      </c>
      <c r="B37" s="87"/>
      <c r="C37" s="87"/>
      <c r="D37" s="87"/>
      <c r="E37" s="87"/>
      <c r="F37" s="87"/>
      <c r="G37" s="87" t="s">
        <v>5</v>
      </c>
      <c r="H37" s="87" t="s">
        <v>5</v>
      </c>
      <c r="I37" s="87"/>
      <c r="J37" s="87"/>
      <c r="K37" s="87"/>
    </row>
    <row r="38" spans="1:11" x14ac:dyDescent="0.25">
      <c r="A38" s="5" t="s">
        <v>202</v>
      </c>
      <c r="B38" s="87"/>
      <c r="C38" s="87"/>
      <c r="D38" s="87"/>
      <c r="E38" s="87"/>
      <c r="F38" s="87"/>
      <c r="G38" s="87"/>
      <c r="H38" s="87" t="s">
        <v>5</v>
      </c>
      <c r="I38" s="87"/>
      <c r="J38" s="87"/>
      <c r="K38" s="87"/>
    </row>
    <row r="39" spans="1:11" x14ac:dyDescent="0.25">
      <c r="A39" s="5" t="s">
        <v>203</v>
      </c>
      <c r="B39" s="87" t="s">
        <v>5</v>
      </c>
      <c r="C39" s="87"/>
      <c r="D39" s="87"/>
      <c r="E39" s="87"/>
      <c r="F39" s="87"/>
      <c r="G39" s="87" t="s">
        <v>5</v>
      </c>
      <c r="H39" s="87" t="s">
        <v>5</v>
      </c>
      <c r="I39" s="87"/>
      <c r="J39" s="87"/>
      <c r="K39" s="87"/>
    </row>
  </sheetData>
  <sheetProtection algorithmName="SHA-512" hashValue="afExTYKB0K86LQPa0M1qiODK3ivfpfUsfjSOnXRDO/N8ywHv0daLH33UDixmZTdr8CXhZYHzxAb/PN911ngf0w==" saltValue="3C4ettlqBvuDEYUAbYkjDw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233</v>
      </c>
      <c r="B1" s="8" t="s">
        <v>230</v>
      </c>
      <c r="C1" s="8" t="s">
        <v>105</v>
      </c>
      <c r="D1" s="8" t="s">
        <v>231</v>
      </c>
      <c r="E1" s="8" t="s">
        <v>232</v>
      </c>
      <c r="F1" s="8" t="s">
        <v>123</v>
      </c>
      <c r="G1" s="8" t="s">
        <v>84</v>
      </c>
      <c r="H1" s="8" t="s">
        <v>37</v>
      </c>
      <c r="I1" s="8" t="s">
        <v>229</v>
      </c>
      <c r="J1" s="8" t="s">
        <v>22</v>
      </c>
      <c r="K1" s="8" t="s">
        <v>228</v>
      </c>
    </row>
    <row r="2" spans="1:11" ht="13.25" customHeight="1" x14ac:dyDescent="0.25">
      <c r="A2" s="8" t="s">
        <v>78</v>
      </c>
      <c r="B2" s="87" t="s">
        <v>5</v>
      </c>
      <c r="C2" s="87" t="s">
        <v>5</v>
      </c>
      <c r="D2" s="87" t="s">
        <v>5</v>
      </c>
      <c r="E2" s="87" t="s">
        <v>5</v>
      </c>
      <c r="F2" s="87" t="s">
        <v>5</v>
      </c>
      <c r="G2" s="87" t="s">
        <v>5</v>
      </c>
      <c r="H2" s="87" t="s">
        <v>5</v>
      </c>
      <c r="I2" s="87"/>
      <c r="J2" s="87"/>
      <c r="K2" s="87"/>
    </row>
    <row r="3" spans="1:11" ht="13.25" customHeight="1" x14ac:dyDescent="0.25">
      <c r="A3" s="8" t="s">
        <v>74</v>
      </c>
      <c r="B3" s="87" t="s">
        <v>5</v>
      </c>
      <c r="C3" s="87" t="s">
        <v>5</v>
      </c>
      <c r="D3" s="87" t="s">
        <v>5</v>
      </c>
      <c r="E3" s="87" t="s">
        <v>5</v>
      </c>
      <c r="F3" s="87" t="s">
        <v>5</v>
      </c>
      <c r="G3" s="87" t="s">
        <v>5</v>
      </c>
      <c r="H3" s="87" t="s">
        <v>5</v>
      </c>
      <c r="I3" s="87"/>
      <c r="J3" s="87"/>
      <c r="K3" s="87"/>
    </row>
    <row r="4" spans="1:11" ht="13.25" customHeight="1" x14ac:dyDescent="0.25">
      <c r="A4" s="8" t="s">
        <v>77</v>
      </c>
      <c r="B4" s="87" t="s">
        <v>5</v>
      </c>
      <c r="C4" s="87" t="s">
        <v>5</v>
      </c>
      <c r="D4" s="87" t="s">
        <v>5</v>
      </c>
      <c r="E4" s="87" t="s">
        <v>5</v>
      </c>
      <c r="F4" s="87" t="s">
        <v>5</v>
      </c>
      <c r="G4" s="87" t="s">
        <v>5</v>
      </c>
      <c r="H4" s="87" t="s">
        <v>5</v>
      </c>
      <c r="I4" s="87"/>
      <c r="J4" s="87"/>
      <c r="K4" s="87"/>
    </row>
    <row r="5" spans="1:11" ht="13.25" customHeight="1" x14ac:dyDescent="0.25">
      <c r="A5" s="8" t="s">
        <v>75</v>
      </c>
      <c r="B5" s="87" t="s">
        <v>5</v>
      </c>
      <c r="C5" s="87" t="s">
        <v>5</v>
      </c>
      <c r="D5" s="87" t="s">
        <v>5</v>
      </c>
      <c r="E5" s="87" t="s">
        <v>5</v>
      </c>
      <c r="F5" s="87" t="s">
        <v>5</v>
      </c>
      <c r="G5" s="87" t="s">
        <v>5</v>
      </c>
      <c r="H5" s="87" t="s">
        <v>5</v>
      </c>
      <c r="I5" s="87"/>
      <c r="J5" s="87"/>
      <c r="K5" s="87"/>
    </row>
    <row r="6" spans="1:11" ht="13.25" customHeight="1" x14ac:dyDescent="0.25">
      <c r="A6" s="8" t="s">
        <v>76</v>
      </c>
      <c r="B6" s="87" t="s">
        <v>5</v>
      </c>
      <c r="C6" s="87" t="s">
        <v>5</v>
      </c>
      <c r="D6" s="87" t="s">
        <v>5</v>
      </c>
      <c r="E6" s="87" t="s">
        <v>5</v>
      </c>
      <c r="F6" s="87" t="s">
        <v>5</v>
      </c>
      <c r="G6" s="87" t="s">
        <v>5</v>
      </c>
      <c r="H6" s="87" t="s">
        <v>5</v>
      </c>
      <c r="I6" s="87"/>
      <c r="J6" s="87"/>
      <c r="K6" s="87"/>
    </row>
    <row r="7" spans="1:11" ht="13.25" customHeight="1" x14ac:dyDescent="0.25">
      <c r="A7" s="8" t="s">
        <v>113</v>
      </c>
      <c r="B7" s="87"/>
      <c r="C7" s="87" t="s">
        <v>5</v>
      </c>
      <c r="D7" s="87"/>
      <c r="E7" s="87"/>
      <c r="F7" s="87"/>
      <c r="G7" s="87"/>
      <c r="H7" s="87" t="s">
        <v>5</v>
      </c>
      <c r="I7" s="87" t="s">
        <v>5</v>
      </c>
      <c r="J7" s="87"/>
      <c r="K7" s="87"/>
    </row>
    <row r="8" spans="1:11" ht="13.25" customHeight="1" x14ac:dyDescent="0.25">
      <c r="A8" s="8" t="s">
        <v>114</v>
      </c>
      <c r="B8" s="87"/>
      <c r="C8" s="87" t="s">
        <v>5</v>
      </c>
      <c r="D8" s="87"/>
      <c r="E8" s="87"/>
      <c r="F8" s="87"/>
      <c r="G8" s="87"/>
      <c r="H8" s="87" t="s">
        <v>5</v>
      </c>
      <c r="I8" s="87" t="s">
        <v>5</v>
      </c>
      <c r="J8" s="87"/>
      <c r="K8" s="87"/>
    </row>
    <row r="9" spans="1:11" ht="13.25" customHeight="1" x14ac:dyDescent="0.25">
      <c r="A9" s="8" t="s">
        <v>115</v>
      </c>
      <c r="B9" s="87"/>
      <c r="C9" s="87" t="s">
        <v>5</v>
      </c>
      <c r="D9" s="87"/>
      <c r="E9" s="87"/>
      <c r="F9" s="87"/>
      <c r="G9" s="87"/>
      <c r="H9" s="87" t="s">
        <v>5</v>
      </c>
      <c r="I9" s="87" t="s">
        <v>5</v>
      </c>
      <c r="J9" s="87"/>
      <c r="K9" s="87"/>
    </row>
    <row r="10" spans="1:11" ht="13.25" customHeight="1" x14ac:dyDescent="0.25">
      <c r="A10" s="8" t="s">
        <v>116</v>
      </c>
      <c r="B10" s="87"/>
      <c r="C10" s="87" t="s">
        <v>5</v>
      </c>
      <c r="D10" s="87"/>
      <c r="E10" s="87"/>
      <c r="F10" s="87"/>
      <c r="G10" s="87"/>
      <c r="H10" s="87" t="s">
        <v>5</v>
      </c>
      <c r="I10" s="87" t="s">
        <v>5</v>
      </c>
      <c r="J10" s="87"/>
      <c r="K10" s="87"/>
    </row>
    <row r="11" spans="1:11" ht="13.25" customHeight="1" x14ac:dyDescent="0.25">
      <c r="A11" s="8" t="s">
        <v>68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 t="s">
        <v>5</v>
      </c>
      <c r="K11" s="87" t="s">
        <v>5</v>
      </c>
    </row>
    <row r="12" spans="1:11" ht="13.25" customHeight="1" x14ac:dyDescent="0.25">
      <c r="A12" s="8" t="s">
        <v>69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 t="s">
        <v>5</v>
      </c>
    </row>
    <row r="13" spans="1:11" ht="13.25" customHeight="1" x14ac:dyDescent="0.25">
      <c r="A13" s="8" t="s">
        <v>70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 t="s">
        <v>5</v>
      </c>
    </row>
    <row r="14" spans="1:11" ht="13.25" customHeight="1" x14ac:dyDescent="0.25">
      <c r="A14" s="8" t="s">
        <v>71</v>
      </c>
      <c r="B14" s="87"/>
      <c r="C14" s="87" t="s">
        <v>5</v>
      </c>
      <c r="D14" s="87"/>
      <c r="E14" s="87"/>
      <c r="F14" s="87"/>
      <c r="G14" s="87"/>
      <c r="H14" s="87"/>
      <c r="I14" s="87"/>
      <c r="J14" s="87"/>
      <c r="K14" s="87" t="s">
        <v>5</v>
      </c>
    </row>
  </sheetData>
  <sheetProtection algorithmName="SHA-512" hashValue="SE/9F4pgBsy6X84s6b1SlqnE/lx8v9npdyP8dIf56qEJTpsqDN0CiatGcj+Shh73Pk49cXTaAOyuuQ6NR1np9Q==" saltValue="Pfwts3pmLLyMTCfkDOvKOg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topLeftCell="A127" zoomScale="85" zoomScaleNormal="85" workbookViewId="0">
      <selection activeCell="D8" sqref="D8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234</v>
      </c>
      <c r="B1" s="4" t="s">
        <v>156</v>
      </c>
      <c r="C1" s="4" t="s">
        <v>160</v>
      </c>
      <c r="D1" s="4" t="s">
        <v>78</v>
      </c>
      <c r="E1" s="4" t="s">
        <v>74</v>
      </c>
      <c r="F1" s="4" t="s">
        <v>77</v>
      </c>
      <c r="G1" s="4" t="s">
        <v>75</v>
      </c>
      <c r="H1" s="4" t="s">
        <v>76</v>
      </c>
    </row>
    <row r="2" spans="1:10" ht="13" customHeight="1" x14ac:dyDescent="0.3">
      <c r="A2" s="4" t="s">
        <v>236</v>
      </c>
      <c r="B2" s="103" t="s">
        <v>104</v>
      </c>
      <c r="C2" s="8" t="s">
        <v>150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ht="13.25" customHeight="1" x14ac:dyDescent="0.25">
      <c r="B3" s="104"/>
      <c r="C3" s="8" t="s">
        <v>149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ht="13.25" customHeight="1" x14ac:dyDescent="0.25">
      <c r="B4" s="104"/>
      <c r="C4" s="8" t="s">
        <v>155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ht="13.25" customHeight="1" x14ac:dyDescent="0.25">
      <c r="B5" s="103" t="s">
        <v>78</v>
      </c>
      <c r="C5" s="8" t="s">
        <v>150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ht="13.25" customHeight="1" x14ac:dyDescent="0.25">
      <c r="B6" s="104"/>
      <c r="C6" s="8" t="s">
        <v>149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ht="13.25" customHeight="1" x14ac:dyDescent="0.25">
      <c r="B7" s="104"/>
      <c r="C7" s="8" t="s">
        <v>155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ht="13.25" customHeight="1" x14ac:dyDescent="0.25">
      <c r="B8" s="103" t="s">
        <v>74</v>
      </c>
      <c r="C8" s="8" t="s">
        <v>150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ht="13.25" customHeight="1" x14ac:dyDescent="0.25">
      <c r="B9" s="104"/>
      <c r="C9" s="8" t="s">
        <v>149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ht="13.25" customHeight="1" x14ac:dyDescent="0.25">
      <c r="B10" s="104"/>
      <c r="C10" s="8" t="s">
        <v>155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ht="13.25" customHeight="1" x14ac:dyDescent="0.25">
      <c r="B11" s="103" t="s">
        <v>77</v>
      </c>
      <c r="C11" s="8" t="s">
        <v>150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ht="13.25" customHeight="1" x14ac:dyDescent="0.25">
      <c r="B12" s="104"/>
      <c r="C12" s="8" t="s">
        <v>149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ht="13.25" customHeight="1" x14ac:dyDescent="0.25">
      <c r="B13" s="104"/>
      <c r="C13" s="8" t="s">
        <v>155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ht="13.25" customHeight="1" x14ac:dyDescent="0.25">
      <c r="B14" s="103" t="s">
        <v>75</v>
      </c>
      <c r="C14" s="8" t="s">
        <v>150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ht="13.25" customHeight="1" x14ac:dyDescent="0.25">
      <c r="B15" s="104"/>
      <c r="C15" s="8" t="s">
        <v>149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ht="13.25" customHeight="1" x14ac:dyDescent="0.25">
      <c r="B16" s="104"/>
      <c r="C16" s="8" t="s">
        <v>155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148</v>
      </c>
      <c r="C17" s="8" t="s">
        <v>155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ht="13.25" customHeight="1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242</v>
      </c>
      <c r="B19" s="103" t="s">
        <v>104</v>
      </c>
      <c r="C19" s="8" t="s">
        <v>150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ht="13.25" customHeight="1" x14ac:dyDescent="0.25">
      <c r="B20" s="104"/>
      <c r="C20" s="8" t="s">
        <v>149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ht="13.25" customHeight="1" x14ac:dyDescent="0.25">
      <c r="B21" s="104"/>
      <c r="C21" s="8" t="s">
        <v>155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ht="13.25" customHeight="1" x14ac:dyDescent="0.25">
      <c r="B22" s="103" t="s">
        <v>78</v>
      </c>
      <c r="C22" s="8" t="s">
        <v>150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ht="13.25" customHeight="1" x14ac:dyDescent="0.25">
      <c r="B23" s="104"/>
      <c r="C23" s="8" t="s">
        <v>149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ht="13.25" customHeight="1" x14ac:dyDescent="0.25">
      <c r="B24" s="104"/>
      <c r="C24" s="8" t="s">
        <v>155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ht="13.25" customHeight="1" x14ac:dyDescent="0.25">
      <c r="B25" s="103" t="s">
        <v>74</v>
      </c>
      <c r="C25" s="8" t="s">
        <v>150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ht="13.25" customHeight="1" x14ac:dyDescent="0.25">
      <c r="B26" s="104"/>
      <c r="C26" s="8" t="s">
        <v>149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ht="13.25" customHeight="1" x14ac:dyDescent="0.25">
      <c r="B27" s="104"/>
      <c r="C27" s="8" t="s">
        <v>155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ht="13.25" customHeight="1" x14ac:dyDescent="0.25">
      <c r="B28" s="103" t="s">
        <v>77</v>
      </c>
      <c r="C28" s="8" t="s">
        <v>150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ht="13.25" customHeight="1" x14ac:dyDescent="0.25">
      <c r="B29" s="104"/>
      <c r="C29" s="8" t="s">
        <v>149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ht="13.25" customHeight="1" x14ac:dyDescent="0.25">
      <c r="B30" s="104"/>
      <c r="C30" s="8" t="s">
        <v>155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ht="13.25" customHeight="1" x14ac:dyDescent="0.25">
      <c r="B31" s="103" t="s">
        <v>75</v>
      </c>
      <c r="C31" s="8" t="s">
        <v>150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ht="13.25" customHeight="1" x14ac:dyDescent="0.25">
      <c r="B32" s="104"/>
      <c r="C32" s="8" t="s">
        <v>149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ht="13.25" customHeight="1" x14ac:dyDescent="0.25">
      <c r="B33" s="104"/>
      <c r="C33" s="8" t="s">
        <v>155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148</v>
      </c>
      <c r="C34" s="8" t="s">
        <v>155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ht="13.25" customHeight="1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239</v>
      </c>
      <c r="B36" s="103" t="s">
        <v>104</v>
      </c>
      <c r="C36" s="8" t="s">
        <v>150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ht="13.25" customHeight="1" x14ac:dyDescent="0.25">
      <c r="B37" s="104"/>
      <c r="C37" s="8" t="s">
        <v>149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ht="13.25" customHeight="1" x14ac:dyDescent="0.25">
      <c r="B38" s="104"/>
      <c r="C38" s="8" t="s">
        <v>155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ht="13.25" customHeight="1" x14ac:dyDescent="0.25">
      <c r="B39" s="103" t="s">
        <v>78</v>
      </c>
      <c r="C39" s="8" t="s">
        <v>150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ht="13.25" customHeight="1" x14ac:dyDescent="0.25">
      <c r="B40" s="104"/>
      <c r="C40" s="8" t="s">
        <v>149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ht="13.25" customHeight="1" x14ac:dyDescent="0.25">
      <c r="B41" s="104"/>
      <c r="C41" s="8" t="s">
        <v>155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ht="13.25" customHeight="1" x14ac:dyDescent="0.25">
      <c r="B42" s="103" t="s">
        <v>74</v>
      </c>
      <c r="C42" s="8" t="s">
        <v>150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ht="13.25" customHeight="1" x14ac:dyDescent="0.25">
      <c r="B43" s="104"/>
      <c r="C43" s="8" t="s">
        <v>149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ht="13.25" customHeight="1" x14ac:dyDescent="0.25">
      <c r="B44" s="104"/>
      <c r="C44" s="8" t="s">
        <v>155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ht="13.25" customHeight="1" x14ac:dyDescent="0.25">
      <c r="B45" s="103" t="s">
        <v>77</v>
      </c>
      <c r="C45" s="8" t="s">
        <v>150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ht="13.25" customHeight="1" x14ac:dyDescent="0.25">
      <c r="B46" s="104"/>
      <c r="C46" s="8" t="s">
        <v>149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ht="13.25" customHeight="1" x14ac:dyDescent="0.25">
      <c r="B47" s="104"/>
      <c r="C47" s="8" t="s">
        <v>155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ht="13.25" customHeight="1" x14ac:dyDescent="0.25">
      <c r="B48" s="103" t="s">
        <v>75</v>
      </c>
      <c r="C48" s="8" t="s">
        <v>150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ht="13.25" customHeight="1" x14ac:dyDescent="0.25">
      <c r="B49" s="104"/>
      <c r="C49" s="8" t="s">
        <v>149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ht="13.25" customHeight="1" x14ac:dyDescent="0.25">
      <c r="B50" s="104"/>
      <c r="C50" s="8" t="s">
        <v>155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148</v>
      </c>
      <c r="C51" s="8" t="s">
        <v>155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234</v>
      </c>
      <c r="B54" s="4" t="s">
        <v>156</v>
      </c>
      <c r="C54" s="4" t="s">
        <v>160</v>
      </c>
      <c r="D54" s="4" t="s">
        <v>78</v>
      </c>
      <c r="E54" s="4" t="s">
        <v>74</v>
      </c>
      <c r="F54" s="4" t="s">
        <v>77</v>
      </c>
      <c r="G54" s="4" t="s">
        <v>75</v>
      </c>
      <c r="H54" s="4" t="s">
        <v>76</v>
      </c>
    </row>
    <row r="55" spans="1:8" ht="13" customHeight="1" x14ac:dyDescent="0.3">
      <c r="A55" s="4" t="s">
        <v>237</v>
      </c>
      <c r="B55" s="103" t="s">
        <v>104</v>
      </c>
      <c r="C55" s="8" t="s">
        <v>150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ht="13.25" customHeight="1" x14ac:dyDescent="0.25">
      <c r="B56" s="104"/>
      <c r="C56" s="8" t="s">
        <v>149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ht="13.25" customHeight="1" x14ac:dyDescent="0.25">
      <c r="B57" s="104"/>
      <c r="C57" s="8" t="s">
        <v>155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ht="13.25" customHeight="1" x14ac:dyDescent="0.25">
      <c r="B58" s="103" t="s">
        <v>78</v>
      </c>
      <c r="C58" s="8" t="s">
        <v>150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ht="13.25" customHeight="1" x14ac:dyDescent="0.25">
      <c r="B59" s="104"/>
      <c r="C59" s="8" t="s">
        <v>149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ht="13.25" customHeight="1" x14ac:dyDescent="0.25">
      <c r="B60" s="104"/>
      <c r="C60" s="8" t="s">
        <v>155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ht="13.25" customHeight="1" x14ac:dyDescent="0.25">
      <c r="B61" s="103" t="s">
        <v>74</v>
      </c>
      <c r="C61" s="8" t="s">
        <v>150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ht="13.25" customHeight="1" x14ac:dyDescent="0.25">
      <c r="B62" s="104"/>
      <c r="C62" s="8" t="s">
        <v>149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ht="13.25" customHeight="1" x14ac:dyDescent="0.25">
      <c r="B63" s="104"/>
      <c r="C63" s="8" t="s">
        <v>155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ht="13.25" customHeight="1" x14ac:dyDescent="0.25">
      <c r="B64" s="103" t="s">
        <v>77</v>
      </c>
      <c r="C64" s="8" t="s">
        <v>150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ht="13.25" customHeight="1" x14ac:dyDescent="0.25">
      <c r="B65" s="104"/>
      <c r="C65" s="8" t="s">
        <v>149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ht="13.25" customHeight="1" x14ac:dyDescent="0.25">
      <c r="B66" s="104"/>
      <c r="C66" s="8" t="s">
        <v>155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ht="13.25" customHeight="1" x14ac:dyDescent="0.25">
      <c r="B67" s="103" t="s">
        <v>75</v>
      </c>
      <c r="C67" s="8" t="s">
        <v>150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ht="13.25" customHeight="1" x14ac:dyDescent="0.25">
      <c r="B68" s="104"/>
      <c r="C68" s="8" t="s">
        <v>149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ht="13.25" customHeight="1" x14ac:dyDescent="0.25">
      <c r="B69" s="104"/>
      <c r="C69" s="8" t="s">
        <v>155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148</v>
      </c>
      <c r="C70" s="8" t="s">
        <v>155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ht="13.25" customHeight="1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243</v>
      </c>
      <c r="B72" s="103" t="s">
        <v>104</v>
      </c>
      <c r="C72" s="8" t="s">
        <v>150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ht="13.25" customHeight="1" x14ac:dyDescent="0.25">
      <c r="B73" s="104"/>
      <c r="C73" s="8" t="s">
        <v>149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ht="13.25" customHeight="1" x14ac:dyDescent="0.25">
      <c r="B74" s="104"/>
      <c r="C74" s="8" t="s">
        <v>155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ht="13.25" customHeight="1" x14ac:dyDescent="0.25">
      <c r="B75" s="103" t="s">
        <v>78</v>
      </c>
      <c r="C75" s="8" t="s">
        <v>150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ht="13.25" customHeight="1" x14ac:dyDescent="0.25">
      <c r="B76" s="104"/>
      <c r="C76" s="8" t="s">
        <v>149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ht="13.25" customHeight="1" x14ac:dyDescent="0.25">
      <c r="B77" s="104"/>
      <c r="C77" s="8" t="s">
        <v>155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ht="13.25" customHeight="1" x14ac:dyDescent="0.25">
      <c r="B78" s="103" t="s">
        <v>74</v>
      </c>
      <c r="C78" s="8" t="s">
        <v>150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ht="13.25" customHeight="1" x14ac:dyDescent="0.25">
      <c r="B79" s="104"/>
      <c r="C79" s="8" t="s">
        <v>149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ht="13.25" customHeight="1" x14ac:dyDescent="0.25">
      <c r="B80" s="104"/>
      <c r="C80" s="8" t="s">
        <v>155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ht="13.25" customHeight="1" x14ac:dyDescent="0.25">
      <c r="B81" s="103" t="s">
        <v>77</v>
      </c>
      <c r="C81" s="8" t="s">
        <v>150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ht="13.25" customHeight="1" x14ac:dyDescent="0.25">
      <c r="B82" s="104"/>
      <c r="C82" s="8" t="s">
        <v>149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ht="13.25" customHeight="1" x14ac:dyDescent="0.25">
      <c r="B83" s="104"/>
      <c r="C83" s="8" t="s">
        <v>155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ht="13.25" customHeight="1" x14ac:dyDescent="0.25">
      <c r="B84" s="103" t="s">
        <v>75</v>
      </c>
      <c r="C84" s="8" t="s">
        <v>150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ht="13.25" customHeight="1" x14ac:dyDescent="0.25">
      <c r="B85" s="104"/>
      <c r="C85" s="8" t="s">
        <v>149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ht="13.25" customHeight="1" x14ac:dyDescent="0.25">
      <c r="B86" s="104"/>
      <c r="C86" s="8" t="s">
        <v>155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148</v>
      </c>
      <c r="C87" s="8" t="s">
        <v>155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ht="13.25" customHeight="1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240</v>
      </c>
      <c r="B89" s="103" t="s">
        <v>104</v>
      </c>
      <c r="C89" s="8" t="s">
        <v>150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ht="13.25" customHeight="1" x14ac:dyDescent="0.25">
      <c r="B90" s="104"/>
      <c r="C90" s="8" t="s">
        <v>149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ht="13.25" customHeight="1" x14ac:dyDescent="0.25">
      <c r="B91" s="104"/>
      <c r="C91" s="8" t="s">
        <v>155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ht="13.25" customHeight="1" x14ac:dyDescent="0.25">
      <c r="B92" s="103" t="s">
        <v>78</v>
      </c>
      <c r="C92" s="8" t="s">
        <v>150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ht="13.25" customHeight="1" x14ac:dyDescent="0.25">
      <c r="B93" s="104"/>
      <c r="C93" s="8" t="s">
        <v>149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ht="13.25" customHeight="1" x14ac:dyDescent="0.25">
      <c r="B94" s="104"/>
      <c r="C94" s="8" t="s">
        <v>155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ht="13.25" customHeight="1" x14ac:dyDescent="0.25">
      <c r="B95" s="103" t="s">
        <v>74</v>
      </c>
      <c r="C95" s="8" t="s">
        <v>150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ht="13.25" customHeight="1" x14ac:dyDescent="0.25">
      <c r="B96" s="104"/>
      <c r="C96" s="8" t="s">
        <v>149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ht="13.25" customHeight="1" x14ac:dyDescent="0.25">
      <c r="B97" s="104"/>
      <c r="C97" s="8" t="s">
        <v>155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ht="13.25" customHeight="1" x14ac:dyDescent="0.25">
      <c r="B98" s="103" t="s">
        <v>77</v>
      </c>
      <c r="C98" s="8" t="s">
        <v>150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ht="13.25" customHeight="1" x14ac:dyDescent="0.25">
      <c r="B99" s="104"/>
      <c r="C99" s="8" t="s">
        <v>149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ht="13.25" customHeight="1" x14ac:dyDescent="0.25">
      <c r="B100" s="104"/>
      <c r="C100" s="8" t="s">
        <v>155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ht="13.25" customHeight="1" x14ac:dyDescent="0.25">
      <c r="B101" s="103" t="s">
        <v>75</v>
      </c>
      <c r="C101" s="8" t="s">
        <v>150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ht="13.25" customHeight="1" x14ac:dyDescent="0.25">
      <c r="B102" s="104"/>
      <c r="C102" s="8" t="s">
        <v>149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ht="13.25" customHeight="1" x14ac:dyDescent="0.25">
      <c r="B103" s="104"/>
      <c r="C103" s="8" t="s">
        <v>155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148</v>
      </c>
      <c r="C104" s="8" t="s">
        <v>155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245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234</v>
      </c>
      <c r="B107" s="4" t="s">
        <v>156</v>
      </c>
      <c r="C107" s="4" t="s">
        <v>160</v>
      </c>
      <c r="D107" s="4" t="s">
        <v>78</v>
      </c>
      <c r="E107" s="4" t="s">
        <v>74</v>
      </c>
      <c r="F107" s="4" t="s">
        <v>77</v>
      </c>
      <c r="G107" s="4" t="s">
        <v>75</v>
      </c>
      <c r="H107" s="4" t="s">
        <v>76</v>
      </c>
    </row>
    <row r="108" spans="1:8" ht="13" customHeight="1" x14ac:dyDescent="0.3">
      <c r="A108" s="4" t="s">
        <v>238</v>
      </c>
      <c r="B108" s="103" t="s">
        <v>104</v>
      </c>
      <c r="C108" s="8" t="s">
        <v>150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ht="13.25" customHeight="1" x14ac:dyDescent="0.25">
      <c r="B109" s="104"/>
      <c r="C109" s="8" t="s">
        <v>149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ht="13.25" customHeight="1" x14ac:dyDescent="0.25">
      <c r="B110" s="104"/>
      <c r="C110" s="8" t="s">
        <v>155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ht="13.25" customHeight="1" x14ac:dyDescent="0.25">
      <c r="B111" s="103" t="s">
        <v>78</v>
      </c>
      <c r="C111" s="8" t="s">
        <v>150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ht="13.25" customHeight="1" x14ac:dyDescent="0.25">
      <c r="B112" s="104"/>
      <c r="C112" s="8" t="s">
        <v>149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ht="13.25" customHeight="1" x14ac:dyDescent="0.25">
      <c r="B113" s="104"/>
      <c r="C113" s="8" t="s">
        <v>155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ht="13.25" customHeight="1" x14ac:dyDescent="0.25">
      <c r="B114" s="103" t="s">
        <v>74</v>
      </c>
      <c r="C114" s="8" t="s">
        <v>150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ht="13.25" customHeight="1" x14ac:dyDescent="0.25">
      <c r="B115" s="104"/>
      <c r="C115" s="8" t="s">
        <v>149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ht="13.25" customHeight="1" x14ac:dyDescent="0.25">
      <c r="B116" s="104"/>
      <c r="C116" s="8" t="s">
        <v>155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ht="13.25" customHeight="1" x14ac:dyDescent="0.25">
      <c r="B117" s="103" t="s">
        <v>77</v>
      </c>
      <c r="C117" s="8" t="s">
        <v>150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ht="13.25" customHeight="1" x14ac:dyDescent="0.25">
      <c r="B118" s="104"/>
      <c r="C118" s="8" t="s">
        <v>149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ht="13.25" customHeight="1" x14ac:dyDescent="0.25">
      <c r="B119" s="104"/>
      <c r="C119" s="8" t="s">
        <v>155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ht="13.25" customHeight="1" x14ac:dyDescent="0.25">
      <c r="B120" s="103" t="s">
        <v>75</v>
      </c>
      <c r="C120" s="8" t="s">
        <v>150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ht="13.25" customHeight="1" x14ac:dyDescent="0.25">
      <c r="B121" s="104"/>
      <c r="C121" s="8" t="s">
        <v>149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ht="13.25" customHeight="1" x14ac:dyDescent="0.25">
      <c r="B122" s="104"/>
      <c r="C122" s="8" t="s">
        <v>155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customHeight="1" x14ac:dyDescent="0.25">
      <c r="B123" s="65" t="s">
        <v>148</v>
      </c>
      <c r="C123" s="8" t="s">
        <v>155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ht="13.25" customHeight="1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244</v>
      </c>
      <c r="B125" s="103" t="s">
        <v>104</v>
      </c>
      <c r="C125" s="8" t="s">
        <v>150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ht="13.25" customHeight="1" x14ac:dyDescent="0.25">
      <c r="B126" s="104"/>
      <c r="C126" s="8" t="s">
        <v>149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ht="13.25" customHeight="1" x14ac:dyDescent="0.25">
      <c r="B127" s="104"/>
      <c r="C127" s="8" t="s">
        <v>155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ht="13.25" customHeight="1" x14ac:dyDescent="0.25">
      <c r="B128" s="103" t="s">
        <v>78</v>
      </c>
      <c r="C128" s="8" t="s">
        <v>150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ht="13.25" customHeight="1" x14ac:dyDescent="0.25">
      <c r="B129" s="104"/>
      <c r="C129" s="8" t="s">
        <v>149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ht="13.25" customHeight="1" x14ac:dyDescent="0.25">
      <c r="B130" s="104"/>
      <c r="C130" s="8" t="s">
        <v>155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ht="13.25" customHeight="1" x14ac:dyDescent="0.25">
      <c r="B131" s="103" t="s">
        <v>74</v>
      </c>
      <c r="C131" s="8" t="s">
        <v>150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ht="13.25" customHeight="1" x14ac:dyDescent="0.25">
      <c r="B132" s="104"/>
      <c r="C132" s="8" t="s">
        <v>149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ht="13.25" customHeight="1" x14ac:dyDescent="0.25">
      <c r="B133" s="104"/>
      <c r="C133" s="8" t="s">
        <v>155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ht="13.25" customHeight="1" x14ac:dyDescent="0.25">
      <c r="B134" s="103" t="s">
        <v>77</v>
      </c>
      <c r="C134" s="8" t="s">
        <v>150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ht="13.25" customHeight="1" x14ac:dyDescent="0.25">
      <c r="B135" s="104"/>
      <c r="C135" s="8" t="s">
        <v>149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ht="13.25" customHeight="1" x14ac:dyDescent="0.25">
      <c r="B136" s="104"/>
      <c r="C136" s="8" t="s">
        <v>155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ht="13.25" customHeight="1" x14ac:dyDescent="0.25">
      <c r="B137" s="103" t="s">
        <v>75</v>
      </c>
      <c r="C137" s="8" t="s">
        <v>150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ht="13.25" customHeight="1" x14ac:dyDescent="0.25">
      <c r="B138" s="104"/>
      <c r="C138" s="8" t="s">
        <v>149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ht="13.25" customHeight="1" x14ac:dyDescent="0.25">
      <c r="B139" s="104"/>
      <c r="C139" s="8" t="s">
        <v>155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customHeight="1" x14ac:dyDescent="0.25">
      <c r="B140" s="65" t="s">
        <v>148</v>
      </c>
      <c r="C140" s="8" t="s">
        <v>155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ht="13.25" customHeight="1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241</v>
      </c>
      <c r="B142" s="103" t="s">
        <v>104</v>
      </c>
      <c r="C142" s="8" t="s">
        <v>150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ht="13.25" customHeight="1" x14ac:dyDescent="0.25">
      <c r="B143" s="104"/>
      <c r="C143" s="8" t="s">
        <v>149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ht="13.25" customHeight="1" x14ac:dyDescent="0.25">
      <c r="B144" s="104"/>
      <c r="C144" s="8" t="s">
        <v>155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ht="13.25" customHeight="1" x14ac:dyDescent="0.25">
      <c r="B145" s="103" t="s">
        <v>78</v>
      </c>
      <c r="C145" s="8" t="s">
        <v>150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ht="13.25" customHeight="1" x14ac:dyDescent="0.25">
      <c r="B146" s="104"/>
      <c r="C146" s="8" t="s">
        <v>149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ht="13.25" customHeight="1" x14ac:dyDescent="0.25">
      <c r="B147" s="104"/>
      <c r="C147" s="8" t="s">
        <v>155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ht="13.25" customHeight="1" x14ac:dyDescent="0.25">
      <c r="B148" s="103" t="s">
        <v>74</v>
      </c>
      <c r="C148" s="8" t="s">
        <v>150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ht="13.25" customHeight="1" x14ac:dyDescent="0.25">
      <c r="B149" s="104"/>
      <c r="C149" s="8" t="s">
        <v>149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ht="13.25" customHeight="1" x14ac:dyDescent="0.25">
      <c r="B150" s="104"/>
      <c r="C150" s="8" t="s">
        <v>155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ht="13.25" customHeight="1" x14ac:dyDescent="0.25">
      <c r="B151" s="103" t="s">
        <v>77</v>
      </c>
      <c r="C151" s="8" t="s">
        <v>150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04"/>
      <c r="C152" s="8" t="s">
        <v>149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04"/>
      <c r="C153" s="8" t="s">
        <v>155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03" t="s">
        <v>75</v>
      </c>
      <c r="C154" s="8" t="s">
        <v>150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04"/>
      <c r="C155" s="8" t="s">
        <v>149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04"/>
      <c r="C156" s="8" t="s">
        <v>155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customHeight="1" x14ac:dyDescent="0.25">
      <c r="B157" s="65" t="s">
        <v>148</v>
      </c>
      <c r="C157" s="8" t="s">
        <v>155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/GeZSAYnXx9cdOJA8PCS5MtxbpjqouWqzJpRXsAEFbzwmtJuz8PvWJABd9XSIsNSIJH0pV7s+LpMI5rjtO+MfQ==" saltValue="KzoyY8yXduG9Taiiy385Qw==" spinCount="100000" sheet="1" objects="1" scenarios="1" selectLockedCells="1"/>
  <mergeCells count="45"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  <mergeCell ref="B111:B113"/>
    <mergeCell ref="B114:B116"/>
    <mergeCell ref="B117:B119"/>
    <mergeCell ref="B120:B122"/>
    <mergeCell ref="B125:B127"/>
    <mergeCell ref="B108:B110"/>
    <mergeCell ref="B89:B91"/>
    <mergeCell ref="B92:B94"/>
    <mergeCell ref="B95:B97"/>
    <mergeCell ref="B98:B100"/>
    <mergeCell ref="B101:B103"/>
    <mergeCell ref="B72:B74"/>
    <mergeCell ref="B75:B77"/>
    <mergeCell ref="B78:B80"/>
    <mergeCell ref="B81:B83"/>
    <mergeCell ref="B84:B86"/>
    <mergeCell ref="B55:B57"/>
    <mergeCell ref="B58:B60"/>
    <mergeCell ref="B61:B63"/>
    <mergeCell ref="B64:B66"/>
    <mergeCell ref="B67:B69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19:B21"/>
    <mergeCell ref="B2:B4"/>
    <mergeCell ref="B5:B7"/>
    <mergeCell ref="B8:B10"/>
    <mergeCell ref="B11:B13"/>
    <mergeCell ref="B14:B16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42" zoomScale="85" zoomScaleNormal="85" workbookViewId="0">
      <selection activeCell="C9" sqref="C9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248</v>
      </c>
    </row>
    <row r="2" spans="1:6" ht="15.75" customHeight="1" x14ac:dyDescent="0.3">
      <c r="B2" s="69"/>
      <c r="C2" s="26" t="s">
        <v>58</v>
      </c>
      <c r="D2" s="70" t="s">
        <v>59</v>
      </c>
      <c r="E2" s="70" t="s">
        <v>51</v>
      </c>
      <c r="F2" s="70" t="s">
        <v>52</v>
      </c>
    </row>
    <row r="3" spans="1:6" ht="15.75" customHeight="1" x14ac:dyDescent="0.3">
      <c r="A3" s="4" t="s">
        <v>255</v>
      </c>
      <c r="B3" s="14"/>
      <c r="C3" s="71"/>
      <c r="D3" s="72"/>
      <c r="E3" s="72"/>
      <c r="F3" s="72"/>
    </row>
    <row r="4" spans="1:6" ht="15.75" customHeight="1" x14ac:dyDescent="0.25">
      <c r="B4" s="5" t="s">
        <v>27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63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10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11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252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261</v>
      </c>
      <c r="C11" s="74"/>
      <c r="D11" s="75"/>
      <c r="E11" s="75"/>
      <c r="F11" s="75"/>
    </row>
    <row r="12" spans="1:6" ht="15.75" customHeight="1" x14ac:dyDescent="0.3">
      <c r="A12" s="4" t="s">
        <v>249</v>
      </c>
      <c r="C12" s="73"/>
      <c r="D12" s="64"/>
      <c r="E12" s="64"/>
      <c r="F12" s="64"/>
    </row>
    <row r="13" spans="1:6" ht="15.75" customHeight="1" x14ac:dyDescent="0.25">
      <c r="B13" s="11" t="s">
        <v>264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107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119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258</v>
      </c>
      <c r="B17" s="14"/>
      <c r="C17" s="77"/>
      <c r="D17" s="78"/>
      <c r="E17" s="78"/>
      <c r="F17" s="78"/>
    </row>
    <row r="18" spans="1:6" ht="15.75" customHeight="1" x14ac:dyDescent="0.25">
      <c r="B18" s="5" t="s">
        <v>93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97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95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91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96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98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92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94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248</v>
      </c>
    </row>
    <row r="29" spans="1:6" ht="15.75" customHeight="1" x14ac:dyDescent="0.3">
      <c r="B29" s="69"/>
      <c r="C29" s="26" t="s">
        <v>58</v>
      </c>
      <c r="D29" s="70" t="s">
        <v>59</v>
      </c>
      <c r="E29" s="70" t="s">
        <v>51</v>
      </c>
      <c r="F29" s="70" t="s">
        <v>52</v>
      </c>
    </row>
    <row r="30" spans="1:6" ht="15.75" customHeight="1" x14ac:dyDescent="0.3">
      <c r="A30" s="4" t="s">
        <v>256</v>
      </c>
      <c r="B30" s="14"/>
      <c r="C30" s="71"/>
      <c r="D30" s="72"/>
      <c r="E30" s="72"/>
      <c r="F30" s="72"/>
    </row>
    <row r="31" spans="1:6" ht="15.75" customHeight="1" x14ac:dyDescent="0.25">
      <c r="B31" s="5" t="s">
        <v>27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63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10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11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253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261</v>
      </c>
      <c r="B38" s="68"/>
      <c r="C38" s="74"/>
      <c r="D38" s="75"/>
      <c r="E38" s="75"/>
      <c r="F38" s="75"/>
    </row>
    <row r="39" spans="1:6" ht="15.75" customHeight="1" x14ac:dyDescent="0.3">
      <c r="A39" s="4" t="s">
        <v>250</v>
      </c>
      <c r="C39" s="73"/>
      <c r="D39" s="64"/>
      <c r="E39" s="64"/>
      <c r="F39" s="64"/>
    </row>
    <row r="40" spans="1:6" ht="15.75" customHeight="1" x14ac:dyDescent="0.25">
      <c r="B40" s="11" t="s">
        <v>265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246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262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259</v>
      </c>
      <c r="B44" s="14"/>
      <c r="C44" s="77"/>
      <c r="D44" s="78"/>
      <c r="E44" s="78"/>
      <c r="F44" s="78"/>
    </row>
    <row r="45" spans="1:6" ht="15.75" customHeight="1" x14ac:dyDescent="0.25">
      <c r="B45" s="5" t="s">
        <v>93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97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95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91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96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98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92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94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245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248</v>
      </c>
    </row>
    <row r="56" spans="1:6" ht="15.75" customHeight="1" x14ac:dyDescent="0.3">
      <c r="B56" s="69"/>
      <c r="C56" s="26" t="s">
        <v>58</v>
      </c>
      <c r="D56" s="70" t="s">
        <v>59</v>
      </c>
      <c r="E56" s="70" t="s">
        <v>51</v>
      </c>
      <c r="F56" s="70" t="s">
        <v>52</v>
      </c>
    </row>
    <row r="57" spans="1:6" ht="15.75" customHeight="1" x14ac:dyDescent="0.3">
      <c r="A57" s="4" t="s">
        <v>257</v>
      </c>
      <c r="B57" s="14"/>
      <c r="C57" s="71"/>
      <c r="D57" s="72"/>
      <c r="E57" s="72"/>
      <c r="F57" s="72"/>
    </row>
    <row r="58" spans="1:6" ht="15.75" customHeight="1" x14ac:dyDescent="0.25">
      <c r="B58" s="5" t="s">
        <v>27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63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10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11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254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261</v>
      </c>
      <c r="B65" s="68"/>
      <c r="C65" s="74"/>
      <c r="D65" s="75"/>
      <c r="E65" s="75"/>
      <c r="F65" s="75"/>
    </row>
    <row r="66" spans="1:6" ht="15.75" customHeight="1" x14ac:dyDescent="0.3">
      <c r="A66" s="4" t="s">
        <v>251</v>
      </c>
      <c r="C66" s="73"/>
      <c r="D66" s="64"/>
      <c r="E66" s="64"/>
      <c r="F66" s="64"/>
    </row>
    <row r="67" spans="1:6" ht="15.75" customHeight="1" x14ac:dyDescent="0.25">
      <c r="B67" s="11" t="s">
        <v>266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247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263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260</v>
      </c>
      <c r="B71" s="14"/>
      <c r="C71" s="77"/>
      <c r="D71" s="78"/>
      <c r="E71" s="78"/>
      <c r="F71" s="78"/>
    </row>
    <row r="72" spans="1:6" ht="15.75" customHeight="1" x14ac:dyDescent="0.25">
      <c r="B72" s="5" t="s">
        <v>93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97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95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91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96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98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92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94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QJwo6Adat1LxQwRhIfRA066iMgZLwL4Zr15GyYlkrQ4xkw7DlXlwYCDUEib94S/kmMEi05jpkY/DfnGtmRZ5NA==" saltValue="uygWPCpNy//HdD1TsRnw9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D8" sqref="D8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278</v>
      </c>
    </row>
    <row r="2" spans="1:16" ht="13" customHeight="1" x14ac:dyDescent="0.3">
      <c r="A2" s="39" t="s">
        <v>230</v>
      </c>
      <c r="B2" s="1" t="s">
        <v>270</v>
      </c>
      <c r="C2" s="1" t="s">
        <v>271</v>
      </c>
      <c r="D2" s="70" t="s">
        <v>78</v>
      </c>
      <c r="E2" s="70" t="s">
        <v>74</v>
      </c>
      <c r="F2" s="70" t="s">
        <v>77</v>
      </c>
      <c r="G2" s="70" t="s">
        <v>75</v>
      </c>
      <c r="H2" s="70" t="s">
        <v>76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84</v>
      </c>
      <c r="C3" s="3" t="s">
        <v>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273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274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272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102</v>
      </c>
      <c r="C7" s="3" t="s">
        <v>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273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274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272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90</v>
      </c>
      <c r="C11" s="3" t="s">
        <v>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273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274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272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3</v>
      </c>
      <c r="C15" s="3" t="s">
        <v>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273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274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272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2</v>
      </c>
      <c r="C19" s="3" t="s">
        <v>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273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274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272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99</v>
      </c>
      <c r="C23" s="3" t="s">
        <v>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273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274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272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279</v>
      </c>
    </row>
    <row r="29" spans="1:16" ht="13" customHeight="1" x14ac:dyDescent="0.3">
      <c r="A29" s="39" t="s">
        <v>282</v>
      </c>
      <c r="B29" s="4" t="s">
        <v>270</v>
      </c>
      <c r="C29" s="4" t="s">
        <v>281</v>
      </c>
      <c r="D29" s="70" t="s">
        <v>78</v>
      </c>
      <c r="E29" s="70" t="s">
        <v>74</v>
      </c>
      <c r="F29" s="70" t="s">
        <v>77</v>
      </c>
      <c r="G29" s="70" t="s">
        <v>75</v>
      </c>
      <c r="H29" s="70" t="s">
        <v>76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84</v>
      </c>
      <c r="C30" s="3" t="s">
        <v>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273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6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207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102</v>
      </c>
      <c r="C34" s="3" t="s">
        <v>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273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6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207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90</v>
      </c>
      <c r="C38" s="3" t="s">
        <v>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273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6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207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3</v>
      </c>
      <c r="C42" s="3" t="s">
        <v>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273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6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207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2</v>
      </c>
      <c r="C46" s="3" t="s">
        <v>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273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6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207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99</v>
      </c>
      <c r="C50" s="3" t="s">
        <v>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273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6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207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276</v>
      </c>
    </row>
    <row r="56" spans="1:16" ht="26" customHeight="1" x14ac:dyDescent="0.3">
      <c r="A56" s="39" t="s">
        <v>105</v>
      </c>
      <c r="B56" s="4" t="s">
        <v>270</v>
      </c>
      <c r="C56" s="69" t="s">
        <v>267</v>
      </c>
      <c r="D56" s="70" t="s">
        <v>113</v>
      </c>
      <c r="E56" s="70" t="s">
        <v>114</v>
      </c>
      <c r="F56" s="70" t="s">
        <v>115</v>
      </c>
      <c r="G56" s="70" t="s">
        <v>116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81</v>
      </c>
      <c r="C57" s="3" t="s">
        <v>275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268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89</v>
      </c>
      <c r="C59" s="3" t="s">
        <v>275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268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103</v>
      </c>
      <c r="C61" s="3" t="s">
        <v>275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268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277</v>
      </c>
    </row>
    <row r="65" spans="1:16" ht="26" customHeight="1" x14ac:dyDescent="0.3">
      <c r="A65" s="39" t="s">
        <v>123</v>
      </c>
      <c r="B65" s="4" t="s">
        <v>270</v>
      </c>
      <c r="C65" s="69" t="s">
        <v>269</v>
      </c>
      <c r="D65" s="70" t="s">
        <v>78</v>
      </c>
      <c r="E65" s="70" t="s">
        <v>74</v>
      </c>
      <c r="F65" s="70" t="s">
        <v>77</v>
      </c>
      <c r="G65" s="70" t="s">
        <v>75</v>
      </c>
      <c r="H65" s="81" t="s">
        <v>76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93</v>
      </c>
      <c r="C66" s="3" t="s">
        <v>124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127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126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125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97</v>
      </c>
      <c r="C70" s="3" t="s">
        <v>124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127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126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125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95</v>
      </c>
      <c r="C74" s="3" t="s">
        <v>124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127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126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125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96</v>
      </c>
      <c r="C78" s="3" t="s">
        <v>124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127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126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125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84</v>
      </c>
      <c r="C82" s="3" t="s">
        <v>124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127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126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125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102</v>
      </c>
      <c r="C86" s="3" t="s">
        <v>124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127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126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125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90</v>
      </c>
      <c r="C90" s="3" t="s">
        <v>124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127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126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125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2</v>
      </c>
      <c r="C94" s="3" t="s">
        <v>124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127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126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125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101</v>
      </c>
      <c r="C98" s="3" t="s">
        <v>124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127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126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125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280</v>
      </c>
    </row>
    <row r="104" spans="1:16" ht="26" customHeight="1" x14ac:dyDescent="0.3">
      <c r="A104" s="39" t="s">
        <v>84</v>
      </c>
      <c r="B104" s="82" t="s">
        <v>125</v>
      </c>
      <c r="C104" s="69" t="s">
        <v>269</v>
      </c>
      <c r="D104" s="70" t="s">
        <v>78</v>
      </c>
      <c r="E104" s="70" t="s">
        <v>74</v>
      </c>
      <c r="F104" s="70" t="s">
        <v>77</v>
      </c>
      <c r="G104" s="70" t="s">
        <v>75</v>
      </c>
      <c r="H104" s="81" t="s">
        <v>76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124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127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126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125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278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230</v>
      </c>
      <c r="B112" s="1" t="s">
        <v>270</v>
      </c>
      <c r="C112" s="1" t="s">
        <v>271</v>
      </c>
      <c r="D112" s="70" t="s">
        <v>78</v>
      </c>
      <c r="E112" s="70" t="s">
        <v>74</v>
      </c>
      <c r="F112" s="70" t="s">
        <v>77</v>
      </c>
      <c r="G112" s="70" t="s">
        <v>75</v>
      </c>
      <c r="H112" s="70" t="s">
        <v>76</v>
      </c>
    </row>
    <row r="113" spans="1:8" ht="13" customHeight="1" x14ac:dyDescent="0.3">
      <c r="A113" s="4"/>
      <c r="B113" s="8" t="s">
        <v>84</v>
      </c>
      <c r="C113" s="3" t="s">
        <v>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273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274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272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102</v>
      </c>
      <c r="C117" s="3" t="s">
        <v>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273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274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272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90</v>
      </c>
      <c r="C121" s="3" t="s">
        <v>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273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274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272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3</v>
      </c>
      <c r="C125" s="3" t="s">
        <v>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273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274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272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2</v>
      </c>
      <c r="C129" s="3" t="s">
        <v>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273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274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272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99</v>
      </c>
      <c r="C133" s="3" t="s">
        <v>7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273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274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272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279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282</v>
      </c>
      <c r="B139" s="4" t="s">
        <v>270</v>
      </c>
      <c r="C139" s="4" t="s">
        <v>281</v>
      </c>
      <c r="D139" s="70" t="s">
        <v>78</v>
      </c>
      <c r="E139" s="70" t="s">
        <v>74</v>
      </c>
      <c r="F139" s="70" t="s">
        <v>77</v>
      </c>
      <c r="G139" s="70" t="s">
        <v>75</v>
      </c>
      <c r="H139" s="70" t="s">
        <v>76</v>
      </c>
    </row>
    <row r="140" spans="1:8" ht="13" customHeight="1" x14ac:dyDescent="0.3">
      <c r="A140" s="4"/>
      <c r="B140" s="8" t="s">
        <v>84</v>
      </c>
      <c r="C140" s="3" t="s">
        <v>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273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6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207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102</v>
      </c>
      <c r="C144" s="3" t="s">
        <v>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273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6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207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90</v>
      </c>
      <c r="C148" s="3" t="s">
        <v>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273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6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207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3</v>
      </c>
      <c r="C152" s="3" t="s">
        <v>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273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6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207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2</v>
      </c>
      <c r="C156" s="3" t="s">
        <v>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273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6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207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99</v>
      </c>
      <c r="C160" s="3" t="s">
        <v>7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273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6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207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276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105</v>
      </c>
      <c r="B166" s="4" t="s">
        <v>270</v>
      </c>
      <c r="C166" s="69" t="s">
        <v>267</v>
      </c>
      <c r="D166" s="70" t="s">
        <v>113</v>
      </c>
      <c r="E166" s="70" t="s">
        <v>114</v>
      </c>
      <c r="F166" s="70" t="s">
        <v>115</v>
      </c>
      <c r="G166" s="70" t="s">
        <v>116</v>
      </c>
      <c r="H166" s="79"/>
    </row>
    <row r="167" spans="1:8" ht="13" customHeight="1" x14ac:dyDescent="0.3">
      <c r="A167" s="4"/>
      <c r="B167" s="8" t="s">
        <v>81</v>
      </c>
      <c r="C167" s="3" t="s">
        <v>275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268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89</v>
      </c>
      <c r="C169" s="3" t="s">
        <v>275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268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103</v>
      </c>
      <c r="C171" s="3" t="s">
        <v>275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268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277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123</v>
      </c>
      <c r="B175" s="4" t="s">
        <v>270</v>
      </c>
      <c r="C175" s="69" t="s">
        <v>269</v>
      </c>
      <c r="D175" s="70" t="s">
        <v>78</v>
      </c>
      <c r="E175" s="70" t="s">
        <v>74</v>
      </c>
      <c r="F175" s="70" t="s">
        <v>77</v>
      </c>
      <c r="G175" s="70" t="s">
        <v>75</v>
      </c>
      <c r="H175" s="81" t="s">
        <v>76</v>
      </c>
    </row>
    <row r="176" spans="1:8" ht="13" customHeight="1" x14ac:dyDescent="0.3">
      <c r="A176" s="82"/>
      <c r="B176" s="8" t="s">
        <v>93</v>
      </c>
      <c r="C176" s="3" t="s">
        <v>124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127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126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125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97</v>
      </c>
      <c r="C180" s="3" t="s">
        <v>124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127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126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125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95</v>
      </c>
      <c r="C184" s="3" t="s">
        <v>124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127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126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125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96</v>
      </c>
      <c r="C188" s="3" t="s">
        <v>124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127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126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125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84</v>
      </c>
      <c r="C192" s="3" t="s">
        <v>124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127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126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125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102</v>
      </c>
      <c r="C196" s="3" t="s">
        <v>124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127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126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125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90</v>
      </c>
      <c r="C200" s="3" t="s">
        <v>124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127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126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125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2</v>
      </c>
      <c r="C204" s="3" t="s">
        <v>124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127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126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125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101</v>
      </c>
      <c r="C208" s="3" t="s">
        <v>124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127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126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125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280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84</v>
      </c>
      <c r="B214" s="82" t="s">
        <v>125</v>
      </c>
      <c r="C214" s="69" t="s">
        <v>269</v>
      </c>
      <c r="D214" s="70" t="s">
        <v>78</v>
      </c>
      <c r="E214" s="70" t="s">
        <v>74</v>
      </c>
      <c r="F214" s="70" t="s">
        <v>77</v>
      </c>
      <c r="G214" s="70" t="s">
        <v>75</v>
      </c>
      <c r="H214" s="81" t="s">
        <v>76</v>
      </c>
    </row>
    <row r="215" spans="1:9" ht="13" customHeight="1" x14ac:dyDescent="0.3">
      <c r="A215" s="4"/>
      <c r="C215" s="3" t="s">
        <v>124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127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126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125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245</v>
      </c>
      <c r="H220" s="92"/>
    </row>
    <row r="221" spans="1:9" ht="13" customHeight="1" x14ac:dyDescent="0.3">
      <c r="A221" s="67" t="s">
        <v>278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230</v>
      </c>
      <c r="B222" s="1" t="s">
        <v>270</v>
      </c>
      <c r="C222" s="1" t="s">
        <v>271</v>
      </c>
      <c r="D222" s="70" t="s">
        <v>78</v>
      </c>
      <c r="E222" s="70" t="s">
        <v>74</v>
      </c>
      <c r="F222" s="70" t="s">
        <v>77</v>
      </c>
      <c r="G222" s="70" t="s">
        <v>75</v>
      </c>
      <c r="H222" s="70" t="s">
        <v>76</v>
      </c>
      <c r="I222" s="79"/>
    </row>
    <row r="223" spans="1:9" ht="13" customHeight="1" x14ac:dyDescent="0.3">
      <c r="A223" s="4"/>
      <c r="B223" s="8" t="s">
        <v>84</v>
      </c>
      <c r="C223" s="3" t="s">
        <v>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273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274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272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102</v>
      </c>
      <c r="C227" s="3" t="s">
        <v>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273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274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272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90</v>
      </c>
      <c r="C231" s="3" t="s">
        <v>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273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274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272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3</v>
      </c>
      <c r="C235" s="3" t="s">
        <v>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273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274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272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2</v>
      </c>
      <c r="C239" s="3" t="s">
        <v>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273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274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272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99</v>
      </c>
      <c r="C243" s="3" t="s">
        <v>7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273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274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272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279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282</v>
      </c>
      <c r="B249" s="4" t="s">
        <v>270</v>
      </c>
      <c r="C249" s="4" t="s">
        <v>281</v>
      </c>
      <c r="D249" s="70" t="s">
        <v>78</v>
      </c>
      <c r="E249" s="70" t="s">
        <v>74</v>
      </c>
      <c r="F249" s="70" t="s">
        <v>77</v>
      </c>
      <c r="G249" s="70" t="s">
        <v>75</v>
      </c>
      <c r="H249" s="70" t="s">
        <v>76</v>
      </c>
      <c r="I249" s="79"/>
    </row>
    <row r="250" spans="1:9" ht="13" customHeight="1" x14ac:dyDescent="0.3">
      <c r="A250" s="4"/>
      <c r="B250" s="8" t="s">
        <v>84</v>
      </c>
      <c r="C250" s="3" t="s">
        <v>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273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6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207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102</v>
      </c>
      <c r="C254" s="3" t="s">
        <v>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273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6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207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90</v>
      </c>
      <c r="C258" s="3" t="s">
        <v>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273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6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207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3</v>
      </c>
      <c r="C262" s="3" t="s">
        <v>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273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6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207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2</v>
      </c>
      <c r="C266" s="3" t="s">
        <v>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273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6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207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99</v>
      </c>
      <c r="C270" s="3" t="s">
        <v>7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273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6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207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276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105</v>
      </c>
      <c r="B276" s="4" t="s">
        <v>270</v>
      </c>
      <c r="C276" s="69" t="s">
        <v>267</v>
      </c>
      <c r="D276" s="70" t="s">
        <v>113</v>
      </c>
      <c r="E276" s="70" t="s">
        <v>114</v>
      </c>
      <c r="F276" s="70" t="s">
        <v>115</v>
      </c>
      <c r="G276" s="70" t="s">
        <v>116</v>
      </c>
      <c r="H276" s="79"/>
    </row>
    <row r="277" spans="1:9" ht="13" customHeight="1" x14ac:dyDescent="0.3">
      <c r="A277" s="4"/>
      <c r="B277" s="8" t="s">
        <v>81</v>
      </c>
      <c r="C277" s="3" t="s">
        <v>275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268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89</v>
      </c>
      <c r="C279" s="3" t="s">
        <v>275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268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103</v>
      </c>
      <c r="C281" s="3" t="s">
        <v>275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268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277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123</v>
      </c>
      <c r="B285" s="4" t="s">
        <v>270</v>
      </c>
      <c r="C285" s="69" t="s">
        <v>269</v>
      </c>
      <c r="D285" s="70" t="s">
        <v>78</v>
      </c>
      <c r="E285" s="70" t="s">
        <v>74</v>
      </c>
      <c r="F285" s="70" t="s">
        <v>77</v>
      </c>
      <c r="G285" s="70" t="s">
        <v>75</v>
      </c>
      <c r="H285" s="81" t="s">
        <v>76</v>
      </c>
      <c r="I285" s="79"/>
    </row>
    <row r="286" spans="1:9" ht="13" customHeight="1" x14ac:dyDescent="0.3">
      <c r="A286" s="82"/>
      <c r="B286" s="8" t="s">
        <v>93</v>
      </c>
      <c r="C286" s="3" t="s">
        <v>124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127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126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125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97</v>
      </c>
      <c r="C290" s="3" t="s">
        <v>124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127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126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125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95</v>
      </c>
      <c r="C294" s="3" t="s">
        <v>124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127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126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125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96</v>
      </c>
      <c r="C298" s="3" t="s">
        <v>124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127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126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125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84</v>
      </c>
      <c r="C302" s="3" t="s">
        <v>124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127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126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125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102</v>
      </c>
      <c r="C306" s="3" t="s">
        <v>124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127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126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125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90</v>
      </c>
      <c r="C310" s="3" t="s">
        <v>124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127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126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125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2</v>
      </c>
      <c r="C314" s="3" t="s">
        <v>124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127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126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125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101</v>
      </c>
      <c r="C318" s="3" t="s">
        <v>124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127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126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125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280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84</v>
      </c>
      <c r="B324" s="82" t="s">
        <v>125</v>
      </c>
      <c r="C324" s="69" t="s">
        <v>269</v>
      </c>
      <c r="D324" s="70" t="s">
        <v>78</v>
      </c>
      <c r="E324" s="70" t="s">
        <v>74</v>
      </c>
      <c r="F324" s="70" t="s">
        <v>77</v>
      </c>
      <c r="G324" s="70" t="s">
        <v>75</v>
      </c>
      <c r="H324" s="81" t="s">
        <v>76</v>
      </c>
      <c r="I324" s="79"/>
    </row>
    <row r="325" spans="1:9" ht="13" customHeight="1" x14ac:dyDescent="0.3">
      <c r="A325" s="4"/>
      <c r="C325" s="3" t="s">
        <v>124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127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126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125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fXFuZqEPBwY//VRI4se4SVSy+J2RCNX/sgKb/IrUpNfdkTo9C0h8b8pu7tm4glSyT4KX+oEHseBZGxVbWHfh5w==" saltValue="UdTjpchTgerbgLleVl0Ft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topLeftCell="A35" zoomScale="70" zoomScaleNormal="70" workbookViewId="0">
      <selection activeCell="C8" sqref="C8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313</v>
      </c>
    </row>
    <row r="2" spans="1:7" ht="14.25" customHeight="1" x14ac:dyDescent="0.3">
      <c r="A2" s="82" t="s">
        <v>208</v>
      </c>
      <c r="B2" s="1"/>
      <c r="C2" s="4" t="s">
        <v>78</v>
      </c>
      <c r="D2" s="4" t="s">
        <v>74</v>
      </c>
      <c r="E2" s="4" t="s">
        <v>77</v>
      </c>
      <c r="F2" s="4" t="s">
        <v>75</v>
      </c>
      <c r="G2" s="4" t="s">
        <v>76</v>
      </c>
    </row>
    <row r="3" spans="1:7" ht="14.25" customHeight="1" x14ac:dyDescent="0.25">
      <c r="B3" s="11" t="s">
        <v>300</v>
      </c>
      <c r="C3" s="90" t="s">
        <v>8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286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283</v>
      </c>
    </row>
    <row r="6" spans="1:7" ht="14.25" customHeight="1" x14ac:dyDescent="0.25">
      <c r="B6" s="5" t="s">
        <v>193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184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204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203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307</v>
      </c>
    </row>
    <row r="12" spans="1:7" ht="14.25" customHeight="1" x14ac:dyDescent="0.3">
      <c r="A12" s="14"/>
      <c r="B12" s="11" t="s">
        <v>182</v>
      </c>
      <c r="C12" s="90">
        <v>1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314</v>
      </c>
    </row>
    <row r="15" spans="1:7" ht="14.25" customHeight="1" x14ac:dyDescent="0.3">
      <c r="A15" s="82" t="s">
        <v>282</v>
      </c>
      <c r="B15" s="5" t="s">
        <v>294</v>
      </c>
      <c r="C15" s="90">
        <v>1.024</v>
      </c>
      <c r="D15" s="90">
        <v>1.024</v>
      </c>
      <c r="E15" s="90">
        <v>1.024</v>
      </c>
      <c r="F15" s="90">
        <v>1.024</v>
      </c>
      <c r="G15" s="90">
        <v>1.024</v>
      </c>
    </row>
    <row r="16" spans="1:7" ht="14.25" customHeight="1" x14ac:dyDescent="0.3">
      <c r="A16" s="4"/>
      <c r="B16" s="5" t="s">
        <v>291</v>
      </c>
      <c r="C16" s="90">
        <v>1.024</v>
      </c>
      <c r="D16" s="90">
        <v>1.024</v>
      </c>
      <c r="E16" s="90">
        <v>1.024</v>
      </c>
      <c r="F16" s="90">
        <v>1.024</v>
      </c>
      <c r="G16" s="90">
        <v>1.024</v>
      </c>
    </row>
    <row r="17" spans="1:7" ht="14.25" customHeight="1" x14ac:dyDescent="0.3">
      <c r="A17" s="82" t="s">
        <v>105</v>
      </c>
      <c r="B17" s="11" t="s">
        <v>297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310</v>
      </c>
    </row>
    <row r="20" spans="1:7" s="14" customFormat="1" ht="14.25" customHeight="1" x14ac:dyDescent="0.3">
      <c r="C20" s="4" t="s">
        <v>68</v>
      </c>
      <c r="D20" s="4" t="s">
        <v>69</v>
      </c>
      <c r="E20" s="4" t="s">
        <v>70</v>
      </c>
      <c r="F20" s="4" t="s">
        <v>71</v>
      </c>
    </row>
    <row r="21" spans="1:7" x14ac:dyDescent="0.25">
      <c r="B21" s="11" t="s">
        <v>170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313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208</v>
      </c>
      <c r="B25" s="1"/>
      <c r="C25" s="4" t="s">
        <v>78</v>
      </c>
      <c r="D25" s="4" t="s">
        <v>74</v>
      </c>
      <c r="E25" s="4" t="s">
        <v>77</v>
      </c>
      <c r="F25" s="4" t="s">
        <v>75</v>
      </c>
      <c r="G25" s="4" t="s">
        <v>76</v>
      </c>
    </row>
    <row r="26" spans="1:7" x14ac:dyDescent="0.25">
      <c r="B26" s="11" t="s">
        <v>301</v>
      </c>
      <c r="C26" s="90" t="s">
        <v>8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287</v>
      </c>
      <c r="C27" s="90">
        <v>1.014</v>
      </c>
      <c r="D27" s="90">
        <v>1.014</v>
      </c>
      <c r="E27" s="90">
        <v>1.014</v>
      </c>
      <c r="F27" s="90">
        <v>1.014</v>
      </c>
      <c r="G27" s="90">
        <v>1.014</v>
      </c>
    </row>
    <row r="28" spans="1:7" ht="13" customHeight="1" x14ac:dyDescent="0.3">
      <c r="A28" s="14" t="s">
        <v>284</v>
      </c>
    </row>
    <row r="29" spans="1:7" x14ac:dyDescent="0.25">
      <c r="B29" s="5" t="s">
        <v>315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305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319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317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308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303</v>
      </c>
      <c r="C35" s="90">
        <v>1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314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282</v>
      </c>
      <c r="B38" s="5" t="s">
        <v>295</v>
      </c>
      <c r="C38" s="90">
        <v>1.016</v>
      </c>
      <c r="D38" s="90">
        <v>1.016</v>
      </c>
      <c r="E38" s="90">
        <v>1.016</v>
      </c>
      <c r="F38" s="90">
        <v>1.016</v>
      </c>
      <c r="G38" s="90">
        <v>1.016</v>
      </c>
    </row>
    <row r="39" spans="1:7" ht="13" customHeight="1" x14ac:dyDescent="0.3">
      <c r="A39" s="4"/>
      <c r="B39" s="5" t="s">
        <v>292</v>
      </c>
      <c r="C39" s="90">
        <v>1.016</v>
      </c>
      <c r="D39" s="90">
        <v>1.016</v>
      </c>
      <c r="E39" s="90">
        <v>1.016</v>
      </c>
      <c r="F39" s="90">
        <v>1.016</v>
      </c>
      <c r="G39" s="90">
        <v>1.016</v>
      </c>
    </row>
    <row r="40" spans="1:7" ht="13" customHeight="1" x14ac:dyDescent="0.3">
      <c r="A40" s="82" t="s">
        <v>105</v>
      </c>
      <c r="B40" s="11" t="s">
        <v>298</v>
      </c>
      <c r="C40" s="90">
        <f>IF(C17=1,1,C17*0.9)</f>
        <v>1</v>
      </c>
      <c r="D40" s="90">
        <f>IF(D17=1,1,D17*0.9)</f>
        <v>1</v>
      </c>
      <c r="E40" s="90">
        <f>IF(E17=1,1,E17*0.9)</f>
        <v>1</v>
      </c>
      <c r="F40" s="90">
        <f>IF(F17=1,1,F17*0.9)</f>
        <v>1</v>
      </c>
      <c r="G40" s="90">
        <f>IF(G17=1,1,G17*0.9)</f>
        <v>1</v>
      </c>
    </row>
    <row r="42" spans="1:7" ht="13" customHeight="1" x14ac:dyDescent="0.3">
      <c r="A42" s="67" t="s">
        <v>311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68</v>
      </c>
      <c r="D43" s="4" t="s">
        <v>69</v>
      </c>
      <c r="E43" s="4" t="s">
        <v>70</v>
      </c>
      <c r="F43" s="4" t="s">
        <v>71</v>
      </c>
      <c r="G43" s="14"/>
    </row>
    <row r="44" spans="1:7" x14ac:dyDescent="0.25">
      <c r="B44" s="11" t="s">
        <v>289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245</v>
      </c>
    </row>
    <row r="47" spans="1:7" ht="13" customHeight="1" x14ac:dyDescent="0.3">
      <c r="A47" s="67" t="s">
        <v>313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208</v>
      </c>
      <c r="B48" s="1"/>
      <c r="C48" s="4" t="s">
        <v>78</v>
      </c>
      <c r="D48" s="4" t="s">
        <v>74</v>
      </c>
      <c r="E48" s="4" t="s">
        <v>77</v>
      </c>
      <c r="F48" s="4" t="s">
        <v>75</v>
      </c>
      <c r="G48" s="4" t="s">
        <v>76</v>
      </c>
    </row>
    <row r="49" spans="1:7" x14ac:dyDescent="0.25">
      <c r="B49" s="11" t="s">
        <v>302</v>
      </c>
      <c r="C49" s="90" t="s">
        <v>8</v>
      </c>
      <c r="D49" s="90">
        <f>D3*1.05</f>
        <v>47.25</v>
      </c>
      <c r="E49" s="90">
        <f>E3*1.05</f>
        <v>379.68000000000006</v>
      </c>
      <c r="F49" s="90">
        <f>F3*1.05</f>
        <v>183.435</v>
      </c>
      <c r="G49" s="90">
        <f>G3*1.05</f>
        <v>183.435</v>
      </c>
    </row>
    <row r="50" spans="1:7" ht="13" customHeight="1" x14ac:dyDescent="0.3">
      <c r="A50" s="4"/>
      <c r="B50" s="5" t="s">
        <v>288</v>
      </c>
      <c r="C50" s="90">
        <v>1.0349999999999999</v>
      </c>
      <c r="D50" s="90">
        <v>1.0349999999999999</v>
      </c>
      <c r="E50" s="90">
        <v>1.0349999999999999</v>
      </c>
      <c r="F50" s="90">
        <v>1.0349999999999999</v>
      </c>
      <c r="G50" s="90">
        <v>1.0349999999999999</v>
      </c>
    </row>
    <row r="51" spans="1:7" ht="13" customHeight="1" x14ac:dyDescent="0.3">
      <c r="A51" s="14" t="s">
        <v>285</v>
      </c>
    </row>
    <row r="52" spans="1:7" x14ac:dyDescent="0.25">
      <c r="B52" s="5" t="s">
        <v>316</v>
      </c>
      <c r="C52" s="90">
        <f t="shared" ref="C52:D55" si="1">IF(C6=1,1,C6*1.1)</f>
        <v>1</v>
      </c>
      <c r="D52" s="90">
        <f t="shared" si="1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306</v>
      </c>
      <c r="C53" s="90">
        <f t="shared" si="1"/>
        <v>1</v>
      </c>
      <c r="D53" s="90">
        <f t="shared" si="1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320</v>
      </c>
      <c r="C54" s="90">
        <f t="shared" si="1"/>
        <v>1</v>
      </c>
      <c r="D54" s="90">
        <f t="shared" si="1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318</v>
      </c>
      <c r="C55" s="90">
        <f t="shared" si="1"/>
        <v>1</v>
      </c>
      <c r="D55" s="90">
        <f t="shared" si="1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309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304</v>
      </c>
      <c r="C58" s="90">
        <v>1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314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282</v>
      </c>
      <c r="B61" s="5" t="s">
        <v>296</v>
      </c>
      <c r="C61" s="90">
        <v>1.0309999999999999</v>
      </c>
      <c r="D61" s="90">
        <v>1.0309999999999999</v>
      </c>
      <c r="E61" s="90">
        <v>1.0309999999999999</v>
      </c>
      <c r="F61" s="90">
        <v>1.0309999999999999</v>
      </c>
      <c r="G61" s="90">
        <v>1.0309999999999999</v>
      </c>
    </row>
    <row r="62" spans="1:7" ht="13" customHeight="1" x14ac:dyDescent="0.3">
      <c r="A62" s="4"/>
      <c r="B62" s="5" t="s">
        <v>293</v>
      </c>
      <c r="C62" s="90">
        <v>1.0309999999999999</v>
      </c>
      <c r="D62" s="90">
        <v>1.0309999999999999</v>
      </c>
      <c r="E62" s="90">
        <v>1.0309999999999999</v>
      </c>
      <c r="F62" s="90">
        <v>1.0309999999999999</v>
      </c>
      <c r="G62" s="90">
        <v>1.0309999999999999</v>
      </c>
    </row>
    <row r="63" spans="1:7" ht="13" customHeight="1" x14ac:dyDescent="0.3">
      <c r="A63" s="82" t="s">
        <v>105</v>
      </c>
      <c r="B63" s="11" t="s">
        <v>299</v>
      </c>
      <c r="C63" s="90">
        <f>IF(C17=1,1,C17*1.1)</f>
        <v>1</v>
      </c>
      <c r="D63" s="90">
        <f>IF(D17=1,1,D17*1.1)</f>
        <v>1</v>
      </c>
      <c r="E63" s="90">
        <f>IF(E17=1,1,E17*1.1)</f>
        <v>1</v>
      </c>
      <c r="F63" s="90">
        <f>IF(F17=1,1,F17*1.1)</f>
        <v>1</v>
      </c>
      <c r="G63" s="90">
        <f>IF(G17=1,1,G17*1.1)</f>
        <v>1</v>
      </c>
    </row>
    <row r="65" spans="1:7" ht="13" customHeight="1" x14ac:dyDescent="0.3">
      <c r="A65" s="67" t="s">
        <v>312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68</v>
      </c>
      <c r="D66" s="4" t="s">
        <v>69</v>
      </c>
      <c r="E66" s="4" t="s">
        <v>70</v>
      </c>
      <c r="F66" s="4" t="s">
        <v>71</v>
      </c>
      <c r="G66" s="14"/>
    </row>
    <row r="67" spans="1:7" x14ac:dyDescent="0.25">
      <c r="B67" s="11" t="s">
        <v>290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IikljZ8uT6m685D175v9YbElTfOqlH+MHR9sKU0rgvS4jh6eEjYofHHJU3UPjf6wK8UiGvD9+y/9BA+5AcBa5Q==" saltValue="2f0lfDZVEChIrYbA23ANh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zoomScale="70" zoomScaleNormal="70" workbookViewId="0">
      <selection activeCell="C8" sqref="C8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163</v>
      </c>
      <c r="B1" s="4"/>
      <c r="C1" s="4" t="s">
        <v>52</v>
      </c>
      <c r="D1" s="4" t="s">
        <v>59</v>
      </c>
      <c r="E1" s="4" t="s">
        <v>51</v>
      </c>
      <c r="F1" s="1" t="s">
        <v>58</v>
      </c>
    </row>
    <row r="2" spans="1:6" ht="15.75" customHeight="1" x14ac:dyDescent="0.25">
      <c r="A2" s="5" t="s">
        <v>165</v>
      </c>
      <c r="B2" s="5" t="s">
        <v>322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321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178</v>
      </c>
      <c r="B4" s="5" t="s">
        <v>322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321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179</v>
      </c>
      <c r="B6" s="5" t="s">
        <v>322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321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180</v>
      </c>
      <c r="B8" s="5" t="s">
        <v>322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321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185</v>
      </c>
      <c r="B10" s="5" t="s">
        <v>322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321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191</v>
      </c>
      <c r="B12" s="5" t="s">
        <v>322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321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163</v>
      </c>
      <c r="B16" s="4"/>
      <c r="C16" s="4" t="s">
        <v>52</v>
      </c>
      <c r="D16" s="4" t="s">
        <v>59</v>
      </c>
      <c r="E16" s="4" t="s">
        <v>51</v>
      </c>
      <c r="F16" s="1" t="s">
        <v>58</v>
      </c>
    </row>
    <row r="17" spans="1:6" ht="15.75" customHeight="1" x14ac:dyDescent="0.25">
      <c r="A17" s="5" t="s">
        <v>165</v>
      </c>
      <c r="B17" s="5" t="s">
        <v>322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321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178</v>
      </c>
      <c r="B19" s="5" t="s">
        <v>322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321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179</v>
      </c>
      <c r="B21" s="5" t="s">
        <v>322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321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180</v>
      </c>
      <c r="B23" s="5" t="s">
        <v>322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321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185</v>
      </c>
      <c r="B25" s="5" t="s">
        <v>322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321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191</v>
      </c>
      <c r="B27" s="5" t="s">
        <v>322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321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245</v>
      </c>
    </row>
    <row r="31" spans="1:6" ht="15.75" customHeight="1" x14ac:dyDescent="0.3">
      <c r="A31" s="1" t="s">
        <v>163</v>
      </c>
      <c r="B31" s="4"/>
      <c r="C31" s="4" t="s">
        <v>52</v>
      </c>
      <c r="D31" s="4" t="s">
        <v>59</v>
      </c>
      <c r="E31" s="4" t="s">
        <v>51</v>
      </c>
      <c r="F31" s="1" t="s">
        <v>58</v>
      </c>
    </row>
    <row r="32" spans="1:6" ht="15.75" customHeight="1" x14ac:dyDescent="0.25">
      <c r="A32" s="5" t="s">
        <v>165</v>
      </c>
      <c r="B32" s="5" t="s">
        <v>322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321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178</v>
      </c>
      <c r="B34" s="5" t="s">
        <v>322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321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179</v>
      </c>
      <c r="B36" s="5" t="s">
        <v>322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321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180</v>
      </c>
      <c r="B38" s="5" t="s">
        <v>322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321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185</v>
      </c>
      <c r="B40" s="5" t="s">
        <v>322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321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191</v>
      </c>
      <c r="B42" s="5" t="s">
        <v>322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321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Ji//VGEY2Go2Ow1U+86BMSn2bqxStIiYKWGYZ1PIA0fYuQDfp6qKRJ/qA0A2mC7+uUwcDueh84CTxtcH0rrQJw==" saltValue="xUvFiOuQH6WIZ0X5qdsQK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zoomScale="70" zoomScaleNormal="70" workbookViewId="0">
      <selection activeCell="C8" sqref="C8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78</v>
      </c>
      <c r="D1" s="70" t="s">
        <v>74</v>
      </c>
      <c r="E1" s="70" t="s">
        <v>77</v>
      </c>
      <c r="F1" s="70" t="s">
        <v>75</v>
      </c>
      <c r="G1" s="70" t="s">
        <v>76</v>
      </c>
      <c r="H1" s="70" t="s">
        <v>68</v>
      </c>
      <c r="I1" s="70" t="s">
        <v>69</v>
      </c>
      <c r="J1" s="70" t="s">
        <v>70</v>
      </c>
      <c r="K1" s="70" t="s">
        <v>71</v>
      </c>
      <c r="L1" s="70" t="s">
        <v>113</v>
      </c>
      <c r="M1" s="70" t="s">
        <v>114</v>
      </c>
      <c r="N1" s="70" t="s">
        <v>115</v>
      </c>
      <c r="O1" s="70" t="s">
        <v>116</v>
      </c>
    </row>
    <row r="2" spans="1:15" ht="13" customHeight="1" x14ac:dyDescent="0.3">
      <c r="A2" s="4" t="s">
        <v>326</v>
      </c>
    </row>
    <row r="3" spans="1:15" x14ac:dyDescent="0.25">
      <c r="B3" s="11" t="s">
        <v>169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174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175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176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177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178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179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180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184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190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191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204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323</v>
      </c>
      <c r="B17" s="11"/>
    </row>
    <row r="18" spans="1:15" x14ac:dyDescent="0.25">
      <c r="B18" s="5" t="s">
        <v>171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172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173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181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78</v>
      </c>
      <c r="D24" s="70" t="s">
        <v>74</v>
      </c>
      <c r="E24" s="70" t="s">
        <v>77</v>
      </c>
      <c r="F24" s="70" t="s">
        <v>75</v>
      </c>
      <c r="G24" s="70" t="s">
        <v>76</v>
      </c>
      <c r="H24" s="70" t="s">
        <v>68</v>
      </c>
      <c r="I24" s="70" t="s">
        <v>69</v>
      </c>
      <c r="J24" s="70" t="s">
        <v>70</v>
      </c>
      <c r="K24" s="70" t="s">
        <v>71</v>
      </c>
      <c r="L24" s="70" t="s">
        <v>113</v>
      </c>
      <c r="M24" s="70" t="s">
        <v>114</v>
      </c>
      <c r="N24" s="70" t="s">
        <v>115</v>
      </c>
      <c r="O24" s="70" t="s">
        <v>116</v>
      </c>
    </row>
    <row r="25" spans="1:15" ht="13" customHeight="1" x14ac:dyDescent="0.3">
      <c r="A25" s="4" t="s">
        <v>327</v>
      </c>
    </row>
    <row r="26" spans="1:15" x14ac:dyDescent="0.25">
      <c r="B26" s="11" t="s">
        <v>169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174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175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176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177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178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179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180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184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190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191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204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customHeight="1" x14ac:dyDescent="0.3">
      <c r="A40" s="4" t="s">
        <v>324</v>
      </c>
      <c r="B40" s="11"/>
    </row>
    <row r="41" spans="1:15" x14ac:dyDescent="0.25">
      <c r="B41" s="5" t="s">
        <v>171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172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173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181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245</v>
      </c>
    </row>
    <row r="47" spans="1:15" ht="26" customHeight="1" x14ac:dyDescent="0.3">
      <c r="A47" s="4"/>
      <c r="B47" s="4"/>
      <c r="C47" s="70" t="s">
        <v>78</v>
      </c>
      <c r="D47" s="70" t="s">
        <v>74</v>
      </c>
      <c r="E47" s="70" t="s">
        <v>77</v>
      </c>
      <c r="F47" s="70" t="s">
        <v>75</v>
      </c>
      <c r="G47" s="70" t="s">
        <v>76</v>
      </c>
      <c r="H47" s="70" t="s">
        <v>68</v>
      </c>
      <c r="I47" s="70" t="s">
        <v>69</v>
      </c>
      <c r="J47" s="70" t="s">
        <v>70</v>
      </c>
      <c r="K47" s="70" t="s">
        <v>71</v>
      </c>
      <c r="L47" s="70" t="s">
        <v>113</v>
      </c>
      <c r="M47" s="70" t="s">
        <v>114</v>
      </c>
      <c r="N47" s="70" t="s">
        <v>115</v>
      </c>
      <c r="O47" s="70" t="s">
        <v>116</v>
      </c>
    </row>
    <row r="48" spans="1:15" ht="13" customHeight="1" x14ac:dyDescent="0.3">
      <c r="A48" s="4" t="s">
        <v>328</v>
      </c>
    </row>
    <row r="49" spans="1:15" x14ac:dyDescent="0.25">
      <c r="B49" s="11" t="s">
        <v>169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174</v>
      </c>
      <c r="C50" s="90">
        <f t="shared" ref="C50:G56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175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176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177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178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179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180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184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190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191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204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customHeight="1" x14ac:dyDescent="0.3">
      <c r="A63" s="4" t="s">
        <v>325</v>
      </c>
      <c r="B63" s="11"/>
    </row>
    <row r="64" spans="1:15" x14ac:dyDescent="0.25">
      <c r="B64" s="5" t="s">
        <v>171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172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173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181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b7deEQEV2sExtoL/8vnGjKIbfJD5vDji6C3yTKp5tIDsjdDP25qmTLEc/c1l25UxS2/LK/BHiUuu+BdzT929dQ==" saltValue="f9p/B2l9jvhCHxBPLmrPQ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C3" sqref="C3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78</v>
      </c>
      <c r="D1" s="4" t="s">
        <v>74</v>
      </c>
      <c r="E1" s="4" t="s">
        <v>77</v>
      </c>
      <c r="F1" s="4" t="s">
        <v>75</v>
      </c>
      <c r="G1" s="4" t="s">
        <v>76</v>
      </c>
    </row>
    <row r="2" spans="1:7" ht="13" customHeight="1" x14ac:dyDescent="0.3">
      <c r="A2" s="4" t="s">
        <v>333</v>
      </c>
    </row>
    <row r="3" spans="1:7" ht="13.25" customHeight="1" x14ac:dyDescent="0.25">
      <c r="B3" s="11" t="s">
        <v>164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330</v>
      </c>
      <c r="B4" s="11"/>
      <c r="C4" s="83"/>
      <c r="D4" s="83"/>
      <c r="E4" s="83"/>
      <c r="F4" s="83"/>
      <c r="G4" s="83"/>
    </row>
    <row r="5" spans="1:7" ht="13.25" customHeight="1" x14ac:dyDescent="0.25">
      <c r="B5" s="5" t="s">
        <v>162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329</v>
      </c>
    </row>
    <row r="8" spans="1:7" ht="13" customHeight="1" x14ac:dyDescent="0.3">
      <c r="A8" s="4"/>
      <c r="B8" s="1"/>
      <c r="C8" s="4" t="s">
        <v>78</v>
      </c>
      <c r="D8" s="4" t="s">
        <v>74</v>
      </c>
      <c r="E8" s="4" t="s">
        <v>77</v>
      </c>
      <c r="F8" s="4" t="s">
        <v>75</v>
      </c>
      <c r="G8" s="4" t="s">
        <v>76</v>
      </c>
    </row>
    <row r="9" spans="1:7" ht="13" customHeight="1" x14ac:dyDescent="0.3">
      <c r="A9" s="4" t="s">
        <v>334</v>
      </c>
    </row>
    <row r="10" spans="1:7" ht="13.25" customHeight="1" x14ac:dyDescent="0.25">
      <c r="B10" s="11" t="s">
        <v>164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331</v>
      </c>
      <c r="B11" s="11"/>
      <c r="C11" s="83"/>
      <c r="D11" s="83"/>
      <c r="E11" s="83"/>
      <c r="F11" s="83"/>
      <c r="G11" s="83"/>
    </row>
    <row r="12" spans="1:7" ht="13.25" customHeight="1" x14ac:dyDescent="0.25">
      <c r="B12" s="5" t="s">
        <v>162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336</v>
      </c>
    </row>
    <row r="15" spans="1:7" ht="13" customHeight="1" x14ac:dyDescent="0.3">
      <c r="A15" s="4"/>
      <c r="B15" s="1"/>
      <c r="C15" s="4" t="s">
        <v>78</v>
      </c>
      <c r="D15" s="4" t="s">
        <v>74</v>
      </c>
      <c r="E15" s="4" t="s">
        <v>77</v>
      </c>
      <c r="F15" s="4" t="s">
        <v>75</v>
      </c>
      <c r="G15" s="4" t="s">
        <v>76</v>
      </c>
    </row>
    <row r="16" spans="1:7" ht="13" customHeight="1" x14ac:dyDescent="0.3">
      <c r="A16" s="4" t="s">
        <v>335</v>
      </c>
    </row>
    <row r="17" spans="1:7" ht="13.25" customHeight="1" x14ac:dyDescent="0.25">
      <c r="B17" s="11" t="s">
        <v>164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332</v>
      </c>
      <c r="B18" s="11"/>
      <c r="C18" s="83"/>
      <c r="D18" s="83"/>
      <c r="E18" s="83"/>
      <c r="F18" s="83"/>
      <c r="G18" s="83"/>
    </row>
    <row r="19" spans="1:7" ht="13.25" customHeight="1" x14ac:dyDescent="0.25">
      <c r="B19" s="5" t="s">
        <v>162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lZwpyaFIi1Q22pPwgBRwuGDQkHE9dN55H+t9cBNybm2JHBR1doOG+fvjSxGcQ7FMSTHpkN8zQYSeI5D9pk+qJw==" saltValue="OuFGdsqUVMCXUFNVG7dqSw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22" zoomScale="80" zoomScaleNormal="80" workbookViewId="0">
      <selection activeCell="D8" sqref="D8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163</v>
      </c>
      <c r="B1" s="4" t="s">
        <v>340</v>
      </c>
      <c r="C1" s="82" t="s">
        <v>9</v>
      </c>
      <c r="D1" s="4" t="s">
        <v>78</v>
      </c>
      <c r="E1" s="4" t="s">
        <v>74</v>
      </c>
      <c r="F1" s="4" t="s">
        <v>77</v>
      </c>
      <c r="G1" s="4" t="s">
        <v>75</v>
      </c>
      <c r="H1" s="4" t="s">
        <v>76</v>
      </c>
    </row>
    <row r="2" spans="1:8" ht="13.25" customHeight="1" x14ac:dyDescent="0.25">
      <c r="A2" s="5" t="s">
        <v>196</v>
      </c>
      <c r="B2" s="5" t="s">
        <v>84</v>
      </c>
      <c r="C2" s="5" t="s">
        <v>337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ht="13.25" customHeight="1" x14ac:dyDescent="0.25">
      <c r="C3" s="5" t="s">
        <v>339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ht="13.25" customHeight="1" x14ac:dyDescent="0.25">
      <c r="C4" s="5" t="s">
        <v>338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ht="13.25" customHeight="1" x14ac:dyDescent="0.25">
      <c r="A5" s="5" t="s">
        <v>193</v>
      </c>
      <c r="B5" s="5" t="s">
        <v>207</v>
      </c>
      <c r="C5" s="5" t="s">
        <v>337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ht="13.25" customHeight="1" x14ac:dyDescent="0.25">
      <c r="C6" s="5" t="s">
        <v>338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ht="13.25" customHeight="1" x14ac:dyDescent="0.25">
      <c r="B7" s="5" t="s">
        <v>6</v>
      </c>
      <c r="C7" s="5" t="s">
        <v>337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ht="13.25" customHeight="1" x14ac:dyDescent="0.25">
      <c r="C8" s="5" t="s">
        <v>338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ht="13.25" customHeight="1" x14ac:dyDescent="0.25">
      <c r="A9" s="5" t="s">
        <v>184</v>
      </c>
      <c r="B9" s="5" t="s">
        <v>207</v>
      </c>
      <c r="C9" s="5" t="s">
        <v>337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ht="13.25" customHeight="1" x14ac:dyDescent="0.25">
      <c r="C10" s="5" t="s">
        <v>338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ht="13.25" customHeight="1" x14ac:dyDescent="0.25">
      <c r="B11" s="5" t="s">
        <v>6</v>
      </c>
      <c r="C11" s="5" t="s">
        <v>337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ht="13.25" customHeight="1" x14ac:dyDescent="0.25">
      <c r="C12" s="5" t="s">
        <v>338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ht="13.25" customHeight="1" x14ac:dyDescent="0.25">
      <c r="A13" s="5" t="s">
        <v>204</v>
      </c>
      <c r="B13" s="5" t="s">
        <v>207</v>
      </c>
      <c r="C13" s="5" t="s">
        <v>337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ht="13.25" customHeight="1" x14ac:dyDescent="0.25">
      <c r="C14" s="5" t="s">
        <v>338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ht="13.25" customHeight="1" x14ac:dyDescent="0.25">
      <c r="B15" s="5" t="s">
        <v>6</v>
      </c>
      <c r="C15" s="5" t="s">
        <v>337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ht="13.25" customHeight="1" x14ac:dyDescent="0.25">
      <c r="C16" s="5" t="s">
        <v>338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ht="13.25" customHeight="1" x14ac:dyDescent="0.25">
      <c r="A17" s="5" t="s">
        <v>167</v>
      </c>
      <c r="B17" s="5" t="s">
        <v>207</v>
      </c>
      <c r="C17" s="5" t="s">
        <v>337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ht="13.25" customHeight="1" x14ac:dyDescent="0.25">
      <c r="C18" s="5" t="s">
        <v>338</v>
      </c>
      <c r="D18" s="90">
        <v>0</v>
      </c>
      <c r="E18" s="90">
        <v>0</v>
      </c>
      <c r="F18" s="90">
        <f>MIN(MAX(1-0.89/(1-frac_sam_6_11months+(frac_sam_6_11months*0.89)),0),1)</f>
        <v>0.1087920192721864</v>
      </c>
      <c r="G18" s="90">
        <f>MIN(MAX(1-0.89/(1-frac_sam_12_23months+(frac_sam_12_23months*0.89)),0),1)</f>
        <v>0.10973166333037598</v>
      </c>
      <c r="H18" s="90">
        <f>MIN(MAX(1-0.89/(1-frac_sam_24_59months+(frac_sam_24_59months*0.89)),0),1)</f>
        <v>0.10951413131935872</v>
      </c>
    </row>
    <row r="19" spans="1:8" ht="13.25" customHeight="1" x14ac:dyDescent="0.25">
      <c r="B19" s="5" t="s">
        <v>6</v>
      </c>
      <c r="C19" s="5" t="s">
        <v>337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ht="13.25" customHeight="1" x14ac:dyDescent="0.25">
      <c r="C20" s="5" t="s">
        <v>338</v>
      </c>
      <c r="D20" s="90">
        <v>0</v>
      </c>
      <c r="E20" s="90">
        <v>0</v>
      </c>
      <c r="F20" s="90">
        <f>MIN(MAX(1-0.89/(1-frac_mam_6_11months+(frac_mam_6_11months*0.89)),0),1)</f>
        <v>0.108175120284555</v>
      </c>
      <c r="G20" s="90">
        <f>MIN(MAX(1-0.89/(1-frac_mam_12_23months+(frac_mam_12_23months*0.89)),0),1)</f>
        <v>0.10944123760627</v>
      </c>
      <c r="H20" s="90">
        <f>MIN(MAX(1-0.89/(1-frac_mam_24_59months+(frac_mam_24_59months*0.89)),0),1)</f>
        <v>0.10923434148745981</v>
      </c>
    </row>
    <row r="21" spans="1:8" ht="13.25" customHeight="1" x14ac:dyDescent="0.25">
      <c r="A21" s="5" t="s">
        <v>173</v>
      </c>
      <c r="B21" s="5" t="s">
        <v>92</v>
      </c>
      <c r="C21" s="5" t="s">
        <v>337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ht="13.25" customHeight="1" x14ac:dyDescent="0.25">
      <c r="C22" s="5" t="s">
        <v>339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ht="13.25" customHeight="1" x14ac:dyDescent="0.25">
      <c r="A23" s="5" t="s">
        <v>171</v>
      </c>
      <c r="B23" s="5" t="s">
        <v>92</v>
      </c>
      <c r="C23" s="5" t="s">
        <v>337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ht="13.25" customHeight="1" x14ac:dyDescent="0.25">
      <c r="C24" s="5" t="s">
        <v>339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ht="13.25" customHeight="1" x14ac:dyDescent="0.25">
      <c r="A25" s="5" t="s">
        <v>172</v>
      </c>
      <c r="B25" s="5" t="s">
        <v>92</v>
      </c>
      <c r="C25" s="5" t="s">
        <v>337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ht="13.25" customHeight="1" x14ac:dyDescent="0.25">
      <c r="C26" s="5" t="s">
        <v>339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ht="13.25" customHeight="1" x14ac:dyDescent="0.25">
      <c r="A27" s="5" t="s">
        <v>200</v>
      </c>
      <c r="B27" s="5" t="s">
        <v>84</v>
      </c>
      <c r="C27" s="5" t="s">
        <v>337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ht="13.25" customHeight="1" x14ac:dyDescent="0.25">
      <c r="C28" s="5" t="s">
        <v>339</v>
      </c>
      <c r="D28" s="90">
        <v>0.3</v>
      </c>
      <c r="E28" s="90">
        <v>0.3</v>
      </c>
      <c r="F28" s="90">
        <v>0.3</v>
      </c>
      <c r="G28" s="90">
        <v>0.3</v>
      </c>
      <c r="H28" s="90">
        <v>0.3</v>
      </c>
    </row>
    <row r="29" spans="1:8" ht="13.25" customHeight="1" x14ac:dyDescent="0.25">
      <c r="C29" s="5" t="s">
        <v>338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ht="13.25" customHeight="1" x14ac:dyDescent="0.25">
      <c r="A30" s="5" t="s">
        <v>201</v>
      </c>
      <c r="B30" s="5" t="s">
        <v>84</v>
      </c>
      <c r="C30" s="5" t="s">
        <v>337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ht="13.25" customHeight="1" x14ac:dyDescent="0.25">
      <c r="C31" s="5" t="s">
        <v>339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ht="13.25" customHeight="1" x14ac:dyDescent="0.25">
      <c r="C32" s="5" t="s">
        <v>338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ht="13.25" customHeight="1" x14ac:dyDescent="0.25">
      <c r="A33" s="5" t="s">
        <v>199</v>
      </c>
      <c r="B33" s="5" t="s">
        <v>84</v>
      </c>
      <c r="C33" s="5" t="s">
        <v>337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ht="13.25" customHeight="1" x14ac:dyDescent="0.25">
      <c r="C34" s="5" t="s">
        <v>339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ht="13.25" customHeight="1" x14ac:dyDescent="0.25">
      <c r="C35" s="5" t="s">
        <v>338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ht="13.25" customHeight="1" x14ac:dyDescent="0.25">
      <c r="A36" s="5" t="s">
        <v>198</v>
      </c>
      <c r="B36" s="5" t="s">
        <v>84</v>
      </c>
      <c r="C36" s="5" t="s">
        <v>337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ht="13.25" customHeight="1" x14ac:dyDescent="0.25">
      <c r="C37" s="5" t="s">
        <v>339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ht="13.25" customHeight="1" x14ac:dyDescent="0.25">
      <c r="C38" s="5" t="s">
        <v>338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ht="13.25" customHeight="1" x14ac:dyDescent="0.25">
      <c r="A39" s="5" t="s">
        <v>197</v>
      </c>
      <c r="B39" s="5" t="s">
        <v>84</v>
      </c>
      <c r="C39" s="5" t="s">
        <v>337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ht="13.25" customHeight="1" x14ac:dyDescent="0.25">
      <c r="C40" s="5" t="s">
        <v>339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ht="13.25" customHeight="1" x14ac:dyDescent="0.25">
      <c r="C41" s="5" t="s">
        <v>338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ht="13.25" customHeight="1" x14ac:dyDescent="0.25">
      <c r="A42" s="5" t="s">
        <v>203</v>
      </c>
      <c r="B42" s="5" t="s">
        <v>84</v>
      </c>
      <c r="C42" s="5" t="s">
        <v>337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ht="13.25" customHeight="1" x14ac:dyDescent="0.25">
      <c r="C43" s="5" t="s">
        <v>339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ht="13.25" customHeight="1" x14ac:dyDescent="0.25">
      <c r="C44" s="5" t="s">
        <v>338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ht="13.25" customHeight="1" x14ac:dyDescent="0.25">
      <c r="B45" s="5" t="s">
        <v>102</v>
      </c>
      <c r="C45" s="5" t="s">
        <v>337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ht="13.25" customHeight="1" x14ac:dyDescent="0.25">
      <c r="C46" s="5" t="s">
        <v>339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ht="13.25" customHeight="1" x14ac:dyDescent="0.25">
      <c r="C47" s="5" t="s">
        <v>338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192</v>
      </c>
      <c r="B48" s="5" t="s">
        <v>84</v>
      </c>
      <c r="C48" s="5" t="s">
        <v>337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339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202</v>
      </c>
      <c r="B50" s="5" t="s">
        <v>84</v>
      </c>
      <c r="C50" s="5" t="s">
        <v>337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339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182</v>
      </c>
      <c r="B52" s="5" t="s">
        <v>96</v>
      </c>
      <c r="C52" s="5" t="s">
        <v>337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339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329</v>
      </c>
      <c r="B55" s="97"/>
      <c r="C55" s="97"/>
    </row>
    <row r="56" spans="1:8" ht="13" customHeight="1" x14ac:dyDescent="0.3">
      <c r="A56" s="4" t="s">
        <v>163</v>
      </c>
      <c r="B56" s="4" t="s">
        <v>340</v>
      </c>
      <c r="C56" s="82" t="s">
        <v>9</v>
      </c>
      <c r="D56" s="4" t="s">
        <v>78</v>
      </c>
      <c r="E56" s="4" t="s">
        <v>74</v>
      </c>
      <c r="F56" s="4" t="s">
        <v>77</v>
      </c>
      <c r="G56" s="4" t="s">
        <v>75</v>
      </c>
      <c r="H56" s="4" t="s">
        <v>76</v>
      </c>
    </row>
    <row r="57" spans="1:8" x14ac:dyDescent="0.25">
      <c r="A57" s="5" t="s">
        <v>196</v>
      </c>
      <c r="B57" s="5" t="s">
        <v>84</v>
      </c>
      <c r="C57" s="5" t="s">
        <v>337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339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338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193</v>
      </c>
      <c r="B60" s="5" t="s">
        <v>207</v>
      </c>
      <c r="C60" s="5" t="s">
        <v>337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338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6</v>
      </c>
      <c r="C62" s="5" t="s">
        <v>337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338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184</v>
      </c>
      <c r="B64" s="5" t="s">
        <v>207</v>
      </c>
      <c r="C64" s="5" t="s">
        <v>337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338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6</v>
      </c>
      <c r="C66" s="5" t="s">
        <v>337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338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204</v>
      </c>
      <c r="B68" s="5" t="s">
        <v>207</v>
      </c>
      <c r="C68" s="5" t="s">
        <v>337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338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6</v>
      </c>
      <c r="C70" s="5" t="s">
        <v>337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338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167</v>
      </c>
      <c r="B72" s="5" t="s">
        <v>207</v>
      </c>
      <c r="C72" s="5" t="s">
        <v>337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338</v>
      </c>
      <c r="D73" s="90">
        <f t="shared" si="0"/>
        <v>0</v>
      </c>
      <c r="E73" s="90">
        <f t="shared" si="0"/>
        <v>0</v>
      </c>
      <c r="F73" s="90">
        <f>MIN(MAX(1-0.99/(1-frac_sam_6_11months+(frac_sam_6_11months*0.99)),0),1)</f>
        <v>9.8779951863229298E-3</v>
      </c>
      <c r="G73" s="90">
        <f>MIN(MAX(1-0.99/(1-frac_sam_12_23months+(frac_sam_12_23months*0.99)),0),1)</f>
        <v>9.972872266672983E-3</v>
      </c>
      <c r="H73" s="90">
        <f>MIN(MAX(1-0.99/(1-frac_sam_24_59months+(frac_sam_24_59months*0.99)),0),1)</f>
        <v>9.9508915841244328E-3</v>
      </c>
    </row>
    <row r="74" spans="1:8" x14ac:dyDescent="0.25">
      <c r="B74" s="5" t="s">
        <v>6</v>
      </c>
      <c r="C74" s="5" t="s">
        <v>337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338</v>
      </c>
      <c r="D75" s="90">
        <f t="shared" si="0"/>
        <v>0</v>
      </c>
      <c r="E75" s="90">
        <f t="shared" si="0"/>
        <v>0</v>
      </c>
      <c r="F75" s="90">
        <f>MIN(MAX(1-0.99/(1-frac_mam_6_11months+(frac_mam_6_11months*0.99)),0),1)</f>
        <v>9.8158049458518803E-3</v>
      </c>
      <c r="G75" s="90">
        <f>MIN(MAX(1-0.99/(1-frac_mam_12_23months+(frac_mam_12_23months*0.99)),0),1)</f>
        <v>9.943528168903204E-3</v>
      </c>
      <c r="H75" s="90">
        <f>MIN(MAX(1-0.99/(1-frac_mam_24_59months+(frac_mam_24_59months*0.99)),0),1)</f>
        <v>9.9226343645718584E-3</v>
      </c>
    </row>
    <row r="76" spans="1:8" x14ac:dyDescent="0.25">
      <c r="A76" s="5" t="s">
        <v>173</v>
      </c>
      <c r="B76" s="5" t="s">
        <v>92</v>
      </c>
      <c r="C76" s="5" t="s">
        <v>337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339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171</v>
      </c>
      <c r="B78" s="5" t="s">
        <v>92</v>
      </c>
      <c r="C78" s="5" t="s">
        <v>337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339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172</v>
      </c>
      <c r="B80" s="5" t="s">
        <v>92</v>
      </c>
      <c r="C80" s="5" t="s">
        <v>337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339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200</v>
      </c>
      <c r="B82" s="5" t="s">
        <v>84</v>
      </c>
      <c r="C82" s="5" t="s">
        <v>337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339</v>
      </c>
      <c r="D83" s="90">
        <v>7.0000000000000007E-2</v>
      </c>
      <c r="E83" s="90">
        <v>7.0000000000000007E-2</v>
      </c>
      <c r="F83" s="90">
        <v>7.0000000000000007E-2</v>
      </c>
      <c r="G83" s="90">
        <v>7.0000000000000007E-2</v>
      </c>
      <c r="H83" s="90">
        <v>7.0000000000000007E-2</v>
      </c>
    </row>
    <row r="84" spans="1:8" x14ac:dyDescent="0.25">
      <c r="C84" s="5" t="s">
        <v>338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201</v>
      </c>
      <c r="B85" s="5" t="s">
        <v>84</v>
      </c>
      <c r="C85" s="5" t="s">
        <v>337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339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338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199</v>
      </c>
      <c r="B88" s="5" t="s">
        <v>84</v>
      </c>
      <c r="C88" s="5" t="s">
        <v>337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339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338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198</v>
      </c>
      <c r="B91" s="5" t="s">
        <v>84</v>
      </c>
      <c r="C91" s="5" t="s">
        <v>337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339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338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197</v>
      </c>
      <c r="B94" s="5" t="s">
        <v>84</v>
      </c>
      <c r="C94" s="5" t="s">
        <v>337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339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338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203</v>
      </c>
      <c r="B97" s="5" t="s">
        <v>84</v>
      </c>
      <c r="C97" s="5" t="s">
        <v>337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339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338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102</v>
      </c>
      <c r="C100" s="5" t="s">
        <v>337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339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338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192</v>
      </c>
      <c r="B103" s="5" t="s">
        <v>84</v>
      </c>
      <c r="C103" s="5" t="s">
        <v>337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339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202</v>
      </c>
      <c r="B105" s="5" t="s">
        <v>84</v>
      </c>
      <c r="C105" s="5" t="s">
        <v>337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339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182</v>
      </c>
      <c r="B107" s="5" t="s">
        <v>96</v>
      </c>
      <c r="C107" s="5" t="s">
        <v>337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339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336</v>
      </c>
      <c r="B110" s="97"/>
      <c r="C110" s="97"/>
    </row>
    <row r="111" spans="1:8" ht="13" customHeight="1" x14ac:dyDescent="0.3">
      <c r="A111" s="4" t="s">
        <v>163</v>
      </c>
      <c r="B111" s="4" t="s">
        <v>340</v>
      </c>
      <c r="C111" s="82" t="s">
        <v>9</v>
      </c>
      <c r="D111" s="4" t="s">
        <v>78</v>
      </c>
      <c r="E111" s="4" t="s">
        <v>74</v>
      </c>
      <c r="F111" s="4" t="s">
        <v>77</v>
      </c>
      <c r="G111" s="4" t="s">
        <v>75</v>
      </c>
      <c r="H111" s="4" t="s">
        <v>76</v>
      </c>
    </row>
    <row r="112" spans="1:8" x14ac:dyDescent="0.25">
      <c r="A112" s="5" t="s">
        <v>196</v>
      </c>
      <c r="B112" s="5" t="s">
        <v>84</v>
      </c>
      <c r="C112" s="5" t="s">
        <v>337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339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338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193</v>
      </c>
      <c r="B115" s="5" t="s">
        <v>207</v>
      </c>
      <c r="C115" s="5" t="s">
        <v>337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338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6</v>
      </c>
      <c r="C117" s="5" t="s">
        <v>337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338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184</v>
      </c>
      <c r="B119" s="5" t="s">
        <v>207</v>
      </c>
      <c r="C119" s="5" t="s">
        <v>337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338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6</v>
      </c>
      <c r="C121" s="5" t="s">
        <v>337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338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204</v>
      </c>
      <c r="B123" s="5" t="s">
        <v>207</v>
      </c>
      <c r="C123" s="5" t="s">
        <v>337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338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6</v>
      </c>
      <c r="C125" s="5" t="s">
        <v>337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338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167</v>
      </c>
      <c r="B127" s="5" t="s">
        <v>207</v>
      </c>
      <c r="C127" s="5" t="s">
        <v>337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338</v>
      </c>
      <c r="D128" s="90">
        <f t="shared" si="3"/>
        <v>0</v>
      </c>
      <c r="E128" s="90">
        <f t="shared" si="3"/>
        <v>0</v>
      </c>
      <c r="F128" s="90">
        <f>MIN(MAX(1-0.8/(1-frac_sam_6_11months+(frac_sam_6_11months*0.8)),0),1)</f>
        <v>0.19802357722465558</v>
      </c>
      <c r="G128" s="90">
        <f>MIN(MAX(1-0.8/(1-frac_sam_12_23months+(frac_sam_12_23months*0.8)),0),1)</f>
        <v>0.19956134360752376</v>
      </c>
      <c r="H128" s="90">
        <f>MIN(MAX(1-0.8/(1-frac_sam_24_59months+(frac_sam_24_59months*0.8)),0),1)</f>
        <v>0.19920557990348742</v>
      </c>
    </row>
    <row r="129" spans="1:8" x14ac:dyDescent="0.25">
      <c r="B129" s="5" t="s">
        <v>6</v>
      </c>
      <c r="C129" s="5" t="s">
        <v>337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338</v>
      </c>
      <c r="D130" s="90">
        <f t="shared" si="3"/>
        <v>0</v>
      </c>
      <c r="E130" s="90">
        <f t="shared" si="3"/>
        <v>0</v>
      </c>
      <c r="F130" s="90">
        <f>MIN(MAX(1-0.8/(1-frac_mam_6_11months+(frac_mam_6_11months*0.8)),0),1)</f>
        <v>0.19701254942914714</v>
      </c>
      <c r="G130" s="90">
        <f>MIN(MAX(1-0.8/(1-frac_mam_12_23months+(frac_mam_12_23months*0.8)),0),1)</f>
        <v>0.19908633370776718</v>
      </c>
      <c r="H130" s="90">
        <f>MIN(MAX(1-0.8/(1-frac_mam_24_59months+(frac_mam_24_59months*0.8)),0),1)</f>
        <v>0.19874778701650508</v>
      </c>
    </row>
    <row r="131" spans="1:8" x14ac:dyDescent="0.25">
      <c r="A131" s="5" t="s">
        <v>173</v>
      </c>
      <c r="B131" s="5" t="s">
        <v>92</v>
      </c>
      <c r="C131" s="5" t="s">
        <v>337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339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171</v>
      </c>
      <c r="B133" s="5" t="s">
        <v>92</v>
      </c>
      <c r="C133" s="5" t="s">
        <v>337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339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172</v>
      </c>
      <c r="B135" s="5" t="s">
        <v>92</v>
      </c>
      <c r="C135" s="5" t="s">
        <v>337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339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200</v>
      </c>
      <c r="B137" s="5" t="s">
        <v>84</v>
      </c>
      <c r="C137" s="5" t="s">
        <v>337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339</v>
      </c>
      <c r="D138" s="90">
        <v>0.51</v>
      </c>
      <c r="E138" s="90">
        <v>0.51</v>
      </c>
      <c r="F138" s="90">
        <v>0.51</v>
      </c>
      <c r="G138" s="90">
        <v>0.51</v>
      </c>
      <c r="H138" s="90">
        <v>0.51</v>
      </c>
    </row>
    <row r="139" spans="1:8" x14ac:dyDescent="0.25">
      <c r="C139" s="5" t="s">
        <v>338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201</v>
      </c>
      <c r="B140" s="5" t="s">
        <v>84</v>
      </c>
      <c r="C140" s="5" t="s">
        <v>337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339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338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199</v>
      </c>
      <c r="B143" s="5" t="s">
        <v>84</v>
      </c>
      <c r="C143" s="5" t="s">
        <v>337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339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338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198</v>
      </c>
      <c r="B146" s="5" t="s">
        <v>84</v>
      </c>
      <c r="C146" s="5" t="s">
        <v>337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339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338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197</v>
      </c>
      <c r="B149" s="5" t="s">
        <v>84</v>
      </c>
      <c r="C149" s="5" t="s">
        <v>337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339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338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203</v>
      </c>
      <c r="B152" s="5" t="s">
        <v>84</v>
      </c>
      <c r="C152" s="5" t="s">
        <v>337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339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338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102</v>
      </c>
      <c r="C155" s="5" t="s">
        <v>337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339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338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192</v>
      </c>
      <c r="B158" s="5" t="s">
        <v>84</v>
      </c>
      <c r="C158" s="5" t="s">
        <v>337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339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202</v>
      </c>
      <c r="B160" s="5" t="s">
        <v>84</v>
      </c>
      <c r="C160" s="5" t="s">
        <v>337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339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182</v>
      </c>
      <c r="B162" s="5" t="s">
        <v>96</v>
      </c>
      <c r="C162" s="5" t="s">
        <v>337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339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M+aP15s0aOexsWNJHPt5fmaWMuR85VDKbFr3asWX/xwanglK2oI2SjblVnsbXajh2xj88JUgDquvftoio1NxCA==" saltValue="HJp/NjVVyABlvN/8nPLay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D11" sqref="D11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163</v>
      </c>
      <c r="B1" s="1" t="s">
        <v>340</v>
      </c>
      <c r="C1" s="1"/>
      <c r="D1" s="4" t="s">
        <v>113</v>
      </c>
      <c r="E1" s="4" t="s">
        <v>114</v>
      </c>
      <c r="F1" s="4" t="s">
        <v>115</v>
      </c>
      <c r="G1" s="4" t="s">
        <v>116</v>
      </c>
      <c r="H1" s="4"/>
    </row>
    <row r="2" spans="1:8" ht="13.25" customHeight="1" x14ac:dyDescent="0.25">
      <c r="A2" s="3" t="s">
        <v>166</v>
      </c>
      <c r="B2" s="8" t="s">
        <v>86</v>
      </c>
      <c r="C2" s="3" t="s">
        <v>337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ht="13.25" customHeight="1" x14ac:dyDescent="0.25">
      <c r="C3" s="8" t="s">
        <v>339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ht="13.25" customHeight="1" x14ac:dyDescent="0.25">
      <c r="A4" s="3" t="s">
        <v>189</v>
      </c>
      <c r="B4" s="8" t="s">
        <v>86</v>
      </c>
      <c r="C4" s="3" t="s">
        <v>337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ht="13.25" customHeight="1" x14ac:dyDescent="0.25">
      <c r="C5" s="8" t="s">
        <v>339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ht="13.25" customHeight="1" x14ac:dyDescent="0.25">
      <c r="A6" s="3" t="s">
        <v>188</v>
      </c>
      <c r="B6" s="8" t="s">
        <v>86</v>
      </c>
      <c r="C6" s="3" t="s">
        <v>337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ht="13.25" customHeight="1" x14ac:dyDescent="0.25">
      <c r="C7" s="8" t="s">
        <v>339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329</v>
      </c>
    </row>
    <row r="10" spans="1:8" ht="13" customHeight="1" x14ac:dyDescent="0.3">
      <c r="A10" s="1" t="s">
        <v>163</v>
      </c>
      <c r="B10" s="1" t="s">
        <v>340</v>
      </c>
      <c r="C10" s="1"/>
      <c r="D10" s="4" t="s">
        <v>113</v>
      </c>
      <c r="E10" s="4" t="s">
        <v>114</v>
      </c>
      <c r="F10" s="4" t="s">
        <v>115</v>
      </c>
      <c r="G10" s="4" t="s">
        <v>116</v>
      </c>
    </row>
    <row r="11" spans="1:8" ht="13.25" customHeight="1" x14ac:dyDescent="0.25">
      <c r="A11" s="3" t="s">
        <v>166</v>
      </c>
      <c r="B11" s="8" t="s">
        <v>86</v>
      </c>
      <c r="C11" s="3" t="s">
        <v>337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ht="13.25" customHeight="1" x14ac:dyDescent="0.25">
      <c r="C12" s="8" t="s">
        <v>339</v>
      </c>
      <c r="D12" s="90">
        <v>0</v>
      </c>
      <c r="E12" s="90">
        <v>0</v>
      </c>
      <c r="F12" s="90">
        <v>0</v>
      </c>
      <c r="G12" s="90">
        <v>0</v>
      </c>
    </row>
    <row r="13" spans="1:8" ht="13.25" customHeight="1" x14ac:dyDescent="0.25">
      <c r="A13" s="3" t="s">
        <v>189</v>
      </c>
      <c r="B13" s="8" t="s">
        <v>86</v>
      </c>
      <c r="C13" s="3" t="s">
        <v>337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ht="13.25" customHeight="1" x14ac:dyDescent="0.25">
      <c r="C14" s="8" t="s">
        <v>339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ht="13.25" customHeight="1" x14ac:dyDescent="0.25">
      <c r="A15" s="3" t="s">
        <v>188</v>
      </c>
      <c r="B15" s="8" t="s">
        <v>86</v>
      </c>
      <c r="C15" s="3" t="s">
        <v>337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ht="13.25" customHeight="1" x14ac:dyDescent="0.25">
      <c r="C16" s="8" t="s">
        <v>339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336</v>
      </c>
    </row>
    <row r="19" spans="1:7" ht="13" customHeight="1" x14ac:dyDescent="0.3">
      <c r="A19" s="1" t="s">
        <v>163</v>
      </c>
      <c r="B19" s="1" t="s">
        <v>340</v>
      </c>
      <c r="C19" s="1"/>
      <c r="D19" s="4" t="s">
        <v>113</v>
      </c>
      <c r="E19" s="4" t="s">
        <v>114</v>
      </c>
      <c r="F19" s="4" t="s">
        <v>115</v>
      </c>
      <c r="G19" s="4" t="s">
        <v>116</v>
      </c>
    </row>
    <row r="20" spans="1:7" ht="13.25" customHeight="1" x14ac:dyDescent="0.25">
      <c r="A20" s="3" t="s">
        <v>166</v>
      </c>
      <c r="B20" s="8" t="s">
        <v>86</v>
      </c>
      <c r="C20" s="3" t="s">
        <v>337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ht="13.25" customHeight="1" x14ac:dyDescent="0.25">
      <c r="C21" s="8" t="s">
        <v>339</v>
      </c>
      <c r="D21" s="90">
        <v>0</v>
      </c>
      <c r="E21" s="90">
        <v>0</v>
      </c>
      <c r="F21" s="90">
        <v>0</v>
      </c>
      <c r="G21" s="90">
        <v>0</v>
      </c>
    </row>
    <row r="22" spans="1:7" ht="13.25" customHeight="1" x14ac:dyDescent="0.25">
      <c r="A22" s="3" t="s">
        <v>189</v>
      </c>
      <c r="B22" s="8" t="s">
        <v>86</v>
      </c>
      <c r="C22" s="3" t="s">
        <v>337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ht="13.25" customHeight="1" x14ac:dyDescent="0.25">
      <c r="C23" s="8" t="s">
        <v>339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ht="13.25" customHeight="1" x14ac:dyDescent="0.25">
      <c r="A24" s="3" t="s">
        <v>188</v>
      </c>
      <c r="B24" s="8" t="s">
        <v>86</v>
      </c>
      <c r="C24" s="3" t="s">
        <v>337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ht="13.25" customHeight="1" x14ac:dyDescent="0.25">
      <c r="C25" s="8" t="s">
        <v>339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txtOy5m16c7L2yp2v+nGMO1iNe+ITotpx4Psgz6C7wuaFpxZEtizpDY1Qjrg/wnQ0A9Tl8nvlocDSYkWR3q2Vw==" saltValue="p3nCTRgDTL9MFgQBsdRx6w==" spinCount="100000" sheet="1" objects="1" scenarios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Entradas de población-año base</vt:lpstr>
      <vt:lpstr>Proyecciones demográficas</vt:lpstr>
      <vt:lpstr>Causas de muerte</vt:lpstr>
      <vt:lpstr>Distribución estado nutricional</vt:lpstr>
      <vt:lpstr>Distribución de lactancia</vt:lpstr>
      <vt:lpstr>Tendencias temporales</vt:lpstr>
      <vt:lpstr>Pérdida económica</vt:lpstr>
      <vt:lpstr>Paquetes de IYCF</vt:lpstr>
      <vt:lpstr>Tratamiento de la MAS</vt:lpstr>
      <vt:lpstr>Costo y cobertura del programa</vt:lpstr>
      <vt:lpstr>Dependencias del programa</vt:lpstr>
      <vt:lpstr>Programas de referencia</vt:lpstr>
      <vt:lpstr>Incidencia de las afecciones</vt:lpstr>
      <vt:lpstr>Población objetivo del programa</vt:lpstr>
      <vt:lpstr>Opciones de la curva de costos</vt:lpstr>
      <vt:lpstr>Prog. de planificación familiar</vt:lpstr>
      <vt:lpstr>Programas población afectada</vt:lpstr>
      <vt:lpstr>Riesgos que impacta programa</vt:lpstr>
      <vt:lpstr>Riegos para la población</vt:lpstr>
      <vt:lpstr>Razón de momios IYCF</vt:lpstr>
      <vt:lpstr>Riesgos desenlace de nacimiento</vt:lpstr>
      <vt:lpstr>Riesgos relativos</vt:lpstr>
      <vt:lpstr>Razón de momios</vt:lpstr>
      <vt:lpstr>Resultados de nacimiento- prog</vt:lpstr>
      <vt:lpstr>Programas de anemia</vt:lpstr>
      <vt:lpstr>Programas para emaciación</vt:lpstr>
      <vt:lpstr>Programas para niños</vt:lpstr>
      <vt:lpstr>Prog. para mujeres embarazadas</vt:lpstr>
      <vt:lpstr>'Paquetes de IYCF'!abortion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'Paquetes de IYCF'!stillbirth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keywords>lang=es</cp:keywords>
  <cp:lastModifiedBy>Tharindu Wickramaarachchi</cp:lastModifiedBy>
  <dcterms:created xsi:type="dcterms:W3CDTF">2017-08-01T10:42:13Z</dcterms:created>
  <dcterms:modified xsi:type="dcterms:W3CDTF">2024-08-06T08:30:14Z</dcterms:modified>
</cp:coreProperties>
</file>