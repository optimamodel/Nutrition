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F704BBA7-3057-48E3-B5A5-89631AA31E69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31" i="2"/>
  <c r="H13" i="2"/>
  <c r="I13" i="2" s="1"/>
  <c r="G13" i="2"/>
  <c r="H12" i="2"/>
  <c r="G12" i="2"/>
  <c r="I12" i="2" s="1"/>
  <c r="H11" i="2"/>
  <c r="I11" i="2" s="1"/>
  <c r="G11" i="2"/>
  <c r="H10" i="2"/>
  <c r="G10" i="2"/>
  <c r="H9" i="2"/>
  <c r="I9" i="2" s="1"/>
  <c r="G9" i="2"/>
  <c r="H8" i="2"/>
  <c r="G8" i="2"/>
  <c r="I8" i="2" s="1"/>
  <c r="H7" i="2"/>
  <c r="I7" i="2" s="1"/>
  <c r="G7" i="2"/>
  <c r="H6" i="2"/>
  <c r="G6" i="2"/>
  <c r="H5" i="2"/>
  <c r="I5" i="2" s="1"/>
  <c r="G5" i="2"/>
  <c r="H4" i="2"/>
  <c r="G4" i="2"/>
  <c r="I4" i="2" s="1"/>
  <c r="H3" i="2"/>
  <c r="I3" i="2" s="1"/>
  <c r="G3" i="2"/>
  <c r="H2" i="2"/>
  <c r="G2" i="2"/>
  <c r="A2" i="2"/>
  <c r="A40" i="2" s="1"/>
  <c r="C33" i="1"/>
  <c r="C20" i="1"/>
  <c r="I2" i="2" l="1"/>
  <c r="I6" i="2"/>
  <c r="I10" i="2"/>
  <c r="A15" i="2"/>
  <c r="A23" i="2"/>
  <c r="A16" i="2"/>
  <c r="A24" i="2"/>
  <c r="A32" i="2"/>
  <c r="A25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17" i="2"/>
  <c r="A33" i="2"/>
  <c r="A19" i="2"/>
  <c r="A27" i="2"/>
  <c r="A35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<sst xmlns="http://schemas.openxmlformats.org/spreadsheetml/2006/main" count="2101" uniqueCount="341">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</sst>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309928.00390625</v>
      </c>
    </row>
    <row r="8" spans="1:3" ht="15" customHeight="1" x14ac:dyDescent="0.25">
      <c r="B8" s="5" t="s">
        <v>44</v>
      </c>
      <c r="C8" s="44">
        <v>3.4000000000000002E-2</v>
      </c>
    </row>
    <row r="9" spans="1:3" ht="15" customHeight="1" x14ac:dyDescent="0.25">
      <c r="B9" s="5" t="s">
        <v>43</v>
      </c>
      <c r="C9" s="45">
        <v>0.96</v>
      </c>
    </row>
    <row r="10" spans="1:3" ht="15" customHeight="1" x14ac:dyDescent="0.25">
      <c r="B10" s="5" t="s">
        <v>56</v>
      </c>
      <c r="C10" s="45">
        <v>0.32603321079999997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0.7609999999999999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7.5999999999999998E-2</v>
      </c>
    </row>
    <row r="24" spans="1:3" ht="15" customHeight="1" x14ac:dyDescent="0.25">
      <c r="B24" s="15" t="s">
        <v>46</v>
      </c>
      <c r="C24" s="45">
        <v>0.42870000000000003</v>
      </c>
    </row>
    <row r="25" spans="1:3" ht="15" customHeight="1" x14ac:dyDescent="0.25">
      <c r="B25" s="15" t="s">
        <v>47</v>
      </c>
      <c r="C25" s="45">
        <v>0.38779999999999998</v>
      </c>
    </row>
    <row r="26" spans="1:3" ht="15" customHeight="1" x14ac:dyDescent="0.25">
      <c r="B26" s="15" t="s">
        <v>48</v>
      </c>
      <c r="C26" s="45">
        <v>0.1075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0.267409234355309</v>
      </c>
    </row>
    <row r="30" spans="1:3" ht="14.25" customHeight="1" x14ac:dyDescent="0.25">
      <c r="B30" s="25" t="s">
        <v>63</v>
      </c>
      <c r="C30" s="99">
        <v>6.2316367797226199E-2</v>
      </c>
    </row>
    <row r="31" spans="1:3" ht="14.25" customHeight="1" x14ac:dyDescent="0.25">
      <c r="B31" s="25" t="s">
        <v>10</v>
      </c>
      <c r="C31" s="99">
        <v>9.3002675244955299E-2</v>
      </c>
    </row>
    <row r="32" spans="1:3" ht="14.25" customHeight="1" x14ac:dyDescent="0.25">
      <c r="B32" s="25" t="s">
        <v>11</v>
      </c>
      <c r="C32" s="99">
        <v>0.57727172260250903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18.94415</v>
      </c>
    </row>
    <row r="38" spans="1:5" ht="15" customHeight="1" x14ac:dyDescent="0.25">
      <c r="B38" s="11" t="s">
        <v>35</v>
      </c>
      <c r="C38" s="43">
        <v>29.356670000000001</v>
      </c>
      <c r="D38" s="12"/>
      <c r="E38" s="13"/>
    </row>
    <row r="39" spans="1:5" ht="15" customHeight="1" x14ac:dyDescent="0.25">
      <c r="B39" s="11" t="s">
        <v>61</v>
      </c>
      <c r="C39" s="43">
        <v>39.74532</v>
      </c>
      <c r="D39" s="12"/>
      <c r="E39" s="12"/>
    </row>
    <row r="40" spans="1:5" ht="15" customHeight="1" x14ac:dyDescent="0.25">
      <c r="B40" s="11" t="s">
        <v>36</v>
      </c>
      <c r="C40" s="100">
        <v>2.27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14.095359999999999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5.8306E-3</v>
      </c>
      <c r="D45" s="12"/>
    </row>
    <row r="46" spans="1:5" ht="15.75" customHeight="1" x14ac:dyDescent="0.25">
      <c r="B46" s="11" t="s">
        <v>51</v>
      </c>
      <c r="C46" s="45">
        <v>6.2648999999999996E-2</v>
      </c>
      <c r="D46" s="12"/>
    </row>
    <row r="47" spans="1:5" ht="15.75" customHeight="1" x14ac:dyDescent="0.25">
      <c r="B47" s="11" t="s">
        <v>59</v>
      </c>
      <c r="C47" s="45">
        <v>7.5456700000000002E-2</v>
      </c>
      <c r="D47" s="12"/>
      <c r="E47" s="13"/>
    </row>
    <row r="48" spans="1:5" ht="15" customHeight="1" x14ac:dyDescent="0.25">
      <c r="B48" s="11" t="s">
        <v>58</v>
      </c>
      <c r="C48" s="46">
        <v>0.85606369999999998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0.40570099999999998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0.167510149999999</v>
      </c>
    </row>
    <row r="63" spans="1:4" ht="15.75" customHeight="1" x14ac:dyDescent="0.3">
      <c r="A63" s="4"/>
    </row>
  </sheetData>
  <sheetProtection algorithmName="SHA-512" hashValue="4ArR3V8JFFwYSkUkPlzlzFFqokLjo/bSG8DcgbTt6IU8YKwtFXzS6+r9b5CJh05iLr778AXMwO6fMMauzVrvPA==" saltValue="v+BIhNSjAeDiIr4kvdhB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90217</v>
      </c>
      <c r="C2" s="49">
        <v>195433</v>
      </c>
      <c r="D2" s="49">
        <v>240641.5</v>
      </c>
      <c r="E2" s="49">
        <v>168986</v>
      </c>
      <c r="F2" s="49">
        <v>106578.5</v>
      </c>
      <c r="G2" s="17">
        <f t="shared" ref="G2:G13" si="0">C2+D2+E2+F2</f>
        <v>711639</v>
      </c>
      <c r="H2" s="17">
        <f t="shared" ref="H2:H13" si="1">(B2 + stillbirth*B2/(1000-stillbirth))/(1-abortion)</f>
        <v>103985.02453727997</v>
      </c>
      <c r="I2" s="17">
        <f t="shared" ref="I2:I13" si="2">G2-H2</f>
        <v>607653.97546272003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91141</v>
      </c>
      <c r="C3" s="50">
        <v>201302.5</v>
      </c>
      <c r="D3" s="50">
        <v>248943.5</v>
      </c>
      <c r="E3" s="50">
        <v>173709</v>
      </c>
      <c r="F3" s="50">
        <v>109515.5</v>
      </c>
      <c r="G3" s="17">
        <f t="shared" si="0"/>
        <v>733470.5</v>
      </c>
      <c r="H3" s="17">
        <f t="shared" si="1"/>
        <v>105050.03626092903</v>
      </c>
      <c r="I3" s="17">
        <f t="shared" si="2"/>
        <v>628420.46373907092</v>
      </c>
    </row>
    <row r="4" spans="1:9" ht="15.75" customHeight="1" x14ac:dyDescent="0.25">
      <c r="A4" s="5">
        <f t="shared" si="3"/>
        <v>2026</v>
      </c>
      <c r="B4" s="49">
        <v>91824</v>
      </c>
      <c r="C4" s="50">
        <v>206853.5</v>
      </c>
      <c r="D4" s="50">
        <v>257782</v>
      </c>
      <c r="E4" s="50">
        <v>178586</v>
      </c>
      <c r="F4" s="50">
        <v>112573</v>
      </c>
      <c r="G4" s="17">
        <f t="shared" si="0"/>
        <v>755794.5</v>
      </c>
      <c r="H4" s="17">
        <f t="shared" si="1"/>
        <v>105837.26895276053</v>
      </c>
      <c r="I4" s="17">
        <f t="shared" si="2"/>
        <v>649957.2310472395</v>
      </c>
    </row>
    <row r="5" spans="1:9" ht="15.75" customHeight="1" x14ac:dyDescent="0.25">
      <c r="A5" s="5">
        <f t="shared" si="3"/>
        <v>2027</v>
      </c>
      <c r="B5" s="49">
        <v>92338</v>
      </c>
      <c r="C5" s="50">
        <v>211983</v>
      </c>
      <c r="D5" s="50">
        <v>267004.5</v>
      </c>
      <c r="E5" s="50">
        <v>183741</v>
      </c>
      <c r="F5" s="50">
        <v>115744</v>
      </c>
      <c r="G5" s="17">
        <f t="shared" si="0"/>
        <v>778472.5</v>
      </c>
      <c r="H5" s="17">
        <f t="shared" si="1"/>
        <v>106429.71053929259</v>
      </c>
      <c r="I5" s="17">
        <f t="shared" si="2"/>
        <v>672042.78946070746</v>
      </c>
    </row>
    <row r="6" spans="1:9" ht="15.75" customHeight="1" x14ac:dyDescent="0.25">
      <c r="A6" s="5">
        <f t="shared" si="3"/>
        <v>2028</v>
      </c>
      <c r="B6" s="49">
        <v>92748</v>
      </c>
      <c r="C6" s="50">
        <v>216670.5</v>
      </c>
      <c r="D6" s="50">
        <v>276299</v>
      </c>
      <c r="E6" s="50">
        <v>189307</v>
      </c>
      <c r="F6" s="50">
        <v>119025.5</v>
      </c>
      <c r="G6" s="17">
        <f t="shared" si="0"/>
        <v>801302</v>
      </c>
      <c r="H6" s="17">
        <f t="shared" si="1"/>
        <v>106902.28067640957</v>
      </c>
      <c r="I6" s="17">
        <f t="shared" si="2"/>
        <v>694399.7193235904</v>
      </c>
    </row>
    <row r="7" spans="1:9" ht="15.75" customHeight="1" x14ac:dyDescent="0.25">
      <c r="A7" s="5">
        <f t="shared" si="3"/>
        <v>2029</v>
      </c>
      <c r="B7" s="49">
        <v>93664</v>
      </c>
      <c r="C7" s="50">
        <v>220768.5</v>
      </c>
      <c r="D7" s="50">
        <v>285732.5</v>
      </c>
      <c r="E7" s="50">
        <v>195225.5</v>
      </c>
      <c r="F7" s="50">
        <v>122397.5</v>
      </c>
      <c r="G7" s="17">
        <f t="shared" si="0"/>
        <v>824124</v>
      </c>
      <c r="H7" s="17">
        <f t="shared" si="1"/>
        <v>107958.07151933441</v>
      </c>
      <c r="I7" s="17">
        <f t="shared" si="2"/>
        <v>716165.92848066555</v>
      </c>
    </row>
    <row r="8" spans="1:9" ht="15.75" customHeight="1" x14ac:dyDescent="0.25">
      <c r="A8" s="5">
        <f t="shared" si="3"/>
        <v>2030</v>
      </c>
      <c r="B8" s="49">
        <v>94419</v>
      </c>
      <c r="C8" s="50">
        <v>224207</v>
      </c>
      <c r="D8" s="50">
        <v>295387.5</v>
      </c>
      <c r="E8" s="50">
        <v>201356.5</v>
      </c>
      <c r="F8" s="50">
        <v>125853</v>
      </c>
      <c r="G8" s="17">
        <f t="shared" si="0"/>
        <v>846804</v>
      </c>
      <c r="H8" s="17">
        <f t="shared" si="1"/>
        <v>108828.29213768399</v>
      </c>
      <c r="I8" s="17">
        <f t="shared" si="2"/>
        <v>737975.70786231605</v>
      </c>
    </row>
    <row r="9" spans="1:9" ht="15.75" customHeight="1" x14ac:dyDescent="0.25">
      <c r="A9" s="5">
        <f t="shared" si="3"/>
        <v>2031</v>
      </c>
      <c r="B9" s="49">
        <v>94907</v>
      </c>
      <c r="C9" s="50">
        <v>226988.5</v>
      </c>
      <c r="D9" s="50">
        <v>305154.5</v>
      </c>
      <c r="E9" s="50">
        <v>207709.5</v>
      </c>
      <c r="F9" s="50">
        <v>129421</v>
      </c>
      <c r="G9" s="17">
        <f t="shared" si="0"/>
        <v>869273.5</v>
      </c>
      <c r="H9" s="17">
        <f t="shared" si="1"/>
        <v>109390.7658618623</v>
      </c>
      <c r="I9" s="17">
        <f t="shared" si="2"/>
        <v>759882.73413813766</v>
      </c>
    </row>
    <row r="10" spans="1:9" ht="15.75" customHeight="1" x14ac:dyDescent="0.25">
      <c r="A10" s="5">
        <f t="shared" si="3"/>
        <v>2032</v>
      </c>
      <c r="B10" s="49">
        <v>95540</v>
      </c>
      <c r="C10" s="50">
        <v>229192</v>
      </c>
      <c r="D10" s="50">
        <v>314953.5</v>
      </c>
      <c r="E10" s="50">
        <v>214299.5</v>
      </c>
      <c r="F10" s="50">
        <v>133170</v>
      </c>
      <c r="G10" s="17">
        <f t="shared" si="0"/>
        <v>891615</v>
      </c>
      <c r="H10" s="17">
        <f t="shared" si="1"/>
        <v>110120.36804916733</v>
      </c>
      <c r="I10" s="17">
        <f t="shared" si="2"/>
        <v>781494.63195083267</v>
      </c>
    </row>
    <row r="11" spans="1:9" ht="15.75" customHeight="1" x14ac:dyDescent="0.25">
      <c r="A11" s="5">
        <f t="shared" si="3"/>
        <v>2033</v>
      </c>
      <c r="B11" s="49">
        <v>96478</v>
      </c>
      <c r="C11" s="50">
        <v>231037.5</v>
      </c>
      <c r="D11" s="50">
        <v>324402.5</v>
      </c>
      <c r="E11" s="50">
        <v>221377.5</v>
      </c>
      <c r="F11" s="50">
        <v>137120.5</v>
      </c>
      <c r="G11" s="17">
        <f t="shared" si="0"/>
        <v>913938</v>
      </c>
      <c r="H11" s="17">
        <f t="shared" si="1"/>
        <v>111201.5163140838</v>
      </c>
      <c r="I11" s="17">
        <f t="shared" si="2"/>
        <v>802736.48368591617</v>
      </c>
    </row>
    <row r="12" spans="1:9" ht="15.75" customHeight="1" x14ac:dyDescent="0.25">
      <c r="A12" s="5">
        <f t="shared" si="3"/>
        <v>2034</v>
      </c>
      <c r="B12" s="49">
        <v>96733</v>
      </c>
      <c r="C12" s="50">
        <v>232833.5</v>
      </c>
      <c r="D12" s="50">
        <v>333195</v>
      </c>
      <c r="E12" s="50">
        <v>229095.5</v>
      </c>
      <c r="F12" s="50">
        <v>141215.5</v>
      </c>
      <c r="G12" s="17">
        <f t="shared" si="0"/>
        <v>936339.5</v>
      </c>
      <c r="H12" s="17">
        <f t="shared" si="1"/>
        <v>111495.43188716876</v>
      </c>
      <c r="I12" s="17">
        <f t="shared" si="2"/>
        <v>824844.06811283121</v>
      </c>
    </row>
    <row r="13" spans="1:9" ht="15.75" customHeight="1" x14ac:dyDescent="0.25">
      <c r="A13" s="5">
        <f t="shared" si="3"/>
        <v>2035</v>
      </c>
      <c r="B13" s="49">
        <v>97504</v>
      </c>
      <c r="C13" s="50">
        <v>234776.5</v>
      </c>
      <c r="D13" s="50">
        <v>341350</v>
      </c>
      <c r="E13" s="50">
        <v>237298</v>
      </c>
      <c r="F13" s="50">
        <v>145376.5</v>
      </c>
      <c r="G13" s="17">
        <f t="shared" si="0"/>
        <v>958801</v>
      </c>
      <c r="H13" s="17">
        <f t="shared" si="1"/>
        <v>112384.09426696683</v>
      </c>
      <c r="I13" s="17">
        <f t="shared" si="2"/>
        <v>846416.9057330332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nR3knzzSPIebRebe6PePT6DhNykjg4ExZ5Q4yvNdoCLloBMSKSR6why8Ba3OTBnmo5uTBZ3lKm7U6wz+ww2bg==" saltValue="NRIvoJ4nU3q3JZFSwz2Rv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7.9603999999999977E-3</v>
      </c>
    </row>
    <row r="4" spans="1:8" ht="15.75" customHeight="1" x14ac:dyDescent="0.25">
      <c r="B4" s="19" t="s">
        <v>97</v>
      </c>
      <c r="C4" s="101">
        <v>5.4278499999999973E-2</v>
      </c>
    </row>
    <row r="5" spans="1:8" ht="15.75" customHeight="1" x14ac:dyDescent="0.25">
      <c r="B5" s="19" t="s">
        <v>95</v>
      </c>
      <c r="C5" s="101">
        <v>6.8896700000000047E-2</v>
      </c>
    </row>
    <row r="6" spans="1:8" ht="15.75" customHeight="1" x14ac:dyDescent="0.25">
      <c r="B6" s="19" t="s">
        <v>91</v>
      </c>
      <c r="C6" s="101">
        <v>0.2405291000000005</v>
      </c>
    </row>
    <row r="7" spans="1:8" ht="15.75" customHeight="1" x14ac:dyDescent="0.25">
      <c r="B7" s="19" t="s">
        <v>96</v>
      </c>
      <c r="C7" s="101">
        <v>0.42675559999999951</v>
      </c>
    </row>
    <row r="8" spans="1:8" ht="15.75" customHeight="1" x14ac:dyDescent="0.25">
      <c r="B8" s="19" t="s">
        <v>98</v>
      </c>
      <c r="C8" s="101">
        <v>1.9896999999999992E-3</v>
      </c>
    </row>
    <row r="9" spans="1:8" ht="15.75" customHeight="1" x14ac:dyDescent="0.25">
      <c r="B9" s="19" t="s">
        <v>92</v>
      </c>
      <c r="C9" s="101">
        <v>8.7416600000000025E-2</v>
      </c>
    </row>
    <row r="10" spans="1:8" ht="15.75" customHeight="1" x14ac:dyDescent="0.25">
      <c r="B10" s="19" t="s">
        <v>94</v>
      </c>
      <c r="C10" s="101">
        <v>0.11217340000000001</v>
      </c>
    </row>
    <row r="11" spans="1:8" ht="15.75" customHeight="1" x14ac:dyDescent="0.25">
      <c r="B11" s="27" t="s">
        <v>60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0.1586850795979258</v>
      </c>
      <c r="D14" s="55">
        <v>0.1586850795979258</v>
      </c>
      <c r="E14" s="55">
        <v>0.1586850795979258</v>
      </c>
      <c r="F14" s="55">
        <v>0.1586850795979258</v>
      </c>
    </row>
    <row r="15" spans="1:8" ht="15.75" customHeight="1" x14ac:dyDescent="0.25">
      <c r="B15" s="19" t="s">
        <v>102</v>
      </c>
      <c r="C15" s="101">
        <v>0.1457257056059359</v>
      </c>
      <c r="D15" s="101">
        <v>0.1457257056059359</v>
      </c>
      <c r="E15" s="101">
        <v>0.1457257056059359</v>
      </c>
      <c r="F15" s="101">
        <v>0.1457257056059359</v>
      </c>
    </row>
    <row r="16" spans="1:8" ht="15.75" customHeight="1" x14ac:dyDescent="0.25">
      <c r="B16" s="19" t="s">
        <v>2</v>
      </c>
      <c r="C16" s="101">
        <v>3.6673544337957442E-2</v>
      </c>
      <c r="D16" s="101">
        <v>3.6673544337957442E-2</v>
      </c>
      <c r="E16" s="101">
        <v>3.6673544337957442E-2</v>
      </c>
      <c r="F16" s="101">
        <v>3.6673544337957442E-2</v>
      </c>
    </row>
    <row r="17" spans="1:8" ht="15.75" customHeight="1" x14ac:dyDescent="0.25">
      <c r="B17" s="19" t="s">
        <v>90</v>
      </c>
      <c r="C17" s="101">
        <v>9.8008104921843586E-2</v>
      </c>
      <c r="D17" s="101">
        <v>9.8008104921843586E-2</v>
      </c>
      <c r="E17" s="101">
        <v>9.8008104921843586E-2</v>
      </c>
      <c r="F17" s="101">
        <v>9.8008104921843586E-2</v>
      </c>
    </row>
    <row r="18" spans="1:8" ht="15.75" customHeight="1" x14ac:dyDescent="0.25">
      <c r="B18" s="19" t="s">
        <v>3</v>
      </c>
      <c r="C18" s="101">
        <v>0.135975881764268</v>
      </c>
      <c r="D18" s="101">
        <v>0.135975881764268</v>
      </c>
      <c r="E18" s="101">
        <v>0.135975881764268</v>
      </c>
      <c r="F18" s="101">
        <v>0.135975881764268</v>
      </c>
    </row>
    <row r="19" spans="1:8" ht="15.75" customHeight="1" x14ac:dyDescent="0.25">
      <c r="B19" s="19" t="s">
        <v>101</v>
      </c>
      <c r="C19" s="101">
        <v>6.2473064113144711E-2</v>
      </c>
      <c r="D19" s="101">
        <v>6.2473064113144711E-2</v>
      </c>
      <c r="E19" s="101">
        <v>6.2473064113144711E-2</v>
      </c>
      <c r="F19" s="101">
        <v>6.2473064113144711E-2</v>
      </c>
    </row>
    <row r="20" spans="1:8" ht="15.75" customHeight="1" x14ac:dyDescent="0.25">
      <c r="B20" s="19" t="s">
        <v>79</v>
      </c>
      <c r="C20" s="101">
        <v>8.6546694608013008E-2</v>
      </c>
      <c r="D20" s="101">
        <v>8.6546694608013008E-2</v>
      </c>
      <c r="E20" s="101">
        <v>8.6546694608013008E-2</v>
      </c>
      <c r="F20" s="101">
        <v>8.6546694608013008E-2</v>
      </c>
    </row>
    <row r="21" spans="1:8" ht="15.75" customHeight="1" x14ac:dyDescent="0.25">
      <c r="B21" s="19" t="s">
        <v>88</v>
      </c>
      <c r="C21" s="101">
        <v>8.7176531093682147E-2</v>
      </c>
      <c r="D21" s="101">
        <v>8.7176531093682147E-2</v>
      </c>
      <c r="E21" s="101">
        <v>8.7176531093682147E-2</v>
      </c>
      <c r="F21" s="101">
        <v>8.7176531093682147E-2</v>
      </c>
    </row>
    <row r="22" spans="1:8" ht="15.75" customHeight="1" x14ac:dyDescent="0.25">
      <c r="B22" s="19" t="s">
        <v>99</v>
      </c>
      <c r="C22" s="101">
        <v>0.1887353939572296</v>
      </c>
      <c r="D22" s="101">
        <v>0.1887353939572296</v>
      </c>
      <c r="E22" s="101">
        <v>0.1887353939572296</v>
      </c>
      <c r="F22" s="101">
        <v>0.1887353939572296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9.5711987999999998E-2</v>
      </c>
    </row>
    <row r="27" spans="1:8" ht="15.75" customHeight="1" x14ac:dyDescent="0.25">
      <c r="B27" s="19" t="s">
        <v>89</v>
      </c>
      <c r="C27" s="101">
        <v>4.2970438999999999E-2</v>
      </c>
    </row>
    <row r="28" spans="1:8" ht="15.75" customHeight="1" x14ac:dyDescent="0.25">
      <c r="B28" s="19" t="s">
        <v>103</v>
      </c>
      <c r="C28" s="101">
        <v>0.19642078600000001</v>
      </c>
    </row>
    <row r="29" spans="1:8" ht="15.75" customHeight="1" x14ac:dyDescent="0.25">
      <c r="B29" s="19" t="s">
        <v>86</v>
      </c>
      <c r="C29" s="101">
        <v>0.206894785</v>
      </c>
    </row>
    <row r="30" spans="1:8" ht="15.75" customHeight="1" x14ac:dyDescent="0.25">
      <c r="B30" s="19" t="s">
        <v>4</v>
      </c>
      <c r="C30" s="101">
        <v>2.7698743000000001E-2</v>
      </c>
    </row>
    <row r="31" spans="1:8" ht="15.75" customHeight="1" x14ac:dyDescent="0.25">
      <c r="B31" s="19" t="s">
        <v>80</v>
      </c>
      <c r="C31" s="101">
        <v>0.20935653800000001</v>
      </c>
    </row>
    <row r="32" spans="1:8" ht="15.75" customHeight="1" x14ac:dyDescent="0.25">
      <c r="B32" s="19" t="s">
        <v>85</v>
      </c>
      <c r="C32" s="101">
        <v>1.2451637999999999E-2</v>
      </c>
    </row>
    <row r="33" spans="2:3" ht="15.75" customHeight="1" x14ac:dyDescent="0.25">
      <c r="B33" s="19" t="s">
        <v>100</v>
      </c>
      <c r="C33" s="101">
        <v>5.1474696E-2</v>
      </c>
    </row>
    <row r="34" spans="2:3" ht="15.75" customHeight="1" x14ac:dyDescent="0.25">
      <c r="B34" s="19" t="s">
        <v>87</v>
      </c>
      <c r="C34" s="101">
        <v>0.15702038800000001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kxEJG1aiydXkvDlZPp31DgD4hZLTeIaAffodf6104JeL9NC2hlCZyz7fF30Z+zvkDjok6KfGyM/8ybEQp60WrQ==" saltValue="O+FtvMbqntDXUJIdgEW1U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0.51029382434732007</v>
      </c>
      <c r="D2" s="52">
        <f>IFERROR(1-_xlfn.NORM.DIST(_xlfn.NORM.INV(SUM(D4:D5), 0, 1) + 1, 0, 1, TRUE), "")</f>
        <v>0.51029382434732007</v>
      </c>
      <c r="E2" s="52">
        <f>IFERROR(1-_xlfn.NORM.DIST(_xlfn.NORM.INV(SUM(E4:E5), 0, 1) + 1, 0, 1, TRUE), "")</f>
        <v>0.6443379975681347</v>
      </c>
      <c r="F2" s="52">
        <f>IFERROR(1-_xlfn.NORM.DIST(_xlfn.NORM.INV(SUM(F4:F5), 0, 1) + 1, 0, 1, TRUE), "")</f>
        <v>0.42295980173304104</v>
      </c>
      <c r="G2" s="52">
        <f>IFERROR(1-_xlfn.NORM.DIST(_xlfn.NORM.INV(SUM(G4:G5), 0, 1) + 1, 0, 1, TRUE), "")</f>
        <v>0.5531086877320488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0.33721457565267998</v>
      </c>
      <c r="D3" s="52">
        <f>IFERROR(_xlfn.NORM.DIST(_xlfn.NORM.INV(SUM(D4:D5), 0, 1) + 1, 0, 1, TRUE) - SUM(D4:D5), "")</f>
        <v>0.33721457565267998</v>
      </c>
      <c r="E3" s="52">
        <f>IFERROR(_xlfn.NORM.DIST(_xlfn.NORM.INV(SUM(E4:E5), 0, 1) + 1, 0, 1, TRUE) - SUM(E4:E5), "")</f>
        <v>0.2703308024318653</v>
      </c>
      <c r="F3" s="52">
        <f>IFERROR(_xlfn.NORM.DIST(_xlfn.NORM.INV(SUM(F4:F5), 0, 1) + 1, 0, 1, TRUE) - SUM(F4:F5), "")</f>
        <v>0.36682439826695895</v>
      </c>
      <c r="G3" s="52">
        <f>IFERROR(_xlfn.NORM.DIST(_xlfn.NORM.INV(SUM(G4:G5), 0, 1) + 1, 0, 1, TRUE) - SUM(G4:G5), "")</f>
        <v>0.3183932122679512</v>
      </c>
    </row>
    <row r="4" spans="1:15" ht="15.75" customHeight="1" x14ac:dyDescent="0.25">
      <c r="B4" s="5" t="s">
        <v>110</v>
      </c>
      <c r="C4" s="45">
        <v>0.1042593</v>
      </c>
      <c r="D4" s="53">
        <v>0.1042593</v>
      </c>
      <c r="E4" s="53">
        <v>6.4421300000000001E-2</v>
      </c>
      <c r="F4" s="53">
        <v>0.1396512</v>
      </c>
      <c r="G4" s="53">
        <v>8.9111200000000002E-2</v>
      </c>
    </row>
    <row r="5" spans="1:15" ht="15.75" customHeight="1" x14ac:dyDescent="0.25">
      <c r="B5" s="5" t="s">
        <v>106</v>
      </c>
      <c r="C5" s="45">
        <v>4.8232299999999999E-2</v>
      </c>
      <c r="D5" s="53">
        <v>4.8232299999999999E-2</v>
      </c>
      <c r="E5" s="53">
        <v>2.0909899999999999E-2</v>
      </c>
      <c r="F5" s="53">
        <v>7.0564600000000005E-2</v>
      </c>
      <c r="G5" s="53">
        <v>3.9386900000000002E-2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0.70894537084830733</v>
      </c>
      <c r="D8" s="52">
        <f>IFERROR(1-_xlfn.NORM.DIST(_xlfn.NORM.INV(SUM(D10:D11), 0, 1) + 1, 0, 1, TRUE), "")</f>
        <v>0.70894537084830733</v>
      </c>
      <c r="E8" s="52">
        <f>IFERROR(1-_xlfn.NORM.DIST(_xlfn.NORM.INV(SUM(E10:E11), 0, 1) + 1, 0, 1, TRUE), "")</f>
        <v>0.78287691391414294</v>
      </c>
      <c r="F8" s="52">
        <f>IFERROR(1-_xlfn.NORM.DIST(_xlfn.NORM.INV(SUM(F10:F11), 0, 1) + 1, 0, 1, TRUE), "")</f>
        <v>0.75225865586967744</v>
      </c>
      <c r="G8" s="52">
        <f>IFERROR(1-_xlfn.NORM.DIST(_xlfn.NORM.INV(SUM(G10:G11), 0, 1) + 1, 0, 1, TRUE), "")</f>
        <v>0.8317317240301163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0.23052062915169269</v>
      </c>
      <c r="D9" s="52">
        <f>IFERROR(_xlfn.NORM.DIST(_xlfn.NORM.INV(SUM(D10:D11), 0, 1) + 1, 0, 1, TRUE) - SUM(D10:D11), "")</f>
        <v>0.23052062915169269</v>
      </c>
      <c r="E9" s="52">
        <f>IFERROR(_xlfn.NORM.DIST(_xlfn.NORM.INV(SUM(E10:E11), 0, 1) + 1, 0, 1, TRUE) - SUM(E10:E11), "")</f>
        <v>0.1797440860858571</v>
      </c>
      <c r="F9" s="52">
        <f>IFERROR(_xlfn.NORM.DIST(_xlfn.NORM.INV(SUM(F10:F11), 0, 1) + 1, 0, 1, TRUE) - SUM(F10:F11), "")</f>
        <v>0.20141954413032256</v>
      </c>
      <c r="G9" s="52">
        <f>IFERROR(_xlfn.NORM.DIST(_xlfn.NORM.INV(SUM(G10:G11), 0, 1) + 1, 0, 1, TRUE) - SUM(G10:G11), "")</f>
        <v>0.14333057596988374</v>
      </c>
    </row>
    <row r="10" spans="1:15" ht="15.75" customHeight="1" x14ac:dyDescent="0.25">
      <c r="B10" s="5" t="s">
        <v>107</v>
      </c>
      <c r="C10" s="45">
        <v>3.2665799999999988E-2</v>
      </c>
      <c r="D10" s="53">
        <v>3.2665799999999988E-2</v>
      </c>
      <c r="E10" s="53">
        <v>3.3006899999999999E-2</v>
      </c>
      <c r="F10" s="53">
        <v>2.9760200000000001E-2</v>
      </c>
      <c r="G10" s="53">
        <v>2.0562400000000002E-2</v>
      </c>
    </row>
    <row r="11" spans="1:15" ht="15.75" customHeight="1" x14ac:dyDescent="0.25">
      <c r="B11" s="5" t="s">
        <v>119</v>
      </c>
      <c r="C11" s="45">
        <v>2.7868199999999999E-2</v>
      </c>
      <c r="D11" s="53">
        <v>2.7868199999999999E-2</v>
      </c>
      <c r="E11" s="53">
        <v>4.3721000000000003E-3</v>
      </c>
      <c r="F11" s="53">
        <v>1.6561599999999999E-2</v>
      </c>
      <c r="G11" s="53">
        <v>4.3753000000000004E-3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0.90030758050000004</v>
      </c>
      <c r="D14" s="54">
        <v>0.891409188252</v>
      </c>
      <c r="E14" s="54">
        <v>0.891409188252</v>
      </c>
      <c r="F14" s="54">
        <v>0.79417818844199994</v>
      </c>
      <c r="G14" s="54">
        <v>0.79417818844199994</v>
      </c>
      <c r="H14" s="45">
        <v>0.60599999999999998</v>
      </c>
      <c r="I14" s="55">
        <v>0.60599999999999998</v>
      </c>
      <c r="J14" s="55">
        <v>0.60599999999999998</v>
      </c>
      <c r="K14" s="55">
        <v>0.60599999999999998</v>
      </c>
      <c r="L14" s="45">
        <v>0.58899999999999997</v>
      </c>
      <c r="M14" s="55">
        <v>0.58899999999999997</v>
      </c>
      <c r="N14" s="55">
        <v>0.58899999999999997</v>
      </c>
      <c r="O14" s="55">
        <v>0.58899999999999997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0.36525568571643052</v>
      </c>
      <c r="D15" s="52">
        <f t="shared" si="0"/>
        <v>0.36164559908302463</v>
      </c>
      <c r="E15" s="52">
        <f t="shared" si="0"/>
        <v>0.36164559908302463</v>
      </c>
      <c r="F15" s="52">
        <f t="shared" si="0"/>
        <v>0.32219888522910778</v>
      </c>
      <c r="G15" s="52">
        <f t="shared" si="0"/>
        <v>0.32219888522910778</v>
      </c>
      <c r="H15" s="52">
        <f t="shared" si="0"/>
        <v>0.24585480599999998</v>
      </c>
      <c r="I15" s="52">
        <f t="shared" si="0"/>
        <v>0.24585480599999998</v>
      </c>
      <c r="J15" s="52">
        <f t="shared" si="0"/>
        <v>0.24585480599999998</v>
      </c>
      <c r="K15" s="52">
        <f t="shared" si="0"/>
        <v>0.24585480599999998</v>
      </c>
      <c r="L15" s="52">
        <f t="shared" si="0"/>
        <v>0.23895788899999998</v>
      </c>
      <c r="M15" s="52">
        <f t="shared" si="0"/>
        <v>0.23895788899999998</v>
      </c>
      <c r="N15" s="52">
        <f t="shared" si="0"/>
        <v>0.23895788899999998</v>
      </c>
      <c r="O15" s="52">
        <f t="shared" si="0"/>
        <v>0.23895788899999998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QzHvDYOZpKKV597fXRelG5V4HmadqKqURkdBr2tmOqVWnXvZ2jn9+Hc9pFWaJvPCzMxwJY1io6NAHWMpqUEXw==" saltValue="tNtxVfzKREdvGVRzDLzn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0.33484629999999999</v>
      </c>
      <c r="D2" s="53">
        <v>0.1464792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0.10618130000000001</v>
      </c>
      <c r="D3" s="53">
        <v>0.1315151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0.51469330000000002</v>
      </c>
      <c r="D4" s="53">
        <v>0.61570049999999998</v>
      </c>
      <c r="E4" s="53">
        <v>0.72258</v>
      </c>
      <c r="F4" s="53">
        <v>0.1682478</v>
      </c>
      <c r="G4" s="53">
        <v>0</v>
      </c>
    </row>
    <row r="5" spans="1:7" x14ac:dyDescent="0.25">
      <c r="B5" s="3" t="s">
        <v>125</v>
      </c>
      <c r="C5" s="52">
        <v>4.4279099999999988E-2</v>
      </c>
      <c r="D5" s="52">
        <v>0.1063051</v>
      </c>
      <c r="E5" s="52">
        <f>1-SUM(E2:E4)</f>
        <v>0.27742</v>
      </c>
      <c r="F5" s="52">
        <f>1-SUM(F2:F4)</f>
        <v>0.83175219999999994</v>
      </c>
      <c r="G5" s="52">
        <f>1-SUM(G2:G4)</f>
        <v>1</v>
      </c>
    </row>
  </sheetData>
  <sheetProtection algorithmName="SHA-512" hashValue="S9KYbYxKX8UCWNMGfpY98HaqSB/Z9VCYe8nkHWnJsI7Sq/Oc4QYE1nrmnGke831PonbsVtVwge2vDOb5/30Hxg==" saltValue="rEwSjNJ56/q5b+WrMHN1j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LLmnm7qSBdsDTkCxYSs0JLgKwZLGYLjaa7D4nxTBrdDyH5+eKnKsUlZAsv/52XgGSAaAvli2c9BcVd4Z+DvtA==" saltValue="kxJmCytVcEDNcKU9lGgM8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RpO8ZRbvQ4kPmnIgITuYwVUXdMME47iLKrH63b71cGFUIUDYtsmmR7veEY3SqltHUhoyhJ4CHwDpqzYBm1Yxmw==" saltValue="6y1kJwEtdFEGvZEHu0vea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CdKYJw4QKSYvTqmVXRX9u4XCqrlsIiRKa5UhwVLDJoUdpHSf4CCKJpTKtHeojsybxB5Npgbp1wQkSvyPLpAAug==" saltValue="6c7OVBTy7vQl/SNzjEAXw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qNYMUmVTyUK5rdSuAW1xdAD5Tx3oM4IN9GWTwZCbRcfXQc1Wa1TdmauGPgJzFvc4bBcJ0+UJBh5eaIKrxkjyQg==" saltValue="F50WT7K4xr8tyT/LAfpKU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65.60734264525216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7.2861200073283072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0.58969668283167476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0.70706266146872643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0.5</v>
      </c>
      <c r="C9" s="98">
        <v>0.95</v>
      </c>
      <c r="D9" s="56">
        <v>0.32567734710074681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0.3935863</v>
      </c>
      <c r="C10" s="98">
        <v>0.95</v>
      </c>
      <c r="D10" s="56">
        <v>13.46512306465123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13.46512306465123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13.46512306465123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13.46512306465123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0.3935863</v>
      </c>
      <c r="C14" s="98">
        <v>0.95</v>
      </c>
      <c r="D14" s="56">
        <v>13.46512306465123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13.46512306465123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0.50625290000000001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0.77200000000000002</v>
      </c>
      <c r="C18" s="98">
        <v>0.95</v>
      </c>
      <c r="D18" s="56">
        <v>7.2861200073283072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0.1464792</v>
      </c>
      <c r="C19" s="98">
        <v>0.95</v>
      </c>
      <c r="D19" s="56">
        <v>7.2861200073283072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22.937030782027101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0.18503539999999999</v>
      </c>
      <c r="C23" s="98">
        <v>0.95</v>
      </c>
      <c r="D23" s="56">
        <v>4.4144238992015667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0.87473390287197805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8.0000000000000002E-3</v>
      </c>
      <c r="C26" s="98">
        <v>0.95</v>
      </c>
      <c r="D26" s="56">
        <v>3.4665816434934871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13.803307962555669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0.199735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0.26319480000000001</v>
      </c>
      <c r="C29" s="98">
        <v>0.95</v>
      </c>
      <c r="D29" s="56">
        <v>88.005851455993124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180.94215297303569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0.65266805708153031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0.2726925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0.1465804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0.88436610000000004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0.21099999999999999</v>
      </c>
      <c r="C38" s="98">
        <v>0.95</v>
      </c>
      <c r="D38" s="56">
        <v>2.4488574538288082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6WmY/bbzJtM1LpnLSiO4CimW0ArjHNUKbGCihVyCQOpznJa6TkrNosxmWPykYJJ5n6o6R9EO7RRE+oj2VDcn3w==" saltValue="+IBFdajCAF62JIQQ8XHt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B0LuG6Om/b2bbNwlUlhXzXGzg/WhpY8CSXtf1lN+IvzBJlY5GwNct1pF2+8/afy1eBOtu9Z5cHEPu2CrVu0/dQ==" saltValue="ABWT1nJCcOF0OF3YrVQnQ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5oSYCMueOQXxgGL9Rvanudbl6/ev4NQS6MGyjOK66bnXJh4U0rTyUAiPrAD7Y7M2gcanQb+or9In8q+coQK37Q==" saltValue="UHZIZFcIg7BJjmmTZ3wn2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8.4931079999999978E-2</v>
      </c>
      <c r="C3" s="21">
        <f>frac_mam_1_5months * 2.6</f>
        <v>8.4931079999999978E-2</v>
      </c>
      <c r="D3" s="21">
        <f>frac_mam_6_11months * 2.6</f>
        <v>8.5817939999999995E-2</v>
      </c>
      <c r="E3" s="21">
        <f>frac_mam_12_23months * 2.6</f>
        <v>7.7376520000000004E-2</v>
      </c>
      <c r="F3" s="21">
        <f>frac_mam_24_59months * 2.6</f>
        <v>5.3462240000000008E-2</v>
      </c>
    </row>
    <row r="4" spans="1:6" ht="15.75" customHeight="1" x14ac:dyDescent="0.25">
      <c r="A4" s="3" t="s">
        <v>207</v>
      </c>
      <c r="B4" s="21">
        <f>frac_sam_1month * 2.6</f>
        <v>7.2457320000000006E-2</v>
      </c>
      <c r="C4" s="21">
        <f>frac_sam_1_5months * 2.6</f>
        <v>7.2457320000000006E-2</v>
      </c>
      <c r="D4" s="21">
        <f>frac_sam_6_11months * 2.6</f>
        <v>1.1367460000000001E-2</v>
      </c>
      <c r="E4" s="21">
        <f>frac_sam_12_23months * 2.6</f>
        <v>4.306016E-2</v>
      </c>
      <c r="F4" s="21">
        <f>frac_sam_24_59months * 2.6</f>
        <v>1.1375780000000002E-2</v>
      </c>
    </row>
  </sheetData>
  <sheetProtection algorithmName="SHA-512" hashValue="yKtMywKR4NxUW+gwJYYWwanmMlVuGm2mYbAefmwCbViNsUAFkQcAFrvgLLwc6+RDeNiLLFpzr9223C0SuDhYdQ==" saltValue="oSaYpWU/cMta3+rwc52u0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3.4000000000000002E-2</v>
      </c>
      <c r="E2" s="60">
        <f>food_insecure</f>
        <v>3.4000000000000002E-2</v>
      </c>
      <c r="F2" s="60">
        <f>food_insecure</f>
        <v>3.4000000000000002E-2</v>
      </c>
      <c r="G2" s="60">
        <f>food_insecure</f>
        <v>3.4000000000000002E-2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3.4000000000000002E-2</v>
      </c>
      <c r="F5" s="60">
        <f>food_insecure</f>
        <v>3.4000000000000002E-2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3.4000000000000002E-2</v>
      </c>
      <c r="F8" s="60">
        <f>food_insecure</f>
        <v>3.4000000000000002E-2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3.4000000000000002E-2</v>
      </c>
      <c r="F9" s="60">
        <f>food_insecure</f>
        <v>3.4000000000000002E-2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3.4000000000000002E-2</v>
      </c>
      <c r="I15" s="60">
        <f>food_insecure</f>
        <v>3.4000000000000002E-2</v>
      </c>
      <c r="J15" s="60">
        <f>food_insecure</f>
        <v>3.4000000000000002E-2</v>
      </c>
      <c r="K15" s="60">
        <f>food_insecure</f>
        <v>3.4000000000000002E-2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0.7609999999999999</v>
      </c>
      <c r="M24" s="60">
        <f>famplan_unmet_need</f>
        <v>0.7609999999999999</v>
      </c>
      <c r="N24" s="60">
        <f>famplan_unmet_need</f>
        <v>0.7609999999999999</v>
      </c>
      <c r="O24" s="60">
        <f>famplan_unmet_need</f>
        <v>0.7609999999999999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0.33505584958288803</v>
      </c>
      <c r="M25" s="60">
        <f>(1-food_insecure)*(0.49)+food_insecure*(0.7)</f>
        <v>0.49713999999999997</v>
      </c>
      <c r="N25" s="60">
        <f>(1-food_insecure)*(0.49)+food_insecure*(0.7)</f>
        <v>0.49713999999999997</v>
      </c>
      <c r="O25" s="60">
        <f>(1-food_insecure)*(0.49)+food_insecure*(0.7)</f>
        <v>0.49713999999999997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0.14359536410695201</v>
      </c>
      <c r="M26" s="60">
        <f>(1-food_insecure)*(0.21)+food_insecure*(0.3)</f>
        <v>0.21305999999999997</v>
      </c>
      <c r="N26" s="60">
        <f>(1-food_insecure)*(0.21)+food_insecure*(0.3)</f>
        <v>0.21305999999999997</v>
      </c>
      <c r="O26" s="60">
        <f>(1-food_insecure)*(0.21)+food_insecure*(0.3)</f>
        <v>0.21305999999999997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0.19531557551016002</v>
      </c>
      <c r="M27" s="60">
        <f>(1-food_insecure)*(0.3)</f>
        <v>0.2898</v>
      </c>
      <c r="N27" s="60">
        <f>(1-food_insecure)*(0.3)</f>
        <v>0.2898</v>
      </c>
      <c r="O27" s="60">
        <f>(1-food_insecure)*(0.3)</f>
        <v>0.2898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0.96</v>
      </c>
      <c r="D34" s="60">
        <f t="shared" si="3"/>
        <v>0.96</v>
      </c>
      <c r="E34" s="60">
        <f t="shared" si="3"/>
        <v>0.96</v>
      </c>
      <c r="F34" s="60">
        <f t="shared" si="3"/>
        <v>0.96</v>
      </c>
      <c r="G34" s="60">
        <f t="shared" si="3"/>
        <v>0.96</v>
      </c>
      <c r="H34" s="60">
        <f t="shared" si="3"/>
        <v>0.96</v>
      </c>
      <c r="I34" s="60">
        <f t="shared" si="3"/>
        <v>0.96</v>
      </c>
      <c r="J34" s="60">
        <f t="shared" si="3"/>
        <v>0.96</v>
      </c>
      <c r="K34" s="60">
        <f t="shared" si="3"/>
        <v>0.96</v>
      </c>
      <c r="L34" s="60">
        <f t="shared" si="3"/>
        <v>0.96</v>
      </c>
      <c r="M34" s="60">
        <f t="shared" si="3"/>
        <v>0.96</v>
      </c>
      <c r="N34" s="60">
        <f t="shared" si="3"/>
        <v>0.96</v>
      </c>
      <c r="O34" s="60">
        <f t="shared" si="3"/>
        <v>0.96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dGObD5fB0Tu9c4wIXLx0PWwuiV2btpF8/xopdOpOFd9tl/nYccdQKmlPMlLs+Hqj4U4eDYSsbTOwA/YasgZaQ==" saltValue="Xx0so9hzydk3ora/LsSm0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NkXCFj7omPpAb/cBDfCv3vCxmv3qo4dfi3YzGhyXRl9oobFbNFDe04rlvvfpRQFnrlIvSAaVvpb/VlEC/QBYfg==" saltValue="uJ7RRGfY1MOG5XX/NCLtG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CxdhefpGVCkC5GwpuaO/nbAgHFgMq7OhZfB91mYC4lnMpBHEhIT95sPLdHdb7AHBYmpYZGl1JoXi0bRU7wMBiQ==" saltValue="lXYZd7fqJKr7fVK3eZNST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TOMt2sN/oTEhU9DnIL1QkKo9L0WCI0ahti8HzpjO9p3g9pLm8DCXC9t5pKjVZX0CTNopgOTytn1aeksIXpDSw==" saltValue="493ECp9reRUyxao77AMwV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U8O4AEd0AxqoS4YEuM1EKaOk7F2TMAZ8yroex28PNvNv6ppJYUxqS8YFTk7exm4hpDOYaR7FoFE86GZPAGQn3w==" saltValue="/19TPijecySpdd7JYugjW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ZGbbs4eqvL0KyHE+45tQd7oiSnjazW101tq9tbqLsKjYZugdpnSCqWTDo10d8YnZovQCIeWiMv+NvHctSmEOhQ==" saltValue="9rajRVVqUIycXQn/okVgF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U5siVxUoPPmDUlpy4JxCMgNnh2jhQVhCS4ouy+kSbZIC2nRhqHFWEytLpRv5rnwR7iGdzaNtLR/8FURcR5lnIA==" saltValue="I3N+k4xU/T5nKAPuqx2Gs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7lVSCYXthvN9MgYspvPK8GkogtRXEOY5BUEHj+w5zsLvrNBCBPpPoGVHKV5gyprpe/yF15sExsCGMWibb78Ww==" saltValue="avi51r5LaNhgwffARIM4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3icG5SWVsODTFSOapW+wE2YJLJ1eFCMo+OcWe+J9fsAnaCvPQpXMM/Vy+KlJ075EMrVurdsmm3UmmJqQX4lycw==" saltValue="EuUsd+jNMHgRO2GWWM8f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BKvUTu3fwy7XTvK0UlCQnRnz/cRP2VWAhHG/EVlvJSc90gt6HPJ3q8QpwQO3G037qCunPxr1PQWAqQ6vgTE47A==" saltValue="XwxvI1sSilp2v9g0Six/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MYebBr5Nads+fPYxsdfUa3q9tqDrPX6AfaiTnI5rt9J/8r7sKfA2PNB+ytPFiI1O966hMhjhk1XtWCGvVes5XA==" saltValue="akRL0BUJJachhlZdzd+X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YU9hDII9UEoOya0v5gy0OpYOMvi2NIkvD5XK4WkbDGi2HrX2PNlUKmjs4ywTYex97mX4jD1Aou96H7l4T8Tc5A==" saltValue="9ErzEQWbWuyq4EIWXpPN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6aWThWyxAWE8kd5eGwWiGx4gh2TslmwRW/8OV+wOOiHjQit8q33KcQB+pIFrYsD9ObB+bj9Xsabr7wPriKP/w==" saltValue="ySfbNHLeAnMQdbrXrGmPJ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0.10957176545873382</v>
      </c>
      <c r="G18" s="90">
        <f>MIN(MAX(1-0.89/(1-frac_sam_12_23months+(frac_sam_12_23months*0.89)),0),1)</f>
        <v>0.10837566017669409</v>
      </c>
      <c r="H18" s="90">
        <f>MIN(MAX(1-0.89/(1-frac_sam_24_59months+(frac_sam_24_59months*0.89)),0),1)</f>
        <v>0.10957145187707384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0.10675684939174068</v>
      </c>
      <c r="G20" s="90">
        <f>MIN(MAX(1-0.89/(1-frac_mam_12_23months+(frac_mam_12_23months*0.89)),0),1)</f>
        <v>0.10707690731949304</v>
      </c>
      <c r="H20" s="90">
        <f>MIN(MAX(1-0.89/(1-frac_mam_24_59months+(frac_mam_24_59months*0.89)),0),1)</f>
        <v>0.10798237745219352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9.9567143175067763E-3</v>
      </c>
      <c r="G73" s="90">
        <f>MIN(MAX(1-0.99/(1-frac_sam_12_23months+(frac_sam_12_23months*0.99)),0),1)</f>
        <v>9.8360130011292402E-3</v>
      </c>
      <c r="H73" s="90">
        <f>MIN(MAX(1-0.99/(1-frac_sam_24_59months+(frac_sam_24_59months*0.99)),0),1)</f>
        <v>9.9566826347353699E-3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9.6731237982989882E-3</v>
      </c>
      <c r="G75" s="90">
        <f>MIN(MAX(1-0.99/(1-frac_mam_12_23months+(frac_mam_12_23months*0.99)),0),1)</f>
        <v>9.705286312617134E-3</v>
      </c>
      <c r="H75" s="90">
        <f>MIN(MAX(1-0.99/(1-frac_mam_24_59months+(frac_mam_24_59months*0.99)),0),1)</f>
        <v>9.7963903729740842E-3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0.1992998517763902</v>
      </c>
      <c r="G128" s="90">
        <f>MIN(MAX(1-0.8/(1-frac_sam_12_23months+(frac_sam_12_23months*0.8)),0),1)</f>
        <v>0.19734133765955653</v>
      </c>
      <c r="H128" s="90">
        <f>MIN(MAX(1-0.8/(1-frac_sam_24_59months+(frac_sam_24_59months*0.8)),0),1)</f>
        <v>0.19929933887947993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0.19468380175523092</v>
      </c>
      <c r="G130" s="90">
        <f>MIN(MAX(1-0.8/(1-frac_mam_12_23months+(frac_mam_12_23months*0.8)),0),1)</f>
        <v>0.19520985687652326</v>
      </c>
      <c r="H130" s="90">
        <f>MIN(MAX(1-0.8/(1-frac_mam_24_59months+(frac_mam_24_59months*0.8)),0),1)</f>
        <v>0.1966964301350016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qmRtZ9ORrOutp7fuRPKiYwfNKWQ01ty0MygsL89PpZ0HI4Zdt/Gqhdh0EoH3n7EZHNSw7zmrXd+M76gUYt30aA==" saltValue="wQBdp6NKdZneJ3OeKi3c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jpggbujOn3soR152rMplrYLOv0BH2jHVO8gley9Cf4MRWfRPQKZrlsCLC+qow+lAlJ1ygRV9Cas4kAKu6fjqJw==" saltValue="siou4Ft4j6jggN47zfRXr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2024-08-06T07:38:41Z</dcterms:modified>
</cp:coreProperties>
</file>