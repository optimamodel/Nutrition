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76E4066-4751-468A-AD9E-62CCA955F0D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A23" i="2"/>
  <c r="A37" i="2"/>
  <c r="I3" i="2"/>
  <c r="I7" i="2"/>
  <c r="I11" i="2"/>
  <c r="A26" i="2"/>
  <c r="I39" i="2"/>
  <c r="A31" i="2"/>
  <c r="A34" i="2"/>
  <c r="A40" i="2"/>
  <c r="I2" i="2"/>
  <c r="I6" i="2"/>
  <c r="A19" i="2"/>
  <c r="A35" i="2"/>
  <c r="A22" i="2"/>
  <c r="A36" i="2"/>
  <c r="A24" i="2"/>
  <c r="I38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<sst xmlns="http://schemas.openxmlformats.org/spreadsheetml/2006/main" count="2169" uniqueCount="373">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</sst>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388064</v>
      </c>
    </row>
    <row r="8" spans="1:3" ht="15" customHeight="1" x14ac:dyDescent="0.25">
      <c r="B8" s="5" t="s">
        <v>63</v>
      </c>
      <c r="C8" s="44">
        <v>0.52700000000000002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7.5999999999999998E-2</v>
      </c>
    </row>
    <row r="24" spans="1:3" ht="15" customHeight="1" x14ac:dyDescent="0.25">
      <c r="B24" s="15" t="s">
        <v>65</v>
      </c>
      <c r="C24" s="45">
        <v>0.42870000000000003</v>
      </c>
    </row>
    <row r="25" spans="1:3" ht="15" customHeight="1" x14ac:dyDescent="0.25">
      <c r="B25" s="15" t="s">
        <v>66</v>
      </c>
      <c r="C25" s="45">
        <v>0.38779999999999998</v>
      </c>
    </row>
    <row r="26" spans="1:3" ht="15" customHeight="1" x14ac:dyDescent="0.25">
      <c r="B26" s="15" t="s">
        <v>67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7">
        <v>6.2316367797226199E-2</v>
      </c>
    </row>
    <row r="31" spans="1:3" ht="14.25" customHeight="1" x14ac:dyDescent="0.25">
      <c r="B31" s="25" t="s">
        <v>29</v>
      </c>
      <c r="C31" s="97">
        <v>9.3002675244955299E-2</v>
      </c>
    </row>
    <row r="32" spans="1:3" ht="14.25" customHeight="1" x14ac:dyDescent="0.25">
      <c r="B32" s="25" t="s">
        <v>30</v>
      </c>
      <c r="C32" s="97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98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4.29</v>
      </c>
      <c r="D51" s="12"/>
    </row>
    <row r="52" spans="1:4" ht="15" customHeight="1" x14ac:dyDescent="0.25">
      <c r="B52" s="11" t="s">
        <v>32</v>
      </c>
      <c r="C52" s="98">
        <v>4.29</v>
      </c>
    </row>
    <row r="53" spans="1:4" ht="15.75" customHeight="1" x14ac:dyDescent="0.25">
      <c r="B53" s="11" t="s">
        <v>35</v>
      </c>
      <c r="C53" s="98">
        <v>7.5139999999999993</v>
      </c>
    </row>
    <row r="54" spans="1:4" ht="15.75" customHeight="1" x14ac:dyDescent="0.25">
      <c r="B54" s="11" t="s">
        <v>33</v>
      </c>
      <c r="C54" s="98">
        <v>8.1120000000000001</v>
      </c>
    </row>
    <row r="55" spans="1:4" ht="15.75" customHeight="1" x14ac:dyDescent="0.25">
      <c r="B55" s="11" t="s">
        <v>34</v>
      </c>
      <c r="C55" s="98">
        <v>3.5706666666666669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OIv62lNEL7CfWU7mObgwuUnd21k16cf3SMm2XZexP3LxXHYeb3UgxNfao+RmvRgjCewo6/qNZqaNXnx3ctkezA==" saltValue="ITUym3CHmuMx9KpPtRI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FTel12V19BVtV2i81SczMEVxKBFUvE/irKeOWbMfXtuWF+u7PHHEk+qPj3pWa5xapgTYk7ku5b9YdLMud59mA==" saltValue="dNTArMB5nnK4VwmNECYd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99">
        <v>5.4278499999999973E-2</v>
      </c>
    </row>
    <row r="5" spans="1:8" ht="15.75" customHeight="1" x14ac:dyDescent="0.25">
      <c r="B5" s="19" t="s">
        <v>114</v>
      </c>
      <c r="C5" s="99">
        <v>6.8896700000000047E-2</v>
      </c>
    </row>
    <row r="6" spans="1:8" ht="15.75" customHeight="1" x14ac:dyDescent="0.25">
      <c r="B6" s="19" t="s">
        <v>110</v>
      </c>
      <c r="C6" s="99">
        <v>0.2405291000000005</v>
      </c>
    </row>
    <row r="7" spans="1:8" ht="15.75" customHeight="1" x14ac:dyDescent="0.25">
      <c r="B7" s="19" t="s">
        <v>115</v>
      </c>
      <c r="C7" s="99">
        <v>0.42675559999999951</v>
      </c>
    </row>
    <row r="8" spans="1:8" ht="15.75" customHeight="1" x14ac:dyDescent="0.25">
      <c r="B8" s="19" t="s">
        <v>117</v>
      </c>
      <c r="C8" s="99">
        <v>1.9896999999999992E-3</v>
      </c>
    </row>
    <row r="9" spans="1:8" ht="15.75" customHeight="1" x14ac:dyDescent="0.25">
      <c r="B9" s="19" t="s">
        <v>111</v>
      </c>
      <c r="C9" s="99">
        <v>8.7416600000000025E-2</v>
      </c>
    </row>
    <row r="10" spans="1:8" ht="15.75" customHeight="1" x14ac:dyDescent="0.25">
      <c r="B10" s="19" t="s">
        <v>113</v>
      </c>
      <c r="C10" s="99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2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109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3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120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98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107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118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99">
        <v>4.2970438999999999E-2</v>
      </c>
    </row>
    <row r="28" spans="1:8" ht="15.75" customHeight="1" x14ac:dyDescent="0.25">
      <c r="B28" s="19" t="s">
        <v>122</v>
      </c>
      <c r="C28" s="99">
        <v>0.19642078600000001</v>
      </c>
    </row>
    <row r="29" spans="1:8" ht="15.75" customHeight="1" x14ac:dyDescent="0.25">
      <c r="B29" s="19" t="s">
        <v>105</v>
      </c>
      <c r="C29" s="99">
        <v>0.206894785</v>
      </c>
    </row>
    <row r="30" spans="1:8" ht="15.75" customHeight="1" x14ac:dyDescent="0.25">
      <c r="B30" s="19" t="s">
        <v>4</v>
      </c>
      <c r="C30" s="99">
        <v>2.7698743000000001E-2</v>
      </c>
    </row>
    <row r="31" spans="1:8" ht="15.75" customHeight="1" x14ac:dyDescent="0.25">
      <c r="B31" s="19" t="s">
        <v>99</v>
      </c>
      <c r="C31" s="99">
        <v>0.20935653800000001</v>
      </c>
    </row>
    <row r="32" spans="1:8" ht="15.75" customHeight="1" x14ac:dyDescent="0.25">
      <c r="B32" s="19" t="s">
        <v>104</v>
      </c>
      <c r="C32" s="99">
        <v>1.2451637999999999E-2</v>
      </c>
    </row>
    <row r="33" spans="2:3" ht="15.75" customHeight="1" x14ac:dyDescent="0.25">
      <c r="B33" s="19" t="s">
        <v>119</v>
      </c>
      <c r="C33" s="99">
        <v>5.1474696E-2</v>
      </c>
    </row>
    <row r="34" spans="2:3" ht="15.75" customHeight="1" x14ac:dyDescent="0.25">
      <c r="B34" s="19" t="s">
        <v>106</v>
      </c>
      <c r="C34" s="99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d6MTrrlo8FBktu6xzEBDy5LKxC4cX3i3naDwj/s1EIfcV53/RDCNz4K+U1UGbx837sJlj7q+pCW9Y941dGc6nw==" saltValue="K9+R8IdJiNg+4nuciu/G0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PkY1mzv95k0qIpu5onbC0F6fO1C16ldUYpvjmKjhphsqP7f5RIn9de+AccQy5qegrCosf/8Et7MCRHr7Jb0ng==" saltValue="N9Yt/Dk1C1JMe5dVM3Ee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0N3JXw+ES7lzXymkJqI7AnMryfXtfZwccxEnoTwnNHjpFWGtR36lBsl0pJ7I3M/P9VH/V85rJDuYuq/g0rC+wA==" saltValue="KN3vzaSYOQqbZW1OZjsP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X5xPQoY9DgGLhAZtXmWIJIlmH4gz76IbUfT1w/WuMi96liiuzLRm4AUsA9XNAdHZhJreGkm1KKfhlXhjrr2bw==" saltValue="caCe52tOhyA8bYWv7R9P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808.27828149013499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0.41411000000000003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0.57464000000000004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2.0937270670493457E-2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94784.860339999999</v>
      </c>
      <c r="C22" s="107">
        <v>94239.764769999994</v>
      </c>
      <c r="D22" s="107">
        <v>93805.76152</v>
      </c>
      <c r="E22" s="107">
        <v>93296.847800000003</v>
      </c>
      <c r="F22" s="107">
        <v>92569.961790000001</v>
      </c>
      <c r="G22" s="107">
        <v>91625.464439999996</v>
      </c>
      <c r="H22" s="107">
        <v>90284.694900000002</v>
      </c>
      <c r="I22" s="107">
        <v>88340.950790000003</v>
      </c>
      <c r="J22" s="107">
        <v>85658.401370000007</v>
      </c>
      <c r="K22" s="107">
        <v>82128.473740000001</v>
      </c>
      <c r="L22" s="107">
        <v>77528.438569999998</v>
      </c>
      <c r="M22" s="107">
        <v>71485.227110000007</v>
      </c>
      <c r="N22" s="107">
        <v>63335.180809999998</v>
      </c>
      <c r="O22" s="107">
        <v>53144.74005</v>
      </c>
    </row>
  </sheetData>
  <sheetProtection algorithmName="SHA-512" hashValue="0S+bsIrlYb2XnyBkOcniuoiJQibRHhES0heOCRxgy6GaF2rMxTmhqZlywqDlCtVtPh4QM12S/kk0vuS6UWWF9A==" saltValue="E6+QDUa4Ok9+9Fo3gTfy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9VhHNyXHXO7q7Hrmhn9R+bvCJEb8s3I2UsETPUJ7ZbS2uv6AuTa/tH7Qlmv0JamoeZypZ501WOe+3iwrAFwbg==" saltValue="GJZurQC5Bpzh8zEvLvGH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kMuWQ6PR55Uno1kLV/xDDv11atK60bzuvPP2YyJVo18jZrLxi1EZQnlsSmLh1UDiNVvzYIJpFflCIaMQPf8kg==" saltValue="UnIVABHhiLNSZjKhD0uD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0.3935863</v>
      </c>
      <c r="C10" s="96">
        <v>0.95</v>
      </c>
      <c r="D10" s="56">
        <v>13.46512306465123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13.46512306465123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13.46512306465123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13.46512306465123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0.3935863</v>
      </c>
      <c r="C14" s="96">
        <v>0.95</v>
      </c>
      <c r="D14" s="56">
        <v>13.46512306465123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13.46512306465123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0.50625290000000001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0.77200000000000002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0.1464792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0.18503539999999999</v>
      </c>
      <c r="C23" s="96">
        <v>0.95</v>
      </c>
      <c r="D23" s="56">
        <v>4.4144238992015667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0.87473390287197805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8.0000000000000002E-3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0.199735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0.26319480000000001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0.24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0.12942334170054301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0.2726925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0.1465804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0.88436610000000004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0.21099999999999999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eaKaL2KtXT/G1ndW4xeRffIPX5Os5PFNJEVusbDWtT90KBbsldhnBWUDRfmbMGcDTZlZvO7JNAtg2Kdt6dxpiw==" saltValue="5cI6WHSg+UywpCr4OIR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fB6v/DG7wzL26cQpMWew26nwcS6ovQZckSRD/jJvsdysNv92ghibzXtjEeigS+JJMnAl0xtSevHJvGbu2Jw4A==" saltValue="qb6N5DGSS3IVntrmyTN1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BaSeK+NAD9OGZ5rrIpgZ2RQowIKSEZo0KxWfSKX9z98X7qAf2Lecpr2R9oDl9QMMQMKm/uTVD9syU+3l1vb8w==" saltValue="/W0qP0TFRa6qY37pQegG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4.29</v>
      </c>
      <c r="C2" s="21">
        <f>'Entradas de población-año base'!C52</f>
        <v>4.29</v>
      </c>
      <c r="D2" s="21">
        <f>'Entradas de población-año base'!C53</f>
        <v>7.5139999999999993</v>
      </c>
      <c r="E2" s="21">
        <f>'Entradas de población-año base'!C54</f>
        <v>8.1120000000000001</v>
      </c>
      <c r="F2" s="21">
        <f>'Entradas de población-año base'!C55</f>
        <v>3.5706666666666669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a1ptrO65yxPqqzIISM8ddT5juf3mFkyjR/JrTRISawmw7DHW4Vxp//+QrOsHzksgp0TU7LTQT5aFjZ87csc32w==" saltValue="8qWaKwttbDujRMnAcaddO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O6UhPuTGbYYiq1kQwz/hXsJEAuol4GNx9e1tmyIHMmAU6btNqvJbJITZOxTxRJcROz/Pw8EabYAp+yl05Q+8A==" saltValue="GBB29xDGOGj/vARwfH2G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zfi1ZTIfM/hCfDZW4ew2AkjWaHDWNesE53BJoSXZVspGqyh8TlbcafX2+Q+Nvfa6fam3qMTSJKuIJNEJkl+zw==" saltValue="vdUxooNJXrwB8AO7riLk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F3YyiRqYY6hQCe9R6WvUVru5jle/11KF0JDXlcZWCXXfRbswMTzif86fsnudfRCWY3lwCGuC4vYFf0WXgzFmg==" saltValue="E/KOhsb6fDeTNyV1jgjH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8KqP5C45+4mjonkKAxBNVm+LLEq12YbR4mwneVIFMWaPkvrRkYy2iK72wyTrDtzG1/BR4Wzq1Neh5UiPTc/aQ==" saltValue="PqknTSOqnB2iz3+idvXn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Zb2VqEPMfdk8g8Yo7gwAWiDLsCGjeJ+uMl5hb6WqYazNPBY0IBpWfGfcymJdyXlXbxEQ61qe4XKsQ2aDqPAOSw==" saltValue="gapjmTnuy3yhiXLFYbmd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45tuTWGtHgeNdJgnFR/iW6Z0R665pUTeV5WTWdTPDaSQAE9KFVMzDH25QZHZZMZHsdjDX1LuL9pvJOKPv3IhEw==" saltValue="XGPDnyMbX2i2oPQ8bhYJ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wvaC1qRdWdQ89IOvJesOr2bprqXLQMb5YND/t1MlJp6DBUS0qR4ieLNcepnAVir/7OCrPLHZikhwRzHciHRHA==" saltValue="D9s5xg6OhPtNMXzlr9mcr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7JAxtQk/QvwOtNNNQ/J+zJ92zMawvNv/sVMnD4ASUNGtsXI1xbplcHOqlyiollQLOuYl3MxlFXbf2RYpNL0bMg==" saltValue="RvPeZ/OspgQ2gk2BXM1N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IuBEGbJHhoAnkQYL7pyDYJPUJH5xi4JVCGpwJYsDdJ9xnGe4ghBBNQbhantA+wwvSKKQDGa60h5WtN9yzVDXg==" saltValue="7t+b+ZG8hhBZwVuYka4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2cX26ajnvGCm1WQ+0D/UvqsDishrMCc9yNvqbn4FW0xcThIP/FbqGnmRiggeb4LxtMbbW64tUgxoFZIbZDLDQ==" saltValue="cgD4VYh/R4XNYvWx4Vzc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gUPus6REAKQHG/8rvQ2xAwdj+5vjfS1luPtnjbIZRmlGBwwtJ5RCmotf1ij+wftJKVXmiDeVO02//hsTRmvwQ==" saltValue="oFi0lWm0dTDLz5IWZAwk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GlOj26vNb0TbYDerNLmsCHM4TfIUg00Gt6mOHEX2QJ73w1aR1SQRjvVQE9okvKQ0TovhDl7WeRoOgVC33cMxA==" saltValue="ky+5PIS37kEOsNFYg8es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jm5nzGGoS5UNnW+pQHYlOcc017y9XQgtQxoipWdTzG3GHAx2C8NGYwU64J6ZdvTa/KN2Rr+mbSlqsxtHTONHg==" saltValue="fOOQYcIR/ib9P2LKukJ+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yoo2fdYF3xmhCYuNPJ0Z4pwUaRyABrQm1GWZAY5OZ2fsNeTA/ud7cUN/ghZ7OmZ8R7Xvj5B6xtAt87G9B+CLw==" saltValue="R5wztO47E+eZnE4owG3P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r6KKWOxl+gWxykdRUFMKi82vB1kd0fCMs+n4NdCb7F4hEE47ltWH0jIexZHqfv+E6DwqeQegHH+mQ6L9fyV8Q==" saltValue="iorEAqH9rMqj5+pyZX8yr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