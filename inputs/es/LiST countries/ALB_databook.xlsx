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BCEF96F-2CD0-41A7-AE25-319F83E98CC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26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28" i="2" l="1"/>
  <c r="A39" i="2"/>
  <c r="A29" i="2"/>
  <c r="A15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4" i="2"/>
  <c r="A20" i="2"/>
  <c r="A36" i="2"/>
  <c r="A21" i="2"/>
  <c r="A37" i="2"/>
  <c r="I4" i="2"/>
  <c r="I8" i="2"/>
  <c r="I12" i="2"/>
  <c r="A23" i="2"/>
  <c r="I38" i="2"/>
  <c r="A16" i="2"/>
  <c r="A24" i="2"/>
  <c r="A32" i="2"/>
  <c r="A17" i="2"/>
  <c r="A25" i="2"/>
  <c r="A33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<sst xmlns="http://schemas.openxmlformats.org/spreadsheetml/2006/main" count="2101" uniqueCount="341">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</sst>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139132.326171875</v>
      </c>
    </row>
    <row r="8" spans="1:3" ht="15" customHeight="1" x14ac:dyDescent="0.25">
      <c r="B8" s="5" t="s">
        <v>44</v>
      </c>
      <c r="C8" s="44">
        <v>1.7000000000000001E-2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0.86947998046874997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7.4200000000000002E-2</v>
      </c>
    </row>
    <row r="24" spans="1:3" ht="15" customHeight="1" x14ac:dyDescent="0.25">
      <c r="B24" s="15" t="s">
        <v>46</v>
      </c>
      <c r="C24" s="45">
        <v>0.63170000000000004</v>
      </c>
    </row>
    <row r="25" spans="1:3" ht="15" customHeight="1" x14ac:dyDescent="0.25">
      <c r="B25" s="15" t="s">
        <v>47</v>
      </c>
      <c r="C25" s="45">
        <v>0.28189999999999998</v>
      </c>
    </row>
    <row r="26" spans="1:3" ht="15" customHeight="1" x14ac:dyDescent="0.25">
      <c r="B26" s="15" t="s">
        <v>48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0.42929909094781799</v>
      </c>
    </row>
    <row r="30" spans="1:3" ht="14.25" customHeight="1" x14ac:dyDescent="0.25">
      <c r="B30" s="25" t="s">
        <v>63</v>
      </c>
      <c r="C30" s="99">
        <v>2.5436306024175601E-2</v>
      </c>
    </row>
    <row r="31" spans="1:3" ht="14.25" customHeight="1" x14ac:dyDescent="0.25">
      <c r="B31" s="25" t="s">
        <v>10</v>
      </c>
      <c r="C31" s="99">
        <v>4.7151485611007002E-2</v>
      </c>
    </row>
    <row r="32" spans="1:3" ht="14.25" customHeight="1" x14ac:dyDescent="0.25">
      <c r="B32" s="25" t="s">
        <v>11</v>
      </c>
      <c r="C32" s="99">
        <v>0.49811311741699899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7.1181000000000001</v>
      </c>
    </row>
    <row r="38" spans="1:5" ht="15" customHeight="1" x14ac:dyDescent="0.25">
      <c r="B38" s="11" t="s">
        <v>35</v>
      </c>
      <c r="C38" s="43">
        <v>8.4116499999999998</v>
      </c>
      <c r="D38" s="12"/>
      <c r="E38" s="13"/>
    </row>
    <row r="39" spans="1:5" ht="15" customHeight="1" x14ac:dyDescent="0.25">
      <c r="B39" s="11" t="s">
        <v>61</v>
      </c>
      <c r="C39" s="43">
        <v>9.4559200000000008</v>
      </c>
      <c r="D39" s="12"/>
      <c r="E39" s="12"/>
    </row>
    <row r="40" spans="1:5" ht="15" customHeight="1" x14ac:dyDescent="0.25">
      <c r="B40" s="11" t="s">
        <v>36</v>
      </c>
      <c r="C40" s="100">
        <v>0.08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5.9370999999999998E-3</v>
      </c>
      <c r="D45" s="12"/>
    </row>
    <row r="46" spans="1:5" ht="15.75" customHeight="1" x14ac:dyDescent="0.25">
      <c r="B46" s="11" t="s">
        <v>51</v>
      </c>
      <c r="C46" s="45">
        <v>6.3792799999999997E-2</v>
      </c>
      <c r="D46" s="12"/>
    </row>
    <row r="47" spans="1:5" ht="15.75" customHeight="1" x14ac:dyDescent="0.25">
      <c r="B47" s="11" t="s">
        <v>59</v>
      </c>
      <c r="C47" s="45">
        <v>7.5355400000000003E-2</v>
      </c>
      <c r="D47" s="12"/>
      <c r="E47" s="13"/>
    </row>
    <row r="48" spans="1:5" ht="15" customHeight="1" x14ac:dyDescent="0.25">
      <c r="B48" s="11" t="s">
        <v>58</v>
      </c>
      <c r="C48" s="46">
        <v>0.85491470000000003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0.68814900000000001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SkfmaNYY2I8OUYjncsntJzsJd7pXPN8Yoly7K+F2hG7uPEVkzyN4AMgVBgfS7x/ghHRFqbz+TkpnSInmbtNfCg==" saltValue="87DztAPxKl9UAngmkErQ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28334</v>
      </c>
      <c r="C2" s="49">
        <v>98282.999999999985</v>
      </c>
      <c r="D2" s="49">
        <v>204303</v>
      </c>
      <c r="E2" s="49">
        <v>201844.5</v>
      </c>
      <c r="F2" s="49">
        <v>144705</v>
      </c>
      <c r="G2" s="17">
        <f t="shared" ref="G2:G13" si="0">C2+D2+E2+F2</f>
        <v>649135.5</v>
      </c>
      <c r="H2" s="17">
        <f t="shared" ref="H2:H13" si="1">(B2 + stillbirth*B2/(1000-stillbirth))/(1-abortion)</f>
        <v>32338.22327078506</v>
      </c>
      <c r="I2" s="17">
        <f t="shared" ref="I2:I13" si="2">G2-H2</f>
        <v>616797.27672921494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28153</v>
      </c>
      <c r="C3" s="50">
        <v>95953.5</v>
      </c>
      <c r="D3" s="50">
        <v>197256</v>
      </c>
      <c r="E3" s="50">
        <v>206854</v>
      </c>
      <c r="F3" s="50">
        <v>144880.5</v>
      </c>
      <c r="G3" s="17">
        <f t="shared" si="0"/>
        <v>644944</v>
      </c>
      <c r="H3" s="17">
        <f t="shared" si="1"/>
        <v>32131.643952227423</v>
      </c>
      <c r="I3" s="17">
        <f t="shared" si="2"/>
        <v>612812.35604777257</v>
      </c>
    </row>
    <row r="4" spans="1:9" ht="15.75" customHeight="1" x14ac:dyDescent="0.25">
      <c r="A4" s="5">
        <f t="shared" si="3"/>
        <v>2026</v>
      </c>
      <c r="B4" s="49">
        <v>27933</v>
      </c>
      <c r="C4" s="50">
        <v>94845</v>
      </c>
      <c r="D4" s="50">
        <v>189578</v>
      </c>
      <c r="E4" s="50">
        <v>211084.5</v>
      </c>
      <c r="F4" s="50">
        <v>144937.5</v>
      </c>
      <c r="G4" s="17">
        <f t="shared" si="0"/>
        <v>640445</v>
      </c>
      <c r="H4" s="17">
        <f t="shared" si="1"/>
        <v>31880.553067792727</v>
      </c>
      <c r="I4" s="17">
        <f t="shared" si="2"/>
        <v>608564.44693220733</v>
      </c>
    </row>
    <row r="5" spans="1:9" ht="15.75" customHeight="1" x14ac:dyDescent="0.25">
      <c r="A5" s="5">
        <f t="shared" si="3"/>
        <v>2027</v>
      </c>
      <c r="B5" s="49">
        <v>27538</v>
      </c>
      <c r="C5" s="50">
        <v>94595.499999999985</v>
      </c>
      <c r="D5" s="50">
        <v>182125</v>
      </c>
      <c r="E5" s="50">
        <v>214067</v>
      </c>
      <c r="F5" s="50">
        <v>145543</v>
      </c>
      <c r="G5" s="17">
        <f t="shared" si="0"/>
        <v>636330.5</v>
      </c>
      <c r="H5" s="17">
        <f t="shared" si="1"/>
        <v>31429.730798012246</v>
      </c>
      <c r="I5" s="17">
        <f t="shared" si="2"/>
        <v>604900.76920198777</v>
      </c>
    </row>
    <row r="6" spans="1:9" ht="15.75" customHeight="1" x14ac:dyDescent="0.25">
      <c r="A6" s="5">
        <f t="shared" si="3"/>
        <v>2028</v>
      </c>
      <c r="B6" s="49">
        <v>27135</v>
      </c>
      <c r="C6" s="50">
        <v>94500.5</v>
      </c>
      <c r="D6" s="50">
        <v>175661.5</v>
      </c>
      <c r="E6" s="50">
        <v>215455.5</v>
      </c>
      <c r="F6" s="50">
        <v>146942.5</v>
      </c>
      <c r="G6" s="17">
        <f t="shared" si="0"/>
        <v>632560</v>
      </c>
      <c r="H6" s="17">
        <f t="shared" si="1"/>
        <v>30969.77795061596</v>
      </c>
      <c r="I6" s="17">
        <f t="shared" si="2"/>
        <v>601590.22204938403</v>
      </c>
    </row>
    <row r="7" spans="1:9" ht="15.75" customHeight="1" x14ac:dyDescent="0.25">
      <c r="A7" s="5">
        <f t="shared" si="3"/>
        <v>2029</v>
      </c>
      <c r="B7" s="49">
        <v>26601</v>
      </c>
      <c r="C7" s="50">
        <v>94101.000000000015</v>
      </c>
      <c r="D7" s="50">
        <v>169295.5</v>
      </c>
      <c r="E7" s="50">
        <v>215499.5</v>
      </c>
      <c r="F7" s="50">
        <v>149150</v>
      </c>
      <c r="G7" s="17">
        <f t="shared" si="0"/>
        <v>628046</v>
      </c>
      <c r="H7" s="17">
        <f t="shared" si="1"/>
        <v>30360.311894760831</v>
      </c>
      <c r="I7" s="17">
        <f t="shared" si="2"/>
        <v>597685.68810523918</v>
      </c>
    </row>
    <row r="8" spans="1:9" ht="15.75" customHeight="1" x14ac:dyDescent="0.25">
      <c r="A8" s="5">
        <f t="shared" si="3"/>
        <v>2030</v>
      </c>
      <c r="B8" s="49">
        <v>26184</v>
      </c>
      <c r="C8" s="50">
        <v>93139.000000000015</v>
      </c>
      <c r="D8" s="50">
        <v>163342</v>
      </c>
      <c r="E8" s="50">
        <v>213835.5</v>
      </c>
      <c r="F8" s="50">
        <v>152726.5</v>
      </c>
      <c r="G8" s="17">
        <f t="shared" si="0"/>
        <v>623043</v>
      </c>
      <c r="H8" s="17">
        <f t="shared" si="1"/>
        <v>29884.380536536879</v>
      </c>
      <c r="I8" s="17">
        <f t="shared" si="2"/>
        <v>593158.61946346308</v>
      </c>
    </row>
    <row r="9" spans="1:9" ht="15.75" customHeight="1" x14ac:dyDescent="0.25">
      <c r="A9" s="5">
        <f t="shared" si="3"/>
        <v>2031</v>
      </c>
      <c r="B9" s="49">
        <v>25588</v>
      </c>
      <c r="C9" s="50">
        <v>91556</v>
      </c>
      <c r="D9" s="50">
        <v>158983.5</v>
      </c>
      <c r="E9" s="50">
        <v>209658</v>
      </c>
      <c r="F9" s="50">
        <v>157159.5</v>
      </c>
      <c r="G9" s="17">
        <f t="shared" si="0"/>
        <v>617357</v>
      </c>
      <c r="H9" s="17">
        <f t="shared" si="1"/>
        <v>29204.152504159247</v>
      </c>
      <c r="I9" s="17">
        <f t="shared" si="2"/>
        <v>588152.84749584075</v>
      </c>
    </row>
    <row r="10" spans="1:9" ht="15.75" customHeight="1" x14ac:dyDescent="0.25">
      <c r="A10" s="5">
        <f t="shared" si="3"/>
        <v>2032</v>
      </c>
      <c r="B10" s="49">
        <v>25020</v>
      </c>
      <c r="C10" s="50">
        <v>89136</v>
      </c>
      <c r="D10" s="50">
        <v>155304</v>
      </c>
      <c r="E10" s="50">
        <v>204407.5</v>
      </c>
      <c r="F10" s="50">
        <v>162303.5</v>
      </c>
      <c r="G10" s="17">
        <f t="shared" si="0"/>
        <v>611151</v>
      </c>
      <c r="H10" s="17">
        <f t="shared" si="1"/>
        <v>28555.881493436937</v>
      </c>
      <c r="I10" s="17">
        <f t="shared" si="2"/>
        <v>582595.11850656301</v>
      </c>
    </row>
    <row r="11" spans="1:9" ht="15.75" customHeight="1" x14ac:dyDescent="0.25">
      <c r="A11" s="5">
        <f t="shared" si="3"/>
        <v>2033</v>
      </c>
      <c r="B11" s="49">
        <v>24448</v>
      </c>
      <c r="C11" s="50">
        <v>86214.5</v>
      </c>
      <c r="D11" s="50">
        <v>152312.5</v>
      </c>
      <c r="E11" s="50">
        <v>198302.99999999991</v>
      </c>
      <c r="F11" s="50">
        <v>167655</v>
      </c>
      <c r="G11" s="17">
        <f t="shared" si="0"/>
        <v>604484.99999999988</v>
      </c>
      <c r="H11" s="17">
        <f t="shared" si="1"/>
        <v>27903.045193906724</v>
      </c>
      <c r="I11" s="17">
        <f t="shared" si="2"/>
        <v>576581.95480609313</v>
      </c>
    </row>
    <row r="12" spans="1:9" ht="15.75" customHeight="1" x14ac:dyDescent="0.25">
      <c r="A12" s="5">
        <f t="shared" si="3"/>
        <v>2034</v>
      </c>
      <c r="B12" s="49">
        <v>23869</v>
      </c>
      <c r="C12" s="50">
        <v>83193.999999999985</v>
      </c>
      <c r="D12" s="50">
        <v>149952.5</v>
      </c>
      <c r="E12" s="50">
        <v>191355.5</v>
      </c>
      <c r="F12" s="50">
        <v>172710.5</v>
      </c>
      <c r="G12" s="17">
        <f t="shared" si="0"/>
        <v>597212.5</v>
      </c>
      <c r="H12" s="17">
        <f t="shared" si="1"/>
        <v>27242.219638962681</v>
      </c>
      <c r="I12" s="17">
        <f t="shared" si="2"/>
        <v>569970.28036103735</v>
      </c>
    </row>
    <row r="13" spans="1:9" ht="15.75" customHeight="1" x14ac:dyDescent="0.25">
      <c r="A13" s="5">
        <f t="shared" si="3"/>
        <v>2035</v>
      </c>
      <c r="B13" s="49">
        <v>23341</v>
      </c>
      <c r="C13" s="50">
        <v>80673.5</v>
      </c>
      <c r="D13" s="50">
        <v>147428</v>
      </c>
      <c r="E13" s="50">
        <v>184338.5</v>
      </c>
      <c r="F13" s="50">
        <v>177935</v>
      </c>
      <c r="G13" s="17">
        <f t="shared" si="0"/>
        <v>590375</v>
      </c>
      <c r="H13" s="17">
        <f t="shared" si="1"/>
        <v>26639.601516319406</v>
      </c>
      <c r="I13" s="17">
        <f t="shared" si="2"/>
        <v>563735.39848368056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59p3J8wPtrOweTJy+s56tcMwOHK2tHcy6gnYC9i4a/AEIbg7gs//LpGkhReA9SLnqNyErxksKbFr6UrAHmpKg==" saltValue="IMlq3iO54MVM5S5BX1CkC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3.6605399999999962E-2</v>
      </c>
    </row>
    <row r="5" spans="1:8" ht="15.75" customHeight="1" x14ac:dyDescent="0.25">
      <c r="B5" s="19" t="s">
        <v>95</v>
      </c>
      <c r="C5" s="101">
        <v>2.8491900000000028E-2</v>
      </c>
    </row>
    <row r="6" spans="1:8" ht="15.75" customHeight="1" x14ac:dyDescent="0.25">
      <c r="B6" s="19" t="s">
        <v>91</v>
      </c>
      <c r="C6" s="101">
        <v>0.1543518999999996</v>
      </c>
    </row>
    <row r="7" spans="1:8" ht="15.75" customHeight="1" x14ac:dyDescent="0.25">
      <c r="B7" s="19" t="s">
        <v>96</v>
      </c>
      <c r="C7" s="101">
        <v>0.42690190000000028</v>
      </c>
    </row>
    <row r="8" spans="1:8" ht="15.75" customHeight="1" x14ac:dyDescent="0.25">
      <c r="B8" s="19" t="s">
        <v>98</v>
      </c>
      <c r="C8" s="101">
        <v>9.5492000000000025E-3</v>
      </c>
    </row>
    <row r="9" spans="1:8" ht="15.75" customHeight="1" x14ac:dyDescent="0.25">
      <c r="B9" s="19" t="s">
        <v>92</v>
      </c>
      <c r="C9" s="101">
        <v>0.26801370000000008</v>
      </c>
    </row>
    <row r="10" spans="1:8" ht="15.75" customHeight="1" x14ac:dyDescent="0.25">
      <c r="B10" s="19" t="s">
        <v>94</v>
      </c>
      <c r="C10" s="101">
        <v>7.6086000000000042E-2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102</v>
      </c>
      <c r="C15" s="101">
        <v>0.31814315609059202</v>
      </c>
      <c r="D15" s="101">
        <v>0.31814315609059202</v>
      </c>
      <c r="E15" s="101">
        <v>0.31814315609059202</v>
      </c>
      <c r="F15" s="101">
        <v>0.31814315609059202</v>
      </c>
    </row>
    <row r="16" spans="1:8" ht="15.75" customHeight="1" x14ac:dyDescent="0.25">
      <c r="B16" s="19" t="s">
        <v>2</v>
      </c>
      <c r="C16" s="101">
        <v>4.9267420786241918E-2</v>
      </c>
      <c r="D16" s="101">
        <v>4.9267420786241918E-2</v>
      </c>
      <c r="E16" s="101">
        <v>4.9267420786241918E-2</v>
      </c>
      <c r="F16" s="101">
        <v>4.9267420786241918E-2</v>
      </c>
    </row>
    <row r="17" spans="1:8" ht="15.75" customHeight="1" x14ac:dyDescent="0.25">
      <c r="B17" s="19" t="s">
        <v>90</v>
      </c>
      <c r="C17" s="101">
        <v>2.9968784124779189E-2</v>
      </c>
      <c r="D17" s="101">
        <v>2.9968784124779189E-2</v>
      </c>
      <c r="E17" s="101">
        <v>2.9968784124779189E-2</v>
      </c>
      <c r="F17" s="101">
        <v>2.9968784124779189E-2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1.7114090843376471E-2</v>
      </c>
      <c r="D19" s="101">
        <v>1.7114090843376471E-2</v>
      </c>
      <c r="E19" s="101">
        <v>1.7114090843376471E-2</v>
      </c>
      <c r="F19" s="101">
        <v>1.7114090843376471E-2</v>
      </c>
    </row>
    <row r="20" spans="1:8" ht="15.75" customHeight="1" x14ac:dyDescent="0.25">
      <c r="B20" s="19" t="s">
        <v>79</v>
      </c>
      <c r="C20" s="101">
        <v>6.5589051959370301E-2</v>
      </c>
      <c r="D20" s="101">
        <v>6.5589051959370301E-2</v>
      </c>
      <c r="E20" s="101">
        <v>6.5589051959370301E-2</v>
      </c>
      <c r="F20" s="101">
        <v>6.5589051959370301E-2</v>
      </c>
    </row>
    <row r="21" spans="1:8" ht="15.75" customHeight="1" x14ac:dyDescent="0.25">
      <c r="B21" s="19" t="s">
        <v>88</v>
      </c>
      <c r="C21" s="101">
        <v>0.40841074687003298</v>
      </c>
      <c r="D21" s="101">
        <v>0.40841074687003298</v>
      </c>
      <c r="E21" s="101">
        <v>0.40841074687003298</v>
      </c>
      <c r="F21" s="101">
        <v>0.40841074687003298</v>
      </c>
    </row>
    <row r="22" spans="1:8" ht="15.75" customHeight="1" x14ac:dyDescent="0.25">
      <c r="B22" s="19" t="s">
        <v>99</v>
      </c>
      <c r="C22" s="101">
        <v>8.6568333170822992E-2</v>
      </c>
      <c r="D22" s="101">
        <v>8.6568333170822992E-2</v>
      </c>
      <c r="E22" s="101">
        <v>8.6568333170822992E-2</v>
      </c>
      <c r="F22" s="101">
        <v>8.6568333170822992E-2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5.4875438999999977E-2</v>
      </c>
    </row>
    <row r="27" spans="1:8" ht="15.75" customHeight="1" x14ac:dyDescent="0.25">
      <c r="B27" s="19" t="s">
        <v>89</v>
      </c>
      <c r="C27" s="101">
        <v>6.1112532999999997E-2</v>
      </c>
    </row>
    <row r="28" spans="1:8" ht="15.75" customHeight="1" x14ac:dyDescent="0.25">
      <c r="B28" s="19" t="s">
        <v>103</v>
      </c>
      <c r="C28" s="101">
        <v>0.12187780400000001</v>
      </c>
    </row>
    <row r="29" spans="1:8" ht="15.75" customHeight="1" x14ac:dyDescent="0.25">
      <c r="B29" s="19" t="s">
        <v>86</v>
      </c>
      <c r="C29" s="101">
        <v>0.13517542399999999</v>
      </c>
    </row>
    <row r="30" spans="1:8" ht="15.75" customHeight="1" x14ac:dyDescent="0.25">
      <c r="B30" s="19" t="s">
        <v>4</v>
      </c>
      <c r="C30" s="101">
        <v>8.1544961999999999E-2</v>
      </c>
    </row>
    <row r="31" spans="1:8" ht="15.75" customHeight="1" x14ac:dyDescent="0.25">
      <c r="B31" s="19" t="s">
        <v>80</v>
      </c>
      <c r="C31" s="101">
        <v>6.5156283999999995E-2</v>
      </c>
    </row>
    <row r="32" spans="1:8" ht="15.75" customHeight="1" x14ac:dyDescent="0.25">
      <c r="B32" s="19" t="s">
        <v>85</v>
      </c>
      <c r="C32" s="101">
        <v>0.13128318899999999</v>
      </c>
    </row>
    <row r="33" spans="2:3" ht="15.75" customHeight="1" x14ac:dyDescent="0.25">
      <c r="B33" s="19" t="s">
        <v>100</v>
      </c>
      <c r="C33" s="101">
        <v>0.12725431500000001</v>
      </c>
    </row>
    <row r="34" spans="2:3" ht="15.75" customHeight="1" x14ac:dyDescent="0.25">
      <c r="B34" s="19" t="s">
        <v>87</v>
      </c>
      <c r="C34" s="101">
        <v>0.221720049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LOCoZ6cHYHG2xvX0gwT7rDIZSsh7CV8Rbr7vwkMETGWkVJe6lbCz/2Dgd/nt/Y7IxYJoS4WWaQCAs/gQqpIgjA==" saltValue="ssfmuJgwWa5dLWyo1oda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110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106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107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119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gB2QgZ0IDupS8PPZ3TiajNAPhcjtWRNbWXIjQvEu8C/Rig9YVTCKJfegy1JpueruANB+9nwRuUzfL1I3GFL+Q==" saltValue="cgz5Mei922a1G3KenO/E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125</v>
      </c>
      <c r="C5" s="52">
        <v>0.10494050000000001</v>
      </c>
      <c r="D5" s="52">
        <v>0.12712850000000001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Ejq9BYcsNiP6Td2sPy4O4Fed81H0KajnVOx5AAAVfl2vHnqqD8cqgxx4WOEJIuZnc1zz63KbqTcJqXKwYxZLvQ==" saltValue="ium+2SfnNuCZNPmNKOnb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g6flJCE2I2K5QT5HORKBcwki1qKxBYh3+WZzmOJ3slMMY5LB4lBzuJtat5lIyUQLo+V/bdtibOguhUGZV8GBw==" saltValue="EpGwc7HhkipKWEVjz1moI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gkMN96b7cfK9PQ1v+wSvQw5XsxMBCEEevUSwEsLGhiFzzDmJ6Oz2q2EW8G6y3V3Hp+EVUlWrwHOLMlH58clPoA==" saltValue="e9LjPIYJ8hHfwRHrEY5Rx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Ty0j8vH8wGkIcA1m+AiZsjHocxH+0JJ6+ThMsvNZ+18btbqaOLsqF9+kQ5XcRDLKY6VDamwAs/hvfbHOFVZNBQ==" saltValue="2dX9g5bEyC2oiUpJPSVpg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EVJ6wzA6kVIqlo9YME2tEAoJPZchUO2Tum6DGqbnOWd4LH0PdAoQmRUr1nz3gBdOL+TuL+iaJNyhkun8bCcTrw==" saltValue="4illLv0wpwIFTgQniX8am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57.907989789407353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39.877408618072153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412.49823904286558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4.5206611360123574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0.18510399999999999</v>
      </c>
      <c r="C10" s="98">
        <v>0.95</v>
      </c>
      <c r="D10" s="56">
        <v>13.009708061868061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13.009708061868061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13.009708061868061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13.009708061868061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0.18510399999999999</v>
      </c>
      <c r="C14" s="98">
        <v>0.95</v>
      </c>
      <c r="D14" s="56">
        <v>13.009708061868061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13.009708061868061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0.71647386176341188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0.34266350000000001</v>
      </c>
      <c r="C18" s="98">
        <v>0.95</v>
      </c>
      <c r="D18" s="56">
        <v>9.5101355775698799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0.34266350000000001</v>
      </c>
      <c r="C19" s="98">
        <v>0.95</v>
      </c>
      <c r="D19" s="56">
        <v>9.5101355775698799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45.01292027832001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22.4493059696639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4.2777930485212776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0.84867761728916302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0.18510399999999999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18.576955013531052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0.34516190000000002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0.52498509999999998</v>
      </c>
      <c r="C29" s="98">
        <v>0.95</v>
      </c>
      <c r="D29" s="56">
        <v>113.3709035636476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0.59909969887929115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1.53812413297883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0.13477720000000001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1.5291300000000001E-2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0.80814319999999995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0.14918780000000001</v>
      </c>
      <c r="C38" s="98">
        <v>0.95</v>
      </c>
      <c r="D38" s="56">
        <v>2.7579992310105732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jT0gbER/LFSk5DMMgtfV8k9+b9V5l+OFhiBMTjIUUd0wac8hBUs9zRtgekqfZBTdw2efHOFvCesv35L3MYKlkg==" saltValue="JKwNbJakpUCtfRFwaIl3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+Eh77wFVHL3d+X0Gv0zP2zDpcS4CGwIzQ3owv0piGlrlke/eJSLNnjU4gMOwCic2LCsgBWw304TSnB1DQoWmQ==" saltValue="+ErEDtc9IRD1Yg8GgvQI4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wysiWPAIkDiI87JVRh2wICaWa+St10Kf+UaQpGsuLgaCDEYi0LeYlZYJ3UHYeEer1jHqZfFqJkdso6ohlr7c6w==" saltValue="HnxnSaG8chk0126kkTSqz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207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sheetProtection algorithmName="SHA-512" hashValue="Yhhd5rdV2NUZjGpaJcchM73UEi8dgwKCa9EYMYtZtvmaFm0lxKku5Kh0zfI1743DrI6BQLTbnfAemdUUtZP6+Q==" saltValue="ghDWmfhLW8EAmPPAgujja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934pN7vGKgr5YK7IZzncBKbxg116ihRHKR+AaXlqVo4KdknOQ8kgIHONywQgqZYjh7tMbSXm3/6iTTjZtGPeA==" saltValue="fEQKaTfHQpWMibJzL1hgp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xqIwfCAippLP0cnGYgA7Yi+qFY5yPZTzTt9H6hRkzP5ED9v39WFMWfLzVYZVRm0yPh7zXdx7lD7iHue23A1OiQ==" saltValue="dEV6E8a5zEJjIZ9vZ5lL3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uvJkhbfltSoeP2n5ITm7Rl3JWq3uM5kt9DV4Sz+X9B62u5vBS9xh5yV9ZRSIGa+SiwvKCIR6BJrW/OlPhr8JQ==" saltValue="hTfO1nNbGYWvhddMr99zo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4kxNpg10korXo76LGLIIhW4bKlxP26MDYKaCAISpgCEpP3h9Iw8YpCyj62b1K9lDDAZBAe+qVtgsToB3ILT9w==" saltValue="q5tcJOAf2IW1jRvB8QTI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OgGsb5F82gbyI2iMqZBqhuUKSF9APM1PDr/lGuZKlaHLW/HCgn6LqT3WeecWyvZ60teGf3kKFMvcNrlCr0DCw==" saltValue="6fmmAshXj+LFcFVs10UF5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7S8Ms1EpvI9b8axMVq505udUaTnu1PqdXn/uNTcgaFuDtFS1ehwGdc6/MTvMkBtk1TeOfQYBNaXTquyJF/NBAA==" saltValue="/QSY/z5DcyPsq1hKyKWbf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g5jKRkbf95JxxL1433FeeBW/ffmVqwnJToNHFJHk6geRmCx+l9peE5HSy7buu5KYckSYGelhEZ0oMtcPUDGkQ==" saltValue="7OpJF9KwiiZ8V6uXE2UhZ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j/Iwz1GJbasv2IPhbrjIoVPWNflFddNgzBJDDKKj57FLebko2Rd2wMlz1txqeaKOYNpXdJXvK963hHMxLQU+Q==" saltValue="xjUy6Gz7rYSEZPp7lhPe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SvBSI91k/yv+7RST51P5OVGPG96MvgzyI0e2i9mr/ssRXX/Zjdb8DdR8fgE83ypngRFNCQbYJ0k8UgfoP5lLA==" saltValue="a/77HHHb+6HRQJjqm28c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+zgYRZYxg463X25oN2xLj+TOAn0N0Fc171xbs52Qoqx5FCY9jaD3vI4EmkwTWUabR1OzR8mqoKsDQsBl4Xso/g==" saltValue="1fIN16+0uUziU/rRPPby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YjQ03sH40aFdknNcP/KreK7smzFKOFJWlxnqliwzQoOvxSEqAq6NFjP+naZApN7comaFHSB9LjxJvbnxP7Dew==" saltValue="qzjYH3tYtRumqxjvuvKj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DTB7pkmNX3ed325XxIjEReC/RLKqug6F9giX3gwCPvTNudnWMOQn/tGDAf/bXjfxGNop58v4zxk6hTOdBYy4Q==" saltValue="j+GI0qSpxCcrgaDA08/s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0wZkMeCtqe9a4GjHnUUaFP6y+1eVXRrQpgNXXMP5BkK0i/6PvoQSAb8PMJhvV+PsSmkiSdFAMwnUXjPUsha2A==" saltValue="afKA4rLXgYMwnRAxUpJg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0.10987914562123846</v>
      </c>
      <c r="G18" s="90">
        <f>MIN(MAX(1-0.89/(1-frac_sam_12_23months+(frac_sam_12_23months*0.89)),0),1)</f>
        <v>0.1098753558460791</v>
      </c>
      <c r="H18" s="90">
        <f>MIN(MAX(1-0.89/(1-frac_sam_24_59months+(frac_sam_24_59months*0.89)),0),1)</f>
        <v>0.10960676762324628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0.10869052376990174</v>
      </c>
      <c r="G20" s="90">
        <f>MIN(MAX(1-0.89/(1-frac_mam_12_23months+(frac_mam_12_23months*0.89)),0),1)</f>
        <v>0.10971030774674806</v>
      </c>
      <c r="H20" s="90">
        <f>MIN(MAX(1-0.89/(1-frac_mam_24_59months+(frac_mam_24_59months*0.89)),0),1)</f>
        <v>0.10908478150525991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9.9877802791720205E-3</v>
      </c>
      <c r="G73" s="90">
        <f>MIN(MAX(1-0.99/(1-frac_sam_12_23months+(frac_sam_12_23months*0.99)),0),1)</f>
        <v>9.9873971395655348E-3</v>
      </c>
      <c r="H73" s="90">
        <f>MIN(MAX(1-0.99/(1-frac_sam_24_59months+(frac_sam_24_59months*0.99)),0),1)</f>
        <v>9.9602508941131207E-3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9.8677579377500768E-3</v>
      </c>
      <c r="G75" s="90">
        <f>MIN(MAX(1-0.99/(1-frac_mam_12_23months+(frac_mam_12_23months*0.99)),0),1)</f>
        <v>9.9707139436892023E-3</v>
      </c>
      <c r="H75" s="90">
        <f>MIN(MAX(1-0.99/(1-frac_mam_24_59months+(frac_mam_24_59months*0.99)),0),1)</f>
        <v>9.9075362549033708E-3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0.19980246323607431</v>
      </c>
      <c r="G128" s="90">
        <f>MIN(MAX(1-0.8/(1-frac_sam_12_23months+(frac_sam_12_23months*0.8)),0),1)</f>
        <v>0.19979626812986584</v>
      </c>
      <c r="H128" s="90">
        <f>MIN(MAX(1-0.8/(1-frac_sam_24_59months+(frac_sam_24_59months*0.8)),0),1)</f>
        <v>0.19935709976396843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0.19785731646373794</v>
      </c>
      <c r="G130" s="90">
        <f>MIN(MAX(1-0.8/(1-frac_mam_12_23months+(frac_mam_12_23months*0.8)),0),1)</f>
        <v>0.19952642382286201</v>
      </c>
      <c r="H130" s="90">
        <f>MIN(MAX(1-0.8/(1-frac_mam_24_59months+(frac_mam_24_59months*0.8)),0),1)</f>
        <v>0.19850297989578969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jDAMLbTkJPZw7fb+Nw4CtShK4HVwohArNwfOS/Soa5A/g52QJ2hsBvTNiBojpOXSO9N2fIZUTTFWpDNrZhGYw==" saltValue="gF820X4+Qng2tE+hUv5Q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pkd8RAtfLcbd4XitVrnDNJ4CNtNeTx0wN0//fIace/xy4pQ3XID2Idqma6LWOJYQeH2Vbn3c/S8w1J760yGBA==" saltValue="tZyRULDQZKP+QS1VywhNg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2024-08-06T07:14:41Z</dcterms:modified>
</cp:coreProperties>
</file>