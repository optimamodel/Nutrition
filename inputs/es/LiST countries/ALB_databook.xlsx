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24B35E9-6C04-4DC5-89CB-EC632E5C417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36" i="2"/>
  <c r="A37" i="2"/>
  <c r="I4" i="2"/>
  <c r="I8" i="2"/>
  <c r="I12" i="2"/>
  <c r="A26" i="2"/>
  <c r="I39" i="2"/>
  <c r="A25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<sst xmlns="http://schemas.openxmlformats.org/spreadsheetml/2006/main" count="2169" uniqueCount="373">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</sst>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138029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0.86947998046874997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7.4200000000000002E-2</v>
      </c>
    </row>
    <row r="24" spans="1:3" ht="15" customHeight="1" x14ac:dyDescent="0.25">
      <c r="B24" s="15" t="s">
        <v>65</v>
      </c>
      <c r="C24" s="45">
        <v>0.63170000000000004</v>
      </c>
    </row>
    <row r="25" spans="1:3" ht="15" customHeight="1" x14ac:dyDescent="0.25">
      <c r="B25" s="15" t="s">
        <v>66</v>
      </c>
      <c r="C25" s="45">
        <v>0.28189999999999998</v>
      </c>
    </row>
    <row r="26" spans="1:3" ht="15" customHeight="1" x14ac:dyDescent="0.25">
      <c r="B26" s="15" t="s">
        <v>67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0.42929909094781799</v>
      </c>
    </row>
    <row r="30" spans="1:3" ht="14.25" customHeight="1" x14ac:dyDescent="0.25">
      <c r="B30" s="25" t="s">
        <v>82</v>
      </c>
      <c r="C30" s="97">
        <v>2.5436306024175601E-2</v>
      </c>
    </row>
    <row r="31" spans="1:3" ht="14.25" customHeight="1" x14ac:dyDescent="0.25">
      <c r="B31" s="25" t="s">
        <v>29</v>
      </c>
      <c r="C31" s="97">
        <v>4.7151485611007002E-2</v>
      </c>
    </row>
    <row r="32" spans="1:3" ht="14.25" customHeight="1" x14ac:dyDescent="0.25">
      <c r="B32" s="25" t="s">
        <v>30</v>
      </c>
      <c r="C32" s="97">
        <v>0.49811311741699899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7.1181000000000001</v>
      </c>
    </row>
    <row r="38" spans="1:5" ht="15" customHeight="1" x14ac:dyDescent="0.25">
      <c r="B38" s="11" t="s">
        <v>54</v>
      </c>
      <c r="C38" s="43">
        <v>8.4116499999999998</v>
      </c>
      <c r="D38" s="12"/>
      <c r="E38" s="13"/>
    </row>
    <row r="39" spans="1:5" ht="15" customHeight="1" x14ac:dyDescent="0.25">
      <c r="B39" s="11" t="s">
        <v>80</v>
      </c>
      <c r="C39" s="43">
        <v>9.4559200000000008</v>
      </c>
      <c r="D39" s="12"/>
      <c r="E39" s="12"/>
    </row>
    <row r="40" spans="1:5" ht="15" customHeight="1" x14ac:dyDescent="0.25">
      <c r="B40" s="11" t="s">
        <v>55</v>
      </c>
      <c r="C40" s="98">
        <v>0.08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5.9370999999999998E-3</v>
      </c>
      <c r="D45" s="12"/>
    </row>
    <row r="46" spans="1:5" ht="15.75" customHeight="1" x14ac:dyDescent="0.25">
      <c r="B46" s="11" t="s">
        <v>70</v>
      </c>
      <c r="C46" s="45">
        <v>6.3792799999999997E-2</v>
      </c>
      <c r="D46" s="12"/>
    </row>
    <row r="47" spans="1:5" ht="15.75" customHeight="1" x14ac:dyDescent="0.25">
      <c r="B47" s="11" t="s">
        <v>78</v>
      </c>
      <c r="C47" s="45">
        <v>7.5355400000000003E-2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0.68814900000000001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bgUepYchNSu2c9Y0/J+zjLajXGH+XOTkXFTqvkxVmE4koLGD6/K7FTaAre9OC1hhQOYHLMwZkeDH+tWGIbLOmQ==" saltValue="Pj8MAAz/AJmc+73efB2j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28283</v>
      </c>
      <c r="C2" s="49">
        <v>79426.5</v>
      </c>
      <c r="D2" s="49">
        <v>202411.5</v>
      </c>
      <c r="E2" s="49">
        <v>209708.50000000003</v>
      </c>
      <c r="F2" s="49">
        <v>163534</v>
      </c>
      <c r="G2" s="17">
        <f t="shared" ref="G2:G13" si="0">C2+D2+E2+F2</f>
        <v>655080.5</v>
      </c>
      <c r="H2" s="17">
        <f t="shared" ref="H2:H13" si="1">(B2 + stillbirth*B2/(1000-stillbirth))/(1-abortion)</f>
        <v>32280.015838484291</v>
      </c>
      <c r="I2" s="17">
        <f t="shared" ref="I2:I13" si="2">G2-H2</f>
        <v>622800.48416151572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27433</v>
      </c>
      <c r="C3" s="50">
        <v>77388</v>
      </c>
      <c r="D3" s="50">
        <v>191379.00000000003</v>
      </c>
      <c r="E3" s="50">
        <v>213156.5</v>
      </c>
      <c r="F3" s="50">
        <v>163228</v>
      </c>
      <c r="G3" s="17">
        <f t="shared" si="0"/>
        <v>645151.5</v>
      </c>
      <c r="H3" s="17">
        <f t="shared" si="1"/>
        <v>31309.891966804778</v>
      </c>
      <c r="I3" s="17">
        <f t="shared" si="2"/>
        <v>613841.60803319525</v>
      </c>
    </row>
    <row r="4" spans="1:9" ht="15.75" customHeight="1" x14ac:dyDescent="0.25">
      <c r="A4" s="5">
        <f t="shared" si="3"/>
        <v>2026</v>
      </c>
      <c r="B4" s="49">
        <v>26604</v>
      </c>
      <c r="C4" s="50">
        <v>76215</v>
      </c>
      <c r="D4" s="50">
        <v>180540.5</v>
      </c>
      <c r="E4" s="50">
        <v>215571.5</v>
      </c>
      <c r="F4" s="50">
        <v>163645.5</v>
      </c>
      <c r="G4" s="17">
        <f t="shared" si="0"/>
        <v>635972.5</v>
      </c>
      <c r="H4" s="17">
        <f t="shared" si="1"/>
        <v>30363.735861366757</v>
      </c>
      <c r="I4" s="17">
        <f t="shared" si="2"/>
        <v>605608.76413863327</v>
      </c>
    </row>
    <row r="5" spans="1:9" ht="15.75" customHeight="1" x14ac:dyDescent="0.25">
      <c r="A5" s="5">
        <f t="shared" si="3"/>
        <v>2027</v>
      </c>
      <c r="B5" s="49">
        <v>25865</v>
      </c>
      <c r="C5" s="50">
        <v>76150.5</v>
      </c>
      <c r="D5" s="50">
        <v>170621.5</v>
      </c>
      <c r="E5" s="50">
        <v>216501.5</v>
      </c>
      <c r="F5" s="50">
        <v>164834.99999999997</v>
      </c>
      <c r="G5" s="17">
        <f t="shared" si="0"/>
        <v>628108.5</v>
      </c>
      <c r="H5" s="17">
        <f t="shared" si="1"/>
        <v>29520.29875410657</v>
      </c>
      <c r="I5" s="17">
        <f t="shared" si="2"/>
        <v>598588.20124589338</v>
      </c>
    </row>
    <row r="6" spans="1:9" ht="15.75" customHeight="1" x14ac:dyDescent="0.25">
      <c r="A6" s="5">
        <f t="shared" si="3"/>
        <v>2028</v>
      </c>
      <c r="B6" s="49">
        <v>25115</v>
      </c>
      <c r="C6" s="50">
        <v>77005</v>
      </c>
      <c r="D6" s="50">
        <v>162067</v>
      </c>
      <c r="E6" s="50">
        <v>215418</v>
      </c>
      <c r="F6" s="50">
        <v>166963</v>
      </c>
      <c r="G6" s="17">
        <f t="shared" si="0"/>
        <v>621453</v>
      </c>
      <c r="H6" s="17">
        <f t="shared" si="1"/>
        <v>28664.307102624651</v>
      </c>
      <c r="I6" s="17">
        <f t="shared" si="2"/>
        <v>592788.69289737532</v>
      </c>
    </row>
    <row r="7" spans="1:9" ht="15.75" customHeight="1" x14ac:dyDescent="0.25">
      <c r="A7" s="5">
        <f t="shared" si="3"/>
        <v>2029</v>
      </c>
      <c r="B7" s="49">
        <v>24373</v>
      </c>
      <c r="C7" s="50">
        <v>78103.5</v>
      </c>
      <c r="D7" s="50">
        <v>154702</v>
      </c>
      <c r="E7" s="50">
        <v>212373.49999999997</v>
      </c>
      <c r="F7" s="50">
        <v>170234.50000000003</v>
      </c>
      <c r="G7" s="17">
        <f t="shared" si="0"/>
        <v>615413.5</v>
      </c>
      <c r="H7" s="17">
        <f t="shared" si="1"/>
        <v>27817.446028758535</v>
      </c>
      <c r="I7" s="17">
        <f t="shared" si="2"/>
        <v>587596.05397124146</v>
      </c>
    </row>
    <row r="8" spans="1:9" ht="15.75" customHeight="1" x14ac:dyDescent="0.25">
      <c r="A8" s="5">
        <f t="shared" si="3"/>
        <v>2030</v>
      </c>
      <c r="B8" s="49">
        <v>23617</v>
      </c>
      <c r="C8" s="50">
        <v>78686</v>
      </c>
      <c r="D8" s="50">
        <v>148087</v>
      </c>
      <c r="E8" s="50">
        <v>207817</v>
      </c>
      <c r="F8" s="50">
        <v>174638.5</v>
      </c>
      <c r="G8" s="17">
        <f t="shared" si="0"/>
        <v>609228.5</v>
      </c>
      <c r="H8" s="17">
        <f t="shared" si="1"/>
        <v>26954.606444064753</v>
      </c>
      <c r="I8" s="17">
        <f t="shared" si="2"/>
        <v>582273.89355593524</v>
      </c>
    </row>
    <row r="9" spans="1:9" ht="15.75" customHeight="1" x14ac:dyDescent="0.25">
      <c r="A9" s="5">
        <f t="shared" si="3"/>
        <v>2031</v>
      </c>
      <c r="B9" s="49">
        <v>22890</v>
      </c>
      <c r="C9" s="50">
        <v>78327</v>
      </c>
      <c r="D9" s="50">
        <v>142857</v>
      </c>
      <c r="E9" s="50">
        <v>201498</v>
      </c>
      <c r="F9" s="50">
        <v>179885</v>
      </c>
      <c r="G9" s="17">
        <f t="shared" si="0"/>
        <v>602567</v>
      </c>
      <c r="H9" s="17">
        <f t="shared" si="1"/>
        <v>26124.865203228277</v>
      </c>
      <c r="I9" s="17">
        <f t="shared" si="2"/>
        <v>576442.13479677169</v>
      </c>
    </row>
    <row r="10" spans="1:9" ht="15.75" customHeight="1" x14ac:dyDescent="0.25">
      <c r="A10" s="5">
        <f t="shared" si="3"/>
        <v>2032</v>
      </c>
      <c r="B10" s="49">
        <v>22177</v>
      </c>
      <c r="C10" s="50">
        <v>76832.5</v>
      </c>
      <c r="D10" s="50">
        <v>139927</v>
      </c>
      <c r="E10" s="50">
        <v>193230</v>
      </c>
      <c r="F10" s="50">
        <v>185469.5</v>
      </c>
      <c r="G10" s="17">
        <f t="shared" si="0"/>
        <v>595459</v>
      </c>
      <c r="H10" s="17">
        <f t="shared" si="1"/>
        <v>25311.102473219464</v>
      </c>
      <c r="I10" s="17">
        <f t="shared" si="2"/>
        <v>570147.89752678049</v>
      </c>
    </row>
    <row r="11" spans="1:9" ht="15.75" customHeight="1" x14ac:dyDescent="0.25">
      <c r="A11" s="5">
        <f t="shared" si="3"/>
        <v>2033</v>
      </c>
      <c r="B11" s="49">
        <v>21494</v>
      </c>
      <c r="C11" s="50">
        <v>74094</v>
      </c>
      <c r="D11" s="50">
        <v>138620.5</v>
      </c>
      <c r="E11" s="50">
        <v>183966.5</v>
      </c>
      <c r="F11" s="50">
        <v>190809.5</v>
      </c>
      <c r="G11" s="17">
        <f t="shared" si="0"/>
        <v>587490.5</v>
      </c>
      <c r="H11" s="17">
        <f t="shared" si="1"/>
        <v>24531.579409269925</v>
      </c>
      <c r="I11" s="17">
        <f t="shared" si="2"/>
        <v>562958.92059073003</v>
      </c>
    </row>
    <row r="12" spans="1:9" ht="15.75" customHeight="1" x14ac:dyDescent="0.25">
      <c r="A12" s="5">
        <f t="shared" si="3"/>
        <v>2034</v>
      </c>
      <c r="B12" s="49">
        <v>20791</v>
      </c>
      <c r="C12" s="50">
        <v>70698.5</v>
      </c>
      <c r="D12" s="50">
        <v>137922</v>
      </c>
      <c r="E12" s="50">
        <v>174522.49999999997</v>
      </c>
      <c r="F12" s="50">
        <v>195608</v>
      </c>
      <c r="G12" s="17">
        <f t="shared" si="0"/>
        <v>578751</v>
      </c>
      <c r="H12" s="17">
        <f t="shared" si="1"/>
        <v>23729.229901280873</v>
      </c>
      <c r="I12" s="17">
        <f t="shared" si="2"/>
        <v>555021.77009871916</v>
      </c>
    </row>
    <row r="13" spans="1:9" ht="15.75" customHeight="1" x14ac:dyDescent="0.25">
      <c r="A13" s="5">
        <f t="shared" si="3"/>
        <v>2035</v>
      </c>
      <c r="B13" s="49">
        <v>20152</v>
      </c>
      <c r="C13" s="50">
        <v>67500.5</v>
      </c>
      <c r="D13" s="50">
        <v>137394.5</v>
      </c>
      <c r="E13" s="50">
        <v>165005</v>
      </c>
      <c r="F13" s="50">
        <v>199742.00000000003</v>
      </c>
      <c r="G13" s="17">
        <f t="shared" si="0"/>
        <v>569642</v>
      </c>
      <c r="H13" s="17">
        <f t="shared" si="1"/>
        <v>22999.925014218272</v>
      </c>
      <c r="I13" s="17">
        <f t="shared" si="2"/>
        <v>546642.07498578168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3gwmYMXvBmfrB4d+4vssugEIymQQp6jG/RRUTYU2YO92kTikwf5f2oeNP81xP43Fu+rTDOLdKGUHQEwdX06jg==" saltValue="iqFPhlZxW2q2vaclCDps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3.6605399999999962E-2</v>
      </c>
    </row>
    <row r="5" spans="1:8" ht="15.75" customHeight="1" x14ac:dyDescent="0.25">
      <c r="B5" s="19" t="s">
        <v>114</v>
      </c>
      <c r="C5" s="99">
        <v>2.8491900000000028E-2</v>
      </c>
    </row>
    <row r="6" spans="1:8" ht="15.75" customHeight="1" x14ac:dyDescent="0.25">
      <c r="B6" s="19" t="s">
        <v>110</v>
      </c>
      <c r="C6" s="99">
        <v>0.1543518999999996</v>
      </c>
    </row>
    <row r="7" spans="1:8" ht="15.75" customHeight="1" x14ac:dyDescent="0.25">
      <c r="B7" s="19" t="s">
        <v>115</v>
      </c>
      <c r="C7" s="99">
        <v>0.42690190000000028</v>
      </c>
    </row>
    <row r="8" spans="1:8" ht="15.75" customHeight="1" x14ac:dyDescent="0.25">
      <c r="B8" s="19" t="s">
        <v>117</v>
      </c>
      <c r="C8" s="99">
        <v>9.5492000000000025E-3</v>
      </c>
    </row>
    <row r="9" spans="1:8" ht="15.75" customHeight="1" x14ac:dyDescent="0.25">
      <c r="B9" s="19" t="s">
        <v>111</v>
      </c>
      <c r="C9" s="99">
        <v>0.26801370000000008</v>
      </c>
    </row>
    <row r="10" spans="1:8" ht="15.75" customHeight="1" x14ac:dyDescent="0.25">
      <c r="B10" s="19" t="s">
        <v>113</v>
      </c>
      <c r="C10" s="99">
        <v>7.6086000000000042E-2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121</v>
      </c>
      <c r="C15" s="99">
        <v>0.31814315609059202</v>
      </c>
      <c r="D15" s="99">
        <v>0.31814315609059202</v>
      </c>
      <c r="E15" s="99">
        <v>0.31814315609059202</v>
      </c>
      <c r="F15" s="99">
        <v>0.31814315609059202</v>
      </c>
    </row>
    <row r="16" spans="1:8" ht="15.75" customHeight="1" x14ac:dyDescent="0.25">
      <c r="B16" s="19" t="s">
        <v>2</v>
      </c>
      <c r="C16" s="99">
        <v>4.9267420786241918E-2</v>
      </c>
      <c r="D16" s="99">
        <v>4.9267420786241918E-2</v>
      </c>
      <c r="E16" s="99">
        <v>4.9267420786241918E-2</v>
      </c>
      <c r="F16" s="99">
        <v>4.9267420786241918E-2</v>
      </c>
    </row>
    <row r="17" spans="1:8" ht="15.75" customHeight="1" x14ac:dyDescent="0.25">
      <c r="B17" s="19" t="s">
        <v>109</v>
      </c>
      <c r="C17" s="99">
        <v>2.9968784124779189E-2</v>
      </c>
      <c r="D17" s="99">
        <v>2.9968784124779189E-2</v>
      </c>
      <c r="E17" s="99">
        <v>2.9968784124779189E-2</v>
      </c>
      <c r="F17" s="99">
        <v>2.9968784124779189E-2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1.7114090843376471E-2</v>
      </c>
      <c r="D19" s="99">
        <v>1.7114090843376471E-2</v>
      </c>
      <c r="E19" s="99">
        <v>1.7114090843376471E-2</v>
      </c>
      <c r="F19" s="99">
        <v>1.7114090843376471E-2</v>
      </c>
    </row>
    <row r="20" spans="1:8" ht="15.75" customHeight="1" x14ac:dyDescent="0.25">
      <c r="B20" s="19" t="s">
        <v>98</v>
      </c>
      <c r="C20" s="99">
        <v>6.5589051959370301E-2</v>
      </c>
      <c r="D20" s="99">
        <v>6.5589051959370301E-2</v>
      </c>
      <c r="E20" s="99">
        <v>6.5589051959370301E-2</v>
      </c>
      <c r="F20" s="99">
        <v>6.5589051959370301E-2</v>
      </c>
    </row>
    <row r="21" spans="1:8" ht="15.75" customHeight="1" x14ac:dyDescent="0.25">
      <c r="B21" s="19" t="s">
        <v>107</v>
      </c>
      <c r="C21" s="99">
        <v>0.40841074687003298</v>
      </c>
      <c r="D21" s="99">
        <v>0.40841074687003298</v>
      </c>
      <c r="E21" s="99">
        <v>0.40841074687003298</v>
      </c>
      <c r="F21" s="99">
        <v>0.40841074687003298</v>
      </c>
    </row>
    <row r="22" spans="1:8" ht="15.75" customHeight="1" x14ac:dyDescent="0.25">
      <c r="B22" s="19" t="s">
        <v>118</v>
      </c>
      <c r="C22" s="99">
        <v>8.6568333170822992E-2</v>
      </c>
      <c r="D22" s="99">
        <v>8.6568333170822992E-2</v>
      </c>
      <c r="E22" s="99">
        <v>8.6568333170822992E-2</v>
      </c>
      <c r="F22" s="99">
        <v>8.6568333170822992E-2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5.4875438999999977E-2</v>
      </c>
    </row>
    <row r="27" spans="1:8" ht="15.75" customHeight="1" x14ac:dyDescent="0.25">
      <c r="B27" s="19" t="s">
        <v>108</v>
      </c>
      <c r="C27" s="99">
        <v>6.1112532999999997E-2</v>
      </c>
    </row>
    <row r="28" spans="1:8" ht="15.75" customHeight="1" x14ac:dyDescent="0.25">
      <c r="B28" s="19" t="s">
        <v>122</v>
      </c>
      <c r="C28" s="99">
        <v>0.12187780400000001</v>
      </c>
    </row>
    <row r="29" spans="1:8" ht="15.75" customHeight="1" x14ac:dyDescent="0.25">
      <c r="B29" s="19" t="s">
        <v>105</v>
      </c>
      <c r="C29" s="99">
        <v>0.13517542399999999</v>
      </c>
    </row>
    <row r="30" spans="1:8" ht="15.75" customHeight="1" x14ac:dyDescent="0.25">
      <c r="B30" s="19" t="s">
        <v>4</v>
      </c>
      <c r="C30" s="99">
        <v>8.1544961999999999E-2</v>
      </c>
    </row>
    <row r="31" spans="1:8" ht="15.75" customHeight="1" x14ac:dyDescent="0.25">
      <c r="B31" s="19" t="s">
        <v>99</v>
      </c>
      <c r="C31" s="99">
        <v>6.5156283999999995E-2</v>
      </c>
    </row>
    <row r="32" spans="1:8" ht="15.75" customHeight="1" x14ac:dyDescent="0.25">
      <c r="B32" s="19" t="s">
        <v>104</v>
      </c>
      <c r="C32" s="99">
        <v>0.13128318899999999</v>
      </c>
    </row>
    <row r="33" spans="2:3" ht="15.75" customHeight="1" x14ac:dyDescent="0.25">
      <c r="B33" s="19" t="s">
        <v>119</v>
      </c>
      <c r="C33" s="99">
        <v>0.12725431500000001</v>
      </c>
    </row>
    <row r="34" spans="2:3" ht="15.75" customHeight="1" x14ac:dyDescent="0.25">
      <c r="B34" s="19" t="s">
        <v>106</v>
      </c>
      <c r="C34" s="99">
        <v>0.221720049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qa4k+VI+1j+DynE2nz9OlEWmZ7Q73SL52ATRCA9Z/ubCjiMNsIZwY8S1W5lwHGJAR6XmfwkmO8OZcrBiKPOpLA==" saltValue="iin6fHytIF5rw4/CzDO26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129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125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126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138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zlg6jwQ092+DKFramACbyDDImz8e03PeyW4+z6tO2DHvUVFwYs0jNzeJJ+HOPOSCLZ5VTjMkmss/87vA7Z8Eg==" saltValue="XkO7AVBVHgA3ysi+uXGT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0.1049405000000001</v>
      </c>
      <c r="D5" s="52">
        <f t="shared" si="0"/>
        <v>0.12712849999999998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n0koFjI33KgZlSA4VKkfZsPjU3ljI41SmRqHmJQCFik3pDbCfQaEZgP9aEeA2uQ7vSXeemZKsPq2sFycooUVag==" saltValue="bcWRN9IgvBai7uHXhUEp/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Vmy4+E9vtzyfmrHxvk1UvjANBSXJFItgVqoBQrXybYabxZ9OOZK9UEkFNuXkS6zOdpXIsYNHDBsfclmPMUdbw==" saltValue="4TKP1KyirkivcLWGxEelE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6810.1140410423304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0.47469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0.63400000000000001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1.796689630772276E-2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99008.555240000002</v>
      </c>
      <c r="C22" s="107">
        <v>98914.735430000001</v>
      </c>
      <c r="D22" s="107">
        <v>98809.752470000007</v>
      </c>
      <c r="E22" s="107">
        <v>98574.025259999995</v>
      </c>
      <c r="F22" s="107">
        <v>98362.063649999996</v>
      </c>
      <c r="G22" s="107">
        <v>98146.559999999998</v>
      </c>
      <c r="H22" s="107">
        <v>97988.565669999996</v>
      </c>
      <c r="I22" s="107">
        <v>97680.695649999994</v>
      </c>
      <c r="J22" s="107">
        <v>97015.945309999996</v>
      </c>
      <c r="K22" s="107">
        <v>96128.59087</v>
      </c>
      <c r="L22" s="107">
        <v>94567.490779999993</v>
      </c>
      <c r="M22" s="107">
        <v>92482.857910000006</v>
      </c>
      <c r="N22" s="107">
        <v>88993.018779999999</v>
      </c>
      <c r="O22" s="107">
        <v>84742.573810000002</v>
      </c>
    </row>
  </sheetData>
  <sheetProtection algorithmName="SHA-512" hashValue="pHVF4fwypfY/QJQypar163OePKFFtzzGEo6fcNztSOakIEuCL2JXAPLmjZOoD4gpi1DmRyLY0+gX0REcmAWMhA==" saltValue="5leNJaDYx00/9pwdahBDr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0wMsBqJH3s5ywnE0m88mienl9rjcwd51b7tZJP/bEMpHGMmXe4+o/OWN/CaZ/FVzpnlAeRav+c35tEhJG7FYUg==" saltValue="F16v+QN9UlbkZNrtAC14k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T1+b8REk/RnOWZ9Lo8gNeo1Vu12WsZAsDn0+gJE/uzg7COPPm0slpoPZUbe4iDDLIc1/tMCu4hd0MlqivyiEA==" saltValue="BbEJ92gJLHcUsczyRepDA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0.18510399999999999</v>
      </c>
      <c r="C10" s="96">
        <v>0.95</v>
      </c>
      <c r="D10" s="56">
        <v>13.009708061868061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13.009708061868061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13.009708061868061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13.009708061868061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0.18510399999999999</v>
      </c>
      <c r="C14" s="96">
        <v>0.95</v>
      </c>
      <c r="D14" s="56">
        <v>13.009708061868061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13.009708061868061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0.34266350000000001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0.34266350000000001</v>
      </c>
      <c r="C19" s="96">
        <v>0.95</v>
      </c>
      <c r="D19" s="56">
        <v>9.5101355775698799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4.2777930485212776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0.84867761728916302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0.18510399999999999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0.34516190000000002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0.52498509999999998</v>
      </c>
      <c r="C29" s="96">
        <v>0.95</v>
      </c>
      <c r="D29" s="56">
        <v>113.3709035636476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0.13477720000000001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1.5291300000000001E-2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0.80814319999999995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4.9000000000000002E-2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mVDCfS5aBZZCKNLiwc7XFU/ScTmHP+CDBR4QY1FFRQIQ1klJmj8Bn7jtFx5OZkkZBcCiuwNBw1Y2+XQiI75nSw==" saltValue="h9ceLGr8eKTU3wCqm06m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2mrfEBKtiOdTyiCWg2rsIDIKKsVSqtB7TbmFw3jL4ii7bIYhAtoMn2+0/nJUyUuANxtX4pVEIXexrV+RUDyOQ==" saltValue="s2zkXjlfKhvbCdo6H+4g9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nBxZ//BTo/BhwBj7pq3g4tgpQDS/9QWHxV+4pmKZ1t5RPih+mI1SGweM/CBme6MDeX8NIHx8q1G3Q8HLrnCRQ==" saltValue="ow7BlexTyByojjDNRc5MJ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236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sheetProtection algorithmName="SHA-512" hashValue="mBe0Efq2CQ8QtOequUXuz/HL1aCrgSiL6xKxtxZZGE9h/2MWKpIyQOWijtm7JQX/6GTeSEVD/jGnOchePuV2Tw==" saltValue="D+OHhX+sAwJbO1bp1/H4D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Ss7kGWqzY6Tk+F1Y2lO3SeXhhsYY6A4bjcONQ0zhHJTk9J1YDF+T1Rclbpe/R7Nsia5mJ6qVmcmyQ4TI9GHJA==" saltValue="Jt0qFCzSGxcYEZx1anZN9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AW6Xmhwe+AUzw+SrOt/+roozmWKLlQQ/HO25NcCFRplQdJVOOvQr6J8+fyE4mjKiZiDdgmlgyJBS8+OdsnuFA==" saltValue="VSeEM+St2L5mlkDzOh55m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nN0pqn+aXg8UzAjLNrjaVcyJb3t+VFwiNcic0KEdV3z2ayBT2mYkkXO4rjWhtwCsJCkiKDDMAc080pcjUIiug==" saltValue="sSHWne+24CCaMSYRkOIW7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qI9DChSD47P+HrCI0c+4TS8u2m91F6uVpjrYpfBaH+YoWHoIdu+6vpZI7l3atAg8Mcj6L9NrT+0UqIe5oE1Rw==" saltValue="1JWo66J/PnhPzcriZPMM2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8ZpCYqrvZUVPpl33DWMAM5mPqoFDAdMhDYgO/jXYJn53Dkr5WfpNiUYevlI97Dt3lB/x2bmlpo0a4augIUeQHA==" saltValue="8/v6r9m0RZEJSRU7tOaS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6FHdTk8yICDDSvxZeKBPKMjpPA1PSFyyrnlMkNbuDW3sEkdzLDlzpzvygr8dwsR1pEjeSeJZuZ44zkc44f8TEQ==" saltValue="q1hH3Qd9JaQnrdC1cD2NH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f1jlOJPvJriMO8d4zQgDxAvbEadkw0wNVQwRaRnT81A/qksxcPJKDojP8YVGJlSbAUPOhjWMkv3rjj8XzaS+g==" saltValue="qfndGeh/nbVQuLvCWD4iW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48B53TZyvgE6MFN1IK448zvvlug9AL/hAdvhx8A141qsTOhX4cePP53/rZHkDXIrv+nRDbtobYrynHLrbKACeA==" saltValue="ncVHlz39/qKQzujY4nH6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k+km49qsX/VpirFE2AFHbepsYBWMrpul5lwttQbrXW4M3yFsGwaQbyqZ+OnbJwF0s0tho0cdJj7mhN2uZ8rZQ==" saltValue="lMfyhNLWtMzNeelqYoV2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V6d1nzJVqk6XqbEKjNrOCIK8t0ZPxe4+l/DIgFcrtgbqfAX/CsCQBu711kShXEn4oX87SS+fPD8ivnENT4Zbg==" saltValue="Ji7Se4VYBtxW/MJo2Sdp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BbNEqRiedx1651Xhz5Zo92rGq2WuH3uYGnGW+nBbuOyryK/xxN0Ml5LmO8PR/qoZHn3p982twZ+tpqdh0HdmQ==" saltValue="HjIKZnNDgiY9j+p2WA1b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W4HqbCt5L/VRUtICXo1f4m6DBRdZH4qngCnOgeELjGcjY+qPk1pg80hiUP/3W+r/ouOAkSEB9qG/8Su+uZIYw==" saltValue="YhZdBT3+Hw0i9ztL6ak3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YIbGB2XgDW7xpV3TqCuHq2zGOwV/loLR0IS2Spmmnxh494wKNEs46dgg54+MbS6WzWENCOL8S51joet50grnA==" saltValue="EQ/ZWvtOQ/FOM1Wmvw7o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I0UURGI+i/ElI2/xq+8i9AjJEsNIZlKASbczv9vtNUVTHngn2AE35I8AH6FSsEimYTOCGA5qkR1LBFKgyiBOQ==" saltValue="upkpoHLdbVaWq1dpzWE1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hl3FLxh7ftxgqtCLu07qEOlPujUYjEZZWIGl11reg07zv1PCWlzxc5FfIa/fWJeQYGxxpURLraF7hCsX1YOwQ==" saltValue="pJsXn5zRmcLE6IHL7/OVv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2025-07-29T23:24:56Z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