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CA70E27B-DD10-4304-B75E-E604EDC131B7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<sst xmlns="http://schemas.openxmlformats.org/spreadsheetml/2006/main" count="2102" uniqueCount="341">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</sst>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304521.15234375</v>
      </c>
    </row>
    <row r="8" spans="1:3" ht="15" customHeight="1" x14ac:dyDescent="0.25">
      <c r="B8" s="5" t="s">
        <v>44</v>
      </c>
      <c r="C8" s="44">
        <v>0.67099999999999993</v>
      </c>
    </row>
    <row r="9" spans="1:3" ht="15" customHeight="1" x14ac:dyDescent="0.25">
      <c r="B9" s="5" t="s">
        <v>43</v>
      </c>
      <c r="C9" s="45">
        <v>1</v>
      </c>
    </row>
    <row r="10" spans="1:3" ht="15" customHeight="1" x14ac:dyDescent="0.25">
      <c r="B10" s="5" t="s">
        <v>56</v>
      </c>
      <c r="C10" s="45">
        <v>0.32603321079999997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0.624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9.4700000000000006E-2</v>
      </c>
    </row>
    <row r="24" spans="1:3" ht="15" customHeight="1" x14ac:dyDescent="0.25">
      <c r="B24" s="15" t="s">
        <v>46</v>
      </c>
      <c r="C24" s="45">
        <v>0.47560000000000002</v>
      </c>
    </row>
    <row r="25" spans="1:3" ht="15" customHeight="1" x14ac:dyDescent="0.25">
      <c r="B25" s="15" t="s">
        <v>47</v>
      </c>
      <c r="C25" s="45">
        <v>0.35120000000000001</v>
      </c>
    </row>
    <row r="26" spans="1:3" ht="15" customHeight="1" x14ac:dyDescent="0.25">
      <c r="B26" s="15" t="s">
        <v>48</v>
      </c>
      <c r="C26" s="45">
        <v>7.85E-2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0.20134766316932501</v>
      </c>
    </row>
    <row r="30" spans="1:3" ht="14.25" customHeight="1" x14ac:dyDescent="0.25">
      <c r="B30" s="25" t="s">
        <v>63</v>
      </c>
      <c r="C30" s="99">
        <v>3.7040067899888597E-2</v>
      </c>
    </row>
    <row r="31" spans="1:3" ht="14.25" customHeight="1" x14ac:dyDescent="0.25">
      <c r="B31" s="25" t="s">
        <v>10</v>
      </c>
      <c r="C31" s="99">
        <v>9.42970158051466E-2</v>
      </c>
    </row>
    <row r="32" spans="1:3" ht="14.25" customHeight="1" x14ac:dyDescent="0.25">
      <c r="B32" s="25" t="s">
        <v>11</v>
      </c>
      <c r="C32" s="99">
        <v>0.66731525312564</v>
      </c>
    </row>
    <row r="33" spans="1:5" ht="13" customHeight="1" x14ac:dyDescent="0.25">
      <c r="B33" s="27" t="s">
        <v>60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34.303510000000003</v>
      </c>
    </row>
    <row r="38" spans="1:5" ht="15" customHeight="1" x14ac:dyDescent="0.25">
      <c r="B38" s="11" t="s">
        <v>35</v>
      </c>
      <c r="C38" s="43">
        <v>49.96163</v>
      </c>
      <c r="D38" s="12"/>
      <c r="E38" s="13"/>
    </row>
    <row r="39" spans="1:5" ht="15" customHeight="1" x14ac:dyDescent="0.25">
      <c r="B39" s="11" t="s">
        <v>61</v>
      </c>
      <c r="C39" s="43">
        <v>74.305310000000006</v>
      </c>
      <c r="D39" s="12"/>
      <c r="E39" s="12"/>
    </row>
    <row r="40" spans="1:5" ht="15" customHeight="1" x14ac:dyDescent="0.25">
      <c r="B40" s="11" t="s">
        <v>36</v>
      </c>
      <c r="C40" s="100">
        <v>7.25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31.207560000000001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7.9141000000000003E-3</v>
      </c>
      <c r="D45" s="12"/>
    </row>
    <row r="46" spans="1:5" ht="15.75" customHeight="1" x14ac:dyDescent="0.25">
      <c r="B46" s="11" t="s">
        <v>51</v>
      </c>
      <c r="C46" s="45">
        <v>8.5036E-2</v>
      </c>
      <c r="D46" s="12"/>
    </row>
    <row r="47" spans="1:5" ht="15.75" customHeight="1" x14ac:dyDescent="0.25">
      <c r="B47" s="11" t="s">
        <v>59</v>
      </c>
      <c r="C47" s="45">
        <v>7.3474499999999998E-2</v>
      </c>
      <c r="D47" s="12"/>
      <c r="E47" s="13"/>
    </row>
    <row r="48" spans="1:5" ht="15" customHeight="1" x14ac:dyDescent="0.25">
      <c r="B48" s="11" t="s">
        <v>58</v>
      </c>
      <c r="C48" s="46">
        <v>0.83357539999999997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3.3</v>
      </c>
      <c r="D51" s="12"/>
    </row>
    <row r="52" spans="1:4" ht="15" customHeight="1" x14ac:dyDescent="0.25">
      <c r="B52" s="11" t="s">
        <v>13</v>
      </c>
      <c r="C52" s="100">
        <v>3.3</v>
      </c>
    </row>
    <row r="53" spans="1:4" ht="15.75" customHeight="1" x14ac:dyDescent="0.25">
      <c r="B53" s="11" t="s">
        <v>16</v>
      </c>
      <c r="C53" s="100">
        <v>3.3</v>
      </c>
    </row>
    <row r="54" spans="1:4" ht="15.75" customHeight="1" x14ac:dyDescent="0.25">
      <c r="B54" s="11" t="s">
        <v>14</v>
      </c>
      <c r="C54" s="100">
        <v>3.3</v>
      </c>
    </row>
    <row r="55" spans="1:4" ht="15.75" customHeight="1" x14ac:dyDescent="0.25">
      <c r="B55" s="11" t="s">
        <v>15</v>
      </c>
      <c r="C55" s="100">
        <v>3.3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2.181818181818182E-2</v>
      </c>
    </row>
    <row r="59" spans="1:4" ht="15.75" customHeight="1" x14ac:dyDescent="0.25">
      <c r="B59" s="11" t="s">
        <v>40</v>
      </c>
      <c r="C59" s="45">
        <v>0.44195400000000001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0.21075215999999999</v>
      </c>
    </row>
    <row r="63" spans="1:4" ht="15.75" customHeight="1" x14ac:dyDescent="0.3">
      <c r="A63" s="4"/>
    </row>
  </sheetData>
  <sheetProtection algorithmName="SHA-512" hashValue="xK4Mut//P4GmYJ9E1eKtPU5M8Lb8wXyfFEzxp+fHaDSQaPAjRH94A0bXdHvwUrcdb6xWKlHdf910h2odAZ4yBQ==" saltValue="FM47gSo53nmUIlTHYp8dB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65299.000000000007</v>
      </c>
      <c r="C2" s="49">
        <v>146800</v>
      </c>
      <c r="D2" s="49">
        <v>193207</v>
      </c>
      <c r="E2" s="49">
        <v>143607.5</v>
      </c>
      <c r="F2" s="49">
        <v>93350.5</v>
      </c>
      <c r="G2" s="17">
        <f t="shared" ref="G2:G13" si="0">C2+D2+E2+F2</f>
        <v>576965</v>
      </c>
      <c r="H2" s="17">
        <f t="shared" ref="H2:H13" si="1">(B2 + stillbirth*B2/(1000-stillbirth))/(1-abortion)</f>
        <v>76593.711952282683</v>
      </c>
      <c r="I2" s="17">
        <f t="shared" ref="I2:I13" si="2">G2-H2</f>
        <v>500371.2880477173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65981</v>
      </c>
      <c r="C3" s="50">
        <v>149891.5</v>
      </c>
      <c r="D3" s="50">
        <v>198809</v>
      </c>
      <c r="E3" s="50">
        <v>146623.5</v>
      </c>
      <c r="F3" s="50">
        <v>96554</v>
      </c>
      <c r="G3" s="17">
        <f t="shared" si="0"/>
        <v>591878</v>
      </c>
      <c r="H3" s="17">
        <f t="shared" si="1"/>
        <v>77393.676906592169</v>
      </c>
      <c r="I3" s="17">
        <f t="shared" si="2"/>
        <v>514484.32309340785</v>
      </c>
    </row>
    <row r="4" spans="1:9" ht="15.75" customHeight="1" x14ac:dyDescent="0.25">
      <c r="A4" s="5">
        <f t="shared" si="3"/>
        <v>2026</v>
      </c>
      <c r="B4" s="49">
        <v>66446</v>
      </c>
      <c r="C4" s="50">
        <v>153045.5</v>
      </c>
      <c r="D4" s="50">
        <v>204581</v>
      </c>
      <c r="E4" s="50">
        <v>149845</v>
      </c>
      <c r="F4" s="50">
        <v>99638</v>
      </c>
      <c r="G4" s="17">
        <f t="shared" si="0"/>
        <v>607109.5</v>
      </c>
      <c r="H4" s="17">
        <f t="shared" si="1"/>
        <v>77939.107557257754</v>
      </c>
      <c r="I4" s="17">
        <f t="shared" si="2"/>
        <v>529170.39244274225</v>
      </c>
    </row>
    <row r="5" spans="1:9" ht="15.75" customHeight="1" x14ac:dyDescent="0.25">
      <c r="A5" s="5">
        <f t="shared" si="3"/>
        <v>2027</v>
      </c>
      <c r="B5" s="49">
        <v>67017</v>
      </c>
      <c r="C5" s="50">
        <v>156053.5</v>
      </c>
      <c r="D5" s="50">
        <v>210539.5</v>
      </c>
      <c r="E5" s="50">
        <v>153353</v>
      </c>
      <c r="F5" s="50">
        <v>102656</v>
      </c>
      <c r="G5" s="17">
        <f t="shared" si="0"/>
        <v>622602</v>
      </c>
      <c r="H5" s="17">
        <f t="shared" si="1"/>
        <v>78608.872936892265</v>
      </c>
      <c r="I5" s="17">
        <f t="shared" si="2"/>
        <v>543993.12706310768</v>
      </c>
    </row>
    <row r="6" spans="1:9" ht="15.75" customHeight="1" x14ac:dyDescent="0.25">
      <c r="A6" s="5">
        <f t="shared" si="3"/>
        <v>2028</v>
      </c>
      <c r="B6" s="49">
        <v>67699</v>
      </c>
      <c r="C6" s="50">
        <v>158831.5</v>
      </c>
      <c r="D6" s="50">
        <v>216509</v>
      </c>
      <c r="E6" s="50">
        <v>157153</v>
      </c>
      <c r="F6" s="50">
        <v>105768</v>
      </c>
      <c r="G6" s="17">
        <f t="shared" si="0"/>
        <v>638261.5</v>
      </c>
      <c r="H6" s="17">
        <f t="shared" si="1"/>
        <v>79408.837891201765</v>
      </c>
      <c r="I6" s="17">
        <f t="shared" si="2"/>
        <v>558852.66210879828</v>
      </c>
    </row>
    <row r="7" spans="1:9" ht="15.75" customHeight="1" x14ac:dyDescent="0.25">
      <c r="A7" s="5">
        <f t="shared" si="3"/>
        <v>2029</v>
      </c>
      <c r="B7" s="49">
        <v>68210</v>
      </c>
      <c r="C7" s="50">
        <v>161417</v>
      </c>
      <c r="D7" s="50">
        <v>222276.5</v>
      </c>
      <c r="E7" s="50">
        <v>161210.5</v>
      </c>
      <c r="F7" s="50">
        <v>108824.5</v>
      </c>
      <c r="G7" s="17">
        <f t="shared" si="0"/>
        <v>653728.5</v>
      </c>
      <c r="H7" s="17">
        <f t="shared" si="1"/>
        <v>80008.225122363292</v>
      </c>
      <c r="I7" s="17">
        <f t="shared" si="2"/>
        <v>573720.27487763669</v>
      </c>
    </row>
    <row r="8" spans="1:9" ht="15.75" customHeight="1" x14ac:dyDescent="0.25">
      <c r="A8" s="5">
        <f t="shared" si="3"/>
        <v>2030</v>
      </c>
      <c r="B8" s="49">
        <v>68811</v>
      </c>
      <c r="C8" s="50">
        <v>163706.5</v>
      </c>
      <c r="D8" s="50">
        <v>227856.5</v>
      </c>
      <c r="E8" s="50">
        <v>165687</v>
      </c>
      <c r="F8" s="50">
        <v>111570</v>
      </c>
      <c r="G8" s="17">
        <f t="shared" si="0"/>
        <v>668820</v>
      </c>
      <c r="H8" s="17">
        <f t="shared" si="1"/>
        <v>80713.179576234295</v>
      </c>
      <c r="I8" s="17">
        <f t="shared" si="2"/>
        <v>588106.82042376569</v>
      </c>
    </row>
    <row r="9" spans="1:9" ht="15.75" customHeight="1" x14ac:dyDescent="0.25">
      <c r="A9" s="5">
        <f t="shared" si="3"/>
        <v>2031</v>
      </c>
      <c r="B9" s="49">
        <v>69216</v>
      </c>
      <c r="C9" s="50">
        <v>165285.5</v>
      </c>
      <c r="D9" s="50">
        <v>233490.5</v>
      </c>
      <c r="E9" s="50">
        <v>170560</v>
      </c>
      <c r="F9" s="50">
        <v>113942.5</v>
      </c>
      <c r="G9" s="17">
        <f t="shared" si="0"/>
        <v>683278.5</v>
      </c>
      <c r="H9" s="17">
        <f t="shared" si="1"/>
        <v>81188.232078426881</v>
      </c>
      <c r="I9" s="17">
        <f t="shared" si="2"/>
        <v>602090.26792157313</v>
      </c>
    </row>
    <row r="10" spans="1:9" ht="15.75" customHeight="1" x14ac:dyDescent="0.25">
      <c r="A10" s="5">
        <f t="shared" si="3"/>
        <v>2032</v>
      </c>
      <c r="B10" s="49">
        <v>69693</v>
      </c>
      <c r="C10" s="50">
        <v>166159</v>
      </c>
      <c r="D10" s="50">
        <v>239177</v>
      </c>
      <c r="E10" s="50">
        <v>175670.5</v>
      </c>
      <c r="F10" s="50">
        <v>116046</v>
      </c>
      <c r="G10" s="17">
        <f t="shared" si="0"/>
        <v>697052.5</v>
      </c>
      <c r="H10" s="17">
        <f t="shared" si="1"/>
        <v>81747.738358787057</v>
      </c>
      <c r="I10" s="17">
        <f t="shared" si="2"/>
        <v>615304.76164121297</v>
      </c>
    </row>
    <row r="11" spans="1:9" ht="15.75" customHeight="1" x14ac:dyDescent="0.25">
      <c r="A11" s="5">
        <f t="shared" si="3"/>
        <v>2033</v>
      </c>
      <c r="B11" s="49">
        <v>70210</v>
      </c>
      <c r="C11" s="50">
        <v>166706.5</v>
      </c>
      <c r="D11" s="50">
        <v>244717</v>
      </c>
      <c r="E11" s="50">
        <v>180991.5</v>
      </c>
      <c r="F11" s="50">
        <v>118187</v>
      </c>
      <c r="G11" s="17">
        <f t="shared" si="0"/>
        <v>710602</v>
      </c>
      <c r="H11" s="17">
        <f t="shared" si="1"/>
        <v>82354.163404795894</v>
      </c>
      <c r="I11" s="17">
        <f t="shared" si="2"/>
        <v>628247.83659520408</v>
      </c>
    </row>
    <row r="12" spans="1:9" ht="15.75" customHeight="1" x14ac:dyDescent="0.25">
      <c r="A12" s="5">
        <f t="shared" si="3"/>
        <v>2034</v>
      </c>
      <c r="B12" s="49">
        <v>70747</v>
      </c>
      <c r="C12" s="50">
        <v>167211.5</v>
      </c>
      <c r="D12" s="50">
        <v>249967.50000000009</v>
      </c>
      <c r="E12" s="50">
        <v>186416</v>
      </c>
      <c r="F12" s="50">
        <v>120493.5</v>
      </c>
      <c r="G12" s="17">
        <f t="shared" si="0"/>
        <v>724088.50000000012</v>
      </c>
      <c r="H12" s="17">
        <f t="shared" si="1"/>
        <v>82984.04783362904</v>
      </c>
      <c r="I12" s="17">
        <f t="shared" si="2"/>
        <v>641104.45216637105</v>
      </c>
    </row>
    <row r="13" spans="1:9" ht="15.75" customHeight="1" x14ac:dyDescent="0.25">
      <c r="A13" s="5">
        <f t="shared" si="3"/>
        <v>2035</v>
      </c>
      <c r="B13" s="49">
        <v>71004</v>
      </c>
      <c r="C13" s="50">
        <v>167860.5</v>
      </c>
      <c r="D13" s="50">
        <v>254719</v>
      </c>
      <c r="E13" s="50">
        <v>191956.5</v>
      </c>
      <c r="F13" s="50">
        <v>122999</v>
      </c>
      <c r="G13" s="17">
        <f t="shared" si="0"/>
        <v>737535</v>
      </c>
      <c r="H13" s="17">
        <f t="shared" si="1"/>
        <v>83285.500902921631</v>
      </c>
      <c r="I13" s="17">
        <f t="shared" si="2"/>
        <v>654249.49909707834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l+LoKs65zlkfIDLsYki3pgoAbE0heWKUkbb5KhCD8MRDXK29C9JDJj7iEGj2mXB9ECeDWAi9lsiYhft0BT6Dug==" saltValue="IVV/0Rvt54tYhzs5kW+a5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2.2703597729640201E-2</v>
      </c>
    </row>
    <row r="4" spans="1:8" ht="15.75" customHeight="1" x14ac:dyDescent="0.25">
      <c r="B4" s="19" t="s">
        <v>97</v>
      </c>
      <c r="C4" s="101">
        <v>6.8627193137280607E-2</v>
      </c>
    </row>
    <row r="5" spans="1:8" ht="15.75" customHeight="1" x14ac:dyDescent="0.25">
      <c r="B5" s="19" t="s">
        <v>95</v>
      </c>
      <c r="C5" s="101">
        <v>0.107747889225211</v>
      </c>
    </row>
    <row r="6" spans="1:8" ht="15.75" customHeight="1" x14ac:dyDescent="0.25">
      <c r="B6" s="19" t="s">
        <v>91</v>
      </c>
      <c r="C6" s="101">
        <v>0.25067987493201233</v>
      </c>
    </row>
    <row r="7" spans="1:8" ht="15.75" customHeight="1" x14ac:dyDescent="0.25">
      <c r="B7" s="19" t="s">
        <v>96</v>
      </c>
      <c r="C7" s="101">
        <v>0.38467066153293428</v>
      </c>
    </row>
    <row r="8" spans="1:8" ht="15.75" customHeight="1" x14ac:dyDescent="0.25">
      <c r="B8" s="19" t="s">
        <v>98</v>
      </c>
      <c r="C8" s="101">
        <v>3.6380996361900331E-3</v>
      </c>
    </row>
    <row r="9" spans="1:8" ht="15.75" customHeight="1" x14ac:dyDescent="0.25">
      <c r="B9" s="19" t="s">
        <v>92</v>
      </c>
      <c r="C9" s="101">
        <v>4.9439595056040453E-2</v>
      </c>
    </row>
    <row r="10" spans="1:8" ht="15.75" customHeight="1" x14ac:dyDescent="0.25">
      <c r="B10" s="19" t="s">
        <v>94</v>
      </c>
      <c r="C10" s="101">
        <v>0.1124930887506911</v>
      </c>
    </row>
    <row r="11" spans="1:8" ht="15.75" customHeight="1" x14ac:dyDescent="0.25">
      <c r="B11" s="27" t="s">
        <v>60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0.168372174260598</v>
      </c>
      <c r="D14" s="55">
        <v>0.168372174260598</v>
      </c>
      <c r="E14" s="55">
        <v>0.168372174260598</v>
      </c>
      <c r="F14" s="55">
        <v>0.168372174260598</v>
      </c>
    </row>
    <row r="15" spans="1:8" ht="15.75" customHeight="1" x14ac:dyDescent="0.25">
      <c r="B15" s="19" t="s">
        <v>102</v>
      </c>
      <c r="C15" s="101">
        <v>0.1776060016341538</v>
      </c>
      <c r="D15" s="101">
        <v>0.1776060016341538</v>
      </c>
      <c r="E15" s="101">
        <v>0.1776060016341538</v>
      </c>
      <c r="F15" s="101">
        <v>0.1776060016341538</v>
      </c>
    </row>
    <row r="16" spans="1:8" ht="15.75" customHeight="1" x14ac:dyDescent="0.25">
      <c r="B16" s="19" t="s">
        <v>2</v>
      </c>
      <c r="C16" s="101">
        <v>2.4094016967912031E-2</v>
      </c>
      <c r="D16" s="101">
        <v>2.4094016967912031E-2</v>
      </c>
      <c r="E16" s="101">
        <v>2.4094016967912031E-2</v>
      </c>
      <c r="F16" s="101">
        <v>2.4094016967912031E-2</v>
      </c>
    </row>
    <row r="17" spans="1:8" ht="15.75" customHeight="1" x14ac:dyDescent="0.25">
      <c r="B17" s="19" t="s">
        <v>90</v>
      </c>
      <c r="C17" s="101">
        <v>4.9735591408575953E-2</v>
      </c>
      <c r="D17" s="101">
        <v>4.9735591408575953E-2</v>
      </c>
      <c r="E17" s="101">
        <v>4.9735591408575953E-2</v>
      </c>
      <c r="F17" s="101">
        <v>4.9735591408575953E-2</v>
      </c>
    </row>
    <row r="18" spans="1:8" ht="15.75" customHeight="1" x14ac:dyDescent="0.25">
      <c r="B18" s="19" t="s">
        <v>3</v>
      </c>
      <c r="C18" s="101">
        <v>0.1483260063722035</v>
      </c>
      <c r="D18" s="101">
        <v>0.1483260063722035</v>
      </c>
      <c r="E18" s="101">
        <v>0.1483260063722035</v>
      </c>
      <c r="F18" s="101">
        <v>0.1483260063722035</v>
      </c>
    </row>
    <row r="19" spans="1:8" ht="15.75" customHeight="1" x14ac:dyDescent="0.25">
      <c r="B19" s="19" t="s">
        <v>101</v>
      </c>
      <c r="C19" s="101">
        <v>2.6308364059891669E-2</v>
      </c>
      <c r="D19" s="101">
        <v>2.6308364059891669E-2</v>
      </c>
      <c r="E19" s="101">
        <v>2.6308364059891669E-2</v>
      </c>
      <c r="F19" s="101">
        <v>2.6308364059891669E-2</v>
      </c>
    </row>
    <row r="20" spans="1:8" ht="15.75" customHeight="1" x14ac:dyDescent="0.25">
      <c r="B20" s="19" t="s">
        <v>79</v>
      </c>
      <c r="C20" s="101">
        <v>0.1045476359491857</v>
      </c>
      <c r="D20" s="101">
        <v>0.1045476359491857</v>
      </c>
      <c r="E20" s="101">
        <v>0.1045476359491857</v>
      </c>
      <c r="F20" s="101">
        <v>0.1045476359491857</v>
      </c>
    </row>
    <row r="21" spans="1:8" ht="15.75" customHeight="1" x14ac:dyDescent="0.25">
      <c r="B21" s="19" t="s">
        <v>88</v>
      </c>
      <c r="C21" s="101">
        <v>8.989209806027508E-2</v>
      </c>
      <c r="D21" s="101">
        <v>8.989209806027508E-2</v>
      </c>
      <c r="E21" s="101">
        <v>8.989209806027508E-2</v>
      </c>
      <c r="F21" s="101">
        <v>8.989209806027508E-2</v>
      </c>
    </row>
    <row r="22" spans="1:8" ht="15.75" customHeight="1" x14ac:dyDescent="0.25">
      <c r="B22" s="19" t="s">
        <v>99</v>
      </c>
      <c r="C22" s="101">
        <v>0.2111181112872042</v>
      </c>
      <c r="D22" s="101">
        <v>0.2111181112872042</v>
      </c>
      <c r="E22" s="101">
        <v>0.2111181112872042</v>
      </c>
      <c r="F22" s="101">
        <v>0.2111181112872042</v>
      </c>
    </row>
    <row r="23" spans="1:8" ht="15.75" customHeight="1" x14ac:dyDescent="0.25">
      <c r="B23" s="27" t="s">
        <v>60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8.7170950000000011E-2</v>
      </c>
    </row>
    <row r="27" spans="1:8" ht="15.75" customHeight="1" x14ac:dyDescent="0.25">
      <c r="B27" s="19" t="s">
        <v>89</v>
      </c>
      <c r="C27" s="101">
        <v>8.9932480000000006E-3</v>
      </c>
    </row>
    <row r="28" spans="1:8" ht="15.75" customHeight="1" x14ac:dyDescent="0.25">
      <c r="B28" s="19" t="s">
        <v>103</v>
      </c>
      <c r="C28" s="101">
        <v>0.15608702499999999</v>
      </c>
    </row>
    <row r="29" spans="1:8" ht="15.75" customHeight="1" x14ac:dyDescent="0.25">
      <c r="B29" s="19" t="s">
        <v>86</v>
      </c>
      <c r="C29" s="101">
        <v>0.16826559799999999</v>
      </c>
    </row>
    <row r="30" spans="1:8" ht="15.75" customHeight="1" x14ac:dyDescent="0.25">
      <c r="B30" s="19" t="s">
        <v>4</v>
      </c>
      <c r="C30" s="101">
        <v>0.106258319</v>
      </c>
    </row>
    <row r="31" spans="1:8" ht="15.75" customHeight="1" x14ac:dyDescent="0.25">
      <c r="B31" s="19" t="s">
        <v>80</v>
      </c>
      <c r="C31" s="101">
        <v>0.11025383499999999</v>
      </c>
    </row>
    <row r="32" spans="1:8" ht="15.75" customHeight="1" x14ac:dyDescent="0.25">
      <c r="B32" s="19" t="s">
        <v>85</v>
      </c>
      <c r="C32" s="101">
        <v>1.8920856E-2</v>
      </c>
    </row>
    <row r="33" spans="2:3" ht="15.75" customHeight="1" x14ac:dyDescent="0.25">
      <c r="B33" s="19" t="s">
        <v>100</v>
      </c>
      <c r="C33" s="101">
        <v>8.4360093999999997E-2</v>
      </c>
    </row>
    <row r="34" spans="2:3" ht="15.75" customHeight="1" x14ac:dyDescent="0.25">
      <c r="B34" s="19" t="s">
        <v>87</v>
      </c>
      <c r="C34" s="101">
        <v>0.25969007599999999</v>
      </c>
    </row>
    <row r="35" spans="2:3" ht="15.75" customHeight="1" x14ac:dyDescent="0.25">
      <c r="B35" s="27" t="s">
        <v>60</v>
      </c>
      <c r="C35" s="48">
        <f>SUM(C26:C34)</f>
        <v>1.0000000010000001</v>
      </c>
    </row>
  </sheetData>
  <sheetProtection algorithmName="SHA-512" hashValue="ZAjD1IMZleqjKUMGWlhAOXh0e+uMO/Gw7UiN6FcJ2WFgecrpspHhP9/Gk0QjiuWOxyz6YKiQ75d5+wXO2GDmUQ==" saltValue="oT7B15HSVWSQ5Vib0R2hY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0.41806741415087145</v>
      </c>
      <c r="D2" s="52">
        <f>IFERROR(1-_xlfn.NORM.DIST(_xlfn.NORM.INV(SUM(D4:D5), 0, 1) + 1, 0, 1, TRUE), "")</f>
        <v>0.41806741415087145</v>
      </c>
      <c r="E2" s="52">
        <f>IFERROR(1-_xlfn.NORM.DIST(_xlfn.NORM.INV(SUM(E4:E5), 0, 1) + 1, 0, 1, TRUE), "")</f>
        <v>0.42211361339396858</v>
      </c>
      <c r="F2" s="52">
        <f>IFERROR(1-_xlfn.NORM.DIST(_xlfn.NORM.INV(SUM(F4:F5), 0, 1) + 1, 0, 1, TRUE), "")</f>
        <v>0.32241815125424611</v>
      </c>
      <c r="G2" s="52">
        <f>IFERROR(1-_xlfn.NORM.DIST(_xlfn.NORM.INV(SUM(G4:G5), 0, 1) + 1, 0, 1, TRUE), "")</f>
        <v>0.32599805635413626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0.36809028584912856</v>
      </c>
      <c r="D3" s="52">
        <f>IFERROR(_xlfn.NORM.DIST(_xlfn.NORM.INV(SUM(D4:D5), 0, 1) + 1, 0, 1, TRUE) - SUM(D4:D5), "")</f>
        <v>0.36809028584912856</v>
      </c>
      <c r="E3" s="52">
        <f>IFERROR(_xlfn.NORM.DIST(_xlfn.NORM.INV(SUM(E4:E5), 0, 1) + 1, 0, 1, TRUE) - SUM(E4:E5), "")</f>
        <v>0.3670465866060314</v>
      </c>
      <c r="F3" s="52">
        <f>IFERROR(_xlfn.NORM.DIST(_xlfn.NORM.INV(SUM(F4:F5), 0, 1) + 1, 0, 1, TRUE) - SUM(F4:F5), "")</f>
        <v>0.38265654874575389</v>
      </c>
      <c r="G3" s="52">
        <f>IFERROR(_xlfn.NORM.DIST(_xlfn.NORM.INV(SUM(G4:G5), 0, 1) + 1, 0, 1, TRUE) - SUM(G4:G5), "")</f>
        <v>0.38250234364586372</v>
      </c>
    </row>
    <row r="4" spans="1:15" ht="15.75" customHeight="1" x14ac:dyDescent="0.25">
      <c r="B4" s="5" t="s">
        <v>110</v>
      </c>
      <c r="C4" s="45">
        <v>0.12901570000000001</v>
      </c>
      <c r="D4" s="53">
        <v>0.12901570000000001</v>
      </c>
      <c r="E4" s="53">
        <v>0.14196690000000001</v>
      </c>
      <c r="F4" s="53">
        <v>0.21009059999999999</v>
      </c>
      <c r="G4" s="53">
        <v>0.19938420000000001</v>
      </c>
    </row>
    <row r="5" spans="1:15" ht="15.75" customHeight="1" x14ac:dyDescent="0.25">
      <c r="B5" s="5" t="s">
        <v>106</v>
      </c>
      <c r="C5" s="45">
        <v>8.4826599999999988E-2</v>
      </c>
      <c r="D5" s="53">
        <v>8.4826599999999988E-2</v>
      </c>
      <c r="E5" s="53">
        <v>6.8872900000000001E-2</v>
      </c>
      <c r="F5" s="53">
        <v>8.4834699999999999E-2</v>
      </c>
      <c r="G5" s="53">
        <v>9.21154E-2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0.75113087877308815</v>
      </c>
      <c r="D8" s="52">
        <f>IFERROR(1-_xlfn.NORM.DIST(_xlfn.NORM.INV(SUM(D10:D11), 0, 1) + 1, 0, 1, TRUE), "")</f>
        <v>0.75113087877308815</v>
      </c>
      <c r="E8" s="52">
        <f>IFERROR(1-_xlfn.NORM.DIST(_xlfn.NORM.INV(SUM(E10:E11), 0, 1) + 1, 0, 1, TRUE), "")</f>
        <v>0.6970525667403431</v>
      </c>
      <c r="F8" s="52">
        <f>IFERROR(1-_xlfn.NORM.DIST(_xlfn.NORM.INV(SUM(F10:F11), 0, 1) + 1, 0, 1, TRUE), "")</f>
        <v>0.69660320813808829</v>
      </c>
      <c r="G8" s="52">
        <f>IFERROR(1-_xlfn.NORM.DIST(_xlfn.NORM.INV(SUM(G10:G11), 0, 1) + 1, 0, 1, TRUE), "")</f>
        <v>0.7556680087837766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0.20220072122691185</v>
      </c>
      <c r="D9" s="52">
        <f>IFERROR(_xlfn.NORM.DIST(_xlfn.NORM.INV(SUM(D10:D11), 0, 1) + 1, 0, 1, TRUE) - SUM(D10:D11), "")</f>
        <v>0.20220072122691185</v>
      </c>
      <c r="E9" s="52">
        <f>IFERROR(_xlfn.NORM.DIST(_xlfn.NORM.INV(SUM(E10:E11), 0, 1) + 1, 0, 1, TRUE) - SUM(E10:E11), "")</f>
        <v>0.2381804332596569</v>
      </c>
      <c r="F9" s="52">
        <f>IFERROR(_xlfn.NORM.DIST(_xlfn.NORM.INV(SUM(F10:F11), 0, 1) + 1, 0, 1, TRUE) - SUM(F10:F11), "")</f>
        <v>0.23846699186191173</v>
      </c>
      <c r="G9" s="52">
        <f>IFERROR(_xlfn.NORM.DIST(_xlfn.NORM.INV(SUM(G10:G11), 0, 1) + 1, 0, 1, TRUE) - SUM(G10:G11), "")</f>
        <v>0.19905049121622345</v>
      </c>
    </row>
    <row r="10" spans="1:15" ht="15.75" customHeight="1" x14ac:dyDescent="0.25">
      <c r="B10" s="5" t="s">
        <v>107</v>
      </c>
      <c r="C10" s="45">
        <v>3.0892099999999999E-2</v>
      </c>
      <c r="D10" s="53">
        <v>3.0892099999999999E-2</v>
      </c>
      <c r="E10" s="53">
        <v>5.1153299999999999E-2</v>
      </c>
      <c r="F10" s="53">
        <v>4.85412E-2</v>
      </c>
      <c r="G10" s="53">
        <v>3.8479699999999999E-2</v>
      </c>
    </row>
    <row r="11" spans="1:15" ht="15.75" customHeight="1" x14ac:dyDescent="0.25">
      <c r="B11" s="5" t="s">
        <v>119</v>
      </c>
      <c r="C11" s="45">
        <v>1.57763E-2</v>
      </c>
      <c r="D11" s="53">
        <v>1.57763E-2</v>
      </c>
      <c r="E11" s="53">
        <v>1.3613699999999999E-2</v>
      </c>
      <c r="F11" s="53">
        <v>1.63886E-2</v>
      </c>
      <c r="G11" s="53">
        <v>6.8018000000000002E-3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0.7510305827499999</v>
      </c>
      <c r="D14" s="54">
        <v>0.74746872583599999</v>
      </c>
      <c r="E14" s="54">
        <v>0.74746872583599999</v>
      </c>
      <c r="F14" s="54">
        <v>0.77730240855800004</v>
      </c>
      <c r="G14" s="54">
        <v>0.77730240855800004</v>
      </c>
      <c r="H14" s="45">
        <v>0.505</v>
      </c>
      <c r="I14" s="55">
        <v>0.505</v>
      </c>
      <c r="J14" s="55">
        <v>0.505</v>
      </c>
      <c r="K14" s="55">
        <v>0.505</v>
      </c>
      <c r="L14" s="45">
        <v>0.43099999999999999</v>
      </c>
      <c r="M14" s="55">
        <v>0.43099999999999999</v>
      </c>
      <c r="N14" s="55">
        <v>0.43099999999999999</v>
      </c>
      <c r="O14" s="55">
        <v>0.43099999999999999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0.33192097016869349</v>
      </c>
      <c r="D15" s="52">
        <f t="shared" si="0"/>
        <v>0.33034679325812355</v>
      </c>
      <c r="E15" s="52">
        <f t="shared" si="0"/>
        <v>0.33034679325812355</v>
      </c>
      <c r="F15" s="52">
        <f t="shared" si="0"/>
        <v>0.34353190867184236</v>
      </c>
      <c r="G15" s="52">
        <f t="shared" si="0"/>
        <v>0.34353190867184236</v>
      </c>
      <c r="H15" s="52">
        <f t="shared" si="0"/>
        <v>0.22318677000000001</v>
      </c>
      <c r="I15" s="52">
        <f t="shared" si="0"/>
        <v>0.22318677000000001</v>
      </c>
      <c r="J15" s="52">
        <f t="shared" si="0"/>
        <v>0.22318677000000001</v>
      </c>
      <c r="K15" s="52">
        <f t="shared" si="0"/>
        <v>0.22318677000000001</v>
      </c>
      <c r="L15" s="52">
        <f t="shared" si="0"/>
        <v>0.190482174</v>
      </c>
      <c r="M15" s="52">
        <f t="shared" si="0"/>
        <v>0.190482174</v>
      </c>
      <c r="N15" s="52">
        <f t="shared" si="0"/>
        <v>0.190482174</v>
      </c>
      <c r="O15" s="52">
        <f t="shared" si="0"/>
        <v>0.190482174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JAnkgOuXEpN/kFedsb8hJrXGzYFJrdwbLWV+MF5R57CM3EbN6zHwcf+P9V2aO8tOIyDo3GppzT7CTpi7LS2VUw==" saltValue="KzJUblzIFKOaMO+Hx3Kjd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0.79560320000000007</v>
      </c>
      <c r="D2" s="53">
        <v>0.57174320000000001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0.1297005</v>
      </c>
      <c r="D3" s="53">
        <v>0.22481670000000001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2.5244800000000001E-2</v>
      </c>
      <c r="D4" s="53">
        <v>0.15797639999999999</v>
      </c>
      <c r="E4" s="53">
        <v>0.95396140000000007</v>
      </c>
      <c r="F4" s="53">
        <v>0.74900520000000004</v>
      </c>
      <c r="G4" s="53">
        <v>0</v>
      </c>
    </row>
    <row r="5" spans="1:7" x14ac:dyDescent="0.25">
      <c r="B5" s="3" t="s">
        <v>125</v>
      </c>
      <c r="C5" s="52">
        <v>4.9451500000000002E-2</v>
      </c>
      <c r="D5" s="52">
        <v>4.5463700000000003E-2</v>
      </c>
      <c r="E5" s="52">
        <f>1-SUM(E2:E4)</f>
        <v>4.603859999999993E-2</v>
      </c>
      <c r="F5" s="52">
        <f>1-SUM(F2:F4)</f>
        <v>0.25099479999999996</v>
      </c>
      <c r="G5" s="52">
        <f>1-SUM(G2:G4)</f>
        <v>1</v>
      </c>
    </row>
  </sheetData>
  <sheetProtection algorithmName="SHA-512" hashValue="Wjlgani+us85+Ln9TfJwymviqz5Tf2d+9j+rNuPmc14airVIqXDWTUtMLJHX0nZbmiFQVRoC4Uv6tPsLbdC6dA==" saltValue="//2R2UO4X3gO+aoxtLzdU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dn9Ge8z8IbqSqwpJGvtGfEVuNqIZ9P4xvtt4P8wn5CpWK4eY/olElO8ikwvkp01uGj7gnmyIBJkiEQxluez4tw==" saltValue="fng2qAhZ5DzWQw/QSYdrE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x14ac:dyDescent="0.25">
      <c r="A2" s="8" t="s">
        <v>144</v>
      </c>
      <c r="B2" s="41">
        <v>10</v>
      </c>
    </row>
    <row r="3" spans="1:2" x14ac:dyDescent="0.25">
      <c r="A3" s="8" t="s">
        <v>143</v>
      </c>
      <c r="B3" s="41">
        <v>10</v>
      </c>
    </row>
    <row r="4" spans="1:2" x14ac:dyDescent="0.25">
      <c r="A4" s="8" t="s">
        <v>142</v>
      </c>
      <c r="B4" s="41">
        <v>10</v>
      </c>
    </row>
    <row r="5" spans="1:2" x14ac:dyDescent="0.25">
      <c r="A5" s="8" t="s">
        <v>146</v>
      </c>
      <c r="B5" s="41">
        <v>10</v>
      </c>
    </row>
    <row r="6" spans="1:2" x14ac:dyDescent="0.25">
      <c r="A6" s="8" t="s">
        <v>140</v>
      </c>
      <c r="B6" s="41">
        <v>10</v>
      </c>
    </row>
    <row r="7" spans="1:2" x14ac:dyDescent="0.25">
      <c r="A7" s="8" t="s">
        <v>141</v>
      </c>
      <c r="B7" s="41">
        <v>10</v>
      </c>
    </row>
  </sheetData>
  <sheetProtection algorithmName="SHA-512" hashValue="Ifb1R7hNGNULhJp4zsjkgRYy2JqPzoVOKUmbFoIdDpsCGrOlZ2JyCuPzX+kSKcATZllWF2nIZ1h1J1kOQeR/ow==" saltValue="fC0Gr1hray8WLHJD8yfxJ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x14ac:dyDescent="0.25">
      <c r="B10" s="32" t="s">
        <v>78</v>
      </c>
      <c r="C10" s="47"/>
      <c r="D10" s="47"/>
      <c r="E10" s="38" t="str">
        <f>IF(E$7="","",E$7)</f>
        <v/>
      </c>
    </row>
    <row r="11" spans="1:5" x14ac:dyDescent="0.25">
      <c r="B11" s="32" t="s">
        <v>74</v>
      </c>
      <c r="C11" s="47"/>
      <c r="D11" s="47"/>
      <c r="E11" s="38" t="str">
        <f>IF(E$7="","",E$7)</f>
        <v/>
      </c>
    </row>
    <row r="12" spans="1:5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00Tpge4aXQ/tq23aNvtF8ossH4/bc/+kyTUOuy1Jb3TKnNaMELnVKL/a1CNOsdkmCNAFzh7wdDvbEXX3jOdnYQ==" saltValue="3HpH56W2DTXuNRFaINt+G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pgf2CGsg1WQnn2ahS/SPRFoQ+lejmE6hR5CWosEVAuoX9QHZKOb/ezI6ZcTGgstvs14N/W0ISH5/MbasJ/FxsA==" saltValue="zNXwihHI41Rq+F4xDxwxI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35.689233383193283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0.13877562390164899</v>
      </c>
      <c r="C3" s="98">
        <v>0.95</v>
      </c>
      <c r="D3" s="56">
        <v>47.382446889693739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64.159596471670312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0.24803417483777829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99.99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99.99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99.99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</v>
      </c>
      <c r="C10" s="98">
        <v>0.95</v>
      </c>
      <c r="D10" s="56">
        <v>15.04169622018882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</v>
      </c>
      <c r="C11" s="98">
        <v>0.95</v>
      </c>
      <c r="D11" s="56">
        <v>15.04169622018882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</v>
      </c>
      <c r="C12" s="98">
        <v>0.95</v>
      </c>
      <c r="D12" s="56">
        <v>15.04169622018882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</v>
      </c>
      <c r="C13" s="98">
        <v>0.95</v>
      </c>
      <c r="D13" s="56">
        <v>15.04169622018882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</v>
      </c>
      <c r="C14" s="98">
        <v>0.95</v>
      </c>
      <c r="D14" s="56">
        <v>15.04169622018882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</v>
      </c>
      <c r="C15" s="98">
        <v>0.95</v>
      </c>
      <c r="D15" s="56">
        <v>15.04169622018882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0.8</v>
      </c>
      <c r="C16" s="98">
        <v>0.95</v>
      </c>
      <c r="D16" s="56">
        <v>0.2442892100584034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5.2961119750823613E-2</v>
      </c>
      <c r="C18" s="98">
        <v>0.95</v>
      </c>
      <c r="D18" s="56">
        <v>1.584524665800485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0.27843820000000002</v>
      </c>
      <c r="C19" s="98">
        <v>0.95</v>
      </c>
      <c r="D19" s="56">
        <v>1.584524665800485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0.47813240000000001</v>
      </c>
      <c r="C21" s="98">
        <v>0.95</v>
      </c>
      <c r="D21" s="56">
        <v>2.2607379783053059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25.63150323579427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4.9266956385450174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0.430315188260602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</v>
      </c>
      <c r="C26" s="98">
        <v>0.95</v>
      </c>
      <c r="D26" s="56">
        <v>99.99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21.753258409153641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0.26134631191104502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</v>
      </c>
      <c r="C29" s="98">
        <v>0.95</v>
      </c>
      <c r="D29" s="56">
        <v>62.659928701621617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</v>
      </c>
      <c r="C31" s="98">
        <v>0.95</v>
      </c>
      <c r="D31" s="56">
        <v>0.91267686391518921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</v>
      </c>
      <c r="C32" s="98">
        <v>0.95</v>
      </c>
      <c r="D32" s="56">
        <v>0.46063596943431279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8.0891400000000002E-2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0.2996625</v>
      </c>
      <c r="C38" s="98">
        <v>0.95</v>
      </c>
      <c r="D38" s="56">
        <v>4.0683420963409054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99.99</v>
      </c>
      <c r="E39" s="56" t="s">
        <v>183</v>
      </c>
      <c r="F39" s="98">
        <v>1</v>
      </c>
      <c r="G39" s="98">
        <v>1</v>
      </c>
    </row>
  </sheetData>
  <sheetProtection algorithmName="SHA-512" hashValue="NmEnzWtQ4nCnoBMBXSusKIWFaLzPnZIhnh1RcKvSzqaYt9nmgShkxCbpEz8iaaUgHoJ55SF8IlmHkRXXAz0q9g==" saltValue="qF5hHSNmm6OyCIZLHHgIQ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x14ac:dyDescent="0.25">
      <c r="A2" s="57" t="s">
        <v>178</v>
      </c>
      <c r="B2" s="47" t="s">
        <v>191</v>
      </c>
      <c r="C2" s="47"/>
    </row>
    <row r="3" spans="1:3" x14ac:dyDescent="0.25">
      <c r="A3" s="57" t="s">
        <v>179</v>
      </c>
      <c r="B3" s="47" t="s">
        <v>191</v>
      </c>
      <c r="C3" s="47"/>
    </row>
    <row r="4" spans="1:3" x14ac:dyDescent="0.25">
      <c r="A4" s="57" t="s">
        <v>193</v>
      </c>
      <c r="B4" s="47" t="s">
        <v>184</v>
      </c>
      <c r="C4" s="47"/>
    </row>
    <row r="5" spans="1:3" x14ac:dyDescent="0.25">
      <c r="A5" s="57" t="s">
        <v>190</v>
      </c>
      <c r="B5" s="47" t="s">
        <v>184</v>
      </c>
      <c r="C5" s="47"/>
    </row>
    <row r="6" spans="1:3" x14ac:dyDescent="0.25">
      <c r="A6" s="57" t="s">
        <v>193</v>
      </c>
      <c r="B6" s="58" t="s">
        <v>204</v>
      </c>
      <c r="C6" s="58"/>
    </row>
    <row r="7" spans="1:3" x14ac:dyDescent="0.25">
      <c r="A7" s="57" t="s">
        <v>190</v>
      </c>
      <c r="B7" s="58" t="s">
        <v>204</v>
      </c>
      <c r="C7" s="58"/>
    </row>
    <row r="8" spans="1:3" x14ac:dyDescent="0.25">
      <c r="A8" s="57" t="s">
        <v>203</v>
      </c>
      <c r="B8" s="58" t="s">
        <v>204</v>
      </c>
      <c r="C8" s="58"/>
    </row>
    <row r="9" spans="1:3" x14ac:dyDescent="0.25">
      <c r="A9" s="57" t="s">
        <v>196</v>
      </c>
      <c r="B9" s="58" t="s">
        <v>204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0nbCGNF+VbDpvm9xh5a8eyJcHBW9Zsibt46Vs+GKtUPFsJdSjYlTN4nUfCWmZW5URuCxJk9U6zARSCevpXSqiA==" saltValue="Ugp1wBsF0Tg2UH02eaitH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x14ac:dyDescent="0.25">
      <c r="A2" s="33" t="s">
        <v>170</v>
      </c>
    </row>
    <row r="3" spans="1:1" x14ac:dyDescent="0.25">
      <c r="A3" s="33" t="s">
        <v>180</v>
      </c>
    </row>
    <row r="4" spans="1:1" x14ac:dyDescent="0.25">
      <c r="A4" s="33" t="s">
        <v>185</v>
      </c>
    </row>
    <row r="5" spans="1:1" x14ac:dyDescent="0.25">
      <c r="A5" s="33" t="s">
        <v>197</v>
      </c>
    </row>
    <row r="6" spans="1:1" x14ac:dyDescent="0.25">
      <c r="A6" s="33" t="s">
        <v>198</v>
      </c>
    </row>
    <row r="7" spans="1:1" x14ac:dyDescent="0.25">
      <c r="A7" s="33" t="s">
        <v>199</v>
      </c>
    </row>
    <row r="8" spans="1:1" x14ac:dyDescent="0.25">
      <c r="A8" s="33" t="s">
        <v>200</v>
      </c>
    </row>
    <row r="9" spans="1:1" x14ac:dyDescent="0.25">
      <c r="A9" s="33" t="s">
        <v>201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ceJNXLJs0fMi4W59oFLYxe2MHiUUNV1MM3dsZjIBwjiCVnFPq3+uR8LdqP42NFfsE8wRXRAdXZi204yp9jX9zw==" saltValue="xv+A58W0QuAJ1M0srYPd1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3.3</v>
      </c>
      <c r="C2" s="21">
        <f>'Entradas de población-año base'!C52</f>
        <v>3.3</v>
      </c>
      <c r="D2" s="21">
        <f>'Entradas de población-año base'!C53</f>
        <v>3.3</v>
      </c>
      <c r="E2" s="21">
        <f>'Entradas de población-año base'!C54</f>
        <v>3.3</v>
      </c>
      <c r="F2" s="21">
        <f>'Entradas de población-año base'!C55</f>
        <v>3.3</v>
      </c>
    </row>
    <row r="3" spans="1:6" ht="15.75" customHeight="1" x14ac:dyDescent="0.25">
      <c r="A3" s="3" t="s">
        <v>6</v>
      </c>
      <c r="B3" s="21">
        <f>frac_mam_1month * 2.6</f>
        <v>8.0319459999999995E-2</v>
      </c>
      <c r="C3" s="21">
        <f>frac_mam_1_5months * 2.6</f>
        <v>8.0319459999999995E-2</v>
      </c>
      <c r="D3" s="21">
        <f>frac_mam_6_11months * 2.6</f>
        <v>0.13299858000000001</v>
      </c>
      <c r="E3" s="21">
        <f>frac_mam_12_23months * 2.6</f>
        <v>0.12620712000000001</v>
      </c>
      <c r="F3" s="21">
        <f>frac_mam_24_59months * 2.6</f>
        <v>0.10004722000000001</v>
      </c>
    </row>
    <row r="4" spans="1:6" ht="15.75" customHeight="1" x14ac:dyDescent="0.25">
      <c r="A4" s="3" t="s">
        <v>207</v>
      </c>
      <c r="B4" s="21">
        <f>frac_sam_1month * 2.6</f>
        <v>4.101838E-2</v>
      </c>
      <c r="C4" s="21">
        <f>frac_sam_1_5months * 2.6</f>
        <v>4.101838E-2</v>
      </c>
      <c r="D4" s="21">
        <f>frac_sam_6_11months * 2.6</f>
        <v>3.5395620000000003E-2</v>
      </c>
      <c r="E4" s="21">
        <f>frac_sam_12_23months * 2.6</f>
        <v>4.261036E-2</v>
      </c>
      <c r="F4" s="21">
        <f>frac_sam_24_59months * 2.6</f>
        <v>1.7684680000000001E-2</v>
      </c>
    </row>
  </sheetData>
  <sheetProtection algorithmName="SHA-512" hashValue="8CR73T8ndBWbaocX5XTya4ScJd+C3tRKpDFoGDpiygbpt1q5Pn53RVnEjk1tHjaHoXk53PoNPBWayGbr5+eKiQ==" saltValue="GeimSf1QFKRgfnAJX8uCN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0.67099999999999993</v>
      </c>
      <c r="E2" s="60">
        <f>food_insecure</f>
        <v>0.67099999999999993</v>
      </c>
      <c r="F2" s="60">
        <f>food_insecure</f>
        <v>0.67099999999999993</v>
      </c>
      <c r="G2" s="60">
        <f>food_insecure</f>
        <v>0.67099999999999993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0.67099999999999993</v>
      </c>
      <c r="F5" s="60">
        <f>food_insecure</f>
        <v>0.67099999999999993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0.67099999999999993</v>
      </c>
      <c r="F8" s="60">
        <f>food_insecure</f>
        <v>0.67099999999999993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0.67099999999999993</v>
      </c>
      <c r="F9" s="60">
        <f>food_insecure</f>
        <v>0.67099999999999993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0.67099999999999993</v>
      </c>
      <c r="I15" s="60">
        <f>food_insecure</f>
        <v>0.67099999999999993</v>
      </c>
      <c r="J15" s="60">
        <f>food_insecure</f>
        <v>0.67099999999999993</v>
      </c>
      <c r="K15" s="60">
        <f>food_insecure</f>
        <v>0.67099999999999993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1</v>
      </c>
      <c r="I19" s="60">
        <f>frac_malaria_risk</f>
        <v>1</v>
      </c>
      <c r="J19" s="60">
        <f>frac_malaria_risk</f>
        <v>1</v>
      </c>
      <c r="K19" s="60">
        <f>frac_malaria_risk</f>
        <v>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0.624</v>
      </c>
      <c r="M24" s="60">
        <f>famplan_unmet_need</f>
        <v>0.624</v>
      </c>
      <c r="N24" s="60">
        <f>famplan_unmet_need</f>
        <v>0.624</v>
      </c>
      <c r="O24" s="60">
        <f>famplan_unmet_need</f>
        <v>0.624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0.42521238697417196</v>
      </c>
      <c r="M25" s="60">
        <f>(1-food_insecure)*(0.49)+food_insecure*(0.7)</f>
        <v>0.63090999999999986</v>
      </c>
      <c r="N25" s="60">
        <f>(1-food_insecure)*(0.49)+food_insecure*(0.7)</f>
        <v>0.63090999999999986</v>
      </c>
      <c r="O25" s="60">
        <f>(1-food_insecure)*(0.49)+food_insecure*(0.7)</f>
        <v>0.63090999999999986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0.18223388013178801</v>
      </c>
      <c r="M26" s="60">
        <f>(1-food_insecure)*(0.21)+food_insecure*(0.3)</f>
        <v>0.27039000000000002</v>
      </c>
      <c r="N26" s="60">
        <f>(1-food_insecure)*(0.21)+food_insecure*(0.3)</f>
        <v>0.27039000000000002</v>
      </c>
      <c r="O26" s="60">
        <f>(1-food_insecure)*(0.21)+food_insecure*(0.3)</f>
        <v>0.27039000000000002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6.6520522094040024E-2</v>
      </c>
      <c r="M27" s="60">
        <f>(1-food_insecure)*(0.3)</f>
        <v>9.8700000000000024E-2</v>
      </c>
      <c r="N27" s="60">
        <f>(1-food_insecure)*(0.3)</f>
        <v>9.8700000000000024E-2</v>
      </c>
      <c r="O27" s="60">
        <f>(1-food_insecure)*(0.3)</f>
        <v>9.8700000000000024E-2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1</v>
      </c>
      <c r="D34" s="60">
        <f t="shared" si="3"/>
        <v>1</v>
      </c>
      <c r="E34" s="60">
        <f t="shared" si="3"/>
        <v>1</v>
      </c>
      <c r="F34" s="60">
        <f t="shared" si="3"/>
        <v>1</v>
      </c>
      <c r="G34" s="60">
        <f t="shared" si="3"/>
        <v>1</v>
      </c>
      <c r="H34" s="60">
        <f t="shared" si="3"/>
        <v>1</v>
      </c>
      <c r="I34" s="60">
        <f t="shared" si="3"/>
        <v>1</v>
      </c>
      <c r="J34" s="60">
        <f t="shared" si="3"/>
        <v>1</v>
      </c>
      <c r="K34" s="60">
        <f t="shared" si="3"/>
        <v>1</v>
      </c>
      <c r="L34" s="60">
        <f t="shared" si="3"/>
        <v>1</v>
      </c>
      <c r="M34" s="60">
        <f t="shared" si="3"/>
        <v>1</v>
      </c>
      <c r="N34" s="60">
        <f t="shared" si="3"/>
        <v>1</v>
      </c>
      <c r="O34" s="60">
        <f t="shared" si="3"/>
        <v>1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LxkilG1IkRx6+vGOEgBiWmmdsY26wVj5HhCyB6I5cjnCqJnHYid54c3xuKFV2r0IgYhMF+9CJdakPLAZf4CqIg==" saltValue="QoNUz6gJ3lFTBlE8sHIcE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xr8ePIREsAi7cBsDf+OAusvaww1VnMyKVP09BAfWfgs8Okn4rYzXMjoRaykIqVOEfDiJ5ri6SgLQExQAlLT+Nw==" saltValue="J6galA6lALi34RO9IjZjh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5+N5EJDtQ/KqwjECxZhiiyG8+ZokYfz5SWx4/SZyDjbLfsRTLWLwdKMuKc13nw0S+VMSwxhddzP6pd2MPUOKBQ==" saltValue="QRNggHQ7sZxyZwhtlwy6e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UxfJMJN2awNpiKMrCA8U9e6SC9f58WS/9R9wkm/7PfMKmHRc95aEUCBFOQOhLrGp1RZMsnbKtdWfn7ziCL6lPg==" saltValue="Lol2208wB36YFmpKSau9E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ku4W46bvClkNtBA8uK3KeeCUm/K+0lKdg6p28Kr1eNFB7uVL5USGIeAhf3iyk8qJFh29PxygZ/SZ1RVTsv/Y5A==" saltValue="nkFjfQbc58bnA5B7m55Bi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ljmn8HBg/3g3lDgBGm/UZFgM0ar064IB9ZmUW/k4EqPyNKTID+ul403sKWrDBLv3xMPsKkuUW068ZsWn+i/eoA==" saltValue="UIGlLDExa10yHJzDw2/+Q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78</v>
      </c>
      <c r="C5" s="8" t="s">
        <v>150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149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74</v>
      </c>
      <c r="C8" s="8" t="s">
        <v>150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149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149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78</v>
      </c>
      <c r="C58" s="8" t="s">
        <v>150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149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74</v>
      </c>
      <c r="C61" s="8" t="s">
        <v>150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149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78</v>
      </c>
      <c r="C111" s="8" t="s">
        <v>150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149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74</v>
      </c>
      <c r="C114" s="8" t="s">
        <v>150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149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77</v>
      </c>
      <c r="C117" s="8" t="s">
        <v>150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149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75</v>
      </c>
      <c r="C120" s="8" t="s">
        <v>150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149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149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78</v>
      </c>
      <c r="C128" s="8" t="s">
        <v>150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149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74</v>
      </c>
      <c r="C131" s="8" t="s">
        <v>150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149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77</v>
      </c>
      <c r="C134" s="8" t="s">
        <v>150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149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75</v>
      </c>
      <c r="C137" s="8" t="s">
        <v>150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149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149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78</v>
      </c>
      <c r="C145" s="8" t="s">
        <v>150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149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74</v>
      </c>
      <c r="C148" s="8" t="s">
        <v>150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149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77</v>
      </c>
      <c r="C151" s="8" t="s">
        <v>150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149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75</v>
      </c>
      <c r="C154" s="8" t="s">
        <v>150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149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E3IuGRfOogEi9ugge8F+Xlqobs9BcqWesOLz0nPq5eUlVaWPYoe/+qQtS+JpYrj+IHSkwnv082bZgfyuEgTnjg==" saltValue="29Ga+TQoYgUmtLEgFyySEw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wdokdoii4cYqGnmrvpHDyHKd5T3NUvYwAgGa/tGBWjKwlyZQzehW9fb40SYOFRMj3zKkybVrdvQO7A2yWzkOnw==" saltValue="sOijPfCC3k0E9QEDy4B6/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tMjMIvJiFbpRMx2RVTiPEGrvSNrf6/lFuqCuuTGznmRbUinvpE4oHT619jBz9wfvuNzQrGx/t2O1bjfkdszz8w==" saltValue="pAYyoNDyWveCoLu9+9YIq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291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105</v>
      </c>
      <c r="B40" s="11" t="s">
        <v>298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288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293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105</v>
      </c>
      <c r="B63" s="11" t="s">
        <v>299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Rpr/CyDwnMccB6aFqixiNHkxw3SYfu4LgHIUyuDt/oIF5/U+2ySm+34b9NYB59GeNU3B3DjYvBtNH9Si/M6PrQ==" saltValue="B2mkR0IeCsHfXCpLWfx86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8IEM4MZHrGQN26VBISbP0tIESUgwk/zionslfI7hZSbFECAM03g7y2bia2ueWBYFrO24ijAfEvCsAyPzYX0uiQ==" saltValue="AgjmCG5zsIX+Q6yeZPWsY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174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175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176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177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178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191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172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181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174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175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176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177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178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191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172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181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M9GX4O5VkQydAj4OMstLCYMvVulHWkZGxCwQpcN6cFEyAl4JdjG5EtXY0lU4n1yg3na6iBBc6NWnijZigCr4vQ==" saltValue="PxEgbEe5IjxldNPdfaVmE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pX7STLZvUAb8pnPlLjOH49ffynC52DY2hoaz+7Ba5JBqc6eJh16aKlLquV9EwXJhgBcE4RKIudVR7FLflXSAfA==" saltValue="rH0JXAnmxJe3xLmhNyGQV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338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338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BB+cvjTY5d7JfusIJZjxnUvKZTzPdRG4W4qj8bl1b8xLww4mw58BZlEgJHcs0AhDEzkToO+AqLQKz2pR1ahUsA==" saltValue="BTuB18r5L3nqfmAxmtKOg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wXv+UygwPfE8mAb2n0EHh3zUsyTjjXw++CKMUDfsIMZ0o/bd/BZ7lK0vg7qLE9hGx0jFen539EO3G7olXXn6IQ==" saltValue="RYW2dX2hTMghuXQ3K4BI+g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2024-05-16T23:33:26Z</dcterms:modified>
</cp:coreProperties>
</file>