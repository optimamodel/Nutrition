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7EF0CA87-F10D-4C64-8F70-7C9E4D5F0B4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5" i="2" l="1"/>
  <c r="I39" i="2"/>
  <c r="A36" i="2"/>
  <c r="A37" i="2"/>
  <c r="I6" i="2"/>
  <c r="I12" i="2"/>
  <c r="I7" i="2"/>
  <c r="I13" i="2"/>
  <c r="A19" i="2"/>
  <c r="A22" i="2"/>
  <c r="A23" i="2"/>
  <c r="A24" i="2"/>
  <c r="A40" i="2"/>
  <c r="A25" i="2"/>
  <c r="A26" i="2"/>
  <c r="I2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<sst xmlns="http://schemas.openxmlformats.org/spreadsheetml/2006/main" count="2169" uniqueCount="373">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</sst>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300164</v>
      </c>
    </row>
    <row r="8" spans="1:3" ht="15" customHeight="1" x14ac:dyDescent="0.25">
      <c r="B8" s="5" t="s">
        <v>63</v>
      </c>
      <c r="C8" s="44">
        <v>0.67099999999999993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0.2231656276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9.4700000000000006E-2</v>
      </c>
    </row>
    <row r="24" spans="1:3" ht="15" customHeight="1" x14ac:dyDescent="0.25">
      <c r="B24" s="15" t="s">
        <v>65</v>
      </c>
      <c r="C24" s="45">
        <v>0.47560000000000002</v>
      </c>
    </row>
    <row r="25" spans="1:3" ht="15" customHeight="1" x14ac:dyDescent="0.25">
      <c r="B25" s="15" t="s">
        <v>66</v>
      </c>
      <c r="C25" s="45">
        <v>0.35120000000000001</v>
      </c>
    </row>
    <row r="26" spans="1:3" ht="15" customHeight="1" x14ac:dyDescent="0.25">
      <c r="B26" s="15" t="s">
        <v>67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0.20134766316932501</v>
      </c>
    </row>
    <row r="30" spans="1:3" ht="14.25" customHeight="1" x14ac:dyDescent="0.25">
      <c r="B30" s="25" t="s">
        <v>82</v>
      </c>
      <c r="C30" s="97">
        <v>3.7040067899888597E-2</v>
      </c>
    </row>
    <row r="31" spans="1:3" ht="14.25" customHeight="1" x14ac:dyDescent="0.25">
      <c r="B31" s="25" t="s">
        <v>29</v>
      </c>
      <c r="C31" s="97">
        <v>9.42970158051466E-2</v>
      </c>
    </row>
    <row r="32" spans="1:3" ht="14.25" customHeight="1" x14ac:dyDescent="0.25">
      <c r="B32" s="25" t="s">
        <v>30</v>
      </c>
      <c r="C32" s="97">
        <v>0.66731525312564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34.303510000000003</v>
      </c>
    </row>
    <row r="38" spans="1:5" ht="15" customHeight="1" x14ac:dyDescent="0.25">
      <c r="B38" s="11" t="s">
        <v>54</v>
      </c>
      <c r="C38" s="43">
        <v>49.96163</v>
      </c>
      <c r="D38" s="12"/>
      <c r="E38" s="13"/>
    </row>
    <row r="39" spans="1:5" ht="15" customHeight="1" x14ac:dyDescent="0.25">
      <c r="B39" s="11" t="s">
        <v>80</v>
      </c>
      <c r="C39" s="43">
        <v>74.305310000000006</v>
      </c>
      <c r="D39" s="12"/>
      <c r="E39" s="12"/>
    </row>
    <row r="40" spans="1:5" ht="15" customHeight="1" x14ac:dyDescent="0.25">
      <c r="B40" s="11" t="s">
        <v>55</v>
      </c>
      <c r="C40" s="98">
        <v>7.25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7.9141000000000003E-3</v>
      </c>
      <c r="D45" s="12"/>
    </row>
    <row r="46" spans="1:5" ht="15.75" customHeight="1" x14ac:dyDescent="0.25">
      <c r="B46" s="11" t="s">
        <v>70</v>
      </c>
      <c r="C46" s="45">
        <v>8.5036E-2</v>
      </c>
      <c r="D46" s="12"/>
    </row>
    <row r="47" spans="1:5" ht="15.75" customHeight="1" x14ac:dyDescent="0.25">
      <c r="B47" s="11" t="s">
        <v>78</v>
      </c>
      <c r="C47" s="45">
        <v>7.3474499999999998E-2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0.44195400000000001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J0KPxy1Gi694OjxNKqIqBuG1Bb0X95pzQSefXxmEiRmG9UX5Q4YMcI6uhH5yE0OoLFh3kxl/Hks3Y7gnzMd/Zw==" saltValue="9SmMhcksexeexdrFTlvg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65072</v>
      </c>
      <c r="C2" s="49">
        <v>118994.5</v>
      </c>
      <c r="D2" s="49">
        <v>193392</v>
      </c>
      <c r="E2" s="49">
        <v>144613</v>
      </c>
      <c r="F2" s="49">
        <v>103902.99999999999</v>
      </c>
      <c r="G2" s="17">
        <f t="shared" ref="G2:G13" si="0">C2+D2+E2+F2</f>
        <v>560902.5</v>
      </c>
      <c r="H2" s="17">
        <f t="shared" ref="H2:H13" si="1">(B2 + stillbirth*B2/(1000-stillbirth))/(1-abortion)</f>
        <v>76327.44795722657</v>
      </c>
      <c r="I2" s="17">
        <f t="shared" ref="I2:I13" si="2">G2-H2</f>
        <v>484575.05204277346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65468</v>
      </c>
      <c r="C3" s="50">
        <v>121756.5</v>
      </c>
      <c r="D3" s="50">
        <v>198139</v>
      </c>
      <c r="E3" s="50">
        <v>148468.00000000003</v>
      </c>
      <c r="F3" s="50">
        <v>107043</v>
      </c>
      <c r="G3" s="17">
        <f t="shared" si="0"/>
        <v>575406.5</v>
      </c>
      <c r="H3" s="17">
        <f t="shared" si="1"/>
        <v>76791.94373714822</v>
      </c>
      <c r="I3" s="17">
        <f t="shared" si="2"/>
        <v>498614.55626285181</v>
      </c>
    </row>
    <row r="4" spans="1:9" ht="15.75" customHeight="1" x14ac:dyDescent="0.25">
      <c r="A4" s="5">
        <f t="shared" si="3"/>
        <v>2026</v>
      </c>
      <c r="B4" s="49">
        <v>66031</v>
      </c>
      <c r="C4" s="50">
        <v>124513.5</v>
      </c>
      <c r="D4" s="50">
        <v>203062</v>
      </c>
      <c r="E4" s="50">
        <v>152405.50000000003</v>
      </c>
      <c r="F4" s="50">
        <v>110201</v>
      </c>
      <c r="G4" s="17">
        <f t="shared" si="0"/>
        <v>590182</v>
      </c>
      <c r="H4" s="17">
        <f t="shared" si="1"/>
        <v>77452.325363652999</v>
      </c>
      <c r="I4" s="17">
        <f t="shared" si="2"/>
        <v>512729.67463634699</v>
      </c>
    </row>
    <row r="5" spans="1:9" ht="15.75" customHeight="1" x14ac:dyDescent="0.25">
      <c r="A5" s="5">
        <f t="shared" si="3"/>
        <v>2027</v>
      </c>
      <c r="B5" s="49">
        <v>66611</v>
      </c>
      <c r="C5" s="50">
        <v>127233.5</v>
      </c>
      <c r="D5" s="50">
        <v>208130.49999999997</v>
      </c>
      <c r="E5" s="50">
        <v>156446.5</v>
      </c>
      <c r="F5" s="50">
        <v>113481.5</v>
      </c>
      <c r="G5" s="17">
        <f t="shared" si="0"/>
        <v>605292</v>
      </c>
      <c r="H5" s="17">
        <f t="shared" si="1"/>
        <v>78132.647465558446</v>
      </c>
      <c r="I5" s="17">
        <f t="shared" si="2"/>
        <v>527159.35253444151</v>
      </c>
    </row>
    <row r="6" spans="1:9" ht="15.75" customHeight="1" x14ac:dyDescent="0.25">
      <c r="A6" s="5">
        <f t="shared" si="3"/>
        <v>2028</v>
      </c>
      <c r="B6" s="49">
        <v>67153</v>
      </c>
      <c r="C6" s="50">
        <v>129912.5</v>
      </c>
      <c r="D6" s="50">
        <v>213172</v>
      </c>
      <c r="E6" s="50">
        <v>160536</v>
      </c>
      <c r="F6" s="50">
        <v>117058</v>
      </c>
      <c r="G6" s="17">
        <f t="shared" si="0"/>
        <v>620678.5</v>
      </c>
      <c r="H6" s="17">
        <f t="shared" si="1"/>
        <v>78768.396740097669</v>
      </c>
      <c r="I6" s="17">
        <f t="shared" si="2"/>
        <v>541910.10325990233</v>
      </c>
    </row>
    <row r="7" spans="1:9" ht="15.75" customHeight="1" x14ac:dyDescent="0.25">
      <c r="A7" s="5">
        <f t="shared" si="3"/>
        <v>2029</v>
      </c>
      <c r="B7" s="49">
        <v>67623</v>
      </c>
      <c r="C7" s="50">
        <v>132425.5</v>
      </c>
      <c r="D7" s="50">
        <v>218087</v>
      </c>
      <c r="E7" s="50">
        <v>164545.5</v>
      </c>
      <c r="F7" s="50">
        <v>120832.5</v>
      </c>
      <c r="G7" s="17">
        <f t="shared" si="0"/>
        <v>635890.5</v>
      </c>
      <c r="H7" s="17">
        <f t="shared" si="1"/>
        <v>79319.692236469331</v>
      </c>
      <c r="I7" s="17">
        <f t="shared" si="2"/>
        <v>556570.80776353064</v>
      </c>
    </row>
    <row r="8" spans="1:9" ht="15.75" customHeight="1" x14ac:dyDescent="0.25">
      <c r="A8" s="5">
        <f t="shared" si="3"/>
        <v>2030</v>
      </c>
      <c r="B8" s="49">
        <v>67905</v>
      </c>
      <c r="C8" s="50">
        <v>134551.5</v>
      </c>
      <c r="D8" s="50">
        <v>223068.5</v>
      </c>
      <c r="E8" s="50">
        <v>168704</v>
      </c>
      <c r="F8" s="50">
        <v>124401.5</v>
      </c>
      <c r="G8" s="17">
        <f t="shared" si="0"/>
        <v>650725.5</v>
      </c>
      <c r="H8" s="17">
        <f t="shared" si="1"/>
        <v>79650.469534292322</v>
      </c>
      <c r="I8" s="17">
        <f t="shared" si="2"/>
        <v>571075.03046570765</v>
      </c>
    </row>
    <row r="9" spans="1:9" ht="15.75" customHeight="1" x14ac:dyDescent="0.25">
      <c r="A9" s="5">
        <f t="shared" si="3"/>
        <v>2031</v>
      </c>
      <c r="B9" s="49">
        <v>68296</v>
      </c>
      <c r="C9" s="50">
        <v>136164</v>
      </c>
      <c r="D9" s="50">
        <v>228335</v>
      </c>
      <c r="E9" s="50">
        <v>173077.5</v>
      </c>
      <c r="F9" s="50">
        <v>127777</v>
      </c>
      <c r="G9" s="17">
        <f t="shared" si="0"/>
        <v>665353.5</v>
      </c>
      <c r="H9" s="17">
        <f t="shared" si="1"/>
        <v>80109.100468507895</v>
      </c>
      <c r="I9" s="17">
        <f t="shared" si="2"/>
        <v>585244.39953149215</v>
      </c>
    </row>
    <row r="10" spans="1:9" ht="15.75" customHeight="1" x14ac:dyDescent="0.25">
      <c r="A10" s="5">
        <f t="shared" si="3"/>
        <v>2032</v>
      </c>
      <c r="B10" s="49">
        <v>68609</v>
      </c>
      <c r="C10" s="50">
        <v>137098</v>
      </c>
      <c r="D10" s="50">
        <v>233852.50000000003</v>
      </c>
      <c r="E10" s="50">
        <v>177515.5</v>
      </c>
      <c r="F10" s="50">
        <v>131220</v>
      </c>
      <c r="G10" s="17">
        <f t="shared" si="0"/>
        <v>679686</v>
      </c>
      <c r="H10" s="17">
        <f t="shared" si="1"/>
        <v>80476.239809708597</v>
      </c>
      <c r="I10" s="17">
        <f t="shared" si="2"/>
        <v>599209.76019029145</v>
      </c>
    </row>
    <row r="11" spans="1:9" ht="15.75" customHeight="1" x14ac:dyDescent="0.25">
      <c r="A11" s="5">
        <f t="shared" si="3"/>
        <v>2033</v>
      </c>
      <c r="B11" s="49">
        <v>68986</v>
      </c>
      <c r="C11" s="50">
        <v>137515</v>
      </c>
      <c r="D11" s="50">
        <v>239414.5</v>
      </c>
      <c r="E11" s="50">
        <v>182050.5</v>
      </c>
      <c r="F11" s="50">
        <v>134769.5</v>
      </c>
      <c r="G11" s="17">
        <f t="shared" si="0"/>
        <v>693749.5</v>
      </c>
      <c r="H11" s="17">
        <f t="shared" si="1"/>
        <v>80918.449175947142</v>
      </c>
      <c r="I11" s="17">
        <f t="shared" si="2"/>
        <v>612831.05082405289</v>
      </c>
    </row>
    <row r="12" spans="1:9" ht="15.75" customHeight="1" x14ac:dyDescent="0.25">
      <c r="A12" s="5">
        <f t="shared" si="3"/>
        <v>2034</v>
      </c>
      <c r="B12" s="49">
        <v>69366</v>
      </c>
      <c r="C12" s="50">
        <v>137840</v>
      </c>
      <c r="D12" s="50">
        <v>244658.00000000003</v>
      </c>
      <c r="E12" s="50">
        <v>186533.00000000003</v>
      </c>
      <c r="F12" s="50">
        <v>138381.5</v>
      </c>
      <c r="G12" s="17">
        <f t="shared" si="0"/>
        <v>707412.5</v>
      </c>
      <c r="H12" s="17">
        <f t="shared" si="1"/>
        <v>81364.177449609342</v>
      </c>
      <c r="I12" s="17">
        <f t="shared" si="2"/>
        <v>626048.32255039061</v>
      </c>
    </row>
    <row r="13" spans="1:9" ht="15.75" customHeight="1" x14ac:dyDescent="0.25">
      <c r="A13" s="5">
        <f t="shared" si="3"/>
        <v>2035</v>
      </c>
      <c r="B13" s="49">
        <v>69432</v>
      </c>
      <c r="C13" s="50">
        <v>138321</v>
      </c>
      <c r="D13" s="50">
        <v>249300</v>
      </c>
      <c r="E13" s="50">
        <v>190972</v>
      </c>
      <c r="F13" s="50">
        <v>142038.5</v>
      </c>
      <c r="G13" s="17">
        <f t="shared" si="0"/>
        <v>720631.5</v>
      </c>
      <c r="H13" s="17">
        <f t="shared" si="1"/>
        <v>81441.593412929593</v>
      </c>
      <c r="I13" s="17">
        <f t="shared" si="2"/>
        <v>639189.90658707044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ZLEyyPbgvH4frFfgUQXr97g4uk+BGDg11QqXWkrf4FKJdP/d4R/KpodT/OMFZsV6n/Xu6AkQ2mBY/STx7S/jw==" saltValue="uSB9BlX4AnG5Dlf2YJxAn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2.2703597729640201E-2</v>
      </c>
    </row>
    <row r="4" spans="1:8" ht="15.75" customHeight="1" x14ac:dyDescent="0.25">
      <c r="B4" s="19" t="s">
        <v>116</v>
      </c>
      <c r="C4" s="99">
        <v>6.8627193137280607E-2</v>
      </c>
    </row>
    <row r="5" spans="1:8" ht="15.75" customHeight="1" x14ac:dyDescent="0.25">
      <c r="B5" s="19" t="s">
        <v>114</v>
      </c>
      <c r="C5" s="99">
        <v>0.107747889225211</v>
      </c>
    </row>
    <row r="6" spans="1:8" ht="15.75" customHeight="1" x14ac:dyDescent="0.25">
      <c r="B6" s="19" t="s">
        <v>110</v>
      </c>
      <c r="C6" s="99">
        <v>0.25067987493201233</v>
      </c>
    </row>
    <row r="7" spans="1:8" ht="15.75" customHeight="1" x14ac:dyDescent="0.25">
      <c r="B7" s="19" t="s">
        <v>115</v>
      </c>
      <c r="C7" s="99">
        <v>0.38467066153293428</v>
      </c>
    </row>
    <row r="8" spans="1:8" ht="15.75" customHeight="1" x14ac:dyDescent="0.25">
      <c r="B8" s="19" t="s">
        <v>117</v>
      </c>
      <c r="C8" s="99">
        <v>3.6380996361900331E-3</v>
      </c>
    </row>
    <row r="9" spans="1:8" ht="15.75" customHeight="1" x14ac:dyDescent="0.25">
      <c r="B9" s="19" t="s">
        <v>111</v>
      </c>
      <c r="C9" s="99">
        <v>4.9439595056040453E-2</v>
      </c>
    </row>
    <row r="10" spans="1:8" ht="15.75" customHeight="1" x14ac:dyDescent="0.25">
      <c r="B10" s="19" t="s">
        <v>113</v>
      </c>
      <c r="C10" s="99">
        <v>0.1124930887506911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121</v>
      </c>
      <c r="C15" s="99">
        <v>0.1776060016341538</v>
      </c>
      <c r="D15" s="99">
        <v>0.1776060016341538</v>
      </c>
      <c r="E15" s="99">
        <v>0.1776060016341538</v>
      </c>
      <c r="F15" s="99">
        <v>0.1776060016341538</v>
      </c>
    </row>
    <row r="16" spans="1:8" ht="15.75" customHeight="1" x14ac:dyDescent="0.25">
      <c r="B16" s="19" t="s">
        <v>2</v>
      </c>
      <c r="C16" s="99">
        <v>2.4094016967912031E-2</v>
      </c>
      <c r="D16" s="99">
        <v>2.4094016967912031E-2</v>
      </c>
      <c r="E16" s="99">
        <v>2.4094016967912031E-2</v>
      </c>
      <c r="F16" s="99">
        <v>2.4094016967912031E-2</v>
      </c>
    </row>
    <row r="17" spans="1:8" ht="15.75" customHeight="1" x14ac:dyDescent="0.25">
      <c r="B17" s="19" t="s">
        <v>109</v>
      </c>
      <c r="C17" s="99">
        <v>4.9735591408575953E-2</v>
      </c>
      <c r="D17" s="99">
        <v>4.9735591408575953E-2</v>
      </c>
      <c r="E17" s="99">
        <v>4.9735591408575953E-2</v>
      </c>
      <c r="F17" s="99">
        <v>4.9735591408575953E-2</v>
      </c>
    </row>
    <row r="18" spans="1:8" ht="15.75" customHeight="1" x14ac:dyDescent="0.25">
      <c r="B18" s="19" t="s">
        <v>3</v>
      </c>
      <c r="C18" s="99">
        <v>0.1483260063722035</v>
      </c>
      <c r="D18" s="99">
        <v>0.1483260063722035</v>
      </c>
      <c r="E18" s="99">
        <v>0.1483260063722035</v>
      </c>
      <c r="F18" s="99">
        <v>0.1483260063722035</v>
      </c>
    </row>
    <row r="19" spans="1:8" ht="15.75" customHeight="1" x14ac:dyDescent="0.25">
      <c r="B19" s="19" t="s">
        <v>120</v>
      </c>
      <c r="C19" s="99">
        <v>2.6308364059891669E-2</v>
      </c>
      <c r="D19" s="99">
        <v>2.6308364059891669E-2</v>
      </c>
      <c r="E19" s="99">
        <v>2.6308364059891669E-2</v>
      </c>
      <c r="F19" s="99">
        <v>2.6308364059891669E-2</v>
      </c>
    </row>
    <row r="20" spans="1:8" ht="15.75" customHeight="1" x14ac:dyDescent="0.25">
      <c r="B20" s="19" t="s">
        <v>98</v>
      </c>
      <c r="C20" s="99">
        <v>0.1045476359491857</v>
      </c>
      <c r="D20" s="99">
        <v>0.1045476359491857</v>
      </c>
      <c r="E20" s="99">
        <v>0.1045476359491857</v>
      </c>
      <c r="F20" s="99">
        <v>0.1045476359491857</v>
      </c>
    </row>
    <row r="21" spans="1:8" ht="15.75" customHeight="1" x14ac:dyDescent="0.25">
      <c r="B21" s="19" t="s">
        <v>107</v>
      </c>
      <c r="C21" s="99">
        <v>8.989209806027508E-2</v>
      </c>
      <c r="D21" s="99">
        <v>8.989209806027508E-2</v>
      </c>
      <c r="E21" s="99">
        <v>8.989209806027508E-2</v>
      </c>
      <c r="F21" s="99">
        <v>8.989209806027508E-2</v>
      </c>
    </row>
    <row r="22" spans="1:8" ht="15.75" customHeight="1" x14ac:dyDescent="0.25">
      <c r="B22" s="19" t="s">
        <v>118</v>
      </c>
      <c r="C22" s="99">
        <v>0.2111181112872042</v>
      </c>
      <c r="D22" s="99">
        <v>0.2111181112872042</v>
      </c>
      <c r="E22" s="99">
        <v>0.2111181112872042</v>
      </c>
      <c r="F22" s="99">
        <v>0.2111181112872042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8.7170950000000011E-2</v>
      </c>
    </row>
    <row r="27" spans="1:8" ht="15.75" customHeight="1" x14ac:dyDescent="0.25">
      <c r="B27" s="19" t="s">
        <v>108</v>
      </c>
      <c r="C27" s="99">
        <v>8.9932480000000006E-3</v>
      </c>
    </row>
    <row r="28" spans="1:8" ht="15.75" customHeight="1" x14ac:dyDescent="0.25">
      <c r="B28" s="19" t="s">
        <v>122</v>
      </c>
      <c r="C28" s="99">
        <v>0.15608702499999999</v>
      </c>
    </row>
    <row r="29" spans="1:8" ht="15.75" customHeight="1" x14ac:dyDescent="0.25">
      <c r="B29" s="19" t="s">
        <v>105</v>
      </c>
      <c r="C29" s="99">
        <v>0.16826559799999999</v>
      </c>
    </row>
    <row r="30" spans="1:8" ht="15.75" customHeight="1" x14ac:dyDescent="0.25">
      <c r="B30" s="19" t="s">
        <v>4</v>
      </c>
      <c r="C30" s="99">
        <v>0.106258319</v>
      </c>
    </row>
    <row r="31" spans="1:8" ht="15.75" customHeight="1" x14ac:dyDescent="0.25">
      <c r="B31" s="19" t="s">
        <v>99</v>
      </c>
      <c r="C31" s="99">
        <v>0.11025383499999999</v>
      </c>
    </row>
    <row r="32" spans="1:8" ht="15.75" customHeight="1" x14ac:dyDescent="0.25">
      <c r="B32" s="19" t="s">
        <v>104</v>
      </c>
      <c r="C32" s="99">
        <v>1.8920856E-2</v>
      </c>
    </row>
    <row r="33" spans="2:3" ht="15.75" customHeight="1" x14ac:dyDescent="0.25">
      <c r="B33" s="19" t="s">
        <v>119</v>
      </c>
      <c r="C33" s="99">
        <v>8.4360093999999997E-2</v>
      </c>
    </row>
    <row r="34" spans="2:3" ht="15.75" customHeight="1" x14ac:dyDescent="0.25">
      <c r="B34" s="19" t="s">
        <v>106</v>
      </c>
      <c r="C34" s="99">
        <v>0.25969007599999999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RGoXZm4kq+d6HAyBIMBVwSnoeqaKqV4Wl7OVvuoioqXocwHAqaDAkW4K16++ozj+o12VBbdLgN9uy9phHYAMlQ==" saltValue="qqIygYZ7anFvOTWTWE7Jr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129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125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126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138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D60jH4qDHVVGpUbY6VG1tIYQervy4za7l02ipawU3s4iAQWZVZfhJJLwF3YGcLKgvL3vMY0Gb/qa21KOKDnfQ==" saltValue="DFuAqL1lar85xAVXs7sl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4.9451499999999982E-2</v>
      </c>
      <c r="D5" s="52">
        <f t="shared" si="0"/>
        <v>4.5463699999999996E-2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HVZ3pcNXEjmgrehksnR8ZhH/6Bi1GujQtJpmFk/6t7IfmhOFSLPIBQQn+BLiDKuGeoZGoedvb9h6iA1Vd5yizA==" saltValue="vkBlZSOC0upTO0ijOcDrU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FxQNZbrUHUW3TVyikPo1So13LHt0F1tIoxe4ZvNvCvAIootsd4k8ZiQ+LvIjhZFPqGiZ3HDdYwBtKEXLmFKJw==" saltValue="A8thBv7BK5qqasdIVt9uJ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775.82896574536505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0.37752000000000002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0.49648000000000003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2.1252729589515833E-2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92034.170639999997</v>
      </c>
      <c r="C22" s="107">
        <v>91075.237760000004</v>
      </c>
      <c r="D22" s="107">
        <v>90633.56985</v>
      </c>
      <c r="E22" s="107">
        <v>89864.409499999994</v>
      </c>
      <c r="F22" s="107">
        <v>88836.839139999996</v>
      </c>
      <c r="G22" s="107">
        <v>87557.880009999993</v>
      </c>
      <c r="H22" s="107">
        <v>85817.278529999996</v>
      </c>
      <c r="I22" s="107">
        <v>83323.931809999995</v>
      </c>
      <c r="J22" s="107">
        <v>79797.945160000003</v>
      </c>
      <c r="K22" s="107">
        <v>75200.080579999994</v>
      </c>
      <c r="L22" s="107">
        <v>69324.886169999998</v>
      </c>
      <c r="M22" s="107">
        <v>61991.574350000003</v>
      </c>
      <c r="N22" s="107">
        <v>53000.839469999999</v>
      </c>
      <c r="O22" s="107">
        <v>42776.444589999999</v>
      </c>
    </row>
  </sheetData>
  <sheetProtection algorithmName="SHA-512" hashValue="hW64kA9y9Y2/1bETNd98Hb7mYtXbRYfNV76yDThzPwRJclyFScTJbYZh/rMN/GxM05r7cRfmGD2BNbtgvdwiKw==" saltValue="orchj41kGCYi7hRkXQDag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oxx9I4FnXMkAnpgGBDoKfi4j1xH0O6meBftLtmtCm8vx7FPGqYxNzUYb5RPvCRgMp56m8knnWYxnlvBiaxS2pA==" saltValue="gv5wj9V2nMAk7vp8r75YO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5CMjswtVWFdVTKhXSVQs+0ERWO7spHmLSn1USalmTxrgY++cao+1qGXwaCXk18nHPVx3hjmYGqewAl6sXxiYg==" saltValue="ooW9+ZLFOdhvs8m4VhlUQ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47.38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47.38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44.13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0.29199781956936499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15.04169622018882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15.04169622018882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15.04169622018882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15.04169622018882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15.04169622018882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15.04169622018882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0.94460179999999994</v>
      </c>
      <c r="C16" s="96">
        <v>0.95</v>
      </c>
      <c r="D16" s="56">
        <v>0.30469337694194604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0.57174320000000001</v>
      </c>
      <c r="C18" s="96">
        <v>0.95</v>
      </c>
      <c r="D18" s="56">
        <v>44.13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0.57174320000000001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2.2599999999999998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44.13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0.96602919999999992</v>
      </c>
      <c r="C23" s="96">
        <v>0.95</v>
      </c>
      <c r="D23" s="56">
        <v>4.9266956385450174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0.27148055616163802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21.75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0.2996625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8.0891400000000002E-2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25.63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2.7E-2</v>
      </c>
      <c r="C31" s="96">
        <v>0.95</v>
      </c>
      <c r="D31" s="56">
        <v>153.11000000000001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0.77</v>
      </c>
      <c r="C32" s="96">
        <v>0.95</v>
      </c>
      <c r="D32" s="56">
        <v>0.96486236031616246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0.19689092741178599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0.77036389999999999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4.0261999999999997E-3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0.47813240000000001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0.34075339999999998</v>
      </c>
      <c r="C38" s="96">
        <v>0.95</v>
      </c>
      <c r="D38" s="56">
        <v>7.0206432270373407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eW0A+EXszeXqrkZzyighTxQphcln9/5k7QicMPQxxSZSVAdTykXIjXQfLialDRZYHsdjp8KOkYB1Y3xBzLrjKw==" saltValue="X6tB4+IsItdgVERK4s2D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zcffObXdCTKwGZYIDkgWgJpwSjBJd1aKb5V0x7V7SJj6a3hYJYilK68yW37WTORYew9jglngDWi8jRgem/h5g==" saltValue="xZVP8bxd3HGpvnIwZRvF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eWWkho+D6i1Ya3dBni+DfzQc6bBWUGhlgTGkDi3x4E0hvDkYr/bkY/uGL/wPdKYlyhfRWQJyTLn2jDJM5lEuw==" saltValue="/z4zXQELjEdksZdf5xgyJ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236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sheetProtection algorithmName="SHA-512" hashValue="LYtIcHwb7iKDff7HS4k+TINIrlSMvOe0v/j6s8eWly395qnF9tIRnXVIAX88n29QO9bEtOzkW4Wccgiuxd9XUQ==" saltValue="V4/5CmuzwRgPZoEHT2Fhr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0.67099999999999993</v>
      </c>
      <c r="F2" s="60">
        <f>food_insecure</f>
        <v>0.67099999999999993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0.67099999999999993</v>
      </c>
      <c r="I15" s="60">
        <f t="shared" si="0"/>
        <v>0.67099999999999993</v>
      </c>
      <c r="J15" s="60">
        <f t="shared" si="0"/>
        <v>0.67099999999999993</v>
      </c>
      <c r="K15" s="60">
        <f t="shared" si="0"/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0.67099999999999993</v>
      </c>
      <c r="I16" s="60">
        <f t="shared" si="0"/>
        <v>0.67099999999999993</v>
      </c>
      <c r="J16" s="60">
        <f t="shared" si="0"/>
        <v>0.67099999999999993</v>
      </c>
      <c r="K16" s="60">
        <f t="shared" si="0"/>
        <v>0.67099999999999993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0.2231656276</v>
      </c>
      <c r="M24" s="60">
        <f>famplan_unmet_need</f>
        <v>0.2231656276</v>
      </c>
      <c r="N24" s="60">
        <f>famplan_unmet_need</f>
        <v>0.2231656276</v>
      </c>
      <c r="O24" s="60">
        <f>famplan_unmet_need</f>
        <v>0.2231656276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SA9VMRV1+9nwPaxl1fuLXCeXNS9cGLXd56LnFdLGUL6UI0aSnScdF3A+A2Ff4CKcAl5UKC3AJLcZ5mIx1qccA==" saltValue="7+QankMhaghUCuUtevHfW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MT4QbjvhADA8zXEe0RcfctnaZf7NoED+palh31qGo70DCH5mUKy0/YypR5kWueKaCaEu06r7eRo8Hh7ooZgiw==" saltValue="Vq1mZXvy/lRR19h18uiqY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f4qAgiDiVvluT1dmk4wMvByoz+ep90dxI2BHOnQfu4JMS3gV8gqtTytHqcAp2WhyrRegMeYreouDxo/6/Jyxw==" saltValue="7gRm2vIWlSIkZ7n7F+uUd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qk9IeYFnRbYnFAQKBaGOE0yl3lmAZARNNLl9AJJhwfsPeyS2GrjbyPAmhs0RpYPXsNBBhpYW/yVpEXjU85RwA==" saltValue="9HqbnS5PwIFxrjsMO0gy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b2n9XuiIchgs2qiyUIfWoao2ver8FxN124+8rxWI/rGqUcSMN9gNVAszmPt5N9SSRCaaQ2prdJ0w5ipohbiTaQ==" saltValue="JbyMN1WLGbzhbFj1O5ic1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L4L99/VErpuC2P9HLlBcYppI1rSyzh4aUf4ZbnYf+OozFAeFgzliVpQzXwKafCgFLP8RIW0iU+CViTphSWCxQ==" saltValue="Tlz5m/q28iUBQjnVdqg/1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9HDKjI1HCvDvkWyOUHhQhiNkuKTNIH5VHVaqoT/1dqysAl/SaNPXtTImBSzETz5UJu8Qo/19RIQCLEltZ+vgg==" saltValue="wamZHwNdSDy0TOqL3IOnG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V9mId7A+U1CuPS1Ft6dws/HHpqxVHxr+AlCJJSmc1inUCUf++1PS7ILUGPN4ZzBfgN76pj+En/jxR/2W3yqtQ==" saltValue="aFKt29IgPG3i3TLy1/zf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eq2/Vmv2Mbdk8N8KajP6DwTv3DhkAwMCEv/tS5JBRwobs1XfBUChkDbf5XAVH2Z3bM2KH2JJ7aFNnRshbD6zw==" saltValue="5Cncsh813U30Brd4oYRC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/fCakeagZc61wlg7QHdIn4hWS3EhGuSWcRtpvkwJz8U2+0Wx39meG4qvwilmzAN3uBaTIdlt6j8doJSjNP1bw==" saltValue="0IZXiMexyoKVB0nxAP/Z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SIF/qSR9S6pP4SOjg//lgEiad6vMPUWNZ6qPFkAZtDMP/zz4wMUzakrQ2iQDmNQrD90B1TkC6l4p9XuSFPbgA==" saltValue="kZuW8nZGyAXEtTMiHivV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XqzrSaEDZTAHveqy2nWh+tOt6CkzJNy/a27IsZfQtDN2pH3O7eacGYYisxncI2qMDxJX4ehp296JMEhjmqGeA==" saltValue="7ZfWFV7EghOdx80MNtaT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OBf+xYEaEY0xYVYzNxxG9qiQ0yE8pfEW185KekkcAYMYWovh69rkAz4ir0SEBR6VxrT5kliNi3/ReHNozsvNw==" saltValue="164qwZBVjGnK6fIgZcP0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KUwzwW2Cku9CDUPkCM35BN0Cn+aGzL2FKf3HxfNf1XQ+ewgjt0WinIynieA4rVXKF5yIEsb/ImthsvOFl/69hw==" saltValue="bLkn288XbYdDYfR9sEuc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mPO1Bml1RurNTjXOKeV7N6VqvZa8DxautFiZ6wUDx4wEXp6f3HK9QM5IRECKjdT0REDip8ilaHYHUcEiv4UKw==" saltValue="cWtmwrco7eetRyHSPbqfI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