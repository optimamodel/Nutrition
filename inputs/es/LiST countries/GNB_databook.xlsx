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073FDDB-1442-4FE5-AF2E-0E7F743A462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6" i="2"/>
  <c r="I39" i="2"/>
  <c r="A34" i="2"/>
  <c r="A40" i="2"/>
  <c r="A31" i="2"/>
  <c r="I2" i="2"/>
  <c r="I6" i="2"/>
  <c r="A19" i="2"/>
  <c r="A35" i="2"/>
  <c r="A36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<sst xmlns="http://schemas.openxmlformats.org/spreadsheetml/2006/main" count="2169" uniqueCount="373">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</sst>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300164</v>
      </c>
    </row>
    <row r="8" spans="1:3" ht="15" customHeight="1" x14ac:dyDescent="0.25">
      <c r="B8" s="5" t="s">
        <v>63</v>
      </c>
      <c r="C8" s="44">
        <v>0.67099999999999993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0.2231656276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9.4700000000000006E-2</v>
      </c>
    </row>
    <row r="24" spans="1:3" ht="15" customHeight="1" x14ac:dyDescent="0.25">
      <c r="B24" s="15" t="s">
        <v>65</v>
      </c>
      <c r="C24" s="45">
        <v>0.47560000000000002</v>
      </c>
    </row>
    <row r="25" spans="1:3" ht="15" customHeight="1" x14ac:dyDescent="0.25">
      <c r="B25" s="15" t="s">
        <v>66</v>
      </c>
      <c r="C25" s="45">
        <v>0.35120000000000001</v>
      </c>
    </row>
    <row r="26" spans="1:3" ht="15" customHeight="1" x14ac:dyDescent="0.25">
      <c r="B26" s="15" t="s">
        <v>67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0.20134766316932501</v>
      </c>
    </row>
    <row r="30" spans="1:3" ht="14.25" customHeight="1" x14ac:dyDescent="0.25">
      <c r="B30" s="25" t="s">
        <v>82</v>
      </c>
      <c r="C30" s="97">
        <v>3.7040067899888597E-2</v>
      </c>
    </row>
    <row r="31" spans="1:3" ht="14.25" customHeight="1" x14ac:dyDescent="0.25">
      <c r="B31" s="25" t="s">
        <v>29</v>
      </c>
      <c r="C31" s="97">
        <v>9.42970158051466E-2</v>
      </c>
    </row>
    <row r="32" spans="1:3" ht="14.25" customHeight="1" x14ac:dyDescent="0.25">
      <c r="B32" s="25" t="s">
        <v>30</v>
      </c>
      <c r="C32" s="97">
        <v>0.66731525312564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34.303510000000003</v>
      </c>
    </row>
    <row r="38" spans="1:5" ht="15" customHeight="1" x14ac:dyDescent="0.25">
      <c r="B38" s="11" t="s">
        <v>54</v>
      </c>
      <c r="C38" s="43">
        <v>49.96163</v>
      </c>
      <c r="D38" s="12"/>
      <c r="E38" s="13"/>
    </row>
    <row r="39" spans="1:5" ht="15" customHeight="1" x14ac:dyDescent="0.25">
      <c r="B39" s="11" t="s">
        <v>80</v>
      </c>
      <c r="C39" s="43">
        <v>74.305310000000006</v>
      </c>
      <c r="D39" s="12"/>
      <c r="E39" s="12"/>
    </row>
    <row r="40" spans="1:5" ht="15" customHeight="1" x14ac:dyDescent="0.25">
      <c r="B40" s="11" t="s">
        <v>55</v>
      </c>
      <c r="C40" s="98">
        <v>7.25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7.9141000000000003E-3</v>
      </c>
      <c r="D45" s="12"/>
    </row>
    <row r="46" spans="1:5" ht="15.75" customHeight="1" x14ac:dyDescent="0.25">
      <c r="B46" s="11" t="s">
        <v>70</v>
      </c>
      <c r="C46" s="45">
        <v>8.5036E-2</v>
      </c>
      <c r="D46" s="12"/>
    </row>
    <row r="47" spans="1:5" ht="15.75" customHeight="1" x14ac:dyDescent="0.25">
      <c r="B47" s="11" t="s">
        <v>78</v>
      </c>
      <c r="C47" s="45">
        <v>7.3474499999999998E-2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0.44195400000000001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gRBheImnC0fIUPCy8LNoNefEBX/poroOxk9aiv9TGC8UypGa/scfnQNM9pF6QVI9PlycDphkUmxv5/hpwJwitw==" saltValue="tYdY2zslpsxGjt1XKm/n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65072</v>
      </c>
      <c r="C2" s="49">
        <v>118994.5</v>
      </c>
      <c r="D2" s="49">
        <v>193392</v>
      </c>
      <c r="E2" s="49">
        <v>144613</v>
      </c>
      <c r="F2" s="49">
        <v>103902.99999999999</v>
      </c>
      <c r="G2" s="17">
        <f t="shared" ref="G2:G13" si="0">C2+D2+E2+F2</f>
        <v>560902.5</v>
      </c>
      <c r="H2" s="17">
        <f t="shared" ref="H2:H13" si="1">(B2 + stillbirth*B2/(1000-stillbirth))/(1-abortion)</f>
        <v>76327.44795722657</v>
      </c>
      <c r="I2" s="17">
        <f t="shared" ref="I2:I13" si="2">G2-H2</f>
        <v>484575.05204277346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65468</v>
      </c>
      <c r="C3" s="50">
        <v>121756.5</v>
      </c>
      <c r="D3" s="50">
        <v>198139</v>
      </c>
      <c r="E3" s="50">
        <v>148468.00000000003</v>
      </c>
      <c r="F3" s="50">
        <v>107043</v>
      </c>
      <c r="G3" s="17">
        <f t="shared" si="0"/>
        <v>575406.5</v>
      </c>
      <c r="H3" s="17">
        <f t="shared" si="1"/>
        <v>76791.94373714822</v>
      </c>
      <c r="I3" s="17">
        <f t="shared" si="2"/>
        <v>498614.55626285181</v>
      </c>
    </row>
    <row r="4" spans="1:9" ht="15.75" customHeight="1" x14ac:dyDescent="0.25">
      <c r="A4" s="5">
        <f t="shared" si="3"/>
        <v>2026</v>
      </c>
      <c r="B4" s="49">
        <v>66031</v>
      </c>
      <c r="C4" s="50">
        <v>124513.5</v>
      </c>
      <c r="D4" s="50">
        <v>203062</v>
      </c>
      <c r="E4" s="50">
        <v>152405.50000000003</v>
      </c>
      <c r="F4" s="50">
        <v>110201</v>
      </c>
      <c r="G4" s="17">
        <f t="shared" si="0"/>
        <v>590182</v>
      </c>
      <c r="H4" s="17">
        <f t="shared" si="1"/>
        <v>77452.325363652999</v>
      </c>
      <c r="I4" s="17">
        <f t="shared" si="2"/>
        <v>512729.67463634699</v>
      </c>
    </row>
    <row r="5" spans="1:9" ht="15.75" customHeight="1" x14ac:dyDescent="0.25">
      <c r="A5" s="5">
        <f t="shared" si="3"/>
        <v>2027</v>
      </c>
      <c r="B5" s="49">
        <v>66611</v>
      </c>
      <c r="C5" s="50">
        <v>127233.5</v>
      </c>
      <c r="D5" s="50">
        <v>208130.49999999997</v>
      </c>
      <c r="E5" s="50">
        <v>156446.5</v>
      </c>
      <c r="F5" s="50">
        <v>113481.5</v>
      </c>
      <c r="G5" s="17">
        <f t="shared" si="0"/>
        <v>605292</v>
      </c>
      <c r="H5" s="17">
        <f t="shared" si="1"/>
        <v>78132.647465558446</v>
      </c>
      <c r="I5" s="17">
        <f t="shared" si="2"/>
        <v>527159.35253444151</v>
      </c>
    </row>
    <row r="6" spans="1:9" ht="15.75" customHeight="1" x14ac:dyDescent="0.25">
      <c r="A6" s="5">
        <f t="shared" si="3"/>
        <v>2028</v>
      </c>
      <c r="B6" s="49">
        <v>67153</v>
      </c>
      <c r="C6" s="50">
        <v>129912.5</v>
      </c>
      <c r="D6" s="50">
        <v>213172</v>
      </c>
      <c r="E6" s="50">
        <v>160536</v>
      </c>
      <c r="F6" s="50">
        <v>117058</v>
      </c>
      <c r="G6" s="17">
        <f t="shared" si="0"/>
        <v>620678.5</v>
      </c>
      <c r="H6" s="17">
        <f t="shared" si="1"/>
        <v>78768.396740097669</v>
      </c>
      <c r="I6" s="17">
        <f t="shared" si="2"/>
        <v>541910.10325990233</v>
      </c>
    </row>
    <row r="7" spans="1:9" ht="15.75" customHeight="1" x14ac:dyDescent="0.25">
      <c r="A7" s="5">
        <f t="shared" si="3"/>
        <v>2029</v>
      </c>
      <c r="B7" s="49">
        <v>67623</v>
      </c>
      <c r="C7" s="50">
        <v>132425.5</v>
      </c>
      <c r="D7" s="50">
        <v>218087</v>
      </c>
      <c r="E7" s="50">
        <v>164545.5</v>
      </c>
      <c r="F7" s="50">
        <v>120832.5</v>
      </c>
      <c r="G7" s="17">
        <f t="shared" si="0"/>
        <v>635890.5</v>
      </c>
      <c r="H7" s="17">
        <f t="shared" si="1"/>
        <v>79319.692236469331</v>
      </c>
      <c r="I7" s="17">
        <f t="shared" si="2"/>
        <v>556570.80776353064</v>
      </c>
    </row>
    <row r="8" spans="1:9" ht="15.75" customHeight="1" x14ac:dyDescent="0.25">
      <c r="A8" s="5">
        <f t="shared" si="3"/>
        <v>2030</v>
      </c>
      <c r="B8" s="49">
        <v>67905</v>
      </c>
      <c r="C8" s="50">
        <v>134551.5</v>
      </c>
      <c r="D8" s="50">
        <v>223068.5</v>
      </c>
      <c r="E8" s="50">
        <v>168704</v>
      </c>
      <c r="F8" s="50">
        <v>124401.5</v>
      </c>
      <c r="G8" s="17">
        <f t="shared" si="0"/>
        <v>650725.5</v>
      </c>
      <c r="H8" s="17">
        <f t="shared" si="1"/>
        <v>79650.469534292322</v>
      </c>
      <c r="I8" s="17">
        <f t="shared" si="2"/>
        <v>571075.03046570765</v>
      </c>
    </row>
    <row r="9" spans="1:9" ht="15.75" customHeight="1" x14ac:dyDescent="0.25">
      <c r="A9" s="5">
        <f t="shared" si="3"/>
        <v>2031</v>
      </c>
      <c r="B9" s="49">
        <v>68296</v>
      </c>
      <c r="C9" s="50">
        <v>136164</v>
      </c>
      <c r="D9" s="50">
        <v>228335</v>
      </c>
      <c r="E9" s="50">
        <v>173077.5</v>
      </c>
      <c r="F9" s="50">
        <v>127777</v>
      </c>
      <c r="G9" s="17">
        <f t="shared" si="0"/>
        <v>665353.5</v>
      </c>
      <c r="H9" s="17">
        <f t="shared" si="1"/>
        <v>80109.100468507895</v>
      </c>
      <c r="I9" s="17">
        <f t="shared" si="2"/>
        <v>585244.39953149215</v>
      </c>
    </row>
    <row r="10" spans="1:9" ht="15.75" customHeight="1" x14ac:dyDescent="0.25">
      <c r="A10" s="5">
        <f t="shared" si="3"/>
        <v>2032</v>
      </c>
      <c r="B10" s="49">
        <v>68609</v>
      </c>
      <c r="C10" s="50">
        <v>137098</v>
      </c>
      <c r="D10" s="50">
        <v>233852.50000000003</v>
      </c>
      <c r="E10" s="50">
        <v>177515.5</v>
      </c>
      <c r="F10" s="50">
        <v>131220</v>
      </c>
      <c r="G10" s="17">
        <f t="shared" si="0"/>
        <v>679686</v>
      </c>
      <c r="H10" s="17">
        <f t="shared" si="1"/>
        <v>80476.239809708597</v>
      </c>
      <c r="I10" s="17">
        <f t="shared" si="2"/>
        <v>599209.76019029145</v>
      </c>
    </row>
    <row r="11" spans="1:9" ht="15.75" customHeight="1" x14ac:dyDescent="0.25">
      <c r="A11" s="5">
        <f t="shared" si="3"/>
        <v>2033</v>
      </c>
      <c r="B11" s="49">
        <v>68986</v>
      </c>
      <c r="C11" s="50">
        <v>137515</v>
      </c>
      <c r="D11" s="50">
        <v>239414.5</v>
      </c>
      <c r="E11" s="50">
        <v>182050.5</v>
      </c>
      <c r="F11" s="50">
        <v>134769.5</v>
      </c>
      <c r="G11" s="17">
        <f t="shared" si="0"/>
        <v>693749.5</v>
      </c>
      <c r="H11" s="17">
        <f t="shared" si="1"/>
        <v>80918.449175947142</v>
      </c>
      <c r="I11" s="17">
        <f t="shared" si="2"/>
        <v>612831.05082405289</v>
      </c>
    </row>
    <row r="12" spans="1:9" ht="15.75" customHeight="1" x14ac:dyDescent="0.25">
      <c r="A12" s="5">
        <f t="shared" si="3"/>
        <v>2034</v>
      </c>
      <c r="B12" s="49">
        <v>69366</v>
      </c>
      <c r="C12" s="50">
        <v>137840</v>
      </c>
      <c r="D12" s="50">
        <v>244658.00000000003</v>
      </c>
      <c r="E12" s="50">
        <v>186533.00000000003</v>
      </c>
      <c r="F12" s="50">
        <v>138381.5</v>
      </c>
      <c r="G12" s="17">
        <f t="shared" si="0"/>
        <v>707412.5</v>
      </c>
      <c r="H12" s="17">
        <f t="shared" si="1"/>
        <v>81364.177449609342</v>
      </c>
      <c r="I12" s="17">
        <f t="shared" si="2"/>
        <v>626048.32255039061</v>
      </c>
    </row>
    <row r="13" spans="1:9" ht="15.75" customHeight="1" x14ac:dyDescent="0.25">
      <c r="A13" s="5">
        <f t="shared" si="3"/>
        <v>2035</v>
      </c>
      <c r="B13" s="49">
        <v>69432</v>
      </c>
      <c r="C13" s="50">
        <v>138321</v>
      </c>
      <c r="D13" s="50">
        <v>249300</v>
      </c>
      <c r="E13" s="50">
        <v>190972</v>
      </c>
      <c r="F13" s="50">
        <v>142038.5</v>
      </c>
      <c r="G13" s="17">
        <f t="shared" si="0"/>
        <v>720631.5</v>
      </c>
      <c r="H13" s="17">
        <f t="shared" si="1"/>
        <v>81441.593412929593</v>
      </c>
      <c r="I13" s="17">
        <f t="shared" si="2"/>
        <v>639189.90658707044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vZquX6uL7N2pfDXx2hauc7wNWP3g4Gmw4rE3Su/OoEXmaH8jdV2L6srOp0pb3rs8W5ovJMfS4QF5BZY7+SYWw==" saltValue="GRwxD6K2HRxXSr29VD5Hc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2.2703597729640201E-2</v>
      </c>
    </row>
    <row r="4" spans="1:8" ht="15.75" customHeight="1" x14ac:dyDescent="0.25">
      <c r="B4" s="19" t="s">
        <v>116</v>
      </c>
      <c r="C4" s="99">
        <v>6.8627193137280607E-2</v>
      </c>
    </row>
    <row r="5" spans="1:8" ht="15.75" customHeight="1" x14ac:dyDescent="0.25">
      <c r="B5" s="19" t="s">
        <v>114</v>
      </c>
      <c r="C5" s="99">
        <v>0.107747889225211</v>
      </c>
    </row>
    <row r="6" spans="1:8" ht="15.75" customHeight="1" x14ac:dyDescent="0.25">
      <c r="B6" s="19" t="s">
        <v>110</v>
      </c>
      <c r="C6" s="99">
        <v>0.25067987493201233</v>
      </c>
    </row>
    <row r="7" spans="1:8" ht="15.75" customHeight="1" x14ac:dyDescent="0.25">
      <c r="B7" s="19" t="s">
        <v>115</v>
      </c>
      <c r="C7" s="99">
        <v>0.38467066153293428</v>
      </c>
    </row>
    <row r="8" spans="1:8" ht="15.75" customHeight="1" x14ac:dyDescent="0.25">
      <c r="B8" s="19" t="s">
        <v>117</v>
      </c>
      <c r="C8" s="99">
        <v>3.6380996361900331E-3</v>
      </c>
    </row>
    <row r="9" spans="1:8" ht="15.75" customHeight="1" x14ac:dyDescent="0.25">
      <c r="B9" s="19" t="s">
        <v>111</v>
      </c>
      <c r="C9" s="99">
        <v>4.9439595056040453E-2</v>
      </c>
    </row>
    <row r="10" spans="1:8" ht="15.75" customHeight="1" x14ac:dyDescent="0.25">
      <c r="B10" s="19" t="s">
        <v>113</v>
      </c>
      <c r="C10" s="99">
        <v>0.1124930887506911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121</v>
      </c>
      <c r="C15" s="99">
        <v>0.1776060016341538</v>
      </c>
      <c r="D15" s="99">
        <v>0.1776060016341538</v>
      </c>
      <c r="E15" s="99">
        <v>0.1776060016341538</v>
      </c>
      <c r="F15" s="99">
        <v>0.1776060016341538</v>
      </c>
    </row>
    <row r="16" spans="1:8" ht="15.75" customHeight="1" x14ac:dyDescent="0.25">
      <c r="B16" s="19" t="s">
        <v>2</v>
      </c>
      <c r="C16" s="99">
        <v>2.4094016967912031E-2</v>
      </c>
      <c r="D16" s="99">
        <v>2.4094016967912031E-2</v>
      </c>
      <c r="E16" s="99">
        <v>2.4094016967912031E-2</v>
      </c>
      <c r="F16" s="99">
        <v>2.4094016967912031E-2</v>
      </c>
    </row>
    <row r="17" spans="1:8" ht="15.75" customHeight="1" x14ac:dyDescent="0.25">
      <c r="B17" s="19" t="s">
        <v>109</v>
      </c>
      <c r="C17" s="99">
        <v>4.9735591408575953E-2</v>
      </c>
      <c r="D17" s="99">
        <v>4.9735591408575953E-2</v>
      </c>
      <c r="E17" s="99">
        <v>4.9735591408575953E-2</v>
      </c>
      <c r="F17" s="99">
        <v>4.9735591408575953E-2</v>
      </c>
    </row>
    <row r="18" spans="1:8" ht="15.75" customHeight="1" x14ac:dyDescent="0.25">
      <c r="B18" s="19" t="s">
        <v>3</v>
      </c>
      <c r="C18" s="99">
        <v>0.1483260063722035</v>
      </c>
      <c r="D18" s="99">
        <v>0.1483260063722035</v>
      </c>
      <c r="E18" s="99">
        <v>0.1483260063722035</v>
      </c>
      <c r="F18" s="99">
        <v>0.1483260063722035</v>
      </c>
    </row>
    <row r="19" spans="1:8" ht="15.75" customHeight="1" x14ac:dyDescent="0.25">
      <c r="B19" s="19" t="s">
        <v>120</v>
      </c>
      <c r="C19" s="99">
        <v>2.6308364059891669E-2</v>
      </c>
      <c r="D19" s="99">
        <v>2.6308364059891669E-2</v>
      </c>
      <c r="E19" s="99">
        <v>2.6308364059891669E-2</v>
      </c>
      <c r="F19" s="99">
        <v>2.6308364059891669E-2</v>
      </c>
    </row>
    <row r="20" spans="1:8" ht="15.75" customHeight="1" x14ac:dyDescent="0.25">
      <c r="B20" s="19" t="s">
        <v>98</v>
      </c>
      <c r="C20" s="99">
        <v>0.1045476359491857</v>
      </c>
      <c r="D20" s="99">
        <v>0.1045476359491857</v>
      </c>
      <c r="E20" s="99">
        <v>0.1045476359491857</v>
      </c>
      <c r="F20" s="99">
        <v>0.1045476359491857</v>
      </c>
    </row>
    <row r="21" spans="1:8" ht="15.75" customHeight="1" x14ac:dyDescent="0.25">
      <c r="B21" s="19" t="s">
        <v>107</v>
      </c>
      <c r="C21" s="99">
        <v>8.989209806027508E-2</v>
      </c>
      <c r="D21" s="99">
        <v>8.989209806027508E-2</v>
      </c>
      <c r="E21" s="99">
        <v>8.989209806027508E-2</v>
      </c>
      <c r="F21" s="99">
        <v>8.989209806027508E-2</v>
      </c>
    </row>
    <row r="22" spans="1:8" ht="15.75" customHeight="1" x14ac:dyDescent="0.25">
      <c r="B22" s="19" t="s">
        <v>118</v>
      </c>
      <c r="C22" s="99">
        <v>0.2111181112872042</v>
      </c>
      <c r="D22" s="99">
        <v>0.2111181112872042</v>
      </c>
      <c r="E22" s="99">
        <v>0.2111181112872042</v>
      </c>
      <c r="F22" s="99">
        <v>0.2111181112872042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8.7170950000000011E-2</v>
      </c>
    </row>
    <row r="27" spans="1:8" ht="15.75" customHeight="1" x14ac:dyDescent="0.25">
      <c r="B27" s="19" t="s">
        <v>108</v>
      </c>
      <c r="C27" s="99">
        <v>8.9932480000000006E-3</v>
      </c>
    </row>
    <row r="28" spans="1:8" ht="15.75" customHeight="1" x14ac:dyDescent="0.25">
      <c r="B28" s="19" t="s">
        <v>122</v>
      </c>
      <c r="C28" s="99">
        <v>0.15608702499999999</v>
      </c>
    </row>
    <row r="29" spans="1:8" ht="15.75" customHeight="1" x14ac:dyDescent="0.25">
      <c r="B29" s="19" t="s">
        <v>105</v>
      </c>
      <c r="C29" s="99">
        <v>0.16826559799999999</v>
      </c>
    </row>
    <row r="30" spans="1:8" ht="15.75" customHeight="1" x14ac:dyDescent="0.25">
      <c r="B30" s="19" t="s">
        <v>4</v>
      </c>
      <c r="C30" s="99">
        <v>0.106258319</v>
      </c>
    </row>
    <row r="31" spans="1:8" ht="15.75" customHeight="1" x14ac:dyDescent="0.25">
      <c r="B31" s="19" t="s">
        <v>99</v>
      </c>
      <c r="C31" s="99">
        <v>0.11025383499999999</v>
      </c>
    </row>
    <row r="32" spans="1:8" ht="15.75" customHeight="1" x14ac:dyDescent="0.25">
      <c r="B32" s="19" t="s">
        <v>104</v>
      </c>
      <c r="C32" s="99">
        <v>1.8920856E-2</v>
      </c>
    </row>
    <row r="33" spans="2:3" ht="15.75" customHeight="1" x14ac:dyDescent="0.25">
      <c r="B33" s="19" t="s">
        <v>119</v>
      </c>
      <c r="C33" s="99">
        <v>8.4360093999999997E-2</v>
      </c>
    </row>
    <row r="34" spans="2:3" ht="15.75" customHeight="1" x14ac:dyDescent="0.25">
      <c r="B34" s="19" t="s">
        <v>106</v>
      </c>
      <c r="C34" s="99">
        <v>0.25969007599999999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lsJ8EUTObFfmeE5G+EsTBMRjaRudBqUFkJkYwfPW1E16kl6pEBOSyjjxXUurGSxCL7WF9TTCPpSxao6fBZ7dOQ==" saltValue="9Vgvk7dom7yxJbwiiil3l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129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125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126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138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iAE6pgaA/Y3f7xgAfbTBMCxBasUW120NjKlDA/7UrFFNHUNbwhirqxDOq7PskBUq8lidEXZV5MqPwx6B8OjTA==" saltValue="RiLJNAi5zRs1s8wYAPbI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4.9451499999999982E-2</v>
      </c>
      <c r="D5" s="52">
        <f t="shared" si="0"/>
        <v>4.5463699999999996E-2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+Ddsr6YTdJBx84up9XrkbfefPeWnyDz78lj6f5ZJgk0cJ6+7cPUvNpumZLzab5lRD8WTuZe9CACpJwD/S6FokQ==" saltValue="tYmVBpsHh1/pSG+Xbv8K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xQDlg87JoWCg6b7VVnitGUTbqDFLx6/dTcXS1tDRvLIyWOupNSSNKgHhS2/janQZdcJZaetSzJFmdqiTCUpxQ==" saltValue="EH8F3dA/MDg2C5jbqfZQ9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775.82896574536505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0.37752000000000002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0.49648000000000003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2.1252729589515833E-2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92034.170639999997</v>
      </c>
      <c r="C22" s="107">
        <v>91075.237760000004</v>
      </c>
      <c r="D22" s="107">
        <v>90633.56985</v>
      </c>
      <c r="E22" s="107">
        <v>89864.409499999994</v>
      </c>
      <c r="F22" s="107">
        <v>88836.839139999996</v>
      </c>
      <c r="G22" s="107">
        <v>87557.880009999993</v>
      </c>
      <c r="H22" s="107">
        <v>85817.278529999996</v>
      </c>
      <c r="I22" s="107">
        <v>83323.931809999995</v>
      </c>
      <c r="J22" s="107">
        <v>79797.945160000003</v>
      </c>
      <c r="K22" s="107">
        <v>75200.080579999994</v>
      </c>
      <c r="L22" s="107">
        <v>69324.886169999998</v>
      </c>
      <c r="M22" s="107">
        <v>61991.574350000003</v>
      </c>
      <c r="N22" s="107">
        <v>53000.839469999999</v>
      </c>
      <c r="O22" s="107">
        <v>42776.444589999999</v>
      </c>
    </row>
  </sheetData>
  <sheetProtection algorithmName="SHA-512" hashValue="qQz7BwZ/jx9OuTl9dSYeyGssihftpQXaiS4CPgp76cq4SwQVVDkGDDraUj+mbwaGS6trB3GNvfEXIITgYY24Bg==" saltValue="gI8sfdshPJmzoA1ik8T1B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xpIPshJksbBNafIopdq8VAW1k2MBv9PQUK7h0Len7AIR4IPPm0CL/U4LF3oY4tpclGpycRjFJ//m21yFPCQFA==" saltValue="1KV2NZWOMb4K56Arphmd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7xifzJjmyH1hHQDPlGrRCz4tbanWhHpwOav8j2btgQwGYKGuUWd4UClvBtxJsC6qU3yY8o84qSw2ogHo+hgoQ==" saltValue="Ns7zlbEA+kB4IYDmIfKU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47.38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47.38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44.13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0.29199781956936499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15.04169622018882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15.04169622018882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15.04169622018882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15.04169622018882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15.04169622018882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15.04169622018882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0.94460179999999994</v>
      </c>
      <c r="C16" s="96">
        <v>0.95</v>
      </c>
      <c r="D16" s="56">
        <v>0.30469337694194604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0.57174320000000001</v>
      </c>
      <c r="C18" s="96">
        <v>0.95</v>
      </c>
      <c r="D18" s="56">
        <v>44.13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0.57174320000000001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2.2599999999999998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44.13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0.96602919999999992</v>
      </c>
      <c r="C23" s="96">
        <v>0.95</v>
      </c>
      <c r="D23" s="56">
        <v>4.9266956385450174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0.27148055616163802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21.75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0.2996625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8.0891400000000002E-2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25.63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2.7E-2</v>
      </c>
      <c r="C31" s="96">
        <v>0.95</v>
      </c>
      <c r="D31" s="56">
        <v>153.11000000000001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0.77</v>
      </c>
      <c r="C32" s="96">
        <v>0.95</v>
      </c>
      <c r="D32" s="56">
        <v>0.96486236031616246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0.19689092741178599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0.77036389999999999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4.0261999999999997E-3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0.47813240000000001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0.34075339999999998</v>
      </c>
      <c r="C38" s="96">
        <v>0.95</v>
      </c>
      <c r="D38" s="56">
        <v>7.0206432270373407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IkHyhtozEhtmeaOC2qctxPD8ab5wSLF3arIkXKxHzM2nEBo9Hru1rKk5JX9MEucMmyZVSyMeioER5wr6xM/cEA==" saltValue="ajZogxhwGNtBMYSGjX22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kManz9riDG9kKq1qZCz5jS/mc17mmw3JhB2fWP3it3jkMhEg/G7PmeyPCPn+B1awcl2XdaQsM3QFxeAn6T0Hg==" saltValue="sWlqjxJK/boQWonSiV4w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QvfBzgjO/QxvHgrWAasc3wLSLpuqg2n7bro0FiEtxKQuddIw/x0xri2LGlCpLSmvS+JPCbl8NlLpg3nzYLJwQ==" saltValue="WoFe4y2DnxvdMxY/fS8+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236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0S+oy7lOMTKM8lt+eUmNR9fMO4812nNQpJ4sdBXWFyUJdyLkj/nbcfK4HJcgNXFGTA1CDCE/aK8Ho5DmECj+DA==" saltValue="QO8VQ+ljdNKb9wy0C8FM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0.67099999999999993</v>
      </c>
      <c r="F2" s="60">
        <f>food_insecure</f>
        <v>0.67099999999999993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0.67099999999999993</v>
      </c>
      <c r="I15" s="60">
        <f t="shared" si="0"/>
        <v>0.67099999999999993</v>
      </c>
      <c r="J15" s="60">
        <f t="shared" si="0"/>
        <v>0.67099999999999993</v>
      </c>
      <c r="K15" s="60">
        <f t="shared" si="0"/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0.67099999999999993</v>
      </c>
      <c r="I16" s="60">
        <f t="shared" si="0"/>
        <v>0.67099999999999993</v>
      </c>
      <c r="J16" s="60">
        <f t="shared" si="0"/>
        <v>0.67099999999999993</v>
      </c>
      <c r="K16" s="60">
        <f t="shared" si="0"/>
        <v>0.67099999999999993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0.2231656276</v>
      </c>
      <c r="M24" s="60">
        <f>famplan_unmet_need</f>
        <v>0.2231656276</v>
      </c>
      <c r="N24" s="60">
        <f>famplan_unmet_need</f>
        <v>0.2231656276</v>
      </c>
      <c r="O24" s="60">
        <f>famplan_unmet_need</f>
        <v>0.2231656276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ieTMoQKhjDacmTtmQBv4+gBt7IF31jgysV+uZaamcPVoTtrsc22m9FtCOTmyan2vSrq8eg8iyU1XHjdxVZedg==" saltValue="IWgL5eP7BXQL9VBMaH9Y3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2SdO/tH2AGjuPQ1XaPGyfUqZyV59rgGXhg4MAdc+A9TkaOgVvCyYKANERPKd4C4ps0ke8BGUlQzi41hoeBzqQ==" saltValue="VAbQWgRwDaXO+jU8aCk+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O8vc+Q1x5mKbOvxndGOrpFrdqv0vbEGSBvP8IPHK0I/EGwlQcqIlbtQ8fUGcJN4mfwfYskeXU96uqV5g4FZ0w==" saltValue="JyYQCpfD7DomXM41+fkjp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mTt473tUdd2nRNdcup1gX3hHCgSycQASGr1ItsVF37n549lYwKeJGQ5U/ldGoNQpA2sNW8V0Rz9R+iqOxkyyA==" saltValue="FDQa9MTTn0gMSyVlXgKE4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eFMSxWBriis+HEL5FexyQKF2iPIBHrwx2BJsDWj0n7B4u7454yizM2a5d8XX/RuBZMiKcUTna2fOG8MDuFt+g==" saltValue="jwqRMTOsfgrsxaXI0OXc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4+xt0wi8TrBNe4QN/BeU/hlkM2zF/OIhdTAx2hmgpylzQPhR5hzUZNPFNOSO1Eru5vjMTu7ZL6fl0HAyGnPWw==" saltValue="Aj5kgtxDSbJZs2K+0uBn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vNJkC1cKSazGtLFlNEHsmdSVH0xogVpYyV1An/djYiE9mYpXMjqgLc29+yXzO8ehwJK+uLmiUSYgaMyhoGpJA==" saltValue="zu9enQpKSoZBg//YUJl1J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X1txHhEhD1J9ASz5lGpbQSepeOL4i//SCNCcrhfRIdojjI+1rZgkSwLKu4VR6z41+oz1O7faCjDwj9V4HcmfA==" saltValue="UDRd2+Um8Iy6wptkoElJ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a4x97G+p6NDgJmbhpcUkkMRtACW5I6UFViBgf/bSMGl0Y60aY5fzVm9xSxvRLA2g8nnlt1mahNqqkuwwE7VHg==" saltValue="A47G7p6EBHWCwf9fa0FY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1S4y/BM/u3KG0A7UwnESGXgiMIBQCC5LpuHgujLHCstwtB4pF0RBDADBRFTxfLll0lf1lr/jjKeGUH31teL9g==" saltValue="dgo9QL9xMEJk9fwEdLhV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su9KCgYgiJy+HNm8PRrZtq5pCKg5P7HH91zuafKJOoadT4K2GcXxK+4z7BuAhtrk67CAQ5dXm040iSdwA7Ijg==" saltValue="a3yMhCVtv0DztDSjmN2i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2RgvVNLqQN52AHEQFyKICAi2WsFVlW1/RuBfKtwxB1+zv+vF18ypVQ6Lx0Is5dRP9F/bN4zDfCkIBEFGQlTgw==" saltValue="1gVjSPXnsoAvAjCOhHS2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QiivkDdlASH5pH/91qqoxHeCte2F5o1bzrr1iyuNDvNxH/6GtPCh0WGUdJ36nQYDHEfM8Fp8Pcn700Qugrzhw==" saltValue="IeGu6Zf0x5fGyjyHq5hD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UHUE7jMT4xaN2FHqCoiuyopqzAbju3kJlE6sDsd8O0BpBYz+1z2OHnJhzC1A0wDr2cJUTIDF5ohSEYeO4IwGA==" saltValue="lg4x+JX7YF/++2hpCHrv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q4WsUFomLkWa4xE66Boz+j7cy1zSVsd7kwu8Of9Bk23O7pLZjjZrujuZkPerNR33mIov/h6OBSlk0dX/5YURg==" saltValue="O+SbsxvDMpi1U0IvzrVZ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