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5072E871-C082-46C0-9D34-0D5DFE3B502B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<sst xmlns="http://schemas.openxmlformats.org/spreadsheetml/2006/main" count="2102" uniqueCount="341">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</sst>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1487954.1875</v>
      </c>
    </row>
    <row r="8" spans="1:3" ht="15" customHeight="1" x14ac:dyDescent="0.25">
      <c r="B8" s="5" t="s">
        <v>44</v>
      </c>
      <c r="C8" s="44">
        <v>8.0000000000000002E-3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0.90408493041992199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0.25900000000000001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3.6700000000000003E-2</v>
      </c>
    </row>
    <row r="24" spans="1:3" ht="15" customHeight="1" x14ac:dyDescent="0.25">
      <c r="B24" s="15" t="s">
        <v>46</v>
      </c>
      <c r="C24" s="45">
        <v>0.48730000000000001</v>
      </c>
    </row>
    <row r="25" spans="1:3" ht="15" customHeight="1" x14ac:dyDescent="0.25">
      <c r="B25" s="15" t="s">
        <v>47</v>
      </c>
      <c r="C25" s="45">
        <v>0.43280000000000002</v>
      </c>
    </row>
    <row r="26" spans="1:3" ht="15" customHeight="1" x14ac:dyDescent="0.25">
      <c r="B26" s="15" t="s">
        <v>48</v>
      </c>
      <c r="C26" s="45">
        <v>4.3200000000000002E-2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0.3567553</v>
      </c>
    </row>
    <row r="30" spans="1:3" ht="14.25" customHeight="1" x14ac:dyDescent="0.25">
      <c r="B30" s="25" t="s">
        <v>63</v>
      </c>
      <c r="C30" s="99">
        <v>6.59106E-2</v>
      </c>
    </row>
    <row r="31" spans="1:3" ht="14.25" customHeight="1" x14ac:dyDescent="0.25">
      <c r="B31" s="25" t="s">
        <v>10</v>
      </c>
      <c r="C31" s="99">
        <v>9.2620400000000006E-2</v>
      </c>
    </row>
    <row r="32" spans="1:3" ht="14.25" customHeight="1" x14ac:dyDescent="0.25">
      <c r="B32" s="25" t="s">
        <v>11</v>
      </c>
      <c r="C32" s="99">
        <v>0.48471370000000003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3.8523700000000001</v>
      </c>
    </row>
    <row r="38" spans="1:5" ht="15" customHeight="1" x14ac:dyDescent="0.25">
      <c r="B38" s="11" t="s">
        <v>35</v>
      </c>
      <c r="C38" s="43">
        <v>5.7698299999999998</v>
      </c>
      <c r="D38" s="12"/>
      <c r="E38" s="13"/>
    </row>
    <row r="39" spans="1:5" ht="15" customHeight="1" x14ac:dyDescent="0.25">
      <c r="B39" s="11" t="s">
        <v>61</v>
      </c>
      <c r="C39" s="43">
        <v>6.7480700000000002</v>
      </c>
      <c r="D39" s="12"/>
      <c r="E39" s="12"/>
    </row>
    <row r="40" spans="1:5" ht="15" customHeight="1" x14ac:dyDescent="0.25">
      <c r="B40" s="11" t="s">
        <v>36</v>
      </c>
      <c r="C40" s="100">
        <v>0.28999999999999998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6.0074699999999996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6.7450000000000001E-3</v>
      </c>
      <c r="D45" s="12"/>
    </row>
    <row r="46" spans="1:5" ht="15.75" customHeight="1" x14ac:dyDescent="0.25">
      <c r="B46" s="11" t="s">
        <v>51</v>
      </c>
      <c r="C46" s="45">
        <v>7.1213499999999999E-2</v>
      </c>
      <c r="D46" s="12"/>
    </row>
    <row r="47" spans="1:5" ht="15.75" customHeight="1" x14ac:dyDescent="0.25">
      <c r="B47" s="11" t="s">
        <v>59</v>
      </c>
      <c r="C47" s="45">
        <v>0.17027529999999999</v>
      </c>
      <c r="D47" s="12"/>
      <c r="E47" s="13"/>
    </row>
    <row r="48" spans="1:5" ht="15" customHeight="1" x14ac:dyDescent="0.25">
      <c r="B48" s="11" t="s">
        <v>58</v>
      </c>
      <c r="C48" s="46">
        <v>0.75176620000000005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0.62930399999999997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0.15888087000000001</v>
      </c>
    </row>
    <row r="63" spans="1:4" ht="15.75" customHeight="1" x14ac:dyDescent="0.3">
      <c r="A63" s="4"/>
    </row>
  </sheetData>
  <sheetProtection algorithmName="SHA-512" hashValue="j2EQ8qFWrSrHTl5UVm5HT3Xy3ofv3d1MpbMp/DJ4RA/vdFjZJTeq+MYW5cRsbgXJDuQIf500PVmatOJk0cfPLQ==" saltValue="GtriqEFlKZVcXhMQkxyS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295432</v>
      </c>
      <c r="C2" s="49">
        <v>1052264</v>
      </c>
      <c r="D2" s="49">
        <v>1545255</v>
      </c>
      <c r="E2" s="49">
        <v>1464186.5</v>
      </c>
      <c r="F2" s="49">
        <v>1397880</v>
      </c>
      <c r="G2" s="17">
        <f t="shared" ref="G2:G13" si="0">C2+D2+E2+F2</f>
        <v>5459585.5</v>
      </c>
      <c r="H2" s="17">
        <f t="shared" ref="H2:H13" si="1">(B2 + stillbirth*B2/(1000-stillbirth))/(1-abortion)</f>
        <v>337747.18791717861</v>
      </c>
      <c r="I2" s="17">
        <f t="shared" ref="I2:I13" si="2">G2-H2</f>
        <v>5121838.3120828215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294245</v>
      </c>
      <c r="C3" s="50">
        <v>1046889</v>
      </c>
      <c r="D3" s="50">
        <v>1554029.5</v>
      </c>
      <c r="E3" s="50">
        <v>1449803</v>
      </c>
      <c r="F3" s="50">
        <v>1409977.5</v>
      </c>
      <c r="G3" s="17">
        <f t="shared" si="0"/>
        <v>5460699</v>
      </c>
      <c r="H3" s="17">
        <f t="shared" si="1"/>
        <v>336390.17204869556</v>
      </c>
      <c r="I3" s="17">
        <f t="shared" si="2"/>
        <v>5124308.8279513046</v>
      </c>
    </row>
    <row r="4" spans="1:9" ht="15.75" customHeight="1" x14ac:dyDescent="0.25">
      <c r="A4" s="5">
        <f t="shared" si="3"/>
        <v>2026</v>
      </c>
      <c r="B4" s="49">
        <v>291602</v>
      </c>
      <c r="C4" s="50">
        <v>1039723</v>
      </c>
      <c r="D4" s="50">
        <v>1566933.5</v>
      </c>
      <c r="E4" s="50">
        <v>1438735</v>
      </c>
      <c r="F4" s="50">
        <v>1414976</v>
      </c>
      <c r="G4" s="17">
        <f t="shared" si="0"/>
        <v>5460367.5</v>
      </c>
      <c r="H4" s="17">
        <f t="shared" si="1"/>
        <v>333368.61102055671</v>
      </c>
      <c r="I4" s="17">
        <f t="shared" si="2"/>
        <v>5126998.8889794433</v>
      </c>
    </row>
    <row r="5" spans="1:9" ht="15.75" customHeight="1" x14ac:dyDescent="0.25">
      <c r="A5" s="5">
        <f t="shared" si="3"/>
        <v>2027</v>
      </c>
      <c r="B5" s="49">
        <v>290163</v>
      </c>
      <c r="C5" s="50">
        <v>1030161</v>
      </c>
      <c r="D5" s="50">
        <v>1583101.5</v>
      </c>
      <c r="E5" s="50">
        <v>1431091</v>
      </c>
      <c r="F5" s="50">
        <v>1409943.5</v>
      </c>
      <c r="G5" s="17">
        <f t="shared" si="0"/>
        <v>5454297</v>
      </c>
      <c r="H5" s="17">
        <f t="shared" si="1"/>
        <v>331723.50079751789</v>
      </c>
      <c r="I5" s="17">
        <f t="shared" si="2"/>
        <v>5122573.4992024824</v>
      </c>
    </row>
    <row r="6" spans="1:9" ht="15.75" customHeight="1" x14ac:dyDescent="0.25">
      <c r="A6" s="5">
        <f t="shared" si="3"/>
        <v>2028</v>
      </c>
      <c r="B6" s="49">
        <v>288952</v>
      </c>
      <c r="C6" s="50">
        <v>1017749.5</v>
      </c>
      <c r="D6" s="50">
        <v>1599278</v>
      </c>
      <c r="E6" s="50">
        <v>1424285</v>
      </c>
      <c r="F6" s="50">
        <v>1393265</v>
      </c>
      <c r="G6" s="17">
        <f t="shared" si="0"/>
        <v>5434577.5</v>
      </c>
      <c r="H6" s="17">
        <f t="shared" si="1"/>
        <v>330339.04737145803</v>
      </c>
      <c r="I6" s="17">
        <f t="shared" si="2"/>
        <v>5104238.4526285417</v>
      </c>
    </row>
    <row r="7" spans="1:9" ht="15.75" customHeight="1" x14ac:dyDescent="0.25">
      <c r="A7" s="5">
        <f t="shared" si="3"/>
        <v>2029</v>
      </c>
      <c r="B7" s="49">
        <v>289102</v>
      </c>
      <c r="C7" s="50">
        <v>1002999</v>
      </c>
      <c r="D7" s="50">
        <v>1612315.5</v>
      </c>
      <c r="E7" s="50">
        <v>1418125</v>
      </c>
      <c r="F7" s="50">
        <v>1369326</v>
      </c>
      <c r="G7" s="17">
        <f t="shared" si="0"/>
        <v>5402765.5</v>
      </c>
      <c r="H7" s="17">
        <f t="shared" si="1"/>
        <v>330510.53210631269</v>
      </c>
      <c r="I7" s="17">
        <f t="shared" si="2"/>
        <v>5072254.9678936871</v>
      </c>
    </row>
    <row r="8" spans="1:9" ht="15.75" customHeight="1" x14ac:dyDescent="0.25">
      <c r="A8" s="5">
        <f t="shared" si="3"/>
        <v>2030</v>
      </c>
      <c r="B8" s="49">
        <v>287955</v>
      </c>
      <c r="C8" s="50">
        <v>988146.5</v>
      </c>
      <c r="D8" s="50">
        <v>1619137</v>
      </c>
      <c r="E8" s="50">
        <v>1414975.5</v>
      </c>
      <c r="F8" s="50">
        <v>1340822</v>
      </c>
      <c r="G8" s="17">
        <f t="shared" si="0"/>
        <v>5363081</v>
      </c>
      <c r="H8" s="17">
        <f t="shared" si="1"/>
        <v>329199.24550045753</v>
      </c>
      <c r="I8" s="17">
        <f t="shared" si="2"/>
        <v>5033881.7544995425</v>
      </c>
    </row>
    <row r="9" spans="1:9" ht="15.75" customHeight="1" x14ac:dyDescent="0.25">
      <c r="A9" s="5">
        <f t="shared" si="3"/>
        <v>2031</v>
      </c>
      <c r="B9" s="49">
        <v>287155</v>
      </c>
      <c r="C9" s="50">
        <v>972055.99999999988</v>
      </c>
      <c r="D9" s="50">
        <v>1620897.5</v>
      </c>
      <c r="E9" s="50">
        <v>1413424</v>
      </c>
      <c r="F9" s="50">
        <v>1309024.5</v>
      </c>
      <c r="G9" s="17">
        <f t="shared" si="0"/>
        <v>5315402</v>
      </c>
      <c r="H9" s="17">
        <f t="shared" si="1"/>
        <v>328284.66024789948</v>
      </c>
      <c r="I9" s="17">
        <f t="shared" si="2"/>
        <v>4987117.3397521004</v>
      </c>
    </row>
    <row r="10" spans="1:9" ht="15.75" customHeight="1" x14ac:dyDescent="0.25">
      <c r="A10" s="5">
        <f t="shared" si="3"/>
        <v>2032</v>
      </c>
      <c r="B10" s="49">
        <v>286652</v>
      </c>
      <c r="C10" s="50">
        <v>952664</v>
      </c>
      <c r="D10" s="50">
        <v>1620791</v>
      </c>
      <c r="E10" s="50">
        <v>1411215</v>
      </c>
      <c r="F10" s="50">
        <v>1283351.5</v>
      </c>
      <c r="G10" s="17">
        <f t="shared" si="0"/>
        <v>5268021.5</v>
      </c>
      <c r="H10" s="17">
        <f t="shared" si="1"/>
        <v>327709.61477035354</v>
      </c>
      <c r="I10" s="17">
        <f t="shared" si="2"/>
        <v>4940311.8852296462</v>
      </c>
    </row>
    <row r="11" spans="1:9" ht="15.75" customHeight="1" x14ac:dyDescent="0.25">
      <c r="A11" s="5">
        <f t="shared" si="3"/>
        <v>2033</v>
      </c>
      <c r="B11" s="49">
        <v>286825</v>
      </c>
      <c r="C11" s="50">
        <v>931797.5</v>
      </c>
      <c r="D11" s="50">
        <v>1618124.5</v>
      </c>
      <c r="E11" s="50">
        <v>1411992</v>
      </c>
      <c r="F11" s="50">
        <v>1266740.5</v>
      </c>
      <c r="G11" s="17">
        <f t="shared" si="0"/>
        <v>5228654.5</v>
      </c>
      <c r="H11" s="17">
        <f t="shared" si="1"/>
        <v>327907.39383121923</v>
      </c>
      <c r="I11" s="17">
        <f t="shared" si="2"/>
        <v>4900747.1061687805</v>
      </c>
    </row>
    <row r="12" spans="1:9" ht="15.75" customHeight="1" x14ac:dyDescent="0.25">
      <c r="A12" s="5">
        <f t="shared" si="3"/>
        <v>2034</v>
      </c>
      <c r="B12" s="49">
        <v>285678</v>
      </c>
      <c r="C12" s="50">
        <v>912264</v>
      </c>
      <c r="D12" s="50">
        <v>1610306</v>
      </c>
      <c r="E12" s="50">
        <v>1417014</v>
      </c>
      <c r="F12" s="50">
        <v>1254172</v>
      </c>
      <c r="G12" s="17">
        <f t="shared" si="0"/>
        <v>5193756</v>
      </c>
      <c r="H12" s="17">
        <f t="shared" si="1"/>
        <v>326596.10722536407</v>
      </c>
      <c r="I12" s="17">
        <f t="shared" si="2"/>
        <v>4867159.8927746359</v>
      </c>
    </row>
    <row r="13" spans="1:9" ht="15.75" customHeight="1" x14ac:dyDescent="0.25">
      <c r="A13" s="5">
        <f t="shared" si="3"/>
        <v>2035</v>
      </c>
      <c r="B13" s="49">
        <v>283859</v>
      </c>
      <c r="C13" s="50">
        <v>895391.99999999988</v>
      </c>
      <c r="D13" s="50">
        <v>1595734.5</v>
      </c>
      <c r="E13" s="50">
        <v>1425891</v>
      </c>
      <c r="F13" s="50">
        <v>1242077</v>
      </c>
      <c r="G13" s="17">
        <f t="shared" si="0"/>
        <v>5159094.5</v>
      </c>
      <c r="H13" s="17">
        <f t="shared" si="1"/>
        <v>324516.56900736014</v>
      </c>
      <c r="I13" s="17">
        <f t="shared" si="2"/>
        <v>4834577.9309926396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GIW4JY9wCedYqjVTgIVM96wOFGm+/eYpgZDGHwpro83nng/NwgUC2demoD1fsmJe/p4EUcdnws1SCAnWEcL9Q==" saltValue="8L98ZY+Y6by8IWQpy+6zl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6.7294099999999968E-2</v>
      </c>
    </row>
    <row r="5" spans="1:8" ht="15.75" customHeight="1" x14ac:dyDescent="0.25">
      <c r="B5" s="19" t="s">
        <v>95</v>
      </c>
      <c r="C5" s="101">
        <v>1.80132E-2</v>
      </c>
    </row>
    <row r="6" spans="1:8" ht="15.75" customHeight="1" x14ac:dyDescent="0.25">
      <c r="B6" s="19" t="s">
        <v>91</v>
      </c>
      <c r="C6" s="101">
        <v>0.12381249999999989</v>
      </c>
    </row>
    <row r="7" spans="1:8" ht="15.75" customHeight="1" x14ac:dyDescent="0.25">
      <c r="B7" s="19" t="s">
        <v>96</v>
      </c>
      <c r="C7" s="101">
        <v>0.38642470000000018</v>
      </c>
    </row>
    <row r="8" spans="1:8" ht="15.75" customHeight="1" x14ac:dyDescent="0.25">
      <c r="B8" s="19" t="s">
        <v>98</v>
      </c>
      <c r="C8" s="101">
        <v>1.914869999999996E-2</v>
      </c>
    </row>
    <row r="9" spans="1:8" ht="15.75" customHeight="1" x14ac:dyDescent="0.25">
      <c r="B9" s="19" t="s">
        <v>92</v>
      </c>
      <c r="C9" s="101">
        <v>0.26609360000000021</v>
      </c>
    </row>
    <row r="10" spans="1:8" ht="15.75" customHeight="1" x14ac:dyDescent="0.25">
      <c r="B10" s="19" t="s">
        <v>94</v>
      </c>
      <c r="C10" s="101">
        <v>0.1192131999999998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4.9026282500886732E-2</v>
      </c>
      <c r="D14" s="55">
        <v>4.9026282500886732E-2</v>
      </c>
      <c r="E14" s="55">
        <v>4.9026282500886732E-2</v>
      </c>
      <c r="F14" s="55">
        <v>4.9026282500886732E-2</v>
      </c>
    </row>
    <row r="15" spans="1:8" ht="15.75" customHeight="1" x14ac:dyDescent="0.25">
      <c r="B15" s="19" t="s">
        <v>102</v>
      </c>
      <c r="C15" s="101">
        <v>0.14568781322098809</v>
      </c>
      <c r="D15" s="101">
        <v>0.14568781322098809</v>
      </c>
      <c r="E15" s="101">
        <v>0.14568781322098809</v>
      </c>
      <c r="F15" s="101">
        <v>0.14568781322098809</v>
      </c>
    </row>
    <row r="16" spans="1:8" ht="15.75" customHeight="1" x14ac:dyDescent="0.25">
      <c r="B16" s="19" t="s">
        <v>2</v>
      </c>
      <c r="C16" s="101">
        <v>4.4828200364618188E-2</v>
      </c>
      <c r="D16" s="101">
        <v>4.4828200364618188E-2</v>
      </c>
      <c r="E16" s="101">
        <v>4.4828200364618188E-2</v>
      </c>
      <c r="F16" s="101">
        <v>4.4828200364618188E-2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9.4837782257655406E-2</v>
      </c>
      <c r="D19" s="101">
        <v>9.4837782257655406E-2</v>
      </c>
      <c r="E19" s="101">
        <v>9.4837782257655406E-2</v>
      </c>
      <c r="F19" s="101">
        <v>9.4837782257655406E-2</v>
      </c>
    </row>
    <row r="20" spans="1:8" ht="15.75" customHeight="1" x14ac:dyDescent="0.25">
      <c r="B20" s="19" t="s">
        <v>79</v>
      </c>
      <c r="C20" s="101">
        <v>1.385700301523442E-3</v>
      </c>
      <c r="D20" s="101">
        <v>1.385700301523442E-3</v>
      </c>
      <c r="E20" s="101">
        <v>1.385700301523442E-3</v>
      </c>
      <c r="F20" s="101">
        <v>1.385700301523442E-3</v>
      </c>
    </row>
    <row r="21" spans="1:8" ht="15.75" customHeight="1" x14ac:dyDescent="0.25">
      <c r="B21" s="19" t="s">
        <v>88</v>
      </c>
      <c r="C21" s="101">
        <v>0.53798862315887519</v>
      </c>
      <c r="D21" s="101">
        <v>0.53798862315887519</v>
      </c>
      <c r="E21" s="101">
        <v>0.53798862315887519</v>
      </c>
      <c r="F21" s="101">
        <v>0.53798862315887519</v>
      </c>
    </row>
    <row r="22" spans="1:8" ht="15.75" customHeight="1" x14ac:dyDescent="0.25">
      <c r="B22" s="19" t="s">
        <v>99</v>
      </c>
      <c r="C22" s="101">
        <v>0.126245598195453</v>
      </c>
      <c r="D22" s="101">
        <v>0.126245598195453</v>
      </c>
      <c r="E22" s="101">
        <v>0.126245598195453</v>
      </c>
      <c r="F22" s="101">
        <v>0.126245598195453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6.2575125999999995E-2</v>
      </c>
    </row>
    <row r="27" spans="1:8" ht="15.75" customHeight="1" x14ac:dyDescent="0.25">
      <c r="B27" s="19" t="s">
        <v>89</v>
      </c>
      <c r="C27" s="101">
        <v>2.7904689999999998E-3</v>
      </c>
    </row>
    <row r="28" spans="1:8" ht="15.75" customHeight="1" x14ac:dyDescent="0.25">
      <c r="B28" s="19" t="s">
        <v>103</v>
      </c>
      <c r="C28" s="101">
        <v>0.17595467200000001</v>
      </c>
    </row>
    <row r="29" spans="1:8" ht="15.75" customHeight="1" x14ac:dyDescent="0.25">
      <c r="B29" s="19" t="s">
        <v>86</v>
      </c>
      <c r="C29" s="101">
        <v>0.129916751</v>
      </c>
    </row>
    <row r="30" spans="1:8" ht="15.75" customHeight="1" x14ac:dyDescent="0.25">
      <c r="B30" s="19" t="s">
        <v>4</v>
      </c>
      <c r="C30" s="101">
        <v>6.5542224999999996E-2</v>
      </c>
    </row>
    <row r="31" spans="1:8" ht="15.75" customHeight="1" x14ac:dyDescent="0.25">
      <c r="B31" s="19" t="s">
        <v>80</v>
      </c>
      <c r="C31" s="101">
        <v>0.16151726199999999</v>
      </c>
    </row>
    <row r="32" spans="1:8" ht="15.75" customHeight="1" x14ac:dyDescent="0.25">
      <c r="B32" s="19" t="s">
        <v>85</v>
      </c>
      <c r="C32" s="101">
        <v>7.3741798999999997E-2</v>
      </c>
    </row>
    <row r="33" spans="2:3" ht="15.75" customHeight="1" x14ac:dyDescent="0.25">
      <c r="B33" s="19" t="s">
        <v>100</v>
      </c>
      <c r="C33" s="101">
        <v>3.4829341E-2</v>
      </c>
    </row>
    <row r="34" spans="2:3" ht="15.75" customHeight="1" x14ac:dyDescent="0.25">
      <c r="B34" s="19" t="s">
        <v>87</v>
      </c>
      <c r="C34" s="101">
        <v>0.29313235599999998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z/YmCG+gZFGGs7FVZz58fmf9tyVwoHStPVnt6wdluNqsSavQdPWdmsKQ5N3R1XWIE2sbH5r+s3F/q3rqt5FPvg==" saltValue="qsIG9nF4n4RQj9k4pMcFB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110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106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119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0.37582732899999999</v>
      </c>
      <c r="D14" s="54">
        <v>0.36131474626900001</v>
      </c>
      <c r="E14" s="54">
        <v>0.36131474626900001</v>
      </c>
      <c r="F14" s="54">
        <v>0.174274205716</v>
      </c>
      <c r="G14" s="54">
        <v>0.174274205716</v>
      </c>
      <c r="H14" s="45">
        <v>0.35399999999999998</v>
      </c>
      <c r="I14" s="55">
        <v>0.35399999999999998</v>
      </c>
      <c r="J14" s="55">
        <v>0.35399999999999998</v>
      </c>
      <c r="K14" s="55">
        <v>0.35399999999999998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0.23650964144901598</v>
      </c>
      <c r="D15" s="52">
        <f t="shared" si="0"/>
        <v>0.22737681508606677</v>
      </c>
      <c r="E15" s="52">
        <f t="shared" si="0"/>
        <v>0.22737681508606677</v>
      </c>
      <c r="F15" s="52">
        <f t="shared" si="0"/>
        <v>0.10967145475390165</v>
      </c>
      <c r="G15" s="52">
        <f t="shared" si="0"/>
        <v>0.10967145475390165</v>
      </c>
      <c r="H15" s="52">
        <f t="shared" si="0"/>
        <v>0.22277361599999998</v>
      </c>
      <c r="I15" s="52">
        <f t="shared" si="0"/>
        <v>0.22277361599999998</v>
      </c>
      <c r="J15" s="52">
        <f t="shared" si="0"/>
        <v>0.22277361599999998</v>
      </c>
      <c r="K15" s="52">
        <f t="shared" si="0"/>
        <v>0.22277361599999998</v>
      </c>
      <c r="L15" s="52">
        <f t="shared" si="0"/>
        <v>0.20452380000000001</v>
      </c>
      <c r="M15" s="52">
        <f t="shared" si="0"/>
        <v>0.20452380000000001</v>
      </c>
      <c r="N15" s="52">
        <f t="shared" si="0"/>
        <v>0.20452380000000001</v>
      </c>
      <c r="O15" s="52">
        <f t="shared" si="0"/>
        <v>0.20452380000000001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YN1kEatPkzIVCW/sxnelk45O5COL6dA+mxQKrv8vWIvMOtmftfM4cCH1Xh77fZYY5THQ2NzN3uXrsJYMybfeQ==" saltValue="Jpw3k+JXfmrgQPrzk5Qm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125</v>
      </c>
      <c r="C5" s="52">
        <v>4.2547995714285698E-2</v>
      </c>
      <c r="D5" s="52">
        <v>6.9181616901408394E-2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5/r9lkATaH88YNVX5HW/g1Z5uK8lwGqujwqJ3xMpyoGf2G4hegjcz9oedqYZ/grJMpWigwRdznKmHcwQh2tTkQ==" saltValue="nB1Vrubdx1N+JjIB26rMh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/Y1EV9uTbFRdMTPBEcMQnIaV57FZnAmDCD02TItzQ0om4nHcImPobXrIjz50aBTbJyjH4xj3Nr4cU8gjkXg0bQ==" saltValue="jlX785danJjAbC2YdBB+P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096JxKDVZ8TrrYwzfYg6MhsxPos+aFCO483jhY2C488bW501iAFm81fnnrutqJzzxKbeWMZxZKQdAsUTzT3N+Q==" saltValue="K5sw4Be3wFVHcKW5tatEg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YFC8j0ECZn+KKb/Q6ePDSimr6+elpK0AaUt9UU0chtE1F5norB07wJ5dlHsoz8efe7JnsIBjoLolyQ3dR3VN6g==" saltValue="NnbP+rxkwRvtCrRXUIsEa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rT9+qlFfPawWc/8qSb1LCqrTb5Q0JWDZl8hJRNraXu4UwvNZkC1dolV5cr7tylhQru9exeyfnG/ikjCUHiSIVQ==" saltValue="rsZZGliWT9rHDtID7p9xX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56.060857440763883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0.24425928799999999</v>
      </c>
      <c r="C3" s="98">
        <v>0.95</v>
      </c>
      <c r="D3" s="56">
        <v>39.836007367771657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383.53948171134112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2.6821610077954769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12.968306811567571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12.968306811567571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12.968306811567571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12.968306811567571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12.968306811567571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12.968306811567571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0.99</v>
      </c>
      <c r="C16" s="98">
        <v>0.95</v>
      </c>
      <c r="D16" s="56">
        <v>0.67507261146291864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0.12529945449999999</v>
      </c>
      <c r="C18" s="98">
        <v>0.95</v>
      </c>
      <c r="D18" s="56">
        <v>8.8512484629968728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0.95086360000000003</v>
      </c>
      <c r="C19" s="98">
        <v>0.95</v>
      </c>
      <c r="D19" s="56">
        <v>8.8512484629968728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0.52352160000000003</v>
      </c>
      <c r="C21" s="98">
        <v>0.95</v>
      </c>
      <c r="D21" s="56">
        <v>24.480490916001791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22.356153156487789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4.2519172670834697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0.94947795400000001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18.528185290228219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0.74457849949999999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109.15510136543379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0.93</v>
      </c>
      <c r="C31" s="98">
        <v>0.95</v>
      </c>
      <c r="D31" s="56">
        <v>3.341585585510273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1.4449724110069491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0.93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0.72599999999999998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0.54</v>
      </c>
      <c r="C38" s="98">
        <v>0.95</v>
      </c>
      <c r="D38" s="56">
        <v>2.490967096558574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wUe9aG9vsaEg8gEmp/SGH3T1wGFJSLX6g5l5IjFHslWQlxzj9GoOLdmT0ujRUvR03B5AyGVEsGzYSO5Yo67sYw==" saltValue="MVsY5coh0AQGfcwSIEzR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Z67JqTyJU+tl4zQ2xsQmg44v5mwBC6HtboVlCJVJufPA5RgWAhqVtG1MWsHDmCz7IlG65OaXk+kL4Ml2M2xRdA==" saltValue="ccOy6M06J4mOR7PYaqXng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4GRvzvCIXhSChDgRhNGfza9bs+J6Jy+qyo0lLWh89NvOM4YEMgNKPOKTs7bfn6Ui1ZmhkL91ohjSx9Vx77wCA==" saltValue="6B3EMmNStAWZWTDEg6Dhi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8uSzHT4rEzWP8vY+G8q1omfzZkGUMkGhlwnBVc+dXVo9xKUPJLHxwZyThcZ/98pR2Z/fKNJCpRBu9iqiaT11Ig==" saltValue="1y80ys2dNlzN4NgjewS3k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8.0000000000000002E-3</v>
      </c>
      <c r="E2" s="60">
        <f>food_insecure</f>
        <v>8.0000000000000002E-3</v>
      </c>
      <c r="F2" s="60">
        <f>food_insecure</f>
        <v>8.0000000000000002E-3</v>
      </c>
      <c r="G2" s="60">
        <f>food_insecure</f>
        <v>8.0000000000000002E-3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8.0000000000000002E-3</v>
      </c>
      <c r="F5" s="60">
        <f>food_insecure</f>
        <v>8.0000000000000002E-3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8.0000000000000002E-3</v>
      </c>
      <c r="F8" s="60">
        <f>food_insecure</f>
        <v>8.0000000000000002E-3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8.0000000000000002E-3</v>
      </c>
      <c r="F9" s="60">
        <f>food_insecure</f>
        <v>8.0000000000000002E-3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8.0000000000000002E-3</v>
      </c>
      <c r="I15" s="60">
        <f>food_insecure</f>
        <v>8.0000000000000002E-3</v>
      </c>
      <c r="J15" s="60">
        <f>food_insecure</f>
        <v>8.0000000000000002E-3</v>
      </c>
      <c r="K15" s="60">
        <f>food_insecure</f>
        <v>8.0000000000000002E-3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0.25900000000000001</v>
      </c>
      <c r="M24" s="60">
        <f>famplan_unmet_need</f>
        <v>0.25900000000000001</v>
      </c>
      <c r="N24" s="60">
        <f>famplan_unmet_need</f>
        <v>0.25900000000000001</v>
      </c>
      <c r="O24" s="60">
        <f>famplan_unmet_need</f>
        <v>0.25900000000000001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4.7159521411132756E-2</v>
      </c>
      <c r="M25" s="60">
        <f>(1-food_insecure)*(0.49)+food_insecure*(0.7)</f>
        <v>0.49168000000000001</v>
      </c>
      <c r="N25" s="60">
        <f>(1-food_insecure)*(0.49)+food_insecure*(0.7)</f>
        <v>0.49168000000000001</v>
      </c>
      <c r="O25" s="60">
        <f>(1-food_insecure)*(0.49)+food_insecure*(0.7)</f>
        <v>0.49168000000000001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2.0211223461914035E-2</v>
      </c>
      <c r="M26" s="60">
        <f>(1-food_insecure)*(0.21)+food_insecure*(0.3)</f>
        <v>0.21071999999999999</v>
      </c>
      <c r="N26" s="60">
        <f>(1-food_insecure)*(0.21)+food_insecure*(0.3)</f>
        <v>0.21071999999999999</v>
      </c>
      <c r="O26" s="60">
        <f>(1-food_insecure)*(0.21)+food_insecure*(0.3)</f>
        <v>0.21071999999999999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2.8544324707031211E-2</v>
      </c>
      <c r="M27" s="60">
        <f>(1-food_insecure)*(0.3)</f>
        <v>0.29759999999999998</v>
      </c>
      <c r="N27" s="60">
        <f>(1-food_insecure)*(0.3)</f>
        <v>0.29759999999999998</v>
      </c>
      <c r="O27" s="60">
        <f>(1-food_insecure)*(0.3)</f>
        <v>0.29759999999999998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0.90408493041992199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sDn8Tsh2y1HSxUOH0PKwuIKL5kNVck9AJnzUMVFQ/+W6FN+lqcD/BhGVKFpAvI+jyv0zqzyppd3mkpw/imxRQ==" saltValue="s3oEmPv431wihrpSqveP8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nQC+w7LeVB+9ixsZrBcebnxWdjt/b+N5LOKa8JouDWILSc/8kaH9+G/c6TZ50VK0lUg8NAIdHkhssaDZysaxHg==" saltValue="hfG2BU2RCIeDcyud12xJP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ASepUucPY8gTjq1JwuI42SiTlCYEjiWcR62LnIb0YPh20uH2HWshAFexSgKMQusffNHi9mMZQh64Pb4OL/ELZQ==" saltValue="w/kvqiqla2amffcGQ78t/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8rpNEYpGgjBWVGv1KgACA1Vp3mVGj/fAZtWxDo1ezWIV3KmCajG9SJ2D9RA9hK1IVGrBRBGOFvW88O7p/nNWA==" saltValue="wx2SSiyJ711AOgc+t19NU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YTRpoA77WVJhzMbeBJPda6jZv1AA2aLcfSl7fJXr9mZN3blaw2ypK6W7IHedIdsUhJ4Z1tGht9o726wxfczXxg==" saltValue="IMBWhl8bwprXKIZOJUlXq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BnLsMU/7uUMiN1AphANJo9j71saomIsbaFUGqidBGGoGS4THc9L8VVwDwS/BdJI9ag+54n273ewOS/y0KOWs1Q==" saltValue="yxEPawIY/uEhO07tqMzFX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piSlHfR3x6vvW7zuVRCWoPFCazn55A0YfH4zK73ua8yQaUd8jJOPMH4Tpc+It8W62OWH057Zq3w2gmGAkN79Xw==" saltValue="6c2zjg8h60fz+q494orw+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OWrG1oAvRYw/kfEa6VaWWJ/Uiu4/ffoH/jfYziX5CEPOvKHm1uZtFhAG+eqimsjqpkaWwECPFUFDTcGqDIDRQ==" saltValue="cRi8mZwtknB6k5mkkkyP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4sZ7cqdervvLK9eVz2lkKcnCEQLVr3jMpPogSdqxlP/FmLi4MNUqhrRq4hKlgkaxuy7rU/GIq1uVJV2+th0BnA==" saltValue="QRJ6AyNzoclcUWChAJUL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Mjeu+vBEfDJ+6J7nB0ga1crK671lvzfsc2fBWzqvNtIdN8AachmkzfTUneg6yM7OBKjBuYvXEucc8o6sfaR6Tg==" saltValue="l2uabj5HyQ6SIpBb7tgX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22Rb6QvmsFvCLTDOAGUyZEN4V4KwVVqNqTFN0C6ev5W5SX3W/lCYPZ2YClaOPcq9rlRrVX6VHsULLIvkxDiq/A==" saltValue="MLu4a0/t4GPu+5CMVxe6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F9QEqtmDSTNmkoieP5L11TPqJ0VbKSZv8a4vc28Ei8O1gV9mXhU8Hok3dlVhsqYRjT28miCBKcX00rk9M3Rog==" saltValue="JUFTiQkdNoO5ymXy+5pY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TOY+aEDzd+wowsT427lm4eJ5PEWiaTI+b6TefFBnZ4XCC3qn4J3roWPgdp71+4UF1gnqaKtgrXF2R0LmX1GCA==" saltValue="wPo0zZ2fVflW08IFfIGBN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60W8WitsXrw1ED2O7cCeVA++K2GazzGRfyI8biMVhB0CpL2lkzoq5VaTf542uN4OtSP1jiDA1L6U8yAF12twaA==" saltValue="vYC05nthhq2kxmmhkOOx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8UBbokDSYs+CekAOsyH2a8Qo8WiFcjZ6fHUOuSj4SMa2HWbkRd+kTaKqm9/O4lSgASQHcJBjWEoAMS5a86S2SQ==" saltValue="ssgsr999swpOqdv9hhy+D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2024-05-16T23:43:20Z</dcterms:modified>
</cp:coreProperties>
</file>