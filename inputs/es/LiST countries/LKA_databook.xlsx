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5C1A9CD7-C7CA-4539-BB4A-73A759EAE8F1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A39" i="2"/>
  <c r="H38" i="2"/>
  <c r="G38" i="2"/>
  <c r="I38" i="2" s="1"/>
  <c r="A37" i="2"/>
  <c r="A36" i="2"/>
  <c r="A34" i="2"/>
  <c r="A33" i="2"/>
  <c r="A31" i="2"/>
  <c r="A29" i="2"/>
  <c r="A26" i="2"/>
  <c r="A25" i="2"/>
  <c r="A23" i="2"/>
  <c r="A21" i="2"/>
  <c r="A20" i="2"/>
  <c r="A18" i="2"/>
  <c r="A17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A3" i="2"/>
  <c r="H2" i="2"/>
  <c r="G2" i="2"/>
  <c r="I2" i="2" s="1"/>
  <c r="A2" i="2"/>
  <c r="A40" i="2" s="1"/>
  <c r="C33" i="1"/>
  <c r="C20" i="1"/>
  <c r="A15" i="2" l="1"/>
  <c r="A28" i="2"/>
  <c r="A16" i="2"/>
  <c r="A24" i="2"/>
  <c r="A32" i="2"/>
  <c r="A19" i="2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<sst xmlns="http://schemas.openxmlformats.org/spreadsheetml/2006/main" count="2101" uniqueCount="341">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</sst>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1487954.1875</v>
      </c>
    </row>
    <row r="8" spans="1:3" ht="15" customHeight="1" x14ac:dyDescent="0.25">
      <c r="B8" s="5" t="s">
        <v>44</v>
      </c>
      <c r="C8" s="44">
        <v>8.0000000000000002E-3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0.90408493041992199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0.25900000000000001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3.6700000000000003E-2</v>
      </c>
    </row>
    <row r="24" spans="1:3" ht="15" customHeight="1" x14ac:dyDescent="0.25">
      <c r="B24" s="15" t="s">
        <v>46</v>
      </c>
      <c r="C24" s="45">
        <v>0.48730000000000001</v>
      </c>
    </row>
    <row r="25" spans="1:3" ht="15" customHeight="1" x14ac:dyDescent="0.25">
      <c r="B25" s="15" t="s">
        <v>47</v>
      </c>
      <c r="C25" s="45">
        <v>0.43280000000000002</v>
      </c>
    </row>
    <row r="26" spans="1:3" ht="15" customHeight="1" x14ac:dyDescent="0.25">
      <c r="B26" s="15" t="s">
        <v>48</v>
      </c>
      <c r="C26" s="45">
        <v>4.3200000000000002E-2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0.3567553</v>
      </c>
    </row>
    <row r="30" spans="1:3" ht="14.25" customHeight="1" x14ac:dyDescent="0.25">
      <c r="B30" s="25" t="s">
        <v>63</v>
      </c>
      <c r="C30" s="99">
        <v>6.59106E-2</v>
      </c>
    </row>
    <row r="31" spans="1:3" ht="14.25" customHeight="1" x14ac:dyDescent="0.25">
      <c r="B31" s="25" t="s">
        <v>10</v>
      </c>
      <c r="C31" s="99">
        <v>9.2620400000000006E-2</v>
      </c>
    </row>
    <row r="32" spans="1:3" ht="14.25" customHeight="1" x14ac:dyDescent="0.25">
      <c r="B32" s="25" t="s">
        <v>11</v>
      </c>
      <c r="C32" s="99">
        <v>0.48471370000000003</v>
      </c>
    </row>
    <row r="33" spans="1:5" ht="13" customHeight="1" x14ac:dyDescent="0.25">
      <c r="B33" s="27" t="s">
        <v>60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3.8523700000000001</v>
      </c>
    </row>
    <row r="38" spans="1:5" ht="15" customHeight="1" x14ac:dyDescent="0.25">
      <c r="B38" s="11" t="s">
        <v>35</v>
      </c>
      <c r="C38" s="43">
        <v>5.7698299999999998</v>
      </c>
      <c r="D38" s="12"/>
      <c r="E38" s="13"/>
    </row>
    <row r="39" spans="1:5" ht="15" customHeight="1" x14ac:dyDescent="0.25">
      <c r="B39" s="11" t="s">
        <v>61</v>
      </c>
      <c r="C39" s="43">
        <v>6.7480700000000002</v>
      </c>
      <c r="D39" s="12"/>
      <c r="E39" s="12"/>
    </row>
    <row r="40" spans="1:5" ht="15" customHeight="1" x14ac:dyDescent="0.25">
      <c r="B40" s="11" t="s">
        <v>36</v>
      </c>
      <c r="C40" s="100">
        <v>0.28999999999999998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6.0074699999999996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6.7450000000000001E-3</v>
      </c>
      <c r="D45" s="12"/>
    </row>
    <row r="46" spans="1:5" ht="15.75" customHeight="1" x14ac:dyDescent="0.25">
      <c r="B46" s="11" t="s">
        <v>51</v>
      </c>
      <c r="C46" s="45">
        <v>7.1213499999999999E-2</v>
      </c>
      <c r="D46" s="12"/>
    </row>
    <row r="47" spans="1:5" ht="15.75" customHeight="1" x14ac:dyDescent="0.25">
      <c r="B47" s="11" t="s">
        <v>59</v>
      </c>
      <c r="C47" s="45">
        <v>0.17027529999999999</v>
      </c>
      <c r="D47" s="12"/>
      <c r="E47" s="13"/>
    </row>
    <row r="48" spans="1:5" ht="15" customHeight="1" x14ac:dyDescent="0.25">
      <c r="B48" s="11" t="s">
        <v>58</v>
      </c>
      <c r="C48" s="46">
        <v>0.75176620000000005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2.4</v>
      </c>
      <c r="D51" s="12"/>
    </row>
    <row r="52" spans="1:4" ht="15" customHeight="1" x14ac:dyDescent="0.25">
      <c r="B52" s="11" t="s">
        <v>13</v>
      </c>
      <c r="C52" s="100">
        <v>2.4</v>
      </c>
    </row>
    <row r="53" spans="1:4" ht="15.75" customHeight="1" x14ac:dyDescent="0.25">
      <c r="B53" s="11" t="s">
        <v>16</v>
      </c>
      <c r="C53" s="100">
        <v>2.4</v>
      </c>
    </row>
    <row r="54" spans="1:4" ht="15.75" customHeight="1" x14ac:dyDescent="0.25">
      <c r="B54" s="11" t="s">
        <v>14</v>
      </c>
      <c r="C54" s="100">
        <v>2.4</v>
      </c>
    </row>
    <row r="55" spans="1:4" ht="15.75" customHeight="1" x14ac:dyDescent="0.25">
      <c r="B55" s="11" t="s">
        <v>15</v>
      </c>
      <c r="C55" s="100">
        <v>2.4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2.1666666666666671E-2</v>
      </c>
    </row>
    <row r="59" spans="1:4" ht="15.75" customHeight="1" x14ac:dyDescent="0.25">
      <c r="B59" s="11" t="s">
        <v>40</v>
      </c>
      <c r="C59" s="45">
        <v>0.62930399999999997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0.15888087000000001</v>
      </c>
    </row>
    <row r="63" spans="1:4" ht="15.75" customHeight="1" x14ac:dyDescent="0.3">
      <c r="A63" s="4"/>
    </row>
  </sheetData>
  <sheetProtection algorithmName="SHA-512" hashValue="X4I8t2w1YUOg2GgudIBAilWPV9TsUie1mljnlFbEPOUs3rgtL24TOUNks4OiVW03GnxoXHE97IPHC3qjxforwg==" saltValue="DeFgkkjM3nUTtmgL9Agt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295432</v>
      </c>
      <c r="C2" s="49">
        <v>1052264</v>
      </c>
      <c r="D2" s="49">
        <v>1545255</v>
      </c>
      <c r="E2" s="49">
        <v>1464186.5</v>
      </c>
      <c r="F2" s="49">
        <v>1397880</v>
      </c>
      <c r="G2" s="17">
        <f t="shared" ref="G2:G13" si="0">C2+D2+E2+F2</f>
        <v>5459585.5</v>
      </c>
      <c r="H2" s="17">
        <f t="shared" ref="H2:H13" si="1">(B2 + stillbirth*B2/(1000-stillbirth))/(1-abortion)</f>
        <v>337747.18791717861</v>
      </c>
      <c r="I2" s="17">
        <f t="shared" ref="I2:I13" si="2">G2-H2</f>
        <v>5121838.3120828215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294245</v>
      </c>
      <c r="C3" s="50">
        <v>1046889</v>
      </c>
      <c r="D3" s="50">
        <v>1554029.5</v>
      </c>
      <c r="E3" s="50">
        <v>1449803</v>
      </c>
      <c r="F3" s="50">
        <v>1409977.5</v>
      </c>
      <c r="G3" s="17">
        <f t="shared" si="0"/>
        <v>5460699</v>
      </c>
      <c r="H3" s="17">
        <f t="shared" si="1"/>
        <v>336390.17204869556</v>
      </c>
      <c r="I3" s="17">
        <f t="shared" si="2"/>
        <v>5124308.8279513046</v>
      </c>
    </row>
    <row r="4" spans="1:9" ht="15.75" customHeight="1" x14ac:dyDescent="0.25">
      <c r="A4" s="5">
        <f t="shared" si="3"/>
        <v>2026</v>
      </c>
      <c r="B4" s="49">
        <v>291602</v>
      </c>
      <c r="C4" s="50">
        <v>1039723</v>
      </c>
      <c r="D4" s="50">
        <v>1566933.5</v>
      </c>
      <c r="E4" s="50">
        <v>1438735</v>
      </c>
      <c r="F4" s="50">
        <v>1414976</v>
      </c>
      <c r="G4" s="17">
        <f t="shared" si="0"/>
        <v>5460367.5</v>
      </c>
      <c r="H4" s="17">
        <f t="shared" si="1"/>
        <v>333368.61102055671</v>
      </c>
      <c r="I4" s="17">
        <f t="shared" si="2"/>
        <v>5126998.8889794433</v>
      </c>
    </row>
    <row r="5" spans="1:9" ht="15.75" customHeight="1" x14ac:dyDescent="0.25">
      <c r="A5" s="5">
        <f t="shared" si="3"/>
        <v>2027</v>
      </c>
      <c r="B5" s="49">
        <v>290163</v>
      </c>
      <c r="C5" s="50">
        <v>1030161</v>
      </c>
      <c r="D5" s="50">
        <v>1583101.5</v>
      </c>
      <c r="E5" s="50">
        <v>1431091</v>
      </c>
      <c r="F5" s="50">
        <v>1409943.5</v>
      </c>
      <c r="G5" s="17">
        <f t="shared" si="0"/>
        <v>5454297</v>
      </c>
      <c r="H5" s="17">
        <f t="shared" si="1"/>
        <v>331723.50079751789</v>
      </c>
      <c r="I5" s="17">
        <f t="shared" si="2"/>
        <v>5122573.4992024824</v>
      </c>
    </row>
    <row r="6" spans="1:9" ht="15.75" customHeight="1" x14ac:dyDescent="0.25">
      <c r="A6" s="5">
        <f t="shared" si="3"/>
        <v>2028</v>
      </c>
      <c r="B6" s="49">
        <v>288952</v>
      </c>
      <c r="C6" s="50">
        <v>1017749.5</v>
      </c>
      <c r="D6" s="50">
        <v>1599278</v>
      </c>
      <c r="E6" s="50">
        <v>1424285</v>
      </c>
      <c r="F6" s="50">
        <v>1393265</v>
      </c>
      <c r="G6" s="17">
        <f t="shared" si="0"/>
        <v>5434577.5</v>
      </c>
      <c r="H6" s="17">
        <f t="shared" si="1"/>
        <v>330339.04737145803</v>
      </c>
      <c r="I6" s="17">
        <f t="shared" si="2"/>
        <v>5104238.4526285417</v>
      </c>
    </row>
    <row r="7" spans="1:9" ht="15.75" customHeight="1" x14ac:dyDescent="0.25">
      <c r="A7" s="5">
        <f t="shared" si="3"/>
        <v>2029</v>
      </c>
      <c r="B7" s="49">
        <v>289102</v>
      </c>
      <c r="C7" s="50">
        <v>1002999</v>
      </c>
      <c r="D7" s="50">
        <v>1612315.5</v>
      </c>
      <c r="E7" s="50">
        <v>1418125</v>
      </c>
      <c r="F7" s="50">
        <v>1369326</v>
      </c>
      <c r="G7" s="17">
        <f t="shared" si="0"/>
        <v>5402765.5</v>
      </c>
      <c r="H7" s="17">
        <f t="shared" si="1"/>
        <v>330510.53210631269</v>
      </c>
      <c r="I7" s="17">
        <f t="shared" si="2"/>
        <v>5072254.9678936871</v>
      </c>
    </row>
    <row r="8" spans="1:9" ht="15.75" customHeight="1" x14ac:dyDescent="0.25">
      <c r="A8" s="5">
        <f t="shared" si="3"/>
        <v>2030</v>
      </c>
      <c r="B8" s="49">
        <v>287955</v>
      </c>
      <c r="C8" s="50">
        <v>988146.5</v>
      </c>
      <c r="D8" s="50">
        <v>1619137</v>
      </c>
      <c r="E8" s="50">
        <v>1414975.5</v>
      </c>
      <c r="F8" s="50">
        <v>1340822</v>
      </c>
      <c r="G8" s="17">
        <f t="shared" si="0"/>
        <v>5363081</v>
      </c>
      <c r="H8" s="17">
        <f t="shared" si="1"/>
        <v>329199.24550045753</v>
      </c>
      <c r="I8" s="17">
        <f t="shared" si="2"/>
        <v>5033881.7544995425</v>
      </c>
    </row>
    <row r="9" spans="1:9" ht="15.75" customHeight="1" x14ac:dyDescent="0.25">
      <c r="A9" s="5">
        <f t="shared" si="3"/>
        <v>2031</v>
      </c>
      <c r="B9" s="49">
        <v>287155</v>
      </c>
      <c r="C9" s="50">
        <v>972055.99999999988</v>
      </c>
      <c r="D9" s="50">
        <v>1620897.5</v>
      </c>
      <c r="E9" s="50">
        <v>1413424</v>
      </c>
      <c r="F9" s="50">
        <v>1309024.5</v>
      </c>
      <c r="G9" s="17">
        <f t="shared" si="0"/>
        <v>5315402</v>
      </c>
      <c r="H9" s="17">
        <f t="shared" si="1"/>
        <v>328284.66024789948</v>
      </c>
      <c r="I9" s="17">
        <f t="shared" si="2"/>
        <v>4987117.3397521004</v>
      </c>
    </row>
    <row r="10" spans="1:9" ht="15.75" customHeight="1" x14ac:dyDescent="0.25">
      <c r="A10" s="5">
        <f t="shared" si="3"/>
        <v>2032</v>
      </c>
      <c r="B10" s="49">
        <v>286652</v>
      </c>
      <c r="C10" s="50">
        <v>952664</v>
      </c>
      <c r="D10" s="50">
        <v>1620791</v>
      </c>
      <c r="E10" s="50">
        <v>1411215</v>
      </c>
      <c r="F10" s="50">
        <v>1283351.5</v>
      </c>
      <c r="G10" s="17">
        <f t="shared" si="0"/>
        <v>5268021.5</v>
      </c>
      <c r="H10" s="17">
        <f t="shared" si="1"/>
        <v>327709.61477035354</v>
      </c>
      <c r="I10" s="17">
        <f t="shared" si="2"/>
        <v>4940311.8852296462</v>
      </c>
    </row>
    <row r="11" spans="1:9" ht="15.75" customHeight="1" x14ac:dyDescent="0.25">
      <c r="A11" s="5">
        <f t="shared" si="3"/>
        <v>2033</v>
      </c>
      <c r="B11" s="49">
        <v>286825</v>
      </c>
      <c r="C11" s="50">
        <v>931797.5</v>
      </c>
      <c r="D11" s="50">
        <v>1618124.5</v>
      </c>
      <c r="E11" s="50">
        <v>1411992</v>
      </c>
      <c r="F11" s="50">
        <v>1266740.5</v>
      </c>
      <c r="G11" s="17">
        <f t="shared" si="0"/>
        <v>5228654.5</v>
      </c>
      <c r="H11" s="17">
        <f t="shared" si="1"/>
        <v>327907.39383121923</v>
      </c>
      <c r="I11" s="17">
        <f t="shared" si="2"/>
        <v>4900747.1061687805</v>
      </c>
    </row>
    <row r="12" spans="1:9" ht="15.75" customHeight="1" x14ac:dyDescent="0.25">
      <c r="A12" s="5">
        <f t="shared" si="3"/>
        <v>2034</v>
      </c>
      <c r="B12" s="49">
        <v>285678</v>
      </c>
      <c r="C12" s="50">
        <v>912264</v>
      </c>
      <c r="D12" s="50">
        <v>1610306</v>
      </c>
      <c r="E12" s="50">
        <v>1417014</v>
      </c>
      <c r="F12" s="50">
        <v>1254172</v>
      </c>
      <c r="G12" s="17">
        <f t="shared" si="0"/>
        <v>5193756</v>
      </c>
      <c r="H12" s="17">
        <f t="shared" si="1"/>
        <v>326596.10722536407</v>
      </c>
      <c r="I12" s="17">
        <f t="shared" si="2"/>
        <v>4867159.8927746359</v>
      </c>
    </row>
    <row r="13" spans="1:9" ht="15.75" customHeight="1" x14ac:dyDescent="0.25">
      <c r="A13" s="5">
        <f t="shared" si="3"/>
        <v>2035</v>
      </c>
      <c r="B13" s="49">
        <v>283859</v>
      </c>
      <c r="C13" s="50">
        <v>895391.99999999988</v>
      </c>
      <c r="D13" s="50">
        <v>1595734.5</v>
      </c>
      <c r="E13" s="50">
        <v>1425891</v>
      </c>
      <c r="F13" s="50">
        <v>1242077</v>
      </c>
      <c r="G13" s="17">
        <f t="shared" si="0"/>
        <v>5159094.5</v>
      </c>
      <c r="H13" s="17">
        <f t="shared" si="1"/>
        <v>324516.56900736014</v>
      </c>
      <c r="I13" s="17">
        <f t="shared" si="2"/>
        <v>4834577.9309926396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dMWCgz7lO5yNY/5C3EazUnPXmOtS40a+TsEZhD0qm0kZk1eoqfVZrk+05McayVzPyXUkqTnBcriEvh5Vd37yfw==" saltValue="Jkvd2tJ+2Qj4KiEm+mji8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0</v>
      </c>
    </row>
    <row r="4" spans="1:8" ht="15.75" customHeight="1" x14ac:dyDescent="0.25">
      <c r="B4" s="19" t="s">
        <v>97</v>
      </c>
      <c r="C4" s="101">
        <v>6.7294099999999968E-2</v>
      </c>
    </row>
    <row r="5" spans="1:8" ht="15.75" customHeight="1" x14ac:dyDescent="0.25">
      <c r="B5" s="19" t="s">
        <v>95</v>
      </c>
      <c r="C5" s="101">
        <v>1.80132E-2</v>
      </c>
    </row>
    <row r="6" spans="1:8" ht="15.75" customHeight="1" x14ac:dyDescent="0.25">
      <c r="B6" s="19" t="s">
        <v>91</v>
      </c>
      <c r="C6" s="101">
        <v>0.12381249999999989</v>
      </c>
    </row>
    <row r="7" spans="1:8" ht="15.75" customHeight="1" x14ac:dyDescent="0.25">
      <c r="B7" s="19" t="s">
        <v>96</v>
      </c>
      <c r="C7" s="101">
        <v>0.38642470000000018</v>
      </c>
    </row>
    <row r="8" spans="1:8" ht="15.75" customHeight="1" x14ac:dyDescent="0.25">
      <c r="B8" s="19" t="s">
        <v>98</v>
      </c>
      <c r="C8" s="101">
        <v>1.914869999999996E-2</v>
      </c>
    </row>
    <row r="9" spans="1:8" ht="15.75" customHeight="1" x14ac:dyDescent="0.25">
      <c r="B9" s="19" t="s">
        <v>92</v>
      </c>
      <c r="C9" s="101">
        <v>0.26609360000000021</v>
      </c>
    </row>
    <row r="10" spans="1:8" ht="15.75" customHeight="1" x14ac:dyDescent="0.25">
      <c r="B10" s="19" t="s">
        <v>94</v>
      </c>
      <c r="C10" s="101">
        <v>0.1192131999999998</v>
      </c>
    </row>
    <row r="11" spans="1:8" ht="15.75" customHeight="1" x14ac:dyDescent="0.25">
      <c r="B11" s="27" t="s">
        <v>60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4.9026282500886732E-2</v>
      </c>
      <c r="D14" s="55">
        <v>4.9026282500886732E-2</v>
      </c>
      <c r="E14" s="55">
        <v>4.9026282500886732E-2</v>
      </c>
      <c r="F14" s="55">
        <v>4.9026282500886732E-2</v>
      </c>
    </row>
    <row r="15" spans="1:8" ht="15.75" customHeight="1" x14ac:dyDescent="0.25">
      <c r="B15" s="19" t="s">
        <v>102</v>
      </c>
      <c r="C15" s="101">
        <v>0.14568781322098809</v>
      </c>
      <c r="D15" s="101">
        <v>0.14568781322098809</v>
      </c>
      <c r="E15" s="101">
        <v>0.14568781322098809</v>
      </c>
      <c r="F15" s="101">
        <v>0.14568781322098809</v>
      </c>
    </row>
    <row r="16" spans="1:8" ht="15.75" customHeight="1" x14ac:dyDescent="0.25">
      <c r="B16" s="19" t="s">
        <v>2</v>
      </c>
      <c r="C16" s="101">
        <v>4.4828200364618188E-2</v>
      </c>
      <c r="D16" s="101">
        <v>4.4828200364618188E-2</v>
      </c>
      <c r="E16" s="101">
        <v>4.4828200364618188E-2</v>
      </c>
      <c r="F16" s="101">
        <v>4.4828200364618188E-2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9.4837782257655406E-2</v>
      </c>
      <c r="D19" s="101">
        <v>9.4837782257655406E-2</v>
      </c>
      <c r="E19" s="101">
        <v>9.4837782257655406E-2</v>
      </c>
      <c r="F19" s="101">
        <v>9.4837782257655406E-2</v>
      </c>
    </row>
    <row r="20" spans="1:8" ht="15.75" customHeight="1" x14ac:dyDescent="0.25">
      <c r="B20" s="19" t="s">
        <v>79</v>
      </c>
      <c r="C20" s="101">
        <v>1.385700301523442E-3</v>
      </c>
      <c r="D20" s="101">
        <v>1.385700301523442E-3</v>
      </c>
      <c r="E20" s="101">
        <v>1.385700301523442E-3</v>
      </c>
      <c r="F20" s="101">
        <v>1.385700301523442E-3</v>
      </c>
    </row>
    <row r="21" spans="1:8" ht="15.75" customHeight="1" x14ac:dyDescent="0.25">
      <c r="B21" s="19" t="s">
        <v>88</v>
      </c>
      <c r="C21" s="101">
        <v>0.53798862315887519</v>
      </c>
      <c r="D21" s="101">
        <v>0.53798862315887519</v>
      </c>
      <c r="E21" s="101">
        <v>0.53798862315887519</v>
      </c>
      <c r="F21" s="101">
        <v>0.53798862315887519</v>
      </c>
    </row>
    <row r="22" spans="1:8" ht="15.75" customHeight="1" x14ac:dyDescent="0.25">
      <c r="B22" s="19" t="s">
        <v>99</v>
      </c>
      <c r="C22" s="101">
        <v>0.126245598195453</v>
      </c>
      <c r="D22" s="101">
        <v>0.126245598195453</v>
      </c>
      <c r="E22" s="101">
        <v>0.126245598195453</v>
      </c>
      <c r="F22" s="101">
        <v>0.126245598195453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6.2575125999999995E-2</v>
      </c>
    </row>
    <row r="27" spans="1:8" ht="15.75" customHeight="1" x14ac:dyDescent="0.25">
      <c r="B27" s="19" t="s">
        <v>89</v>
      </c>
      <c r="C27" s="101">
        <v>2.7904689999999998E-3</v>
      </c>
    </row>
    <row r="28" spans="1:8" ht="15.75" customHeight="1" x14ac:dyDescent="0.25">
      <c r="B28" s="19" t="s">
        <v>103</v>
      </c>
      <c r="C28" s="101">
        <v>0.17595467200000001</v>
      </c>
    </row>
    <row r="29" spans="1:8" ht="15.75" customHeight="1" x14ac:dyDescent="0.25">
      <c r="B29" s="19" t="s">
        <v>86</v>
      </c>
      <c r="C29" s="101">
        <v>0.129916751</v>
      </c>
    </row>
    <row r="30" spans="1:8" ht="15.75" customHeight="1" x14ac:dyDescent="0.25">
      <c r="B30" s="19" t="s">
        <v>4</v>
      </c>
      <c r="C30" s="101">
        <v>6.5542224999999996E-2</v>
      </c>
    </row>
    <row r="31" spans="1:8" ht="15.75" customHeight="1" x14ac:dyDescent="0.25">
      <c r="B31" s="19" t="s">
        <v>80</v>
      </c>
      <c r="C31" s="101">
        <v>0.16151726199999999</v>
      </c>
    </row>
    <row r="32" spans="1:8" ht="15.75" customHeight="1" x14ac:dyDescent="0.25">
      <c r="B32" s="19" t="s">
        <v>85</v>
      </c>
      <c r="C32" s="101">
        <v>7.3741798999999997E-2</v>
      </c>
    </row>
    <row r="33" spans="2:3" ht="15.75" customHeight="1" x14ac:dyDescent="0.25">
      <c r="B33" s="19" t="s">
        <v>100</v>
      </c>
      <c r="C33" s="101">
        <v>3.4829341E-2</v>
      </c>
    </row>
    <row r="34" spans="2:3" ht="15.75" customHeight="1" x14ac:dyDescent="0.25">
      <c r="B34" s="19" t="s">
        <v>87</v>
      </c>
      <c r="C34" s="101">
        <v>0.29313235599999998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kGa9HJgfdAO3RGZiaUiK812XLdyfS7SJy9XQr8cT0YKoLUsyhnGgHLcDw0gslz5hD/iGyryE/seDVxDXusMMLA==" saltValue="blHtp0gT9BSQBbhKHta0P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110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106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107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119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0.37582732899999999</v>
      </c>
      <c r="D14" s="54">
        <v>0.36131474626900001</v>
      </c>
      <c r="E14" s="54">
        <v>0.36131474626900001</v>
      </c>
      <c r="F14" s="54">
        <v>0.174274205716</v>
      </c>
      <c r="G14" s="54">
        <v>0.174274205716</v>
      </c>
      <c r="H14" s="45">
        <v>0.35399999999999998</v>
      </c>
      <c r="I14" s="55">
        <v>0.35399999999999998</v>
      </c>
      <c r="J14" s="55">
        <v>0.35399999999999998</v>
      </c>
      <c r="K14" s="55">
        <v>0.35399999999999998</v>
      </c>
      <c r="L14" s="45">
        <v>0.32500000000000001</v>
      </c>
      <c r="M14" s="55">
        <v>0.32500000000000001</v>
      </c>
      <c r="N14" s="55">
        <v>0.32500000000000001</v>
      </c>
      <c r="O14" s="55">
        <v>0.32500000000000001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0.23650964144901598</v>
      </c>
      <c r="D15" s="52">
        <f t="shared" si="0"/>
        <v>0.22737681508606677</v>
      </c>
      <c r="E15" s="52">
        <f t="shared" si="0"/>
        <v>0.22737681508606677</v>
      </c>
      <c r="F15" s="52">
        <f t="shared" si="0"/>
        <v>0.10967145475390165</v>
      </c>
      <c r="G15" s="52">
        <f t="shared" si="0"/>
        <v>0.10967145475390165</v>
      </c>
      <c r="H15" s="52">
        <f t="shared" si="0"/>
        <v>0.22277361599999998</v>
      </c>
      <c r="I15" s="52">
        <f t="shared" si="0"/>
        <v>0.22277361599999998</v>
      </c>
      <c r="J15" s="52">
        <f t="shared" si="0"/>
        <v>0.22277361599999998</v>
      </c>
      <c r="K15" s="52">
        <f t="shared" si="0"/>
        <v>0.22277361599999998</v>
      </c>
      <c r="L15" s="52">
        <f t="shared" si="0"/>
        <v>0.20452380000000001</v>
      </c>
      <c r="M15" s="52">
        <f t="shared" si="0"/>
        <v>0.20452380000000001</v>
      </c>
      <c r="N15" s="52">
        <f t="shared" si="0"/>
        <v>0.20452380000000001</v>
      </c>
      <c r="O15" s="52">
        <f t="shared" si="0"/>
        <v>0.20452380000000001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vilknS25M52jhR2y0NX1ZKpgeWmBSaihNQRa2cTq24lwBHW5HPFJPdnWi2+Xqa49KQuqC2GEXVCe8/SL509VpQ==" saltValue="U2FrKTHEHNchpBa7/MWvs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125</v>
      </c>
      <c r="C5" s="52">
        <v>4.2547995714285698E-2</v>
      </c>
      <c r="D5" s="52">
        <v>6.9181616901408394E-2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BJvs8/LVMmrE7rDLhI9/XfhKmHGCx27EJvVvF8OIO+AR8Dja7AEYhmpmylPjMbw6lZuYeEgXS/Vd2JCdRqBCbg==" saltValue="xl+8hEf6oxsYUlA8ytYU3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s4zmle761BG//R2yTh0O0qcD1110gSDv+UPRIuaB2eykgbz4LqjUal9EWVL5Xo2kSbh3+E3kdG2X6eXLqLYecA==" saltValue="47rn0AlHYgkSwvGD05rPV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XkkTMoskGpkAgnxbMbw9iF4GYHyJB3agul5Fk1yp0zEn7S0ZauRptBI5FQSceWwpxG5GwBJScaCt+R3aTqX5XQ==" saltValue="yTPgzTLmrsndCtoCtrM5+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aNaQW9MegXoA4vpqfrc+F7CvFHvOSt27Zxqcz6FM0FaIZCqmKMhEOM4yAiE2tHys3RvfM2aDE2gk0SOyclx+rA==" saltValue="Qst9naFzoKlRMHAbDuw5d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H4XxGPwx7VHBumYFJLtSdOfQpiOwmYqvoDg8kEMqES/D5wDyc6D/q1xeGXvwjiKNO0fqm0nc0SIbdPzyW2WtqA==" saltValue="j1VkF70EdJB7X3xN6BkMT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52.760864598354758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19.75203299904819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5.5316310965581978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2.6821610077954769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0.19283527130965261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0.61278763993956276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0.5</v>
      </c>
      <c r="C9" s="98">
        <v>0.95</v>
      </c>
      <c r="D9" s="56">
        <v>0.33817592950044628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12.968306811567571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12.968306811567571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12.968306811567571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12.968306811567571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12.968306811567571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12.968306811567571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3.4000000000000002E-2</v>
      </c>
      <c r="C16" s="98">
        <v>0.95</v>
      </c>
      <c r="D16" s="56">
        <v>0.67507261146291864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</v>
      </c>
      <c r="C18" s="98">
        <v>0.95</v>
      </c>
      <c r="D18" s="56">
        <v>5.5316310965581978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</v>
      </c>
      <c r="C19" s="98">
        <v>0.95</v>
      </c>
      <c r="D19" s="56">
        <v>5.5316310965581978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10.726757057587051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22.356153156487789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6.4000000000000001E-2</v>
      </c>
      <c r="C23" s="98">
        <v>0.95</v>
      </c>
      <c r="D23" s="56">
        <v>4.2519172670834697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0.71148211299999997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8.7121114042606536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21.404647062622459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0.54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0.72599999999999998</v>
      </c>
      <c r="C29" s="98">
        <v>0.95</v>
      </c>
      <c r="D29" s="56">
        <v>26.81689264396762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124.95507750751879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0.93</v>
      </c>
      <c r="C32" s="98">
        <v>0.95</v>
      </c>
      <c r="D32" s="56">
        <v>0.3680037656399861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0.85346329999999992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0.90599999999999992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0.52352160000000003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0</v>
      </c>
      <c r="C38" s="98">
        <v>0.95</v>
      </c>
      <c r="D38" s="56">
        <v>4.8321970599589923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3.4277904548683669</v>
      </c>
      <c r="E39" s="56" t="s">
        <v>183</v>
      </c>
      <c r="F39" s="98">
        <v>1</v>
      </c>
      <c r="G39" s="98">
        <v>1</v>
      </c>
    </row>
  </sheetData>
  <sheetProtection algorithmName="SHA-512" hashValue="KN3TCLThrR7zNEifwbfucWIaVTQtkC8q6E3H5UVwQzjrLE8pweTDaVvTg//6ebe6VfCrXun83wkzcaA0frWceg==" saltValue="mNWyHAeoOCx/VP0aOlJ/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ckSaXNwR78cwkxX/kjphsEshrW6vnqjeYsOe/wOLy6ZAs6xe+c8OM5Cfe86ZhOYUslnYdgnuxwE1SXbX9MHh+Q==" saltValue="4C+BF+PVOcw54ghUUgdtZ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UaYV5jneYCq47egYrOC+P97Mjr/rU/ckUD28hBlxYqRpBixXNm6gLZnfYgJ/RU+tUmotUrFYu3FdY/wFQzSf8Q==" saltValue="IVFFSTWeulWz/tx3xB76l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2.4</v>
      </c>
      <c r="C2" s="21">
        <f>'Entradas de población-año base'!C52</f>
        <v>2.4</v>
      </c>
      <c r="D2" s="21">
        <f>'Entradas de población-año base'!C53</f>
        <v>2.4</v>
      </c>
      <c r="E2" s="21">
        <f>'Entradas de población-año base'!C54</f>
        <v>2.4</v>
      </c>
      <c r="F2" s="21">
        <f>'Entradas de población-año base'!C55</f>
        <v>2.4</v>
      </c>
    </row>
    <row r="3" spans="1:6" ht="15.75" customHeight="1" x14ac:dyDescent="0.25">
      <c r="A3" s="3" t="s">
        <v>6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207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sheetProtection algorithmName="SHA-512" hashValue="WhFOiu0UcJb9OXjpUGumm4Z7cpl5bK0jcpRtbN9YrZe+twIm2VDKo7PlTDsf4nuCOi5iMj6yXcn+4OD4A4zsoA==" saltValue="PflDn7Z8ISlnhyKtMQWQk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8.0000000000000002E-3</v>
      </c>
      <c r="E2" s="60">
        <f>food_insecure</f>
        <v>8.0000000000000002E-3</v>
      </c>
      <c r="F2" s="60">
        <f>food_insecure</f>
        <v>8.0000000000000002E-3</v>
      </c>
      <c r="G2" s="60">
        <f>food_insecure</f>
        <v>8.0000000000000002E-3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8.0000000000000002E-3</v>
      </c>
      <c r="F5" s="60">
        <f>food_insecure</f>
        <v>8.0000000000000002E-3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8.0000000000000002E-3</v>
      </c>
      <c r="F8" s="60">
        <f>food_insecure</f>
        <v>8.0000000000000002E-3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8.0000000000000002E-3</v>
      </c>
      <c r="F9" s="60">
        <f>food_insecure</f>
        <v>8.0000000000000002E-3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8.0000000000000002E-3</v>
      </c>
      <c r="I15" s="60">
        <f>food_insecure</f>
        <v>8.0000000000000002E-3</v>
      </c>
      <c r="J15" s="60">
        <f>food_insecure</f>
        <v>8.0000000000000002E-3</v>
      </c>
      <c r="K15" s="60">
        <f>food_insecure</f>
        <v>8.0000000000000002E-3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0.25900000000000001</v>
      </c>
      <c r="M24" s="60">
        <f>famplan_unmet_need</f>
        <v>0.25900000000000001</v>
      </c>
      <c r="N24" s="60">
        <f>famplan_unmet_need</f>
        <v>0.25900000000000001</v>
      </c>
      <c r="O24" s="60">
        <f>famplan_unmet_need</f>
        <v>0.25900000000000001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4.7159521411132756E-2</v>
      </c>
      <c r="M25" s="60">
        <f>(1-food_insecure)*(0.49)+food_insecure*(0.7)</f>
        <v>0.49168000000000001</v>
      </c>
      <c r="N25" s="60">
        <f>(1-food_insecure)*(0.49)+food_insecure*(0.7)</f>
        <v>0.49168000000000001</v>
      </c>
      <c r="O25" s="60">
        <f>(1-food_insecure)*(0.49)+food_insecure*(0.7)</f>
        <v>0.49168000000000001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2.0211223461914035E-2</v>
      </c>
      <c r="M26" s="60">
        <f>(1-food_insecure)*(0.21)+food_insecure*(0.3)</f>
        <v>0.21071999999999999</v>
      </c>
      <c r="N26" s="60">
        <f>(1-food_insecure)*(0.21)+food_insecure*(0.3)</f>
        <v>0.21071999999999999</v>
      </c>
      <c r="O26" s="60">
        <f>(1-food_insecure)*(0.21)+food_insecure*(0.3)</f>
        <v>0.21071999999999999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2.8544324707031211E-2</v>
      </c>
      <c r="M27" s="60">
        <f>(1-food_insecure)*(0.3)</f>
        <v>0.29759999999999998</v>
      </c>
      <c r="N27" s="60">
        <f>(1-food_insecure)*(0.3)</f>
        <v>0.29759999999999998</v>
      </c>
      <c r="O27" s="60">
        <f>(1-food_insecure)*(0.3)</f>
        <v>0.29759999999999998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0.90408493041992199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lUxmH2U30bb8cGV2wOtjkJ1pyKiDXlBz7lIwsYQD3UFeuhcCFdto5SBfFt+uvDEl3X4IYq13y1VlpfdL29jygw==" saltValue="abJ91b5bk2CJz9Tl0SZ8p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fklrJzF+Yuz25Z1CStm94l6Y0xlRzAVm3EPtQRV/NK0ISqsvIWYScXN48B5xOwoZbzkOYNryN2p8rTbMbnvURw==" saltValue="Ie1I4hGSjARXN4dP/4pl8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a1ZfeqkCCTTwY42ICTbc+1NRMktQ7u3ROQ6ca/Rt8+ELQhMOwgnfXbAsSteNSWkgYBMYQgOhVrex4xBEl5fxWw==" saltValue="hgEcZEBFgHo9MJEwozKLD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cJKY++/2DKMZUV1YpprekmCfSc2fHVKrgGrrDzxypJdsJpMYT/qLvjwg7pebsHmL363TjIbw+JYBaJ1MDdcWQ==" saltValue="eJWDGhjoAqqjhEyeIV4QV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wE+Q/SY1w2F5SfixdIdAlsSKe5wtUPfoDZAIBjAJUdxhqtJs/rIwmaSyVK9nqkakCH7phkAyopVY77wHunT9+A==" saltValue="6sll07DVNGyGMHd9FcTBt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H4Zf+KpQO1Biv9peZi+Oypub4epHtkFUPnkcPZaFp0LmVEuorck74WjBoOOd5ab3UN4GhUIZlZgM6DE2Xo9WsA==" saltValue="gbxjdH8vc7X8jNobjZlUT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6kEJDmHW3aFc5fHhpmq/m4UYw5L5sWu2fQp4swjEpZRd8GuPS+e8/fghi60RIrZz4WGSaqcpr9tfGIrAqVXZCw==" saltValue="mpBw+pG7fw3u7ABqbrS5z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fH3XqyqeSgMNcBPtlEUEvObWYEJRHJif+ETbBG7sK8Now/SVO0nLTxq7gfSABhi+DZwQLmM0RuI7gswOUB3uSQ==" saltValue="PWH4/tDhM+SWm0IjWP/l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iMXzuNtPl45fuc6OUyflYWxFw9dyZfU8KchjPa2mlg4KlmMzwd7mq8/RtbPRmyKhdwLqZ5f4kNAcqKMctqIt9g==" saltValue="41VwB2HssQcehiVFDY6DX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yU2GD6pl8ZRAhg72A5ehLtSTno6/5aYfD7kFNt/S7pmWfrs0eanMqDHp5QKN5XDoM8qWC1RVl+w9Gb5HOXt6Qw==" saltValue="cP6PE8VMH1cqlEHPO51w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rjHlmZBvpryZQd1xHNOoTEye+dze1ws0V83KkdDIbWcVs9wjjdO/qqBMiOJfZSzmToRQzob/xaP1YXznKmusHw==" saltValue="iPdGvtESvvPZXee6blmS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dOBjKxomoVHyuH6Nn6dRyP2mH5yx5UXBYkjwynxmGLqkTJa5nGZ9ypCYkDTDVKl2a/KVHO1aq/glb2jcQk70GA==" saltValue="IgRkjZkO5lwbfZDCDYgTG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FEVwfcESPVAXpi3aR4f6SZj2tXCKFkwDAj+dOc1ynEMHn+AtBvmeH+rQ08BotoXsk8SLRJ+N8+tc48ljHIMcQ==" saltValue="3H+dqx944fWrvjxj7HMha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0.1061043049026611</v>
      </c>
      <c r="G18" s="90">
        <f>MIN(MAX(1-0.89/(1-frac_sam_12_23months+(frac_sam_12_23months*0.89)),0),1)</f>
        <v>0.10672753483027453</v>
      </c>
      <c r="H18" s="90">
        <f>MIN(MAX(1-0.89/(1-frac_sam_24_59months+(frac_sam_24_59months*0.89)),0),1)</f>
        <v>0.10792624649961502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0.10159302095390743</v>
      </c>
      <c r="G20" s="90">
        <f>MIN(MAX(1-0.89/(1-frac_mam_12_23months+(frac_mam_12_23months*0.89)),0),1)</f>
        <v>0.10192091694100414</v>
      </c>
      <c r="H20" s="90">
        <f>MIN(MAX(1-0.89/(1-frac_mam_24_59months+(frac_mam_24_59months*0.89)),0),1)</f>
        <v>0.10391137176824317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9.6076147076843421E-3</v>
      </c>
      <c r="G73" s="90">
        <f>MIN(MAX(1-0.99/(1-frac_sam_12_23months+(frac_sam_12_23months*0.99)),0),1)</f>
        <v>9.6701790355624428E-3</v>
      </c>
      <c r="H73" s="90">
        <f>MIN(MAX(1-0.99/(1-frac_sam_24_59months+(frac_sam_24_59months*0.99)),0),1)</f>
        <v>9.7907378565519343E-3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9.1570943458723075E-3</v>
      </c>
      <c r="G75" s="90">
        <f>MIN(MAX(1-0.99/(1-frac_mam_12_23months+(frac_mam_12_23months*0.99)),0),1)</f>
        <v>9.1897009707044841E-3</v>
      </c>
      <c r="H75" s="90">
        <f>MIN(MAX(1-0.99/(1-frac_mam_24_59months+(frac_mam_24_59months*0.99)),0),1)</f>
        <v>9.3881015599317497E-3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0.19361030108005861</v>
      </c>
      <c r="G128" s="90">
        <f>MIN(MAX(1-0.8/(1-frac_sam_12_23months+(frac_sam_12_23months*0.8)),0),1)</f>
        <v>0.19463560409556757</v>
      </c>
      <c r="H128" s="90">
        <f>MIN(MAX(1-0.8/(1-frac_sam_24_59months+(frac_sam_24_59months*0.8)),0),1)</f>
        <v>0.1966043481398837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0.18615328435422862</v>
      </c>
      <c r="G130" s="90">
        <f>MIN(MAX(1-0.8/(1-frac_mam_12_23months+(frac_mam_12_23months*0.8)),0),1)</f>
        <v>0.18669738659742963</v>
      </c>
      <c r="H130" s="90">
        <f>MIN(MAX(1-0.8/(1-frac_mam_24_59months+(frac_mam_24_59months*0.8)),0),1)</f>
        <v>0.18999321757816412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cOKIrjDi+1uAsRXNxMdDJVePubQBB2j1jXT+N+2qF0N520VuaeMRt/UzBYSKR6LbLxA0nw/Nc54mJLWpyEQTAw==" saltValue="eIjXwpjwmh/JvXqpoVjb5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/Jz89WleTgYllWUHBJeUZJJ0S/KOyGIubh/Fh/nfsF0sjjpppo0Br1LYz8eKpuZ3W5HwKORg1H08Ket+Mh6Ilw==" saltValue="+3rDKQcIYp0Enk3rQTu6a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2024-08-06T07:53:46Z</dcterms:modified>
</cp:coreProperties>
</file>