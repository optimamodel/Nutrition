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54ED561A-AA51-4596-A6E8-9D46A95E8111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4" i="2"/>
  <c r="I8" i="2"/>
  <c r="I12" i="2"/>
  <c r="A25" i="2"/>
  <c r="I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<sst xmlns="http://schemas.openxmlformats.org/spreadsheetml/2006/main" count="2159" uniqueCount="372">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</sst>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1607403</v>
      </c>
    </row>
    <row r="8" spans="1:3" ht="15" customHeight="1" x14ac:dyDescent="0.25">
      <c r="B8" s="5" t="s">
        <v>63</v>
      </c>
      <c r="C8" s="44">
        <v>0.14299999999999999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0.92255489999999996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7.4999999999999997E-2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3.6700000000000003E-2</v>
      </c>
    </row>
    <row r="24" spans="1:3" ht="15" customHeight="1" x14ac:dyDescent="0.25">
      <c r="B24" s="15" t="s">
        <v>65</v>
      </c>
      <c r="C24" s="45">
        <v>0.48730000000000001</v>
      </c>
    </row>
    <row r="25" spans="1:3" ht="15" customHeight="1" x14ac:dyDescent="0.25">
      <c r="B25" s="15" t="s">
        <v>66</v>
      </c>
      <c r="C25" s="45">
        <v>0.43280000000000002</v>
      </c>
    </row>
    <row r="26" spans="1:3" ht="15" customHeight="1" x14ac:dyDescent="0.25">
      <c r="B26" s="15" t="s">
        <v>67</v>
      </c>
      <c r="C26" s="45">
        <v>4.3200000000000002E-2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0.3567553</v>
      </c>
    </row>
    <row r="30" spans="1:3" ht="14.25" customHeight="1" x14ac:dyDescent="0.25">
      <c r="B30" s="25" t="s">
        <v>82</v>
      </c>
      <c r="C30" s="99">
        <v>6.59106E-2</v>
      </c>
    </row>
    <row r="31" spans="1:3" ht="14.25" customHeight="1" x14ac:dyDescent="0.25">
      <c r="B31" s="25" t="s">
        <v>29</v>
      </c>
      <c r="C31" s="99">
        <v>9.2620400000000006E-2</v>
      </c>
    </row>
    <row r="32" spans="1:3" ht="14.25" customHeight="1" x14ac:dyDescent="0.25">
      <c r="B32" s="25" t="s">
        <v>30</v>
      </c>
      <c r="C32" s="99">
        <v>0.48471370000000003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3.8523700000000001</v>
      </c>
    </row>
    <row r="38" spans="1:5" ht="15" customHeight="1" x14ac:dyDescent="0.25">
      <c r="B38" s="11" t="s">
        <v>54</v>
      </c>
      <c r="C38" s="43">
        <v>5.7698299999999998</v>
      </c>
      <c r="D38" s="12"/>
      <c r="E38" s="13"/>
    </row>
    <row r="39" spans="1:5" ht="15" customHeight="1" x14ac:dyDescent="0.25">
      <c r="B39" s="11" t="s">
        <v>80</v>
      </c>
      <c r="C39" s="43">
        <v>6.7480700000000002</v>
      </c>
      <c r="D39" s="12"/>
      <c r="E39" s="12"/>
    </row>
    <row r="40" spans="1:5" ht="15" customHeight="1" x14ac:dyDescent="0.25">
      <c r="B40" s="11" t="s">
        <v>55</v>
      </c>
      <c r="C40" s="100">
        <v>0.28999999999999998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6.0074699999999996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6.7450000000000001E-3</v>
      </c>
      <c r="D45" s="12"/>
    </row>
    <row r="46" spans="1:5" ht="15.75" customHeight="1" x14ac:dyDescent="0.25">
      <c r="B46" s="11" t="s">
        <v>70</v>
      </c>
      <c r="C46" s="45">
        <v>7.1213499999999999E-2</v>
      </c>
      <c r="D46" s="12"/>
    </row>
    <row r="47" spans="1:5" ht="15.75" customHeight="1" x14ac:dyDescent="0.25">
      <c r="B47" s="11" t="s">
        <v>78</v>
      </c>
      <c r="C47" s="45">
        <v>0.17027529999999999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2.4</v>
      </c>
      <c r="D51" s="12"/>
    </row>
    <row r="52" spans="1:4" ht="15" customHeight="1" x14ac:dyDescent="0.25">
      <c r="B52" s="11" t="s">
        <v>32</v>
      </c>
      <c r="C52" s="100">
        <v>2.4</v>
      </c>
    </row>
    <row r="53" spans="1:4" ht="15.75" customHeight="1" x14ac:dyDescent="0.25">
      <c r="B53" s="11" t="s">
        <v>35</v>
      </c>
      <c r="C53" s="100">
        <v>2.4</v>
      </c>
    </row>
    <row r="54" spans="1:4" ht="15.75" customHeight="1" x14ac:dyDescent="0.25">
      <c r="B54" s="11" t="s">
        <v>33</v>
      </c>
      <c r="C54" s="100">
        <v>2.4</v>
      </c>
    </row>
    <row r="55" spans="1:4" ht="15.75" customHeight="1" x14ac:dyDescent="0.25">
      <c r="B55" s="11" t="s">
        <v>34</v>
      </c>
      <c r="C55" s="100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0.62930399999999997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0.17978289859999999</v>
      </c>
    </row>
    <row r="63" spans="1:4" ht="15.75" customHeight="1" x14ac:dyDescent="0.3">
      <c r="A63" s="4"/>
    </row>
  </sheetData>
  <sheetProtection algorithmName="SHA-512" hashValue="0s7gNK92qeYe0UHI/0cYLOrEfDUmjS678hjcvgB8K/yezRHNt1jroE2akB57g/EpwuHaYE/Uz/AfLX313/TMag==" saltValue="PDkxRP25/oyySZO5HaNO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320429</v>
      </c>
      <c r="C2" s="49">
        <v>894482.5</v>
      </c>
      <c r="D2" s="49">
        <v>1655025.5</v>
      </c>
      <c r="E2" s="49">
        <v>1614266.9999999998</v>
      </c>
      <c r="F2" s="49">
        <v>1629127.5</v>
      </c>
      <c r="G2" s="17">
        <f t="shared" ref="G2:G13" si="0">C2+D2+E2+F2</f>
        <v>5792902.5</v>
      </c>
      <c r="H2" s="17">
        <f t="shared" ref="H2:H13" si="1">(B2 + stillbirth*B2/(1000-stillbirth))/(1-abortion)</f>
        <v>366324.54736492201</v>
      </c>
      <c r="I2" s="17">
        <f t="shared" ref="I2:I13" si="2">G2-H2</f>
        <v>5426577.9526350778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318489</v>
      </c>
      <c r="C3" s="50">
        <v>892927</v>
      </c>
      <c r="D3" s="50">
        <v>1661383</v>
      </c>
      <c r="E3" s="50">
        <v>1613825</v>
      </c>
      <c r="F3" s="50">
        <v>1645088.5</v>
      </c>
      <c r="G3" s="17">
        <f t="shared" si="0"/>
        <v>5813223.5</v>
      </c>
      <c r="H3" s="17">
        <f t="shared" si="1"/>
        <v>364106.67812746862</v>
      </c>
      <c r="I3" s="17">
        <f t="shared" si="2"/>
        <v>5449116.8218725314</v>
      </c>
    </row>
    <row r="4" spans="1:9" ht="15.75" customHeight="1" x14ac:dyDescent="0.25">
      <c r="A4" s="5">
        <f t="shared" si="3"/>
        <v>2026</v>
      </c>
      <c r="B4" s="49">
        <v>316459</v>
      </c>
      <c r="C4" s="50">
        <v>888383</v>
      </c>
      <c r="D4" s="50">
        <v>1669654</v>
      </c>
      <c r="E4" s="50">
        <v>1613936.0000000002</v>
      </c>
      <c r="F4" s="50">
        <v>1653855.5000000002</v>
      </c>
      <c r="G4" s="17">
        <f t="shared" si="0"/>
        <v>5825828.5</v>
      </c>
      <c r="H4" s="17">
        <f t="shared" si="1"/>
        <v>361785.91804910247</v>
      </c>
      <c r="I4" s="17">
        <f t="shared" si="2"/>
        <v>5464042.5819508974</v>
      </c>
    </row>
    <row r="5" spans="1:9" ht="15.75" customHeight="1" x14ac:dyDescent="0.25">
      <c r="A5" s="5">
        <f t="shared" si="3"/>
        <v>2027</v>
      </c>
      <c r="B5" s="49">
        <v>314866</v>
      </c>
      <c r="C5" s="50">
        <v>882279.5</v>
      </c>
      <c r="D5" s="50">
        <v>1680071</v>
      </c>
      <c r="E5" s="50">
        <v>1613340.0000000002</v>
      </c>
      <c r="F5" s="50">
        <v>1654402</v>
      </c>
      <c r="G5" s="17">
        <f t="shared" si="0"/>
        <v>5830092.5</v>
      </c>
      <c r="H5" s="17">
        <f t="shared" si="1"/>
        <v>359964.75016494613</v>
      </c>
      <c r="I5" s="17">
        <f t="shared" si="2"/>
        <v>5470127.7498350535</v>
      </c>
    </row>
    <row r="6" spans="1:9" ht="15.75" customHeight="1" x14ac:dyDescent="0.25">
      <c r="A6" s="5">
        <f t="shared" si="3"/>
        <v>2028</v>
      </c>
      <c r="B6" s="49">
        <v>313284</v>
      </c>
      <c r="C6" s="50">
        <v>876557.5</v>
      </c>
      <c r="D6" s="50">
        <v>1691592.5</v>
      </c>
      <c r="E6" s="50">
        <v>1611810</v>
      </c>
      <c r="F6" s="50">
        <v>1647257.5000000002</v>
      </c>
      <c r="G6" s="17">
        <f t="shared" si="0"/>
        <v>5827217.5</v>
      </c>
      <c r="H6" s="17">
        <f t="shared" si="1"/>
        <v>358156.15782801248</v>
      </c>
      <c r="I6" s="17">
        <f t="shared" si="2"/>
        <v>5469061.3421719875</v>
      </c>
    </row>
    <row r="7" spans="1:9" ht="15.75" customHeight="1" x14ac:dyDescent="0.25">
      <c r="A7" s="5">
        <f t="shared" si="3"/>
        <v>2029</v>
      </c>
      <c r="B7" s="49">
        <v>312034</v>
      </c>
      <c r="C7" s="50">
        <v>870095.5</v>
      </c>
      <c r="D7" s="50">
        <v>1702816.5</v>
      </c>
      <c r="E7" s="50">
        <v>1609554</v>
      </c>
      <c r="F7" s="50">
        <v>1634765.5</v>
      </c>
      <c r="G7" s="17">
        <f t="shared" si="0"/>
        <v>5817231.5</v>
      </c>
      <c r="H7" s="17">
        <f t="shared" si="1"/>
        <v>356727.1183708905</v>
      </c>
      <c r="I7" s="17">
        <f t="shared" si="2"/>
        <v>5460504.3816291094</v>
      </c>
    </row>
    <row r="8" spans="1:9" ht="15.75" customHeight="1" x14ac:dyDescent="0.25">
      <c r="A8" s="5">
        <f t="shared" si="3"/>
        <v>2030</v>
      </c>
      <c r="B8" s="49">
        <v>311150</v>
      </c>
      <c r="C8" s="50">
        <v>861352.5</v>
      </c>
      <c r="D8" s="50">
        <v>1712608.5</v>
      </c>
      <c r="E8" s="50">
        <v>1607167</v>
      </c>
      <c r="F8" s="50">
        <v>1619935</v>
      </c>
      <c r="G8" s="17">
        <f t="shared" si="0"/>
        <v>5801063</v>
      </c>
      <c r="H8" s="17">
        <f t="shared" si="1"/>
        <v>355716.50166681374</v>
      </c>
      <c r="I8" s="17">
        <f t="shared" si="2"/>
        <v>5445346.4983331859</v>
      </c>
    </row>
    <row r="9" spans="1:9" ht="15.75" customHeight="1" x14ac:dyDescent="0.25">
      <c r="A9" s="5">
        <f t="shared" si="3"/>
        <v>2031</v>
      </c>
      <c r="B9" s="49">
        <v>310127</v>
      </c>
      <c r="C9" s="50">
        <v>851407.5</v>
      </c>
      <c r="D9" s="50">
        <v>1719015.5</v>
      </c>
      <c r="E9" s="50">
        <v>1605658</v>
      </c>
      <c r="F9" s="50">
        <v>1605841</v>
      </c>
      <c r="G9" s="17">
        <f t="shared" si="0"/>
        <v>5781922</v>
      </c>
      <c r="H9" s="17">
        <f t="shared" si="1"/>
        <v>354546.97577510512</v>
      </c>
      <c r="I9" s="17">
        <f t="shared" si="2"/>
        <v>5427375.0242248951</v>
      </c>
    </row>
    <row r="10" spans="1:9" ht="15.75" customHeight="1" x14ac:dyDescent="0.25">
      <c r="A10" s="5">
        <f t="shared" si="3"/>
        <v>2032</v>
      </c>
      <c r="B10" s="49">
        <v>309526</v>
      </c>
      <c r="C10" s="50">
        <v>840602</v>
      </c>
      <c r="D10" s="50">
        <v>1721407.0000000002</v>
      </c>
      <c r="E10" s="50">
        <v>1605715.0000000002</v>
      </c>
      <c r="F10" s="50">
        <v>1595130.5</v>
      </c>
      <c r="G10" s="17">
        <f t="shared" si="0"/>
        <v>5762854.5</v>
      </c>
      <c r="H10" s="17">
        <f t="shared" si="1"/>
        <v>353859.89360412088</v>
      </c>
      <c r="I10" s="17">
        <f t="shared" si="2"/>
        <v>5408994.6063958788</v>
      </c>
    </row>
    <row r="11" spans="1:9" ht="15.75" customHeight="1" x14ac:dyDescent="0.25">
      <c r="A11" s="5">
        <f t="shared" si="3"/>
        <v>2033</v>
      </c>
      <c r="B11" s="49">
        <v>309081</v>
      </c>
      <c r="C11" s="50">
        <v>828313.5</v>
      </c>
      <c r="D11" s="50">
        <v>1720858.4999999998</v>
      </c>
      <c r="E11" s="50">
        <v>1607778.5</v>
      </c>
      <c r="F11" s="50">
        <v>1588896</v>
      </c>
      <c r="G11" s="17">
        <f t="shared" si="0"/>
        <v>5745846.5</v>
      </c>
      <c r="H11" s="17">
        <f t="shared" si="1"/>
        <v>353351.15555738541</v>
      </c>
      <c r="I11" s="17">
        <f t="shared" si="2"/>
        <v>5392495.3444426144</v>
      </c>
    </row>
    <row r="12" spans="1:9" ht="15.75" customHeight="1" x14ac:dyDescent="0.25">
      <c r="A12" s="5">
        <f t="shared" si="3"/>
        <v>2034</v>
      </c>
      <c r="B12" s="49">
        <v>308281</v>
      </c>
      <c r="C12" s="50">
        <v>816292</v>
      </c>
      <c r="D12" s="50">
        <v>1716071</v>
      </c>
      <c r="E12" s="50">
        <v>1611825.5</v>
      </c>
      <c r="F12" s="50">
        <v>1586308</v>
      </c>
      <c r="G12" s="17">
        <f t="shared" si="0"/>
        <v>5730496.5</v>
      </c>
      <c r="H12" s="17">
        <f t="shared" si="1"/>
        <v>352436.5703048273</v>
      </c>
      <c r="I12" s="17">
        <f t="shared" si="2"/>
        <v>5378059.9296951722</v>
      </c>
    </row>
    <row r="13" spans="1:9" ht="15.75" customHeight="1" x14ac:dyDescent="0.25">
      <c r="A13" s="5">
        <f t="shared" si="3"/>
        <v>2035</v>
      </c>
      <c r="B13" s="49">
        <v>307430</v>
      </c>
      <c r="C13" s="50">
        <v>806445.5</v>
      </c>
      <c r="D13" s="50">
        <v>1705764.5</v>
      </c>
      <c r="E13" s="50">
        <v>1617948.5</v>
      </c>
      <c r="F13" s="50">
        <v>1585915</v>
      </c>
      <c r="G13" s="17">
        <f t="shared" si="0"/>
        <v>5716073.5</v>
      </c>
      <c r="H13" s="17">
        <f t="shared" si="1"/>
        <v>351463.68024241866</v>
      </c>
      <c r="I13" s="17">
        <f t="shared" si="2"/>
        <v>5364609.8197575817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m2AVFa3cmU45YFTYslMSo8Tgrhl3RYiof10Fxhipptvi7g/vsr3omW+YVr0amxBitJwQs2kc1efHUm8eZABzw==" saltValue="Dx7oVM8mO03nBtD/UKbFk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6.7294099999999968E-2</v>
      </c>
    </row>
    <row r="5" spans="1:8" ht="15.75" customHeight="1" x14ac:dyDescent="0.25">
      <c r="B5" s="19" t="s">
        <v>114</v>
      </c>
      <c r="C5" s="101">
        <v>1.80132E-2</v>
      </c>
    </row>
    <row r="6" spans="1:8" ht="15.75" customHeight="1" x14ac:dyDescent="0.25">
      <c r="B6" s="19" t="s">
        <v>110</v>
      </c>
      <c r="C6" s="101">
        <v>0.12381249999999989</v>
      </c>
    </row>
    <row r="7" spans="1:8" ht="15.75" customHeight="1" x14ac:dyDescent="0.25">
      <c r="B7" s="19" t="s">
        <v>115</v>
      </c>
      <c r="C7" s="101">
        <v>0.38642470000000018</v>
      </c>
    </row>
    <row r="8" spans="1:8" ht="15.75" customHeight="1" x14ac:dyDescent="0.25">
      <c r="B8" s="19" t="s">
        <v>117</v>
      </c>
      <c r="C8" s="101">
        <v>1.914869999999996E-2</v>
      </c>
    </row>
    <row r="9" spans="1:8" ht="15.75" customHeight="1" x14ac:dyDescent="0.25">
      <c r="B9" s="19" t="s">
        <v>111</v>
      </c>
      <c r="C9" s="101">
        <v>0.26609360000000021</v>
      </c>
    </row>
    <row r="10" spans="1:8" ht="15.75" customHeight="1" x14ac:dyDescent="0.25">
      <c r="B10" s="19" t="s">
        <v>113</v>
      </c>
      <c r="C10" s="101">
        <v>0.1192131999999998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4.9026282500886732E-2</v>
      </c>
      <c r="D14" s="55">
        <v>4.9026282500886732E-2</v>
      </c>
      <c r="E14" s="55">
        <v>4.9026282500886732E-2</v>
      </c>
      <c r="F14" s="55">
        <v>4.9026282500886732E-2</v>
      </c>
    </row>
    <row r="15" spans="1:8" ht="15.75" customHeight="1" x14ac:dyDescent="0.25">
      <c r="B15" s="19" t="s">
        <v>121</v>
      </c>
      <c r="C15" s="101">
        <v>0.14568781322098809</v>
      </c>
      <c r="D15" s="101">
        <v>0.14568781322098809</v>
      </c>
      <c r="E15" s="101">
        <v>0.14568781322098809</v>
      </c>
      <c r="F15" s="101">
        <v>0.14568781322098809</v>
      </c>
    </row>
    <row r="16" spans="1:8" ht="15.75" customHeight="1" x14ac:dyDescent="0.25">
      <c r="B16" s="19" t="s">
        <v>2</v>
      </c>
      <c r="C16" s="101">
        <v>4.4828200364618188E-2</v>
      </c>
      <c r="D16" s="101">
        <v>4.4828200364618188E-2</v>
      </c>
      <c r="E16" s="101">
        <v>4.4828200364618188E-2</v>
      </c>
      <c r="F16" s="101">
        <v>4.4828200364618188E-2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9.4837782257655406E-2</v>
      </c>
      <c r="D19" s="101">
        <v>9.4837782257655406E-2</v>
      </c>
      <c r="E19" s="101">
        <v>9.4837782257655406E-2</v>
      </c>
      <c r="F19" s="101">
        <v>9.4837782257655406E-2</v>
      </c>
    </row>
    <row r="20" spans="1:8" ht="15.75" customHeight="1" x14ac:dyDescent="0.25">
      <c r="B20" s="19" t="s">
        <v>98</v>
      </c>
      <c r="C20" s="101">
        <v>1.385700301523442E-3</v>
      </c>
      <c r="D20" s="101">
        <v>1.385700301523442E-3</v>
      </c>
      <c r="E20" s="101">
        <v>1.385700301523442E-3</v>
      </c>
      <c r="F20" s="101">
        <v>1.385700301523442E-3</v>
      </c>
    </row>
    <row r="21" spans="1:8" ht="15.75" customHeight="1" x14ac:dyDescent="0.25">
      <c r="B21" s="19" t="s">
        <v>107</v>
      </c>
      <c r="C21" s="101">
        <v>0.53798862315887519</v>
      </c>
      <c r="D21" s="101">
        <v>0.53798862315887519</v>
      </c>
      <c r="E21" s="101">
        <v>0.53798862315887519</v>
      </c>
      <c r="F21" s="101">
        <v>0.53798862315887519</v>
      </c>
    </row>
    <row r="22" spans="1:8" ht="15.75" customHeight="1" x14ac:dyDescent="0.25">
      <c r="B22" s="19" t="s">
        <v>118</v>
      </c>
      <c r="C22" s="101">
        <v>0.126245598195453</v>
      </c>
      <c r="D22" s="101">
        <v>0.126245598195453</v>
      </c>
      <c r="E22" s="101">
        <v>0.126245598195453</v>
      </c>
      <c r="F22" s="101">
        <v>0.126245598195453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6.2575125999999995E-2</v>
      </c>
    </row>
    <row r="27" spans="1:8" ht="15.75" customHeight="1" x14ac:dyDescent="0.25">
      <c r="B27" s="19" t="s">
        <v>108</v>
      </c>
      <c r="C27" s="101">
        <v>2.7904689999999998E-3</v>
      </c>
    </row>
    <row r="28" spans="1:8" ht="15.75" customHeight="1" x14ac:dyDescent="0.25">
      <c r="B28" s="19" t="s">
        <v>122</v>
      </c>
      <c r="C28" s="101">
        <v>0.17595467200000001</v>
      </c>
    </row>
    <row r="29" spans="1:8" ht="15.75" customHeight="1" x14ac:dyDescent="0.25">
      <c r="B29" s="19" t="s">
        <v>105</v>
      </c>
      <c r="C29" s="101">
        <v>0.129916751</v>
      </c>
    </row>
    <row r="30" spans="1:8" ht="15.75" customHeight="1" x14ac:dyDescent="0.25">
      <c r="B30" s="19" t="s">
        <v>4</v>
      </c>
      <c r="C30" s="101">
        <v>6.5542224999999996E-2</v>
      </c>
    </row>
    <row r="31" spans="1:8" ht="15.75" customHeight="1" x14ac:dyDescent="0.25">
      <c r="B31" s="19" t="s">
        <v>99</v>
      </c>
      <c r="C31" s="101">
        <v>0.16151726199999999</v>
      </c>
    </row>
    <row r="32" spans="1:8" ht="15.75" customHeight="1" x14ac:dyDescent="0.25">
      <c r="B32" s="19" t="s">
        <v>104</v>
      </c>
      <c r="C32" s="101">
        <v>7.3741798999999997E-2</v>
      </c>
    </row>
    <row r="33" spans="2:3" ht="15.75" customHeight="1" x14ac:dyDescent="0.25">
      <c r="B33" s="19" t="s">
        <v>119</v>
      </c>
      <c r="C33" s="101">
        <v>3.4829341E-2</v>
      </c>
    </row>
    <row r="34" spans="2:3" ht="15.75" customHeight="1" x14ac:dyDescent="0.25">
      <c r="B34" s="19" t="s">
        <v>106</v>
      </c>
      <c r="C34" s="101">
        <v>0.29313235599999998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TX4WNiA+yc9hy6FYkQO7QF957vB5+eRwmR/k+osAVkXsgXz73LReQdcOGSTVEThe/PYqE156zhwdGYgVVFSbwg==" saltValue="6MxH6xtFH3A/WN2qNhZvN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0.37582732899999999</v>
      </c>
      <c r="D14" s="54">
        <v>0.36131474626900001</v>
      </c>
      <c r="E14" s="54">
        <v>0.36131474626900001</v>
      </c>
      <c r="F14" s="54">
        <v>0.174274205716</v>
      </c>
      <c r="G14" s="54">
        <v>0.174274205716</v>
      </c>
      <c r="H14" s="45">
        <v>0.35399999999999998</v>
      </c>
      <c r="I14" s="55">
        <v>0.35399999999999998</v>
      </c>
      <c r="J14" s="55">
        <v>0.35399999999999998</v>
      </c>
      <c r="K14" s="55">
        <v>0.35399999999999998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0.23650964144901598</v>
      </c>
      <c r="D15" s="52">
        <f t="shared" si="0"/>
        <v>0.22737681508606677</v>
      </c>
      <c r="E15" s="52">
        <f t="shared" si="0"/>
        <v>0.22737681508606677</v>
      </c>
      <c r="F15" s="52">
        <f t="shared" si="0"/>
        <v>0.10967145475390165</v>
      </c>
      <c r="G15" s="52">
        <f t="shared" si="0"/>
        <v>0.10967145475390165</v>
      </c>
      <c r="H15" s="52">
        <f t="shared" si="0"/>
        <v>0.22277361599999998</v>
      </c>
      <c r="I15" s="52">
        <f t="shared" si="0"/>
        <v>0.22277361599999998</v>
      </c>
      <c r="J15" s="52">
        <f t="shared" si="0"/>
        <v>0.22277361599999998</v>
      </c>
      <c r="K15" s="52">
        <f t="shared" si="0"/>
        <v>0.22277361599999998</v>
      </c>
      <c r="L15" s="52">
        <f t="shared" si="0"/>
        <v>0.20452380000000001</v>
      </c>
      <c r="M15" s="52">
        <f t="shared" si="0"/>
        <v>0.20452380000000001</v>
      </c>
      <c r="N15" s="52">
        <f t="shared" si="0"/>
        <v>0.20452380000000001</v>
      </c>
      <c r="O15" s="52">
        <f t="shared" si="0"/>
        <v>0.20452380000000001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1gKLv/pzjSOORUZVOCx+0gI2xMp8IHacEpl2tq2UGjODewjyAjqYoJ6kQAHvZ3MUXe0E8wwwgo3cCaAljK65Jg==" saltValue="jnHIEqc+Z4I0c3Qf9u0f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5JR4H+jO6ZA+TDlknZGXIkInSS2zVV4Xu2lk9JTSaebd4SO+iYg9ePIg+1STQ1Tl8BNeCf4pnb8+mA3Yit/58Q==" saltValue="fLi3In671q1a1iqJtmk/a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GtlKYiL5WFrTB/gNKWJw8kmWKBqZ4RDqeqmDN9ZVNxt0NpR0dioEA5eUCJUPWH31pC72riwljvf0FEJqkm/Wg==" saltValue="7pQUFWEC6Ve1Eo3Bh5qGC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3354.3834075756499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0.37237999999999999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0.36241999999999996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1.3419451631607049E-2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99294.167350000003</v>
      </c>
      <c r="C22" s="109">
        <v>99219.714189999999</v>
      </c>
      <c r="D22" s="109">
        <v>99128.427190000002</v>
      </c>
      <c r="E22" s="109">
        <v>98803.164210000003</v>
      </c>
      <c r="F22" s="109">
        <v>98380.559210000007</v>
      </c>
      <c r="G22" s="109">
        <v>97978.862309999997</v>
      </c>
      <c r="H22" s="109">
        <v>97553.587979999997</v>
      </c>
      <c r="I22" s="109">
        <v>97071.106329999995</v>
      </c>
      <c r="J22" s="109">
        <v>96342.997470000002</v>
      </c>
      <c r="K22" s="109">
        <v>95008.854999999996</v>
      </c>
      <c r="L22" s="109">
        <v>92808.687170000005</v>
      </c>
      <c r="M22" s="109">
        <v>89439.914000000004</v>
      </c>
      <c r="N22" s="109">
        <v>84404.234909999999</v>
      </c>
      <c r="O22" s="109">
        <v>78169.212710000007</v>
      </c>
    </row>
  </sheetData>
  <sheetProtection algorithmName="SHA-512" hashValue="i9hP12ZmzQHc9ozUElWvbi25pTjj0FK+WCrrFbllJTlu0fFxoKLvrJG+IhOFlyOn+/cuTEb2jsAEq3Ni1QmkeA==" saltValue="NTGne9QuOpHZWJ0LDk6A8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PDUNIalkUJqAV60cBvG6emQfXQeNkM6GoxYo3wMEXvutldgGgPy8A6zH2BEUjsQSEUO9SQ0bk4I3KFnYg9Y6XQ==" saltValue="T0z7wQe8q41xkR9sqezU/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owwj6lnyEokYTD4dsHYfoqO4ljbOtLOl38gsrkiSA4V6ego4uZQJzcZrv8GeYEVIyEDHDsGo2cQvrH8J0Ujsg==" saltValue="zs0RPgLlw+bPHrE2nIjH8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17.026484135107474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17.026484135107474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8.0705350947424606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0.61278763993956276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0.24171699078812695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12.968306811567571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12.968306811567571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12.968306811567571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12.968306811567571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12.968306811567571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12.968306811567571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3.4000000000000002E-2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9.7330203637492063E-2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8.0705350947424606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8.8512484629968728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8.0705350947424606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6.4000000000000001E-2</v>
      </c>
      <c r="C23" s="98">
        <v>0.95</v>
      </c>
      <c r="D23" s="56">
        <v>4.2519172670834697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0.71148211299999997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4.7229528222409431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0.72599999999999998</v>
      </c>
      <c r="C29" s="98">
        <v>0.95</v>
      </c>
      <c r="D29" s="56">
        <v>26.81689264396762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175.48809161556471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0.93</v>
      </c>
      <c r="C32" s="98">
        <v>0.95</v>
      </c>
      <c r="D32" s="56">
        <v>0.45463218100922231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0.85346329999999992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0.90599999999999992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0.52352160000000003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1.6798709086682517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g9sa7yFiM/BdftseW+xNTLzZguPG/+EC+3wirZW4Mgr4lTsv537EjTL55LBFygJ1HIepx+3DyFuYo7C+thuWHw==" saltValue="bjM2HnPIVug8OPdw+Ij5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Q1nYTbtg7N4vqS8IZTCAw4t9kIIjLxBdRiuP99VTTP7wgTwUko4S3o2pmIdYfQRp65UFq7P3D3wRYHfEbN74Q==" saltValue="U1ocxs77peP40r9Ot9ox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U8NzdJ7IxBeN5u88fSFuFgosJe+3J4iQKjWCnnrlsNXaSNpYZgwu/GjnFn3t+cR6p+ka+rfQ5OlMy8cXWNlCg==" saltValue="yM/RMgy1iFwi7VJs6kUK6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nHezwhm54U/dMhTnOPjvX3ATVncq6pnLBcUp0kJXEzVji5zR3jlD/GaBaQ4JZN6GsLeblqtJb+egingt9GUwsw==" saltValue="r7VXzRDFZRMeIbyXTLtpu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0.14299999999999999</v>
      </c>
      <c r="F2" s="60">
        <f>food_insecure</f>
        <v>0.14299999999999999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0.14299999999999999</v>
      </c>
      <c r="F5" s="60">
        <f>food_insecure</f>
        <v>0.14299999999999999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0.14299999999999999</v>
      </c>
      <c r="F8" s="60">
        <f>food_insecure</f>
        <v>0.14299999999999999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0.14299999999999999</v>
      </c>
      <c r="F9" s="60">
        <f>food_insecure</f>
        <v>0.14299999999999999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0.14299999999999999</v>
      </c>
      <c r="I15" s="60">
        <f t="shared" si="0"/>
        <v>0.14299999999999999</v>
      </c>
      <c r="J15" s="60">
        <f t="shared" si="0"/>
        <v>0.14299999999999999</v>
      </c>
      <c r="K15" s="60">
        <f t="shared" si="0"/>
        <v>0.14299999999999999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0.14299999999999999</v>
      </c>
      <c r="I16" s="60">
        <f t="shared" si="0"/>
        <v>0.14299999999999999</v>
      </c>
      <c r="J16" s="60">
        <f t="shared" si="0"/>
        <v>0.14299999999999999</v>
      </c>
      <c r="K16" s="60">
        <f t="shared" si="0"/>
        <v>0.14299999999999999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7.4999999999999997E-2</v>
      </c>
      <c r="M24" s="60">
        <f>famplan_unmet_need</f>
        <v>7.4999999999999997E-2</v>
      </c>
      <c r="N24" s="60">
        <f>famplan_unmet_need</f>
        <v>7.4999999999999997E-2</v>
      </c>
      <c r="O24" s="60">
        <f>famplan_unmet_need</f>
        <v>7.4999999999999997E-2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4.0273775353000016E-2</v>
      </c>
      <c r="M25" s="60">
        <f>(1-food_insecure)*(0.49)+food_insecure*(0.7)</f>
        <v>0.52002999999999999</v>
      </c>
      <c r="N25" s="60">
        <f>(1-food_insecure)*(0.49)+food_insecure*(0.7)</f>
        <v>0.52002999999999999</v>
      </c>
      <c r="O25" s="60">
        <f>(1-food_insecure)*(0.49)+food_insecure*(0.7)</f>
        <v>0.52002999999999999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1.7260189437000008E-2</v>
      </c>
      <c r="M26" s="60">
        <f>(1-food_insecure)*(0.21)+food_insecure*(0.3)</f>
        <v>0.22286999999999998</v>
      </c>
      <c r="N26" s="60">
        <f>(1-food_insecure)*(0.21)+food_insecure*(0.3)</f>
        <v>0.22286999999999998</v>
      </c>
      <c r="O26" s="60">
        <f>(1-food_insecure)*(0.21)+food_insecure*(0.3)</f>
        <v>0.22286999999999998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1.991113521000001E-2</v>
      </c>
      <c r="M27" s="60">
        <f>(1-food_insecure)*(0.3)</f>
        <v>0.2571</v>
      </c>
      <c r="N27" s="60">
        <f>(1-food_insecure)*(0.3)</f>
        <v>0.2571</v>
      </c>
      <c r="O27" s="60">
        <f>(1-food_insecure)*(0.3)</f>
        <v>0.2571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0.92255489999999996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MaCbpbe0+WP2FDH+emoIVCmH7Wn/G3JGq42Hc+DQNniegPbxs3WguBZ9W78m2Y+yaWb7hNWZiUbWShIhmG/SQ==" saltValue="7DZwd3XXLQyplf3ldjPV9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vaKGIWiYY7K6pcbzeyCc7TnhaH0EKKeFU1gZorVZOrSP2SG5E4OCdQUaQrmaYrQ2YTHiwFjD57sE8rfnBfht2A==" saltValue="j8tAXztFDU9hPX3gYM4nZ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0puDosdiEPY/D5rStGzLcJpVYg/XHSh5qEMGj85/tZ7OPVm2IH9LNYYGckx4UoWLPqz6sIW8RFnFOtz52HJ6Q==" saltValue="kII3hC4mD0f+Kv/5IyZzL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eDTp+272dI01Zo30HVEYTE/hfbPCNsdKL55Ogz6UfoSQ2OW5yIUio+cJun7HUevl48Y5uY5H0KB+2MHPE5H0Q==" saltValue="BGbzZ2VHLIBrdePcBz31W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6qLp4XaAoB13CLQX0+71QkRw3KLExQZY5jadTkRYmgdq8RvY5dMvCjSxSSj4jkW2mTj3xH7ULflTXwphDNC5xg==" saltValue="A6RQK1opzHQL/QV3M5PV+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GxpTzUeD06mIvxp+v3FHgWW43QWWfNIlfLqMPLqnLlRX2MrAB/lmSaVdStZ4UrA6cSEFQIz2iZ3KARxBkTaxrg==" saltValue="R39GrJFPFqDmsPvt0YXX4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ErUUrtXhK8T8aG+r0vwjBDxigL9zOgjFltKY0yK+sxsM4Qavs+5oE/2juGk7MYSHdfcVzeMYRt84qLY/2Qvig==" saltValue="yg5aWAgOrRakE5BaMVsku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zoVfI7ACZhDz8XJAoF6G3byVdcLvUXdpzK7IUG3HapitUw+FkKNLLpMCmVkWqrGyxoUOX4ZMxEzQ0yd0irH7NQ==" saltValue="cWWqRGKAYdFdfk2i9JWf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zyfrlyLtn9O6xevHQyK39fI5MPj3Xghw+En9t13Vmy/PpyKlfkNMyCPk4oZcvTO9MOnM+G2gHPg0ExA41BHTzw==" saltValue="x8HN/WZWkto0ocrA0sxD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OWgfWN3+0pmdCTt0DkGfxUjksgf2G6mYAkABlLsOcvnd+O1+3DsFVb3N62AKX81H4MoYuvws4b1KSZ7Fz1tDQ==" saltValue="0B7/cSV6BFLgdxIEf3ed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RkUD+ier4Ustu7XjiCDnoyp0yhwKB9GFAdAxqOqNjtFtiOetmkB5fy1QF9o4uQq+RsBSVb/xb2NtgMHqpPx+g==" saltValue="cjf3jxa1waeWLsnk3RXj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TcovUXmc8GH8jwrIMrBDYmCdlxBym6x2z8qY5MBLM8SZI+dylI5HYYSs+fM7gYJsd3zFFZook5RNGf3Cc3VXg==" saltValue="kQPASOV0xwC1GC8q+HtO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RTCk3dG7oxwKw9pgXva5xzlzzroZfbT2oKUp1U10Xc7yF7LH53DnyXl4ri3eLE6hPz81l3O2zxHoyahBeDbiA==" saltValue="b/KiEPjnWb26rZIklciGI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XmN+rwn1KHTI2Ibg7SpVJNKfxiCPi3wch5rROaHpOYXeJ5qIG7+uw9gPXL7fmi8jkuw/jWMAuA9wAl+JKR3+A==" saltValue="9fikoSZozJr6mdDENHDV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+Yopf00RQku+cgbgjh44nCEwH9tSkV/H9mDwtFRP4N9QqAIlKlC7uJ95UNuZPN/1h31aWgNH2//bmZmpXudqJQ==" saltValue="56UQS0NQ9AEqzvhsma9Eo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