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6F79247-B4E0-4257-870A-3A0B63DB2BF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1" i="2" l="1"/>
  <c r="A36" i="2"/>
  <c r="A22" i="2"/>
  <c r="A25" i="2"/>
  <c r="I4" i="2"/>
  <c r="I8" i="2"/>
  <c r="I12" i="2"/>
  <c r="A26" i="2"/>
  <c r="I39" i="2"/>
  <c r="A34" i="2"/>
  <c r="A40" i="2"/>
  <c r="I2" i="2"/>
  <c r="I6" i="2"/>
  <c r="A19" i="2"/>
  <c r="A35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<sst xmlns="http://schemas.openxmlformats.org/spreadsheetml/2006/main" count="2169" uniqueCount="373">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</sst>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503774.5703125</v>
      </c>
    </row>
    <row r="8" spans="1:3" ht="15" customHeight="1" x14ac:dyDescent="0.25">
      <c r="B8" s="5" t="s">
        <v>63</v>
      </c>
      <c r="C8" s="44">
        <v>0.45200000000000001</v>
      </c>
    </row>
    <row r="9" spans="1:3" ht="15" customHeight="1" x14ac:dyDescent="0.25">
      <c r="B9" s="5" t="s">
        <v>62</v>
      </c>
      <c r="C9" s="45">
        <v>0.16</v>
      </c>
    </row>
    <row r="10" spans="1:3" ht="15" customHeight="1" x14ac:dyDescent="0.25">
      <c r="B10" s="5" t="s">
        <v>75</v>
      </c>
      <c r="C10" s="45">
        <v>0.41391979217529301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0.12809999999999999</v>
      </c>
    </row>
    <row r="24" spans="1:3" ht="15" customHeight="1" x14ac:dyDescent="0.25">
      <c r="B24" s="15" t="s">
        <v>65</v>
      </c>
      <c r="C24" s="45">
        <v>0.52129999999999999</v>
      </c>
    </row>
    <row r="25" spans="1:3" ht="15" customHeight="1" x14ac:dyDescent="0.25">
      <c r="B25" s="15" t="s">
        <v>66</v>
      </c>
      <c r="C25" s="45">
        <v>0.2964</v>
      </c>
    </row>
    <row r="26" spans="1:3" ht="15" customHeight="1" x14ac:dyDescent="0.25">
      <c r="B26" s="15" t="s">
        <v>67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0.391186912619995</v>
      </c>
    </row>
    <row r="30" spans="1:3" ht="14.25" customHeight="1" x14ac:dyDescent="0.25">
      <c r="B30" s="25" t="s">
        <v>82</v>
      </c>
      <c r="C30" s="97">
        <v>2.27253385251939E-2</v>
      </c>
    </row>
    <row r="31" spans="1:3" ht="14.25" customHeight="1" x14ac:dyDescent="0.25">
      <c r="B31" s="25" t="s">
        <v>29</v>
      </c>
      <c r="C31" s="97">
        <v>4.1775369773239798E-2</v>
      </c>
    </row>
    <row r="32" spans="1:3" ht="14.25" customHeight="1" x14ac:dyDescent="0.25">
      <c r="B32" s="25" t="s">
        <v>30</v>
      </c>
      <c r="C32" s="97">
        <v>0.54431237908157204</v>
      </c>
    </row>
    <row r="33" spans="1:5" ht="13.25" customHeight="1" x14ac:dyDescent="0.25">
      <c r="B33" s="27" t="s">
        <v>79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17.335930000000001</v>
      </c>
    </row>
    <row r="38" spans="1:5" ht="15" customHeight="1" x14ac:dyDescent="0.25">
      <c r="B38" s="11" t="s">
        <v>54</v>
      </c>
      <c r="C38" s="43">
        <v>28.94961</v>
      </c>
      <c r="D38" s="12"/>
      <c r="E38" s="13"/>
    </row>
    <row r="39" spans="1:5" ht="15" customHeight="1" x14ac:dyDescent="0.25">
      <c r="B39" s="11" t="s">
        <v>80</v>
      </c>
      <c r="C39" s="43">
        <v>38.091560000000001</v>
      </c>
      <c r="D39" s="12"/>
      <c r="E39" s="12"/>
    </row>
    <row r="40" spans="1:5" ht="15" customHeight="1" x14ac:dyDescent="0.25">
      <c r="B40" s="11" t="s">
        <v>55</v>
      </c>
      <c r="C40" s="98">
        <v>3.22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78</v>
      </c>
      <c r="C47" s="45">
        <v>7.3457800000000004E-2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0.50167899999999999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0.10321427</v>
      </c>
    </row>
    <row r="63" spans="1:4" ht="15.75" customHeight="1" x14ac:dyDescent="0.3">
      <c r="A63" s="4"/>
    </row>
  </sheetData>
  <sheetProtection algorithmName="SHA-512" hashValue="7dhFF5UbaJ9sp+Hs24RgBcrCddE52iRsYcozcDX5ZObndAY6EbFku9PNrCoLXCxgylI8ZIpKnzwubWrg+FUwyA==" saltValue="0kFwOVTFUS6ndHAEU/QZ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140602</v>
      </c>
      <c r="C2" s="49">
        <v>27785</v>
      </c>
      <c r="D2" s="49">
        <v>66539</v>
      </c>
      <c r="E2" s="49">
        <v>123168.5</v>
      </c>
      <c r="F2" s="49">
        <v>101629.5</v>
      </c>
      <c r="G2" s="17">
        <f t="shared" ref="G2:G13" si="0">C2+D2+E2+F2</f>
        <v>319122</v>
      </c>
      <c r="H2" s="17">
        <f t="shared" ref="H2:H13" si="1">(B2 + stillbirth*B2/(1000-stillbirth))/(1-abortion)</f>
        <v>162395.67316739264</v>
      </c>
      <c r="I2" s="17">
        <f t="shared" ref="I2:I13" si="2">G2-H2</f>
        <v>156726.32683260736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29390</v>
      </c>
      <c r="C3" s="50">
        <v>64769.000000000007</v>
      </c>
      <c r="D3" s="50">
        <v>112139.00000000001</v>
      </c>
      <c r="E3" s="50">
        <v>95303</v>
      </c>
      <c r="F3" s="50">
        <v>64841.000000000007</v>
      </c>
      <c r="G3" s="17">
        <f t="shared" si="0"/>
        <v>337052</v>
      </c>
      <c r="H3" s="17">
        <f t="shared" si="1"/>
        <v>33945.525912786943</v>
      </c>
      <c r="I3" s="17">
        <f t="shared" si="2"/>
        <v>303106.47408721305</v>
      </c>
    </row>
    <row r="4" spans="1:9" ht="15.75" customHeight="1" x14ac:dyDescent="0.25">
      <c r="A4" s="5">
        <f t="shared" si="3"/>
        <v>2026</v>
      </c>
      <c r="B4" s="49">
        <v>29208</v>
      </c>
      <c r="C4" s="50">
        <v>65058.000000000007</v>
      </c>
      <c r="D4" s="50">
        <v>112722</v>
      </c>
      <c r="E4" s="50">
        <v>96395.000000000015</v>
      </c>
      <c r="F4" s="50">
        <v>67577.5</v>
      </c>
      <c r="G4" s="17">
        <f t="shared" si="0"/>
        <v>341752.5</v>
      </c>
      <c r="H4" s="17">
        <f t="shared" si="1"/>
        <v>33735.315442690749</v>
      </c>
      <c r="I4" s="17">
        <f t="shared" si="2"/>
        <v>308017.18455730926</v>
      </c>
    </row>
    <row r="5" spans="1:9" ht="15.75" customHeight="1" x14ac:dyDescent="0.25">
      <c r="A5" s="5">
        <f t="shared" si="3"/>
        <v>2027</v>
      </c>
      <c r="B5" s="49">
        <v>29062</v>
      </c>
      <c r="C5" s="50">
        <v>65274.5</v>
      </c>
      <c r="D5" s="50">
        <v>113794</v>
      </c>
      <c r="E5" s="50">
        <v>97106.5</v>
      </c>
      <c r="F5" s="50">
        <v>70493</v>
      </c>
      <c r="G5" s="17">
        <f t="shared" si="0"/>
        <v>346668</v>
      </c>
      <c r="H5" s="17">
        <f t="shared" si="1"/>
        <v>33566.685065580612</v>
      </c>
      <c r="I5" s="17">
        <f t="shared" si="2"/>
        <v>313101.31493441941</v>
      </c>
    </row>
    <row r="6" spans="1:9" ht="15.75" customHeight="1" x14ac:dyDescent="0.25">
      <c r="A6" s="5">
        <f t="shared" si="3"/>
        <v>2028</v>
      </c>
      <c r="B6" s="49">
        <v>28909</v>
      </c>
      <c r="C6" s="50">
        <v>65500.5</v>
      </c>
      <c r="D6" s="50">
        <v>115317</v>
      </c>
      <c r="E6" s="50">
        <v>97354</v>
      </c>
      <c r="F6" s="50">
        <v>73423</v>
      </c>
      <c r="G6" s="17">
        <f t="shared" si="0"/>
        <v>351594.5</v>
      </c>
      <c r="H6" s="17">
        <f t="shared" si="1"/>
        <v>33389.969670389852</v>
      </c>
      <c r="I6" s="17">
        <f t="shared" si="2"/>
        <v>318204.53032961016</v>
      </c>
    </row>
    <row r="7" spans="1:9" ht="15.75" customHeight="1" x14ac:dyDescent="0.25">
      <c r="A7" s="5">
        <f t="shared" si="3"/>
        <v>2029</v>
      </c>
      <c r="B7" s="49">
        <v>28769</v>
      </c>
      <c r="C7" s="50">
        <v>65782.5</v>
      </c>
      <c r="D7" s="50">
        <v>116786</v>
      </c>
      <c r="E7" s="50">
        <v>97634.999999999985</v>
      </c>
      <c r="F7" s="50">
        <v>76060.499999999985</v>
      </c>
      <c r="G7" s="17">
        <f t="shared" si="0"/>
        <v>356264</v>
      </c>
      <c r="H7" s="17">
        <f t="shared" si="1"/>
        <v>33228.269308777395</v>
      </c>
      <c r="I7" s="17">
        <f t="shared" si="2"/>
        <v>323035.73069122259</v>
      </c>
    </row>
    <row r="8" spans="1:9" ht="15.75" customHeight="1" x14ac:dyDescent="0.25">
      <c r="A8" s="5">
        <f t="shared" si="3"/>
        <v>2030</v>
      </c>
      <c r="B8" s="49">
        <v>28636</v>
      </c>
      <c r="C8" s="50">
        <v>66165.5</v>
      </c>
      <c r="D8" s="50">
        <v>117697.5</v>
      </c>
      <c r="E8" s="50">
        <v>98043.5</v>
      </c>
      <c r="F8" s="50">
        <v>78548.499999999985</v>
      </c>
      <c r="G8" s="17">
        <f t="shared" si="0"/>
        <v>360455</v>
      </c>
      <c r="H8" s="17">
        <f t="shared" si="1"/>
        <v>33074.653965245561</v>
      </c>
      <c r="I8" s="17">
        <f t="shared" si="2"/>
        <v>327380.34603475442</v>
      </c>
    </row>
    <row r="9" spans="1:9" ht="15.75" customHeight="1" x14ac:dyDescent="0.25">
      <c r="A9" s="5">
        <f t="shared" si="3"/>
        <v>2031</v>
      </c>
      <c r="B9" s="49">
        <v>28481</v>
      </c>
      <c r="C9" s="50">
        <v>66569.5</v>
      </c>
      <c r="D9" s="50">
        <v>118293</v>
      </c>
      <c r="E9" s="50">
        <v>98689.5</v>
      </c>
      <c r="F9" s="50">
        <v>80898.500000000015</v>
      </c>
      <c r="G9" s="17">
        <f t="shared" si="0"/>
        <v>364450.5</v>
      </c>
      <c r="H9" s="17">
        <f t="shared" si="1"/>
        <v>32895.62856488891</v>
      </c>
      <c r="I9" s="17">
        <f t="shared" si="2"/>
        <v>331554.8714351111</v>
      </c>
    </row>
    <row r="10" spans="1:9" ht="15.75" customHeight="1" x14ac:dyDescent="0.25">
      <c r="A10" s="5">
        <f t="shared" si="3"/>
        <v>2032</v>
      </c>
      <c r="B10" s="49">
        <v>28383</v>
      </c>
      <c r="C10" s="50">
        <v>66736</v>
      </c>
      <c r="D10" s="50">
        <v>119049.5</v>
      </c>
      <c r="E10" s="50">
        <v>99338.5</v>
      </c>
      <c r="F10" s="50">
        <v>82958</v>
      </c>
      <c r="G10" s="17">
        <f t="shared" si="0"/>
        <v>368082</v>
      </c>
      <c r="H10" s="17">
        <f t="shared" si="1"/>
        <v>32782.438311760183</v>
      </c>
      <c r="I10" s="17">
        <f t="shared" si="2"/>
        <v>335299.5616882398</v>
      </c>
    </row>
    <row r="11" spans="1:9" ht="15.75" customHeight="1" x14ac:dyDescent="0.25">
      <c r="A11" s="5">
        <f t="shared" si="3"/>
        <v>2033</v>
      </c>
      <c r="B11" s="49">
        <v>28202</v>
      </c>
      <c r="C11" s="50">
        <v>66691.5</v>
      </c>
      <c r="D11" s="50">
        <v>120135.50000000001</v>
      </c>
      <c r="E11" s="50">
        <v>99797</v>
      </c>
      <c r="F11" s="50">
        <v>84535.5</v>
      </c>
      <c r="G11" s="17">
        <f t="shared" si="0"/>
        <v>371159.5</v>
      </c>
      <c r="H11" s="17">
        <f t="shared" si="1"/>
        <v>32573.382844246935</v>
      </c>
      <c r="I11" s="17">
        <f t="shared" si="2"/>
        <v>338586.11715575308</v>
      </c>
    </row>
    <row r="12" spans="1:9" ht="15.75" customHeight="1" x14ac:dyDescent="0.25">
      <c r="A12" s="5">
        <f t="shared" si="3"/>
        <v>2034</v>
      </c>
      <c r="B12" s="49">
        <v>28053</v>
      </c>
      <c r="C12" s="50">
        <v>66612.5</v>
      </c>
      <c r="D12" s="50">
        <v>121376</v>
      </c>
      <c r="E12" s="50">
        <v>100312</v>
      </c>
      <c r="F12" s="50">
        <v>85878</v>
      </c>
      <c r="G12" s="17">
        <f t="shared" si="0"/>
        <v>374178.5</v>
      </c>
      <c r="H12" s="17">
        <f t="shared" si="1"/>
        <v>32401.287459387964</v>
      </c>
      <c r="I12" s="17">
        <f t="shared" si="2"/>
        <v>341777.21254061203</v>
      </c>
    </row>
    <row r="13" spans="1:9" ht="15.75" customHeight="1" x14ac:dyDescent="0.25">
      <c r="A13" s="5">
        <f t="shared" si="3"/>
        <v>2035</v>
      </c>
      <c r="B13" s="49">
        <v>27921</v>
      </c>
      <c r="C13" s="50">
        <v>66546</v>
      </c>
      <c r="D13" s="50">
        <v>122433</v>
      </c>
      <c r="E13" s="50">
        <v>100901.5</v>
      </c>
      <c r="F13" s="50">
        <v>87165.5</v>
      </c>
      <c r="G13" s="17">
        <f t="shared" si="0"/>
        <v>377046</v>
      </c>
      <c r="H13" s="17">
        <f t="shared" si="1"/>
        <v>32248.827118439072</v>
      </c>
      <c r="I13" s="17">
        <f t="shared" si="2"/>
        <v>344797.17288156092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A4v5KZ5nJ0UWHhsmoOj+spVVa4xchUESWi028zueLmQvi829Ew//lnNn3xRTlTC1pGJvM1C2iVwgdE1JWUU+Q==" saltValue="HazhhGPBuQT4lof+u9Znl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9.54159904584009E-3</v>
      </c>
    </row>
    <row r="4" spans="1:8" ht="15.75" customHeight="1" x14ac:dyDescent="0.25">
      <c r="B4" s="19" t="s">
        <v>116</v>
      </c>
      <c r="C4" s="99">
        <v>6.4930893506910725E-2</v>
      </c>
    </row>
    <row r="5" spans="1:8" ht="15.75" customHeight="1" x14ac:dyDescent="0.25">
      <c r="B5" s="19" t="s">
        <v>114</v>
      </c>
      <c r="C5" s="99">
        <v>8.333079166692095E-2</v>
      </c>
    </row>
    <row r="6" spans="1:8" ht="15.75" customHeight="1" x14ac:dyDescent="0.25">
      <c r="B6" s="19" t="s">
        <v>110</v>
      </c>
      <c r="C6" s="99">
        <v>0.24122667587733301</v>
      </c>
    </row>
    <row r="7" spans="1:8" ht="15.75" customHeight="1" x14ac:dyDescent="0.25">
      <c r="B7" s="19" t="s">
        <v>115</v>
      </c>
      <c r="C7" s="99">
        <v>0.41004985899501339</v>
      </c>
    </row>
    <row r="8" spans="1:8" ht="15.75" customHeight="1" x14ac:dyDescent="0.25">
      <c r="B8" s="19" t="s">
        <v>117</v>
      </c>
      <c r="C8" s="99">
        <v>1.193399880660011E-3</v>
      </c>
    </row>
    <row r="9" spans="1:8" ht="15.75" customHeight="1" x14ac:dyDescent="0.25">
      <c r="B9" s="19" t="s">
        <v>111</v>
      </c>
      <c r="C9" s="99">
        <v>8.1527291847270894E-2</v>
      </c>
    </row>
    <row r="10" spans="1:8" ht="15.75" customHeight="1" x14ac:dyDescent="0.25">
      <c r="B10" s="19" t="s">
        <v>113</v>
      </c>
      <c r="C10" s="99">
        <v>0.108199489180051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121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2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109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3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120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98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107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118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8.7620265000000017E-2</v>
      </c>
    </row>
    <row r="27" spans="1:8" ht="15.75" customHeight="1" x14ac:dyDescent="0.25">
      <c r="B27" s="19" t="s">
        <v>108</v>
      </c>
      <c r="C27" s="99">
        <v>8.4936790000000005E-3</v>
      </c>
    </row>
    <row r="28" spans="1:8" ht="15.75" customHeight="1" x14ac:dyDescent="0.25">
      <c r="B28" s="19" t="s">
        <v>122</v>
      </c>
      <c r="C28" s="99">
        <v>0.15420750799999999</v>
      </c>
    </row>
    <row r="29" spans="1:8" ht="15.75" customHeight="1" x14ac:dyDescent="0.25">
      <c r="B29" s="19" t="s">
        <v>105</v>
      </c>
      <c r="C29" s="99">
        <v>0.168404365</v>
      </c>
    </row>
    <row r="30" spans="1:8" ht="15.75" customHeight="1" x14ac:dyDescent="0.25">
      <c r="B30" s="19" t="s">
        <v>4</v>
      </c>
      <c r="C30" s="99">
        <v>0.105568509</v>
      </c>
    </row>
    <row r="31" spans="1:8" ht="15.75" customHeight="1" x14ac:dyDescent="0.25">
      <c r="B31" s="19" t="s">
        <v>99</v>
      </c>
      <c r="C31" s="99">
        <v>0.10981025899999999</v>
      </c>
    </row>
    <row r="32" spans="1:8" ht="15.75" customHeight="1" x14ac:dyDescent="0.25">
      <c r="B32" s="19" t="s">
        <v>104</v>
      </c>
      <c r="C32" s="99">
        <v>1.8832593000000002E-2</v>
      </c>
    </row>
    <row r="33" spans="2:3" ht="15.75" customHeight="1" x14ac:dyDescent="0.25">
      <c r="B33" s="19" t="s">
        <v>119</v>
      </c>
      <c r="C33" s="99">
        <v>8.4520607999999997E-2</v>
      </c>
    </row>
    <row r="34" spans="2:3" ht="15.75" customHeight="1" x14ac:dyDescent="0.25">
      <c r="B34" s="19" t="s">
        <v>106</v>
      </c>
      <c r="C34" s="99">
        <v>0.26254221300000002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/gMiKhLCsnAMSKnCSSGPOXO6SrSSHAs1/UYJDm9gxsVlrHh6y5fYujQ2PY53g22555F3VaX1YnEoZHoAfzFuNg==" saltValue="hJBSxmuvLAXToeL7ngj0P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W8E3uzV9pneKnbJc++ev8FCsLT7XJmKJOks2zB4+pXZ1dhLVtSU3bhqo62yGwgLngYgr/9ND3K7QsxaLvRPAg==" saltValue="IjeTiHxGC7KsuY2RfbJq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VvVoKFVsKqHr5d+Zg1ru0PT+3J2KPyQXir4/dH6yRb3K1cgFZZvlhDewWMhDI9xgliRtdTYN6sSo0qNtFC3fVw==" saltValue="8TJVgqwMnEZ2AGk6FVKM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gIkojfeLVZkSIqRXOYUHsaKwpaRhHPcKvmeofqVYMeuOxeysSgvwFLB4GQF92Twr58OP3nHfDQuZrw3FU4vgg==" saltValue="jFG1eflX7sCF6J28Ds5ZU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3986.88663743798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0.42570000000000002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0.49709999999999999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1.4239665E-2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95134.833559999999</v>
      </c>
      <c r="C22" s="107">
        <v>94259.775829999999</v>
      </c>
      <c r="D22" s="107">
        <v>93879.668690000006</v>
      </c>
      <c r="E22" s="107">
        <v>92820.057270000005</v>
      </c>
      <c r="F22" s="107">
        <v>91141.117509999996</v>
      </c>
      <c r="G22" s="107">
        <v>88761.198319999996</v>
      </c>
      <c r="H22" s="107">
        <v>85250.484360000002</v>
      </c>
      <c r="I22" s="107">
        <v>80547.380600000004</v>
      </c>
      <c r="J22" s="107">
        <v>74689.384040000004</v>
      </c>
      <c r="K22" s="107">
        <v>67846.72378</v>
      </c>
      <c r="L22" s="107">
        <v>59866.411999999997</v>
      </c>
      <c r="M22" s="107">
        <v>51696.86146</v>
      </c>
      <c r="N22" s="107">
        <v>43200.699979999998</v>
      </c>
      <c r="O22" s="107">
        <v>34421.725429999999</v>
      </c>
    </row>
  </sheetData>
  <sheetProtection algorithmName="SHA-512" hashValue="wXSIVLqZrSH79ej6l+XP3REWN/A6abnPnAD/FZfiwbddZCIg3/p9uGwVECdsntyiBKb4cj64dwcxU8oWSEdOtA==" saltValue="7oxNlVSLHvUxvxxiYVhX6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hUmPpGdSG+v5fwErIQchQGlV9DvFj/lzhOtgtqYChZHQzLRjYkGRkIyGBjm2Q2pm2oqAqJExjZCs5b+5zZoraQ==" saltValue="S7sld/edkmQAsTEgbpN8y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XIoXxPb9cfTE/ip1P5CNXcyA0U2vdloo+kYh3LhjxNBO2u1TSMTITOEFUNKyHuYkqQqGgJtAfTrMvH5qRKeEQ==" saltValue="EsGBvIfRvqrEBdaLU9MG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12.81601982469946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12.81601982469946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12.81601982469946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12.81601982469946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12.81601982469946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1E-3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0.25800000000000001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0.25800000000000001</v>
      </c>
      <c r="C19" s="96">
        <v>0.95</v>
      </c>
      <c r="D19" s="56">
        <v>6.4276517687842469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0.70900000000000007</v>
      </c>
      <c r="C23" s="96">
        <v>0.95</v>
      </c>
      <c r="D23" s="56">
        <v>4.1567379002909028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0.24025928639999999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0.434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0.42499999999999999</v>
      </c>
      <c r="C29" s="96">
        <v>0.95</v>
      </c>
      <c r="D29" s="56">
        <v>93.648037947344875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0.78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0.26800000000000002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0.51764500000000002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ILZcePECUj1z9r7myZOy4yEd+DBdflgUv0bo2FRtq6nqhhmWXO/mPY0VgRruXSDWfQmb8b8icnp6DBJHA2EhLQ==" saltValue="yDPvXiZ/zfZ0Jku0Cxml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3a9juwi+FFbMBxXi/sqv8KpsYnOaObaDdTl2XFGxXwmlTFgzyjxYGqFrF8ZKS1CD31KBP8Kx+V44gYrOHf2og==" saltValue="5jhx4WV7I0ahmsaEhUT7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FQXx1u7PWOQaDOkvbKGJLjd+laCvft8BI+NdvUP18u9WarMOVWdzgj+slZfg1QU26zXT2J20IBRlRtIuEM6Bg==" saltValue="Of3YcmUOSp7pEW6D88cHi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WVPEkdHFZeFE/SX4ZdvS9APnAaVvE0k+ah0dUrQ8htrkPDdak167Xgr64iwKPpsJvBvB9NzFkn+biu5p29u+8g==" saltValue="IYYd7+BfDfO4DTPqG+iF3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kMY2T/HIIoIEV9DCaSScjdktKlSzEOwgZsJBjNknFqT/x+ZTcEcBl3prjTqB/bzKe1kMP1s7sRrOuQuwXMGtw==" saltValue="E/it8js9pzfJ34zzz/OST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CdjBdEkoPImLpPdY6Dpy5jWfDWWFCmIuOrEK3bx5FeIueCivzidzT2q9C2tNcOS9v5iWs+kIA7OPNU8zTtfmUg==" saltValue="N0+Q8WwQJu5O+8nzXPihI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SjyedHmllmbdkAQRdwLS2K7ahbQ4IWNoZYF4vkcJMFnhW2JaPy4FRb2T3XxXpUNjb5a9g+Mhsjx1njN/qHIDg==" saltValue="aIGEu/P1wPk7dshZLVTIZ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z4QncYnUyYnQy+57yHmjyIdGpmanNGRFOSEUDfEmGdXUYVemWWtP00tYBgc6Z15Q2q4iRh3i5DHz1ROgZJiFg==" saltValue="XxserKTyENa/fpt3XUY0T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R1aBH9DoCkrzNNDVDq7bidGbYURTQh6ljir1RQMwvluQyryz0e3BNszu2SkkZQo77AV9KTWYxcC6k+EeesnlSA==" saltValue="9BKPjWSspxzgVVn6kBICE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Xo4jVl7PoQe3HGr0PPqYst6NItNlQAaxRocTXX9TgAt7mifNYg7/WsIUnwAekShXd1MqbGwDyF9dU6ojJh/kFA==" saltValue="MytpeXikaHlD+1Ql5HSMw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T6Uw4MZFdkKOmLkIYabhhLoGuduCpnDB8/cOYUE7bf1lIcz1mg1PO6bwtMBVTZ5c36eUy9OgYHarkKJyqpOlg==" saltValue="ERbzASt0H5VdifUL7LnOe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RPG6z+qMs3vsptvV9XM3s29ERZhPESBRn0Dvt+v6xGddD+s1FoF5ESkKq1qGdcQLKEG81wYK1sgJVcu/YK/4w==" saltValue="PyEN5W3lQoaVI2DoGltn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2j8wyThrgjB9Il5Aqdy4DaTT93+b2pwXbPpuV02/lSEe+nZFgk6UEhbe5w4yJ5K4MemVnaMLV4nILSxiMgMEw==" saltValue="EgyiKDTJ/pR5UmKZLX6w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10sduDid9fwlgeQt2ff/Z2LohOx35FhIa13WwvfQTtX57h1KL14vKZL3toHJVRcYfqSNR+Nh0jdzs0l+heaxpA==" saltValue="yoqdsXqITonegAo5DKWD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L424+ZdekesOjJAXmqCuiOkfFoLfgz6m3LcHbBQhDDGdPcJ/E4vRNqSlz2uoC54rP5QfxHDaiS5AHP61GtDbw==" saltValue="SOhUnTWqeYDSUNg8QRfx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yI65EWMrlvB3wLHibvLRPacoZV26kTH4jCrjI3TaNOks7jZtqm8IucE+rxUZPKTJZHHqRJHXEY0q1Czn3cghA==" saltValue="KV8g19jvlfdM0zRrNha7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qiF0yM80Py+OPPjM+3aQbJF5X6UF/8lkFxrPlDGHUO6YrNqO93erqQaD6acxiBDty4CSr5pNaDDZ+L/VeqTEg==" saltValue="TTJmVc1BS+wcSvOzBgy7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XoRuXJtvcdhe8j4olpXaxq2Xmv8MiURNsdPYJ8gH5nsxXugcXYO1GOFjU5mBtRLwKUyR34465W49m8a0Oj9Dg==" saltValue="6DZsUjAucAitPJYr++Tb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CEkMqr1frJok2D66qKsch784Z6JKUBJIys7IcfoFqUo0SaJk+0BzLszDPE+6d7lz/R2IAz9g29TuCnjFm/3wg==" saltValue="LuSkZfEsU1RSkKFUjjz75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2025-07-30T01:10:36Z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