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13_ncr:1_{43145A2B-D21E-4C15-907E-18A74EBB3C54}" xr6:coauthVersionLast="47" xr6:coauthVersionMax="47" xr10:uidLastSave="{00000000-0000-0000-0000-000000000000}"/>
  <bookViews>
    <workbookView xWindow="-110" yWindow="-110" windowWidth="19420" windowHeight="10420" tabRatio="961" firstSheet="3" activeTab="6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24" i="2" l="1"/>
  <c r="I4" i="2"/>
  <c r="I8" i="2"/>
  <c r="I12" i="2"/>
  <c r="A25" i="2"/>
  <c r="A26" i="2"/>
  <c r="I39" i="2"/>
  <c r="A31" i="2"/>
  <c r="A34" i="2"/>
  <c r="A40" i="2"/>
  <c r="I2" i="2"/>
  <c r="I6" i="2"/>
  <c r="A19" i="2"/>
  <c r="A35" i="2"/>
  <c r="A22" i="2"/>
  <c r="A36" i="2"/>
  <c r="I3" i="2"/>
  <c r="I7" i="2"/>
  <c r="I11" i="2"/>
  <c r="A23" i="2"/>
  <c r="A37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<sst xmlns="http://schemas.openxmlformats.org/spreadsheetml/2006/main" count="2159" uniqueCount="372">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</sst>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503774.5703125</v>
      </c>
    </row>
    <row r="8" spans="1:3" ht="15" customHeight="1" x14ac:dyDescent="0.25">
      <c r="B8" s="5" t="s">
        <v>63</v>
      </c>
      <c r="C8" s="44">
        <v>0.45200000000000001</v>
      </c>
    </row>
    <row r="9" spans="1:3" ht="15" customHeight="1" x14ac:dyDescent="0.25">
      <c r="B9" s="5" t="s">
        <v>62</v>
      </c>
      <c r="C9" s="45">
        <v>0.16</v>
      </c>
    </row>
    <row r="10" spans="1:3" ht="15" customHeight="1" x14ac:dyDescent="0.25">
      <c r="B10" s="5" t="s">
        <v>75</v>
      </c>
      <c r="C10" s="45">
        <v>0.41391979217529301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0.19400000000000001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0.12809999999999999</v>
      </c>
    </row>
    <row r="24" spans="1:3" ht="15" customHeight="1" x14ac:dyDescent="0.25">
      <c r="B24" s="15" t="s">
        <v>65</v>
      </c>
      <c r="C24" s="45">
        <v>0.52129999999999999</v>
      </c>
    </row>
    <row r="25" spans="1:3" ht="15" customHeight="1" x14ac:dyDescent="0.25">
      <c r="B25" s="15" t="s">
        <v>66</v>
      </c>
      <c r="C25" s="45">
        <v>0.2964</v>
      </c>
    </row>
    <row r="26" spans="1:3" ht="15" customHeight="1" x14ac:dyDescent="0.25">
      <c r="B26" s="15" t="s">
        <v>67</v>
      </c>
      <c r="C26" s="45">
        <v>5.4199999999999998E-2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0.391186912619995</v>
      </c>
    </row>
    <row r="30" spans="1:3" ht="14.25" customHeight="1" x14ac:dyDescent="0.25">
      <c r="B30" s="25" t="s">
        <v>82</v>
      </c>
      <c r="C30" s="99">
        <v>2.27253385251939E-2</v>
      </c>
    </row>
    <row r="31" spans="1:3" ht="14.25" customHeight="1" x14ac:dyDescent="0.25">
      <c r="B31" s="25" t="s">
        <v>29</v>
      </c>
      <c r="C31" s="99">
        <v>4.1775369773239798E-2</v>
      </c>
    </row>
    <row r="32" spans="1:3" ht="14.25" customHeight="1" x14ac:dyDescent="0.25">
      <c r="B32" s="25" t="s">
        <v>30</v>
      </c>
      <c r="C32" s="99">
        <v>0.54431237908157204</v>
      </c>
    </row>
    <row r="33" spans="1:5" ht="13.25" customHeight="1" x14ac:dyDescent="0.25">
      <c r="B33" s="27" t="s">
        <v>79</v>
      </c>
      <c r="C33" s="48">
        <f>SUM(C29:C32)</f>
        <v>1.0000000000000009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17.335930000000001</v>
      </c>
    </row>
    <row r="38" spans="1:5" ht="15" customHeight="1" x14ac:dyDescent="0.25">
      <c r="B38" s="11" t="s">
        <v>54</v>
      </c>
      <c r="C38" s="43">
        <v>28.94961</v>
      </c>
      <c r="D38" s="12"/>
      <c r="E38" s="13"/>
    </row>
    <row r="39" spans="1:5" ht="15" customHeight="1" x14ac:dyDescent="0.25">
      <c r="B39" s="11" t="s">
        <v>80</v>
      </c>
      <c r="C39" s="43">
        <v>38.091560000000001</v>
      </c>
      <c r="D39" s="12"/>
      <c r="E39" s="12"/>
    </row>
    <row r="40" spans="1:5" ht="15" customHeight="1" x14ac:dyDescent="0.25">
      <c r="B40" s="11" t="s">
        <v>55</v>
      </c>
      <c r="C40" s="100">
        <v>3.22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16.13758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7.9316999999999999E-3</v>
      </c>
      <c r="D45" s="12"/>
    </row>
    <row r="46" spans="1:5" ht="15.75" customHeight="1" x14ac:dyDescent="0.25">
      <c r="B46" s="11" t="s">
        <v>70</v>
      </c>
      <c r="C46" s="45">
        <v>8.5224899999999992E-2</v>
      </c>
      <c r="D46" s="12"/>
    </row>
    <row r="47" spans="1:5" ht="15.75" customHeight="1" x14ac:dyDescent="0.25">
      <c r="B47" s="11" t="s">
        <v>78</v>
      </c>
      <c r="C47" s="45">
        <v>7.3457800000000004E-2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3.3</v>
      </c>
      <c r="D51" s="12"/>
    </row>
    <row r="52" spans="1:4" ht="15" customHeight="1" x14ac:dyDescent="0.25">
      <c r="B52" s="11" t="s">
        <v>32</v>
      </c>
      <c r="C52" s="100">
        <v>3.3</v>
      </c>
    </row>
    <row r="53" spans="1:4" ht="15.75" customHeight="1" x14ac:dyDescent="0.25">
      <c r="B53" s="11" t="s">
        <v>35</v>
      </c>
      <c r="C53" s="100">
        <v>3.3</v>
      </c>
    </row>
    <row r="54" spans="1:4" ht="15.75" customHeight="1" x14ac:dyDescent="0.25">
      <c r="B54" s="11" t="s">
        <v>33</v>
      </c>
      <c r="C54" s="100">
        <v>3.3</v>
      </c>
    </row>
    <row r="55" spans="1:4" ht="15.75" customHeight="1" x14ac:dyDescent="0.25">
      <c r="B55" s="11" t="s">
        <v>34</v>
      </c>
      <c r="C55" s="100">
        <v>3.3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0.50167899999999999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0.10321427</v>
      </c>
    </row>
    <row r="63" spans="1:4" ht="15.75" customHeight="1" x14ac:dyDescent="0.3">
      <c r="A63" s="4"/>
    </row>
  </sheetData>
  <sheetProtection algorithmName="SHA-512" hashValue="lOS1BSNCylk6+7NYsp6HK+wbjRDckj8egDiuohEwqwHcqmTn7hDWjFTchGEmoN/92zt5SxBdBYWZ5+2jhfzVGA==" saltValue="bvVY3AuNtHXXAUVP4YhTV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140602</v>
      </c>
      <c r="C2" s="49">
        <v>27785</v>
      </c>
      <c r="D2" s="49">
        <v>66539</v>
      </c>
      <c r="E2" s="49">
        <v>123168.5</v>
      </c>
      <c r="F2" s="49">
        <v>101629.5</v>
      </c>
      <c r="G2" s="17">
        <f t="shared" ref="G2:G13" si="0">C2+D2+E2+F2</f>
        <v>319122</v>
      </c>
      <c r="H2" s="17">
        <f t="shared" ref="H2:H13" si="1">(B2 + stillbirth*B2/(1000-stillbirth))/(1-abortion)</f>
        <v>162395.67316739264</v>
      </c>
      <c r="I2" s="17">
        <f t="shared" ref="I2:I13" si="2">G2-H2</f>
        <v>156726.32683260736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29390</v>
      </c>
      <c r="C3" s="50">
        <v>64769.000000000007</v>
      </c>
      <c r="D3" s="50">
        <v>112139.00000000001</v>
      </c>
      <c r="E3" s="50">
        <v>95303</v>
      </c>
      <c r="F3" s="50">
        <v>64841.000000000007</v>
      </c>
      <c r="G3" s="17">
        <f t="shared" si="0"/>
        <v>337052</v>
      </c>
      <c r="H3" s="17">
        <f t="shared" si="1"/>
        <v>33945.525912786943</v>
      </c>
      <c r="I3" s="17">
        <f t="shared" si="2"/>
        <v>303106.47408721305</v>
      </c>
    </row>
    <row r="4" spans="1:9" ht="15.75" customHeight="1" x14ac:dyDescent="0.25">
      <c r="A4" s="5">
        <f t="shared" si="3"/>
        <v>2026</v>
      </c>
      <c r="B4" s="49">
        <v>29208</v>
      </c>
      <c r="C4" s="50">
        <v>65058.000000000007</v>
      </c>
      <c r="D4" s="50">
        <v>112722</v>
      </c>
      <c r="E4" s="50">
        <v>96395.000000000015</v>
      </c>
      <c r="F4" s="50">
        <v>67577.5</v>
      </c>
      <c r="G4" s="17">
        <f t="shared" si="0"/>
        <v>341752.5</v>
      </c>
      <c r="H4" s="17">
        <f t="shared" si="1"/>
        <v>33735.315442690749</v>
      </c>
      <c r="I4" s="17">
        <f t="shared" si="2"/>
        <v>308017.18455730926</v>
      </c>
    </row>
    <row r="5" spans="1:9" ht="15.75" customHeight="1" x14ac:dyDescent="0.25">
      <c r="A5" s="5">
        <f t="shared" si="3"/>
        <v>2027</v>
      </c>
      <c r="B5" s="49">
        <v>29062</v>
      </c>
      <c r="C5" s="50">
        <v>65274.5</v>
      </c>
      <c r="D5" s="50">
        <v>113794</v>
      </c>
      <c r="E5" s="50">
        <v>97106.5</v>
      </c>
      <c r="F5" s="50">
        <v>70493</v>
      </c>
      <c r="G5" s="17">
        <f t="shared" si="0"/>
        <v>346668</v>
      </c>
      <c r="H5" s="17">
        <f t="shared" si="1"/>
        <v>33566.685065580612</v>
      </c>
      <c r="I5" s="17">
        <f t="shared" si="2"/>
        <v>313101.31493441941</v>
      </c>
    </row>
    <row r="6" spans="1:9" ht="15.75" customHeight="1" x14ac:dyDescent="0.25">
      <c r="A6" s="5">
        <f t="shared" si="3"/>
        <v>2028</v>
      </c>
      <c r="B6" s="49">
        <v>28909</v>
      </c>
      <c r="C6" s="50">
        <v>65500.5</v>
      </c>
      <c r="D6" s="50">
        <v>115317</v>
      </c>
      <c r="E6" s="50">
        <v>97354</v>
      </c>
      <c r="F6" s="50">
        <v>73423</v>
      </c>
      <c r="G6" s="17">
        <f t="shared" si="0"/>
        <v>351594.5</v>
      </c>
      <c r="H6" s="17">
        <f t="shared" si="1"/>
        <v>33389.969670389852</v>
      </c>
      <c r="I6" s="17">
        <f t="shared" si="2"/>
        <v>318204.53032961016</v>
      </c>
    </row>
    <row r="7" spans="1:9" ht="15.75" customHeight="1" x14ac:dyDescent="0.25">
      <c r="A7" s="5">
        <f t="shared" si="3"/>
        <v>2029</v>
      </c>
      <c r="B7" s="49">
        <v>28769</v>
      </c>
      <c r="C7" s="50">
        <v>65782.5</v>
      </c>
      <c r="D7" s="50">
        <v>116786</v>
      </c>
      <c r="E7" s="50">
        <v>97634.999999999985</v>
      </c>
      <c r="F7" s="50">
        <v>76060.499999999985</v>
      </c>
      <c r="G7" s="17">
        <f t="shared" si="0"/>
        <v>356264</v>
      </c>
      <c r="H7" s="17">
        <f t="shared" si="1"/>
        <v>33228.269308777395</v>
      </c>
      <c r="I7" s="17">
        <f t="shared" si="2"/>
        <v>323035.73069122259</v>
      </c>
    </row>
    <row r="8" spans="1:9" ht="15.75" customHeight="1" x14ac:dyDescent="0.25">
      <c r="A8" s="5">
        <f t="shared" si="3"/>
        <v>2030</v>
      </c>
      <c r="B8" s="49">
        <v>28636</v>
      </c>
      <c r="C8" s="50">
        <v>66165.5</v>
      </c>
      <c r="D8" s="50">
        <v>117697.5</v>
      </c>
      <c r="E8" s="50">
        <v>98043.5</v>
      </c>
      <c r="F8" s="50">
        <v>78548.499999999985</v>
      </c>
      <c r="G8" s="17">
        <f t="shared" si="0"/>
        <v>360455</v>
      </c>
      <c r="H8" s="17">
        <f t="shared" si="1"/>
        <v>33074.653965245561</v>
      </c>
      <c r="I8" s="17">
        <f t="shared" si="2"/>
        <v>327380.34603475442</v>
      </c>
    </row>
    <row r="9" spans="1:9" ht="15.75" customHeight="1" x14ac:dyDescent="0.25">
      <c r="A9" s="5">
        <f t="shared" si="3"/>
        <v>2031</v>
      </c>
      <c r="B9" s="49">
        <v>28481</v>
      </c>
      <c r="C9" s="50">
        <v>66569.5</v>
      </c>
      <c r="D9" s="50">
        <v>118293</v>
      </c>
      <c r="E9" s="50">
        <v>98689.5</v>
      </c>
      <c r="F9" s="50">
        <v>80898.500000000015</v>
      </c>
      <c r="G9" s="17">
        <f t="shared" si="0"/>
        <v>364450.5</v>
      </c>
      <c r="H9" s="17">
        <f t="shared" si="1"/>
        <v>32895.62856488891</v>
      </c>
      <c r="I9" s="17">
        <f t="shared" si="2"/>
        <v>331554.8714351111</v>
      </c>
    </row>
    <row r="10" spans="1:9" ht="15.75" customHeight="1" x14ac:dyDescent="0.25">
      <c r="A10" s="5">
        <f t="shared" si="3"/>
        <v>2032</v>
      </c>
      <c r="B10" s="49">
        <v>28383</v>
      </c>
      <c r="C10" s="50">
        <v>66736</v>
      </c>
      <c r="D10" s="50">
        <v>119049.5</v>
      </c>
      <c r="E10" s="50">
        <v>99338.5</v>
      </c>
      <c r="F10" s="50">
        <v>82958</v>
      </c>
      <c r="G10" s="17">
        <f t="shared" si="0"/>
        <v>368082</v>
      </c>
      <c r="H10" s="17">
        <f t="shared" si="1"/>
        <v>32782.438311760183</v>
      </c>
      <c r="I10" s="17">
        <f t="shared" si="2"/>
        <v>335299.5616882398</v>
      </c>
    </row>
    <row r="11" spans="1:9" ht="15.75" customHeight="1" x14ac:dyDescent="0.25">
      <c r="A11" s="5">
        <f t="shared" si="3"/>
        <v>2033</v>
      </c>
      <c r="B11" s="49">
        <v>28202</v>
      </c>
      <c r="C11" s="50">
        <v>66691.5</v>
      </c>
      <c r="D11" s="50">
        <v>120135.50000000001</v>
      </c>
      <c r="E11" s="50">
        <v>99797</v>
      </c>
      <c r="F11" s="50">
        <v>84535.5</v>
      </c>
      <c r="G11" s="17">
        <f t="shared" si="0"/>
        <v>371159.5</v>
      </c>
      <c r="H11" s="17">
        <f t="shared" si="1"/>
        <v>32573.382844246935</v>
      </c>
      <c r="I11" s="17">
        <f t="shared" si="2"/>
        <v>338586.11715575308</v>
      </c>
    </row>
    <row r="12" spans="1:9" ht="15.75" customHeight="1" x14ac:dyDescent="0.25">
      <c r="A12" s="5">
        <f t="shared" si="3"/>
        <v>2034</v>
      </c>
      <c r="B12" s="49">
        <v>28053</v>
      </c>
      <c r="C12" s="50">
        <v>66612.5</v>
      </c>
      <c r="D12" s="50">
        <v>121376</v>
      </c>
      <c r="E12" s="50">
        <v>100312</v>
      </c>
      <c r="F12" s="50">
        <v>85878</v>
      </c>
      <c r="G12" s="17">
        <f t="shared" si="0"/>
        <v>374178.5</v>
      </c>
      <c r="H12" s="17">
        <f t="shared" si="1"/>
        <v>32401.287459387964</v>
      </c>
      <c r="I12" s="17">
        <f t="shared" si="2"/>
        <v>341777.21254061203</v>
      </c>
    </row>
    <row r="13" spans="1:9" ht="15.75" customHeight="1" x14ac:dyDescent="0.25">
      <c r="A13" s="5">
        <f t="shared" si="3"/>
        <v>2035</v>
      </c>
      <c r="B13" s="49">
        <v>27921</v>
      </c>
      <c r="C13" s="50">
        <v>66546</v>
      </c>
      <c r="D13" s="50">
        <v>122433</v>
      </c>
      <c r="E13" s="50">
        <v>100901.5</v>
      </c>
      <c r="F13" s="50">
        <v>87165.5</v>
      </c>
      <c r="G13" s="17">
        <f t="shared" si="0"/>
        <v>377046</v>
      </c>
      <c r="H13" s="17">
        <f t="shared" si="1"/>
        <v>32248.827118439072</v>
      </c>
      <c r="I13" s="17">
        <f t="shared" si="2"/>
        <v>344797.17288156092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ijZUgmHiG9AZEn3s9c/+9EBEsdfVX3JxOd/EaRu7G1m3PyD5mRiAIpQ2Pro8a+i6qrlEqE1BwUjKGDBaOdr3WQ==" saltValue="Xtk9Wn2sVi1rcp9e5hHBH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9.54159904584009E-3</v>
      </c>
    </row>
    <row r="4" spans="1:8" ht="15.75" customHeight="1" x14ac:dyDescent="0.25">
      <c r="B4" s="19" t="s">
        <v>116</v>
      </c>
      <c r="C4" s="101">
        <v>6.4930893506910725E-2</v>
      </c>
    </row>
    <row r="5" spans="1:8" ht="15.75" customHeight="1" x14ac:dyDescent="0.25">
      <c r="B5" s="19" t="s">
        <v>114</v>
      </c>
      <c r="C5" s="101">
        <v>8.333079166692095E-2</v>
      </c>
    </row>
    <row r="6" spans="1:8" ht="15.75" customHeight="1" x14ac:dyDescent="0.25">
      <c r="B6" s="19" t="s">
        <v>110</v>
      </c>
      <c r="C6" s="101">
        <v>0.24122667587733301</v>
      </c>
    </row>
    <row r="7" spans="1:8" ht="15.75" customHeight="1" x14ac:dyDescent="0.25">
      <c r="B7" s="19" t="s">
        <v>115</v>
      </c>
      <c r="C7" s="101">
        <v>0.41004985899501339</v>
      </c>
    </row>
    <row r="8" spans="1:8" ht="15.75" customHeight="1" x14ac:dyDescent="0.25">
      <c r="B8" s="19" t="s">
        <v>117</v>
      </c>
      <c r="C8" s="101">
        <v>1.193399880660011E-3</v>
      </c>
    </row>
    <row r="9" spans="1:8" ht="15.75" customHeight="1" x14ac:dyDescent="0.25">
      <c r="B9" s="19" t="s">
        <v>111</v>
      </c>
      <c r="C9" s="101">
        <v>8.1527291847270894E-2</v>
      </c>
    </row>
    <row r="10" spans="1:8" ht="15.75" customHeight="1" x14ac:dyDescent="0.25">
      <c r="B10" s="19" t="s">
        <v>113</v>
      </c>
      <c r="C10" s="101">
        <v>0.108199489180051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0.17628801217640019</v>
      </c>
      <c r="D14" s="55">
        <v>0.17628801217640019</v>
      </c>
      <c r="E14" s="55">
        <v>0.17628801217640019</v>
      </c>
      <c r="F14" s="55">
        <v>0.17628801217640019</v>
      </c>
    </row>
    <row r="15" spans="1:8" ht="15.75" customHeight="1" x14ac:dyDescent="0.25">
      <c r="B15" s="19" t="s">
        <v>121</v>
      </c>
      <c r="C15" s="101">
        <v>0.24104474898363951</v>
      </c>
      <c r="D15" s="101">
        <v>0.24104474898363951</v>
      </c>
      <c r="E15" s="101">
        <v>0.24104474898363951</v>
      </c>
      <c r="F15" s="101">
        <v>0.24104474898363951</v>
      </c>
    </row>
    <row r="16" spans="1:8" ht="15.75" customHeight="1" x14ac:dyDescent="0.25">
      <c r="B16" s="19" t="s">
        <v>2</v>
      </c>
      <c r="C16" s="101">
        <v>2.6390130677189091E-2</v>
      </c>
      <c r="D16" s="101">
        <v>2.6390130677189091E-2</v>
      </c>
      <c r="E16" s="101">
        <v>2.6390130677189091E-2</v>
      </c>
      <c r="F16" s="101">
        <v>2.6390130677189091E-2</v>
      </c>
    </row>
    <row r="17" spans="1:8" ht="15.75" customHeight="1" x14ac:dyDescent="0.25">
      <c r="B17" s="19" t="s">
        <v>109</v>
      </c>
      <c r="C17" s="101">
        <v>6.6708176145966061E-3</v>
      </c>
      <c r="D17" s="101">
        <v>6.6708176145966061E-3</v>
      </c>
      <c r="E17" s="101">
        <v>6.6708176145966061E-3</v>
      </c>
      <c r="F17" s="101">
        <v>6.6708176145966061E-3</v>
      </c>
    </row>
    <row r="18" spans="1:8" ht="15.75" customHeight="1" x14ac:dyDescent="0.25">
      <c r="B18" s="19" t="s">
        <v>3</v>
      </c>
      <c r="C18" s="101">
        <v>8.4191652621648683E-2</v>
      </c>
      <c r="D18" s="101">
        <v>8.4191652621648683E-2</v>
      </c>
      <c r="E18" s="101">
        <v>8.4191652621648683E-2</v>
      </c>
      <c r="F18" s="101">
        <v>8.4191652621648683E-2</v>
      </c>
    </row>
    <row r="19" spans="1:8" ht="15.75" customHeight="1" x14ac:dyDescent="0.25">
      <c r="B19" s="19" t="s">
        <v>120</v>
      </c>
      <c r="C19" s="101">
        <v>6.8330843258333274E-2</v>
      </c>
      <c r="D19" s="101">
        <v>6.8330843258333274E-2</v>
      </c>
      <c r="E19" s="101">
        <v>6.8330843258333274E-2</v>
      </c>
      <c r="F19" s="101">
        <v>6.8330843258333274E-2</v>
      </c>
    </row>
    <row r="20" spans="1:8" ht="15.75" customHeight="1" x14ac:dyDescent="0.25">
      <c r="B20" s="19" t="s">
        <v>98</v>
      </c>
      <c r="C20" s="101">
        <v>1.250400620514191E-2</v>
      </c>
      <c r="D20" s="101">
        <v>1.250400620514191E-2</v>
      </c>
      <c r="E20" s="101">
        <v>1.250400620514191E-2</v>
      </c>
      <c r="F20" s="101">
        <v>1.250400620514191E-2</v>
      </c>
    </row>
    <row r="21" spans="1:8" ht="15.75" customHeight="1" x14ac:dyDescent="0.25">
      <c r="B21" s="19" t="s">
        <v>107</v>
      </c>
      <c r="C21" s="101">
        <v>0.1655459558925296</v>
      </c>
      <c r="D21" s="101">
        <v>0.1655459558925296</v>
      </c>
      <c r="E21" s="101">
        <v>0.1655459558925296</v>
      </c>
      <c r="F21" s="101">
        <v>0.1655459558925296</v>
      </c>
    </row>
    <row r="22" spans="1:8" ht="15.75" customHeight="1" x14ac:dyDescent="0.25">
      <c r="B22" s="19" t="s">
        <v>118</v>
      </c>
      <c r="C22" s="101">
        <v>0.21903383257052109</v>
      </c>
      <c r="D22" s="101">
        <v>0.21903383257052109</v>
      </c>
      <c r="E22" s="101">
        <v>0.21903383257052109</v>
      </c>
      <c r="F22" s="101">
        <v>0.21903383257052109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8.7620265000000017E-2</v>
      </c>
    </row>
    <row r="27" spans="1:8" ht="15.75" customHeight="1" x14ac:dyDescent="0.25">
      <c r="B27" s="19" t="s">
        <v>108</v>
      </c>
      <c r="C27" s="101">
        <v>8.4936790000000005E-3</v>
      </c>
    </row>
    <row r="28" spans="1:8" ht="15.75" customHeight="1" x14ac:dyDescent="0.25">
      <c r="B28" s="19" t="s">
        <v>122</v>
      </c>
      <c r="C28" s="101">
        <v>0.15420750799999999</v>
      </c>
    </row>
    <row r="29" spans="1:8" ht="15.75" customHeight="1" x14ac:dyDescent="0.25">
      <c r="B29" s="19" t="s">
        <v>105</v>
      </c>
      <c r="C29" s="101">
        <v>0.168404365</v>
      </c>
    </row>
    <row r="30" spans="1:8" ht="15.75" customHeight="1" x14ac:dyDescent="0.25">
      <c r="B30" s="19" t="s">
        <v>4</v>
      </c>
      <c r="C30" s="101">
        <v>0.105568509</v>
      </c>
    </row>
    <row r="31" spans="1:8" ht="15.75" customHeight="1" x14ac:dyDescent="0.25">
      <c r="B31" s="19" t="s">
        <v>99</v>
      </c>
      <c r="C31" s="101">
        <v>0.10981025899999999</v>
      </c>
    </row>
    <row r="32" spans="1:8" ht="15.75" customHeight="1" x14ac:dyDescent="0.25">
      <c r="B32" s="19" t="s">
        <v>104</v>
      </c>
      <c r="C32" s="101">
        <v>1.8832593000000002E-2</v>
      </c>
    </row>
    <row r="33" spans="2:3" ht="15.75" customHeight="1" x14ac:dyDescent="0.25">
      <c r="B33" s="19" t="s">
        <v>119</v>
      </c>
      <c r="C33" s="101">
        <v>8.4520607999999997E-2</v>
      </c>
    </row>
    <row r="34" spans="2:3" ht="15.75" customHeight="1" x14ac:dyDescent="0.25">
      <c r="B34" s="19" t="s">
        <v>106</v>
      </c>
      <c r="C34" s="101">
        <v>0.26254221300000002</v>
      </c>
    </row>
    <row r="35" spans="2:3" ht="15.75" customHeight="1" x14ac:dyDescent="0.25">
      <c r="B35" s="27" t="s">
        <v>79</v>
      </c>
      <c r="C35" s="48">
        <f>SUM(C26:C34)</f>
        <v>0.99999999900000003</v>
      </c>
    </row>
  </sheetData>
  <sheetProtection algorithmName="SHA-512" hashValue="1AKA5Nn6qIzPtN1yRE7OiicL+uNojSUiXinBfLuzWxiTyogeIDXFO5i5s8sjuAHvGFYpYqQtg6+RQUMqewVoiw==" saltValue="+Sc8pb472Iw1ohh3Bbaqf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0.44451771354283154</v>
      </c>
      <c r="D2" s="52">
        <f>IFERROR(1-_xlfn.NORM.DIST(_xlfn.NORM.INV(SUM(D4:D5), 0, 1) + 1, 0, 1, TRUE), "")</f>
        <v>0.44451771354283154</v>
      </c>
      <c r="E2" s="52">
        <f>IFERROR(1-_xlfn.NORM.DIST(_xlfn.NORM.INV(SUM(E4:E5), 0, 1) + 1, 0, 1, TRUE), "")</f>
        <v>0.34864384608921117</v>
      </c>
      <c r="F2" s="52">
        <f>IFERROR(1-_xlfn.NORM.DIST(_xlfn.NORM.INV(SUM(F4:F5), 0, 1) + 1, 0, 1, TRUE), "")</f>
        <v>0.17995639145896147</v>
      </c>
      <c r="G2" s="52">
        <f>IFERROR(1-_xlfn.NORM.DIST(_xlfn.NORM.INV(SUM(G4:G5), 0, 1) + 1, 0, 1, TRUE), "")</f>
        <v>0.17038300794971728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0.36071870074288248</v>
      </c>
      <c r="D3" s="52">
        <f>IFERROR(_xlfn.NORM.DIST(_xlfn.NORM.INV(SUM(D4:D5), 0, 1) + 1, 0, 1, TRUE) - SUM(D4:D5), "")</f>
        <v>0.36071870074288248</v>
      </c>
      <c r="E3" s="52">
        <f>IFERROR(_xlfn.NORM.DIST(_xlfn.NORM.INV(SUM(E4:E5), 0, 1) + 1, 0, 1, TRUE) - SUM(E4:E5), "")</f>
        <v>0.38076153010126584</v>
      </c>
      <c r="F3" s="52">
        <f>IFERROR(_xlfn.NORM.DIST(_xlfn.NORM.INV(SUM(F4:F5), 0, 1) + 1, 0, 1, TRUE) - SUM(F4:F5), "")</f>
        <v>0.35370171806484851</v>
      </c>
      <c r="G3" s="52">
        <f>IFERROR(_xlfn.NORM.DIST(_xlfn.NORM.INV(SUM(G4:G5), 0, 1) + 1, 0, 1, TRUE) - SUM(G4:G5), "")</f>
        <v>0.34849873728837771</v>
      </c>
    </row>
    <row r="4" spans="1:15" ht="15.75" customHeight="1" x14ac:dyDescent="0.25">
      <c r="B4" s="5" t="s">
        <v>129</v>
      </c>
      <c r="C4" s="45">
        <v>0.113393635714286</v>
      </c>
      <c r="D4" s="53">
        <v>0.113393635714286</v>
      </c>
      <c r="E4" s="53">
        <v>0.16521329047618999</v>
      </c>
      <c r="F4" s="53">
        <v>0.25580331428571401</v>
      </c>
      <c r="G4" s="53">
        <v>0.26141645714285699</v>
      </c>
    </row>
    <row r="5" spans="1:15" ht="15.75" customHeight="1" x14ac:dyDescent="0.25">
      <c r="B5" s="5" t="s">
        <v>125</v>
      </c>
      <c r="C5" s="45">
        <v>8.136995000000001E-2</v>
      </c>
      <c r="D5" s="53">
        <v>8.136995000000001E-2</v>
      </c>
      <c r="E5" s="53">
        <v>0.10538133333333299</v>
      </c>
      <c r="F5" s="53">
        <v>0.210538576190476</v>
      </c>
      <c r="G5" s="53">
        <v>0.21970179761904801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0.6109569956403027</v>
      </c>
      <c r="D8" s="52">
        <f>IFERROR(1-_xlfn.NORM.DIST(_xlfn.NORM.INV(SUM(D10:D11), 0, 1) + 1, 0, 1, TRUE), "")</f>
        <v>0.6109569956403027</v>
      </c>
      <c r="E8" s="52">
        <f>IFERROR(1-_xlfn.NORM.DIST(_xlfn.NORM.INV(SUM(E10:E11), 0, 1) + 1, 0, 1, TRUE), "")</f>
        <v>0.58939751230095949</v>
      </c>
      <c r="F8" s="52">
        <f>IFERROR(1-_xlfn.NORM.DIST(_xlfn.NORM.INV(SUM(F10:F11), 0, 1) + 1, 0, 1, TRUE), "")</f>
        <v>0.63333615294728807</v>
      </c>
      <c r="G8" s="52">
        <f>IFERROR(1-_xlfn.NORM.DIST(_xlfn.NORM.INV(SUM(G10:G11), 0, 1) + 1, 0, 1, TRUE), "")</f>
        <v>0.73754048279180073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0.28908908240847775</v>
      </c>
      <c r="D9" s="52">
        <f>IFERROR(_xlfn.NORM.DIST(_xlfn.NORM.INV(SUM(D10:D11), 0, 1) + 1, 0, 1, TRUE) - SUM(D10:D11), "")</f>
        <v>0.28908908240847775</v>
      </c>
      <c r="E9" s="52">
        <f>IFERROR(_xlfn.NORM.DIST(_xlfn.NORM.INV(SUM(E10:E11), 0, 1) + 1, 0, 1, TRUE) - SUM(E10:E11), "")</f>
        <v>0.3005022901380649</v>
      </c>
      <c r="F9" s="52">
        <f>IFERROR(_xlfn.NORM.DIST(_xlfn.NORM.INV(SUM(F10:F11), 0, 1) + 1, 0, 1, TRUE) - SUM(F10:F11), "")</f>
        <v>0.2766552860771021</v>
      </c>
      <c r="G9" s="52">
        <f>IFERROR(_xlfn.NORM.DIST(_xlfn.NORM.INV(SUM(G10:G11), 0, 1) + 1, 0, 1, TRUE) - SUM(G10:G11), "")</f>
        <v>0.21151682452527237</v>
      </c>
    </row>
    <row r="10" spans="1:15" ht="15.75" customHeight="1" x14ac:dyDescent="0.25">
      <c r="B10" s="5" t="s">
        <v>126</v>
      </c>
      <c r="C10" s="45">
        <v>5.8169595121951197E-2</v>
      </c>
      <c r="D10" s="53">
        <v>5.8169595121951197E-2</v>
      </c>
      <c r="E10" s="53">
        <v>7.0832097560975596E-2</v>
      </c>
      <c r="F10" s="53">
        <v>5.9730256097561003E-2</v>
      </c>
      <c r="G10" s="53">
        <v>3.3807034146341501E-2</v>
      </c>
    </row>
    <row r="11" spans="1:15" ht="15.75" customHeight="1" x14ac:dyDescent="0.25">
      <c r="B11" s="5" t="s">
        <v>138</v>
      </c>
      <c r="C11" s="45">
        <v>4.1784326829268303E-2</v>
      </c>
      <c r="D11" s="53">
        <v>4.1784326829268303E-2</v>
      </c>
      <c r="E11" s="53">
        <v>3.92681E-2</v>
      </c>
      <c r="F11" s="53">
        <v>3.0278304878048799E-2</v>
      </c>
      <c r="G11" s="53">
        <v>1.7135658536585399E-2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0.69576059900000009</v>
      </c>
      <c r="D14" s="54">
        <v>0.66532394163700004</v>
      </c>
      <c r="E14" s="54">
        <v>0.66532394163700004</v>
      </c>
      <c r="F14" s="54">
        <v>0.35589304969399999</v>
      </c>
      <c r="G14" s="54">
        <v>0.35589304969399999</v>
      </c>
      <c r="H14" s="45">
        <v>0.40699999999999997</v>
      </c>
      <c r="I14" s="55">
        <v>0.40699999999999997</v>
      </c>
      <c r="J14" s="55">
        <v>0.40699999999999997</v>
      </c>
      <c r="K14" s="55">
        <v>0.40699999999999997</v>
      </c>
      <c r="L14" s="45">
        <v>0.37799999999999989</v>
      </c>
      <c r="M14" s="55">
        <v>0.37799999999999989</v>
      </c>
      <c r="N14" s="55">
        <v>0.37799999999999989</v>
      </c>
      <c r="O14" s="55">
        <v>0.37799999999999989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0.34904848154572105</v>
      </c>
      <c r="D15" s="52">
        <f t="shared" si="0"/>
        <v>0.33377904971650851</v>
      </c>
      <c r="E15" s="52">
        <f t="shared" si="0"/>
        <v>0.33377904971650851</v>
      </c>
      <c r="F15" s="52">
        <f t="shared" si="0"/>
        <v>0.17854406927743621</v>
      </c>
      <c r="G15" s="52">
        <f t="shared" si="0"/>
        <v>0.17854406927743621</v>
      </c>
      <c r="H15" s="52">
        <f t="shared" si="0"/>
        <v>0.20418335299999998</v>
      </c>
      <c r="I15" s="52">
        <f t="shared" si="0"/>
        <v>0.20418335299999998</v>
      </c>
      <c r="J15" s="52">
        <f t="shared" si="0"/>
        <v>0.20418335299999998</v>
      </c>
      <c r="K15" s="52">
        <f t="shared" si="0"/>
        <v>0.20418335299999998</v>
      </c>
      <c r="L15" s="52">
        <f t="shared" si="0"/>
        <v>0.18963466199999995</v>
      </c>
      <c r="M15" s="52">
        <f t="shared" si="0"/>
        <v>0.18963466199999995</v>
      </c>
      <c r="N15" s="52">
        <f t="shared" si="0"/>
        <v>0.18963466199999995</v>
      </c>
      <c r="O15" s="52">
        <f t="shared" si="0"/>
        <v>0.18963466199999995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7im8OhnK4IEQdWf1Fo+sPVNd49N23iPY1VDHBBmvBteRtDs60K99IIpGl1OQ9KRKV5Mh85012ODvBSLh5JviNA==" saltValue="A9jyN4ky1dBWWthKY16hl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0.79400000000000004</v>
      </c>
      <c r="D2" s="53">
        <v>0.25800000000000001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0.183</v>
      </c>
      <c r="D3" s="53">
        <v>0.53900000000000003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2.3E-2</v>
      </c>
      <c r="D4" s="53">
        <v>0.20200000000000001</v>
      </c>
      <c r="E4" s="53">
        <v>0.97900000000000009</v>
      </c>
      <c r="F4" s="53">
        <v>0.77599999999999991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0</v>
      </c>
      <c r="D5" s="52">
        <f t="shared" si="0"/>
        <v>9.9999999999988987E-4</v>
      </c>
      <c r="E5" s="52">
        <f>1-SUM(E2:E4)</f>
        <v>2.0999999999999908E-2</v>
      </c>
      <c r="F5" s="52">
        <f>1-SUM(F2:F4)</f>
        <v>0.22400000000000009</v>
      </c>
      <c r="G5" s="52">
        <f>1-SUM(G2:G4)</f>
        <v>1</v>
      </c>
    </row>
  </sheetData>
  <sheetProtection algorithmName="SHA-512" hashValue="g8Doy62YAHxvJ1ELBKAqGGUbpg1YdQe+odtPCI3jr4ABg73Pykp/K8OQV8hDCODxMlZRcgqPouHT41h2bTtgnQ==" saltValue="osJHrRqbjlfLaPT4Ii/0d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jH24Va+HnglZsno0WsYMNcqmUdRabsYRi9HSLZz0OgzHUi4EE1Pm0yI4R2MZ6Or4xl9/M/juBILHBQMXMjSBrA==" saltValue="c9fJIyXR87jiV8RRWE7MM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abSelected="1"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3986.88663743798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0.42570000000000002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0.49709999999999999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1.4239665E-2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95134.833559999999</v>
      </c>
      <c r="C22" s="109">
        <v>94259.775829999999</v>
      </c>
      <c r="D22" s="109">
        <v>93879.668690000006</v>
      </c>
      <c r="E22" s="109">
        <v>92820.057270000005</v>
      </c>
      <c r="F22" s="109">
        <v>91141.117509999996</v>
      </c>
      <c r="G22" s="109">
        <v>88761.198319999996</v>
      </c>
      <c r="H22" s="109">
        <v>85250.484360000002</v>
      </c>
      <c r="I22" s="109">
        <v>80547.380600000004</v>
      </c>
      <c r="J22" s="109">
        <v>74689.384040000004</v>
      </c>
      <c r="K22" s="109">
        <v>67846.72378</v>
      </c>
      <c r="L22" s="109">
        <v>59866.411999999997</v>
      </c>
      <c r="M22" s="109">
        <v>51696.86146</v>
      </c>
      <c r="N22" s="109">
        <v>43200.699979999998</v>
      </c>
      <c r="O22" s="109">
        <v>34421.725429999999</v>
      </c>
    </row>
  </sheetData>
  <sheetProtection algorithmName="SHA-512" hashValue="yx09kShch7+rTZTLECJKDHpuq/ZxSLxd39zfHbdPGvtIBTiXDdgiTsn8NO3hEraFm2Gh8SFDgnSjIm/SKKVZug==" saltValue="l7ri6BV9IcB9MxQdu1Tk0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QVxJpZFP03X95fK/i/KGQW7X5StCt5pkElDXaPmrPq7qRVkzlRrz0jQ/57ROy3bA5tSa3fVYrWdokDSlpcqsBQ==" saltValue="7eBZKnMzUim+418F54aXj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re8uK/yAIwUjnOtJwN8+3eAmfzNZyVAlnfD/i6/V/KEorVeRcErnMd6Np00mY4Ny2bOLred1a1dOU9UdD2KHqA==" saltValue="rdhwh0+TH+D5zJmKzex7G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19.75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19.75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6.8747382117628364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2.1291837256908908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0.79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</v>
      </c>
      <c r="C9" s="98">
        <v>0.95</v>
      </c>
      <c r="D9" s="56">
        <v>0.22197642864885933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</v>
      </c>
      <c r="C10" s="98">
        <v>0.95</v>
      </c>
      <c r="D10" s="56">
        <v>12.81601982469946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12.81601982469946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12.81601982469946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12.81601982469946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0.31330000000000002</v>
      </c>
      <c r="C14" s="98">
        <v>0.95</v>
      </c>
      <c r="D14" s="56">
        <v>2.7509100930955666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12.81601982469946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1E-3</v>
      </c>
      <c r="C16" s="98">
        <v>0.95</v>
      </c>
      <c r="D16" s="56">
        <v>2.1562548532894295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</v>
      </c>
      <c r="C17" s="98">
        <v>0.95</v>
      </c>
      <c r="D17" s="56">
        <v>0.58636119533868591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0.25800000000000001</v>
      </c>
      <c r="C18" s="98">
        <v>0.95</v>
      </c>
      <c r="D18" s="56">
        <v>6.8747382117628364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0.25800000000000001</v>
      </c>
      <c r="C19" s="98">
        <v>0.95</v>
      </c>
      <c r="D19" s="56">
        <v>6.4276517687842469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7.2638561333206297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6.8747382117628364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0.70900000000000007</v>
      </c>
      <c r="C23" s="98">
        <v>0.95</v>
      </c>
      <c r="D23" s="56">
        <v>4.1567379002909028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0.24025928639999999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</v>
      </c>
      <c r="C26" s="98">
        <v>0.95</v>
      </c>
      <c r="D26" s="56">
        <v>4.4432147531692987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8.8360724993186164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0.434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0.42499999999999999</v>
      </c>
      <c r="C29" s="98">
        <v>0.95</v>
      </c>
      <c r="D29" s="56">
        <v>93.648037947344875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57.448392612859095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</v>
      </c>
      <c r="C31" s="98">
        <v>0.95</v>
      </c>
      <c r="D31" s="56">
        <v>125.66324080233395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0.78</v>
      </c>
      <c r="C32" s="98">
        <v>0.95</v>
      </c>
      <c r="D32" s="56">
        <v>0.65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0.26800000000000002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0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0.51764500000000002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</v>
      </c>
      <c r="C38" s="98">
        <v>0.95</v>
      </c>
      <c r="D38" s="56">
        <v>2.2145073762257557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5.8497136845734818</v>
      </c>
      <c r="E39" s="56" t="s">
        <v>212</v>
      </c>
      <c r="F39" s="98">
        <v>1</v>
      </c>
      <c r="G39" s="98">
        <v>1</v>
      </c>
    </row>
  </sheetData>
  <sheetProtection algorithmName="SHA-512" hashValue="WSCPyUvM0gQWuvHpl/qDBwxViVVIHnlXOeAkSTvRb9n9cMna8rJXPOjMDX/LwcDxKlNBNK4Re9rHhJ1YWdkuKQ==" saltValue="IEwlD+I4+Y0dY1pYZ2XHn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xc+ROqbY1/ECvTepH1Swbncm2nI8cM47hTBH7iZrO4bXMCyBu+FHH2kEUTNC6BA/8GrdxOXgDzZE3kKE0uQN2g==" saltValue="pQsbFkekKIuTS88QUmCTd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91wjmmk1J9iFA4VunKXJ/7hrUKsNmEFKA1dYmkts0DumsjeyUznxCixL2vtwmuxCNUE87KdbCM+yFjgu7qbFyg==" saltValue="s63CLPMGsC5r+SPa97TPz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3.3</v>
      </c>
      <c r="C2" s="21">
        <f>'Entradas de población-año base'!C52</f>
        <v>3.3</v>
      </c>
      <c r="D2" s="21">
        <f>'Entradas de población-año base'!C53</f>
        <v>3.3</v>
      </c>
      <c r="E2" s="21">
        <f>'Entradas de población-año base'!C54</f>
        <v>3.3</v>
      </c>
      <c r="F2" s="21">
        <f>'Entradas de población-año base'!C55</f>
        <v>3.3</v>
      </c>
    </row>
    <row r="3" spans="1:6" ht="15.75" customHeight="1" x14ac:dyDescent="0.25">
      <c r="A3" s="3" t="s">
        <v>6</v>
      </c>
      <c r="B3" s="21">
        <f>frac_mam_1month * 2.6</f>
        <v>0.1512409473170731</v>
      </c>
      <c r="C3" s="21">
        <f>frac_mam_1_5months * 2.6</f>
        <v>0.1512409473170731</v>
      </c>
      <c r="D3" s="21">
        <f>frac_mam_6_11months * 2.6</f>
        <v>0.18416345365853656</v>
      </c>
      <c r="E3" s="21">
        <f>frac_mam_12_23months * 2.6</f>
        <v>0.15529866585365862</v>
      </c>
      <c r="F3" s="21">
        <f>frac_mam_24_59months * 2.6</f>
        <v>8.7898288780487902E-2</v>
      </c>
    </row>
    <row r="4" spans="1:6" ht="15.75" customHeight="1" x14ac:dyDescent="0.25">
      <c r="A4" s="3" t="s">
        <v>236</v>
      </c>
      <c r="B4" s="21">
        <f>frac_sam_1month * 2.6</f>
        <v>0.10863924975609759</v>
      </c>
      <c r="C4" s="21">
        <f>frac_sam_1_5months * 2.6</f>
        <v>0.10863924975609759</v>
      </c>
      <c r="D4" s="21">
        <f>frac_sam_6_11months * 2.6</f>
        <v>0.10209706</v>
      </c>
      <c r="E4" s="21">
        <f>frac_sam_12_23months * 2.6</f>
        <v>7.8723592682926877E-2</v>
      </c>
      <c r="F4" s="21">
        <f>frac_sam_24_59months * 2.6</f>
        <v>4.4552712195122038E-2</v>
      </c>
    </row>
  </sheetData>
  <sheetProtection algorithmName="SHA-512" hashValue="SOm8iSkDxwR9jqr4W3Zp9K1+1401xj1gK+fxcL0N9YBp05ELpIZY0MQ3oJ+95EeCKG6S2CxXKyV9au8qU4wjmg==" saltValue="M4JH2HjcxsgSgbcqOfvPt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0.45200000000000001</v>
      </c>
      <c r="F2" s="60">
        <f>food_insecure</f>
        <v>0.45200000000000001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0.45200000000000001</v>
      </c>
      <c r="F5" s="60">
        <f>food_insecure</f>
        <v>0.45200000000000001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0.45200000000000001</v>
      </c>
      <c r="F8" s="60">
        <f>food_insecure</f>
        <v>0.45200000000000001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0.45200000000000001</v>
      </c>
      <c r="F9" s="60">
        <f>food_insecure</f>
        <v>0.45200000000000001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0.45200000000000001</v>
      </c>
      <c r="I15" s="60">
        <f t="shared" si="0"/>
        <v>0.45200000000000001</v>
      </c>
      <c r="J15" s="60">
        <f t="shared" si="0"/>
        <v>0.45200000000000001</v>
      </c>
      <c r="K15" s="60">
        <f t="shared" si="0"/>
        <v>0.45200000000000001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0.45200000000000001</v>
      </c>
      <c r="I16" s="60">
        <f t="shared" si="0"/>
        <v>0.45200000000000001</v>
      </c>
      <c r="J16" s="60">
        <f t="shared" si="0"/>
        <v>0.45200000000000001</v>
      </c>
      <c r="K16" s="60">
        <f t="shared" si="0"/>
        <v>0.45200000000000001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0.16</v>
      </c>
      <c r="I19" s="60">
        <f>frac_malaria_risk</f>
        <v>0.16</v>
      </c>
      <c r="J19" s="60">
        <f>frac_malaria_risk</f>
        <v>0.16</v>
      </c>
      <c r="K19" s="60">
        <f>frac_malaria_risk</f>
        <v>0.16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0.19400000000000001</v>
      </c>
      <c r="M24" s="60">
        <f>famplan_unmet_need</f>
        <v>0.19400000000000001</v>
      </c>
      <c r="N24" s="60">
        <f>famplan_unmet_need</f>
        <v>0.19400000000000001</v>
      </c>
      <c r="O24" s="60">
        <f>famplan_unmet_need</f>
        <v>0.19400000000000001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0.34281003516082764</v>
      </c>
      <c r="M25" s="60">
        <f>(1-food_insecure)*(0.49)+food_insecure*(0.7)</f>
        <v>0.58492000000000011</v>
      </c>
      <c r="N25" s="60">
        <f>(1-food_insecure)*(0.49)+food_insecure*(0.7)</f>
        <v>0.58492000000000011</v>
      </c>
      <c r="O25" s="60">
        <f>(1-food_insecure)*(0.49)+food_insecure*(0.7)</f>
        <v>0.58492000000000011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0.14691858649749753</v>
      </c>
      <c r="M26" s="60">
        <f>(1-food_insecure)*(0.21)+food_insecure*(0.3)</f>
        <v>0.25068000000000001</v>
      </c>
      <c r="N26" s="60">
        <f>(1-food_insecure)*(0.21)+food_insecure*(0.3)</f>
        <v>0.25068000000000001</v>
      </c>
      <c r="O26" s="60">
        <f>(1-food_insecure)*(0.21)+food_insecure*(0.3)</f>
        <v>0.25068000000000001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9.6351586166381828E-2</v>
      </c>
      <c r="M27" s="60">
        <f>(1-food_insecure)*(0.3)</f>
        <v>0.16440000000000002</v>
      </c>
      <c r="N27" s="60">
        <f>(1-food_insecure)*(0.3)</f>
        <v>0.16440000000000002</v>
      </c>
      <c r="O27" s="60">
        <f>(1-food_insecure)*(0.3)</f>
        <v>0.16440000000000002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0.41391979217529307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0.16</v>
      </c>
      <c r="D34" s="60">
        <f t="shared" si="4"/>
        <v>0.16</v>
      </c>
      <c r="E34" s="60">
        <f t="shared" si="4"/>
        <v>0.16</v>
      </c>
      <c r="F34" s="60">
        <f t="shared" si="4"/>
        <v>0.16</v>
      </c>
      <c r="G34" s="60">
        <f t="shared" si="4"/>
        <v>0.16</v>
      </c>
      <c r="H34" s="60">
        <f t="shared" si="4"/>
        <v>0.16</v>
      </c>
      <c r="I34" s="60">
        <f t="shared" si="4"/>
        <v>0.16</v>
      </c>
      <c r="J34" s="60">
        <f t="shared" si="4"/>
        <v>0.16</v>
      </c>
      <c r="K34" s="60">
        <f t="shared" si="4"/>
        <v>0.16</v>
      </c>
      <c r="L34" s="60">
        <f t="shared" si="4"/>
        <v>0.16</v>
      </c>
      <c r="M34" s="60">
        <f t="shared" si="4"/>
        <v>0.16</v>
      </c>
      <c r="N34" s="60">
        <f t="shared" si="4"/>
        <v>0.16</v>
      </c>
      <c r="O34" s="60">
        <f t="shared" si="4"/>
        <v>0.16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zicjldcKJg05sNWUPTTSs3F0KOIv88nUSBO9FgNfKrtlmQ96lyoLr3CQcCibQVMvqk0a7E61H5hWSN7S3l2HoQ==" saltValue="7tb2opgxOKMmrKg+AHR4w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0ep3KVGvrRstsUiT1AUDxJmRxbOIFA7gySzaEaKfERT7D+gEh9l/kkronV17JBjWvVyy90dZhtaB64ySlVfTlw==" saltValue="ttzEyZdS01kD1zgxHc742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PHQ0fkOCLCFrJZFOiAdOcSZVYzSC1TF558d5l0UtvmNSAXPzvPVN+Oj3RjzcqYzNR0XAUAikl0lk4ZyfS+XcnQ==" saltValue="KUGr5/cltT8pvLEejuZFa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7YCR/VlrPks2p71k3MJmapuyaY8+uBUOqor8QAfxZUoArfV5sdAhbWVKxDsh3YwIuCd3lSI4ToYax0IwDhm14w==" saltValue="5J3OYUfnPi4bwQL/g7v9a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evxRrzBkLW3JAMSOBmgcxYbGPKtEYcBvoeEU3IxuE33elhkCCwSnpbGNQL7SxMjVyWKvK+UJOaHLMmtQUnSvIg==" saltValue="mjqseYRnwHFDQkWorPqa/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CTno4DokG2WUfBpxfVtu+8MFjQ9opr09epxfmmZjsKaZRJdHsRIoySqRZrBwFOVnOA/+sTcwfPNQjT89xh/Hvw==" saltValue="zrPoi6UX4h1vjwX5MBx6c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Tkbw5Mn2IDp0ph+T7cLatkLI4PWWnyC2oEvwqyohuTl3BXeg/rWngRKtlSEm1pjoGIzBuRG0ti/a3LaOL4An8A==" saltValue="QmsW0YpPl7Pb98cljlpjVg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DEskCpOkGR44O7WwfPqp8U7HQuVv+q9HZg3zy32cc7OEhrDWZMQ4oJiV6a6IgZEfgTdkYhE5pZP4UKx4wcTlCg==" saltValue="HfgTPqE5JYfbBvRnclP31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djunD4pfRDIuQVxawQ9W4uNIVFoVHV8SlTx95GkePT3S4B99OlEirymNFXc5XDjIsvn2osiHQ6MH+XYxA2bM2g==" saltValue="0xxgITgWPIjh4RaTmMYK+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Y834cg9Dc2h+NSlmuEx9dmQV5Mv6esGHFsufOagvSIZuj/UXF/E0iQ93LdXBAPMb5lGuL/coYHFgdUqPSiTbIg==" saltValue="+tE0nG/nXFwaMPbqIaIjC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cN3ZpK7xb+jOLIHVlCPUf0+X1SY2KvLtwLNDljUcrHMw7WgW2LBbD82FUKw9ODrdbHOggev9VRSe0vl23xEUww==" saltValue="OE9LUgg1DKhMjTGjELjO/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pKU64DolD8eeGIvK8ZLmO2je4S3GT5+sPkiB+kXbrmRG3K2M7c6DPc08CchiwezLOTtliZ3UaumiUee3tdw84g==" saltValue="2iBLW4NsFRAV+VoGrziHd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PBWXaTeE+FYZbBsI4PvkQ2Y90qu1cA1HaVNgFRTIIRbsGphhyENqgnyf5XmKTRMAN1TMu8zc4Zz8unyQIcJcVA==" saltValue="IZPaXc8FeVKrQlbgwnhUu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lvNvKyhSrnI9xxuER8QkWWIDWZt99iGIk/OG8W/bN90zeB9ZxXOL6e7XR8byk77ruLGL1SvaIdtG9rYQJvg5MQ==" saltValue="OfJHycSWm6LoEzLVsYN8A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u4lKnS8wHIAU/p/KErCNT07QKiH28wDNPlBE+vAlKoDFY5jn09ai3KdJyttDZnS5fg3Mq6DX9jm87ltJ0epeJg==" saltValue="O1bg90AflrzasqnBH5np0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2025-07-08T03:40:04Z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