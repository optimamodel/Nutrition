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7FFF9E4-6B19-41C8-AC2D-DBC3CAFF2A1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6" i="2"/>
  <c r="A34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40" i="2"/>
  <c r="A23" i="2"/>
  <c r="A24" i="2"/>
  <c r="I4" i="2"/>
  <c r="A26" i="2"/>
  <c r="I6" i="2"/>
  <c r="I12" i="2"/>
  <c r="A35" i="2"/>
  <c r="I7" i="2"/>
  <c r="I13" i="2"/>
  <c r="A37" i="2"/>
  <c r="I3" i="2"/>
  <c r="I2" i="2"/>
  <c r="I8" i="2"/>
  <c r="A1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<sst xmlns="http://schemas.openxmlformats.org/spreadsheetml/2006/main" count="2169" uniqueCount="373">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</sst>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503774.5703125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0.41391979217529301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0.12809999999999999</v>
      </c>
    </row>
    <row r="24" spans="1:3" ht="15" customHeight="1" x14ac:dyDescent="0.25">
      <c r="B24" s="15" t="s">
        <v>65</v>
      </c>
      <c r="C24" s="45">
        <v>0.52129999999999999</v>
      </c>
    </row>
    <row r="25" spans="1:3" ht="15" customHeight="1" x14ac:dyDescent="0.25">
      <c r="B25" s="15" t="s">
        <v>66</v>
      </c>
      <c r="C25" s="45">
        <v>0.2964</v>
      </c>
    </row>
    <row r="26" spans="1:3" ht="15" customHeight="1" x14ac:dyDescent="0.25">
      <c r="B26" s="15" t="s">
        <v>67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7">
        <v>2.27253385251939E-2</v>
      </c>
    </row>
    <row r="31" spans="1:3" ht="14.25" customHeight="1" x14ac:dyDescent="0.25">
      <c r="B31" s="25" t="s">
        <v>29</v>
      </c>
      <c r="C31" s="97">
        <v>4.1775369773239798E-2</v>
      </c>
    </row>
    <row r="32" spans="1:3" ht="14.25" customHeight="1" x14ac:dyDescent="0.25">
      <c r="B32" s="25" t="s">
        <v>30</v>
      </c>
      <c r="C32" s="97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98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0.10321427</v>
      </c>
    </row>
    <row r="63" spans="1:4" ht="15.75" customHeight="1" x14ac:dyDescent="0.3">
      <c r="A63" s="4"/>
    </row>
  </sheetData>
  <sheetProtection algorithmName="SHA-512" hashValue="hp2UYC65EMwdTI59Ay+TtrBX8aADgldOl6LT8MUVX1bLX11W8lQ62G3bCsrhRXO9yf2TxbVnlzQ53inK9xRy7A==" saltValue="ceKzUV6jzpvJy05FpDwA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29390</v>
      </c>
      <c r="C2" s="49">
        <v>64769.000000000007</v>
      </c>
      <c r="D2" s="49">
        <v>112139</v>
      </c>
      <c r="E2" s="49">
        <v>95303</v>
      </c>
      <c r="F2" s="49">
        <v>64841.000000000007</v>
      </c>
      <c r="G2" s="17">
        <f t="shared" ref="G2:G13" si="0">C2+D2+E2+F2</f>
        <v>337052</v>
      </c>
      <c r="H2" s="17">
        <f t="shared" ref="H2:H13" si="1">(B2 + stillbirth*B2/(1000-stillbirth))/(1-abortion)</f>
        <v>33945.525912786943</v>
      </c>
      <c r="I2" s="17">
        <f t="shared" ref="I2:I13" si="2">G2-H2</f>
        <v>303106.47408721305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29208</v>
      </c>
      <c r="C3" s="50">
        <v>65058.000000000007</v>
      </c>
      <c r="D3" s="50">
        <v>112722</v>
      </c>
      <c r="E3" s="50">
        <v>96395.000000000015</v>
      </c>
      <c r="F3" s="50">
        <v>67577.5</v>
      </c>
      <c r="G3" s="17">
        <f t="shared" si="0"/>
        <v>341752.5</v>
      </c>
      <c r="H3" s="17">
        <f t="shared" si="1"/>
        <v>33735.315442690749</v>
      </c>
      <c r="I3" s="17">
        <f t="shared" si="2"/>
        <v>308017.18455730926</v>
      </c>
    </row>
    <row r="4" spans="1:9" ht="15.75" customHeight="1" x14ac:dyDescent="0.25">
      <c r="A4" s="5">
        <f t="shared" si="3"/>
        <v>2026</v>
      </c>
      <c r="B4" s="49">
        <v>29062</v>
      </c>
      <c r="C4" s="50">
        <v>65274.5</v>
      </c>
      <c r="D4" s="50">
        <v>113794</v>
      </c>
      <c r="E4" s="50">
        <v>97106.5</v>
      </c>
      <c r="F4" s="50">
        <v>70493</v>
      </c>
      <c r="G4" s="17">
        <f t="shared" si="0"/>
        <v>346668</v>
      </c>
      <c r="H4" s="17">
        <f t="shared" si="1"/>
        <v>33566.685065580612</v>
      </c>
      <c r="I4" s="17">
        <f t="shared" si="2"/>
        <v>313101.31493441941</v>
      </c>
    </row>
    <row r="5" spans="1:9" ht="15.75" customHeight="1" x14ac:dyDescent="0.25">
      <c r="A5" s="5">
        <f t="shared" si="3"/>
        <v>2027</v>
      </c>
      <c r="B5" s="49">
        <v>28909</v>
      </c>
      <c r="C5" s="50">
        <v>65500.5</v>
      </c>
      <c r="D5" s="50">
        <v>115317</v>
      </c>
      <c r="E5" s="50">
        <v>97354</v>
      </c>
      <c r="F5" s="50">
        <v>73423</v>
      </c>
      <c r="G5" s="17">
        <f t="shared" si="0"/>
        <v>351594.5</v>
      </c>
      <c r="H5" s="17">
        <f t="shared" si="1"/>
        <v>33389.969670389852</v>
      </c>
      <c r="I5" s="17">
        <f t="shared" si="2"/>
        <v>318204.53032961016</v>
      </c>
    </row>
    <row r="6" spans="1:9" ht="15.75" customHeight="1" x14ac:dyDescent="0.25">
      <c r="A6" s="5">
        <f t="shared" si="3"/>
        <v>2028</v>
      </c>
      <c r="B6" s="49">
        <v>28769</v>
      </c>
      <c r="C6" s="50">
        <v>65782.5</v>
      </c>
      <c r="D6" s="50">
        <v>116786</v>
      </c>
      <c r="E6" s="50">
        <v>97634.999999999985</v>
      </c>
      <c r="F6" s="50">
        <v>76060.499999999985</v>
      </c>
      <c r="G6" s="17">
        <f t="shared" si="0"/>
        <v>356264</v>
      </c>
      <c r="H6" s="17">
        <f t="shared" si="1"/>
        <v>33228.269308777395</v>
      </c>
      <c r="I6" s="17">
        <f t="shared" si="2"/>
        <v>323035.73069122259</v>
      </c>
    </row>
    <row r="7" spans="1:9" ht="15.75" customHeight="1" x14ac:dyDescent="0.25">
      <c r="A7" s="5">
        <f t="shared" si="3"/>
        <v>2029</v>
      </c>
      <c r="B7" s="49">
        <v>28636</v>
      </c>
      <c r="C7" s="50">
        <v>66165.5</v>
      </c>
      <c r="D7" s="50">
        <v>117697.5</v>
      </c>
      <c r="E7" s="50">
        <v>98043.5</v>
      </c>
      <c r="F7" s="50">
        <v>78548.499999999985</v>
      </c>
      <c r="G7" s="17">
        <f t="shared" si="0"/>
        <v>360455</v>
      </c>
      <c r="H7" s="17">
        <f t="shared" si="1"/>
        <v>33074.653965245561</v>
      </c>
      <c r="I7" s="17">
        <f t="shared" si="2"/>
        <v>327380.34603475442</v>
      </c>
    </row>
    <row r="8" spans="1:9" ht="15.75" customHeight="1" x14ac:dyDescent="0.25">
      <c r="A8" s="5">
        <f t="shared" si="3"/>
        <v>2030</v>
      </c>
      <c r="B8" s="49">
        <v>28481</v>
      </c>
      <c r="C8" s="50">
        <v>66569.5</v>
      </c>
      <c r="D8" s="50">
        <v>118293</v>
      </c>
      <c r="E8" s="50">
        <v>98689.5</v>
      </c>
      <c r="F8" s="50">
        <v>80898.500000000015</v>
      </c>
      <c r="G8" s="17">
        <f t="shared" si="0"/>
        <v>364450.5</v>
      </c>
      <c r="H8" s="17">
        <f t="shared" si="1"/>
        <v>32895.62856488891</v>
      </c>
      <c r="I8" s="17">
        <f t="shared" si="2"/>
        <v>331554.8714351111</v>
      </c>
    </row>
    <row r="9" spans="1:9" ht="15.75" customHeight="1" x14ac:dyDescent="0.25">
      <c r="A9" s="5">
        <f t="shared" si="3"/>
        <v>2031</v>
      </c>
      <c r="B9" s="49">
        <v>28383</v>
      </c>
      <c r="C9" s="50">
        <v>66736</v>
      </c>
      <c r="D9" s="50">
        <v>119049.5</v>
      </c>
      <c r="E9" s="50">
        <v>99338.5</v>
      </c>
      <c r="F9" s="50">
        <v>82958</v>
      </c>
      <c r="G9" s="17">
        <f t="shared" si="0"/>
        <v>368082</v>
      </c>
      <c r="H9" s="17">
        <f t="shared" si="1"/>
        <v>32782.438311760183</v>
      </c>
      <c r="I9" s="17">
        <f t="shared" si="2"/>
        <v>335299.5616882398</v>
      </c>
    </row>
    <row r="10" spans="1:9" ht="15.75" customHeight="1" x14ac:dyDescent="0.25">
      <c r="A10" s="5">
        <f t="shared" si="3"/>
        <v>2032</v>
      </c>
      <c r="B10" s="49">
        <v>28202</v>
      </c>
      <c r="C10" s="50">
        <v>66691.5</v>
      </c>
      <c r="D10" s="50">
        <v>120135.5</v>
      </c>
      <c r="E10" s="50">
        <v>99797</v>
      </c>
      <c r="F10" s="50">
        <v>84535.5</v>
      </c>
      <c r="G10" s="17">
        <f t="shared" si="0"/>
        <v>371159.5</v>
      </c>
      <c r="H10" s="17">
        <f t="shared" si="1"/>
        <v>32573.382844246935</v>
      </c>
      <c r="I10" s="17">
        <f t="shared" si="2"/>
        <v>338586.11715575308</v>
      </c>
    </row>
    <row r="11" spans="1:9" ht="15.75" customHeight="1" x14ac:dyDescent="0.25">
      <c r="A11" s="5">
        <f t="shared" si="3"/>
        <v>2033</v>
      </c>
      <c r="B11" s="49">
        <v>28053</v>
      </c>
      <c r="C11" s="50">
        <v>66612.5</v>
      </c>
      <c r="D11" s="50">
        <v>121376</v>
      </c>
      <c r="E11" s="50">
        <v>100312</v>
      </c>
      <c r="F11" s="50">
        <v>85878</v>
      </c>
      <c r="G11" s="17">
        <f t="shared" si="0"/>
        <v>374178.5</v>
      </c>
      <c r="H11" s="17">
        <f t="shared" si="1"/>
        <v>32401.287459387964</v>
      </c>
      <c r="I11" s="17">
        <f t="shared" si="2"/>
        <v>341777.21254061203</v>
      </c>
    </row>
    <row r="12" spans="1:9" ht="15.75" customHeight="1" x14ac:dyDescent="0.25">
      <c r="A12" s="5">
        <f t="shared" si="3"/>
        <v>2034</v>
      </c>
      <c r="B12" s="49">
        <v>27921</v>
      </c>
      <c r="C12" s="50">
        <v>66546</v>
      </c>
      <c r="D12" s="50">
        <v>122433</v>
      </c>
      <c r="E12" s="50">
        <v>100901.5</v>
      </c>
      <c r="F12" s="50">
        <v>87165.5</v>
      </c>
      <c r="G12" s="17">
        <f t="shared" si="0"/>
        <v>377046</v>
      </c>
      <c r="H12" s="17">
        <f t="shared" si="1"/>
        <v>32248.827118439072</v>
      </c>
      <c r="I12" s="17">
        <f t="shared" si="2"/>
        <v>344797.17288156092</v>
      </c>
    </row>
    <row r="13" spans="1:9" ht="15.75" customHeight="1" x14ac:dyDescent="0.25">
      <c r="A13" s="5">
        <f t="shared" si="3"/>
        <v>2035</v>
      </c>
      <c r="B13" s="49">
        <v>27785</v>
      </c>
      <c r="C13" s="50">
        <v>66539</v>
      </c>
      <c r="D13" s="50">
        <v>123168.5</v>
      </c>
      <c r="E13" s="50">
        <v>101629.5</v>
      </c>
      <c r="F13" s="50">
        <v>88319.5</v>
      </c>
      <c r="G13" s="17">
        <f t="shared" si="0"/>
        <v>379656.5</v>
      </c>
      <c r="H13" s="17">
        <f t="shared" si="1"/>
        <v>32091.746767158395</v>
      </c>
      <c r="I13" s="17">
        <f t="shared" si="2"/>
        <v>347564.75323284161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/Bw4O2yJRr9hKtyCFaUl0t+VG1jRBi2lNdIVGnj6bBZXYFCDGGgCBCbRVwpJ5Hj9RjQnr6CNay3B9j72e59XA==" saltValue="cNRy2dZHycds7MZl2mpK3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99">
        <v>6.4930893506910725E-2</v>
      </c>
    </row>
    <row r="5" spans="1:8" ht="15.75" customHeight="1" x14ac:dyDescent="0.25">
      <c r="B5" s="19" t="s">
        <v>114</v>
      </c>
      <c r="C5" s="99">
        <v>8.333079166692095E-2</v>
      </c>
    </row>
    <row r="6" spans="1:8" ht="15.75" customHeight="1" x14ac:dyDescent="0.25">
      <c r="B6" s="19" t="s">
        <v>110</v>
      </c>
      <c r="C6" s="99">
        <v>0.24122667587733301</v>
      </c>
    </row>
    <row r="7" spans="1:8" ht="15.75" customHeight="1" x14ac:dyDescent="0.25">
      <c r="B7" s="19" t="s">
        <v>115</v>
      </c>
      <c r="C7" s="99">
        <v>0.41004985899501339</v>
      </c>
    </row>
    <row r="8" spans="1:8" ht="15.75" customHeight="1" x14ac:dyDescent="0.25">
      <c r="B8" s="19" t="s">
        <v>117</v>
      </c>
      <c r="C8" s="99">
        <v>1.193399880660011E-3</v>
      </c>
    </row>
    <row r="9" spans="1:8" ht="15.75" customHeight="1" x14ac:dyDescent="0.25">
      <c r="B9" s="19" t="s">
        <v>111</v>
      </c>
      <c r="C9" s="99">
        <v>8.1527291847270894E-2</v>
      </c>
    </row>
    <row r="10" spans="1:8" ht="15.75" customHeight="1" x14ac:dyDescent="0.25">
      <c r="B10" s="19" t="s">
        <v>113</v>
      </c>
      <c r="C10" s="99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2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109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3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120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98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107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118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99">
        <v>8.4936790000000005E-3</v>
      </c>
    </row>
    <row r="28" spans="1:8" ht="15.75" customHeight="1" x14ac:dyDescent="0.25">
      <c r="B28" s="19" t="s">
        <v>122</v>
      </c>
      <c r="C28" s="99">
        <v>0.15420750799999999</v>
      </c>
    </row>
    <row r="29" spans="1:8" ht="15.75" customHeight="1" x14ac:dyDescent="0.25">
      <c r="B29" s="19" t="s">
        <v>105</v>
      </c>
      <c r="C29" s="99">
        <v>0.168404365</v>
      </c>
    </row>
    <row r="30" spans="1:8" ht="15.75" customHeight="1" x14ac:dyDescent="0.25">
      <c r="B30" s="19" t="s">
        <v>4</v>
      </c>
      <c r="C30" s="99">
        <v>0.105568509</v>
      </c>
    </row>
    <row r="31" spans="1:8" ht="15.75" customHeight="1" x14ac:dyDescent="0.25">
      <c r="B31" s="19" t="s">
        <v>99</v>
      </c>
      <c r="C31" s="99">
        <v>0.10981025899999999</v>
      </c>
    </row>
    <row r="32" spans="1:8" ht="15.75" customHeight="1" x14ac:dyDescent="0.25">
      <c r="B32" s="19" t="s">
        <v>104</v>
      </c>
      <c r="C32" s="99">
        <v>1.8832593000000002E-2</v>
      </c>
    </row>
    <row r="33" spans="2:3" ht="15.75" customHeight="1" x14ac:dyDescent="0.25">
      <c r="B33" s="19" t="s">
        <v>119</v>
      </c>
      <c r="C33" s="99">
        <v>8.4520607999999997E-2</v>
      </c>
    </row>
    <row r="34" spans="2:3" ht="15.75" customHeight="1" x14ac:dyDescent="0.25">
      <c r="B34" s="19" t="s">
        <v>106</v>
      </c>
      <c r="C34" s="99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6bTLvJyTeJlfPAhQbSzdUucRODeAoVMmUqiqK9WlvAJ+PoqZArFsiDDL2XZsPX2Eni8iCxkrRJXIeXMO+NDD6Q==" saltValue="MKdvfKldhKnJYykWsn5F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ZL7SsiV8ucUH/mEr0JuQtK36XHNRYkC/orgFTz+jsAnOdGwzNRpEz+DuKAIpAEwSYSmac6ZcBoe6/XiE8EEjQ==" saltValue="xrW5cx1OsuYySkSG6rXM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J+5M2rrP5Qr5Sf8LeKOs9xKDdMJvF0GvyG5enqSURAnplGzIitydG3T72rdn4PqBxgkUXu+xh/rsITU/judYng==" saltValue="ynAJTkY6rDWd+gdHIYUL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fpZR+zbm3QdBujxrUI7t0baLSKYNDFc4fPv35rlCctVMMJ4drzZMpiViW/Kq/fF/dkFKTocFnPybIeiauvSqQ==" saltValue="4WyGZp8/cYMVJ2PpMUTj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algorithmName="SHA-512" hashValue="HniMTeY77EObR2luZ+Ql/4WIlxzSkP1c9SqaVeHCgZ3W7kjthkEDdQA+3Lf5gMBdaYY//1EvZtsVa00sHGjCQQ==" saltValue="EqFEKbixIhWa5EdTkrW/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HQhXOziiBFBT6qeTe8SVIDGPfUZVWULrzNxvS4JJFOqw8vH8gIL1E626ypJfs6pJbhFJuNZF6uNidmuUoXWYg==" saltValue="x8QOgu6X7hb2dMcfA2E3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NeLZr6i3nxsMe9NfEhFzZPKnMbidAx1soUtGh9lEXi4Aqb4iEytwWGbFN+KTnEe8uEZZX7LfvHQOeD1pAOFfA==" saltValue="46LRNa25XsLQgJrY25fh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12.81601982469946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12.81601982469946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12.81601982469946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12.81601982469946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12.81601982469946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1E-3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0.25800000000000001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0.25800000000000001</v>
      </c>
      <c r="C19" s="96">
        <v>0.95</v>
      </c>
      <c r="D19" s="56">
        <v>6.4276517687842469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0.70900000000000007</v>
      </c>
      <c r="C23" s="96">
        <v>0.95</v>
      </c>
      <c r="D23" s="56">
        <v>4.1567379002909028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0.24025928639999999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0.434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0.42499999999999999</v>
      </c>
      <c r="C29" s="96">
        <v>0.95</v>
      </c>
      <c r="D29" s="56">
        <v>93.648037947344875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0.26800000000000002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0.51764500000000002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yLogUlgYCrtHOSpwbJ1suVz+67Ew4LWNNnMAYrEvRxP1JfnAGvlpHWxmaKzeajjIasrf/Qz3fLgopJAA2UF9Fg==" saltValue="sol6RPktunPsA5zpYTVv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gnn4lBHNeafWuwci0/myxAXctgdcKUvX9NCEBpEDklHiqHl8dfQ/M08DgCe8Cm4LvFkXzC2rbwa/8fJlMS2OQ==" saltValue="TAHW3vH4kGKAidh0M1h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cYWtGG0N93X9J192oMJTSGGRfONyQfeSOZSYp0bVmCsxc05/4r/8ivIPjnnjuY2SULhztM3Ltbghs8w4hHiLQ==" saltValue="n1G7K8Q8x/F5DtEqxjX3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/2YXKLhYoLGWAJpZNsHeYkgtyW89Js6EFArlutRT5CILRyr7SAPEIr/IaySv4AqXXJRrUNX+Eb4pG+hoMp2tuw==" saltValue="rvtmRBHadjawppaRGycq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IN9Fq0uPMK4ecKzYobPM2raWy15PmlS4oJ+lSOiFMGKjYZV9nZ/HO5oOpzQMHQ+JStYUmWBCALUTLQ7Cinuog==" saltValue="rjouonkhWBkV40B5I5Rv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zUBHU/FPZCgIrWUIcY0cQ3CtDiIBgQXOHiRZaJnvCBbKQryjVvFbxzaM5BIBKUETPWL3yPopegtwLCs4Mw5hg==" saltValue="zV5op3gj+NW2l+4Rim9E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XZt5XRqM8A3ltvw5cj8pWuaC/+9F0ktDN0A7AgH4stOxozo7b0XmHs5smGQW0JA33Wri+Tf2nKNhJ15U99hkg==" saltValue="t5D4x36RvCD1Pfyn31Ha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5qN6YMmqGAmyZejUZbNAMNfRXJXGrkorTfMqurcpBCiMVPAsPwH/DcPhtU8BBuLF9TyRr/10ab6D6sxlTET/w==" saltValue="i+eygQvD5BYKp2xBxvVR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7H1TfYMDyNRhw3+0oJ3UmX2Nh2/O4JAzM55VWpRwXcwH7/ptlUa2/vBlaIrQ/6i7XCAcWc1DiU5Bt2QWpru++g==" saltValue="Jlkf2O1WMdSPK04N3P/n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+6iUAEhKx2BYVrc8whhY/Tr9+27hxV7cTWh7CZsbIwgQptO+KRTerrJ2OGoDIVS6hbYY+GMkxC9w+VYqZS5ksA==" saltValue="al8jkUJjnkSfeski0N9W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vgeWl7rgaey89pvRGKorb2KippMG/TEI5HiN3nVGFzWkDc7cTiYI+9VDfIP1GWXOmXxx8WSU1FEqYYu1jkcIA==" saltValue="v8S67py/yJWvqO/cGy8yh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NnpAao6NSiMvHXGxsysnMCt11+TEX6B8W+mn5YTotsGUxoJ98MShcioQqaE5tZnDTsGHqqSQxkcNMzyxPZodw==" saltValue="zYKW9/Cu3qdYeS4G5Ipk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2xYG8oNdUKS98ZFN26/+98+V4DY+47VddNarHgCtcDr/ZpxshurUYImHCqBPBbfYkwSmHT+Z6Lw4ZAj0Q+evg==" saltValue="vPUwWCK0h11y3JrWDylr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4zF4ybTSoyPvXsFvLr2YGKlPYcYyfUOB0MB+O/ZoX6KeD1h5obClDsSC4XctS7yOE994uH/GwHdcJ3k+B3jnA==" saltValue="j+fJczeXbtXiPX+rfmhR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aNWAYr2fCRBo6TGHQdonw/sNXdosPFtlFxODRGtlvC/Kw/ujFb5S0YYm8NGLDCuKtVKGXk1hr5FWFx4D8oXEA==" saltValue="NnLf0JHZJ5sJhZGXg0sd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zp6wQW7/sujpOE9BBfFr/36bmVygClx3Qrmuld21sD4HEFwPKawFLxo4VvlFEFjonNCpnMeFQ6P9WG8e8jjSg==" saltValue="PUmvyY26FXzB/IpKByfQ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7Iu88yag6VN883IJnfPl0sGg4fdBvYR1HUhvuz7rTz4epxYzehDstUqqXBG1vMh/yWtHOKWDzIiRSIeqsMU+g==" saltValue="J0I47SrR94dvZXSrAWis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gasSLChVhy4VNHWEY7x+WoJBR/1whVkr3d04qF/6ZnvH1lVDVzsiyRO3CfUd1tjSQLPCFWHlGTSs/wN0IqmRA==" saltValue="UqacK2PV2mGbSCQuxFz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hY1mZuZHN0tWH282B9y/DAzDkoBVpok5QsAPA33eORkZqq6PGPj5HCPF03qtFcZ6UdIzWtZshB5/a4z/N6ulg==" saltValue="5woDNKeF8/QLMhrrAZu30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