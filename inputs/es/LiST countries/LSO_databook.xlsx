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387C5E69-AD6E-4EB1-99D7-85EA0EF4308E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26" i="2"/>
  <c r="A23" i="2"/>
  <c r="A22" i="2"/>
  <c r="A19" i="2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24" i="2" l="1"/>
  <c r="A35" i="2"/>
  <c r="I13" i="2"/>
  <c r="A36" i="2"/>
  <c r="A37" i="2"/>
  <c r="I4" i="2"/>
  <c r="I8" i="2"/>
  <c r="I12" i="2"/>
  <c r="A25" i="2"/>
  <c r="I9" i="2"/>
  <c r="A31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<sst xmlns="http://schemas.openxmlformats.org/spreadsheetml/2006/main" count="2159" uniqueCount="372">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</sst>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274721</v>
      </c>
    </row>
    <row r="8" spans="1:3" ht="15" customHeight="1" x14ac:dyDescent="0.25">
      <c r="B8" s="5" t="s">
        <v>63</v>
      </c>
      <c r="C8" s="44">
        <v>0.49700000000000011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0.50025979999999992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0.16008168680000001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0.1454</v>
      </c>
    </row>
    <row r="24" spans="1:3" ht="15" customHeight="1" x14ac:dyDescent="0.25">
      <c r="B24" s="15" t="s">
        <v>65</v>
      </c>
      <c r="C24" s="45">
        <v>0.49180000000000001</v>
      </c>
    </row>
    <row r="25" spans="1:3" ht="15" customHeight="1" x14ac:dyDescent="0.25">
      <c r="B25" s="15" t="s">
        <v>66</v>
      </c>
      <c r="C25" s="45">
        <v>0.28089999999999998</v>
      </c>
    </row>
    <row r="26" spans="1:3" ht="15" customHeight="1" x14ac:dyDescent="0.25">
      <c r="B26" s="15" t="s">
        <v>67</v>
      </c>
      <c r="C26" s="45">
        <v>8.1900000000000001E-2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0.391186912619995</v>
      </c>
    </row>
    <row r="30" spans="1:3" ht="14.25" customHeight="1" x14ac:dyDescent="0.25">
      <c r="B30" s="25" t="s">
        <v>82</v>
      </c>
      <c r="C30" s="99">
        <v>2.27253385251939E-2</v>
      </c>
    </row>
    <row r="31" spans="1:3" ht="14.25" customHeight="1" x14ac:dyDescent="0.25">
      <c r="B31" s="25" t="s">
        <v>29</v>
      </c>
      <c r="C31" s="99">
        <v>4.1775369773239798E-2</v>
      </c>
    </row>
    <row r="32" spans="1:3" ht="14.25" customHeight="1" x14ac:dyDescent="0.25">
      <c r="B32" s="25" t="s">
        <v>30</v>
      </c>
      <c r="C32" s="99">
        <v>0.54431237908157204</v>
      </c>
    </row>
    <row r="33" spans="1:5" ht="13.25" customHeight="1" x14ac:dyDescent="0.25">
      <c r="B33" s="27" t="s">
        <v>79</v>
      </c>
      <c r="C33" s="48">
        <f>SUM(C29:C32)</f>
        <v>1.0000000000000009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35.26191</v>
      </c>
    </row>
    <row r="38" spans="1:5" ht="15" customHeight="1" x14ac:dyDescent="0.25">
      <c r="B38" s="11" t="s">
        <v>54</v>
      </c>
      <c r="C38" s="43">
        <v>56.958309999999997</v>
      </c>
      <c r="D38" s="12"/>
      <c r="E38" s="13"/>
    </row>
    <row r="39" spans="1:5" ht="15" customHeight="1" x14ac:dyDescent="0.25">
      <c r="B39" s="11" t="s">
        <v>80</v>
      </c>
      <c r="C39" s="43">
        <v>72.925359999999998</v>
      </c>
      <c r="D39" s="12"/>
      <c r="E39" s="12"/>
    </row>
    <row r="40" spans="1:5" ht="15" customHeight="1" x14ac:dyDescent="0.25">
      <c r="B40" s="11" t="s">
        <v>55</v>
      </c>
      <c r="C40" s="100">
        <v>5.66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26.658390000000001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7.9373000000000013E-3</v>
      </c>
      <c r="D45" s="12"/>
    </row>
    <row r="46" spans="1:5" ht="15.75" customHeight="1" x14ac:dyDescent="0.25">
      <c r="B46" s="11" t="s">
        <v>70</v>
      </c>
      <c r="C46" s="45">
        <v>8.5285299999999994E-2</v>
      </c>
      <c r="D46" s="12"/>
    </row>
    <row r="47" spans="1:5" ht="15.75" customHeight="1" x14ac:dyDescent="0.25">
      <c r="B47" s="11" t="s">
        <v>78</v>
      </c>
      <c r="C47" s="45">
        <v>7.3452400000000001E-2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1.56</v>
      </c>
      <c r="D51" s="12"/>
    </row>
    <row r="52" spans="1:4" ht="15" customHeight="1" x14ac:dyDescent="0.25">
      <c r="B52" s="11" t="s">
        <v>32</v>
      </c>
      <c r="C52" s="100">
        <v>1.56</v>
      </c>
    </row>
    <row r="53" spans="1:4" ht="15.75" customHeight="1" x14ac:dyDescent="0.25">
      <c r="B53" s="11" t="s">
        <v>35</v>
      </c>
      <c r="C53" s="100">
        <v>5.798</v>
      </c>
    </row>
    <row r="54" spans="1:4" ht="15.75" customHeight="1" x14ac:dyDescent="0.25">
      <c r="B54" s="11" t="s">
        <v>33</v>
      </c>
      <c r="C54" s="100">
        <v>5.72</v>
      </c>
    </row>
    <row r="55" spans="1:4" ht="15.75" customHeight="1" x14ac:dyDescent="0.25">
      <c r="B55" s="11" t="s">
        <v>34</v>
      </c>
      <c r="C55" s="100">
        <v>1.6466666666666669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0.54738100000000001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0.14447423540000001</v>
      </c>
    </row>
    <row r="63" spans="1:4" ht="15.75" customHeight="1" x14ac:dyDescent="0.3">
      <c r="A63" s="4"/>
    </row>
  </sheetData>
  <sheetProtection algorithmName="SHA-512" hashValue="EM9IMUg1z6TsFdfejFx79S8M0BdAsK6xg2tjFXYjiEEoOWfBrfhc8J7dDFzN1StSwbEdFOVLQplyXV+9VURoqA==" saltValue="+YkvDB0Gt6iDRorqVD0e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261301.49999999997</v>
      </c>
      <c r="C2" s="49">
        <v>55384</v>
      </c>
      <c r="D2" s="49">
        <v>132851.5</v>
      </c>
      <c r="E2" s="49">
        <v>244517</v>
      </c>
      <c r="F2" s="49">
        <v>198520.5</v>
      </c>
      <c r="G2" s="17">
        <f t="shared" ref="G2:G13" si="0">C2+D2+E2+F2</f>
        <v>631273</v>
      </c>
      <c r="H2" s="17">
        <f t="shared" ref="H2:H13" si="1">(B2 + stillbirth*B2/(1000-stillbirth))/(1-abortion)</f>
        <v>305066.09362695663</v>
      </c>
      <c r="I2" s="17">
        <f t="shared" ref="I2:I13" si="2">G2-H2</f>
        <v>326206.90637304337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55542</v>
      </c>
      <c r="C3" s="50">
        <v>120380</v>
      </c>
      <c r="D3" s="50">
        <v>213518</v>
      </c>
      <c r="E3" s="50">
        <v>197734.5</v>
      </c>
      <c r="F3" s="50">
        <v>118527</v>
      </c>
      <c r="G3" s="17">
        <f t="shared" si="0"/>
        <v>650159.5</v>
      </c>
      <c r="H3" s="17">
        <f t="shared" si="1"/>
        <v>64844.560678864938</v>
      </c>
      <c r="I3" s="17">
        <f t="shared" si="2"/>
        <v>585314.93932113505</v>
      </c>
    </row>
    <row r="4" spans="1:9" ht="15.75" customHeight="1" x14ac:dyDescent="0.25">
      <c r="A4" s="5">
        <f t="shared" si="3"/>
        <v>2026</v>
      </c>
      <c r="B4" s="49">
        <v>55434</v>
      </c>
      <c r="C4" s="50">
        <v>122219</v>
      </c>
      <c r="D4" s="50">
        <v>214641.00000000003</v>
      </c>
      <c r="E4" s="50">
        <v>198607</v>
      </c>
      <c r="F4" s="50">
        <v>126492.5</v>
      </c>
      <c r="G4" s="17">
        <f t="shared" si="0"/>
        <v>661959.5</v>
      </c>
      <c r="H4" s="17">
        <f t="shared" si="1"/>
        <v>64718.472087288879</v>
      </c>
      <c r="I4" s="17">
        <f t="shared" si="2"/>
        <v>597241.02791271114</v>
      </c>
    </row>
    <row r="5" spans="1:9" ht="15.75" customHeight="1" x14ac:dyDescent="0.25">
      <c r="A5" s="5">
        <f t="shared" si="3"/>
        <v>2027</v>
      </c>
      <c r="B5" s="49">
        <v>55312</v>
      </c>
      <c r="C5" s="50">
        <v>124735.5</v>
      </c>
      <c r="D5" s="50">
        <v>215760</v>
      </c>
      <c r="E5" s="50">
        <v>198926.5</v>
      </c>
      <c r="F5" s="50">
        <v>134487.5</v>
      </c>
      <c r="G5" s="17">
        <f t="shared" si="0"/>
        <v>673909.5</v>
      </c>
      <c r="H5" s="17">
        <f t="shared" si="1"/>
        <v>64576.038678286292</v>
      </c>
      <c r="I5" s="17">
        <f t="shared" si="2"/>
        <v>609333.46132171375</v>
      </c>
    </row>
    <row r="6" spans="1:9" ht="15.75" customHeight="1" x14ac:dyDescent="0.25">
      <c r="A6" s="5">
        <f t="shared" si="3"/>
        <v>2028</v>
      </c>
      <c r="B6" s="49">
        <v>55177</v>
      </c>
      <c r="C6" s="50">
        <v>127377</v>
      </c>
      <c r="D6" s="50">
        <v>217338.5</v>
      </c>
      <c r="E6" s="50">
        <v>198579.99999999997</v>
      </c>
      <c r="F6" s="50">
        <v>142647.5</v>
      </c>
      <c r="G6" s="17">
        <f t="shared" si="0"/>
        <v>685943</v>
      </c>
      <c r="H6" s="17">
        <f t="shared" si="1"/>
        <v>64418.427938816225</v>
      </c>
      <c r="I6" s="17">
        <f t="shared" si="2"/>
        <v>621524.57206118375</v>
      </c>
    </row>
    <row r="7" spans="1:9" ht="15.75" customHeight="1" x14ac:dyDescent="0.25">
      <c r="A7" s="5">
        <f t="shared" si="3"/>
        <v>2029</v>
      </c>
      <c r="B7" s="49">
        <v>55092</v>
      </c>
      <c r="C7" s="50">
        <v>129564.50000000001</v>
      </c>
      <c r="D7" s="50">
        <v>219838.5</v>
      </c>
      <c r="E7" s="50">
        <v>197475.00000000003</v>
      </c>
      <c r="F7" s="50">
        <v>150685</v>
      </c>
      <c r="G7" s="17">
        <f t="shared" si="0"/>
        <v>697563</v>
      </c>
      <c r="H7" s="17">
        <f t="shared" si="1"/>
        <v>64319.191547298033</v>
      </c>
      <c r="I7" s="17">
        <f t="shared" si="2"/>
        <v>633243.80845270201</v>
      </c>
    </row>
    <row r="8" spans="1:9" ht="15.75" customHeight="1" x14ac:dyDescent="0.25">
      <c r="A8" s="5">
        <f t="shared" si="3"/>
        <v>2030</v>
      </c>
      <c r="B8" s="49">
        <v>55086</v>
      </c>
      <c r="C8" s="50">
        <v>131613.5</v>
      </c>
      <c r="D8" s="50">
        <v>223062.5</v>
      </c>
      <c r="E8" s="50">
        <v>195950.5</v>
      </c>
      <c r="F8" s="50">
        <v>157987</v>
      </c>
      <c r="G8" s="17">
        <f t="shared" si="0"/>
        <v>708613.5</v>
      </c>
      <c r="H8" s="17">
        <f t="shared" si="1"/>
        <v>64312.1866255438</v>
      </c>
      <c r="I8" s="17">
        <f t="shared" si="2"/>
        <v>644301.31337445625</v>
      </c>
    </row>
    <row r="9" spans="1:9" ht="15.75" customHeight="1" x14ac:dyDescent="0.25">
      <c r="A9" s="5">
        <f t="shared" si="3"/>
        <v>2031</v>
      </c>
      <c r="B9" s="49">
        <v>55094</v>
      </c>
      <c r="C9" s="50">
        <v>133515.5</v>
      </c>
      <c r="D9" s="50">
        <v>226471.5</v>
      </c>
      <c r="E9" s="50">
        <v>194482.50000000003</v>
      </c>
      <c r="F9" s="50">
        <v>164362.5</v>
      </c>
      <c r="G9" s="17">
        <f t="shared" si="0"/>
        <v>718832</v>
      </c>
      <c r="H9" s="17">
        <f t="shared" si="1"/>
        <v>64321.526521216103</v>
      </c>
      <c r="I9" s="17">
        <f t="shared" si="2"/>
        <v>654510.47347878385</v>
      </c>
    </row>
    <row r="10" spans="1:9" ht="15.75" customHeight="1" x14ac:dyDescent="0.25">
      <c r="A10" s="5">
        <f t="shared" si="3"/>
        <v>2032</v>
      </c>
      <c r="B10" s="49">
        <v>55121</v>
      </c>
      <c r="C10" s="50">
        <v>134799</v>
      </c>
      <c r="D10" s="50">
        <v>230138.50000000003</v>
      </c>
      <c r="E10" s="50">
        <v>193697</v>
      </c>
      <c r="F10" s="50">
        <v>169761</v>
      </c>
      <c r="G10" s="17">
        <f t="shared" si="0"/>
        <v>728395.5</v>
      </c>
      <c r="H10" s="17">
        <f t="shared" si="1"/>
        <v>64353.048669110118</v>
      </c>
      <c r="I10" s="17">
        <f t="shared" si="2"/>
        <v>664042.45133088983</v>
      </c>
    </row>
    <row r="11" spans="1:9" ht="15.75" customHeight="1" x14ac:dyDescent="0.25">
      <c r="A11" s="5">
        <f t="shared" si="3"/>
        <v>2033</v>
      </c>
      <c r="B11" s="49">
        <v>55189</v>
      </c>
      <c r="C11" s="50">
        <v>135280</v>
      </c>
      <c r="D11" s="50">
        <v>233707</v>
      </c>
      <c r="E11" s="50">
        <v>194066.50000000003</v>
      </c>
      <c r="F11" s="50">
        <v>174108.5</v>
      </c>
      <c r="G11" s="17">
        <f t="shared" si="0"/>
        <v>737162</v>
      </c>
      <c r="H11" s="17">
        <f t="shared" si="1"/>
        <v>64432.437782324676</v>
      </c>
      <c r="I11" s="17">
        <f t="shared" si="2"/>
        <v>672729.56221767538</v>
      </c>
    </row>
    <row r="12" spans="1:9" ht="15.75" customHeight="1" x14ac:dyDescent="0.25">
      <c r="A12" s="5">
        <f t="shared" si="3"/>
        <v>2034</v>
      </c>
      <c r="B12" s="49">
        <v>55268</v>
      </c>
      <c r="C12" s="50">
        <v>135095.5</v>
      </c>
      <c r="D12" s="50">
        <v>237022</v>
      </c>
      <c r="E12" s="50">
        <v>195413</v>
      </c>
      <c r="F12" s="50">
        <v>177253</v>
      </c>
      <c r="G12" s="17">
        <f t="shared" si="0"/>
        <v>744783.5</v>
      </c>
      <c r="H12" s="17">
        <f t="shared" si="1"/>
        <v>64524.669252088643</v>
      </c>
      <c r="I12" s="17">
        <f t="shared" si="2"/>
        <v>680258.83074791136</v>
      </c>
    </row>
    <row r="13" spans="1:9" ht="15.75" customHeight="1" x14ac:dyDescent="0.25">
      <c r="A13" s="5">
        <f t="shared" si="3"/>
        <v>2035</v>
      </c>
      <c r="B13" s="49">
        <v>55362</v>
      </c>
      <c r="C13" s="50">
        <v>134235.5</v>
      </c>
      <c r="D13" s="50">
        <v>240628.49999999997</v>
      </c>
      <c r="E13" s="50">
        <v>197018</v>
      </c>
      <c r="F13" s="50">
        <v>179284</v>
      </c>
      <c r="G13" s="17">
        <f t="shared" si="0"/>
        <v>751166</v>
      </c>
      <c r="H13" s="17">
        <f t="shared" si="1"/>
        <v>64634.41302623818</v>
      </c>
      <c r="I13" s="17">
        <f t="shared" si="2"/>
        <v>686531.58697376179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lgU1VAHQddNlJHZUSbZc9N6L6veK7h9H5d9KzlzQhbbyD7HJR8Y4vwPsKn+9OMhjKKZaTxMxmiArhXubAiF5lA==" saltValue="G9/IzDt0OYTJXFbEUoy8a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7.7941000000000069E-3</v>
      </c>
    </row>
    <row r="4" spans="1:8" ht="15.75" customHeight="1" x14ac:dyDescent="0.25">
      <c r="B4" s="19" t="s">
        <v>116</v>
      </c>
      <c r="C4" s="101">
        <v>5.680499999999996E-2</v>
      </c>
    </row>
    <row r="5" spans="1:8" ht="15.75" customHeight="1" x14ac:dyDescent="0.25">
      <c r="B5" s="19" t="s">
        <v>114</v>
      </c>
      <c r="C5" s="101">
        <v>7.5246199999999971E-2</v>
      </c>
    </row>
    <row r="6" spans="1:8" ht="15.75" customHeight="1" x14ac:dyDescent="0.25">
      <c r="B6" s="19" t="s">
        <v>110</v>
      </c>
      <c r="C6" s="101">
        <v>0.24614950000000041</v>
      </c>
    </row>
    <row r="7" spans="1:8" ht="15.75" customHeight="1" x14ac:dyDescent="0.25">
      <c r="B7" s="19" t="s">
        <v>115</v>
      </c>
      <c r="C7" s="101">
        <v>0.42908479999999949</v>
      </c>
    </row>
    <row r="8" spans="1:8" ht="15.75" customHeight="1" x14ac:dyDescent="0.25">
      <c r="B8" s="19" t="s">
        <v>117</v>
      </c>
      <c r="C8" s="101">
        <v>1.3393000000000001E-3</v>
      </c>
    </row>
    <row r="9" spans="1:8" ht="15.75" customHeight="1" x14ac:dyDescent="0.25">
      <c r="B9" s="19" t="s">
        <v>111</v>
      </c>
      <c r="C9" s="101">
        <v>6.3739400000000085E-2</v>
      </c>
    </row>
    <row r="10" spans="1:8" ht="15.75" customHeight="1" x14ac:dyDescent="0.25">
      <c r="B10" s="19" t="s">
        <v>113</v>
      </c>
      <c r="C10" s="101">
        <v>0.11984170000000011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0.196029067448931</v>
      </c>
      <c r="D14" s="55">
        <v>0.196029067448931</v>
      </c>
      <c r="E14" s="55">
        <v>0.196029067448931</v>
      </c>
      <c r="F14" s="55">
        <v>0.196029067448931</v>
      </c>
    </row>
    <row r="15" spans="1:8" ht="15.75" customHeight="1" x14ac:dyDescent="0.25">
      <c r="B15" s="19" t="s">
        <v>121</v>
      </c>
      <c r="C15" s="101">
        <v>0.2119757211068988</v>
      </c>
      <c r="D15" s="101">
        <v>0.2119757211068988</v>
      </c>
      <c r="E15" s="101">
        <v>0.2119757211068988</v>
      </c>
      <c r="F15" s="101">
        <v>0.2119757211068988</v>
      </c>
    </row>
    <row r="16" spans="1:8" ht="15.75" customHeight="1" x14ac:dyDescent="0.25">
      <c r="B16" s="19" t="s">
        <v>2</v>
      </c>
      <c r="C16" s="101">
        <v>1.4086381465792089E-2</v>
      </c>
      <c r="D16" s="101">
        <v>1.4086381465792089E-2</v>
      </c>
      <c r="E16" s="101">
        <v>1.4086381465792089E-2</v>
      </c>
      <c r="F16" s="101">
        <v>1.4086381465792089E-2</v>
      </c>
    </row>
    <row r="17" spans="1:8" ht="15.75" customHeight="1" x14ac:dyDescent="0.25">
      <c r="B17" s="19" t="s">
        <v>109</v>
      </c>
      <c r="C17" s="101">
        <v>5.4992529902401334E-3</v>
      </c>
      <c r="D17" s="101">
        <v>5.4992529902401334E-3</v>
      </c>
      <c r="E17" s="101">
        <v>5.4992529902401334E-3</v>
      </c>
      <c r="F17" s="101">
        <v>5.4992529902401334E-3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2.240392218952935E-2</v>
      </c>
      <c r="D19" s="101">
        <v>2.240392218952935E-2</v>
      </c>
      <c r="E19" s="101">
        <v>2.240392218952935E-2</v>
      </c>
      <c r="F19" s="101">
        <v>2.240392218952935E-2</v>
      </c>
    </row>
    <row r="20" spans="1:8" ht="15.75" customHeight="1" x14ac:dyDescent="0.25">
      <c r="B20" s="19" t="s">
        <v>98</v>
      </c>
      <c r="C20" s="101">
        <v>0.23441902277012119</v>
      </c>
      <c r="D20" s="101">
        <v>0.23441902277012119</v>
      </c>
      <c r="E20" s="101">
        <v>0.23441902277012119</v>
      </c>
      <c r="F20" s="101">
        <v>0.23441902277012119</v>
      </c>
    </row>
    <row r="21" spans="1:8" ht="15.75" customHeight="1" x14ac:dyDescent="0.25">
      <c r="B21" s="19" t="s">
        <v>107</v>
      </c>
      <c r="C21" s="101">
        <v>0.1020277474478483</v>
      </c>
      <c r="D21" s="101">
        <v>0.1020277474478483</v>
      </c>
      <c r="E21" s="101">
        <v>0.1020277474478483</v>
      </c>
      <c r="F21" s="101">
        <v>0.1020277474478483</v>
      </c>
    </row>
    <row r="22" spans="1:8" ht="15.75" customHeight="1" x14ac:dyDescent="0.25">
      <c r="B22" s="19" t="s">
        <v>118</v>
      </c>
      <c r="C22" s="101">
        <v>0.2135588845806389</v>
      </c>
      <c r="D22" s="101">
        <v>0.2135588845806389</v>
      </c>
      <c r="E22" s="101">
        <v>0.2135588845806389</v>
      </c>
      <c r="F22" s="101">
        <v>0.2135588845806389</v>
      </c>
    </row>
    <row r="23" spans="1:8" ht="15.75" customHeight="1" x14ac:dyDescent="0.25">
      <c r="B23" s="27" t="s">
        <v>79</v>
      </c>
      <c r="C23" s="48">
        <f>SUM(C14:C22)</f>
        <v>0.99999999999999967</v>
      </c>
      <c r="D23" s="48">
        <f>SUM(D14:D22)</f>
        <v>0.99999999999999967</v>
      </c>
      <c r="E23" s="48">
        <f>SUM(E14:E22)</f>
        <v>0.99999999999999967</v>
      </c>
      <c r="F23" s="48">
        <f>SUM(F14:F22)</f>
        <v>0.99999999999999967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7.8500723999999994E-2</v>
      </c>
    </row>
    <row r="27" spans="1:8" ht="15.75" customHeight="1" x14ac:dyDescent="0.25">
      <c r="B27" s="19" t="s">
        <v>108</v>
      </c>
      <c r="C27" s="101">
        <v>7.8598569999999996E-3</v>
      </c>
    </row>
    <row r="28" spans="1:8" ht="15.75" customHeight="1" x14ac:dyDescent="0.25">
      <c r="B28" s="19" t="s">
        <v>122</v>
      </c>
      <c r="C28" s="101">
        <v>0.139408438</v>
      </c>
    </row>
    <row r="29" spans="1:8" ht="15.75" customHeight="1" x14ac:dyDescent="0.25">
      <c r="B29" s="19" t="s">
        <v>105</v>
      </c>
      <c r="C29" s="101">
        <v>0.15153803099999999</v>
      </c>
    </row>
    <row r="30" spans="1:8" ht="15.75" customHeight="1" x14ac:dyDescent="0.25">
      <c r="B30" s="19" t="s">
        <v>4</v>
      </c>
      <c r="C30" s="101">
        <v>9.5629616000000001E-2</v>
      </c>
    </row>
    <row r="31" spans="1:8" ht="15.75" customHeight="1" x14ac:dyDescent="0.25">
      <c r="B31" s="19" t="s">
        <v>99</v>
      </c>
      <c r="C31" s="101">
        <v>9.8062453999999993E-2</v>
      </c>
    </row>
    <row r="32" spans="1:8" ht="15.75" customHeight="1" x14ac:dyDescent="0.25">
      <c r="B32" s="19" t="s">
        <v>104</v>
      </c>
      <c r="C32" s="101">
        <v>1.6473412E-2</v>
      </c>
    </row>
    <row r="33" spans="2:3" ht="15.75" customHeight="1" x14ac:dyDescent="0.25">
      <c r="B33" s="19" t="s">
        <v>119</v>
      </c>
      <c r="C33" s="101">
        <v>7.5640217999999995E-2</v>
      </c>
    </row>
    <row r="34" spans="2:3" ht="15.75" customHeight="1" x14ac:dyDescent="0.25">
      <c r="B34" s="19" t="s">
        <v>106</v>
      </c>
      <c r="C34" s="101">
        <v>0.33688724799999997</v>
      </c>
    </row>
    <row r="35" spans="2:3" ht="15.75" customHeight="1" x14ac:dyDescent="0.25">
      <c r="B35" s="27" t="s">
        <v>79</v>
      </c>
      <c r="C35" s="48">
        <f>SUM(C26:C34)</f>
        <v>0.99999999799999983</v>
      </c>
    </row>
  </sheetData>
  <sheetProtection algorithmName="SHA-512" hashValue="K+2DzVourcaEhjqHoTWNUu93au4l+EC6+llSmT3sGsOQOvDBtpJUjoCakbyV73yffLBe/OmHbjYsbwjq2OKfbQ==" saltValue="bllURlQdEK1nn9pZm9QXX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0.44164537184189023</v>
      </c>
      <c r="D2" s="52">
        <f>IFERROR(1-_xlfn.NORM.DIST(_xlfn.NORM.INV(SUM(D4:D5), 0, 1) + 1, 0, 1, TRUE), "")</f>
        <v>0.44164537184189023</v>
      </c>
      <c r="E2" s="52">
        <f>IFERROR(1-_xlfn.NORM.DIST(_xlfn.NORM.INV(SUM(E4:E5), 0, 1) + 1, 0, 1, TRUE), "")</f>
        <v>0.39200167866862889</v>
      </c>
      <c r="F2" s="52">
        <f>IFERROR(1-_xlfn.NORM.DIST(_xlfn.NORM.INV(SUM(F4:F5), 0, 1) + 1, 0, 1, TRUE), "")</f>
        <v>0.19310127727033533</v>
      </c>
      <c r="G2" s="52">
        <f>IFERROR(1-_xlfn.NORM.DIST(_xlfn.NORM.INV(SUM(G4:G5), 0, 1) + 1, 0, 1, TRUE), "")</f>
        <v>0.27262627322708688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0.36158072815810977</v>
      </c>
      <c r="D3" s="52">
        <f>IFERROR(_xlfn.NORM.DIST(_xlfn.NORM.INV(SUM(D4:D5), 0, 1) + 1, 0, 1, TRUE) - SUM(D4:D5), "")</f>
        <v>0.36158072815810977</v>
      </c>
      <c r="E3" s="52">
        <f>IFERROR(_xlfn.NORM.DIST(_xlfn.NORM.INV(SUM(E4:E5), 0, 1) + 1, 0, 1, TRUE) - SUM(E4:E5), "")</f>
        <v>0.37404652133137112</v>
      </c>
      <c r="F3" s="52">
        <f>IFERROR(_xlfn.NORM.DIST(_xlfn.NORM.INV(SUM(F4:F5), 0, 1) + 1, 0, 1, TRUE) - SUM(F4:F5), "")</f>
        <v>0.35999002272966463</v>
      </c>
      <c r="G3" s="52">
        <f>IFERROR(_xlfn.NORM.DIST(_xlfn.NORM.INV(SUM(G4:G5), 0, 1) + 1, 0, 1, TRUE) - SUM(G4:G5), "")</f>
        <v>0.38099312677291314</v>
      </c>
    </row>
    <row r="4" spans="1:15" ht="15.75" customHeight="1" x14ac:dyDescent="0.25">
      <c r="B4" s="5" t="s">
        <v>129</v>
      </c>
      <c r="C4" s="45">
        <v>0.13775409999999999</v>
      </c>
      <c r="D4" s="53">
        <v>0.13775409999999999</v>
      </c>
      <c r="E4" s="53">
        <v>0.1247017</v>
      </c>
      <c r="F4" s="53">
        <v>0.28340530000000003</v>
      </c>
      <c r="G4" s="53">
        <v>0.24160329999999999</v>
      </c>
    </row>
    <row r="5" spans="1:15" ht="15.75" customHeight="1" x14ac:dyDescent="0.25">
      <c r="B5" s="5" t="s">
        <v>125</v>
      </c>
      <c r="C5" s="45">
        <v>5.9019799999999997E-2</v>
      </c>
      <c r="D5" s="53">
        <v>5.9019799999999997E-2</v>
      </c>
      <c r="E5" s="53">
        <v>0.1092501</v>
      </c>
      <c r="F5" s="53">
        <v>0.16350339999999999</v>
      </c>
      <c r="G5" s="53">
        <v>0.1047773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0.7762927027928157</v>
      </c>
      <c r="D8" s="52">
        <f>IFERROR(1-_xlfn.NORM.DIST(_xlfn.NORM.INV(SUM(D10:D11), 0, 1) + 1, 0, 1, TRUE), "")</f>
        <v>0.7762927027928157</v>
      </c>
      <c r="E8" s="52">
        <f>IFERROR(1-_xlfn.NORM.DIST(_xlfn.NORM.INV(SUM(E10:E11), 0, 1) + 1, 0, 1, TRUE), "")</f>
        <v>0.79047634861427762</v>
      </c>
      <c r="F8" s="52">
        <f>IFERROR(1-_xlfn.NORM.DIST(_xlfn.NORM.INV(SUM(F10:F11), 0, 1) + 1, 0, 1, TRUE), "")</f>
        <v>0.84189946186029696</v>
      </c>
      <c r="G8" s="52">
        <f>IFERROR(1-_xlfn.NORM.DIST(_xlfn.NORM.INV(SUM(G10:G11), 0, 1) + 1, 0, 1, TRUE), "")</f>
        <v>0.87427773634898454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0.18448069720718435</v>
      </c>
      <c r="D9" s="52">
        <f>IFERROR(_xlfn.NORM.DIST(_xlfn.NORM.INV(SUM(D10:D11), 0, 1) + 1, 0, 1, TRUE) - SUM(D10:D11), "")</f>
        <v>0.18448069720718435</v>
      </c>
      <c r="E9" s="52">
        <f>IFERROR(_xlfn.NORM.DIST(_xlfn.NORM.INV(SUM(E10:E11), 0, 1) + 1, 0, 1, TRUE) - SUM(E10:E11), "")</f>
        <v>0.17422625138572237</v>
      </c>
      <c r="F9" s="52">
        <f>IFERROR(_xlfn.NORM.DIST(_xlfn.NORM.INV(SUM(F10:F11), 0, 1) + 1, 0, 1, TRUE) - SUM(F10:F11), "")</f>
        <v>0.13547403813970302</v>
      </c>
      <c r="G9" s="52">
        <f>IFERROR(_xlfn.NORM.DIST(_xlfn.NORM.INV(SUM(G10:G11), 0, 1) + 1, 0, 1, TRUE) - SUM(G10:G11), "")</f>
        <v>0.1098195636510155</v>
      </c>
    </row>
    <row r="10" spans="1:15" ht="15.75" customHeight="1" x14ac:dyDescent="0.25">
      <c r="B10" s="5" t="s">
        <v>126</v>
      </c>
      <c r="C10" s="45">
        <v>1.9007900000000001E-2</v>
      </c>
      <c r="D10" s="53">
        <v>1.9007900000000001E-2</v>
      </c>
      <c r="E10" s="53">
        <v>2.6654299999999999E-2</v>
      </c>
      <c r="F10" s="53">
        <v>1.23768E-2</v>
      </c>
      <c r="G10" s="53">
        <v>1.0315899999999999E-2</v>
      </c>
    </row>
    <row r="11" spans="1:15" ht="15.75" customHeight="1" x14ac:dyDescent="0.25">
      <c r="B11" s="5" t="s">
        <v>138</v>
      </c>
      <c r="C11" s="45">
        <v>2.0218699999999999E-2</v>
      </c>
      <c r="D11" s="53">
        <v>2.0218699999999999E-2</v>
      </c>
      <c r="E11" s="53">
        <v>8.6431000000000008E-3</v>
      </c>
      <c r="F11" s="53">
        <v>1.02497E-2</v>
      </c>
      <c r="G11" s="53">
        <v>5.5867999999999994E-3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0.54817841550000002</v>
      </c>
      <c r="D14" s="54">
        <v>0.53192778054099998</v>
      </c>
      <c r="E14" s="54">
        <v>0.53192778054099998</v>
      </c>
      <c r="F14" s="54">
        <v>0.51498086482299998</v>
      </c>
      <c r="G14" s="54">
        <v>0.51498086482299998</v>
      </c>
      <c r="H14" s="45">
        <v>0.33200000000000002</v>
      </c>
      <c r="I14" s="55">
        <v>0.33200000000000002</v>
      </c>
      <c r="J14" s="55">
        <v>0.33200000000000002</v>
      </c>
      <c r="K14" s="55">
        <v>0.33200000000000002</v>
      </c>
      <c r="L14" s="45">
        <v>0.27</v>
      </c>
      <c r="M14" s="55">
        <v>0.27</v>
      </c>
      <c r="N14" s="55">
        <v>0.27</v>
      </c>
      <c r="O14" s="55">
        <v>0.27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0.30006244925480552</v>
      </c>
      <c r="D15" s="52">
        <f t="shared" si="0"/>
        <v>0.2911671604403131</v>
      </c>
      <c r="E15" s="52">
        <f t="shared" si="0"/>
        <v>0.2911671604403131</v>
      </c>
      <c r="F15" s="52">
        <f t="shared" si="0"/>
        <v>0.28189074076767856</v>
      </c>
      <c r="G15" s="52">
        <f t="shared" si="0"/>
        <v>0.28189074076767856</v>
      </c>
      <c r="H15" s="52">
        <f t="shared" si="0"/>
        <v>0.18173049200000002</v>
      </c>
      <c r="I15" s="52">
        <f t="shared" si="0"/>
        <v>0.18173049200000002</v>
      </c>
      <c r="J15" s="52">
        <f t="shared" si="0"/>
        <v>0.18173049200000002</v>
      </c>
      <c r="K15" s="52">
        <f t="shared" si="0"/>
        <v>0.18173049200000002</v>
      </c>
      <c r="L15" s="52">
        <f t="shared" si="0"/>
        <v>0.14779287000000002</v>
      </c>
      <c r="M15" s="52">
        <f t="shared" si="0"/>
        <v>0.14779287000000002</v>
      </c>
      <c r="N15" s="52">
        <f t="shared" si="0"/>
        <v>0.14779287000000002</v>
      </c>
      <c r="O15" s="52">
        <f t="shared" si="0"/>
        <v>0.14779287000000002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ngHR3z4PLLZ29+xzLX/JQZBUISOki1526oH/C5nvss8wFmr4qOTN4yip611t7S8fePw9AHYPN1F6PbRW0Z/MAg==" saltValue="Avm0Gh+R8ARXdB9VYBG3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0.82486890000000002</v>
      </c>
      <c r="D2" s="53">
        <v>0.54791509999999999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3.1576899999999998E-2</v>
      </c>
      <c r="D3" s="53">
        <v>5.63711E-2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0.1075892</v>
      </c>
      <c r="D4" s="53">
        <v>0.28015960000000001</v>
      </c>
      <c r="E4" s="53">
        <v>0.74949389999999994</v>
      </c>
      <c r="F4" s="53">
        <v>0.3424198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3.5965000000000025E-2</v>
      </c>
      <c r="D5" s="52">
        <f t="shared" si="0"/>
        <v>0.11555420000000005</v>
      </c>
      <c r="E5" s="52">
        <f>1-SUM(E2:E4)</f>
        <v>0.25050610000000006</v>
      </c>
      <c r="F5" s="52">
        <f>1-SUM(F2:F4)</f>
        <v>0.65758019999999995</v>
      </c>
      <c r="G5" s="52">
        <f>1-SUM(G2:G4)</f>
        <v>1</v>
      </c>
    </row>
  </sheetData>
  <sheetProtection algorithmName="SHA-512" hashValue="wcZByEgtQ/QfUeYkt68rJn+JKuR0gGrvitLv7SNxuuJJd8/rcj6wCXCK2lMI4BADJw02BH3WtQx9tektuEg4iQ==" saltValue="JNfp0NqApnwy440akVMuY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3JUzcOggi9hvPO8l9MVjcdTdl0PLf4skzCBKxTj1bvUTdwgB07HKjmeYUiTGl2n6hcDIflOdMDZ7Bi0Iu2CkEg==" saltValue="THNm5i9qUovvwXbpx8sFO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969.93576015940596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0.55220000000000002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0.59519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1.8943005751266326E-2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91334.282250000004</v>
      </c>
      <c r="C22" s="109">
        <v>90869.409620000006</v>
      </c>
      <c r="D22" s="109">
        <v>90541.851280000003</v>
      </c>
      <c r="E22" s="109">
        <v>89152.615990000006</v>
      </c>
      <c r="F22" s="109">
        <v>86938.323080000002</v>
      </c>
      <c r="G22" s="109">
        <v>83441.564849999995</v>
      </c>
      <c r="H22" s="109">
        <v>78242.721080000003</v>
      </c>
      <c r="I22" s="109">
        <v>71331.386240000007</v>
      </c>
      <c r="J22" s="109">
        <v>63229.26539</v>
      </c>
      <c r="K22" s="109">
        <v>54556.007660000003</v>
      </c>
      <c r="L22" s="109">
        <v>46247.636780000001</v>
      </c>
      <c r="M22" s="109">
        <v>38298.813719999998</v>
      </c>
      <c r="N22" s="109">
        <v>30591.59201</v>
      </c>
      <c r="O22" s="109">
        <v>23049.9362</v>
      </c>
    </row>
  </sheetData>
  <sheetProtection algorithmName="SHA-512" hashValue="GJMptihQjVLu0hlRPERj6e/XgPb9UcsCl2fsV3wLQ/oGlivMN57qUtpxWOZCb9zB5s/jot+vVAzFX7wA78DI/g==" saltValue="NQmMbCdrvBc1UoQPauAPj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HKaeqOHoHW05FGxdXVXsLoMqxswQVBeZ7tc8tpN0IuLUeJ14fGfWzD23lET8UvDQCONlwVpMoYpGLWHEJs76ig==" saltValue="nbjaiTLvHuev3Ht0fhybW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iJd1M3J5xof5/wP6nDi6awULbIP/XGfhcgxUjpw06x2Yw6jWN4OreajrZH1lwXl3YNn1MFhGzQssjGzFyEzmKg==" saltValue="yhf7wwrdsNxyviKZQSNtD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6.8747382117628364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0.38567054261930528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0.51401540000000001</v>
      </c>
      <c r="C10" s="98">
        <v>0.95</v>
      </c>
      <c r="D10" s="56">
        <v>12.568617380907741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12.568617380907741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12.568617380907741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12.568617380907741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0.31330000000000002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12.568617380907741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0.621</v>
      </c>
      <c r="C18" s="98">
        <v>0.95</v>
      </c>
      <c r="D18" s="56">
        <v>6.8747382117628364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0.54791509999999999</v>
      </c>
      <c r="C19" s="98">
        <v>0.95</v>
      </c>
      <c r="D19" s="56">
        <v>2.4903242449752758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6.8747382117628364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4.0021113729210773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0.64977730725310001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0.39736890000000002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0.1669523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6.1500000000000013E-2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0.69599999999999995</v>
      </c>
      <c r="C32" s="98">
        <v>0.95</v>
      </c>
      <c r="D32" s="56">
        <v>0.65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5.5719100000000001E-2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0.52886619999999995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2.7888000000000001E-3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0.72270930000000011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0.104</v>
      </c>
      <c r="C38" s="98">
        <v>0.95</v>
      </c>
      <c r="D38" s="56">
        <v>2.2145073762257557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UaBJTjh65Jf/SrQRNt0cP9Eo3RTiCzqU9OzGzx4krTbCARnTXrEasFoQiSDucjCHawQGLkYWSKmNKxEuZ9mndQ==" saltValue="uigJGwCk1U7BqT6uihzS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EvBbgN38iMAPSUpnWAdPCibqvTS1naumQSIzm4lMnWYBnNIyRQDhMNoLmm6RtKmYXjh0Nc/vVZ/b3oanTk7Z1g==" saltValue="wHUZJ/TDXo037hiIxr/RU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zpH7dU/Qu65S/iotNMQ5BKnMIgpNUdI/Oj1kH0yCJyaszxH2yiKWBUImYaVox8UUtW2iwGUF8orIiSazQ3XQUg==" saltValue="KT5Gl5fD6S9sdyYzlyZH9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1.56</v>
      </c>
      <c r="C2" s="21">
        <f>'Entradas de población-año base'!C52</f>
        <v>1.56</v>
      </c>
      <c r="D2" s="21">
        <f>'Entradas de población-año base'!C53</f>
        <v>5.798</v>
      </c>
      <c r="E2" s="21">
        <f>'Entradas de población-año base'!C54</f>
        <v>5.72</v>
      </c>
      <c r="F2" s="21">
        <f>'Entradas de población-año base'!C55</f>
        <v>1.6466666666666669</v>
      </c>
    </row>
    <row r="3" spans="1:6" ht="15.75" customHeight="1" x14ac:dyDescent="0.25">
      <c r="A3" s="3" t="s">
        <v>6</v>
      </c>
      <c r="B3" s="21">
        <f>frac_mam_1month * 2.6</f>
        <v>4.9420540000000006E-2</v>
      </c>
      <c r="C3" s="21">
        <f>frac_mam_1_5months * 2.6</f>
        <v>4.9420540000000006E-2</v>
      </c>
      <c r="D3" s="21">
        <f>frac_mam_6_11months * 2.6</f>
        <v>6.9301180000000004E-2</v>
      </c>
      <c r="E3" s="21">
        <f>frac_mam_12_23months * 2.6</f>
        <v>3.2179680000000002E-2</v>
      </c>
      <c r="F3" s="21">
        <f>frac_mam_24_59months * 2.6</f>
        <v>2.6821339999999999E-2</v>
      </c>
    </row>
    <row r="4" spans="1:6" ht="15.75" customHeight="1" x14ac:dyDescent="0.25">
      <c r="A4" s="3" t="s">
        <v>236</v>
      </c>
      <c r="B4" s="21">
        <f>frac_sam_1month * 2.6</f>
        <v>5.2568619999999996E-2</v>
      </c>
      <c r="C4" s="21">
        <f>frac_sam_1_5months * 2.6</f>
        <v>5.2568619999999996E-2</v>
      </c>
      <c r="D4" s="21">
        <f>frac_sam_6_11months * 2.6</f>
        <v>2.2472060000000002E-2</v>
      </c>
      <c r="E4" s="21">
        <f>frac_sam_12_23months * 2.6</f>
        <v>2.6649220000000001E-2</v>
      </c>
      <c r="F4" s="21">
        <f>frac_sam_24_59months * 2.6</f>
        <v>1.4525679999999999E-2</v>
      </c>
    </row>
  </sheetData>
  <sheetProtection algorithmName="SHA-512" hashValue="x1vpE68blP2GQtROzbjQE6tUR/LpILG9dDPsK9vNZGkrjc4ZhYSYMG1n9pqJ/Fns+DitQ2CJFMEOnT0MWWF33Q==" saltValue="yorSqTcQp4W+4zVa0McdC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0.49700000000000011</v>
      </c>
      <c r="F2" s="60">
        <f>food_insecure</f>
        <v>0.49700000000000011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0.49700000000000011</v>
      </c>
      <c r="F5" s="60">
        <f>food_insecure</f>
        <v>0.49700000000000011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3.4036363636363642E-2</v>
      </c>
      <c r="D7" s="60">
        <f>diarrhoea_1_5mo*frac_diarrhea_severe</f>
        <v>3.4036363636363642E-2</v>
      </c>
      <c r="E7" s="60">
        <f>diarrhoea_6_11mo*frac_diarrhea_severe</f>
        <v>0.12650181818181819</v>
      </c>
      <c r="F7" s="60">
        <f>diarrhoea_12_23mo*frac_diarrhea_severe</f>
        <v>0.12480000000000001</v>
      </c>
      <c r="G7" s="60">
        <f>diarrhoea_24_59mo*frac_diarrhea_severe</f>
        <v>3.5927272727272738E-2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0.49700000000000011</v>
      </c>
      <c r="F8" s="60">
        <f>food_insecure</f>
        <v>0.49700000000000011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0.49700000000000011</v>
      </c>
      <c r="F9" s="60">
        <f>food_insecure</f>
        <v>0.49700000000000011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3.4036363636363642E-2</v>
      </c>
      <c r="D12" s="60">
        <f>diarrhoea_1_5mo*frac_diarrhea_severe</f>
        <v>3.4036363636363642E-2</v>
      </c>
      <c r="E12" s="60">
        <f>diarrhoea_6_11mo*frac_diarrhea_severe</f>
        <v>0.12650181818181819</v>
      </c>
      <c r="F12" s="60">
        <f>diarrhoea_12_23mo*frac_diarrhea_severe</f>
        <v>0.12480000000000001</v>
      </c>
      <c r="G12" s="60">
        <f>diarrhoea_24_59mo*frac_diarrhea_severe</f>
        <v>3.5927272727272738E-2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0.49700000000000011</v>
      </c>
      <c r="I15" s="60">
        <f t="shared" si="0"/>
        <v>0.49700000000000011</v>
      </c>
      <c r="J15" s="60">
        <f t="shared" si="0"/>
        <v>0.49700000000000011</v>
      </c>
      <c r="K15" s="60">
        <f t="shared" si="0"/>
        <v>0.49700000000000011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0.49700000000000011</v>
      </c>
      <c r="I16" s="60">
        <f t="shared" si="0"/>
        <v>0.49700000000000011</v>
      </c>
      <c r="J16" s="60">
        <f t="shared" si="0"/>
        <v>0.49700000000000011</v>
      </c>
      <c r="K16" s="60">
        <f t="shared" si="0"/>
        <v>0.49700000000000011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0.16008168680000001</v>
      </c>
      <c r="M24" s="60">
        <f>famplan_unmet_need</f>
        <v>0.16008168680000001</v>
      </c>
      <c r="N24" s="60">
        <f>famplan_unmet_need</f>
        <v>0.16008168680000001</v>
      </c>
      <c r="O24" s="60">
        <f>famplan_unmet_need</f>
        <v>0.16008168680000001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0.29703058267400007</v>
      </c>
      <c r="M25" s="60">
        <f>(1-food_insecure)*(0.49)+food_insecure*(0.7)</f>
        <v>0.59436999999999995</v>
      </c>
      <c r="N25" s="60">
        <f>(1-food_insecure)*(0.49)+food_insecure*(0.7)</f>
        <v>0.59436999999999995</v>
      </c>
      <c r="O25" s="60">
        <f>(1-food_insecure)*(0.49)+food_insecure*(0.7)</f>
        <v>0.59436999999999995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0.12729882114600002</v>
      </c>
      <c r="M26" s="60">
        <f>(1-food_insecure)*(0.21)+food_insecure*(0.3)</f>
        <v>0.25473000000000001</v>
      </c>
      <c r="N26" s="60">
        <f>(1-food_insecure)*(0.21)+food_insecure*(0.3)</f>
        <v>0.25473000000000001</v>
      </c>
      <c r="O26" s="60">
        <f>(1-food_insecure)*(0.21)+food_insecure*(0.3)</f>
        <v>0.25473000000000001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7.5410796179999989E-2</v>
      </c>
      <c r="M27" s="60">
        <f>(1-food_insecure)*(0.3)</f>
        <v>0.15089999999999995</v>
      </c>
      <c r="N27" s="60">
        <f>(1-food_insecure)*(0.3)</f>
        <v>0.15089999999999995</v>
      </c>
      <c r="O27" s="60">
        <f>(1-food_insecure)*(0.3)</f>
        <v>0.15089999999999995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0.50025979999999992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T0b/G7D+7vtp8obH5IXD+SFKAQWj81YnqKTeIwOhuAfQMa5uqtSerX8yKH4A6uIhtV7dtGpiyVNkV/EB++7yxw==" saltValue="USGDrPc77V8DgQVNjonfZ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h7tfS3KMSaJmOwUXYg90IxP4mltskrlP6IiDHGe11pdbdKjrvlMfMqqhICIf6Z50yQpZ0TPWa6O2ep/g8To8jw==" saltValue="bUIhs+2nYy7k8e66EFAxa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hi6gHeNrNrSbCNMHXckfKmtRU3ZrqMB+wWFK6XRi/3Cwl+DmmhbuDyXdJYD9qE5hrfSeQbLEpfIlQlzumIVlw==" saltValue="Endg67y/fKHCHaX2GMJPG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EwWa/0nQKs+s7AxbD3fzUmhAZtPeGggVyeNV7cmXCgwLGV0EetesLOzFz8h4BPGDMrIewnIeCnJhIWNNxyok0Q==" saltValue="/dnlkuWJQ5XE62KM7sodg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qr9H4xHz/yiHz08D51TVTsFyaQoCd5qR9Q8sWubx19XNqQdk0x08B3eFKsZCb6BaMQC1soLYAanfF+WWUKpM1w==" saltValue="VqL9w2ilOVSgdMaVTRG7v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HuyhKGVeUn/UdggUfAG8+3wn3uyRnQFKXHMu/FZCUc/VC4paS8h5YHYLb50DIRBuQpU4i5xlY3OUvcSbdx9mIw==" saltValue="BdmtNC8gLPyQTBBn8wiNc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pW3x0uGPphy6JcBh64MLkanM97uOP6WAjLkO/8QgC0/CFW45D8bXocfAYTpIN3YtVveQLy1SpI4KE475m3SRfw==" saltValue="0zT9I1zOcIRjpGueKdy0d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6rI9LcKjmkXkEYdr1zLVs463MIxO4PJaH5y4+1NmHUNKceWmHgS5aplYvrg02bJC2Q46nkOs0v2UVt+lpvB/AA==" saltValue="n8DEAV4WzHStd+lZ7OeW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UDWk/5PV0ddIL6sUE8qEo3gQP19WOd519a2de1fCYF0I4vS+HHCCcXNfflDVK39CBJBHOZp9Dv0fMToEX6sWCQ==" saltValue="O4HiY7h7T7Cgh2rUUE2Y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T9lBT8R3auDusznYeFq5yGgDgCdjJiYBW00KdKHz6fmUKJDYPqeZO1ZPJnlaYKvsRFVwEWiF3wdxS3I9K+RtPQ==" saltValue="IHu/d2lV476pL41Ss1Q36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4Yfr63IX2nvKErDjMsKMTYWq1TdGE+oqM3Zke7o2QFqjgR5gFFkvqg29MaVGnH3sajeLsC7YKhZxD7Ptc1aYzg==" saltValue="rC6YdiIyF1OMSsE66YPv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Iz/Fj+2gJ28XWwa0KF/tjUIocfLHzNjrJvHfE2DrNpJ3c6PHG+eNXxL1eaIQF1L3ufuED0VFYsE/HmqKq7B75A==" saltValue="jbcWDLOhe1U3ifRdicGr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rdT6k1a4y9qz9HmwblKuJZIxBKv/4Mm3HXuel7Uk9CHjuEmu9Zbd5rWA75in2/cWrOpNEpdVwzgqOqMwOC5/g==" saltValue="QzeNGzKgItpRrSUqQ7F25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C0gXWrGPBjsOHGJ/14rFu4YSck4uFeTmXwbWf24Nadwm+xt1rettYiLOb1ILQW9tjFhqIgCrJENZbIwX+LEEbA==" saltValue="mM9LKFGpqG6g9xVTj/0h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2vzJkaA036OaxvJmtM+dKGbb4cgsDtsC7+Z1TmNC1vDQzO7XcOPBOdHi+sTtaPzy04M9QN+dclRuRK/X/pMBhQ==" saltValue="8bZG1aR8qG1xMvzvNUvMn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