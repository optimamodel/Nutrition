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F168AD6-1C85-46CB-9865-6E9D6006071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I3" i="2"/>
  <c r="I7" i="2"/>
  <c r="I11" i="2"/>
  <c r="A26" i="2"/>
  <c r="A25" i="2"/>
  <c r="A37" i="2"/>
  <c r="A31" i="2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<sst xmlns="http://schemas.openxmlformats.org/spreadsheetml/2006/main" count="2169" uniqueCount="373">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</sst>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274721</v>
      </c>
    </row>
    <row r="8" spans="1:3" ht="15" customHeight="1" x14ac:dyDescent="0.25">
      <c r="B8" s="5" t="s">
        <v>63</v>
      </c>
      <c r="C8" s="44">
        <v>0.49700000000000011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0.50025979999999992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0.1454</v>
      </c>
    </row>
    <row r="24" spans="1:3" ht="15" customHeight="1" x14ac:dyDescent="0.25">
      <c r="B24" s="15" t="s">
        <v>65</v>
      </c>
      <c r="C24" s="45">
        <v>0.49180000000000001</v>
      </c>
    </row>
    <row r="25" spans="1:3" ht="15" customHeight="1" x14ac:dyDescent="0.25">
      <c r="B25" s="15" t="s">
        <v>66</v>
      </c>
      <c r="C25" s="45">
        <v>0.28089999999999998</v>
      </c>
    </row>
    <row r="26" spans="1:3" ht="15" customHeight="1" x14ac:dyDescent="0.25">
      <c r="B26" s="15" t="s">
        <v>67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7">
        <v>2.27253385251939E-2</v>
      </c>
    </row>
    <row r="31" spans="1:3" ht="14.25" customHeight="1" x14ac:dyDescent="0.25">
      <c r="B31" s="25" t="s">
        <v>29</v>
      </c>
      <c r="C31" s="97">
        <v>4.1775369773239798E-2</v>
      </c>
    </row>
    <row r="32" spans="1:3" ht="14.25" customHeight="1" x14ac:dyDescent="0.25">
      <c r="B32" s="25" t="s">
        <v>30</v>
      </c>
      <c r="C32" s="97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35.26191</v>
      </c>
    </row>
    <row r="38" spans="1:5" ht="15" customHeight="1" x14ac:dyDescent="0.25">
      <c r="B38" s="11" t="s">
        <v>54</v>
      </c>
      <c r="C38" s="43">
        <v>56.958309999999997</v>
      </c>
      <c r="D38" s="12"/>
      <c r="E38" s="13"/>
    </row>
    <row r="39" spans="1:5" ht="15" customHeight="1" x14ac:dyDescent="0.25">
      <c r="B39" s="11" t="s">
        <v>80</v>
      </c>
      <c r="C39" s="43">
        <v>72.925359999999998</v>
      </c>
      <c r="D39" s="12"/>
      <c r="E39" s="12"/>
    </row>
    <row r="40" spans="1:5" ht="15" customHeight="1" x14ac:dyDescent="0.25">
      <c r="B40" s="11" t="s">
        <v>55</v>
      </c>
      <c r="C40" s="98">
        <v>5.66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7.9373000000000013E-3</v>
      </c>
      <c r="D45" s="12"/>
    </row>
    <row r="46" spans="1:5" ht="15.75" customHeight="1" x14ac:dyDescent="0.25">
      <c r="B46" s="11" t="s">
        <v>70</v>
      </c>
      <c r="C46" s="45">
        <v>8.5285299999999994E-2</v>
      </c>
      <c r="D46" s="12"/>
    </row>
    <row r="47" spans="1:5" ht="15.75" customHeight="1" x14ac:dyDescent="0.25">
      <c r="B47" s="11" t="s">
        <v>78</v>
      </c>
      <c r="C47" s="45">
        <v>7.3452400000000001E-2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1.56</v>
      </c>
      <c r="D51" s="12"/>
    </row>
    <row r="52" spans="1:4" ht="15" customHeight="1" x14ac:dyDescent="0.25">
      <c r="B52" s="11" t="s">
        <v>32</v>
      </c>
      <c r="C52" s="98">
        <v>1.56</v>
      </c>
    </row>
    <row r="53" spans="1:4" ht="15.75" customHeight="1" x14ac:dyDescent="0.25">
      <c r="B53" s="11" t="s">
        <v>35</v>
      </c>
      <c r="C53" s="98">
        <v>5.798</v>
      </c>
    </row>
    <row r="54" spans="1:4" ht="15.75" customHeight="1" x14ac:dyDescent="0.25">
      <c r="B54" s="11" t="s">
        <v>33</v>
      </c>
      <c r="C54" s="98">
        <v>5.72</v>
      </c>
    </row>
    <row r="55" spans="1:4" ht="15.75" customHeight="1" x14ac:dyDescent="0.25">
      <c r="B55" s="11" t="s">
        <v>34</v>
      </c>
      <c r="C55" s="98">
        <v>1.6466666666666669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0.54738100000000001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oxVZoYjMz56SCeyehIhoIKIA7So6/yCcQJ+pPxbzspOnAW4b11jcZcN2pXVZ0GjddTkt0OxyEItTiBugNqx8iw==" saltValue="lHfWMNd7623YnmxoMTbg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261301.49999999997</v>
      </c>
      <c r="C2" s="49">
        <v>55384</v>
      </c>
      <c r="D2" s="49">
        <v>132851.5</v>
      </c>
      <c r="E2" s="49">
        <v>244517</v>
      </c>
      <c r="F2" s="49">
        <v>198520.5</v>
      </c>
      <c r="G2" s="17">
        <f t="shared" ref="G2:G13" si="0">C2+D2+E2+F2</f>
        <v>631273</v>
      </c>
      <c r="H2" s="17">
        <f t="shared" ref="H2:H13" si="1">(B2 + stillbirth*B2/(1000-stillbirth))/(1-abortion)</f>
        <v>305066.09362695663</v>
      </c>
      <c r="I2" s="17">
        <f t="shared" ref="I2:I13" si="2">G2-H2</f>
        <v>326206.90637304337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55542</v>
      </c>
      <c r="C3" s="50">
        <v>120380</v>
      </c>
      <c r="D3" s="50">
        <v>213518</v>
      </c>
      <c r="E3" s="50">
        <v>197734.5</v>
      </c>
      <c r="F3" s="50">
        <v>118527</v>
      </c>
      <c r="G3" s="17">
        <f t="shared" si="0"/>
        <v>650159.5</v>
      </c>
      <c r="H3" s="17">
        <f t="shared" si="1"/>
        <v>64844.560678864938</v>
      </c>
      <c r="I3" s="17">
        <f t="shared" si="2"/>
        <v>585314.93932113505</v>
      </c>
    </row>
    <row r="4" spans="1:9" ht="15.75" customHeight="1" x14ac:dyDescent="0.25">
      <c r="A4" s="5">
        <f t="shared" si="3"/>
        <v>2026</v>
      </c>
      <c r="B4" s="49">
        <v>55434</v>
      </c>
      <c r="C4" s="50">
        <v>122219</v>
      </c>
      <c r="D4" s="50">
        <v>214641.00000000003</v>
      </c>
      <c r="E4" s="50">
        <v>198607</v>
      </c>
      <c r="F4" s="50">
        <v>126492.5</v>
      </c>
      <c r="G4" s="17">
        <f t="shared" si="0"/>
        <v>661959.5</v>
      </c>
      <c r="H4" s="17">
        <f t="shared" si="1"/>
        <v>64718.472087288879</v>
      </c>
      <c r="I4" s="17">
        <f t="shared" si="2"/>
        <v>597241.02791271114</v>
      </c>
    </row>
    <row r="5" spans="1:9" ht="15.75" customHeight="1" x14ac:dyDescent="0.25">
      <c r="A5" s="5">
        <f t="shared" si="3"/>
        <v>2027</v>
      </c>
      <c r="B5" s="49">
        <v>55312</v>
      </c>
      <c r="C5" s="50">
        <v>124735.5</v>
      </c>
      <c r="D5" s="50">
        <v>215760</v>
      </c>
      <c r="E5" s="50">
        <v>198926.5</v>
      </c>
      <c r="F5" s="50">
        <v>134487.5</v>
      </c>
      <c r="G5" s="17">
        <f t="shared" si="0"/>
        <v>673909.5</v>
      </c>
      <c r="H5" s="17">
        <f t="shared" si="1"/>
        <v>64576.038678286292</v>
      </c>
      <c r="I5" s="17">
        <f t="shared" si="2"/>
        <v>609333.46132171375</v>
      </c>
    </row>
    <row r="6" spans="1:9" ht="15.75" customHeight="1" x14ac:dyDescent="0.25">
      <c r="A6" s="5">
        <f t="shared" si="3"/>
        <v>2028</v>
      </c>
      <c r="B6" s="49">
        <v>55177</v>
      </c>
      <c r="C6" s="50">
        <v>127377</v>
      </c>
      <c r="D6" s="50">
        <v>217338.5</v>
      </c>
      <c r="E6" s="50">
        <v>198579.99999999997</v>
      </c>
      <c r="F6" s="50">
        <v>142647.5</v>
      </c>
      <c r="G6" s="17">
        <f t="shared" si="0"/>
        <v>685943</v>
      </c>
      <c r="H6" s="17">
        <f t="shared" si="1"/>
        <v>64418.427938816225</v>
      </c>
      <c r="I6" s="17">
        <f t="shared" si="2"/>
        <v>621524.57206118375</v>
      </c>
    </row>
    <row r="7" spans="1:9" ht="15.75" customHeight="1" x14ac:dyDescent="0.25">
      <c r="A7" s="5">
        <f t="shared" si="3"/>
        <v>2029</v>
      </c>
      <c r="B7" s="49">
        <v>55092</v>
      </c>
      <c r="C7" s="50">
        <v>129564.50000000001</v>
      </c>
      <c r="D7" s="50">
        <v>219838.5</v>
      </c>
      <c r="E7" s="50">
        <v>197475.00000000003</v>
      </c>
      <c r="F7" s="50">
        <v>150685</v>
      </c>
      <c r="G7" s="17">
        <f t="shared" si="0"/>
        <v>697563</v>
      </c>
      <c r="H7" s="17">
        <f t="shared" si="1"/>
        <v>64319.191547298033</v>
      </c>
      <c r="I7" s="17">
        <f t="shared" si="2"/>
        <v>633243.80845270201</v>
      </c>
    </row>
    <row r="8" spans="1:9" ht="15.75" customHeight="1" x14ac:dyDescent="0.25">
      <c r="A8" s="5">
        <f t="shared" si="3"/>
        <v>2030</v>
      </c>
      <c r="B8" s="49">
        <v>55086</v>
      </c>
      <c r="C8" s="50">
        <v>131613.5</v>
      </c>
      <c r="D8" s="50">
        <v>223062.5</v>
      </c>
      <c r="E8" s="50">
        <v>195950.5</v>
      </c>
      <c r="F8" s="50">
        <v>157987</v>
      </c>
      <c r="G8" s="17">
        <f t="shared" si="0"/>
        <v>708613.5</v>
      </c>
      <c r="H8" s="17">
        <f t="shared" si="1"/>
        <v>64312.1866255438</v>
      </c>
      <c r="I8" s="17">
        <f t="shared" si="2"/>
        <v>644301.31337445625</v>
      </c>
    </row>
    <row r="9" spans="1:9" ht="15.75" customHeight="1" x14ac:dyDescent="0.25">
      <c r="A9" s="5">
        <f t="shared" si="3"/>
        <v>2031</v>
      </c>
      <c r="B9" s="49">
        <v>55094</v>
      </c>
      <c r="C9" s="50">
        <v>133515.5</v>
      </c>
      <c r="D9" s="50">
        <v>226471.5</v>
      </c>
      <c r="E9" s="50">
        <v>194482.50000000003</v>
      </c>
      <c r="F9" s="50">
        <v>164362.5</v>
      </c>
      <c r="G9" s="17">
        <f t="shared" si="0"/>
        <v>718832</v>
      </c>
      <c r="H9" s="17">
        <f t="shared" si="1"/>
        <v>64321.526521216103</v>
      </c>
      <c r="I9" s="17">
        <f t="shared" si="2"/>
        <v>654510.47347878385</v>
      </c>
    </row>
    <row r="10" spans="1:9" ht="15.75" customHeight="1" x14ac:dyDescent="0.25">
      <c r="A10" s="5">
        <f t="shared" si="3"/>
        <v>2032</v>
      </c>
      <c r="B10" s="49">
        <v>55121</v>
      </c>
      <c r="C10" s="50">
        <v>134799</v>
      </c>
      <c r="D10" s="50">
        <v>230138.50000000003</v>
      </c>
      <c r="E10" s="50">
        <v>193697</v>
      </c>
      <c r="F10" s="50">
        <v>169761</v>
      </c>
      <c r="G10" s="17">
        <f t="shared" si="0"/>
        <v>728395.5</v>
      </c>
      <c r="H10" s="17">
        <f t="shared" si="1"/>
        <v>64353.048669110118</v>
      </c>
      <c r="I10" s="17">
        <f t="shared" si="2"/>
        <v>664042.45133088983</v>
      </c>
    </row>
    <row r="11" spans="1:9" ht="15.75" customHeight="1" x14ac:dyDescent="0.25">
      <c r="A11" s="5">
        <f t="shared" si="3"/>
        <v>2033</v>
      </c>
      <c r="B11" s="49">
        <v>55189</v>
      </c>
      <c r="C11" s="50">
        <v>135280</v>
      </c>
      <c r="D11" s="50">
        <v>233707</v>
      </c>
      <c r="E11" s="50">
        <v>194066.50000000003</v>
      </c>
      <c r="F11" s="50">
        <v>174108.5</v>
      </c>
      <c r="G11" s="17">
        <f t="shared" si="0"/>
        <v>737162</v>
      </c>
      <c r="H11" s="17">
        <f t="shared" si="1"/>
        <v>64432.437782324676</v>
      </c>
      <c r="I11" s="17">
        <f t="shared" si="2"/>
        <v>672729.56221767538</v>
      </c>
    </row>
    <row r="12" spans="1:9" ht="15.75" customHeight="1" x14ac:dyDescent="0.25">
      <c r="A12" s="5">
        <f t="shared" si="3"/>
        <v>2034</v>
      </c>
      <c r="B12" s="49">
        <v>55268</v>
      </c>
      <c r="C12" s="50">
        <v>135095.5</v>
      </c>
      <c r="D12" s="50">
        <v>237022</v>
      </c>
      <c r="E12" s="50">
        <v>195413</v>
      </c>
      <c r="F12" s="50">
        <v>177253</v>
      </c>
      <c r="G12" s="17">
        <f t="shared" si="0"/>
        <v>744783.5</v>
      </c>
      <c r="H12" s="17">
        <f t="shared" si="1"/>
        <v>64524.669252088643</v>
      </c>
      <c r="I12" s="17">
        <f t="shared" si="2"/>
        <v>680258.83074791136</v>
      </c>
    </row>
    <row r="13" spans="1:9" ht="15.75" customHeight="1" x14ac:dyDescent="0.25">
      <c r="A13" s="5">
        <f t="shared" si="3"/>
        <v>2035</v>
      </c>
      <c r="B13" s="49">
        <v>55362</v>
      </c>
      <c r="C13" s="50">
        <v>134235.5</v>
      </c>
      <c r="D13" s="50">
        <v>240628.49999999997</v>
      </c>
      <c r="E13" s="50">
        <v>197018</v>
      </c>
      <c r="F13" s="50">
        <v>179284</v>
      </c>
      <c r="G13" s="17">
        <f t="shared" si="0"/>
        <v>751166</v>
      </c>
      <c r="H13" s="17">
        <f t="shared" si="1"/>
        <v>64634.41302623818</v>
      </c>
      <c r="I13" s="17">
        <f t="shared" si="2"/>
        <v>686531.58697376179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EgjZHTYUuXOr/U9JsiP4fFOH8MsZtxrA9Ut033WssoLVLVXLwlI5O+jl1NMkZzCzfMlW9HcRz/N33LJnpvVdw==" saltValue="+ePqXch+iEeyLnKsZxsF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7.7941000000000069E-3</v>
      </c>
    </row>
    <row r="4" spans="1:8" ht="15.75" customHeight="1" x14ac:dyDescent="0.25">
      <c r="B4" s="19" t="s">
        <v>116</v>
      </c>
      <c r="C4" s="99">
        <v>5.680499999999996E-2</v>
      </c>
    </row>
    <row r="5" spans="1:8" ht="15.75" customHeight="1" x14ac:dyDescent="0.25">
      <c r="B5" s="19" t="s">
        <v>114</v>
      </c>
      <c r="C5" s="99">
        <v>7.5246199999999971E-2</v>
      </c>
    </row>
    <row r="6" spans="1:8" ht="15.75" customHeight="1" x14ac:dyDescent="0.25">
      <c r="B6" s="19" t="s">
        <v>110</v>
      </c>
      <c r="C6" s="99">
        <v>0.24614950000000041</v>
      </c>
    </row>
    <row r="7" spans="1:8" ht="15.75" customHeight="1" x14ac:dyDescent="0.25">
      <c r="B7" s="19" t="s">
        <v>115</v>
      </c>
      <c r="C7" s="99">
        <v>0.42908479999999949</v>
      </c>
    </row>
    <row r="8" spans="1:8" ht="15.75" customHeight="1" x14ac:dyDescent="0.25">
      <c r="B8" s="19" t="s">
        <v>117</v>
      </c>
      <c r="C8" s="99">
        <v>1.3393000000000001E-3</v>
      </c>
    </row>
    <row r="9" spans="1:8" ht="15.75" customHeight="1" x14ac:dyDescent="0.25">
      <c r="B9" s="19" t="s">
        <v>111</v>
      </c>
      <c r="C9" s="99">
        <v>6.3739400000000085E-2</v>
      </c>
    </row>
    <row r="10" spans="1:8" ht="15.75" customHeight="1" x14ac:dyDescent="0.25">
      <c r="B10" s="19" t="s">
        <v>113</v>
      </c>
      <c r="C10" s="99">
        <v>0.11984170000000011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121</v>
      </c>
      <c r="C15" s="99">
        <v>0.2119757211068988</v>
      </c>
      <c r="D15" s="99">
        <v>0.2119757211068988</v>
      </c>
      <c r="E15" s="99">
        <v>0.2119757211068988</v>
      </c>
      <c r="F15" s="99">
        <v>0.2119757211068988</v>
      </c>
    </row>
    <row r="16" spans="1:8" ht="15.75" customHeight="1" x14ac:dyDescent="0.25">
      <c r="B16" s="19" t="s">
        <v>2</v>
      </c>
      <c r="C16" s="99">
        <v>1.4086381465792089E-2</v>
      </c>
      <c r="D16" s="99">
        <v>1.4086381465792089E-2</v>
      </c>
      <c r="E16" s="99">
        <v>1.4086381465792089E-2</v>
      </c>
      <c r="F16" s="99">
        <v>1.4086381465792089E-2</v>
      </c>
    </row>
    <row r="17" spans="1:8" ht="15.75" customHeight="1" x14ac:dyDescent="0.25">
      <c r="B17" s="19" t="s">
        <v>109</v>
      </c>
      <c r="C17" s="99">
        <v>5.4992529902401334E-3</v>
      </c>
      <c r="D17" s="99">
        <v>5.4992529902401334E-3</v>
      </c>
      <c r="E17" s="99">
        <v>5.4992529902401334E-3</v>
      </c>
      <c r="F17" s="99">
        <v>5.4992529902401334E-3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2.240392218952935E-2</v>
      </c>
      <c r="D19" s="99">
        <v>2.240392218952935E-2</v>
      </c>
      <c r="E19" s="99">
        <v>2.240392218952935E-2</v>
      </c>
      <c r="F19" s="99">
        <v>2.240392218952935E-2</v>
      </c>
    </row>
    <row r="20" spans="1:8" ht="15.75" customHeight="1" x14ac:dyDescent="0.25">
      <c r="B20" s="19" t="s">
        <v>98</v>
      </c>
      <c r="C20" s="99">
        <v>0.23441902277012119</v>
      </c>
      <c r="D20" s="99">
        <v>0.23441902277012119</v>
      </c>
      <c r="E20" s="99">
        <v>0.23441902277012119</v>
      </c>
      <c r="F20" s="99">
        <v>0.23441902277012119</v>
      </c>
    </row>
    <row r="21" spans="1:8" ht="15.75" customHeight="1" x14ac:dyDescent="0.25">
      <c r="B21" s="19" t="s">
        <v>107</v>
      </c>
      <c r="C21" s="99">
        <v>0.1020277474478483</v>
      </c>
      <c r="D21" s="99">
        <v>0.1020277474478483</v>
      </c>
      <c r="E21" s="99">
        <v>0.1020277474478483</v>
      </c>
      <c r="F21" s="99">
        <v>0.1020277474478483</v>
      </c>
    </row>
    <row r="22" spans="1:8" ht="15.75" customHeight="1" x14ac:dyDescent="0.25">
      <c r="B22" s="19" t="s">
        <v>118</v>
      </c>
      <c r="C22" s="99">
        <v>0.2135588845806389</v>
      </c>
      <c r="D22" s="99">
        <v>0.2135588845806389</v>
      </c>
      <c r="E22" s="99">
        <v>0.2135588845806389</v>
      </c>
      <c r="F22" s="99">
        <v>0.2135588845806389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7.8500723999999994E-2</v>
      </c>
    </row>
    <row r="27" spans="1:8" ht="15.75" customHeight="1" x14ac:dyDescent="0.25">
      <c r="B27" s="19" t="s">
        <v>108</v>
      </c>
      <c r="C27" s="99">
        <v>7.8598569999999996E-3</v>
      </c>
    </row>
    <row r="28" spans="1:8" ht="15.75" customHeight="1" x14ac:dyDescent="0.25">
      <c r="B28" s="19" t="s">
        <v>122</v>
      </c>
      <c r="C28" s="99">
        <v>0.139408438</v>
      </c>
    </row>
    <row r="29" spans="1:8" ht="15.75" customHeight="1" x14ac:dyDescent="0.25">
      <c r="B29" s="19" t="s">
        <v>105</v>
      </c>
      <c r="C29" s="99">
        <v>0.15153803099999999</v>
      </c>
    </row>
    <row r="30" spans="1:8" ht="15.75" customHeight="1" x14ac:dyDescent="0.25">
      <c r="B30" s="19" t="s">
        <v>4</v>
      </c>
      <c r="C30" s="99">
        <v>9.5629616000000001E-2</v>
      </c>
    </row>
    <row r="31" spans="1:8" ht="15.75" customHeight="1" x14ac:dyDescent="0.25">
      <c r="B31" s="19" t="s">
        <v>99</v>
      </c>
      <c r="C31" s="99">
        <v>9.8062453999999993E-2</v>
      </c>
    </row>
    <row r="32" spans="1:8" ht="15.75" customHeight="1" x14ac:dyDescent="0.25">
      <c r="B32" s="19" t="s">
        <v>104</v>
      </c>
      <c r="C32" s="99">
        <v>1.6473412E-2</v>
      </c>
    </row>
    <row r="33" spans="2:3" ht="15.75" customHeight="1" x14ac:dyDescent="0.25">
      <c r="B33" s="19" t="s">
        <v>119</v>
      </c>
      <c r="C33" s="99">
        <v>7.5640217999999995E-2</v>
      </c>
    </row>
    <row r="34" spans="2:3" ht="15.75" customHeight="1" x14ac:dyDescent="0.25">
      <c r="B34" s="19" t="s">
        <v>106</v>
      </c>
      <c r="C34" s="99">
        <v>0.33688724799999997</v>
      </c>
    </row>
    <row r="35" spans="2:3" ht="15.75" customHeight="1" x14ac:dyDescent="0.25">
      <c r="B35" s="27" t="s">
        <v>79</v>
      </c>
      <c r="C35" s="48">
        <f>SUM(C26:C34)</f>
        <v>0.99999999799999983</v>
      </c>
    </row>
  </sheetData>
  <sheetProtection algorithmName="SHA-512" hashValue="mg0/C8zwASFhqcjiGJkCSDLEPHzM4qs+C7vOMQ0ONxpQvqOsHr5vYuj9McsEnkZ2L6PVl9/B1G0yBRo4AIzW9A==" saltValue="tyODOz3Y6m6SuqxSXkrz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129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125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126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138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k8zJlrYONehip5u+3WE0HccW49bH+SXXZZm+426jbBvM3TpBvaYTpogXDctcXyD56fMRH3tt5mgqka3UOzPgA==" saltValue="lm1gG+1R3Pkxx742n+sK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jH1fZiQUYODwmCy3WnLE6R9+wm2gzgkeDGNF8YYNszkH7idJ5S19rSx1Icx4OaYjJ8+AntZtz5+U/oAUnm6hUg==" saltValue="RzrHUnpL3g1VGvg7Ogorm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sp3uTEIIwdYoUO5lh01Xf8+8r6iCZdQvuxLRkKwQM+43TruRPkId/0IcMnmQx20jjcq1gIEdwsBJ4blNsnawQ==" saltValue="LoDhg8fZf7I6V0Uv5pvR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969.93576015940596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0.55220000000000002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0.59519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1.8943005751266326E-2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91334.282250000004</v>
      </c>
      <c r="C22" s="107">
        <v>90869.409620000006</v>
      </c>
      <c r="D22" s="107">
        <v>90541.851280000003</v>
      </c>
      <c r="E22" s="107">
        <v>89152.615990000006</v>
      </c>
      <c r="F22" s="107">
        <v>86938.323080000002</v>
      </c>
      <c r="G22" s="107">
        <v>83441.564849999995</v>
      </c>
      <c r="H22" s="107">
        <v>78242.721080000003</v>
      </c>
      <c r="I22" s="107">
        <v>71331.386240000007</v>
      </c>
      <c r="J22" s="107">
        <v>63229.26539</v>
      </c>
      <c r="K22" s="107">
        <v>54556.007660000003</v>
      </c>
      <c r="L22" s="107">
        <v>46247.636780000001</v>
      </c>
      <c r="M22" s="107">
        <v>38298.813719999998</v>
      </c>
      <c r="N22" s="107">
        <v>30591.59201</v>
      </c>
      <c r="O22" s="107">
        <v>23049.9362</v>
      </c>
    </row>
  </sheetData>
  <sheetProtection algorithmName="SHA-512" hashValue="pjB1ulbmbwcf9N85zJBWOFsTFpO6JExo3nKFevyIWuNfQt3+MEQuOpvYZd1J2/CV6Ls0+wyoO+71sc05wkP3Jw==" saltValue="scVY5rDAzcTFAmfUiWc37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gTKY6PWSIHoBxuiVFQNK209yYSKLVqlTOh4XQihfgEgAWlwtHj0Wv9EZJiK9Fhmm0tcIWace8Zw9aQZsytiyA==" saltValue="e3JAI7hOF3Jw1AVR0nBc8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dL5JBn3s7bOtjrqS2IRx5sqDnix0ymYDXS9uITPOe3OfAlcXED7WK1OUFsxDrKWVYtIxrn0UabIBszvk88uMQ==" saltValue="Qm4FQpxeVjb1Z/RmUqlD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0.38567054261930528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0.51401540000000001</v>
      </c>
      <c r="C10" s="96">
        <v>0.95</v>
      </c>
      <c r="D10" s="56">
        <v>12.568617380907741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12.568617380907741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12.568617380907741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12.568617380907741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12.568617380907741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0.621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0.54791509999999999</v>
      </c>
      <c r="C19" s="96">
        <v>0.95</v>
      </c>
      <c r="D19" s="56">
        <v>2.4903242449752758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4.0021113729210773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0.64977730725310001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0.39736890000000002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0.1669523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6.1500000000000013E-2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0.69599999999999995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5.5719100000000001E-2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0.52886619999999995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2.7888000000000001E-3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0.72270930000000011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0.104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s3oLyTiB7n6CkJZGP5TDDmLjrvgrJN/AJmbwdeJgzKDfuOdsZyICZ8jG1qINLfPxPm0Da+VPmoSipa8gFRJojg==" saltValue="S1SZa4jryFVhvCL7Jnpo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jKfu06dfaEy2wS6qKArD/+kEs7U13IQA9L+4yOr7oS5faDYHZowYuAuID01QNa8aQqzesZfI+Aj2A4NcHFuow==" saltValue="gxk+Z6II04TWRLI497Oh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tUYDg0o/xVdkLNzcqDENdmeBvj2ccEJpQUtybnzvcacyYby4v/1WgC+Twis1W4MDDdOuzJWAwgRL3x/k9SLNQ==" saltValue="7vnN1eOxVhvZJsPJFX1k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1.56</v>
      </c>
      <c r="C2" s="21">
        <f>'Entradas de población-año base'!C52</f>
        <v>1.56</v>
      </c>
      <c r="D2" s="21">
        <f>'Entradas de población-año base'!C53</f>
        <v>5.798</v>
      </c>
      <c r="E2" s="21">
        <f>'Entradas de población-año base'!C54</f>
        <v>5.72</v>
      </c>
      <c r="F2" s="21">
        <f>'Entradas de población-año base'!C55</f>
        <v>1.6466666666666669</v>
      </c>
    </row>
    <row r="3" spans="1:6" ht="15.75" customHeight="1" x14ac:dyDescent="0.25">
      <c r="A3" s="3" t="s">
        <v>6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236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4CSl5/MIrSsW5OFJcKwMYVpC6CxHd/lUUxZ2F+oLa+ZjXkcaqoiRG8M7q7xHLGxnFwZDI+YS0jvjdPyusuk89Q==" saltValue="gov8gB+vb98Rof9AgqAWJ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Oi1zqb2xYmQI+V8Zm1HqbpetkWmmlxKGAxbLrlM2lQmwwzd2nrs3M6ybi4TVtti/5DUN0CoP5bILpGuBrVe/w==" saltValue="1fk/h1dawOQBNTcL3fga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D+sMLQJqbsNBM3ldBkQkfB2H9H5jJr/Skh4merq866f6wJP7khxXObb6l+7qf3QPGeE3aXy0xvHum7ImhQLyg==" saltValue="VJJMdMW1Fvop9dHV2KIt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pBi6QF+IGy6qC2wRRXir44HxuoovDdBnmZ1kqZ6PmgWyc2r3se8ZksqQYkLHW6aGGvAVFuT48polf3eBYlIuA==" saltValue="TriWOjI+9BkLjP3lTmyn/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XJgA+iYNUrmBPEFTiT5aGMOxv4RyVF51EoihCyi70ZayEl72n6+pTg3wgqGuNJIXcN8nYJa3r7I+uXkc0Fc9Q==" saltValue="+pEaHfWoPfHOJk2FmSjn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CiDtnRYKllwGO+hkZ+5Mv77P6+Aj2i+yk6LkWmi4LMAWOF9DafxTJNKarsv7A3sIRQeyZXRdrZt7KOB82iRXw==" saltValue="6CLy/z5qsb4QWcE4FClG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YHwtIeVvM9IiFzJ56Sx1s5bX7hpYARwtAsVJgIZ608NOQw4B13gUotARlxLLt8TSfsur9Jw6gYl8nHoIQAGnQ==" saltValue="mZs4BJK8aAi9LxULGGRA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Oy/0xMHaKqfE5PI4JdwyyHNZV5526EbaT4zGuUxi+h8cD3/1bM2lJSfe7pYWq05IyKlZSUPwK5VCDa+ekI1ag==" saltValue="rsJFWVcbjqC9fkaCik2Oc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QrBQl7yjgfwgJC3blvHkQj6yv7BCfO1dbfci1gdua/4pBL3YmsgA+CaNsK2Bk5wlNutf/vKoRDFEodmc+KtIw==" saltValue="Ka3QgFAGRAC0LAWP6O0F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Yd+shNPlkQFHOodb1AKo9WM/D4pg1hZBezBuoJIjwDW/aJUhARUwWiT+2e99daIkg+iDi2Lu8rv8QPTBgmUmQ==" saltValue="Fw8bDkX0QlsjVaFuDQiD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Vz43m/SWH8qU6dVWijx3LJ+zMV11epybABIxMsfgqoj4iBuSs22MHQsxMIFd48Pw7yyEoVrc45LBtvB3CRBCg==" saltValue="qZlYCzJJgdxrxH2OP63o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bn1awg/i6G2cbH1XX814KOnJP1bQGWgPCLP2QREvKkcfTTVBz1+puMqazRjETf7XSVgFGNNek+7/WqfF0NZsQ==" saltValue="wr2ZXGLf/NCItyweFvT8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+vB0PrhnhyjvqiTq3Ai9FMRv5+K0VJxV/eYnaQJbivfw+dNlL7PafZUzBAwoOn1wPlSOt4dSZJs7zMQz2OmDA==" saltValue="6UuY6I8eBsR2G2tRup6G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RSwjWz0Bwe+5mW36niv5kYDRCirKah/gkfbj/TjguvwkdDNCmDzO4m5DvuLAu25jj57G2jw7pXvSfpn/oiewg==" saltValue="WlGhuXMFInQ/G0Z2cicB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WGYLhbZnLnUPPPSkP2gOFzJYCS7bhtfph84TYDGlxC27J+YQiY2DOJ2SfsGTIQq/+sSh11j7c2kq3St8rFacw==" saltValue="EmQzKLeAxeVDYIWL5YVl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4cfAq+pUGU+aTgusu/ExPdC0CwqnrvQ7U3Dq266g011NvPidRDOErHggw8tga3haAq+/UVbtBQxmFSPD67oRQ==" saltValue="ONtY1VK4Vk9WqNNvO6W5t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