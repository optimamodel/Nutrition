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0642AB90-B71A-4F86-83AC-5BFFE63B6B0C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4" i="2"/>
  <c r="A23" i="2"/>
  <c r="A25" i="2"/>
  <c r="A36" i="2"/>
  <c r="A31" i="2"/>
  <c r="I9" i="2"/>
  <c r="I13" i="2"/>
  <c r="A37" i="2"/>
  <c r="A26" i="2"/>
  <c r="I39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<sst xmlns="http://schemas.openxmlformats.org/spreadsheetml/2006/main" count="2169" uniqueCount="373">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</sst>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3234401</v>
      </c>
    </row>
    <row r="8" spans="1:3" ht="15" customHeight="1" x14ac:dyDescent="0.25">
      <c r="B8" s="5" t="s">
        <v>63</v>
      </c>
      <c r="C8" s="44">
        <v>0.54400000000000004</v>
      </c>
    </row>
    <row r="9" spans="1:3" ht="15" customHeight="1" x14ac:dyDescent="0.25">
      <c r="B9" s="5" t="s">
        <v>62</v>
      </c>
      <c r="C9" s="45">
        <v>0.83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0.19700000000000001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9.5700000000000007E-2</v>
      </c>
    </row>
    <row r="24" spans="1:3" ht="15" customHeight="1" x14ac:dyDescent="0.25">
      <c r="B24" s="15" t="s">
        <v>65</v>
      </c>
      <c r="C24" s="45">
        <v>0.50319999999999998</v>
      </c>
    </row>
    <row r="25" spans="1:3" ht="15" customHeight="1" x14ac:dyDescent="0.25">
      <c r="B25" s="15" t="s">
        <v>66</v>
      </c>
      <c r="C25" s="45">
        <v>0.32229999999999998</v>
      </c>
    </row>
    <row r="26" spans="1:3" ht="15" customHeight="1" x14ac:dyDescent="0.25">
      <c r="B26" s="15" t="s">
        <v>67</v>
      </c>
      <c r="C26" s="45">
        <v>7.8799999999999995E-2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0.25571203379649299</v>
      </c>
    </row>
    <row r="30" spans="1:3" ht="14.25" customHeight="1" x14ac:dyDescent="0.25">
      <c r="B30" s="25" t="s">
        <v>82</v>
      </c>
      <c r="C30" s="97">
        <v>3.3819814705800401E-2</v>
      </c>
    </row>
    <row r="31" spans="1:3" ht="14.25" customHeight="1" x14ac:dyDescent="0.25">
      <c r="B31" s="25" t="s">
        <v>29</v>
      </c>
      <c r="C31" s="97">
        <v>7.04524288623571E-2</v>
      </c>
    </row>
    <row r="32" spans="1:3" ht="14.25" customHeight="1" x14ac:dyDescent="0.25">
      <c r="B32" s="25" t="s">
        <v>30</v>
      </c>
      <c r="C32" s="97">
        <v>0.64001572263535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24.560659999999999</v>
      </c>
    </row>
    <row r="38" spans="1:5" ht="15" customHeight="1" x14ac:dyDescent="0.25">
      <c r="B38" s="11" t="s">
        <v>54</v>
      </c>
      <c r="C38" s="43">
        <v>40.190779999999997</v>
      </c>
      <c r="D38" s="12"/>
      <c r="E38" s="13"/>
    </row>
    <row r="39" spans="1:5" ht="15" customHeight="1" x14ac:dyDescent="0.25">
      <c r="B39" s="11" t="s">
        <v>80</v>
      </c>
      <c r="C39" s="43">
        <v>57.691830000000003</v>
      </c>
      <c r="D39" s="12"/>
      <c r="E39" s="12"/>
    </row>
    <row r="40" spans="1:5" ht="15" customHeight="1" x14ac:dyDescent="0.25">
      <c r="B40" s="11" t="s">
        <v>55</v>
      </c>
      <c r="C40" s="98">
        <v>1.35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14.23291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6.5190999999999999E-3</v>
      </c>
      <c r="D45" s="12"/>
    </row>
    <row r="46" spans="1:5" ht="15.75" customHeight="1" x14ac:dyDescent="0.25">
      <c r="B46" s="11" t="s">
        <v>70</v>
      </c>
      <c r="C46" s="45">
        <v>7.0119699999999993E-2</v>
      </c>
      <c r="D46" s="12"/>
    </row>
    <row r="47" spans="1:5" ht="15.75" customHeight="1" x14ac:dyDescent="0.25">
      <c r="B47" s="11" t="s">
        <v>78</v>
      </c>
      <c r="C47" s="45">
        <v>0.16534509999999999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2.7040000000000002</v>
      </c>
      <c r="D51" s="12"/>
    </row>
    <row r="52" spans="1:4" ht="15" customHeight="1" x14ac:dyDescent="0.25">
      <c r="B52" s="11" t="s">
        <v>32</v>
      </c>
      <c r="C52" s="98">
        <v>2.7040000000000002</v>
      </c>
    </row>
    <row r="53" spans="1:4" ht="15.75" customHeight="1" x14ac:dyDescent="0.25">
      <c r="B53" s="11" t="s">
        <v>35</v>
      </c>
      <c r="C53" s="98">
        <v>7.7220000000000004</v>
      </c>
    </row>
    <row r="54" spans="1:4" ht="15.75" customHeight="1" x14ac:dyDescent="0.25">
      <c r="B54" s="11" t="s">
        <v>33</v>
      </c>
      <c r="C54" s="98">
        <v>7.2539999999999996</v>
      </c>
    </row>
    <row r="55" spans="1:4" ht="15.75" customHeight="1" x14ac:dyDescent="0.25">
      <c r="B55" s="11" t="s">
        <v>34</v>
      </c>
      <c r="C55" s="98">
        <v>2.3919999999999999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0.50240399999999996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0.1124687551</v>
      </c>
    </row>
    <row r="63" spans="1:4" ht="15.75" customHeight="1" x14ac:dyDescent="0.3">
      <c r="A63" s="4"/>
    </row>
  </sheetData>
  <sheetProtection algorithmName="SHA-512" hashValue="A8NsznaeIgy/DPftxIwvDk2sBiUyU7STSoQCxyLXGiTCY/IwZhmlm54iCnzjFJAik3enrAH7O5r6U31y266/sQ==" saltValue="cT10vXuKbEjjAdlOz/ey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3257631.5</v>
      </c>
      <c r="C2" s="49">
        <v>802366</v>
      </c>
      <c r="D2" s="49">
        <v>1472354.5</v>
      </c>
      <c r="E2" s="49">
        <v>2574791.5000000005</v>
      </c>
      <c r="F2" s="49">
        <v>1915645.5</v>
      </c>
      <c r="G2" s="17">
        <f t="shared" ref="G2:G13" si="0">C2+D2+E2+F2</f>
        <v>6765157.5</v>
      </c>
      <c r="H2" s="17">
        <f t="shared" ref="H2:H13" si="1">(B2 + stillbirth*B2/(1000-stillbirth))/(1-abortion)</f>
        <v>3755302.8649726249</v>
      </c>
      <c r="I2" s="17">
        <f t="shared" ref="I2:I13" si="2">G2-H2</f>
        <v>3009854.6350273751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697518</v>
      </c>
      <c r="C3" s="50">
        <v>1205367</v>
      </c>
      <c r="D3" s="50">
        <v>1876721</v>
      </c>
      <c r="E3" s="50">
        <v>1371379</v>
      </c>
      <c r="F3" s="50">
        <v>940599.5</v>
      </c>
      <c r="G3" s="17">
        <f t="shared" si="0"/>
        <v>5394066.5</v>
      </c>
      <c r="H3" s="17">
        <f t="shared" si="1"/>
        <v>804078.46736807865</v>
      </c>
      <c r="I3" s="17">
        <f t="shared" si="2"/>
        <v>4589988.0326319216</v>
      </c>
    </row>
    <row r="4" spans="1:9" ht="15.75" customHeight="1" x14ac:dyDescent="0.25">
      <c r="A4" s="5">
        <f t="shared" si="3"/>
        <v>2026</v>
      </c>
      <c r="B4" s="49">
        <v>708934</v>
      </c>
      <c r="C4" s="50">
        <v>1240877</v>
      </c>
      <c r="D4" s="50">
        <v>1936420</v>
      </c>
      <c r="E4" s="50">
        <v>1414164</v>
      </c>
      <c r="F4" s="50">
        <v>979882.00000000012</v>
      </c>
      <c r="G4" s="17">
        <f t="shared" si="0"/>
        <v>5571343</v>
      </c>
      <c r="H4" s="17">
        <f t="shared" si="1"/>
        <v>817238.50020375312</v>
      </c>
      <c r="I4" s="17">
        <f t="shared" si="2"/>
        <v>4754104.4997962471</v>
      </c>
    </row>
    <row r="5" spans="1:9" ht="15.75" customHeight="1" x14ac:dyDescent="0.25">
      <c r="A5" s="5">
        <f t="shared" si="3"/>
        <v>2027</v>
      </c>
      <c r="B5" s="49">
        <v>721060</v>
      </c>
      <c r="C5" s="50">
        <v>1273193.5</v>
      </c>
      <c r="D5" s="50">
        <v>1999374.5000000002</v>
      </c>
      <c r="E5" s="50">
        <v>1457775.5</v>
      </c>
      <c r="F5" s="50">
        <v>1019339</v>
      </c>
      <c r="G5" s="17">
        <f t="shared" si="0"/>
        <v>5749682.5</v>
      </c>
      <c r="H5" s="17">
        <f t="shared" si="1"/>
        <v>831217.00039343338</v>
      </c>
      <c r="I5" s="17">
        <f t="shared" si="2"/>
        <v>4918465.4996065665</v>
      </c>
    </row>
    <row r="6" spans="1:9" ht="15.75" customHeight="1" x14ac:dyDescent="0.25">
      <c r="A6" s="5">
        <f t="shared" si="3"/>
        <v>2028</v>
      </c>
      <c r="B6" s="49">
        <v>732320</v>
      </c>
      <c r="C6" s="50">
        <v>1302392.5</v>
      </c>
      <c r="D6" s="50">
        <v>2064803.5</v>
      </c>
      <c r="E6" s="50">
        <v>1502422</v>
      </c>
      <c r="F6" s="50">
        <v>1058988</v>
      </c>
      <c r="G6" s="17">
        <f t="shared" si="0"/>
        <v>5928606</v>
      </c>
      <c r="H6" s="17">
        <f t="shared" si="1"/>
        <v>844197.2009654108</v>
      </c>
      <c r="I6" s="17">
        <f t="shared" si="2"/>
        <v>5084408.799034589</v>
      </c>
    </row>
    <row r="7" spans="1:9" ht="15.75" customHeight="1" x14ac:dyDescent="0.25">
      <c r="A7" s="5">
        <f t="shared" si="3"/>
        <v>2029</v>
      </c>
      <c r="B7" s="49">
        <v>740015</v>
      </c>
      <c r="C7" s="50">
        <v>1328640</v>
      </c>
      <c r="D7" s="50">
        <v>2131190</v>
      </c>
      <c r="E7" s="50">
        <v>1548727.5</v>
      </c>
      <c r="F7" s="50">
        <v>1098644.4999999998</v>
      </c>
      <c r="G7" s="17">
        <f t="shared" si="0"/>
        <v>6107202</v>
      </c>
      <c r="H7" s="17">
        <f t="shared" si="1"/>
        <v>853067.77320354281</v>
      </c>
      <c r="I7" s="17">
        <f t="shared" si="2"/>
        <v>5254134.2267964575</v>
      </c>
    </row>
    <row r="8" spans="1:9" ht="15.75" customHeight="1" x14ac:dyDescent="0.25">
      <c r="A8" s="5">
        <f t="shared" si="3"/>
        <v>2030</v>
      </c>
      <c r="B8" s="49">
        <v>751998</v>
      </c>
      <c r="C8" s="50">
        <v>1351686</v>
      </c>
      <c r="D8" s="50">
        <v>2197879.5</v>
      </c>
      <c r="E8" s="50">
        <v>1596789</v>
      </c>
      <c r="F8" s="50">
        <v>1138666.4999999998</v>
      </c>
      <c r="G8" s="17">
        <f t="shared" si="0"/>
        <v>6285021</v>
      </c>
      <c r="H8" s="17">
        <f t="shared" si="1"/>
        <v>866881.4271515006</v>
      </c>
      <c r="I8" s="17">
        <f t="shared" si="2"/>
        <v>5418139.5728484998</v>
      </c>
    </row>
    <row r="9" spans="1:9" ht="15.75" customHeight="1" x14ac:dyDescent="0.25">
      <c r="A9" s="5">
        <f t="shared" si="3"/>
        <v>2031</v>
      </c>
      <c r="B9" s="49">
        <v>761909</v>
      </c>
      <c r="C9" s="50">
        <v>1372085.5</v>
      </c>
      <c r="D9" s="50">
        <v>2264786.5</v>
      </c>
      <c r="E9" s="50">
        <v>1646270.5</v>
      </c>
      <c r="F9" s="50">
        <v>1179329.4999999998</v>
      </c>
      <c r="G9" s="17">
        <f t="shared" si="0"/>
        <v>6462472</v>
      </c>
      <c r="H9" s="17">
        <f t="shared" si="1"/>
        <v>878306.53975086741</v>
      </c>
      <c r="I9" s="17">
        <f t="shared" si="2"/>
        <v>5584165.4602491325</v>
      </c>
    </row>
    <row r="10" spans="1:9" ht="15.75" customHeight="1" x14ac:dyDescent="0.25">
      <c r="A10" s="5">
        <f t="shared" si="3"/>
        <v>2032</v>
      </c>
      <c r="B10" s="49">
        <v>771640</v>
      </c>
      <c r="C10" s="50">
        <v>1390872.5</v>
      </c>
      <c r="D10" s="50">
        <v>2331783</v>
      </c>
      <c r="E10" s="50">
        <v>1696889.9999999998</v>
      </c>
      <c r="F10" s="50">
        <v>1220279</v>
      </c>
      <c r="G10" s="17">
        <f t="shared" si="0"/>
        <v>6639824.5</v>
      </c>
      <c r="H10" s="17">
        <f t="shared" si="1"/>
        <v>889524.15358442976</v>
      </c>
      <c r="I10" s="17">
        <f t="shared" si="2"/>
        <v>5750300.34641557</v>
      </c>
    </row>
    <row r="11" spans="1:9" ht="15.75" customHeight="1" x14ac:dyDescent="0.25">
      <c r="A11" s="5">
        <f t="shared" si="3"/>
        <v>2033</v>
      </c>
      <c r="B11" s="49">
        <v>779405</v>
      </c>
      <c r="C11" s="50">
        <v>1408983</v>
      </c>
      <c r="D11" s="50">
        <v>2397684.5</v>
      </c>
      <c r="E11" s="50">
        <v>1748798.4999999998</v>
      </c>
      <c r="F11" s="50">
        <v>1260696</v>
      </c>
      <c r="G11" s="17">
        <f t="shared" si="0"/>
        <v>6816162</v>
      </c>
      <c r="H11" s="17">
        <f t="shared" si="1"/>
        <v>898475.41978704114</v>
      </c>
      <c r="I11" s="17">
        <f t="shared" si="2"/>
        <v>5917686.5802129591</v>
      </c>
    </row>
    <row r="12" spans="1:9" ht="15.75" customHeight="1" x14ac:dyDescent="0.25">
      <c r="A12" s="5">
        <f t="shared" si="3"/>
        <v>2034</v>
      </c>
      <c r="B12" s="49">
        <v>786522</v>
      </c>
      <c r="C12" s="50">
        <v>1428060</v>
      </c>
      <c r="D12" s="50">
        <v>2461095.5000000005</v>
      </c>
      <c r="E12" s="50">
        <v>1802191</v>
      </c>
      <c r="F12" s="50">
        <v>1300859</v>
      </c>
      <c r="G12" s="17">
        <f t="shared" si="0"/>
        <v>6992205.5</v>
      </c>
      <c r="H12" s="17">
        <f t="shared" si="1"/>
        <v>906679.69043275726</v>
      </c>
      <c r="I12" s="17">
        <f t="shared" si="2"/>
        <v>6085525.8095672429</v>
      </c>
    </row>
    <row r="13" spans="1:9" ht="15.75" customHeight="1" x14ac:dyDescent="0.25">
      <c r="A13" s="5">
        <f t="shared" si="3"/>
        <v>2035</v>
      </c>
      <c r="B13" s="49">
        <v>794523</v>
      </c>
      <c r="C13" s="50">
        <v>1449438.5</v>
      </c>
      <c r="D13" s="50">
        <v>2520444</v>
      </c>
      <c r="E13" s="50">
        <v>1857475.5</v>
      </c>
      <c r="F13" s="50">
        <v>1341751</v>
      </c>
      <c r="G13" s="17">
        <f t="shared" si="0"/>
        <v>7169109</v>
      </c>
      <c r="H13" s="17">
        <f t="shared" si="1"/>
        <v>915903.01057275664</v>
      </c>
      <c r="I13" s="17">
        <f t="shared" si="2"/>
        <v>6253205.9894272434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7QXG4jCaHgBrV/4qRZnPdYPcZ5dv6Ee6guuChJqwnvOF7jhrp6n8tnVHn935MEAbxNgG6qq3DymCB2dVPF0yw==" saltValue="6dRR6DM40LNkAfYnV8o+z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9.0967995857898585E-3</v>
      </c>
    </row>
    <row r="4" spans="1:8" ht="15.75" customHeight="1" x14ac:dyDescent="0.25">
      <c r="B4" s="19" t="s">
        <v>116</v>
      </c>
      <c r="C4" s="99">
        <v>6.4092908854742933E-2</v>
      </c>
    </row>
    <row r="5" spans="1:8" ht="15.75" customHeight="1" x14ac:dyDescent="0.25">
      <c r="B5" s="19" t="s">
        <v>114</v>
      </c>
      <c r="C5" s="99">
        <v>9.1282258767163948E-2</v>
      </c>
    </row>
    <row r="6" spans="1:8" ht="15.75" customHeight="1" x14ac:dyDescent="0.25">
      <c r="B6" s="19" t="s">
        <v>110</v>
      </c>
      <c r="C6" s="99">
        <v>0.25451199617035808</v>
      </c>
    </row>
    <row r="7" spans="1:8" ht="15.75" customHeight="1" x14ac:dyDescent="0.25">
      <c r="B7" s="19" t="s">
        <v>115</v>
      </c>
      <c r="C7" s="99">
        <v>0.39199030171442639</v>
      </c>
    </row>
    <row r="8" spans="1:8" ht="15.75" customHeight="1" x14ac:dyDescent="0.25">
      <c r="B8" s="19" t="s">
        <v>117</v>
      </c>
      <c r="C8" s="99">
        <v>1.5420714712771921E-3</v>
      </c>
    </row>
    <row r="9" spans="1:8" ht="15.75" customHeight="1" x14ac:dyDescent="0.25">
      <c r="B9" s="19" t="s">
        <v>111</v>
      </c>
      <c r="C9" s="99">
        <v>6.391594819168625E-2</v>
      </c>
    </row>
    <row r="10" spans="1:8" ht="15.75" customHeight="1" x14ac:dyDescent="0.25">
      <c r="B10" s="19" t="s">
        <v>113</v>
      </c>
      <c r="C10" s="99">
        <v>0.1235677152445553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0.13996090768757741</v>
      </c>
      <c r="D14" s="55">
        <v>0.13996090768757741</v>
      </c>
      <c r="E14" s="55">
        <v>0.13996090768757741</v>
      </c>
      <c r="F14" s="55">
        <v>0.13996090768757741</v>
      </c>
    </row>
    <row r="15" spans="1:8" ht="15.75" customHeight="1" x14ac:dyDescent="0.25">
      <c r="B15" s="19" t="s">
        <v>121</v>
      </c>
      <c r="C15" s="99">
        <v>0.1825969991650476</v>
      </c>
      <c r="D15" s="99">
        <v>0.1825969991650476</v>
      </c>
      <c r="E15" s="99">
        <v>0.1825969991650476</v>
      </c>
      <c r="F15" s="99">
        <v>0.1825969991650476</v>
      </c>
    </row>
    <row r="16" spans="1:8" ht="15.75" customHeight="1" x14ac:dyDescent="0.25">
      <c r="B16" s="19" t="s">
        <v>2</v>
      </c>
      <c r="C16" s="99">
        <v>1.688769665810308E-2</v>
      </c>
      <c r="D16" s="99">
        <v>1.688769665810308E-2</v>
      </c>
      <c r="E16" s="99">
        <v>1.688769665810308E-2</v>
      </c>
      <c r="F16" s="99">
        <v>1.688769665810308E-2</v>
      </c>
    </row>
    <row r="17" spans="1:8" ht="15.75" customHeight="1" x14ac:dyDescent="0.25">
      <c r="B17" s="19" t="s">
        <v>109</v>
      </c>
      <c r="C17" s="99">
        <v>1.7773095567990671E-3</v>
      </c>
      <c r="D17" s="99">
        <v>1.7773095567990671E-3</v>
      </c>
      <c r="E17" s="99">
        <v>1.7773095567990671E-3</v>
      </c>
      <c r="F17" s="99">
        <v>1.7773095567990671E-3</v>
      </c>
    </row>
    <row r="18" spans="1:8" ht="15.75" customHeight="1" x14ac:dyDescent="0.25">
      <c r="B18" s="19" t="s">
        <v>3</v>
      </c>
      <c r="C18" s="99">
        <v>0.1345228179711539</v>
      </c>
      <c r="D18" s="99">
        <v>0.1345228179711539</v>
      </c>
      <c r="E18" s="99">
        <v>0.1345228179711539</v>
      </c>
      <c r="F18" s="99">
        <v>0.1345228179711539</v>
      </c>
    </row>
    <row r="19" spans="1:8" ht="15.75" customHeight="1" x14ac:dyDescent="0.25">
      <c r="B19" s="19" t="s">
        <v>120</v>
      </c>
      <c r="C19" s="99">
        <v>2.3061119344817509E-2</v>
      </c>
      <c r="D19" s="99">
        <v>2.3061119344817509E-2</v>
      </c>
      <c r="E19" s="99">
        <v>2.3061119344817509E-2</v>
      </c>
      <c r="F19" s="99">
        <v>2.3061119344817509E-2</v>
      </c>
    </row>
    <row r="20" spans="1:8" ht="15.75" customHeight="1" x14ac:dyDescent="0.25">
      <c r="B20" s="19" t="s">
        <v>98</v>
      </c>
      <c r="C20" s="99">
        <v>0.23695712210512701</v>
      </c>
      <c r="D20" s="99">
        <v>0.23695712210512701</v>
      </c>
      <c r="E20" s="99">
        <v>0.23695712210512701</v>
      </c>
      <c r="F20" s="99">
        <v>0.23695712210512701</v>
      </c>
    </row>
    <row r="21" spans="1:8" ht="15.75" customHeight="1" x14ac:dyDescent="0.25">
      <c r="B21" s="19" t="s">
        <v>107</v>
      </c>
      <c r="C21" s="99">
        <v>0.1034812689154867</v>
      </c>
      <c r="D21" s="99">
        <v>0.1034812689154867</v>
      </c>
      <c r="E21" s="99">
        <v>0.1034812689154867</v>
      </c>
      <c r="F21" s="99">
        <v>0.1034812689154867</v>
      </c>
    </row>
    <row r="22" spans="1:8" ht="15.75" customHeight="1" x14ac:dyDescent="0.25">
      <c r="B22" s="19" t="s">
        <v>118</v>
      </c>
      <c r="C22" s="99">
        <v>0.1607547585958877</v>
      </c>
      <c r="D22" s="99">
        <v>0.1607547585958877</v>
      </c>
      <c r="E22" s="99">
        <v>0.1607547585958877</v>
      </c>
      <c r="F22" s="99">
        <v>0.1607547585958877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8.1868175000000001E-2</v>
      </c>
    </row>
    <row r="27" spans="1:8" ht="15.75" customHeight="1" x14ac:dyDescent="0.25">
      <c r="B27" s="19" t="s">
        <v>108</v>
      </c>
      <c r="C27" s="99">
        <v>8.1904539999999998E-3</v>
      </c>
    </row>
    <row r="28" spans="1:8" ht="15.75" customHeight="1" x14ac:dyDescent="0.25">
      <c r="B28" s="19" t="s">
        <v>122</v>
      </c>
      <c r="C28" s="99">
        <v>0.143739488</v>
      </c>
    </row>
    <row r="29" spans="1:8" ht="15.75" customHeight="1" x14ac:dyDescent="0.25">
      <c r="B29" s="19" t="s">
        <v>105</v>
      </c>
      <c r="C29" s="99">
        <v>0.15393818500000001</v>
      </c>
    </row>
    <row r="30" spans="1:8" ht="15.75" customHeight="1" x14ac:dyDescent="0.25">
      <c r="B30" s="19" t="s">
        <v>4</v>
      </c>
      <c r="C30" s="99">
        <v>9.7379692000000004E-2</v>
      </c>
    </row>
    <row r="31" spans="1:8" ht="15.75" customHeight="1" x14ac:dyDescent="0.25">
      <c r="B31" s="19" t="s">
        <v>99</v>
      </c>
      <c r="C31" s="99">
        <v>9.8883503999999997E-2</v>
      </c>
    </row>
    <row r="32" spans="1:8" ht="15.75" customHeight="1" x14ac:dyDescent="0.25">
      <c r="B32" s="19" t="s">
        <v>104</v>
      </c>
      <c r="C32" s="99">
        <v>1.7031174E-2</v>
      </c>
    </row>
    <row r="33" spans="2:3" ht="15.75" customHeight="1" x14ac:dyDescent="0.25">
      <c r="B33" s="19" t="s">
        <v>119</v>
      </c>
      <c r="C33" s="99">
        <v>7.6512073999999999E-2</v>
      </c>
    </row>
    <row r="34" spans="2:3" ht="15.75" customHeight="1" x14ac:dyDescent="0.25">
      <c r="B34" s="19" t="s">
        <v>106</v>
      </c>
      <c r="C34" s="99">
        <v>0.32245725400000003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TvFb7DhyDLHQyOzKY/+FHT+SkPutB+d1N+KxJ6JmjASViatk3gjxIufbsmszdwmUDe69NwBhW1bR01wr/fV4Bw==" saltValue="4N+EiJNfz5CA5GYXvfso0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0.4568322256346693</v>
      </c>
      <c r="D2" s="52">
        <f>IFERROR(1-_xlfn.NORM.DIST(_xlfn.NORM.INV(SUM(D4:D5), 0, 1) + 1, 0, 1, TRUE), "")</f>
        <v>0.4568322256346693</v>
      </c>
      <c r="E2" s="52">
        <f>IFERROR(1-_xlfn.NORM.DIST(_xlfn.NORM.INV(SUM(E4:E5), 0, 1) + 1, 0, 1, TRUE), "")</f>
        <v>0.36539808671294383</v>
      </c>
      <c r="F2" s="52">
        <f>IFERROR(1-_xlfn.NORM.DIST(_xlfn.NORM.INV(SUM(F4:F5), 0, 1) + 1, 0, 1, TRUE), "")</f>
        <v>0.21797617679540382</v>
      </c>
      <c r="G2" s="52">
        <f>IFERROR(1-_xlfn.NORM.DIST(_xlfn.NORM.INV(SUM(G4:G5), 0, 1) + 1, 0, 1, TRUE), "")</f>
        <v>0.25543171912396501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0.35685937436533072</v>
      </c>
      <c r="D3" s="52">
        <f>IFERROR(_xlfn.NORM.DIST(_xlfn.NORM.INV(SUM(D4:D5), 0, 1) + 1, 0, 1, TRUE) - SUM(D4:D5), "")</f>
        <v>0.35685937436533072</v>
      </c>
      <c r="E3" s="52">
        <f>IFERROR(_xlfn.NORM.DIST(_xlfn.NORM.INV(SUM(E4:E5), 0, 1) + 1, 0, 1, TRUE) - SUM(E4:E5), "")</f>
        <v>0.37866841328705619</v>
      </c>
      <c r="F3" s="52">
        <f>IFERROR(_xlfn.NORM.DIST(_xlfn.NORM.INV(SUM(F4:F5), 0, 1) + 1, 0, 1, TRUE) - SUM(F4:F5), "")</f>
        <v>0.36945952320459619</v>
      </c>
      <c r="G3" s="52">
        <f>IFERROR(_xlfn.NORM.DIST(_xlfn.NORM.INV(SUM(G4:G5), 0, 1) + 1, 0, 1, TRUE) - SUM(G4:G5), "")</f>
        <v>0.37858328087603499</v>
      </c>
    </row>
    <row r="4" spans="1:15" ht="15.75" customHeight="1" x14ac:dyDescent="0.25">
      <c r="B4" s="5" t="s">
        <v>129</v>
      </c>
      <c r="C4" s="45">
        <v>0.1191277</v>
      </c>
      <c r="D4" s="53">
        <v>0.1191277</v>
      </c>
      <c r="E4" s="53">
        <v>0.1706712</v>
      </c>
      <c r="F4" s="53">
        <v>0.24477189999999999</v>
      </c>
      <c r="G4" s="53">
        <v>0.2499488</v>
      </c>
    </row>
    <row r="5" spans="1:15" ht="15.75" customHeight="1" x14ac:dyDescent="0.25">
      <c r="B5" s="5" t="s">
        <v>125</v>
      </c>
      <c r="C5" s="45">
        <v>6.7180699999999996E-2</v>
      </c>
      <c r="D5" s="53">
        <v>6.7180699999999996E-2</v>
      </c>
      <c r="E5" s="53">
        <v>8.5262299999999999E-2</v>
      </c>
      <c r="F5" s="53">
        <v>0.16779240000000001</v>
      </c>
      <c r="G5" s="53">
        <v>0.11603620000000001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0.73659125910134149</v>
      </c>
      <c r="D8" s="52">
        <f>IFERROR(1-_xlfn.NORM.DIST(_xlfn.NORM.INV(SUM(D10:D11), 0, 1) + 1, 0, 1, TRUE), "")</f>
        <v>0.73659125910134149</v>
      </c>
      <c r="E8" s="52">
        <f>IFERROR(1-_xlfn.NORM.DIST(_xlfn.NORM.INV(SUM(E10:E11), 0, 1) + 1, 0, 1, TRUE), "")</f>
        <v>0.73545572398549219</v>
      </c>
      <c r="F8" s="52">
        <f>IFERROR(1-_xlfn.NORM.DIST(_xlfn.NORM.INV(SUM(F10:F11), 0, 1) + 1, 0, 1, TRUE), "")</f>
        <v>0.73094151101687888</v>
      </c>
      <c r="G8" s="52">
        <f>IFERROR(1-_xlfn.NORM.DIST(_xlfn.NORM.INV(SUM(G10:G11), 0, 1) + 1, 0, 1, TRUE), "")</f>
        <v>0.78897733079998378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0.2121607408986585</v>
      </c>
      <c r="D9" s="52">
        <f>IFERROR(_xlfn.NORM.DIST(_xlfn.NORM.INV(SUM(D10:D11), 0, 1) + 1, 0, 1, TRUE) - SUM(D10:D11), "")</f>
        <v>0.2121607408986585</v>
      </c>
      <c r="E9" s="52">
        <f>IFERROR(_xlfn.NORM.DIST(_xlfn.NORM.INV(SUM(E10:E11), 0, 1) + 1, 0, 1, TRUE) - SUM(E10:E11), "")</f>
        <v>0.2129298760145078</v>
      </c>
      <c r="F9" s="52">
        <f>IFERROR(_xlfn.NORM.DIST(_xlfn.NORM.INV(SUM(F10:F11), 0, 1) + 1, 0, 1, TRUE) - SUM(F10:F11), "")</f>
        <v>0.21597488898312106</v>
      </c>
      <c r="G9" s="52">
        <f>IFERROR(_xlfn.NORM.DIST(_xlfn.NORM.INV(SUM(G10:G11), 0, 1) + 1, 0, 1, TRUE) - SUM(G10:G11), "")</f>
        <v>0.17531896920001622</v>
      </c>
    </row>
    <row r="10" spans="1:15" ht="15.75" customHeight="1" x14ac:dyDescent="0.25">
      <c r="B10" s="5" t="s">
        <v>126</v>
      </c>
      <c r="C10" s="45">
        <v>2.7563299999999999E-2</v>
      </c>
      <c r="D10" s="53">
        <v>2.7563299999999999E-2</v>
      </c>
      <c r="E10" s="53">
        <v>4.14823E-2</v>
      </c>
      <c r="F10" s="53">
        <v>3.5414500000000002E-2</v>
      </c>
      <c r="G10" s="53">
        <v>2.1985500000000002E-2</v>
      </c>
    </row>
    <row r="11" spans="1:15" ht="15.75" customHeight="1" x14ac:dyDescent="0.25">
      <c r="B11" s="5" t="s">
        <v>138</v>
      </c>
      <c r="C11" s="45">
        <v>2.36847E-2</v>
      </c>
      <c r="D11" s="53">
        <v>2.36847E-2</v>
      </c>
      <c r="E11" s="53">
        <v>1.01321E-2</v>
      </c>
      <c r="F11" s="53">
        <v>1.76691E-2</v>
      </c>
      <c r="G11" s="53">
        <v>1.37182E-2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0.68039410399999989</v>
      </c>
      <c r="D14" s="54">
        <v>0.6725565473509999</v>
      </c>
      <c r="E14" s="54">
        <v>0.6725565473509999</v>
      </c>
      <c r="F14" s="54">
        <v>0.61939207375200001</v>
      </c>
      <c r="G14" s="54">
        <v>0.61939207375200001</v>
      </c>
      <c r="H14" s="45">
        <v>0.39100000000000001</v>
      </c>
      <c r="I14" s="55">
        <v>0.39100000000000001</v>
      </c>
      <c r="J14" s="55">
        <v>0.39100000000000001</v>
      </c>
      <c r="K14" s="55">
        <v>0.39100000000000001</v>
      </c>
      <c r="L14" s="45">
        <v>0.33</v>
      </c>
      <c r="M14" s="55">
        <v>0.33</v>
      </c>
      <c r="N14" s="55">
        <v>0.33</v>
      </c>
      <c r="O14" s="55">
        <v>0.33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0.3418327194260159</v>
      </c>
      <c r="D15" s="52">
        <f t="shared" si="0"/>
        <v>0.33789509961533171</v>
      </c>
      <c r="E15" s="52">
        <f t="shared" si="0"/>
        <v>0.33789509961533171</v>
      </c>
      <c r="F15" s="52">
        <f t="shared" si="0"/>
        <v>0.31118505542129976</v>
      </c>
      <c r="G15" s="52">
        <f t="shared" si="0"/>
        <v>0.31118505542129976</v>
      </c>
      <c r="H15" s="52">
        <f t="shared" si="0"/>
        <v>0.19643996399999999</v>
      </c>
      <c r="I15" s="52">
        <f t="shared" si="0"/>
        <v>0.19643996399999999</v>
      </c>
      <c r="J15" s="52">
        <f t="shared" si="0"/>
        <v>0.19643996399999999</v>
      </c>
      <c r="K15" s="52">
        <f t="shared" si="0"/>
        <v>0.19643996399999999</v>
      </c>
      <c r="L15" s="52">
        <f t="shared" si="0"/>
        <v>0.16579331999999999</v>
      </c>
      <c r="M15" s="52">
        <f t="shared" si="0"/>
        <v>0.16579331999999999</v>
      </c>
      <c r="N15" s="52">
        <f t="shared" si="0"/>
        <v>0.16579331999999999</v>
      </c>
      <c r="O15" s="52">
        <f t="shared" si="0"/>
        <v>0.16579331999999999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kO2uzYZdvTEdVK6Ay1WapyfqTBBHQRWW3cJo7iPSqdGzSlvUT30KKz/Kdd6BNT7qceRShEDVG9DgD1cMYON5Q==" saltValue="2wiufrE0uFxxvYAasxBf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0.90592820000000007</v>
      </c>
      <c r="D2" s="53">
        <v>0.64176169999999999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2.7448899999999998E-2</v>
      </c>
      <c r="D3" s="53">
        <v>0.1020122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2.36939E-2</v>
      </c>
      <c r="D4" s="53">
        <v>0.22018969999999999</v>
      </c>
      <c r="E4" s="53">
        <v>0.94635409999999998</v>
      </c>
      <c r="F4" s="53">
        <v>0.6304708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4.2928999999999884E-2</v>
      </c>
      <c r="D5" s="52">
        <f t="shared" si="0"/>
        <v>3.6036399999999968E-2</v>
      </c>
      <c r="E5" s="52">
        <f>1-SUM(E2:E4)</f>
        <v>5.3645900000000024E-2</v>
      </c>
      <c r="F5" s="52">
        <f>1-SUM(F2:F4)</f>
        <v>0.3695292</v>
      </c>
      <c r="G5" s="52">
        <f>1-SUM(G2:G4)</f>
        <v>1</v>
      </c>
    </row>
  </sheetData>
  <sheetProtection algorithmName="SHA-512" hashValue="THJi/08ZSu3pV//sfQQNBiypuaVlGSR4/k68fWF8ytD8ulBQAuya36vTwaNyXrWawe8g/FHoIprT5nbJeV5PNg==" saltValue="1M5EZlcUsvNgM2J7oMbmC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s6WEhv3Phh+0bDRKP64NQD5R0hSq/SoTZeceETr84QF0KSYOlbdNEGQCABhrxGTJpCQkyZg5Af+GSX2gIMXLw==" saltValue="yTOepQoyDH3gNEUenxeMc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1456.9015701544499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0.33787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0.52536000000000005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1.0857408838744073E-2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93725.690520000004</v>
      </c>
      <c r="C22" s="107">
        <v>93075.482359999995</v>
      </c>
      <c r="D22" s="107">
        <v>92685.731390000001</v>
      </c>
      <c r="E22" s="107">
        <v>91944.631710000001</v>
      </c>
      <c r="F22" s="107">
        <v>90885.834950000004</v>
      </c>
      <c r="G22" s="107">
        <v>89549.660919999995</v>
      </c>
      <c r="H22" s="107">
        <v>87692.624419999993</v>
      </c>
      <c r="I22" s="107">
        <v>85113.098379999996</v>
      </c>
      <c r="J22" s="107">
        <v>81570.902390000003</v>
      </c>
      <c r="K22" s="107">
        <v>77104.123989999993</v>
      </c>
      <c r="L22" s="107">
        <v>71433.730750000002</v>
      </c>
      <c r="M22" s="107">
        <v>64670.832759999998</v>
      </c>
      <c r="N22" s="107">
        <v>56426.834710000003</v>
      </c>
      <c r="O22" s="107">
        <v>46824.934529999999</v>
      </c>
    </row>
  </sheetData>
  <sheetProtection algorithmName="SHA-512" hashValue="4SxcDVaut0yxi74C3dJSa0uWNHFGqfzjOAhIOpXZ+B197qhFZdOinTyVuA4iFjnXxSNnNooMWdSzKGExNQVRgg==" saltValue="lH2w3qiwzBjmYpnZu4gWq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13FEEoH37R4fO7knP+lA0kw9EsB7GINnWvEN98BwlLayPvpWO3otPAxi2xCy0kX4ru9/1mYjh1OdtpHXXLM9Q==" saltValue="yHJmIEyqkc3d+9LKJk8hy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/+4lP/9cWCyjWQDtgS6xbVdZZmvR2bHG1FdqxT6t7CMoTBNGMKend5oW1xDxBE+JQ+Gpf93nrAS3aHwoOapO0w==" saltValue="kuXO3M+3sFjbiDsxbP/Et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6.41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0.25</v>
      </c>
      <c r="C9" s="96">
        <v>0.95</v>
      </c>
      <c r="D9" s="56">
        <v>0.20568905243790248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0.72482939999999996</v>
      </c>
      <c r="C10" s="96">
        <v>0.95</v>
      </c>
      <c r="D10" s="56">
        <v>14.26897757170995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14.26897757170995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14.26897757170995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14.26897757170995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0.79139999999999999</v>
      </c>
      <c r="C14" s="96">
        <v>0.95</v>
      </c>
      <c r="D14" s="56">
        <v>2.7125243790248388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14.26897757170995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0.80843429999999994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0.46</v>
      </c>
      <c r="C18" s="96">
        <v>0.95</v>
      </c>
      <c r="D18" s="56">
        <v>6.4149273229070838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0.64176169999999999</v>
      </c>
      <c r="C19" s="96">
        <v>0.95</v>
      </c>
      <c r="D19" s="56">
        <v>3.0133371170447369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6.41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0.71545519999999996</v>
      </c>
      <c r="C23" s="96">
        <v>0.95</v>
      </c>
      <c r="D23" s="56">
        <v>4.7084773800389677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0.59945256852146001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5.5E-2</v>
      </c>
      <c r="C26" s="96">
        <v>0.95</v>
      </c>
      <c r="D26" s="56">
        <v>4.6280036798528057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0.66792069999999992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0.23221729999999999</v>
      </c>
      <c r="C29" s="96">
        <v>0.95</v>
      </c>
      <c r="D29" s="56">
        <v>112.4872415972974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154.26678932842685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0.67400000000000004</v>
      </c>
      <c r="C32" s="96">
        <v>0.95</v>
      </c>
      <c r="D32" s="56">
        <v>1.208423183072677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0.18154609999999999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0.73697869999999999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5.3560000000000001E-4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0.3439854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0.33500000000000002</v>
      </c>
      <c r="C38" s="96">
        <v>0.95</v>
      </c>
      <c r="D38" s="56">
        <v>1.1570009199632014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ZXaKu6ZHRU9d1vwRa2nZYPeZX61mHY3BpWD1qgRFu3XfHjuLLYicPl8ga95UDbq+24ZXA/YoVkWuYOPx4DQp1g==" saltValue="p8d0Gtdi7M/BTTNc7Vqr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/XDcqwJBq1UuRH26CKdBdxHKCEUmxRjlJyvOxJ0WCgUgLsaXUU2BifahA1iN7BfjKOcNWB/7pKz86E4sgq0NgQ==" saltValue="ihkTDIXLxsxTlH7EevKK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L/wfLiSq8DXJ7dzEQpJdQWFwxDHG7/aopZL2nCtzxp1wFaqSPTI9a4UywUcFnNvJcZkIiHOngDzRaYMDd/iwg==" saltValue="gQGlqYAyFlx1Hzk9rVbVu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2.7040000000000002</v>
      </c>
      <c r="C2" s="21">
        <f>'Entradas de población-año base'!C52</f>
        <v>2.7040000000000002</v>
      </c>
      <c r="D2" s="21">
        <f>'Entradas de población-año base'!C53</f>
        <v>7.7220000000000004</v>
      </c>
      <c r="E2" s="21">
        <f>'Entradas de población-año base'!C54</f>
        <v>7.2539999999999996</v>
      </c>
      <c r="F2" s="21">
        <f>'Entradas de población-año base'!C55</f>
        <v>2.3919999999999999</v>
      </c>
    </row>
    <row r="3" spans="1:6" ht="15.75" customHeight="1" x14ac:dyDescent="0.25">
      <c r="A3" s="3" t="s">
        <v>6</v>
      </c>
      <c r="B3" s="21">
        <f>frac_mam_1month * 2.6</f>
        <v>7.1664580000000005E-2</v>
      </c>
      <c r="C3" s="21">
        <f>frac_mam_1_5months * 2.6</f>
        <v>7.1664580000000005E-2</v>
      </c>
      <c r="D3" s="21">
        <f>frac_mam_6_11months * 2.6</f>
        <v>0.10785398</v>
      </c>
      <c r="E3" s="21">
        <f>frac_mam_12_23months * 2.6</f>
        <v>9.2077700000000012E-2</v>
      </c>
      <c r="F3" s="21">
        <f>frac_mam_24_59months * 2.6</f>
        <v>5.7162300000000006E-2</v>
      </c>
    </row>
    <row r="4" spans="1:6" ht="15.75" customHeight="1" x14ac:dyDescent="0.25">
      <c r="A4" s="3" t="s">
        <v>236</v>
      </c>
      <c r="B4" s="21">
        <f>frac_sam_1month * 2.6</f>
        <v>6.1580219999999998E-2</v>
      </c>
      <c r="C4" s="21">
        <f>frac_sam_1_5months * 2.6</f>
        <v>6.1580219999999998E-2</v>
      </c>
      <c r="D4" s="21">
        <f>frac_sam_6_11months * 2.6</f>
        <v>2.6343459999999999E-2</v>
      </c>
      <c r="E4" s="21">
        <f>frac_sam_12_23months * 2.6</f>
        <v>4.593966E-2</v>
      </c>
      <c r="F4" s="21">
        <f>frac_sam_24_59months * 2.6</f>
        <v>3.5667320000000002E-2</v>
      </c>
    </row>
  </sheetData>
  <sheetProtection algorithmName="SHA-512" hashValue="Js1ID4+NuC0VCyzhoY+iJMHAQQ0HckG47GT6WDR7XdbtdhSZwzroAGvMb34FC250+7Mgkc8vjn7qjUXFH4iHQg==" saltValue="BDchVRihOcdFugrE3hUso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0.54400000000000004</v>
      </c>
      <c r="F2" s="60">
        <f>food_insecure</f>
        <v>0.54400000000000004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0.54400000000000004</v>
      </c>
      <c r="F5" s="60">
        <f>food_insecure</f>
        <v>0.54400000000000004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5.8996363636363645E-2</v>
      </c>
      <c r="D7" s="60">
        <f>diarrhoea_1_5mo*frac_diarrhea_severe</f>
        <v>5.8996363636363645E-2</v>
      </c>
      <c r="E7" s="60">
        <f>diarrhoea_6_11mo*frac_diarrhea_severe</f>
        <v>0.16848000000000002</v>
      </c>
      <c r="F7" s="60">
        <f>diarrhoea_12_23mo*frac_diarrhea_severe</f>
        <v>0.15826909090909091</v>
      </c>
      <c r="G7" s="60">
        <f>diarrhoea_24_59mo*frac_diarrhea_severe</f>
        <v>5.2189090909090914E-2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0.54400000000000004</v>
      </c>
      <c r="F8" s="60">
        <f>food_insecure</f>
        <v>0.54400000000000004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0.54400000000000004</v>
      </c>
      <c r="F9" s="60">
        <f>food_insecure</f>
        <v>0.54400000000000004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5.8996363636363645E-2</v>
      </c>
      <c r="D12" s="60">
        <f>diarrhoea_1_5mo*frac_diarrhea_severe</f>
        <v>5.8996363636363645E-2</v>
      </c>
      <c r="E12" s="60">
        <f>diarrhoea_6_11mo*frac_diarrhea_severe</f>
        <v>0.16848000000000002</v>
      </c>
      <c r="F12" s="60">
        <f>diarrhoea_12_23mo*frac_diarrhea_severe</f>
        <v>0.15826909090909091</v>
      </c>
      <c r="G12" s="60">
        <f>diarrhoea_24_59mo*frac_diarrhea_severe</f>
        <v>5.2189090909090914E-2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0.54400000000000004</v>
      </c>
      <c r="I15" s="60">
        <f t="shared" si="0"/>
        <v>0.54400000000000004</v>
      </c>
      <c r="J15" s="60">
        <f t="shared" si="0"/>
        <v>0.54400000000000004</v>
      </c>
      <c r="K15" s="60">
        <f t="shared" si="0"/>
        <v>0.54400000000000004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0.54400000000000004</v>
      </c>
      <c r="I16" s="60">
        <f t="shared" si="0"/>
        <v>0.54400000000000004</v>
      </c>
      <c r="J16" s="60">
        <f t="shared" si="0"/>
        <v>0.54400000000000004</v>
      </c>
      <c r="K16" s="60">
        <f t="shared" si="0"/>
        <v>0.54400000000000004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0.83</v>
      </c>
      <c r="I19" s="60">
        <f>frac_malaria_risk</f>
        <v>0.83</v>
      </c>
      <c r="J19" s="60">
        <f>frac_malaria_risk</f>
        <v>0.83</v>
      </c>
      <c r="K19" s="60">
        <f>frac_malaria_risk</f>
        <v>0.83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0.19700000000000001</v>
      </c>
      <c r="M24" s="60">
        <f>famplan_unmet_need</f>
        <v>0.19700000000000001</v>
      </c>
      <c r="N24" s="60">
        <f>famplan_unmet_need</f>
        <v>0.19700000000000001</v>
      </c>
      <c r="O24" s="60">
        <f>famplan_unmet_need</f>
        <v>0.19700000000000001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0.40723769270620802</v>
      </c>
      <c r="M25" s="60">
        <f>(1-food_insecure)*(0.49)+food_insecure*(0.7)</f>
        <v>0.60424</v>
      </c>
      <c r="N25" s="60">
        <f>(1-food_insecure)*(0.49)+food_insecure*(0.7)</f>
        <v>0.60424</v>
      </c>
      <c r="O25" s="60">
        <f>(1-food_insecure)*(0.49)+food_insecure*(0.7)</f>
        <v>0.60424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0.174530439731232</v>
      </c>
      <c r="M26" s="60">
        <f>(1-food_insecure)*(0.21)+food_insecure*(0.3)</f>
        <v>0.25895999999999997</v>
      </c>
      <c r="N26" s="60">
        <f>(1-food_insecure)*(0.21)+food_insecure*(0.3)</f>
        <v>0.25895999999999997</v>
      </c>
      <c r="O26" s="60">
        <f>(1-food_insecure)*(0.21)+food_insecure*(0.3)</f>
        <v>0.25895999999999997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9.2198656762559991E-2</v>
      </c>
      <c r="M27" s="60">
        <f>(1-food_insecure)*(0.3)</f>
        <v>0.13679999999999998</v>
      </c>
      <c r="N27" s="60">
        <f>(1-food_insecure)*(0.3)</f>
        <v>0.13679999999999998</v>
      </c>
      <c r="O27" s="60">
        <f>(1-food_insecure)*(0.3)</f>
        <v>0.13679999999999998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0.83</v>
      </c>
      <c r="D34" s="60">
        <f t="shared" si="4"/>
        <v>0.83</v>
      </c>
      <c r="E34" s="60">
        <f t="shared" si="4"/>
        <v>0.83</v>
      </c>
      <c r="F34" s="60">
        <f t="shared" si="4"/>
        <v>0.83</v>
      </c>
      <c r="G34" s="60">
        <f t="shared" si="4"/>
        <v>0.83</v>
      </c>
      <c r="H34" s="60">
        <f t="shared" si="4"/>
        <v>0.83</v>
      </c>
      <c r="I34" s="60">
        <f t="shared" si="4"/>
        <v>0.83</v>
      </c>
      <c r="J34" s="60">
        <f t="shared" si="4"/>
        <v>0.83</v>
      </c>
      <c r="K34" s="60">
        <f t="shared" si="4"/>
        <v>0.83</v>
      </c>
      <c r="L34" s="60">
        <f t="shared" si="4"/>
        <v>0.83</v>
      </c>
      <c r="M34" s="60">
        <f t="shared" si="4"/>
        <v>0.83</v>
      </c>
      <c r="N34" s="60">
        <f t="shared" si="4"/>
        <v>0.83</v>
      </c>
      <c r="O34" s="60">
        <f t="shared" si="4"/>
        <v>0.83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V4P/1mFlXaDnI/t1TujnfqidYXJQumTqj4x1dZqd83aaOYB4sU+DCEID6w702xyyV2PP2fpSvrWxeV20T//nQ==" saltValue="yZ8NnLznRPgEDxJVsowqM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biK/0IKc5913wh2hMWkM2Yy3+U7yMjxI6HMncvJbGJul74XM/zE375ERhuBbr2Xnhg1DrJS6TemnD+EDcGeEUg==" saltValue="mANVoc7SeujVnGGug8Vhc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TOB0LCoisxlTJvrRtqhxf/nxg3aDPWDhvenQbd0DhV+Wo3ja3a0Ud4Aw7bjlf9P9aNAO4nFzKvlUyyypG6NHg==" saltValue="A9ceeodVFRGwgi84NLNDu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EliXG61Mr6cneOQdSxXToiHFUozmzVl/2dfRSxP52qbsZ9Jk2RUwDM3TuuBNxlWru06TDvCSA77F+nz09pNcw==" saltValue="4W9rnhlXcXsMUBxiwCtz/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+yutdSENiXL1eKNNdXyPBaq28fvC2LSXanxWxGqxi/eeulQfHr4CveC/EEeJBoNNA18YnJBJBestFgiovOjFfQ==" saltValue="pUmbEsH4H04W4euzld/BX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syoZ1Y18+j0gGoVviOCqYzw9RhZn9gOxSofUWOzUbYZmwvBHE0nM45mj8xbM5u/uH8gdq/N8XgKC0nZfkqNhWg==" saltValue="EyoS29XX1b7/AcwgHOxuv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zYCtKl32R25FEzqNnnxx41c1G3jeWmiGIMJ0DACSINAn0V9tIQY08N/Am3AH7r8tbp4YFfBJlNh0Hob1tBp3Tw==" saltValue="4NVx91io3VDGXh32Rm0lN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UEh0pjJf/jzjhNzES5D38Zy9wQWxmRRwRjDF5bYlXIwfPcHUp0QTQtIC7ojnngH8hYIc2dQygjgS4KRJiWnJjA==" saltValue="cudXgdsi+PVkVEHiPhyC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SS+ru3sfyhpEbu/xfOUuwMrc80xK6zaMfe/nh0xcIJODfRw0UwEfuHPzuKY+kgvCRz3b3E+pUgY//B0FEo7Aog==" saltValue="bBXMb0K2KlBtyT5CgGzX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u1vSuwj3TiGXlOCC1Q/50VyWf7IJi0Tc28TbaUBhf2xVnvKP3CcX2c15kpaWOGLQvfNzLjmZxi0T/R65Foe2g==" saltValue="ua3qhSasu2nMVEHxfOv+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KpAoev31qRQ5BCQCzm8wDLcZZ3rS3mdUrDmBL9os8TsnCeYWzt3sNfIRZu/gPaYYWhyDuPnisxLcjAIyuVTrw==" saltValue="p6GS767hZ/LqS8i4eBrK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4ABGIOynW+ZBWQytEUL6Ra7KLqkzachVbLVBciMweRPJGJPhMHyfIl6AQE25Hxx6BbPPA2LVK4uasDn65NFsHQ==" saltValue="CjSeMTy90hgd9ZxaX/Ae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e+i5dL4FBQrbyBcTj3QLZ4o+bo/0rkmJ8VKaxMNDU0nuFV8gEYCI8vDqVx9xqWTQrzO7jSPvRRbhSE95pk0z/A==" saltValue="H1TNjyKCp9yoXUpifQ3W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OFkGJOdunPfPK7aNUv7+w5/2iFSUaiy/NQnzfg0VbgIO5rtgp+O3I4OJ2sWdxwFtZqaIYu38A6QfwN23f7k8PA==" saltValue="baF0rw4PtsnjfcI+TBMp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F4m6ryyeVVT0ZqzcNV8aUWGV1OJDqJx/rtPHc02t36lLETD4EP6yeJWwf4JhnuSmEjT94WSbjW15588PlGm6Ig==" saltValue="4A62oHlJENYCExqSpxzBj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2025-07-30T01:34:26Z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