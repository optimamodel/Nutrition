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4CF08DB-AB8F-413E-93F9-18EC0BD5D3A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21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36" i="2" s="1"/>
  <c r="C33" i="1"/>
  <c r="C20" i="1"/>
  <c r="A37" i="2" l="1"/>
  <c r="I12" i="2"/>
  <c r="I38" i="2"/>
  <c r="A29" i="2"/>
  <c r="I4" i="2"/>
  <c r="A14" i="2"/>
  <c r="A38" i="2"/>
  <c r="A3" i="2"/>
  <c r="A18" i="2"/>
  <c r="A26" i="2"/>
  <c r="A34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0" i="2"/>
  <c r="A40" i="2"/>
  <c r="A15" i="2"/>
  <c r="A23" i="2"/>
  <c r="A31" i="2"/>
  <c r="A16" i="2"/>
  <c r="A24" i="2"/>
  <c r="A32" i="2"/>
  <c r="A17" i="2"/>
  <c r="A25" i="2"/>
  <c r="A33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<sst xmlns="http://schemas.openxmlformats.org/spreadsheetml/2006/main" count="2101" uniqueCount="341">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</sst>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3297990.21875</v>
      </c>
    </row>
    <row r="8" spans="1:3" ht="15" customHeight="1" x14ac:dyDescent="0.25">
      <c r="B8" s="5" t="s">
        <v>44</v>
      </c>
      <c r="C8" s="44">
        <v>0.57499999999999996</v>
      </c>
    </row>
    <row r="9" spans="1:3" ht="15" customHeight="1" x14ac:dyDescent="0.25">
      <c r="B9" s="5" t="s">
        <v>43</v>
      </c>
      <c r="C9" s="45">
        <v>0.83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0.36199999999999999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9.5700000000000007E-2</v>
      </c>
    </row>
    <row r="24" spans="1:3" ht="15" customHeight="1" x14ac:dyDescent="0.25">
      <c r="B24" s="15" t="s">
        <v>46</v>
      </c>
      <c r="C24" s="45">
        <v>0.50319999999999998</v>
      </c>
    </row>
    <row r="25" spans="1:3" ht="15" customHeight="1" x14ac:dyDescent="0.25">
      <c r="B25" s="15" t="s">
        <v>47</v>
      </c>
      <c r="C25" s="45">
        <v>0.32229999999999998</v>
      </c>
    </row>
    <row r="26" spans="1:3" ht="15" customHeight="1" x14ac:dyDescent="0.25">
      <c r="B26" s="15" t="s">
        <v>48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0.25571203379649299</v>
      </c>
    </row>
    <row r="30" spans="1:3" ht="14.25" customHeight="1" x14ac:dyDescent="0.25">
      <c r="B30" s="25" t="s">
        <v>63</v>
      </c>
      <c r="C30" s="99">
        <v>3.3819814705800401E-2</v>
      </c>
    </row>
    <row r="31" spans="1:3" ht="14.25" customHeight="1" x14ac:dyDescent="0.25">
      <c r="B31" s="25" t="s">
        <v>10</v>
      </c>
      <c r="C31" s="99">
        <v>7.04524288623571E-2</v>
      </c>
    </row>
    <row r="32" spans="1:3" ht="14.25" customHeight="1" x14ac:dyDescent="0.25">
      <c r="B32" s="25" t="s">
        <v>11</v>
      </c>
      <c r="C32" s="99">
        <v>0.64001572263535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24.560659999999999</v>
      </c>
    </row>
    <row r="38" spans="1:5" ht="15" customHeight="1" x14ac:dyDescent="0.25">
      <c r="B38" s="11" t="s">
        <v>35</v>
      </c>
      <c r="C38" s="43">
        <v>40.190779999999997</v>
      </c>
      <c r="D38" s="12"/>
      <c r="E38" s="13"/>
    </row>
    <row r="39" spans="1:5" ht="15" customHeight="1" x14ac:dyDescent="0.25">
      <c r="B39" s="11" t="s">
        <v>61</v>
      </c>
      <c r="C39" s="43">
        <v>57.691830000000003</v>
      </c>
      <c r="D39" s="12"/>
      <c r="E39" s="12"/>
    </row>
    <row r="40" spans="1:5" ht="15" customHeight="1" x14ac:dyDescent="0.25">
      <c r="B40" s="11" t="s">
        <v>36</v>
      </c>
      <c r="C40" s="100">
        <v>1.35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6.5190999999999999E-3</v>
      </c>
      <c r="D45" s="12"/>
    </row>
    <row r="46" spans="1:5" ht="15.75" customHeight="1" x14ac:dyDescent="0.25">
      <c r="B46" s="11" t="s">
        <v>51</v>
      </c>
      <c r="C46" s="45">
        <v>7.0119699999999993E-2</v>
      </c>
      <c r="D46" s="12"/>
    </row>
    <row r="47" spans="1:5" ht="15.75" customHeight="1" x14ac:dyDescent="0.25">
      <c r="B47" s="11" t="s">
        <v>59</v>
      </c>
      <c r="C47" s="45">
        <v>0.16534509999999999</v>
      </c>
      <c r="D47" s="12"/>
      <c r="E47" s="13"/>
    </row>
    <row r="48" spans="1:5" ht="15" customHeight="1" x14ac:dyDescent="0.25">
      <c r="B48" s="11" t="s">
        <v>58</v>
      </c>
      <c r="C48" s="46">
        <v>0.75801609999999997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0.50240399999999996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0.11598694999999901</v>
      </c>
    </row>
    <row r="63" spans="1:4" ht="15.75" customHeight="1" x14ac:dyDescent="0.3">
      <c r="A63" s="4"/>
    </row>
  </sheetData>
  <sheetProtection algorithmName="SHA-512" hashValue="Lz9pMyv8DHdUSoSX14MeX/oB1ULHcwekyOz+7RoI/PiqWlHbOFXmUlwNHrgGl763Nspm3BVcJnacB4Zv3fiBPw==" saltValue="vS0HonBE1DG1L4ye0VJk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704170</v>
      </c>
      <c r="C2" s="49">
        <v>1459407</v>
      </c>
      <c r="D2" s="49">
        <v>1862453.5</v>
      </c>
      <c r="E2" s="49">
        <v>1362335.5</v>
      </c>
      <c r="F2" s="49">
        <v>811918.5</v>
      </c>
      <c r="G2" s="17">
        <f t="shared" ref="G2:G13" si="0">C2+D2+E2+F2</f>
        <v>5496114.5</v>
      </c>
      <c r="H2" s="17">
        <f t="shared" ref="H2:H13" si="1">(B2 + stillbirth*B2/(1000-stillbirth))/(1-abortion)</f>
        <v>811746.6995354672</v>
      </c>
      <c r="I2" s="17">
        <f t="shared" ref="I2:I13" si="2">G2-H2</f>
        <v>4684367.8004645333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714029</v>
      </c>
      <c r="C3" s="50">
        <v>1500491</v>
      </c>
      <c r="D3" s="50">
        <v>1920541.5</v>
      </c>
      <c r="E3" s="50">
        <v>1401718.5</v>
      </c>
      <c r="F3" s="50">
        <v>846201.5</v>
      </c>
      <c r="G3" s="17">
        <f t="shared" si="0"/>
        <v>5668952.5</v>
      </c>
      <c r="H3" s="17">
        <f t="shared" si="1"/>
        <v>823111.86804693483</v>
      </c>
      <c r="I3" s="17">
        <f t="shared" si="2"/>
        <v>4845840.6319530653</v>
      </c>
    </row>
    <row r="4" spans="1:9" ht="15.75" customHeight="1" x14ac:dyDescent="0.25">
      <c r="A4" s="5">
        <f t="shared" si="3"/>
        <v>2026</v>
      </c>
      <c r="B4" s="49">
        <v>725472</v>
      </c>
      <c r="C4" s="50">
        <v>1538241</v>
      </c>
      <c r="D4" s="50">
        <v>1982390.5</v>
      </c>
      <c r="E4" s="50">
        <v>1441311.5</v>
      </c>
      <c r="F4" s="50">
        <v>880695</v>
      </c>
      <c r="G4" s="17">
        <f t="shared" si="0"/>
        <v>5842638</v>
      </c>
      <c r="H4" s="17">
        <f t="shared" si="1"/>
        <v>836303.02569747996</v>
      </c>
      <c r="I4" s="17">
        <f t="shared" si="2"/>
        <v>5006334.97430252</v>
      </c>
    </row>
    <row r="5" spans="1:9" ht="15.75" customHeight="1" x14ac:dyDescent="0.25">
      <c r="A5" s="5">
        <f t="shared" si="3"/>
        <v>2027</v>
      </c>
      <c r="B5" s="49">
        <v>738616</v>
      </c>
      <c r="C5" s="50">
        <v>1572840</v>
      </c>
      <c r="D5" s="50">
        <v>2047192.5</v>
      </c>
      <c r="E5" s="50">
        <v>1481520.5</v>
      </c>
      <c r="F5" s="50">
        <v>915437.5</v>
      </c>
      <c r="G5" s="17">
        <f t="shared" si="0"/>
        <v>6016990.5</v>
      </c>
      <c r="H5" s="17">
        <f t="shared" si="1"/>
        <v>851455.04668487527</v>
      </c>
      <c r="I5" s="17">
        <f t="shared" si="2"/>
        <v>5165535.4533151248</v>
      </c>
    </row>
    <row r="6" spans="1:9" ht="15.75" customHeight="1" x14ac:dyDescent="0.25">
      <c r="A6" s="5">
        <f t="shared" si="3"/>
        <v>2028</v>
      </c>
      <c r="B6" s="49">
        <v>745885</v>
      </c>
      <c r="C6" s="50">
        <v>1604200</v>
      </c>
      <c r="D6" s="50">
        <v>2113825</v>
      </c>
      <c r="E6" s="50">
        <v>1523043.5</v>
      </c>
      <c r="F6" s="50">
        <v>950030.5</v>
      </c>
      <c r="G6" s="17">
        <f t="shared" si="0"/>
        <v>6191099</v>
      </c>
      <c r="H6" s="17">
        <f t="shared" si="1"/>
        <v>859834.53851060383</v>
      </c>
      <c r="I6" s="17">
        <f t="shared" si="2"/>
        <v>5331264.4614893962</v>
      </c>
    </row>
    <row r="7" spans="1:9" ht="15.75" customHeight="1" x14ac:dyDescent="0.25">
      <c r="A7" s="5">
        <f t="shared" si="3"/>
        <v>2029</v>
      </c>
      <c r="B7" s="49">
        <v>755639</v>
      </c>
      <c r="C7" s="50">
        <v>1632338</v>
      </c>
      <c r="D7" s="50">
        <v>2181643</v>
      </c>
      <c r="E7" s="50">
        <v>1566289</v>
      </c>
      <c r="F7" s="50">
        <v>984385.99999999988</v>
      </c>
      <c r="G7" s="17">
        <f t="shared" si="0"/>
        <v>6364656</v>
      </c>
      <c r="H7" s="17">
        <f t="shared" si="1"/>
        <v>871078.66607535235</v>
      </c>
      <c r="I7" s="17">
        <f t="shared" si="2"/>
        <v>5493577.3339246474</v>
      </c>
    </row>
    <row r="8" spans="1:9" ht="15.75" customHeight="1" x14ac:dyDescent="0.25">
      <c r="A8" s="5">
        <f t="shared" si="3"/>
        <v>2030</v>
      </c>
      <c r="B8" s="49">
        <v>765497</v>
      </c>
      <c r="C8" s="50">
        <v>1658559.5</v>
      </c>
      <c r="D8" s="50">
        <v>2250031.5</v>
      </c>
      <c r="E8" s="50">
        <v>1611730</v>
      </c>
      <c r="F8" s="50">
        <v>1019028</v>
      </c>
      <c r="G8" s="17">
        <f t="shared" si="0"/>
        <v>6539349</v>
      </c>
      <c r="H8" s="17">
        <f t="shared" si="1"/>
        <v>882442.68181589886</v>
      </c>
      <c r="I8" s="17">
        <f t="shared" si="2"/>
        <v>5656906.318184101</v>
      </c>
    </row>
    <row r="9" spans="1:9" ht="15.75" customHeight="1" x14ac:dyDescent="0.25">
      <c r="A9" s="5">
        <f t="shared" si="3"/>
        <v>2031</v>
      </c>
      <c r="B9" s="49">
        <v>772427</v>
      </c>
      <c r="C9" s="50">
        <v>1683381</v>
      </c>
      <c r="D9" s="50">
        <v>2318915.5</v>
      </c>
      <c r="E9" s="50">
        <v>1658989</v>
      </c>
      <c r="F9" s="50">
        <v>1053420.5</v>
      </c>
      <c r="G9" s="17">
        <f t="shared" si="0"/>
        <v>6714706</v>
      </c>
      <c r="H9" s="17">
        <f t="shared" si="1"/>
        <v>890431.38429936278</v>
      </c>
      <c r="I9" s="17">
        <f t="shared" si="2"/>
        <v>5824274.615700637</v>
      </c>
    </row>
    <row r="10" spans="1:9" ht="15.75" customHeight="1" x14ac:dyDescent="0.25">
      <c r="A10" s="5">
        <f t="shared" si="3"/>
        <v>2032</v>
      </c>
      <c r="B10" s="49">
        <v>783901</v>
      </c>
      <c r="C10" s="50">
        <v>1707692</v>
      </c>
      <c r="D10" s="50">
        <v>2387140</v>
      </c>
      <c r="E10" s="50">
        <v>1707867.5</v>
      </c>
      <c r="F10" s="50">
        <v>1086965.5</v>
      </c>
      <c r="G10" s="17">
        <f t="shared" si="0"/>
        <v>6889665</v>
      </c>
      <c r="H10" s="17">
        <f t="shared" si="1"/>
        <v>903658.27784846304</v>
      </c>
      <c r="I10" s="17">
        <f t="shared" si="2"/>
        <v>5986006.7221515365</v>
      </c>
    </row>
    <row r="11" spans="1:9" ht="15.75" customHeight="1" x14ac:dyDescent="0.25">
      <c r="A11" s="5">
        <f t="shared" si="3"/>
        <v>2033</v>
      </c>
      <c r="B11" s="49">
        <v>791771</v>
      </c>
      <c r="C11" s="50">
        <v>1732645.5</v>
      </c>
      <c r="D11" s="50">
        <v>2453039.5</v>
      </c>
      <c r="E11" s="50">
        <v>1758835</v>
      </c>
      <c r="F11" s="50">
        <v>1120104</v>
      </c>
      <c r="G11" s="17">
        <f t="shared" si="0"/>
        <v>7064624</v>
      </c>
      <c r="H11" s="17">
        <f t="shared" si="1"/>
        <v>912730.58499779366</v>
      </c>
      <c r="I11" s="17">
        <f t="shared" si="2"/>
        <v>6151893.4150022063</v>
      </c>
    </row>
    <row r="12" spans="1:9" ht="15.75" customHeight="1" x14ac:dyDescent="0.25">
      <c r="A12" s="5">
        <f t="shared" si="3"/>
        <v>2034</v>
      </c>
      <c r="B12" s="49">
        <v>797473</v>
      </c>
      <c r="C12" s="50">
        <v>1759195.5</v>
      </c>
      <c r="D12" s="50">
        <v>2514763.5</v>
      </c>
      <c r="E12" s="50">
        <v>1812559</v>
      </c>
      <c r="F12" s="50">
        <v>1153392</v>
      </c>
      <c r="G12" s="17">
        <f t="shared" si="0"/>
        <v>7239910</v>
      </c>
      <c r="H12" s="17">
        <f t="shared" si="1"/>
        <v>919303.68479010416</v>
      </c>
      <c r="I12" s="17">
        <f t="shared" si="2"/>
        <v>6320606.3152098954</v>
      </c>
    </row>
    <row r="13" spans="1:9" ht="15.75" customHeight="1" x14ac:dyDescent="0.25">
      <c r="A13" s="5">
        <f t="shared" si="3"/>
        <v>2035</v>
      </c>
      <c r="B13" s="49">
        <v>803924</v>
      </c>
      <c r="C13" s="50">
        <v>1787762.5</v>
      </c>
      <c r="D13" s="50">
        <v>2571480.5</v>
      </c>
      <c r="E13" s="50">
        <v>1869995</v>
      </c>
      <c r="F13" s="50">
        <v>1187330</v>
      </c>
      <c r="G13" s="17">
        <f t="shared" si="0"/>
        <v>7416568</v>
      </c>
      <c r="H13" s="17">
        <f t="shared" si="1"/>
        <v>926740.21000234445</v>
      </c>
      <c r="I13" s="17">
        <f t="shared" si="2"/>
        <v>6489827.7899976559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1Qv2PD+8R9S+peHpzAyZvSNivK+cqsS08hrf5CFDiGYFOdiCZER9BkGaeauCRZamxK8tWScOFmb13HC44bSug==" saltValue="tnykBAfZQR/km2fQP7Xa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9.0967995857898585E-3</v>
      </c>
    </row>
    <row r="4" spans="1:8" ht="15.75" customHeight="1" x14ac:dyDescent="0.25">
      <c r="B4" s="19" t="s">
        <v>97</v>
      </c>
      <c r="C4" s="101">
        <v>6.4092908854742933E-2</v>
      </c>
    </row>
    <row r="5" spans="1:8" ht="15.75" customHeight="1" x14ac:dyDescent="0.25">
      <c r="B5" s="19" t="s">
        <v>95</v>
      </c>
      <c r="C5" s="101">
        <v>9.1282258767163948E-2</v>
      </c>
    </row>
    <row r="6" spans="1:8" ht="15.75" customHeight="1" x14ac:dyDescent="0.25">
      <c r="B6" s="19" t="s">
        <v>91</v>
      </c>
      <c r="C6" s="101">
        <v>0.25451199617035808</v>
      </c>
    </row>
    <row r="7" spans="1:8" ht="15.75" customHeight="1" x14ac:dyDescent="0.25">
      <c r="B7" s="19" t="s">
        <v>96</v>
      </c>
      <c r="C7" s="101">
        <v>0.39199030171442639</v>
      </c>
    </row>
    <row r="8" spans="1:8" ht="15.75" customHeight="1" x14ac:dyDescent="0.25">
      <c r="B8" s="19" t="s">
        <v>98</v>
      </c>
      <c r="C8" s="101">
        <v>1.5420714712771921E-3</v>
      </c>
    </row>
    <row r="9" spans="1:8" ht="15.75" customHeight="1" x14ac:dyDescent="0.25">
      <c r="B9" s="19" t="s">
        <v>92</v>
      </c>
      <c r="C9" s="101">
        <v>6.391594819168625E-2</v>
      </c>
    </row>
    <row r="10" spans="1:8" ht="15.75" customHeight="1" x14ac:dyDescent="0.25">
      <c r="B10" s="19" t="s">
        <v>94</v>
      </c>
      <c r="C10" s="101">
        <v>0.1235677152445553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102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2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90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3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101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79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88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99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8.1868175000000001E-2</v>
      </c>
    </row>
    <row r="27" spans="1:8" ht="15.75" customHeight="1" x14ac:dyDescent="0.25">
      <c r="B27" s="19" t="s">
        <v>89</v>
      </c>
      <c r="C27" s="101">
        <v>8.1904539999999998E-3</v>
      </c>
    </row>
    <row r="28" spans="1:8" ht="15.75" customHeight="1" x14ac:dyDescent="0.25">
      <c r="B28" s="19" t="s">
        <v>103</v>
      </c>
      <c r="C28" s="101">
        <v>0.143739488</v>
      </c>
    </row>
    <row r="29" spans="1:8" ht="15.75" customHeight="1" x14ac:dyDescent="0.25">
      <c r="B29" s="19" t="s">
        <v>86</v>
      </c>
      <c r="C29" s="101">
        <v>0.15393818500000001</v>
      </c>
    </row>
    <row r="30" spans="1:8" ht="15.75" customHeight="1" x14ac:dyDescent="0.25">
      <c r="B30" s="19" t="s">
        <v>4</v>
      </c>
      <c r="C30" s="101">
        <v>9.7379692000000004E-2</v>
      </c>
    </row>
    <row r="31" spans="1:8" ht="15.75" customHeight="1" x14ac:dyDescent="0.25">
      <c r="B31" s="19" t="s">
        <v>80</v>
      </c>
      <c r="C31" s="101">
        <v>9.8883503999999997E-2</v>
      </c>
    </row>
    <row r="32" spans="1:8" ht="15.75" customHeight="1" x14ac:dyDescent="0.25">
      <c r="B32" s="19" t="s">
        <v>85</v>
      </c>
      <c r="C32" s="101">
        <v>1.7031174E-2</v>
      </c>
    </row>
    <row r="33" spans="2:3" ht="15.75" customHeight="1" x14ac:dyDescent="0.25">
      <c r="B33" s="19" t="s">
        <v>100</v>
      </c>
      <c r="C33" s="101">
        <v>7.6512073999999999E-2</v>
      </c>
    </row>
    <row r="34" spans="2:3" ht="15.75" customHeight="1" x14ac:dyDescent="0.25">
      <c r="B34" s="19" t="s">
        <v>87</v>
      </c>
      <c r="C34" s="101">
        <v>0.32245725400000003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mifwc4E05itlfzG8ULZGVG07sJhAh8QP/L2+YUy3isXziLouIsXjVxvEvByaw3VU384zY7W3aw2tDk/op7fsNg==" saltValue="PrHPp8Ij9SuDj7hl6hxF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110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106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107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119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i4yqUyJfuvHYrn6ncPVFni0mUsnQEhSWqDtuOei4WeWLA1R5TSZ7cwQhGW7fd76HaweyPYOIjuAhCHSvhwdtQ==" saltValue="TSCbflvZA0/Ufq90YGQW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125</v>
      </c>
      <c r="C5" s="52">
        <v>4.2929000000000002E-2</v>
      </c>
      <c r="D5" s="52">
        <v>3.6036400000000003E-2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xv9wFDDUJLwTR6KO3A3e0dhghMjMYrPzOhqvY8YC5VniIqFuYqrwixalKRfyGoJw0SbKxvyCS1EZXiFUKV048Q==" saltValue="Dv4R1JZqjaEUBrW5jgkI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hlRvY01ajvsK574ivboEEE2m7ZDDgRsm0WJSxAX0nboxCQgZIwpsVFpn9xFIafKDLGHXeCAqAEZ2pemCo+I3w==" saltValue="lpJVh4BfIN8CURvFkOnX/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yQW5v/RwbDcq87w3OZo/9e+/ZhdMeK1Sj5/gv0jSri2HPwn8z4bidzzuSt8WkeHB5gqlYilb1/y11pzNyhlkSg==" saltValue="dA0dtDpRUZVVHg74QO0t/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x3Ox9uoowRTDusf4cepkk/y5I5DhrP5OvmdsQhzs7eFZMkFgnHlNN8/ySvkjWKr9ORrYyjJ3sFDwtA5JEMQ8fA==" saltValue="QzatBoKOyfCodq86IcIH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ijrxRaTsYPsp4gJnRESkhZbsOlqXM8ouOIIFqm8x2+lzxMzvzrAosvmuCenw3LnWInRzGJ34RlyDUv9c+lubg==" saltValue="ImjqQdAEvJbAkhsqUTUw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6.3350645814048709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0.40779590398884003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0.25</v>
      </c>
      <c r="C9" s="98">
        <v>0.95</v>
      </c>
      <c r="D9" s="56">
        <v>0.40270942638052859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0.72482939999999996</v>
      </c>
      <c r="C10" s="98">
        <v>0.95</v>
      </c>
      <c r="D10" s="56">
        <v>14.26897757170995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14.26897757170995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14.26897757170995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14.26897757170995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0.72482939999999996</v>
      </c>
      <c r="C14" s="98">
        <v>0.95</v>
      </c>
      <c r="D14" s="56">
        <v>14.26897757170995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14.26897757170995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0.80843429999999994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0.46</v>
      </c>
      <c r="C18" s="98">
        <v>0.95</v>
      </c>
      <c r="D18" s="56">
        <v>6.3350645814048709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0.64176169999999999</v>
      </c>
      <c r="C19" s="98">
        <v>0.95</v>
      </c>
      <c r="D19" s="56">
        <v>6.3350645814048709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24.366673580157041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0.71545519999999996</v>
      </c>
      <c r="C23" s="98">
        <v>0.95</v>
      </c>
      <c r="D23" s="56">
        <v>4.7084773800389677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0.59945256852146001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5.5E-2</v>
      </c>
      <c r="C26" s="98">
        <v>0.95</v>
      </c>
      <c r="D26" s="56">
        <v>4.5703872731578228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0.66792069999999992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0.23221729999999999</v>
      </c>
      <c r="C29" s="98">
        <v>0.95</v>
      </c>
      <c r="D29" s="56">
        <v>112.4872415972974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152.34624243859409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0.95</v>
      </c>
      <c r="C32" s="98">
        <v>0.95</v>
      </c>
      <c r="D32" s="56">
        <v>1.19337889910232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0.18154609999999999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0.73697869999999999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5.3560000000000001E-4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0.3439854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0.33500000000000002</v>
      </c>
      <c r="C38" s="98">
        <v>0.95</v>
      </c>
      <c r="D38" s="56">
        <v>1.1425968182894559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cNqqgfeIpHZiJl/smseLmPoq1jOKWJ7K1rWyu7MnXVfCAOYLC68eE4CX6nNaz4mlfG3KGJ7VCMgHXiJAQdgfLw==" saltValue="DFucKVrvnCIuXiNJs2eP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OMNvhxww5ZC+gIBjlGs8mi8XQhbGp6S3DGta49vdXJtb0l4ygo8F4/6FribM9YTAXLse1U3VDaJXrzduzdSX3g==" saltValue="wMt0MQuYLnbRdsXW1xJA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PWV1sRcyxuJAe2VG0HNWWg6aIQq35aXmcd/O3KbXIT5JReBxYngU1dlZwdJ0Svcnp9MxM7clvBb+Q9WLqB4zg==" saltValue="CqrjIaqQY9qyYpREHKVA1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207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owgrDfXutSDqoK/LonH78acgymn5RndGOLBAveR+thxpW2yeIgIf45OY6GYSyxD5P9jLdrSQ8sBigf0Dq4IrBw==" saltValue="1SesdoMcdkvoMnaTOtQTk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0.57499999999999996</v>
      </c>
      <c r="E2" s="60">
        <f>food_insecure</f>
        <v>0.57499999999999996</v>
      </c>
      <c r="F2" s="60">
        <f>food_insecure</f>
        <v>0.57499999999999996</v>
      </c>
      <c r="G2" s="60">
        <f>food_insecure</f>
        <v>0.57499999999999996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0.57499999999999996</v>
      </c>
      <c r="F5" s="60">
        <f>food_insecure</f>
        <v>0.57499999999999996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0.57499999999999996</v>
      </c>
      <c r="F8" s="60">
        <f>food_insecure</f>
        <v>0.57499999999999996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0.57499999999999996</v>
      </c>
      <c r="F9" s="60">
        <f>food_insecure</f>
        <v>0.57499999999999996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0.57499999999999996</v>
      </c>
      <c r="I15" s="60">
        <f>food_insecure</f>
        <v>0.57499999999999996</v>
      </c>
      <c r="J15" s="60">
        <f>food_insecure</f>
        <v>0.57499999999999996</v>
      </c>
      <c r="K15" s="60">
        <f>food_insecure</f>
        <v>0.57499999999999996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0.36199999999999999</v>
      </c>
      <c r="M24" s="60">
        <f>famplan_unmet_need</f>
        <v>0.36199999999999999</v>
      </c>
      <c r="N24" s="60">
        <f>famplan_unmet_need</f>
        <v>0.36199999999999999</v>
      </c>
      <c r="O24" s="60">
        <f>famplan_unmet_need</f>
        <v>0.36199999999999999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0.41162521650390005</v>
      </c>
      <c r="M25" s="60">
        <f>(1-food_insecure)*(0.49)+food_insecure*(0.7)</f>
        <v>0.61075000000000002</v>
      </c>
      <c r="N25" s="60">
        <f>(1-food_insecure)*(0.49)+food_insecure*(0.7)</f>
        <v>0.61075000000000002</v>
      </c>
      <c r="O25" s="60">
        <f>(1-food_insecure)*(0.49)+food_insecure*(0.7)</f>
        <v>0.61075000000000002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0.17641080707310003</v>
      </c>
      <c r="M26" s="60">
        <f>(1-food_insecure)*(0.21)+food_insecure*(0.3)</f>
        <v>0.26174999999999998</v>
      </c>
      <c r="N26" s="60">
        <f>(1-food_insecure)*(0.21)+food_insecure*(0.3)</f>
        <v>0.26174999999999998</v>
      </c>
      <c r="O26" s="60">
        <f>(1-food_insecure)*(0.21)+food_insecure*(0.3)</f>
        <v>0.26174999999999998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8.5930765623000019E-2</v>
      </c>
      <c r="M27" s="60">
        <f>(1-food_insecure)*(0.3)</f>
        <v>0.1275</v>
      </c>
      <c r="N27" s="60">
        <f>(1-food_insecure)*(0.3)</f>
        <v>0.1275</v>
      </c>
      <c r="O27" s="60">
        <f>(1-food_insecure)*(0.3)</f>
        <v>0.1275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0.83</v>
      </c>
      <c r="D34" s="60">
        <f t="shared" si="3"/>
        <v>0.83</v>
      </c>
      <c r="E34" s="60">
        <f t="shared" si="3"/>
        <v>0.83</v>
      </c>
      <c r="F34" s="60">
        <f t="shared" si="3"/>
        <v>0.83</v>
      </c>
      <c r="G34" s="60">
        <f t="shared" si="3"/>
        <v>0.83</v>
      </c>
      <c r="H34" s="60">
        <f t="shared" si="3"/>
        <v>0.83</v>
      </c>
      <c r="I34" s="60">
        <f t="shared" si="3"/>
        <v>0.83</v>
      </c>
      <c r="J34" s="60">
        <f t="shared" si="3"/>
        <v>0.83</v>
      </c>
      <c r="K34" s="60">
        <f t="shared" si="3"/>
        <v>0.83</v>
      </c>
      <c r="L34" s="60">
        <f t="shared" si="3"/>
        <v>0.83</v>
      </c>
      <c r="M34" s="60">
        <f t="shared" si="3"/>
        <v>0.83</v>
      </c>
      <c r="N34" s="60">
        <f t="shared" si="3"/>
        <v>0.83</v>
      </c>
      <c r="O34" s="60">
        <f t="shared" si="3"/>
        <v>0.83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WERrJd1ONh0VtlWyvbUdFj+n8UrP9XvXShYzDxokv1I1e/XbNrXlnKPtZIgaTWPdhuTTz7tAC0KeKeZAs1iJQ==" saltValue="UD12wkv/sl/Dg8EkOq+3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x3iHAZiHVAbWoZrtlJcHrhzdloRY8Ip/k23ZaUyGEV7ccJ6NJX1D982vPb+DJUqQrUMiyTyKyF3adFPgDcSa7g==" saltValue="hGFy5ACd9q70NraDfn3h7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jL/63I/kZqLPvfpSJguEBNzLI/T9YraTFctcTLGQuiMieliqPq1yrakScuOoeNuUWsuKido2fJxvkZvGmHiHw==" saltValue="YI+UpFuoBGN/UYZxZiYpR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Qr1dqQNlCzN8JMmKjwqgeFw5ZT9G2BYTaawcfgo9U2AorXHcRKl+2cHjVmM8nSIbMidyu0yQGcLGkp/x6F6Hw==" saltValue="mSh9cU4CPNBOuPKFyzuS2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J8AU9k9vG9xQFtKgfnp9UVxvkeS8edO5KmWkFBlHqctQc4ekEh1+BxSl4nJ2k9l+MmwJv1sbPaYLPkJdssw+Q==" saltValue="PqUP3Yek1JaU0nQ0KySQ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ghSt6y60qRpNnqrSn8iQbLDOoa4OgItWsXbUptxv+jZC2knCbAuISVgNeFnJs/UqzvMXVDYGd9P+YzVpx6yYg==" saltValue="HTHPZuefABgA8pZQHWTvT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+4AFeMxE44jLvbJ7vHV6wxqNUOaN66oYPU5iiFdPoT1FdQwJrwkbqI23FSmc0pL0gCdIXO8slgEfRlE5CNUVA==" saltValue="ThXc9SLrdhJSRawuU36Lf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pcKigDa/31AZWrcxwGU/REu295s5QcYYcH1wsi17QEsQZG02orVn+/EzeaK4jp8CB3UqDgxWNdp3aQHidVdxg==" saltValue="FcVJ6VyqQBXfRX2ygQA6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pfGXbQ85uz0wUWLdxmzOuVtdpDh2Yjd/mx/LKK56L5cFHdFOipIU88h7yRDVfDwxcc/tlcrT/TffLaEgA3sWw==" saltValue="Nj2SlMA6fX6J+fXPOenh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8cnn0SZyKU+0gEQ7DzNAoFwJSwlkh6SmUHIRM5fL+DKo4r/WHmn6XCl3Mlnb79NqiJKmGyaJzQWZh83/qNa93w==" saltValue="wTeGABbIqtCCyw02DDVp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T+aseTXFRlZebg6t33XoX0EXheJFwniHlvUCjhuxGLR9b22bpA6CbnbmnNEGZx57x5vs6UU1GMmVQ/S5Mi+SA==" saltValue="djt/vE8i6MQI/kpTW5g7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Uds+h5YGFl/jvErryJ7XPC+LwcTWh3BzbutLsNzJJU/W2rZ7761G2xPeN8H8QIZ4la1U/n3Ypy1LRZRuXIcUA==" saltValue="h5bqifuU+NXiivmCsjfI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DF0CbY4H8QPkY7gqeVY6lIMXZvv9vEGucjgk3tn1ullEyg6N/LUNBx515WYcSsQADaq95oCUAjX2Udt+mSIjQ==" saltValue="dwALcGdFxUjSaa0/7NRS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0.10900696063684545</v>
      </c>
      <c r="G18" s="90">
        <f>MIN(MAX(1-0.89/(1-frac_sam_12_23months+(frac_sam_12_23months*0.89)),0),1)</f>
        <v>0.10826682651227604</v>
      </c>
      <c r="H18" s="90">
        <f>MIN(MAX(1-0.89/(1-frac_sam_24_59months+(frac_sam_24_59months*0.89)),0),1)</f>
        <v>0.10865495854976148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0.10592026679114219</v>
      </c>
      <c r="G20" s="90">
        <f>MIN(MAX(1-0.89/(1-frac_mam_12_23months+(frac_mam_12_23months*0.89)),0),1)</f>
        <v>0.10651936129124939</v>
      </c>
      <c r="H20" s="90">
        <f>MIN(MAX(1-0.89/(1-frac_mam_24_59months+(frac_mam_24_59months*0.89)),0),1)</f>
        <v>0.10784240160324932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9.899682045684588E-3</v>
      </c>
      <c r="G73" s="90">
        <f>MIN(MAX(1-0.99/(1-frac_sam_12_23months+(frac_sam_12_23months*0.99)),0),1)</f>
        <v>9.8250449970256337E-3</v>
      </c>
      <c r="H73" s="90">
        <f>MIN(MAX(1-0.99/(1-frac_sam_24_59months+(frac_sam_24_59months*0.99)),0),1)</f>
        <v>9.8641711867317738E-3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9.5891548019624295E-3</v>
      </c>
      <c r="G75" s="90">
        <f>MIN(MAX(1-0.99/(1-frac_mam_12_23months+(frac_mam_12_23months*0.99)),0),1)</f>
        <v>9.6492722415180143E-3</v>
      </c>
      <c r="H75" s="90">
        <f>MIN(MAX(1-0.99/(1-frac_mam_24_59months+(frac_mam_24_59months*0.99)),0),1)</f>
        <v>9.7822956866181476E-3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0.19837557222707236</v>
      </c>
      <c r="G128" s="90">
        <f>MIN(MAX(1-0.8/(1-frac_sam_12_23months+(frac_sam_12_23months*0.8)),0),1)</f>
        <v>0.19716291826381904</v>
      </c>
      <c r="H128" s="90">
        <f>MIN(MAX(1-0.8/(1-frac_sam_24_59months+(frac_sam_24_59months*0.8)),0),1)</f>
        <v>0.1977990493838514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0.19330730633471371</v>
      </c>
      <c r="G130" s="90">
        <f>MIN(MAX(1-0.8/(1-frac_mam_12_23months+(frac_mam_12_23months*0.8)),0),1)</f>
        <v>0.19429325972933686</v>
      </c>
      <c r="H130" s="90">
        <f>MIN(MAX(1-0.8/(1-frac_mam_24_59months+(frac_mam_24_59months*0.8)),0),1)</f>
        <v>0.19646678409634999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uwM23NCz08KyME/EDkNuAfK6UfvXEOH++6TcQzuqbY9dy0GEQBvpztCSvJ1SgHsGwNMPcVZN/U1UCaj2GfCgQ==" saltValue="hf0k+tKi2kULFjnNgrdF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8Tg657iOiC1Vmyvkdbz4qObpa+txIAXZ/7TDR1zgcRys8yoyUnhm1uqlWqQk7U6K99mPzOhp03ZHTcoTYtqjQ==" saltValue="fYZkz8bsRip6vuRn9rLdc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2024-08-06T08:35:18Z</dcterms:modified>
</cp:coreProperties>
</file>