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CDF83DD2-6855-4ECB-A775-84AD221401E2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<sst xmlns="http://schemas.openxmlformats.org/spreadsheetml/2006/main" count="2102" uniqueCount="341">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</sst>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3297990.21875</v>
      </c>
    </row>
    <row r="8" spans="1:3" ht="15" customHeight="1" x14ac:dyDescent="0.25">
      <c r="B8" s="5" t="s">
        <v>44</v>
      </c>
      <c r="C8" s="44">
        <v>0.57499999999999996</v>
      </c>
    </row>
    <row r="9" spans="1:3" ht="15" customHeight="1" x14ac:dyDescent="0.25">
      <c r="B9" s="5" t="s">
        <v>43</v>
      </c>
      <c r="C9" s="45">
        <v>0.83</v>
      </c>
    </row>
    <row r="10" spans="1:3" ht="15" customHeight="1" x14ac:dyDescent="0.25">
      <c r="B10" s="5" t="s">
        <v>56</v>
      </c>
      <c r="C10" s="45">
        <v>0.32603321079999997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0.36199999999999999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9.5700000000000007E-2</v>
      </c>
    </row>
    <row r="24" spans="1:3" ht="15" customHeight="1" x14ac:dyDescent="0.25">
      <c r="B24" s="15" t="s">
        <v>46</v>
      </c>
      <c r="C24" s="45">
        <v>0.50319999999999998</v>
      </c>
    </row>
    <row r="25" spans="1:3" ht="15" customHeight="1" x14ac:dyDescent="0.25">
      <c r="B25" s="15" t="s">
        <v>47</v>
      </c>
      <c r="C25" s="45">
        <v>0.32229999999999998</v>
      </c>
    </row>
    <row r="26" spans="1:3" ht="15" customHeight="1" x14ac:dyDescent="0.25">
      <c r="B26" s="15" t="s">
        <v>48</v>
      </c>
      <c r="C26" s="45">
        <v>7.8799999999999995E-2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0.25571203379649299</v>
      </c>
    </row>
    <row r="30" spans="1:3" ht="14.25" customHeight="1" x14ac:dyDescent="0.25">
      <c r="B30" s="25" t="s">
        <v>63</v>
      </c>
      <c r="C30" s="99">
        <v>3.3819814705800401E-2</v>
      </c>
    </row>
    <row r="31" spans="1:3" ht="14.25" customHeight="1" x14ac:dyDescent="0.25">
      <c r="B31" s="25" t="s">
        <v>10</v>
      </c>
      <c r="C31" s="99">
        <v>7.04524288623571E-2</v>
      </c>
    </row>
    <row r="32" spans="1:3" ht="14.25" customHeight="1" x14ac:dyDescent="0.25">
      <c r="B32" s="25" t="s">
        <v>11</v>
      </c>
      <c r="C32" s="99">
        <v>0.64001572263535</v>
      </c>
    </row>
    <row r="33" spans="1:5" ht="13" customHeight="1" x14ac:dyDescent="0.25">
      <c r="B33" s="27" t="s">
        <v>60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24.560659999999999</v>
      </c>
    </row>
    <row r="38" spans="1:5" ht="15" customHeight="1" x14ac:dyDescent="0.25">
      <c r="B38" s="11" t="s">
        <v>35</v>
      </c>
      <c r="C38" s="43">
        <v>40.190779999999997</v>
      </c>
      <c r="D38" s="12"/>
      <c r="E38" s="13"/>
    </row>
    <row r="39" spans="1:5" ht="15" customHeight="1" x14ac:dyDescent="0.25">
      <c r="B39" s="11" t="s">
        <v>61</v>
      </c>
      <c r="C39" s="43">
        <v>57.691830000000003</v>
      </c>
      <c r="D39" s="12"/>
      <c r="E39" s="12"/>
    </row>
    <row r="40" spans="1:5" ht="15" customHeight="1" x14ac:dyDescent="0.25">
      <c r="B40" s="11" t="s">
        <v>36</v>
      </c>
      <c r="C40" s="100">
        <v>1.35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14.23291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6.5190999999999999E-3</v>
      </c>
      <c r="D45" s="12"/>
    </row>
    <row r="46" spans="1:5" ht="15.75" customHeight="1" x14ac:dyDescent="0.25">
      <c r="B46" s="11" t="s">
        <v>51</v>
      </c>
      <c r="C46" s="45">
        <v>7.0119699999999993E-2</v>
      </c>
      <c r="D46" s="12"/>
    </row>
    <row r="47" spans="1:5" ht="15.75" customHeight="1" x14ac:dyDescent="0.25">
      <c r="B47" s="11" t="s">
        <v>59</v>
      </c>
      <c r="C47" s="45">
        <v>0.16534509999999999</v>
      </c>
      <c r="D47" s="12"/>
      <c r="E47" s="13"/>
    </row>
    <row r="48" spans="1:5" ht="15" customHeight="1" x14ac:dyDescent="0.25">
      <c r="B48" s="11" t="s">
        <v>58</v>
      </c>
      <c r="C48" s="46">
        <v>0.75801609999999997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0.50240399999999996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0.11598694999999901</v>
      </c>
    </row>
    <row r="63" spans="1:4" ht="15.75" customHeight="1" x14ac:dyDescent="0.3">
      <c r="A63" s="4"/>
    </row>
  </sheetData>
  <sheetProtection algorithmName="SHA-512" hashValue="UCBdhARuR54Aa50r73VpYEO5upOSfpnei0VsHIUiLIcFnsFT/qVySrrpoNV53U4zl3hLRLyMRmvTZbds/074BA==" saltValue="9xPTV/BZXJ/NN7VTwaX/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704170</v>
      </c>
      <c r="C2" s="49">
        <v>1459407</v>
      </c>
      <c r="D2" s="49">
        <v>1862453.5</v>
      </c>
      <c r="E2" s="49">
        <v>1362335.5</v>
      </c>
      <c r="F2" s="49">
        <v>811918.5</v>
      </c>
      <c r="G2" s="17">
        <f t="shared" ref="G2:G13" si="0">C2+D2+E2+F2</f>
        <v>5496114.5</v>
      </c>
      <c r="H2" s="17">
        <f t="shared" ref="H2:H13" si="1">(B2 + stillbirth*B2/(1000-stillbirth))/(1-abortion)</f>
        <v>811746.6995354672</v>
      </c>
      <c r="I2" s="17">
        <f t="shared" ref="I2:I13" si="2">G2-H2</f>
        <v>4684367.8004645333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714029</v>
      </c>
      <c r="C3" s="50">
        <v>1500491</v>
      </c>
      <c r="D3" s="50">
        <v>1920541.5</v>
      </c>
      <c r="E3" s="50">
        <v>1401718.5</v>
      </c>
      <c r="F3" s="50">
        <v>846201.5</v>
      </c>
      <c r="G3" s="17">
        <f t="shared" si="0"/>
        <v>5668952.5</v>
      </c>
      <c r="H3" s="17">
        <f t="shared" si="1"/>
        <v>823111.86804693483</v>
      </c>
      <c r="I3" s="17">
        <f t="shared" si="2"/>
        <v>4845840.6319530653</v>
      </c>
    </row>
    <row r="4" spans="1:9" ht="15.75" customHeight="1" x14ac:dyDescent="0.25">
      <c r="A4" s="5">
        <f t="shared" si="3"/>
        <v>2026</v>
      </c>
      <c r="B4" s="49">
        <v>725472</v>
      </c>
      <c r="C4" s="50">
        <v>1538241</v>
      </c>
      <c r="D4" s="50">
        <v>1982390.5</v>
      </c>
      <c r="E4" s="50">
        <v>1441311.5</v>
      </c>
      <c r="F4" s="50">
        <v>880695</v>
      </c>
      <c r="G4" s="17">
        <f t="shared" si="0"/>
        <v>5842638</v>
      </c>
      <c r="H4" s="17">
        <f t="shared" si="1"/>
        <v>836303.02569747996</v>
      </c>
      <c r="I4" s="17">
        <f t="shared" si="2"/>
        <v>5006334.97430252</v>
      </c>
    </row>
    <row r="5" spans="1:9" ht="15.75" customHeight="1" x14ac:dyDescent="0.25">
      <c r="A5" s="5">
        <f t="shared" si="3"/>
        <v>2027</v>
      </c>
      <c r="B5" s="49">
        <v>738616</v>
      </c>
      <c r="C5" s="50">
        <v>1572840</v>
      </c>
      <c r="D5" s="50">
        <v>2047192.5</v>
      </c>
      <c r="E5" s="50">
        <v>1481520.5</v>
      </c>
      <c r="F5" s="50">
        <v>915437.5</v>
      </c>
      <c r="G5" s="17">
        <f t="shared" si="0"/>
        <v>6016990.5</v>
      </c>
      <c r="H5" s="17">
        <f t="shared" si="1"/>
        <v>851455.04668487527</v>
      </c>
      <c r="I5" s="17">
        <f t="shared" si="2"/>
        <v>5165535.4533151248</v>
      </c>
    </row>
    <row r="6" spans="1:9" ht="15.75" customHeight="1" x14ac:dyDescent="0.25">
      <c r="A6" s="5">
        <f t="shared" si="3"/>
        <v>2028</v>
      </c>
      <c r="B6" s="49">
        <v>745885</v>
      </c>
      <c r="C6" s="50">
        <v>1604200</v>
      </c>
      <c r="D6" s="50">
        <v>2113825</v>
      </c>
      <c r="E6" s="50">
        <v>1523043.5</v>
      </c>
      <c r="F6" s="50">
        <v>950030.5</v>
      </c>
      <c r="G6" s="17">
        <f t="shared" si="0"/>
        <v>6191099</v>
      </c>
      <c r="H6" s="17">
        <f t="shared" si="1"/>
        <v>859834.53851060383</v>
      </c>
      <c r="I6" s="17">
        <f t="shared" si="2"/>
        <v>5331264.4614893962</v>
      </c>
    </row>
    <row r="7" spans="1:9" ht="15.75" customHeight="1" x14ac:dyDescent="0.25">
      <c r="A7" s="5">
        <f t="shared" si="3"/>
        <v>2029</v>
      </c>
      <c r="B7" s="49">
        <v>755639</v>
      </c>
      <c r="C7" s="50">
        <v>1632338</v>
      </c>
      <c r="D7" s="50">
        <v>2181643</v>
      </c>
      <c r="E7" s="50">
        <v>1566289</v>
      </c>
      <c r="F7" s="50">
        <v>984385.99999999988</v>
      </c>
      <c r="G7" s="17">
        <f t="shared" si="0"/>
        <v>6364656</v>
      </c>
      <c r="H7" s="17">
        <f t="shared" si="1"/>
        <v>871078.66607535235</v>
      </c>
      <c r="I7" s="17">
        <f t="shared" si="2"/>
        <v>5493577.3339246474</v>
      </c>
    </row>
    <row r="8" spans="1:9" ht="15.75" customHeight="1" x14ac:dyDescent="0.25">
      <c r="A8" s="5">
        <f t="shared" si="3"/>
        <v>2030</v>
      </c>
      <c r="B8" s="49">
        <v>765497</v>
      </c>
      <c r="C8" s="50">
        <v>1658559.5</v>
      </c>
      <c r="D8" s="50">
        <v>2250031.5</v>
      </c>
      <c r="E8" s="50">
        <v>1611730</v>
      </c>
      <c r="F8" s="50">
        <v>1019028</v>
      </c>
      <c r="G8" s="17">
        <f t="shared" si="0"/>
        <v>6539349</v>
      </c>
      <c r="H8" s="17">
        <f t="shared" si="1"/>
        <v>882442.68181589886</v>
      </c>
      <c r="I8" s="17">
        <f t="shared" si="2"/>
        <v>5656906.318184101</v>
      </c>
    </row>
    <row r="9" spans="1:9" ht="15.75" customHeight="1" x14ac:dyDescent="0.25">
      <c r="A9" s="5">
        <f t="shared" si="3"/>
        <v>2031</v>
      </c>
      <c r="B9" s="49">
        <v>772427</v>
      </c>
      <c r="C9" s="50">
        <v>1683381</v>
      </c>
      <c r="D9" s="50">
        <v>2318915.5</v>
      </c>
      <c r="E9" s="50">
        <v>1658989</v>
      </c>
      <c r="F9" s="50">
        <v>1053420.5</v>
      </c>
      <c r="G9" s="17">
        <f t="shared" si="0"/>
        <v>6714706</v>
      </c>
      <c r="H9" s="17">
        <f t="shared" si="1"/>
        <v>890431.38429936278</v>
      </c>
      <c r="I9" s="17">
        <f t="shared" si="2"/>
        <v>5824274.615700637</v>
      </c>
    </row>
    <row r="10" spans="1:9" ht="15.75" customHeight="1" x14ac:dyDescent="0.25">
      <c r="A10" s="5">
        <f t="shared" si="3"/>
        <v>2032</v>
      </c>
      <c r="B10" s="49">
        <v>783901</v>
      </c>
      <c r="C10" s="50">
        <v>1707692</v>
      </c>
      <c r="D10" s="50">
        <v>2387140</v>
      </c>
      <c r="E10" s="50">
        <v>1707867.5</v>
      </c>
      <c r="F10" s="50">
        <v>1086965.5</v>
      </c>
      <c r="G10" s="17">
        <f t="shared" si="0"/>
        <v>6889665</v>
      </c>
      <c r="H10" s="17">
        <f t="shared" si="1"/>
        <v>903658.27784846304</v>
      </c>
      <c r="I10" s="17">
        <f t="shared" si="2"/>
        <v>5986006.7221515365</v>
      </c>
    </row>
    <row r="11" spans="1:9" ht="15.75" customHeight="1" x14ac:dyDescent="0.25">
      <c r="A11" s="5">
        <f t="shared" si="3"/>
        <v>2033</v>
      </c>
      <c r="B11" s="49">
        <v>791771</v>
      </c>
      <c r="C11" s="50">
        <v>1732645.5</v>
      </c>
      <c r="D11" s="50">
        <v>2453039.5</v>
      </c>
      <c r="E11" s="50">
        <v>1758835</v>
      </c>
      <c r="F11" s="50">
        <v>1120104</v>
      </c>
      <c r="G11" s="17">
        <f t="shared" si="0"/>
        <v>7064624</v>
      </c>
      <c r="H11" s="17">
        <f t="shared" si="1"/>
        <v>912730.58499779366</v>
      </c>
      <c r="I11" s="17">
        <f t="shared" si="2"/>
        <v>6151893.4150022063</v>
      </c>
    </row>
    <row r="12" spans="1:9" ht="15.75" customHeight="1" x14ac:dyDescent="0.25">
      <c r="A12" s="5">
        <f t="shared" si="3"/>
        <v>2034</v>
      </c>
      <c r="B12" s="49">
        <v>797473</v>
      </c>
      <c r="C12" s="50">
        <v>1759195.5</v>
      </c>
      <c r="D12" s="50">
        <v>2514763.5</v>
      </c>
      <c r="E12" s="50">
        <v>1812559</v>
      </c>
      <c r="F12" s="50">
        <v>1153392</v>
      </c>
      <c r="G12" s="17">
        <f t="shared" si="0"/>
        <v>7239910</v>
      </c>
      <c r="H12" s="17">
        <f t="shared" si="1"/>
        <v>919303.68479010416</v>
      </c>
      <c r="I12" s="17">
        <f t="shared" si="2"/>
        <v>6320606.3152098954</v>
      </c>
    </row>
    <row r="13" spans="1:9" ht="15.75" customHeight="1" x14ac:dyDescent="0.25">
      <c r="A13" s="5">
        <f t="shared" si="3"/>
        <v>2035</v>
      </c>
      <c r="B13" s="49">
        <v>803924</v>
      </c>
      <c r="C13" s="50">
        <v>1787762.5</v>
      </c>
      <c r="D13" s="50">
        <v>2571480.5</v>
      </c>
      <c r="E13" s="50">
        <v>1869995</v>
      </c>
      <c r="F13" s="50">
        <v>1187330</v>
      </c>
      <c r="G13" s="17">
        <f t="shared" si="0"/>
        <v>7416568</v>
      </c>
      <c r="H13" s="17">
        <f t="shared" si="1"/>
        <v>926740.21000234445</v>
      </c>
      <c r="I13" s="17">
        <f t="shared" si="2"/>
        <v>6489827.7899976559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+Y6YvPGhXPvW9czUf2r+HASBJUTBYlI7lE36Uz5T3xjSoILOgOBLF6u35nhPnKpbkVrb3mKYiq4nztXNfO5Vw==" saltValue="ELIcjXyvM4HReGBAvb9aa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9.0967995857898585E-3</v>
      </c>
    </row>
    <row r="4" spans="1:8" ht="15.75" customHeight="1" x14ac:dyDescent="0.25">
      <c r="B4" s="19" t="s">
        <v>97</v>
      </c>
      <c r="C4" s="101">
        <v>6.4092908854742933E-2</v>
      </c>
    </row>
    <row r="5" spans="1:8" ht="15.75" customHeight="1" x14ac:dyDescent="0.25">
      <c r="B5" s="19" t="s">
        <v>95</v>
      </c>
      <c r="C5" s="101">
        <v>9.1282258767163948E-2</v>
      </c>
    </row>
    <row r="6" spans="1:8" ht="15.75" customHeight="1" x14ac:dyDescent="0.25">
      <c r="B6" s="19" t="s">
        <v>91</v>
      </c>
      <c r="C6" s="101">
        <v>0.25451199617035808</v>
      </c>
    </row>
    <row r="7" spans="1:8" ht="15.75" customHeight="1" x14ac:dyDescent="0.25">
      <c r="B7" s="19" t="s">
        <v>96</v>
      </c>
      <c r="C7" s="101">
        <v>0.39199030171442639</v>
      </c>
    </row>
    <row r="8" spans="1:8" ht="15.75" customHeight="1" x14ac:dyDescent="0.25">
      <c r="B8" s="19" t="s">
        <v>98</v>
      </c>
      <c r="C8" s="101">
        <v>1.5420714712771921E-3</v>
      </c>
    </row>
    <row r="9" spans="1:8" ht="15.75" customHeight="1" x14ac:dyDescent="0.25">
      <c r="B9" s="19" t="s">
        <v>92</v>
      </c>
      <c r="C9" s="101">
        <v>6.391594819168625E-2</v>
      </c>
    </row>
    <row r="10" spans="1:8" ht="15.75" customHeight="1" x14ac:dyDescent="0.25">
      <c r="B10" s="19" t="s">
        <v>94</v>
      </c>
      <c r="C10" s="101">
        <v>0.1235677152445553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0.13996090768757741</v>
      </c>
      <c r="D14" s="55">
        <v>0.13996090768757741</v>
      </c>
      <c r="E14" s="55">
        <v>0.13996090768757741</v>
      </c>
      <c r="F14" s="55">
        <v>0.13996090768757741</v>
      </c>
    </row>
    <row r="15" spans="1:8" ht="15.75" customHeight="1" x14ac:dyDescent="0.25">
      <c r="B15" s="19" t="s">
        <v>102</v>
      </c>
      <c r="C15" s="101">
        <v>0.1825969991650476</v>
      </c>
      <c r="D15" s="101">
        <v>0.1825969991650476</v>
      </c>
      <c r="E15" s="101">
        <v>0.1825969991650476</v>
      </c>
      <c r="F15" s="101">
        <v>0.1825969991650476</v>
      </c>
    </row>
    <row r="16" spans="1:8" ht="15.75" customHeight="1" x14ac:dyDescent="0.25">
      <c r="B16" s="19" t="s">
        <v>2</v>
      </c>
      <c r="C16" s="101">
        <v>1.688769665810308E-2</v>
      </c>
      <c r="D16" s="101">
        <v>1.688769665810308E-2</v>
      </c>
      <c r="E16" s="101">
        <v>1.688769665810308E-2</v>
      </c>
      <c r="F16" s="101">
        <v>1.688769665810308E-2</v>
      </c>
    </row>
    <row r="17" spans="1:8" ht="15.75" customHeight="1" x14ac:dyDescent="0.25">
      <c r="B17" s="19" t="s">
        <v>90</v>
      </c>
      <c r="C17" s="101">
        <v>1.7773095567990671E-3</v>
      </c>
      <c r="D17" s="101">
        <v>1.7773095567990671E-3</v>
      </c>
      <c r="E17" s="101">
        <v>1.7773095567990671E-3</v>
      </c>
      <c r="F17" s="101">
        <v>1.7773095567990671E-3</v>
      </c>
    </row>
    <row r="18" spans="1:8" ht="15.75" customHeight="1" x14ac:dyDescent="0.25">
      <c r="B18" s="19" t="s">
        <v>3</v>
      </c>
      <c r="C18" s="101">
        <v>0.1345228179711539</v>
      </c>
      <c r="D18" s="101">
        <v>0.1345228179711539</v>
      </c>
      <c r="E18" s="101">
        <v>0.1345228179711539</v>
      </c>
      <c r="F18" s="101">
        <v>0.1345228179711539</v>
      </c>
    </row>
    <row r="19" spans="1:8" ht="15.75" customHeight="1" x14ac:dyDescent="0.25">
      <c r="B19" s="19" t="s">
        <v>101</v>
      </c>
      <c r="C19" s="101">
        <v>2.3061119344817509E-2</v>
      </c>
      <c r="D19" s="101">
        <v>2.3061119344817509E-2</v>
      </c>
      <c r="E19" s="101">
        <v>2.3061119344817509E-2</v>
      </c>
      <c r="F19" s="101">
        <v>2.3061119344817509E-2</v>
      </c>
    </row>
    <row r="20" spans="1:8" ht="15.75" customHeight="1" x14ac:dyDescent="0.25">
      <c r="B20" s="19" t="s">
        <v>79</v>
      </c>
      <c r="C20" s="101">
        <v>0.23695712210512701</v>
      </c>
      <c r="D20" s="101">
        <v>0.23695712210512701</v>
      </c>
      <c r="E20" s="101">
        <v>0.23695712210512701</v>
      </c>
      <c r="F20" s="101">
        <v>0.23695712210512701</v>
      </c>
    </row>
    <row r="21" spans="1:8" ht="15.75" customHeight="1" x14ac:dyDescent="0.25">
      <c r="B21" s="19" t="s">
        <v>88</v>
      </c>
      <c r="C21" s="101">
        <v>0.1034812689154867</v>
      </c>
      <c r="D21" s="101">
        <v>0.1034812689154867</v>
      </c>
      <c r="E21" s="101">
        <v>0.1034812689154867</v>
      </c>
      <c r="F21" s="101">
        <v>0.1034812689154867</v>
      </c>
    </row>
    <row r="22" spans="1:8" ht="15.75" customHeight="1" x14ac:dyDescent="0.25">
      <c r="B22" s="19" t="s">
        <v>99</v>
      </c>
      <c r="C22" s="101">
        <v>0.1607547585958877</v>
      </c>
      <c r="D22" s="101">
        <v>0.1607547585958877</v>
      </c>
      <c r="E22" s="101">
        <v>0.1607547585958877</v>
      </c>
      <c r="F22" s="101">
        <v>0.1607547585958877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8.1868175000000001E-2</v>
      </c>
    </row>
    <row r="27" spans="1:8" ht="15.75" customHeight="1" x14ac:dyDescent="0.25">
      <c r="B27" s="19" t="s">
        <v>89</v>
      </c>
      <c r="C27" s="101">
        <v>8.1904539999999998E-3</v>
      </c>
    </row>
    <row r="28" spans="1:8" ht="15.75" customHeight="1" x14ac:dyDescent="0.25">
      <c r="B28" s="19" t="s">
        <v>103</v>
      </c>
      <c r="C28" s="101">
        <v>0.143739488</v>
      </c>
    </row>
    <row r="29" spans="1:8" ht="15.75" customHeight="1" x14ac:dyDescent="0.25">
      <c r="B29" s="19" t="s">
        <v>86</v>
      </c>
      <c r="C29" s="101">
        <v>0.15393818500000001</v>
      </c>
    </row>
    <row r="30" spans="1:8" ht="15.75" customHeight="1" x14ac:dyDescent="0.25">
      <c r="B30" s="19" t="s">
        <v>4</v>
      </c>
      <c r="C30" s="101">
        <v>9.7379692000000004E-2</v>
      </c>
    </row>
    <row r="31" spans="1:8" ht="15.75" customHeight="1" x14ac:dyDescent="0.25">
      <c r="B31" s="19" t="s">
        <v>80</v>
      </c>
      <c r="C31" s="101">
        <v>9.8883503999999997E-2</v>
      </c>
    </row>
    <row r="32" spans="1:8" ht="15.75" customHeight="1" x14ac:dyDescent="0.25">
      <c r="B32" s="19" t="s">
        <v>85</v>
      </c>
      <c r="C32" s="101">
        <v>1.7031174E-2</v>
      </c>
    </row>
    <row r="33" spans="2:3" ht="15.75" customHeight="1" x14ac:dyDescent="0.25">
      <c r="B33" s="19" t="s">
        <v>100</v>
      </c>
      <c r="C33" s="101">
        <v>7.6512073999999999E-2</v>
      </c>
    </row>
    <row r="34" spans="2:3" ht="15.75" customHeight="1" x14ac:dyDescent="0.25">
      <c r="B34" s="19" t="s">
        <v>87</v>
      </c>
      <c r="C34" s="101">
        <v>0.32245725400000003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NN/NPEeo6cwrQcMArfwf0e1Vh0ccnJO+NEFZhboI2RyJls8+kJI7DfketgXWu6yLaUcx51N88tv9FIJkIry6rw==" saltValue="aJygfPELQkouovR0pPemJ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0.4568322256346693</v>
      </c>
      <c r="D2" s="52">
        <f>IFERROR(1-_xlfn.NORM.DIST(_xlfn.NORM.INV(SUM(D4:D5), 0, 1) + 1, 0, 1, TRUE), "")</f>
        <v>0.4568322256346693</v>
      </c>
      <c r="E2" s="52">
        <f>IFERROR(1-_xlfn.NORM.DIST(_xlfn.NORM.INV(SUM(E4:E5), 0, 1) + 1, 0, 1, TRUE), "")</f>
        <v>0.36539808671294383</v>
      </c>
      <c r="F2" s="52">
        <f>IFERROR(1-_xlfn.NORM.DIST(_xlfn.NORM.INV(SUM(F4:F5), 0, 1) + 1, 0, 1, TRUE), "")</f>
        <v>0.21797617679540382</v>
      </c>
      <c r="G2" s="52">
        <f>IFERROR(1-_xlfn.NORM.DIST(_xlfn.NORM.INV(SUM(G4:G5), 0, 1) + 1, 0, 1, TRUE), "")</f>
        <v>0.25543171912396501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0.35685937436533072</v>
      </c>
      <c r="D3" s="52">
        <f>IFERROR(_xlfn.NORM.DIST(_xlfn.NORM.INV(SUM(D4:D5), 0, 1) + 1, 0, 1, TRUE) - SUM(D4:D5), "")</f>
        <v>0.35685937436533072</v>
      </c>
      <c r="E3" s="52">
        <f>IFERROR(_xlfn.NORM.DIST(_xlfn.NORM.INV(SUM(E4:E5), 0, 1) + 1, 0, 1, TRUE) - SUM(E4:E5), "")</f>
        <v>0.37866841328705619</v>
      </c>
      <c r="F3" s="52">
        <f>IFERROR(_xlfn.NORM.DIST(_xlfn.NORM.INV(SUM(F4:F5), 0, 1) + 1, 0, 1, TRUE) - SUM(F4:F5), "")</f>
        <v>0.36945952320459619</v>
      </c>
      <c r="G3" s="52">
        <f>IFERROR(_xlfn.NORM.DIST(_xlfn.NORM.INV(SUM(G4:G5), 0, 1) + 1, 0, 1, TRUE) - SUM(G4:G5), "")</f>
        <v>0.37858328087603499</v>
      </c>
    </row>
    <row r="4" spans="1:15" ht="15.75" customHeight="1" x14ac:dyDescent="0.25">
      <c r="B4" s="5" t="s">
        <v>110</v>
      </c>
      <c r="C4" s="45">
        <v>0.1191277</v>
      </c>
      <c r="D4" s="53">
        <v>0.1191277</v>
      </c>
      <c r="E4" s="53">
        <v>0.1706712</v>
      </c>
      <c r="F4" s="53">
        <v>0.24477189999999999</v>
      </c>
      <c r="G4" s="53">
        <v>0.2499488</v>
      </c>
    </row>
    <row r="5" spans="1:15" ht="15.75" customHeight="1" x14ac:dyDescent="0.25">
      <c r="B5" s="5" t="s">
        <v>106</v>
      </c>
      <c r="C5" s="45">
        <v>6.7180699999999996E-2</v>
      </c>
      <c r="D5" s="53">
        <v>6.7180699999999996E-2</v>
      </c>
      <c r="E5" s="53">
        <v>8.5262299999999999E-2</v>
      </c>
      <c r="F5" s="53">
        <v>0.16779240000000001</v>
      </c>
      <c r="G5" s="53">
        <v>0.11603620000000001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0.73659125910134149</v>
      </c>
      <c r="D8" s="52">
        <f>IFERROR(1-_xlfn.NORM.DIST(_xlfn.NORM.INV(SUM(D10:D11), 0, 1) + 1, 0, 1, TRUE), "")</f>
        <v>0.73659125910134149</v>
      </c>
      <c r="E8" s="52">
        <f>IFERROR(1-_xlfn.NORM.DIST(_xlfn.NORM.INV(SUM(E10:E11), 0, 1) + 1, 0, 1, TRUE), "")</f>
        <v>0.73545572398549219</v>
      </c>
      <c r="F8" s="52">
        <f>IFERROR(1-_xlfn.NORM.DIST(_xlfn.NORM.INV(SUM(F10:F11), 0, 1) + 1, 0, 1, TRUE), "")</f>
        <v>0.73094151101687888</v>
      </c>
      <c r="G8" s="52">
        <f>IFERROR(1-_xlfn.NORM.DIST(_xlfn.NORM.INV(SUM(G10:G11), 0, 1) + 1, 0, 1, TRUE), "")</f>
        <v>0.78897733079998378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0.2121607408986585</v>
      </c>
      <c r="D9" s="52">
        <f>IFERROR(_xlfn.NORM.DIST(_xlfn.NORM.INV(SUM(D10:D11), 0, 1) + 1, 0, 1, TRUE) - SUM(D10:D11), "")</f>
        <v>0.2121607408986585</v>
      </c>
      <c r="E9" s="52">
        <f>IFERROR(_xlfn.NORM.DIST(_xlfn.NORM.INV(SUM(E10:E11), 0, 1) + 1, 0, 1, TRUE) - SUM(E10:E11), "")</f>
        <v>0.2129298760145078</v>
      </c>
      <c r="F9" s="52">
        <f>IFERROR(_xlfn.NORM.DIST(_xlfn.NORM.INV(SUM(F10:F11), 0, 1) + 1, 0, 1, TRUE) - SUM(F10:F11), "")</f>
        <v>0.21597488898312106</v>
      </c>
      <c r="G9" s="52">
        <f>IFERROR(_xlfn.NORM.DIST(_xlfn.NORM.INV(SUM(G10:G11), 0, 1) + 1, 0, 1, TRUE) - SUM(G10:G11), "")</f>
        <v>0.17531896920001622</v>
      </c>
    </row>
    <row r="10" spans="1:15" ht="15.75" customHeight="1" x14ac:dyDescent="0.25">
      <c r="B10" s="5" t="s">
        <v>107</v>
      </c>
      <c r="C10" s="45">
        <v>2.7563299999999999E-2</v>
      </c>
      <c r="D10" s="53">
        <v>2.7563299999999999E-2</v>
      </c>
      <c r="E10" s="53">
        <v>4.14823E-2</v>
      </c>
      <c r="F10" s="53">
        <v>3.5414500000000002E-2</v>
      </c>
      <c r="G10" s="53">
        <v>2.1985500000000002E-2</v>
      </c>
    </row>
    <row r="11" spans="1:15" ht="15.75" customHeight="1" x14ac:dyDescent="0.25">
      <c r="B11" s="5" t="s">
        <v>119</v>
      </c>
      <c r="C11" s="45">
        <v>2.36847E-2</v>
      </c>
      <c r="D11" s="53">
        <v>2.36847E-2</v>
      </c>
      <c r="E11" s="53">
        <v>1.01321E-2</v>
      </c>
      <c r="F11" s="53">
        <v>1.76691E-2</v>
      </c>
      <c r="G11" s="53">
        <v>1.37182E-2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0.68039410399999989</v>
      </c>
      <c r="D14" s="54">
        <v>0.6725565473509999</v>
      </c>
      <c r="E14" s="54">
        <v>0.6725565473509999</v>
      </c>
      <c r="F14" s="54">
        <v>0.61939207375200001</v>
      </c>
      <c r="G14" s="54">
        <v>0.61939207375200001</v>
      </c>
      <c r="H14" s="45">
        <v>0.39100000000000001</v>
      </c>
      <c r="I14" s="55">
        <v>0.39100000000000001</v>
      </c>
      <c r="J14" s="55">
        <v>0.39100000000000001</v>
      </c>
      <c r="K14" s="55">
        <v>0.39100000000000001</v>
      </c>
      <c r="L14" s="45">
        <v>0.33</v>
      </c>
      <c r="M14" s="55">
        <v>0.33</v>
      </c>
      <c r="N14" s="55">
        <v>0.33</v>
      </c>
      <c r="O14" s="55">
        <v>0.33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0.3418327194260159</v>
      </c>
      <c r="D15" s="52">
        <f t="shared" si="0"/>
        <v>0.33789509961533171</v>
      </c>
      <c r="E15" s="52">
        <f t="shared" si="0"/>
        <v>0.33789509961533171</v>
      </c>
      <c r="F15" s="52">
        <f t="shared" si="0"/>
        <v>0.31118505542129976</v>
      </c>
      <c r="G15" s="52">
        <f t="shared" si="0"/>
        <v>0.31118505542129976</v>
      </c>
      <c r="H15" s="52">
        <f t="shared" si="0"/>
        <v>0.19643996399999999</v>
      </c>
      <c r="I15" s="52">
        <f t="shared" si="0"/>
        <v>0.19643996399999999</v>
      </c>
      <c r="J15" s="52">
        <f t="shared" si="0"/>
        <v>0.19643996399999999</v>
      </c>
      <c r="K15" s="52">
        <f t="shared" si="0"/>
        <v>0.19643996399999999</v>
      </c>
      <c r="L15" s="52">
        <f t="shared" si="0"/>
        <v>0.16579331999999999</v>
      </c>
      <c r="M15" s="52">
        <f t="shared" si="0"/>
        <v>0.16579331999999999</v>
      </c>
      <c r="N15" s="52">
        <f t="shared" si="0"/>
        <v>0.16579331999999999</v>
      </c>
      <c r="O15" s="52">
        <f t="shared" si="0"/>
        <v>0.16579331999999999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rycBPIAj2iUvWaoFzsk8sW04GwkAUWA2X6mhAHQY/fXiSFOSp117Wbc2ocX6EKMkILQ88t91TQ0xun2Cn8ZWw==" saltValue="x0sh9IyM3vjPQzKrzKxM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0.90592820000000007</v>
      </c>
      <c r="D2" s="53">
        <v>0.64176169999999999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2.7448899999999998E-2</v>
      </c>
      <c r="D3" s="53">
        <v>0.1020122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2.36939E-2</v>
      </c>
      <c r="D4" s="53">
        <v>0.22018969999999999</v>
      </c>
      <c r="E4" s="53">
        <v>0.94635409999999998</v>
      </c>
      <c r="F4" s="53">
        <v>0.6304708</v>
      </c>
      <c r="G4" s="53">
        <v>0</v>
      </c>
    </row>
    <row r="5" spans="1:7" x14ac:dyDescent="0.25">
      <c r="B5" s="3" t="s">
        <v>125</v>
      </c>
      <c r="C5" s="52">
        <v>4.2929000000000002E-2</v>
      </c>
      <c r="D5" s="52">
        <v>3.6036400000000003E-2</v>
      </c>
      <c r="E5" s="52">
        <f>1-SUM(E2:E4)</f>
        <v>5.3645900000000024E-2</v>
      </c>
      <c r="F5" s="52">
        <f>1-SUM(F2:F4)</f>
        <v>0.3695292</v>
      </c>
      <c r="G5" s="52">
        <f>1-SUM(G2:G4)</f>
        <v>1</v>
      </c>
    </row>
  </sheetData>
  <sheetProtection algorithmName="SHA-512" hashValue="Auvmzu/myBc7rNUP8T17kEs4AjrBu5Dq/lsjI5GUjTDZSv8lJF7yJTJMJHkk3GqzJXonqoDYdVzXNWkTgnoyWA==" saltValue="CxPqWtJK7oRT/q7ZZIx2m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YiAhKAKFWxZvJpR3AIB2li3BYIOSA7iAwqzlG7hmCnVxvIyCXoYUvxBosqXETVsxn/3vOo6h2Fy1s2cK07DgQ==" saltValue="uDHNXsQKQB2nk0kCKwppH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jZIqEzFJFKB2r5LRNyPvecKKzIgkcmx/HuDI+don38yeCzeDL+kgIXMxsle3hwzOJX3D7BGG8xFXZYYToDT5hQ==" saltValue="KVKMHlYGM5Ju1PPOuDoyL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HThISAFr40hsPbDGc1+NjNyguBwOuTIr6sVpRNz//SmGO6fJGoYUcx0Y/ZyBfXJGxQg4NHQClNrwES4dxLtP+w==" saltValue="UXJxVPWVFGN3O72ufpCMa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MnNir1chl964sGQ/Q4nxyzGWMRqRx/IHM7WD9ad48virxPb1Ew09PCoyLxtb3LezfwvYgoMhvAgyJH2C0i4gqQ==" saltValue="EqzApPG/FyOdVtpr5Ao/v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39.694784016169571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0.2388879570336</v>
      </c>
      <c r="C3" s="98">
        <v>0.95</v>
      </c>
      <c r="D3" s="56">
        <v>44.74391570258959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126.9573536787713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0.40779590398884003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0.72482939999999996</v>
      </c>
      <c r="C10" s="98">
        <v>0.95</v>
      </c>
      <c r="D10" s="56">
        <v>14.26897757170995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0.72482939999999996</v>
      </c>
      <c r="C11" s="98">
        <v>0.95</v>
      </c>
      <c r="D11" s="56">
        <v>14.26897757170995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0.72482939999999996</v>
      </c>
      <c r="C12" s="98">
        <v>0.95</v>
      </c>
      <c r="D12" s="56">
        <v>14.26897757170995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0.72482939999999996</v>
      </c>
      <c r="C13" s="98">
        <v>0.95</v>
      </c>
      <c r="D13" s="56">
        <v>14.26897757170995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0.72482939999999996</v>
      </c>
      <c r="C14" s="98">
        <v>0.95</v>
      </c>
      <c r="D14" s="56">
        <v>14.26897757170995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0.72482939999999996</v>
      </c>
      <c r="C15" s="98">
        <v>0.95</v>
      </c>
      <c r="D15" s="56">
        <v>14.26897757170995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0.83</v>
      </c>
      <c r="C16" s="98">
        <v>0.95</v>
      </c>
      <c r="D16" s="56">
        <v>0.32525745301380288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0.10556987795189</v>
      </c>
      <c r="C18" s="98">
        <v>0.95</v>
      </c>
      <c r="D18" s="56">
        <v>3.0133371170447369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0.36301369999999999</v>
      </c>
      <c r="C19" s="98">
        <v>0.95</v>
      </c>
      <c r="D19" s="56">
        <v>3.0133371170447369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0.3439854</v>
      </c>
      <c r="C21" s="98">
        <v>0.95</v>
      </c>
      <c r="D21" s="56">
        <v>3.4535387086730069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24.366673580157041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4.7084773800389677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0.79997372791268007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0.72482939999999996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20.578639540376962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0.62733761796079002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71.801996499827609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0.95</v>
      </c>
      <c r="C31" s="98">
        <v>0.95</v>
      </c>
      <c r="D31" s="56">
        <v>1.824558777781067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0.64797125932125421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0.95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0.23221729999999999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0.66792069999999992</v>
      </c>
      <c r="C38" s="98">
        <v>0.95</v>
      </c>
      <c r="D38" s="56">
        <v>4.7630130644995639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7hqli84Ij0etmiixdjlPLTzeUqOXg35feHPehgr+KQ6rlBFwKsdl1MnkAdvE7mrDBj743CeUF0+RataJ5e07GA==" saltValue="dSE5Zd/k7XMexzoscrsc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f42qjWdXDQtfPmf4FCkHjae6rWqP/GPDRUkv+MvaVkM7w+UPnLFtgOjlgFhR/06Zc+Rv5mUDsrTqmlCuu6hrA==" saltValue="7MFK/gFOWzZknOF0WhpD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HgsaV8Rwdju1h4CwdEWdlJBe6HFl8W+1Pk5i1p8gaEniLh0zRXZBkTH9itYcDiDBXklgS8kUqhAK0yLFm6QFw==" saltValue="br3J+cEIASdliiLJJIlt3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7.1664580000000005E-2</v>
      </c>
      <c r="C3" s="21">
        <f>frac_mam_1_5months * 2.6</f>
        <v>7.1664580000000005E-2</v>
      </c>
      <c r="D3" s="21">
        <f>frac_mam_6_11months * 2.6</f>
        <v>0.10785398</v>
      </c>
      <c r="E3" s="21">
        <f>frac_mam_12_23months * 2.6</f>
        <v>9.2077700000000012E-2</v>
      </c>
      <c r="F3" s="21">
        <f>frac_mam_24_59months * 2.6</f>
        <v>5.7162300000000006E-2</v>
      </c>
    </row>
    <row r="4" spans="1:6" ht="15.75" customHeight="1" x14ac:dyDescent="0.25">
      <c r="A4" s="3" t="s">
        <v>207</v>
      </c>
      <c r="B4" s="21">
        <f>frac_sam_1month * 2.6</f>
        <v>6.1580219999999998E-2</v>
      </c>
      <c r="C4" s="21">
        <f>frac_sam_1_5months * 2.6</f>
        <v>6.1580219999999998E-2</v>
      </c>
      <c r="D4" s="21">
        <f>frac_sam_6_11months * 2.6</f>
        <v>2.6343459999999999E-2</v>
      </c>
      <c r="E4" s="21">
        <f>frac_sam_12_23months * 2.6</f>
        <v>4.593966E-2</v>
      </c>
      <c r="F4" s="21">
        <f>frac_sam_24_59months * 2.6</f>
        <v>3.5667320000000002E-2</v>
      </c>
    </row>
  </sheetData>
  <sheetProtection algorithmName="SHA-512" hashValue="G/fOrJB4Y3bTqbwRJ0wfkUk4p5BtoEfF9d4ppcVE27dS8oALQC/0k+hRsg0CgI7ugYL54Xg+AwB/iCfblKpUvA==" saltValue="tuhoNfJz2YSLPtbpG8iGH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0.57499999999999996</v>
      </c>
      <c r="E2" s="60">
        <f>food_insecure</f>
        <v>0.57499999999999996</v>
      </c>
      <c r="F2" s="60">
        <f>food_insecure</f>
        <v>0.57499999999999996</v>
      </c>
      <c r="G2" s="60">
        <f>food_insecure</f>
        <v>0.57499999999999996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0.57499999999999996</v>
      </c>
      <c r="F5" s="60">
        <f>food_insecure</f>
        <v>0.57499999999999996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0.57499999999999996</v>
      </c>
      <c r="F8" s="60">
        <f>food_insecure</f>
        <v>0.57499999999999996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0.57499999999999996</v>
      </c>
      <c r="F9" s="60">
        <f>food_insecure</f>
        <v>0.57499999999999996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0.57499999999999996</v>
      </c>
      <c r="I15" s="60">
        <f>food_insecure</f>
        <v>0.57499999999999996</v>
      </c>
      <c r="J15" s="60">
        <f>food_insecure</f>
        <v>0.57499999999999996</v>
      </c>
      <c r="K15" s="60">
        <f>food_insecure</f>
        <v>0.57499999999999996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0.83</v>
      </c>
      <c r="I19" s="60">
        <f>frac_malaria_risk</f>
        <v>0.83</v>
      </c>
      <c r="J19" s="60">
        <f>frac_malaria_risk</f>
        <v>0.83</v>
      </c>
      <c r="K19" s="60">
        <f>frac_malaria_risk</f>
        <v>0.83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0.36199999999999999</v>
      </c>
      <c r="M24" s="60">
        <f>famplan_unmet_need</f>
        <v>0.36199999999999999</v>
      </c>
      <c r="N24" s="60">
        <f>famplan_unmet_need</f>
        <v>0.36199999999999999</v>
      </c>
      <c r="O24" s="60">
        <f>famplan_unmet_need</f>
        <v>0.36199999999999999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0.41162521650390005</v>
      </c>
      <c r="M25" s="60">
        <f>(1-food_insecure)*(0.49)+food_insecure*(0.7)</f>
        <v>0.61075000000000002</v>
      </c>
      <c r="N25" s="60">
        <f>(1-food_insecure)*(0.49)+food_insecure*(0.7)</f>
        <v>0.61075000000000002</v>
      </c>
      <c r="O25" s="60">
        <f>(1-food_insecure)*(0.49)+food_insecure*(0.7)</f>
        <v>0.61075000000000002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0.17641080707310003</v>
      </c>
      <c r="M26" s="60">
        <f>(1-food_insecure)*(0.21)+food_insecure*(0.3)</f>
        <v>0.26174999999999998</v>
      </c>
      <c r="N26" s="60">
        <f>(1-food_insecure)*(0.21)+food_insecure*(0.3)</f>
        <v>0.26174999999999998</v>
      </c>
      <c r="O26" s="60">
        <f>(1-food_insecure)*(0.21)+food_insecure*(0.3)</f>
        <v>0.26174999999999998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8.5930765623000019E-2</v>
      </c>
      <c r="M27" s="60">
        <f>(1-food_insecure)*(0.3)</f>
        <v>0.1275</v>
      </c>
      <c r="N27" s="60">
        <f>(1-food_insecure)*(0.3)</f>
        <v>0.1275</v>
      </c>
      <c r="O27" s="60">
        <f>(1-food_insecure)*(0.3)</f>
        <v>0.1275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0.83</v>
      </c>
      <c r="D34" s="60">
        <f t="shared" si="3"/>
        <v>0.83</v>
      </c>
      <c r="E34" s="60">
        <f t="shared" si="3"/>
        <v>0.83</v>
      </c>
      <c r="F34" s="60">
        <f t="shared" si="3"/>
        <v>0.83</v>
      </c>
      <c r="G34" s="60">
        <f t="shared" si="3"/>
        <v>0.83</v>
      </c>
      <c r="H34" s="60">
        <f t="shared" si="3"/>
        <v>0.83</v>
      </c>
      <c r="I34" s="60">
        <f t="shared" si="3"/>
        <v>0.83</v>
      </c>
      <c r="J34" s="60">
        <f t="shared" si="3"/>
        <v>0.83</v>
      </c>
      <c r="K34" s="60">
        <f t="shared" si="3"/>
        <v>0.83</v>
      </c>
      <c r="L34" s="60">
        <f t="shared" si="3"/>
        <v>0.83</v>
      </c>
      <c r="M34" s="60">
        <f t="shared" si="3"/>
        <v>0.83</v>
      </c>
      <c r="N34" s="60">
        <f t="shared" si="3"/>
        <v>0.83</v>
      </c>
      <c r="O34" s="60">
        <f t="shared" si="3"/>
        <v>0.83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ws4Y8fIB2wP/81crlfI+W+xNptAkykPIl/ckWVuV7DAfkEE+F9hMg1U3OivRH8cqOL0mkI01Fu6inADPFbvJA==" saltValue="RONFiN7GxyIGqVJJDsHYs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99LBBs6T17U3r2DwvLp3JMg4vGiT+quQWBgFzgI9lw1K1x++n8dH0JKjlHuWhRY3FEHNwh/nlXkOB5a4ueVXHw==" saltValue="T9k2nNmQ61pFK3XvFZt5H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9db8LnTOgAedK1FLGwxnb6mNlyFcfY7kUKjzx+EI1JLf00BoxCGOD/2YU+DucDYCq88tnvy3UTL1oG9ge7g4A==" saltValue="c6DUKtQbZnSHTE0i2ogV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ps3a1FnEkxrxXyjhwZJ1i0RuLUu2hE8kcac+pXoxeCAJ9T4tuf+yUbGUTmHgrQ3WGlrr7QOTWBgaXABq7JmCZQ==" saltValue="Gno3WrRD6LVbSyFh7vssp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PHh05qjaE8O66Nq0CByKizCuS+Kffq5/iCfEod/QqCVuTZHZPruZ67cvbrw0xTbUGdKQSV8F4cxxU49Q0SFhQ==" saltValue="VO+eFvWnETMYC7iQ5fW9o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oFniUJRscOi2oELbXKshIh3pTdt6VYerWNzrJKcGo9bNf4pvIfOByc5nq0hvukKguLdQo/8O+4aP9TwTDQ+RTw==" saltValue="RDWp519ZXTBR+7hW7IIxa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tJuoZvq+FQ0omfuEqf2WjTiY9975z/HaH2sfbEhjqbporvEbEyoxWgBYRtFRq4+V8BBWxRsLIGq3JpclkvOp6w==" saltValue="VguBMFpLomy6VMP4BiqUI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wflvfNZoZ+5Cl/BR69IKOPxAokqGAYpmmkwYGIXcJpahj4KMTzP4l8Tb4cHGP6Gv5h8vCrvnYsnfzn1g1FmKNQ==" saltValue="yxSD/EQ7pMAGBG5BgHgR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l/AZh8ciwHXNxngOrWaUiqspL5W2xgMjFp44vIiC6u0G4oJkuiP5JBgqGGCduiZ5W2TfbgEIyH7b/GiAR70eyQ==" saltValue="eSZrGkssnwd7a/Y/B8mY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FulOWgAHpH0hc8rVt27+UwS1bdxiPSRMdX2oUBiq9+7ZWV8AMeX/cawHFBxwykXBKssIQsG+4lYzMGKaYhYvog==" saltValue="QRe3SSbFqsof/f6gyChY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fzkgPDRPAiZomSNKuqbN0PxE6GNrdI2kE2/H1Q9bDRNRXKNpo/y2ohzPb4iOXwZVeuLHU2LdfnT/w4qywnMHA==" saltValue="0KPAvUgN8dPZJOJpo33E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gpac+1ZmzrYX+GnF6x1469EnY4NSn3bRBZydHokPrGZ6sPn8ohT6kY0bxzaZXsuEfitsRZJrcXNKDiQUM9sWWA==" saltValue="vx4iuof0mxbhCeScp3Je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Ew2gAvU2PL1MP7qY1GWai/a2d5uqFfnrmvL3IKv7TLxmO8XM16Oo4326Gbw71GIVCKMnwLmGi4BbNUon5waHoA==" saltValue="dWnFRdbNygN2+a3tdY1OX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aFYMZF46Bryw2uoRKtBz727qLKDmqAwa3EvKxkUGIg3TWqSGKIgOgdMRyvVpfczr2ifIsN6fyjb4AcizSCTkBA==" saltValue="ODU+ikHf4PqQZy/qwiZD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19LlACWoztUzGxRaU0HOVzKL9i5/aEXts0PQu1/8r23k+ltfgffJ3Kkh7Jx+sQidD0nbjTARzgzjyncB2dbpaA==" saltValue="w4i8UO7wtSX0JjlTFlKNr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2024-05-17T00:07:45Z</dcterms:modified>
</cp:coreProperties>
</file>