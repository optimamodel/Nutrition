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0E0A178A-8465-46DF-8528-E7B18A390E42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26" i="2"/>
  <c r="A31" i="2"/>
  <c r="A36" i="2"/>
  <c r="I4" i="2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<sst xmlns="http://schemas.openxmlformats.org/spreadsheetml/2006/main" count="2159" uniqueCount="372">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</sst>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3234401</v>
      </c>
    </row>
    <row r="8" spans="1:3" ht="15" customHeight="1" x14ac:dyDescent="0.25">
      <c r="B8" s="5" t="s">
        <v>63</v>
      </c>
      <c r="C8" s="44">
        <v>0.54400000000000004</v>
      </c>
    </row>
    <row r="9" spans="1:3" ht="15" customHeight="1" x14ac:dyDescent="0.25">
      <c r="B9" s="5" t="s">
        <v>62</v>
      </c>
      <c r="C9" s="45">
        <v>0.83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0.19700000000000001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9.5700000000000007E-2</v>
      </c>
    </row>
    <row r="24" spans="1:3" ht="15" customHeight="1" x14ac:dyDescent="0.25">
      <c r="B24" s="15" t="s">
        <v>65</v>
      </c>
      <c r="C24" s="45">
        <v>0.50319999999999998</v>
      </c>
    </row>
    <row r="25" spans="1:3" ht="15" customHeight="1" x14ac:dyDescent="0.25">
      <c r="B25" s="15" t="s">
        <v>66</v>
      </c>
      <c r="C25" s="45">
        <v>0.32229999999999998</v>
      </c>
    </row>
    <row r="26" spans="1:3" ht="15" customHeight="1" x14ac:dyDescent="0.25">
      <c r="B26" s="15" t="s">
        <v>67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0.25571203379649299</v>
      </c>
    </row>
    <row r="30" spans="1:3" ht="14.25" customHeight="1" x14ac:dyDescent="0.25">
      <c r="B30" s="25" t="s">
        <v>82</v>
      </c>
      <c r="C30" s="99">
        <v>3.3819814705800401E-2</v>
      </c>
    </row>
    <row r="31" spans="1:3" ht="14.25" customHeight="1" x14ac:dyDescent="0.25">
      <c r="B31" s="25" t="s">
        <v>29</v>
      </c>
      <c r="C31" s="99">
        <v>7.04524288623571E-2</v>
      </c>
    </row>
    <row r="32" spans="1:3" ht="14.25" customHeight="1" x14ac:dyDescent="0.25">
      <c r="B32" s="25" t="s">
        <v>30</v>
      </c>
      <c r="C32" s="99">
        <v>0.64001572263535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24.560659999999999</v>
      </c>
    </row>
    <row r="38" spans="1:5" ht="15" customHeight="1" x14ac:dyDescent="0.25">
      <c r="B38" s="11" t="s">
        <v>54</v>
      </c>
      <c r="C38" s="43">
        <v>40.190779999999997</v>
      </c>
      <c r="D38" s="12"/>
      <c r="E38" s="13"/>
    </row>
    <row r="39" spans="1:5" ht="15" customHeight="1" x14ac:dyDescent="0.25">
      <c r="B39" s="11" t="s">
        <v>80</v>
      </c>
      <c r="C39" s="43">
        <v>57.691830000000003</v>
      </c>
      <c r="D39" s="12"/>
      <c r="E39" s="12"/>
    </row>
    <row r="40" spans="1:5" ht="15" customHeight="1" x14ac:dyDescent="0.25">
      <c r="B40" s="11" t="s">
        <v>55</v>
      </c>
      <c r="C40" s="100">
        <v>1.35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6.5190999999999999E-3</v>
      </c>
      <c r="D45" s="12"/>
    </row>
    <row r="46" spans="1:5" ht="15.75" customHeight="1" x14ac:dyDescent="0.25">
      <c r="B46" s="11" t="s">
        <v>70</v>
      </c>
      <c r="C46" s="45">
        <v>7.0119699999999993E-2</v>
      </c>
      <c r="D46" s="12"/>
    </row>
    <row r="47" spans="1:5" ht="15.75" customHeight="1" x14ac:dyDescent="0.25">
      <c r="B47" s="11" t="s">
        <v>78</v>
      </c>
      <c r="C47" s="45">
        <v>0.16534509999999999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2.7040000000000002</v>
      </c>
      <c r="D51" s="12"/>
    </row>
    <row r="52" spans="1:4" ht="15" customHeight="1" x14ac:dyDescent="0.25">
      <c r="B52" s="11" t="s">
        <v>32</v>
      </c>
      <c r="C52" s="100">
        <v>2.7040000000000002</v>
      </c>
    </row>
    <row r="53" spans="1:4" ht="15.75" customHeight="1" x14ac:dyDescent="0.25">
      <c r="B53" s="11" t="s">
        <v>35</v>
      </c>
      <c r="C53" s="100">
        <v>7.7220000000000004</v>
      </c>
    </row>
    <row r="54" spans="1:4" ht="15.75" customHeight="1" x14ac:dyDescent="0.25">
      <c r="B54" s="11" t="s">
        <v>33</v>
      </c>
      <c r="C54" s="100">
        <v>7.2539999999999996</v>
      </c>
    </row>
    <row r="55" spans="1:4" ht="15.75" customHeight="1" x14ac:dyDescent="0.25">
      <c r="B55" s="11" t="s">
        <v>34</v>
      </c>
      <c r="C55" s="100">
        <v>2.3919999999999999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0.50240399999999996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0.1124687551</v>
      </c>
    </row>
    <row r="63" spans="1:4" ht="15.75" customHeight="1" x14ac:dyDescent="0.3">
      <c r="A63" s="4"/>
    </row>
  </sheetData>
  <sheetProtection algorithmName="SHA-512" hashValue="y+1biBkomuFi2F3H7Yr0vBgwH7w2FXzhEb9rLh0AtE3H36sxz+3jK9yh4WHh5qhcELOgrBaYHK+BMqUlWYwKuA==" saltValue="OWuVyJut+EFIrr6lDEDb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3257631.5</v>
      </c>
      <c r="C2" s="49">
        <v>802366</v>
      </c>
      <c r="D2" s="49">
        <v>1472354.5</v>
      </c>
      <c r="E2" s="49">
        <v>2574791.5000000005</v>
      </c>
      <c r="F2" s="49">
        <v>1915645.5</v>
      </c>
      <c r="G2" s="17">
        <f t="shared" ref="G2:G13" si="0">C2+D2+E2+F2</f>
        <v>6765157.5</v>
      </c>
      <c r="H2" s="17">
        <f t="shared" ref="H2:H13" si="1">(B2 + stillbirth*B2/(1000-stillbirth))/(1-abortion)</f>
        <v>3755302.8649726249</v>
      </c>
      <c r="I2" s="17">
        <f t="shared" ref="I2:I13" si="2">G2-H2</f>
        <v>3009854.6350273751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697518</v>
      </c>
      <c r="C3" s="50">
        <v>1205367</v>
      </c>
      <c r="D3" s="50">
        <v>1876721</v>
      </c>
      <c r="E3" s="50">
        <v>1371379</v>
      </c>
      <c r="F3" s="50">
        <v>940599.5</v>
      </c>
      <c r="G3" s="17">
        <f t="shared" si="0"/>
        <v>5394066.5</v>
      </c>
      <c r="H3" s="17">
        <f t="shared" si="1"/>
        <v>804078.46736807865</v>
      </c>
      <c r="I3" s="17">
        <f t="shared" si="2"/>
        <v>4589988.0326319216</v>
      </c>
    </row>
    <row r="4" spans="1:9" ht="15.75" customHeight="1" x14ac:dyDescent="0.25">
      <c r="A4" s="5">
        <f t="shared" si="3"/>
        <v>2026</v>
      </c>
      <c r="B4" s="49">
        <v>708934</v>
      </c>
      <c r="C4" s="50">
        <v>1240877</v>
      </c>
      <c r="D4" s="50">
        <v>1936420</v>
      </c>
      <c r="E4" s="50">
        <v>1414164</v>
      </c>
      <c r="F4" s="50">
        <v>979882.00000000012</v>
      </c>
      <c r="G4" s="17">
        <f t="shared" si="0"/>
        <v>5571343</v>
      </c>
      <c r="H4" s="17">
        <f t="shared" si="1"/>
        <v>817238.50020375312</v>
      </c>
      <c r="I4" s="17">
        <f t="shared" si="2"/>
        <v>4754104.4997962471</v>
      </c>
    </row>
    <row r="5" spans="1:9" ht="15.75" customHeight="1" x14ac:dyDescent="0.25">
      <c r="A5" s="5">
        <f t="shared" si="3"/>
        <v>2027</v>
      </c>
      <c r="B5" s="49">
        <v>721060</v>
      </c>
      <c r="C5" s="50">
        <v>1273193.5</v>
      </c>
      <c r="D5" s="50">
        <v>1999374.5000000002</v>
      </c>
      <c r="E5" s="50">
        <v>1457775.5</v>
      </c>
      <c r="F5" s="50">
        <v>1019339</v>
      </c>
      <c r="G5" s="17">
        <f t="shared" si="0"/>
        <v>5749682.5</v>
      </c>
      <c r="H5" s="17">
        <f t="shared" si="1"/>
        <v>831217.00039343338</v>
      </c>
      <c r="I5" s="17">
        <f t="shared" si="2"/>
        <v>4918465.4996065665</v>
      </c>
    </row>
    <row r="6" spans="1:9" ht="15.75" customHeight="1" x14ac:dyDescent="0.25">
      <c r="A6" s="5">
        <f t="shared" si="3"/>
        <v>2028</v>
      </c>
      <c r="B6" s="49">
        <v>732320</v>
      </c>
      <c r="C6" s="50">
        <v>1302392.5</v>
      </c>
      <c r="D6" s="50">
        <v>2064803.5</v>
      </c>
      <c r="E6" s="50">
        <v>1502422</v>
      </c>
      <c r="F6" s="50">
        <v>1058988</v>
      </c>
      <c r="G6" s="17">
        <f t="shared" si="0"/>
        <v>5928606</v>
      </c>
      <c r="H6" s="17">
        <f t="shared" si="1"/>
        <v>844197.2009654108</v>
      </c>
      <c r="I6" s="17">
        <f t="shared" si="2"/>
        <v>5084408.799034589</v>
      </c>
    </row>
    <row r="7" spans="1:9" ht="15.75" customHeight="1" x14ac:dyDescent="0.25">
      <c r="A7" s="5">
        <f t="shared" si="3"/>
        <v>2029</v>
      </c>
      <c r="B7" s="49">
        <v>740015</v>
      </c>
      <c r="C7" s="50">
        <v>1328640</v>
      </c>
      <c r="D7" s="50">
        <v>2131190</v>
      </c>
      <c r="E7" s="50">
        <v>1548727.5</v>
      </c>
      <c r="F7" s="50">
        <v>1098644.4999999998</v>
      </c>
      <c r="G7" s="17">
        <f t="shared" si="0"/>
        <v>6107202</v>
      </c>
      <c r="H7" s="17">
        <f t="shared" si="1"/>
        <v>853067.77320354281</v>
      </c>
      <c r="I7" s="17">
        <f t="shared" si="2"/>
        <v>5254134.2267964575</v>
      </c>
    </row>
    <row r="8" spans="1:9" ht="15.75" customHeight="1" x14ac:dyDescent="0.25">
      <c r="A8" s="5">
        <f t="shared" si="3"/>
        <v>2030</v>
      </c>
      <c r="B8" s="49">
        <v>751998</v>
      </c>
      <c r="C8" s="50">
        <v>1351686</v>
      </c>
      <c r="D8" s="50">
        <v>2197879.5</v>
      </c>
      <c r="E8" s="50">
        <v>1596789</v>
      </c>
      <c r="F8" s="50">
        <v>1138666.4999999998</v>
      </c>
      <c r="G8" s="17">
        <f t="shared" si="0"/>
        <v>6285021</v>
      </c>
      <c r="H8" s="17">
        <f t="shared" si="1"/>
        <v>866881.4271515006</v>
      </c>
      <c r="I8" s="17">
        <f t="shared" si="2"/>
        <v>5418139.5728484998</v>
      </c>
    </row>
    <row r="9" spans="1:9" ht="15.75" customHeight="1" x14ac:dyDescent="0.25">
      <c r="A9" s="5">
        <f t="shared" si="3"/>
        <v>2031</v>
      </c>
      <c r="B9" s="49">
        <v>761909</v>
      </c>
      <c r="C9" s="50">
        <v>1372085.5</v>
      </c>
      <c r="D9" s="50">
        <v>2264786.5</v>
      </c>
      <c r="E9" s="50">
        <v>1646270.5</v>
      </c>
      <c r="F9" s="50">
        <v>1179329.4999999998</v>
      </c>
      <c r="G9" s="17">
        <f t="shared" si="0"/>
        <v>6462472</v>
      </c>
      <c r="H9" s="17">
        <f t="shared" si="1"/>
        <v>878306.53975086741</v>
      </c>
      <c r="I9" s="17">
        <f t="shared" si="2"/>
        <v>5584165.4602491325</v>
      </c>
    </row>
    <row r="10" spans="1:9" ht="15.75" customHeight="1" x14ac:dyDescent="0.25">
      <c r="A10" s="5">
        <f t="shared" si="3"/>
        <v>2032</v>
      </c>
      <c r="B10" s="49">
        <v>771640</v>
      </c>
      <c r="C10" s="50">
        <v>1390872.5</v>
      </c>
      <c r="D10" s="50">
        <v>2331783</v>
      </c>
      <c r="E10" s="50">
        <v>1696889.9999999998</v>
      </c>
      <c r="F10" s="50">
        <v>1220279</v>
      </c>
      <c r="G10" s="17">
        <f t="shared" si="0"/>
        <v>6639824.5</v>
      </c>
      <c r="H10" s="17">
        <f t="shared" si="1"/>
        <v>889524.15358442976</v>
      </c>
      <c r="I10" s="17">
        <f t="shared" si="2"/>
        <v>5750300.34641557</v>
      </c>
    </row>
    <row r="11" spans="1:9" ht="15.75" customHeight="1" x14ac:dyDescent="0.25">
      <c r="A11" s="5">
        <f t="shared" si="3"/>
        <v>2033</v>
      </c>
      <c r="B11" s="49">
        <v>779405</v>
      </c>
      <c r="C11" s="50">
        <v>1408983</v>
      </c>
      <c r="D11" s="50">
        <v>2397684.5</v>
      </c>
      <c r="E11" s="50">
        <v>1748798.4999999998</v>
      </c>
      <c r="F11" s="50">
        <v>1260696</v>
      </c>
      <c r="G11" s="17">
        <f t="shared" si="0"/>
        <v>6816162</v>
      </c>
      <c r="H11" s="17">
        <f t="shared" si="1"/>
        <v>898475.41978704114</v>
      </c>
      <c r="I11" s="17">
        <f t="shared" si="2"/>
        <v>5917686.5802129591</v>
      </c>
    </row>
    <row r="12" spans="1:9" ht="15.75" customHeight="1" x14ac:dyDescent="0.25">
      <c r="A12" s="5">
        <f t="shared" si="3"/>
        <v>2034</v>
      </c>
      <c r="B12" s="49">
        <v>786522</v>
      </c>
      <c r="C12" s="50">
        <v>1428060</v>
      </c>
      <c r="D12" s="50">
        <v>2461095.5000000005</v>
      </c>
      <c r="E12" s="50">
        <v>1802191</v>
      </c>
      <c r="F12" s="50">
        <v>1300859</v>
      </c>
      <c r="G12" s="17">
        <f t="shared" si="0"/>
        <v>6992205.5</v>
      </c>
      <c r="H12" s="17">
        <f t="shared" si="1"/>
        <v>906679.69043275726</v>
      </c>
      <c r="I12" s="17">
        <f t="shared" si="2"/>
        <v>6085525.8095672429</v>
      </c>
    </row>
    <row r="13" spans="1:9" ht="15.75" customHeight="1" x14ac:dyDescent="0.25">
      <c r="A13" s="5">
        <f t="shared" si="3"/>
        <v>2035</v>
      </c>
      <c r="B13" s="49">
        <v>794523</v>
      </c>
      <c r="C13" s="50">
        <v>1449438.5</v>
      </c>
      <c r="D13" s="50">
        <v>2520444</v>
      </c>
      <c r="E13" s="50">
        <v>1857475.5</v>
      </c>
      <c r="F13" s="50">
        <v>1341751</v>
      </c>
      <c r="G13" s="17">
        <f t="shared" si="0"/>
        <v>7169109</v>
      </c>
      <c r="H13" s="17">
        <f t="shared" si="1"/>
        <v>915903.01057275664</v>
      </c>
      <c r="I13" s="17">
        <f t="shared" si="2"/>
        <v>6253205.9894272434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EyDuwTddq2YUkLPmjZGCN59I1QTVJGsx6uRRdlBFzENMaG3nQNqUBf8SHDJmWHY75IjJe8tsnhAcYSOCIi97A==" saltValue="TX4ldd3pr66wi2rgKwSAK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9.0967995857898585E-3</v>
      </c>
    </row>
    <row r="4" spans="1:8" ht="15.75" customHeight="1" x14ac:dyDescent="0.25">
      <c r="B4" s="19" t="s">
        <v>116</v>
      </c>
      <c r="C4" s="101">
        <v>6.4092908854742933E-2</v>
      </c>
    </row>
    <row r="5" spans="1:8" ht="15.75" customHeight="1" x14ac:dyDescent="0.25">
      <c r="B5" s="19" t="s">
        <v>114</v>
      </c>
      <c r="C5" s="101">
        <v>9.1282258767163948E-2</v>
      </c>
    </row>
    <row r="6" spans="1:8" ht="15.75" customHeight="1" x14ac:dyDescent="0.25">
      <c r="B6" s="19" t="s">
        <v>110</v>
      </c>
      <c r="C6" s="101">
        <v>0.25451199617035808</v>
      </c>
    </row>
    <row r="7" spans="1:8" ht="15.75" customHeight="1" x14ac:dyDescent="0.25">
      <c r="B7" s="19" t="s">
        <v>115</v>
      </c>
      <c r="C7" s="101">
        <v>0.39199030171442639</v>
      </c>
    </row>
    <row r="8" spans="1:8" ht="15.75" customHeight="1" x14ac:dyDescent="0.25">
      <c r="B8" s="19" t="s">
        <v>117</v>
      </c>
      <c r="C8" s="101">
        <v>1.5420714712771921E-3</v>
      </c>
    </row>
    <row r="9" spans="1:8" ht="15.75" customHeight="1" x14ac:dyDescent="0.25">
      <c r="B9" s="19" t="s">
        <v>111</v>
      </c>
      <c r="C9" s="101">
        <v>6.391594819168625E-2</v>
      </c>
    </row>
    <row r="10" spans="1:8" ht="15.75" customHeight="1" x14ac:dyDescent="0.25">
      <c r="B10" s="19" t="s">
        <v>113</v>
      </c>
      <c r="C10" s="101">
        <v>0.1235677152445553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121</v>
      </c>
      <c r="C15" s="101">
        <v>0.1825969991650476</v>
      </c>
      <c r="D15" s="101">
        <v>0.1825969991650476</v>
      </c>
      <c r="E15" s="101">
        <v>0.1825969991650476</v>
      </c>
      <c r="F15" s="101">
        <v>0.1825969991650476</v>
      </c>
    </row>
    <row r="16" spans="1:8" ht="15.75" customHeight="1" x14ac:dyDescent="0.25">
      <c r="B16" s="19" t="s">
        <v>2</v>
      </c>
      <c r="C16" s="101">
        <v>1.688769665810308E-2</v>
      </c>
      <c r="D16" s="101">
        <v>1.688769665810308E-2</v>
      </c>
      <c r="E16" s="101">
        <v>1.688769665810308E-2</v>
      </c>
      <c r="F16" s="101">
        <v>1.688769665810308E-2</v>
      </c>
    </row>
    <row r="17" spans="1:8" ht="15.75" customHeight="1" x14ac:dyDescent="0.25">
      <c r="B17" s="19" t="s">
        <v>109</v>
      </c>
      <c r="C17" s="101">
        <v>1.7773095567990671E-3</v>
      </c>
      <c r="D17" s="101">
        <v>1.7773095567990671E-3</v>
      </c>
      <c r="E17" s="101">
        <v>1.7773095567990671E-3</v>
      </c>
      <c r="F17" s="101">
        <v>1.7773095567990671E-3</v>
      </c>
    </row>
    <row r="18" spans="1:8" ht="15.75" customHeight="1" x14ac:dyDescent="0.25">
      <c r="B18" s="19" t="s">
        <v>3</v>
      </c>
      <c r="C18" s="101">
        <v>0.1345228179711539</v>
      </c>
      <c r="D18" s="101">
        <v>0.1345228179711539</v>
      </c>
      <c r="E18" s="101">
        <v>0.1345228179711539</v>
      </c>
      <c r="F18" s="101">
        <v>0.1345228179711539</v>
      </c>
    </row>
    <row r="19" spans="1:8" ht="15.75" customHeight="1" x14ac:dyDescent="0.25">
      <c r="B19" s="19" t="s">
        <v>120</v>
      </c>
      <c r="C19" s="101">
        <v>2.3061119344817509E-2</v>
      </c>
      <c r="D19" s="101">
        <v>2.3061119344817509E-2</v>
      </c>
      <c r="E19" s="101">
        <v>2.3061119344817509E-2</v>
      </c>
      <c r="F19" s="101">
        <v>2.3061119344817509E-2</v>
      </c>
    </row>
    <row r="20" spans="1:8" ht="15.75" customHeight="1" x14ac:dyDescent="0.25">
      <c r="B20" s="19" t="s">
        <v>98</v>
      </c>
      <c r="C20" s="101">
        <v>0.23695712210512701</v>
      </c>
      <c r="D20" s="101">
        <v>0.23695712210512701</v>
      </c>
      <c r="E20" s="101">
        <v>0.23695712210512701</v>
      </c>
      <c r="F20" s="101">
        <v>0.23695712210512701</v>
      </c>
    </row>
    <row r="21" spans="1:8" ht="15.75" customHeight="1" x14ac:dyDescent="0.25">
      <c r="B21" s="19" t="s">
        <v>107</v>
      </c>
      <c r="C21" s="101">
        <v>0.1034812689154867</v>
      </c>
      <c r="D21" s="101">
        <v>0.1034812689154867</v>
      </c>
      <c r="E21" s="101">
        <v>0.1034812689154867</v>
      </c>
      <c r="F21" s="101">
        <v>0.1034812689154867</v>
      </c>
    </row>
    <row r="22" spans="1:8" ht="15.75" customHeight="1" x14ac:dyDescent="0.25">
      <c r="B22" s="19" t="s">
        <v>118</v>
      </c>
      <c r="C22" s="101">
        <v>0.1607547585958877</v>
      </c>
      <c r="D22" s="101">
        <v>0.1607547585958877</v>
      </c>
      <c r="E22" s="101">
        <v>0.1607547585958877</v>
      </c>
      <c r="F22" s="101">
        <v>0.1607547585958877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8.1868175000000001E-2</v>
      </c>
    </row>
    <row r="27" spans="1:8" ht="15.75" customHeight="1" x14ac:dyDescent="0.25">
      <c r="B27" s="19" t="s">
        <v>108</v>
      </c>
      <c r="C27" s="101">
        <v>8.1904539999999998E-3</v>
      </c>
    </row>
    <row r="28" spans="1:8" ht="15.75" customHeight="1" x14ac:dyDescent="0.25">
      <c r="B28" s="19" t="s">
        <v>122</v>
      </c>
      <c r="C28" s="101">
        <v>0.143739488</v>
      </c>
    </row>
    <row r="29" spans="1:8" ht="15.75" customHeight="1" x14ac:dyDescent="0.25">
      <c r="B29" s="19" t="s">
        <v>105</v>
      </c>
      <c r="C29" s="101">
        <v>0.15393818500000001</v>
      </c>
    </row>
    <row r="30" spans="1:8" ht="15.75" customHeight="1" x14ac:dyDescent="0.25">
      <c r="B30" s="19" t="s">
        <v>4</v>
      </c>
      <c r="C30" s="101">
        <v>9.7379692000000004E-2</v>
      </c>
    </row>
    <row r="31" spans="1:8" ht="15.75" customHeight="1" x14ac:dyDescent="0.25">
      <c r="B31" s="19" t="s">
        <v>99</v>
      </c>
      <c r="C31" s="101">
        <v>9.8883503999999997E-2</v>
      </c>
    </row>
    <row r="32" spans="1:8" ht="15.75" customHeight="1" x14ac:dyDescent="0.25">
      <c r="B32" s="19" t="s">
        <v>104</v>
      </c>
      <c r="C32" s="101">
        <v>1.7031174E-2</v>
      </c>
    </row>
    <row r="33" spans="2:3" ht="15.75" customHeight="1" x14ac:dyDescent="0.25">
      <c r="B33" s="19" t="s">
        <v>119</v>
      </c>
      <c r="C33" s="101">
        <v>7.6512073999999999E-2</v>
      </c>
    </row>
    <row r="34" spans="2:3" ht="15.75" customHeight="1" x14ac:dyDescent="0.25">
      <c r="B34" s="19" t="s">
        <v>106</v>
      </c>
      <c r="C34" s="101">
        <v>0.32245725400000003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2ipkg+Lt0tBDHgjuv4N3nM3JbZ4dIFRQFK05bCJQe9P50t5Ug9hrIygSul8FvxxEyUpBnU++VH416Fy7Byqrw==" saltValue="9FLgSmq+AWCRoMN3+almQ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129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125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126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138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VDd1bkLgvwTlyzAHA4YXI0IiV7/spJtlRft/7gakkFwEPHR688VMFZhasv1bZwL5ID2lHHLt1x9vxBnXSAabw==" saltValue="oTK7q1/Hb4gLeBbQN4P8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4.2928999999999884E-2</v>
      </c>
      <c r="D5" s="52">
        <f t="shared" si="0"/>
        <v>3.6036399999999968E-2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pl+IhJH2F5SzG6YrsY9eNGL2pvGi5cDSoVniregRZuRd4Tdp6sD9RHE92OI1B7cMiuxbGIGAScdvDdS0mCNxIQ==" saltValue="iS1JH4ZE6KVIARyCgGmd8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se9YTHdXn8N0J8rO5Huqg6Udj55bstVaMs8QInV70uigTOHSWH0MRFEaW+2h1ob9eQ9GO3im0K3AlbJCvArEQ==" saltValue="jKZOmssrzMSkgpmllh3KS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1456.9015701544499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0.33787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0.52536000000000005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1.0857408838744073E-2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93725.690520000004</v>
      </c>
      <c r="C22" s="109">
        <v>93075.482359999995</v>
      </c>
      <c r="D22" s="109">
        <v>92685.731390000001</v>
      </c>
      <c r="E22" s="109">
        <v>91944.631710000001</v>
      </c>
      <c r="F22" s="109">
        <v>90885.834950000004</v>
      </c>
      <c r="G22" s="109">
        <v>89549.660919999995</v>
      </c>
      <c r="H22" s="109">
        <v>87692.624419999993</v>
      </c>
      <c r="I22" s="109">
        <v>85113.098379999996</v>
      </c>
      <c r="J22" s="109">
        <v>81570.902390000003</v>
      </c>
      <c r="K22" s="109">
        <v>77104.123989999993</v>
      </c>
      <c r="L22" s="109">
        <v>71433.730750000002</v>
      </c>
      <c r="M22" s="109">
        <v>64670.832759999998</v>
      </c>
      <c r="N22" s="109">
        <v>56426.834710000003</v>
      </c>
      <c r="O22" s="109">
        <v>46824.934529999999</v>
      </c>
    </row>
  </sheetData>
  <sheetProtection algorithmName="SHA-512" hashValue="JF6ZA7w1s+t/p9SMkOYRSjpYEuGfe7GhC/7bxavBE26ogDybPl0dkKemnhm3xgMx1YJEL3fr2OVBBbxwd1JPWA==" saltValue="nuWtzs4ff78pBzqnkjJg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9wADYZ7hwHrtWAnbxJaYPcrh8DfaFHQPQtmM/b/VLAKwXby8/5IItB6OkzAt0HKZiwJiz9kNH2GnAdkYKu7lEg==" saltValue="EEXrtRwDxuhQ8CSY963J9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hGXFTiUl+b43HL0GZakL14pOvaAifeBA+S5S9g/hU1ohA7RX7jIKakUwkxulesuVJsF8ERQo41TaL3REzk7oA==" saltValue="zcCsnlRbarLfcvWAQzhe/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6.41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0.20568905243790248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0.72482939999999996</v>
      </c>
      <c r="C10" s="98">
        <v>0.95</v>
      </c>
      <c r="D10" s="56">
        <v>14.26897757170995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14.26897757170995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14.26897757170995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14.26897757170995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0.79139999999999999</v>
      </c>
      <c r="C14" s="98">
        <v>0.95</v>
      </c>
      <c r="D14" s="56">
        <v>2.7125243790248388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14.26897757170995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0.80843429999999994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0.46</v>
      </c>
      <c r="C18" s="98">
        <v>0.95</v>
      </c>
      <c r="D18" s="56">
        <v>6.4149273229070838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0.64176169999999999</v>
      </c>
      <c r="C19" s="98">
        <v>0.95</v>
      </c>
      <c r="D19" s="56">
        <v>3.0133371170447369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6.41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0.71545519999999996</v>
      </c>
      <c r="C23" s="98">
        <v>0.95</v>
      </c>
      <c r="D23" s="56">
        <v>4.7084773800389677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0.59945256852146001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5.5E-2</v>
      </c>
      <c r="C26" s="98">
        <v>0.95</v>
      </c>
      <c r="D26" s="56">
        <v>4.6280036798528057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0.66792069999999992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0.23221729999999999</v>
      </c>
      <c r="C29" s="98">
        <v>0.95</v>
      </c>
      <c r="D29" s="56">
        <v>112.4872415972974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154.26678932842685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0.67400000000000004</v>
      </c>
      <c r="C32" s="98">
        <v>0.95</v>
      </c>
      <c r="D32" s="56">
        <v>1.208423183072677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0.18154609999999999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0.73697869999999999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5.3560000000000001E-4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0.3439854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0.33500000000000002</v>
      </c>
      <c r="C38" s="98">
        <v>0.95</v>
      </c>
      <c r="D38" s="56">
        <v>1.1570009199632014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4oTa7ZKRH29CCvZ0UNeNv4qsBrrWWOnOuu9mjg/1NZvHzF+JCRi13uRE+jUoHx45V6+1s7t+fFhbGxSeXqLBbQ==" saltValue="ufjeesnC/fO7pLbtc6DP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AHNwA0SSdIO3/5PFTTvU+hj7M9lk3Up7lHB+yPQzaE1nIZPBq6mka/zbD5NmmlvFUHzOoA5+NiWwE1rRy7vmg==" saltValue="lZ9g5viLJdOk80fVl0gW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BONvT5R1PH4sjNCTUCYFAbpGkonc4rytsrOoHoucKqWA1y2r135qxkBTl7yrkuTOisWTUaaWxb80GwZ38StGw==" saltValue="58ovSgn+jScoU0sfDVp85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2.7040000000000002</v>
      </c>
      <c r="C2" s="21">
        <f>'Entradas de población-año base'!C52</f>
        <v>2.7040000000000002</v>
      </c>
      <c r="D2" s="21">
        <f>'Entradas de población-año base'!C53</f>
        <v>7.7220000000000004</v>
      </c>
      <c r="E2" s="21">
        <f>'Entradas de población-año base'!C54</f>
        <v>7.2539999999999996</v>
      </c>
      <c r="F2" s="21">
        <f>'Entradas de población-año base'!C55</f>
        <v>2.3919999999999999</v>
      </c>
    </row>
    <row r="3" spans="1:6" ht="15.75" customHeight="1" x14ac:dyDescent="0.25">
      <c r="A3" s="3" t="s">
        <v>6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236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v87uIlr/GOkflqERTTaQEd7ygw1FMP3alNh4CPi8LAYszcQ7gj0mOLQpiLa9KDUbwDsaA2D6Yt9xIzX93aMp8Q==" saltValue="jS3sp9jHurWBk+oQz8XS8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5.8996363636363645E-2</v>
      </c>
      <c r="D7" s="60">
        <f>diarrhoea_1_5mo*frac_diarrhea_severe</f>
        <v>5.8996363636363645E-2</v>
      </c>
      <c r="E7" s="60">
        <f>diarrhoea_6_11mo*frac_diarrhea_severe</f>
        <v>0.16848000000000002</v>
      </c>
      <c r="F7" s="60">
        <f>diarrhoea_12_23mo*frac_diarrhea_severe</f>
        <v>0.15826909090909091</v>
      </c>
      <c r="G7" s="60">
        <f>diarrhoea_24_59mo*frac_diarrhea_severe</f>
        <v>5.2189090909090914E-2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5.8996363636363645E-2</v>
      </c>
      <c r="D12" s="60">
        <f>diarrhoea_1_5mo*frac_diarrhea_severe</f>
        <v>5.8996363636363645E-2</v>
      </c>
      <c r="E12" s="60">
        <f>diarrhoea_6_11mo*frac_diarrhea_severe</f>
        <v>0.16848000000000002</v>
      </c>
      <c r="F12" s="60">
        <f>diarrhoea_12_23mo*frac_diarrhea_severe</f>
        <v>0.15826909090909091</v>
      </c>
      <c r="G12" s="60">
        <f>diarrhoea_24_59mo*frac_diarrhea_severe</f>
        <v>5.2189090909090914E-2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0.19700000000000001</v>
      </c>
      <c r="M24" s="60">
        <f>famplan_unmet_need</f>
        <v>0.19700000000000001</v>
      </c>
      <c r="N24" s="60">
        <f>famplan_unmet_need</f>
        <v>0.19700000000000001</v>
      </c>
      <c r="O24" s="60">
        <f>famplan_unmet_need</f>
        <v>0.19700000000000001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0.83</v>
      </c>
      <c r="D34" s="60">
        <f t="shared" si="4"/>
        <v>0.83</v>
      </c>
      <c r="E34" s="60">
        <f t="shared" si="4"/>
        <v>0.83</v>
      </c>
      <c r="F34" s="60">
        <f t="shared" si="4"/>
        <v>0.83</v>
      </c>
      <c r="G34" s="60">
        <f t="shared" si="4"/>
        <v>0.83</v>
      </c>
      <c r="H34" s="60">
        <f t="shared" si="4"/>
        <v>0.83</v>
      </c>
      <c r="I34" s="60">
        <f t="shared" si="4"/>
        <v>0.83</v>
      </c>
      <c r="J34" s="60">
        <f t="shared" si="4"/>
        <v>0.83</v>
      </c>
      <c r="K34" s="60">
        <f t="shared" si="4"/>
        <v>0.83</v>
      </c>
      <c r="L34" s="60">
        <f t="shared" si="4"/>
        <v>0.83</v>
      </c>
      <c r="M34" s="60">
        <f t="shared" si="4"/>
        <v>0.83</v>
      </c>
      <c r="N34" s="60">
        <f t="shared" si="4"/>
        <v>0.83</v>
      </c>
      <c r="O34" s="60">
        <f t="shared" si="4"/>
        <v>0.83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fPJDghkNuKzGpOL/Te7WZTIiYOgjYekccyNI0HYH9rr6lGuReNTrYrk/mMgfeDe+SdfP8P+gNFHeKrGhbaqwQ==" saltValue="ix0gw2RBEWetsh0XDxGaa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SPbU45vhDVRzIXMR/WexgmicdLGpxDW0RjsvsDpyBmPUueWrIwgc78GAY5Dzwq22prr1jNoOOFmuftIATS69g==" saltValue="xrCa+f0Fy1HJU1Q/lLkD+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UTwIHpQ3n71/+eYjcObb2tQMCxpdw12ZrmTiSHFokoxlyRi2yqXOimuW4/X+t9MtRG0tLIckP3kEkELSmj5gQ==" saltValue="EqmS6+F+CG8o9DsJn3C53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F8NfvhqDRIv45+7rJ3DDfVRHI/h4V3BCNiAE/BK5dsHxnexSyIE5L6T9SVeGrQXBdpDzkjWDSOCMvRvgy2mCJw==" saltValue="CGLw8Ffld3NXrGTVFvuEK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xWFyrf+BOK/AlGG2EBZu1Gx+CrHNPkH1XJ1v7a+Mk3mSWrZSbQ397vKne7+cyzvOr6wqaNi5OMldMmxRZTn3Vg==" saltValue="9oDLGwjT56Nwjc3eJm8gz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J1eGVC2wR+FBlLvBCDEDq/Fs9KlJ1nrgn6B4NH/jUSpuvdTt2DKhiHJCen5r6Vv2jl8AjOlpob//FjA8CG6jpw==" saltValue="NYNvpolOk4+2CnuFRl7d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l0aV/BrYYw+DKsJ+9GjhC7mauQpFIW0/uMLedV6VeyeHTf4Z/35k+c2+0udRzTWDkDeayawRNCpLg+FGDjYMA==" saltValue="gshCc1DMxWng7pNwyXEJR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6ySQRMFyTXs8frT/XOk/BQVl6pn13nVpC5R3thQAZxpwUmJdtRgk1Ao/UkfC235eb6kd/2fX3Sd5waN9qYCX6A==" saltValue="wcc0iTQt8ePPL+zKjrEJ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XyfIR/6kohJ/g0mKVqmGNBUe6ScRcOCElIfZIT+01IyfOHk01apQKJ316wAosyCXy81PBTFlddxNEbQpWC+YkQ==" saltValue="njHf3etO/CBHMoqQRbBj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fv3WB3endS6rbBl0YgLJIRsODiPXXM0St2xF4lXlUYk+PJXxW/qXB2USsxq+hHAadMON9+2yWzT+wfIfhK/1Q==" saltValue="Lezrv6RqjzIaJjdoZ6UT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fMsllmJSx6AKOrfraDIityldEiN+6mG3cJFftoU/6qesFyHZRYQRlShO+FLDXgH3vbsk3EzMVXcatarH/Hx1g==" saltValue="rhsvP3B3JseIEi/v10Fc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d0b6DqQSNRAeDMPk0aGQSzgKqizz7KE4zdVo5zIfoAf0cA2f4rFVtjv2r/VbgIV+VbsXdgEU1sMnOZ5rf6TmA==" saltValue="Vl1i8zp0H0IgviML5Iq+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XY8cVDdMFPRvIbgBgN3aylTX+r0Vr1Ub4qfOjEg1h0uFj70nBq3JHN1GKsorcWMjyEDNLk1AZVkt6OcuSkBKw==" saltValue="5D1973efE7Lq2VOLHULj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hU8GUtsAsGgKSZxpULH2gFQPt8Q3QddS0FbaPgVHVeUt9ixqDew1dVahmRc5dJoUTz+2F0Ge4RisDzgPYbvOA==" saltValue="23WkjPEWDR3MP/quLvAw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cGpyeDhbyH4Wi7UQgPdeSAF8ueWXaTuOJ64/a87HGN7aME2tgdaWWEnECZZSM/pPUs6S+3RNeZqArra6VYlrDg==" saltValue="GVoYpWr3jNioCqDVPiEeb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