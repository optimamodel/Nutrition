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6F966322-9A60-418A-A2C5-FB1B8B0DF8F0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I39" i="2"/>
  <c r="H39" i="2"/>
  <c r="G39" i="2"/>
  <c r="H38" i="2"/>
  <c r="G38" i="2"/>
  <c r="I38" i="2" s="1"/>
  <c r="A21" i="2"/>
  <c r="I13" i="2"/>
  <c r="H13" i="2"/>
  <c r="G13" i="2"/>
  <c r="H12" i="2"/>
  <c r="G12" i="2"/>
  <c r="I12" i="2" s="1"/>
  <c r="H11" i="2"/>
  <c r="I11" i="2" s="1"/>
  <c r="G11" i="2"/>
  <c r="H10" i="2"/>
  <c r="G10" i="2"/>
  <c r="H9" i="2"/>
  <c r="I9" i="2" s="1"/>
  <c r="G9" i="2"/>
  <c r="H8" i="2"/>
  <c r="G8" i="2"/>
  <c r="I8" i="2" s="1"/>
  <c r="I7" i="2"/>
  <c r="H7" i="2"/>
  <c r="G7" i="2"/>
  <c r="H6" i="2"/>
  <c r="G6" i="2"/>
  <c r="I6" i="2" s="1"/>
  <c r="H5" i="2"/>
  <c r="I5" i="2" s="1"/>
  <c r="G5" i="2"/>
  <c r="H4" i="2"/>
  <c r="G4" i="2"/>
  <c r="H3" i="2"/>
  <c r="I3" i="2" s="1"/>
  <c r="G3" i="2"/>
  <c r="H2" i="2"/>
  <c r="G2" i="2"/>
  <c r="I2" i="2" s="1"/>
  <c r="A2" i="2"/>
  <c r="A36" i="2" s="1"/>
  <c r="C33" i="1"/>
  <c r="C20" i="1"/>
  <c r="A37" i="2" l="1"/>
  <c r="I10" i="2"/>
  <c r="A29" i="2"/>
  <c r="I4" i="2"/>
  <c r="A14" i="2"/>
  <c r="A38" i="2"/>
  <c r="A16" i="2"/>
  <c r="A24" i="2"/>
  <c r="A32" i="2"/>
  <c r="A30" i="2"/>
  <c r="A15" i="2"/>
  <c r="A23" i="2"/>
  <c r="A31" i="2"/>
  <c r="A19" i="2"/>
  <c r="A27" i="2"/>
  <c r="A35" i="2"/>
  <c r="A22" i="2"/>
  <c r="A40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20" i="2"/>
  <c r="A2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<sst xmlns="http://schemas.openxmlformats.org/spreadsheetml/2006/main" count="2101" uniqueCount="341">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</sst>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1006424.609375</v>
      </c>
    </row>
    <row r="8" spans="1:3" ht="15" customHeight="1" x14ac:dyDescent="0.25">
      <c r="B8" s="5" t="s">
        <v>44</v>
      </c>
      <c r="C8" s="44">
        <v>3.5000000000000003E-2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0.80865753173828092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0.1108</v>
      </c>
    </row>
    <row r="24" spans="1:3" ht="15" customHeight="1" x14ac:dyDescent="0.25">
      <c r="B24" s="15" t="s">
        <v>46</v>
      </c>
      <c r="C24" s="45">
        <v>0.51619999999999999</v>
      </c>
    </row>
    <row r="25" spans="1:3" ht="15" customHeight="1" x14ac:dyDescent="0.25">
      <c r="B25" s="15" t="s">
        <v>47</v>
      </c>
      <c r="C25" s="45">
        <v>0.3543</v>
      </c>
    </row>
    <row r="26" spans="1:3" ht="15" customHeight="1" x14ac:dyDescent="0.25">
      <c r="B26" s="15" t="s">
        <v>48</v>
      </c>
      <c r="C26" s="45">
        <v>1.8700000000000001E-2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0.57290349526853401</v>
      </c>
    </row>
    <row r="30" spans="1:3" ht="14.25" customHeight="1" x14ac:dyDescent="0.25">
      <c r="B30" s="25" t="s">
        <v>63</v>
      </c>
      <c r="C30" s="99">
        <v>2.97816918362898E-2</v>
      </c>
    </row>
    <row r="31" spans="1:3" ht="14.25" customHeight="1" x14ac:dyDescent="0.25">
      <c r="B31" s="25" t="s">
        <v>10</v>
      </c>
      <c r="C31" s="99">
        <v>2.5306962187057899E-2</v>
      </c>
    </row>
    <row r="32" spans="1:3" ht="14.25" customHeight="1" x14ac:dyDescent="0.25">
      <c r="B32" s="25" t="s">
        <v>11</v>
      </c>
      <c r="C32" s="99">
        <v>0.37200785070811798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3.23326</v>
      </c>
    </row>
    <row r="38" spans="1:5" ht="15" customHeight="1" x14ac:dyDescent="0.25">
      <c r="B38" s="11" t="s">
        <v>35</v>
      </c>
      <c r="C38" s="43">
        <v>5.2582199999999997</v>
      </c>
      <c r="D38" s="12"/>
      <c r="E38" s="13"/>
    </row>
    <row r="39" spans="1:5" ht="15" customHeight="1" x14ac:dyDescent="0.25">
      <c r="B39" s="11" t="s">
        <v>61</v>
      </c>
      <c r="C39" s="43">
        <v>6.4268799999999997</v>
      </c>
      <c r="D39" s="12"/>
      <c r="E39" s="12"/>
    </row>
    <row r="40" spans="1:5" ht="15" customHeight="1" x14ac:dyDescent="0.25">
      <c r="B40" s="11" t="s">
        <v>36</v>
      </c>
      <c r="C40" s="100">
        <v>0.1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3.3947500000000002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7.1955999999999999E-3</v>
      </c>
      <c r="D45" s="12"/>
    </row>
    <row r="46" spans="1:5" ht="15.75" customHeight="1" x14ac:dyDescent="0.25">
      <c r="B46" s="11" t="s">
        <v>51</v>
      </c>
      <c r="C46" s="45">
        <v>7.7315800000000004E-2</v>
      </c>
      <c r="D46" s="12"/>
    </row>
    <row r="47" spans="1:5" ht="15.75" customHeight="1" x14ac:dyDescent="0.25">
      <c r="B47" s="11" t="s">
        <v>59</v>
      </c>
      <c r="C47" s="45">
        <v>7.4158099999999991E-2</v>
      </c>
      <c r="D47" s="12"/>
      <c r="E47" s="13"/>
    </row>
    <row r="48" spans="1:5" ht="15" customHeight="1" x14ac:dyDescent="0.25">
      <c r="B48" s="11" t="s">
        <v>58</v>
      </c>
      <c r="C48" s="46">
        <v>0.84133049999999998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2.8</v>
      </c>
      <c r="D51" s="12"/>
    </row>
    <row r="52" spans="1:4" ht="15" customHeight="1" x14ac:dyDescent="0.25">
      <c r="B52" s="11" t="s">
        <v>13</v>
      </c>
      <c r="C52" s="100">
        <v>2.8</v>
      </c>
    </row>
    <row r="53" spans="1:4" ht="15.75" customHeight="1" x14ac:dyDescent="0.25">
      <c r="B53" s="11" t="s">
        <v>16</v>
      </c>
      <c r="C53" s="100">
        <v>2.8</v>
      </c>
    </row>
    <row r="54" spans="1:4" ht="15.75" customHeight="1" x14ac:dyDescent="0.25">
      <c r="B54" s="11" t="s">
        <v>14</v>
      </c>
      <c r="C54" s="100">
        <v>2.8</v>
      </c>
    </row>
    <row r="55" spans="1:4" ht="15.75" customHeight="1" x14ac:dyDescent="0.25">
      <c r="B55" s="11" t="s">
        <v>15</v>
      </c>
      <c r="C55" s="100">
        <v>2.8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1.6428571428571431E-2</v>
      </c>
    </row>
    <row r="59" spans="1:4" ht="15.75" customHeight="1" x14ac:dyDescent="0.25">
      <c r="B59" s="11" t="s">
        <v>40</v>
      </c>
      <c r="C59" s="45">
        <v>0.62845099999999998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8.1845530999999999E-2</v>
      </c>
    </row>
    <row r="63" spans="1:4" ht="15.75" customHeight="1" x14ac:dyDescent="0.3">
      <c r="A63" s="4"/>
    </row>
  </sheetData>
  <sheetProtection algorithmName="SHA-512" hashValue="GtZUzJLp8inJcOtADPbF4K1Bq28CE75+fkyKs9uY+RWhr15MjH0Dlcmai63ZDPKyNjCBWrSMgE07L/Jw1ofC/Q==" saltValue="1E2MjjPjebeJ+cYN7aQ7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204933</v>
      </c>
      <c r="C2" s="49">
        <v>640713.49999999988</v>
      </c>
      <c r="D2" s="49">
        <v>1102089.5</v>
      </c>
      <c r="E2" s="49">
        <v>1292810</v>
      </c>
      <c r="F2" s="49">
        <v>1321337.5</v>
      </c>
      <c r="G2" s="17">
        <f t="shared" ref="G2:G13" si="0">C2+D2+E2+F2</f>
        <v>4356950.5</v>
      </c>
      <c r="H2" s="17">
        <f t="shared" ref="H2:H13" si="1">(B2 + stillbirth*B2/(1000-stillbirth))/(1-abortion)</f>
        <v>233671.66597899125</v>
      </c>
      <c r="I2" s="17">
        <f t="shared" ref="I2:I13" si="2">G2-H2</f>
        <v>4123278.8340210086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197295</v>
      </c>
      <c r="C3" s="50">
        <v>623432.49999999988</v>
      </c>
      <c r="D3" s="50">
        <v>1067578.5</v>
      </c>
      <c r="E3" s="50">
        <v>1251822</v>
      </c>
      <c r="F3" s="50">
        <v>1283489.5</v>
      </c>
      <c r="G3" s="17">
        <f t="shared" si="0"/>
        <v>4226322.5</v>
      </c>
      <c r="H3" s="17">
        <f t="shared" si="1"/>
        <v>224962.5552708694</v>
      </c>
      <c r="I3" s="17">
        <f t="shared" si="2"/>
        <v>4001359.9447291307</v>
      </c>
    </row>
    <row r="4" spans="1:9" ht="15.75" customHeight="1" x14ac:dyDescent="0.25">
      <c r="A4" s="5">
        <f t="shared" si="3"/>
        <v>2026</v>
      </c>
      <c r="B4" s="49">
        <v>190844</v>
      </c>
      <c r="C4" s="50">
        <v>611135</v>
      </c>
      <c r="D4" s="50">
        <v>1048652.5</v>
      </c>
      <c r="E4" s="50">
        <v>1210208</v>
      </c>
      <c r="F4" s="50">
        <v>1256548.5</v>
      </c>
      <c r="G4" s="17">
        <f t="shared" si="0"/>
        <v>4126544</v>
      </c>
      <c r="H4" s="17">
        <f t="shared" si="1"/>
        <v>217606.90285163742</v>
      </c>
      <c r="I4" s="17">
        <f t="shared" si="2"/>
        <v>3908937.0971483625</v>
      </c>
    </row>
    <row r="5" spans="1:9" ht="15.75" customHeight="1" x14ac:dyDescent="0.25">
      <c r="A5" s="5">
        <f t="shared" si="3"/>
        <v>2027</v>
      </c>
      <c r="B5" s="49">
        <v>187613</v>
      </c>
      <c r="C5" s="50">
        <v>602522.5</v>
      </c>
      <c r="D5" s="50">
        <v>1039168</v>
      </c>
      <c r="E5" s="50">
        <v>1169808</v>
      </c>
      <c r="F5" s="50">
        <v>1235750</v>
      </c>
      <c r="G5" s="17">
        <f t="shared" si="0"/>
        <v>4047248.5</v>
      </c>
      <c r="H5" s="17">
        <f t="shared" si="1"/>
        <v>213922.8053525615</v>
      </c>
      <c r="I5" s="17">
        <f t="shared" si="2"/>
        <v>3833325.6946474384</v>
      </c>
    </row>
    <row r="6" spans="1:9" ht="15.75" customHeight="1" x14ac:dyDescent="0.25">
      <c r="A6" s="5">
        <f t="shared" si="3"/>
        <v>2028</v>
      </c>
      <c r="B6" s="49">
        <v>184298</v>
      </c>
      <c r="C6" s="50">
        <v>595554.50000000012</v>
      </c>
      <c r="D6" s="50">
        <v>1032840.5</v>
      </c>
      <c r="E6" s="50">
        <v>1130373.5</v>
      </c>
      <c r="F6" s="50">
        <v>1220465</v>
      </c>
      <c r="G6" s="17">
        <f t="shared" si="0"/>
        <v>3979233.5</v>
      </c>
      <c r="H6" s="17">
        <f t="shared" si="1"/>
        <v>210142.92815991631</v>
      </c>
      <c r="I6" s="17">
        <f t="shared" si="2"/>
        <v>3769090.5718400837</v>
      </c>
    </row>
    <row r="7" spans="1:9" ht="15.75" customHeight="1" x14ac:dyDescent="0.25">
      <c r="A7" s="5">
        <f t="shared" si="3"/>
        <v>2029</v>
      </c>
      <c r="B7" s="49">
        <v>182377</v>
      </c>
      <c r="C7" s="50">
        <v>592098</v>
      </c>
      <c r="D7" s="50">
        <v>1027125.5</v>
      </c>
      <c r="E7" s="50">
        <v>1095903.5</v>
      </c>
      <c r="F7" s="50">
        <v>1211422.5</v>
      </c>
      <c r="G7" s="17">
        <f t="shared" si="0"/>
        <v>3926549.5</v>
      </c>
      <c r="H7" s="17">
        <f t="shared" si="1"/>
        <v>207952.53778674247</v>
      </c>
      <c r="I7" s="17">
        <f t="shared" si="2"/>
        <v>3718596.9622132573</v>
      </c>
    </row>
    <row r="8" spans="1:9" ht="15.75" customHeight="1" x14ac:dyDescent="0.25">
      <c r="A8" s="5">
        <f t="shared" si="3"/>
        <v>2030</v>
      </c>
      <c r="B8" s="49">
        <v>180178</v>
      </c>
      <c r="C8" s="50">
        <v>593099</v>
      </c>
      <c r="D8" s="50">
        <v>1020286</v>
      </c>
      <c r="E8" s="50">
        <v>1069616.5</v>
      </c>
      <c r="F8" s="50">
        <v>1203336.5</v>
      </c>
      <c r="G8" s="17">
        <f t="shared" si="0"/>
        <v>3886338</v>
      </c>
      <c r="H8" s="17">
        <f t="shared" si="1"/>
        <v>205445.16223723211</v>
      </c>
      <c r="I8" s="17">
        <f t="shared" si="2"/>
        <v>3680892.8377627679</v>
      </c>
    </row>
    <row r="9" spans="1:9" ht="15.75" customHeight="1" x14ac:dyDescent="0.25">
      <c r="A9" s="5">
        <f t="shared" si="3"/>
        <v>2031</v>
      </c>
      <c r="B9" s="49">
        <v>178611</v>
      </c>
      <c r="C9" s="50">
        <v>599560.99999999988</v>
      </c>
      <c r="D9" s="50">
        <v>1012831.5</v>
      </c>
      <c r="E9" s="50">
        <v>1055769</v>
      </c>
      <c r="F9" s="50">
        <v>1192579.5</v>
      </c>
      <c r="G9" s="17">
        <f t="shared" si="0"/>
        <v>3860741</v>
      </c>
      <c r="H9" s="17">
        <f t="shared" si="1"/>
        <v>203658.41485838595</v>
      </c>
      <c r="I9" s="17">
        <f t="shared" si="2"/>
        <v>3657082.5851416141</v>
      </c>
    </row>
    <row r="10" spans="1:9" ht="15.75" customHeight="1" x14ac:dyDescent="0.25">
      <c r="A10" s="5">
        <f t="shared" si="3"/>
        <v>2032</v>
      </c>
      <c r="B10" s="49">
        <v>176794</v>
      </c>
      <c r="C10" s="50">
        <v>606264.99999999988</v>
      </c>
      <c r="D10" s="50">
        <v>1007363</v>
      </c>
      <c r="E10" s="50">
        <v>1048218.5</v>
      </c>
      <c r="F10" s="50">
        <v>1176620.5</v>
      </c>
      <c r="G10" s="17">
        <f t="shared" si="0"/>
        <v>3838467</v>
      </c>
      <c r="H10" s="17">
        <f t="shared" si="1"/>
        <v>201586.60886772646</v>
      </c>
      <c r="I10" s="17">
        <f t="shared" si="2"/>
        <v>3636880.3911322737</v>
      </c>
    </row>
    <row r="11" spans="1:9" ht="15.75" customHeight="1" x14ac:dyDescent="0.25">
      <c r="A11" s="5">
        <f t="shared" si="3"/>
        <v>2033</v>
      </c>
      <c r="B11" s="49">
        <v>175764</v>
      </c>
      <c r="C11" s="50">
        <v>611823.00000000012</v>
      </c>
      <c r="D11" s="50">
        <v>1001003.5</v>
      </c>
      <c r="E11" s="50">
        <v>1041661</v>
      </c>
      <c r="F11" s="50">
        <v>1161220.5</v>
      </c>
      <c r="G11" s="17">
        <f t="shared" si="0"/>
        <v>3815708</v>
      </c>
      <c r="H11" s="17">
        <f t="shared" si="1"/>
        <v>200412.16738705538</v>
      </c>
      <c r="I11" s="17">
        <f t="shared" si="2"/>
        <v>3615295.8326129448</v>
      </c>
    </row>
    <row r="12" spans="1:9" ht="15.75" customHeight="1" x14ac:dyDescent="0.25">
      <c r="A12" s="5">
        <f t="shared" si="3"/>
        <v>2034</v>
      </c>
      <c r="B12" s="49">
        <v>174864</v>
      </c>
      <c r="C12" s="50">
        <v>614792</v>
      </c>
      <c r="D12" s="50">
        <v>995052.5</v>
      </c>
      <c r="E12" s="50">
        <v>1034641</v>
      </c>
      <c r="F12" s="50">
        <v>1144051</v>
      </c>
      <c r="G12" s="17">
        <f t="shared" si="0"/>
        <v>3788536.5</v>
      </c>
      <c r="H12" s="17">
        <f t="shared" si="1"/>
        <v>199385.95638452729</v>
      </c>
      <c r="I12" s="17">
        <f t="shared" si="2"/>
        <v>3589150.5436154725</v>
      </c>
    </row>
    <row r="13" spans="1:9" ht="15.75" customHeight="1" x14ac:dyDescent="0.25">
      <c r="A13" s="5">
        <f t="shared" si="3"/>
        <v>2035</v>
      </c>
      <c r="B13" s="49">
        <v>173852</v>
      </c>
      <c r="C13" s="50">
        <v>612369</v>
      </c>
      <c r="D13" s="50">
        <v>992159.5</v>
      </c>
      <c r="E13" s="50">
        <v>1028865.5</v>
      </c>
      <c r="F13" s="50">
        <v>1119012</v>
      </c>
      <c r="G13" s="17">
        <f t="shared" si="0"/>
        <v>3752406</v>
      </c>
      <c r="H13" s="17">
        <f t="shared" si="1"/>
        <v>198232.03912390678</v>
      </c>
      <c r="I13" s="17">
        <f t="shared" si="2"/>
        <v>3554173.9608760932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nZNGGmCZbtWSLJ3N4njISJL1gG0DoFUsNRnfYbfoPcLhBO5f4kGEbWLsNunWaTrEpW2wqhcGZf+DojnN3NczFQ==" saltValue="6jk1a6gLE9cnhPZx4Q+S3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1.473933380059465E-2</v>
      </c>
    </row>
    <row r="5" spans="1:8" ht="15.75" customHeight="1" x14ac:dyDescent="0.25">
      <c r="B5" s="19" t="s">
        <v>95</v>
      </c>
      <c r="C5" s="101">
        <v>0.1139262471236227</v>
      </c>
    </row>
    <row r="6" spans="1:8" ht="15.75" customHeight="1" x14ac:dyDescent="0.25">
      <c r="B6" s="19" t="s">
        <v>91</v>
      </c>
      <c r="C6" s="101">
        <v>6.1869417267545551E-2</v>
      </c>
    </row>
    <row r="7" spans="1:8" ht="15.75" customHeight="1" x14ac:dyDescent="0.25">
      <c r="B7" s="19" t="s">
        <v>96</v>
      </c>
      <c r="C7" s="101">
        <v>0.49361216191564328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0.24966765639651889</v>
      </c>
    </row>
    <row r="10" spans="1:8" ht="15.75" customHeight="1" x14ac:dyDescent="0.25">
      <c r="B10" s="19" t="s">
        <v>94</v>
      </c>
      <c r="C10" s="101">
        <v>6.6185183496074773E-2</v>
      </c>
    </row>
    <row r="11" spans="1:8" ht="15.75" customHeight="1" x14ac:dyDescent="0.25">
      <c r="B11" s="27" t="s">
        <v>60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1.002726655543297E-2</v>
      </c>
      <c r="D14" s="55">
        <v>1.002726655543297E-2</v>
      </c>
      <c r="E14" s="55">
        <v>1.002726655543297E-2</v>
      </c>
      <c r="F14" s="55">
        <v>1.002726655543297E-2</v>
      </c>
    </row>
    <row r="15" spans="1:8" ht="15.75" customHeight="1" x14ac:dyDescent="0.25">
      <c r="B15" s="19" t="s">
        <v>102</v>
      </c>
      <c r="C15" s="101">
        <v>0.63817097631812669</v>
      </c>
      <c r="D15" s="101">
        <v>0.63817097631812669</v>
      </c>
      <c r="E15" s="101">
        <v>0.63817097631812669</v>
      </c>
      <c r="F15" s="101">
        <v>0.63817097631812669</v>
      </c>
    </row>
    <row r="16" spans="1:8" ht="15.75" customHeight="1" x14ac:dyDescent="0.25">
      <c r="B16" s="19" t="s">
        <v>2</v>
      </c>
      <c r="C16" s="101">
        <v>2.5838335386642829E-2</v>
      </c>
      <c r="D16" s="101">
        <v>2.5838335386642829E-2</v>
      </c>
      <c r="E16" s="101">
        <v>2.5838335386642829E-2</v>
      </c>
      <c r="F16" s="101">
        <v>2.5838335386642829E-2</v>
      </c>
    </row>
    <row r="17" spans="1:8" ht="15.75" customHeight="1" x14ac:dyDescent="0.25">
      <c r="B17" s="19" t="s">
        <v>90</v>
      </c>
      <c r="C17" s="101">
        <v>1.1448182175881449E-2</v>
      </c>
      <c r="D17" s="101">
        <v>1.1448182175881449E-2</v>
      </c>
      <c r="E17" s="101">
        <v>1.1448182175881449E-2</v>
      </c>
      <c r="F17" s="101">
        <v>1.1448182175881449E-2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79</v>
      </c>
      <c r="C20" s="101">
        <v>6.7960231181810301E-3</v>
      </c>
      <c r="D20" s="101">
        <v>6.7960231181810301E-3</v>
      </c>
      <c r="E20" s="101">
        <v>6.7960231181810301E-3</v>
      </c>
      <c r="F20" s="101">
        <v>6.7960231181810301E-3</v>
      </c>
    </row>
    <row r="21" spans="1:8" ht="15.75" customHeight="1" x14ac:dyDescent="0.25">
      <c r="B21" s="19" t="s">
        <v>88</v>
      </c>
      <c r="C21" s="101">
        <v>0.23764161547031629</v>
      </c>
      <c r="D21" s="101">
        <v>0.23764161547031629</v>
      </c>
      <c r="E21" s="101">
        <v>0.23764161547031629</v>
      </c>
      <c r="F21" s="101">
        <v>0.23764161547031629</v>
      </c>
    </row>
    <row r="22" spans="1:8" ht="15.75" customHeight="1" x14ac:dyDescent="0.25">
      <c r="B22" s="19" t="s">
        <v>99</v>
      </c>
      <c r="C22" s="101">
        <v>7.0077600975418805E-2</v>
      </c>
      <c r="D22" s="101">
        <v>7.0077600975418805E-2</v>
      </c>
      <c r="E22" s="101">
        <v>7.0077600975418805E-2</v>
      </c>
      <c r="F22" s="101">
        <v>7.0077600975418805E-2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7.5198439000000006E-2</v>
      </c>
    </row>
    <row r="27" spans="1:8" ht="15.75" customHeight="1" x14ac:dyDescent="0.25">
      <c r="B27" s="19" t="s">
        <v>89</v>
      </c>
      <c r="C27" s="101">
        <v>5.6785192000000012E-2</v>
      </c>
    </row>
    <row r="28" spans="1:8" ht="15.75" customHeight="1" x14ac:dyDescent="0.25">
      <c r="B28" s="19" t="s">
        <v>103</v>
      </c>
      <c r="C28" s="101">
        <v>0.122549727</v>
      </c>
    </row>
    <row r="29" spans="1:8" ht="15.75" customHeight="1" x14ac:dyDescent="0.25">
      <c r="B29" s="19" t="s">
        <v>86</v>
      </c>
      <c r="C29" s="101">
        <v>8.6248906E-2</v>
      </c>
    </row>
    <row r="30" spans="1:8" ht="15.75" customHeight="1" x14ac:dyDescent="0.25">
      <c r="B30" s="19" t="s">
        <v>4</v>
      </c>
      <c r="C30" s="101">
        <v>6.4099332999999994E-2</v>
      </c>
    </row>
    <row r="31" spans="1:8" ht="15.75" customHeight="1" x14ac:dyDescent="0.25">
      <c r="B31" s="19" t="s">
        <v>80</v>
      </c>
      <c r="C31" s="101">
        <v>0.35120792499999998</v>
      </c>
    </row>
    <row r="32" spans="1:8" ht="15.75" customHeight="1" x14ac:dyDescent="0.25">
      <c r="B32" s="19" t="s">
        <v>85</v>
      </c>
      <c r="C32" s="101">
        <v>0.132871925</v>
      </c>
    </row>
    <row r="33" spans="2:3" ht="15.75" customHeight="1" x14ac:dyDescent="0.25">
      <c r="B33" s="19" t="s">
        <v>100</v>
      </c>
      <c r="C33" s="101">
        <v>4.9043437000000002E-2</v>
      </c>
    </row>
    <row r="34" spans="2:3" ht="15.75" customHeight="1" x14ac:dyDescent="0.25">
      <c r="B34" s="19" t="s">
        <v>87</v>
      </c>
      <c r="C34" s="101">
        <v>6.1995117000000002E-2</v>
      </c>
    </row>
    <row r="35" spans="2:3" ht="15.75" customHeight="1" x14ac:dyDescent="0.25">
      <c r="B35" s="27" t="s">
        <v>60</v>
      </c>
      <c r="C35" s="48">
        <f>SUM(C26:C34)</f>
        <v>1.0000000009999999</v>
      </c>
    </row>
  </sheetData>
  <sheetProtection algorithmName="SHA-512" hashValue="bX0TC7NF4nnbzCEEw2UExHPUe6JWG3/WnOeuTYqIsWN2aioRV5DNhxCtJ+MQrTrSqMMOKnXoCsKwH3s3pLJbsA==" saltValue="eLq62np9/ORD4XsLX22hZ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0.58297288271154679</v>
      </c>
      <c r="D2" s="52">
        <f>IFERROR(1-_xlfn.NORM.DIST(_xlfn.NORM.INV(SUM(D4:D5), 0, 1) + 1, 0, 1, TRUE), "")</f>
        <v>0.58297288271154679</v>
      </c>
      <c r="E2" s="52">
        <f>IFERROR(1-_xlfn.NORM.DIST(_xlfn.NORM.INV(SUM(E4:E5), 0, 1) + 1, 0, 1, TRUE), "")</f>
        <v>0.58156996680665163</v>
      </c>
      <c r="F2" s="52">
        <f>IFERROR(1-_xlfn.NORM.DIST(_xlfn.NORM.INV(SUM(F4:F5), 0, 1) + 1, 0, 1, TRUE), "")</f>
        <v>0.50195502496214828</v>
      </c>
      <c r="G2" s="52">
        <f>IFERROR(1-_xlfn.NORM.DIST(_xlfn.NORM.INV(SUM(G4:G5), 0, 1) + 1, 0, 1, TRUE), "")</f>
        <v>0.51614479216839237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0.30379262193961598</v>
      </c>
      <c r="D3" s="52">
        <f>IFERROR(_xlfn.NORM.DIST(_xlfn.NORM.INV(SUM(D4:D5), 0, 1) + 1, 0, 1, TRUE) - SUM(D4:D5), "")</f>
        <v>0.30379262193961598</v>
      </c>
      <c r="E3" s="52">
        <f>IFERROR(_xlfn.NORM.DIST(_xlfn.NORM.INV(SUM(E4:E5), 0, 1) + 1, 0, 1, TRUE) - SUM(E4:E5), "")</f>
        <v>0.30450421923985999</v>
      </c>
      <c r="F3" s="52">
        <f>IFERROR(_xlfn.NORM.DIST(_xlfn.NORM.INV(SUM(F4:F5), 0, 1) + 1, 0, 1, TRUE) - SUM(F4:F5), "")</f>
        <v>0.34057260294482855</v>
      </c>
      <c r="G3" s="52">
        <f>IFERROR(_xlfn.NORM.DIST(_xlfn.NORM.INV(SUM(G4:G5), 0, 1) + 1, 0, 1, TRUE) - SUM(G4:G5), "")</f>
        <v>0.33479674271532855</v>
      </c>
    </row>
    <row r="4" spans="1:15" ht="15.75" customHeight="1" x14ac:dyDescent="0.25">
      <c r="B4" s="5" t="s">
        <v>110</v>
      </c>
      <c r="C4" s="45">
        <v>6.7813423255813993E-2</v>
      </c>
      <c r="D4" s="53">
        <v>6.7813423255813993E-2</v>
      </c>
      <c r="E4" s="53">
        <v>5.9689727906976797E-2</v>
      </c>
      <c r="F4" s="53">
        <v>9.1590816279069689E-2</v>
      </c>
      <c r="G4" s="53">
        <v>9.4087655813953508E-2</v>
      </c>
    </row>
    <row r="5" spans="1:15" ht="15.75" customHeight="1" x14ac:dyDescent="0.25">
      <c r="B5" s="5" t="s">
        <v>106</v>
      </c>
      <c r="C5" s="45">
        <v>4.5421072093023297E-2</v>
      </c>
      <c r="D5" s="53">
        <v>4.5421072093023297E-2</v>
      </c>
      <c r="E5" s="53">
        <v>5.4236086046511603E-2</v>
      </c>
      <c r="F5" s="53">
        <v>6.5881555813953496E-2</v>
      </c>
      <c r="G5" s="53">
        <v>5.4970809302325598E-2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0.57723804055256789</v>
      </c>
      <c r="D8" s="52">
        <f>IFERROR(1-_xlfn.NORM.DIST(_xlfn.NORM.INV(SUM(D10:D11), 0, 1) + 1, 0, 1, TRUE), "")</f>
        <v>0.57723804055256789</v>
      </c>
      <c r="E8" s="52">
        <f>IFERROR(1-_xlfn.NORM.DIST(_xlfn.NORM.INV(SUM(E10:E11), 0, 1) + 1, 0, 1, TRUE), "")</f>
        <v>0.70781028816723035</v>
      </c>
      <c r="F8" s="52">
        <f>IFERROR(1-_xlfn.NORM.DIST(_xlfn.NORM.INV(SUM(F10:F11), 0, 1) + 1, 0, 1, TRUE), "")</f>
        <v>0.79165112833288565</v>
      </c>
      <c r="G8" s="52">
        <f>IFERROR(1-_xlfn.NORM.DIST(_xlfn.NORM.INV(SUM(G10:G11), 0, 1) + 1, 0, 1, TRUE), "")</f>
        <v>0.80972013337160054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0.30668575944743215</v>
      </c>
      <c r="D9" s="52">
        <f>IFERROR(_xlfn.NORM.DIST(_xlfn.NORM.INV(SUM(D10:D11), 0, 1) + 1, 0, 1, TRUE) - SUM(D10:D11), "")</f>
        <v>0.30668575944743215</v>
      </c>
      <c r="E9" s="52">
        <f>IFERROR(_xlfn.NORM.DIST(_xlfn.NORM.INV(SUM(E10:E11), 0, 1) + 1, 0, 1, TRUE) - SUM(E10:E11), "")</f>
        <v>0.23125796764672316</v>
      </c>
      <c r="F9" s="52">
        <f>IFERROR(_xlfn.NORM.DIST(_xlfn.NORM.INV(SUM(F10:F11), 0, 1) + 1, 0, 1, TRUE) - SUM(F10:F11), "")</f>
        <v>0.17336841352757945</v>
      </c>
      <c r="G9" s="52">
        <f>IFERROR(_xlfn.NORM.DIST(_xlfn.NORM.INV(SUM(G10:G11), 0, 1) + 1, 0, 1, TRUE) - SUM(G10:G11), "")</f>
        <v>0.16001159686095753</v>
      </c>
    </row>
    <row r="10" spans="1:15" ht="15.75" customHeight="1" x14ac:dyDescent="0.25">
      <c r="B10" s="5" t="s">
        <v>107</v>
      </c>
      <c r="C10" s="45">
        <v>6.98490372093023E-2</v>
      </c>
      <c r="D10" s="53">
        <v>6.98490372093023E-2</v>
      </c>
      <c r="E10" s="53">
        <v>4.0427406976744198E-2</v>
      </c>
      <c r="F10" s="53">
        <v>2.1331202325581399E-2</v>
      </c>
      <c r="G10" s="53">
        <v>1.7904416279069801E-2</v>
      </c>
    </row>
    <row r="11" spans="1:15" ht="15.75" customHeight="1" x14ac:dyDescent="0.25">
      <c r="B11" s="5" t="s">
        <v>119</v>
      </c>
      <c r="C11" s="45">
        <v>4.6227162790697697E-2</v>
      </c>
      <c r="D11" s="53">
        <v>4.6227162790697697E-2</v>
      </c>
      <c r="E11" s="53">
        <v>2.0504337209302299E-2</v>
      </c>
      <c r="F11" s="53">
        <v>1.3649255813953501E-2</v>
      </c>
      <c r="G11" s="53">
        <v>1.2363853488372101E-2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0.57073461624999999</v>
      </c>
      <c r="D14" s="54">
        <v>0.56424493110999996</v>
      </c>
      <c r="E14" s="54">
        <v>0.56424493110999996</v>
      </c>
      <c r="F14" s="54">
        <v>0.275576724198</v>
      </c>
      <c r="G14" s="54">
        <v>0.275576724198</v>
      </c>
      <c r="H14" s="45">
        <v>0.27400000000000002</v>
      </c>
      <c r="I14" s="55">
        <v>0.27400000000000002</v>
      </c>
      <c r="J14" s="55">
        <v>0.27400000000000002</v>
      </c>
      <c r="K14" s="55">
        <v>0.27400000000000002</v>
      </c>
      <c r="L14" s="45">
        <v>0.26700000000000002</v>
      </c>
      <c r="M14" s="55">
        <v>0.26700000000000002</v>
      </c>
      <c r="N14" s="55">
        <v>0.26700000000000002</v>
      </c>
      <c r="O14" s="55">
        <v>0.26700000000000002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0.35867874031692876</v>
      </c>
      <c r="D15" s="52">
        <f t="shared" si="0"/>
        <v>0.35460029120101055</v>
      </c>
      <c r="E15" s="52">
        <f t="shared" si="0"/>
        <v>0.35460029120101055</v>
      </c>
      <c r="F15" s="52">
        <f t="shared" si="0"/>
        <v>0.17318646789895728</v>
      </c>
      <c r="G15" s="52">
        <f t="shared" si="0"/>
        <v>0.17318646789895728</v>
      </c>
      <c r="H15" s="52">
        <f t="shared" si="0"/>
        <v>0.17219557400000002</v>
      </c>
      <c r="I15" s="52">
        <f t="shared" si="0"/>
        <v>0.17219557400000002</v>
      </c>
      <c r="J15" s="52">
        <f t="shared" si="0"/>
        <v>0.17219557400000002</v>
      </c>
      <c r="K15" s="52">
        <f t="shared" si="0"/>
        <v>0.17219557400000002</v>
      </c>
      <c r="L15" s="52">
        <f t="shared" si="0"/>
        <v>0.167796417</v>
      </c>
      <c r="M15" s="52">
        <f t="shared" si="0"/>
        <v>0.167796417</v>
      </c>
      <c r="N15" s="52">
        <f t="shared" si="0"/>
        <v>0.167796417</v>
      </c>
      <c r="O15" s="52">
        <f t="shared" si="0"/>
        <v>0.167796417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kSIK3YgNHcnA5RF8vJlFvm/z609R+qoqmtRESZybVm/BwFbke4HHol4I4XMch5HZgj9PCopyMfZ8l7m39QKsQ==" saltValue="MaWNTcp8US9usan0izsD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0.43399436200000002</v>
      </c>
      <c r="D2" s="53">
        <v>0.23404619600000001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0.27557090400000001</v>
      </c>
      <c r="D3" s="53">
        <v>0.28600471399999999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0.20970329800000001</v>
      </c>
      <c r="D4" s="53">
        <v>0.320885694</v>
      </c>
      <c r="E4" s="53">
        <v>0.65853112884615395</v>
      </c>
      <c r="F4" s="53">
        <v>0.32869853269230798</v>
      </c>
      <c r="G4" s="53">
        <v>0</v>
      </c>
    </row>
    <row r="5" spans="1:7" x14ac:dyDescent="0.25">
      <c r="B5" s="3" t="s">
        <v>125</v>
      </c>
      <c r="C5" s="52">
        <v>8.0731462000000004E-2</v>
      </c>
      <c r="D5" s="52">
        <v>0.15906339</v>
      </c>
      <c r="E5" s="52">
        <f>1-SUM(E2:E4)</f>
        <v>0.34146887115384605</v>
      </c>
      <c r="F5" s="52">
        <f>1-SUM(F2:F4)</f>
        <v>0.67130146730769202</v>
      </c>
      <c r="G5" s="52">
        <f>1-SUM(G2:G4)</f>
        <v>1</v>
      </c>
    </row>
  </sheetData>
  <sheetProtection algorithmName="SHA-512" hashValue="tM2uiA2J83ofsFpFFlpzVUtSFi3cWL5448dLyk7NRRsT3thj0mnxka19WErOxFt61gSfl/GRBd+/sraV9gR2VA==" saltValue="9NrkoM7mw4dL6IztcZYwH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WVYwt7bS+N8Di2VqcX/x75S5dWDuHjiwyWogvW/nipJMHGFEq30TjIlKK1i7mtgdfxmGz9LJosjvkJi5BU6qFg==" saltValue="5loHuQLzuE32AcIlSJ7o+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jIjyfMnxwTmUCsORKiFqNq3AL9dFC7KxRVwPXuPxC/gL9OgrC5kUipFT+Fj5Ram58SeXAR+dUxDro/ULo2TD5A==" saltValue="4nPo0kPzcg+K5O6z4qCc2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24tXy4+iYgplEG3mschPys7O61ZD1iAv39SU+YulzaeiGD029364zNzb0axfk5I89QUPQWICFe89E8dssPFsog==" saltValue="+joMUgz2cRqfCXrVBPP9G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I4QN1VWS6Poxk171tqn0rRDLyvlJtJSZ98Z08Fzf21pN+GWTywYzNm7bJhc7mHlI/WX0k0Xf3vd2hIvACY3hUQ==" saltValue="ZlFnLiN1oQjy+KygqjjAW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92.337747645899924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40.649110236447719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952.2771040936276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9.1374201570642448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13.78140968024363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13.78140968024363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13.78140968024363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13.78140968024363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13.78140968024363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13.78140968024363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1.4881754801389779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</v>
      </c>
      <c r="C18" s="98">
        <v>0.95</v>
      </c>
      <c r="D18" s="56">
        <v>21.79150990690356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</v>
      </c>
      <c r="C19" s="98">
        <v>0.95</v>
      </c>
      <c r="D19" s="56">
        <v>21.79150990690356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91.149218966868133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24.185634611008918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4.7601065600060064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0.7043315389999999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19.347107873216441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191.95165548538569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0.83197235394544489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3.2744527743238541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0.64560309999999999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4.9836110403594773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f73e8OWJVqL8/Nkl7gt1W2+eHagbdasp5iXUp5I6dC9Dea3M9WoIvSYN/fxCzpKa0BDvaLs5eOFTjJZyHOMFsQ==" saltValue="KLFbL61ogqTKWM/OKcI7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2le53HH5ZKhTXmVeE+siLmPBlY7giJFIEBZnS9qG0OCLSKpd0eLqgBLlxDfOTOe4JOhdZ8hp44qOJseugFd0mg==" saltValue="jyivMhqINT75wFOn2KdC7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26xXh8P8ofWCH9thHWILGGLXhAe5tVt03LQJOkEamEQXRvzSXyELHF31EhfnCjvHpqa/8T81iez5sQZJ0JcldQ==" saltValue="pEPi4lV01BJ81C3gOEkWe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0.181607496744186</v>
      </c>
      <c r="C3" s="21">
        <f>frac_mam_1_5months * 2.6</f>
        <v>0.181607496744186</v>
      </c>
      <c r="D3" s="21">
        <f>frac_mam_6_11months * 2.6</f>
        <v>0.10511125813953492</v>
      </c>
      <c r="E3" s="21">
        <f>frac_mam_12_23months * 2.6</f>
        <v>5.5461126046511641E-2</v>
      </c>
      <c r="F3" s="21">
        <f>frac_mam_24_59months * 2.6</f>
        <v>4.6551482325581484E-2</v>
      </c>
    </row>
    <row r="4" spans="1:6" ht="15.75" customHeight="1" x14ac:dyDescent="0.25">
      <c r="A4" s="3" t="s">
        <v>207</v>
      </c>
      <c r="B4" s="21">
        <f>frac_sam_1month * 2.6</f>
        <v>0.12019062325581402</v>
      </c>
      <c r="C4" s="21">
        <f>frac_sam_1_5months * 2.6</f>
        <v>0.12019062325581402</v>
      </c>
      <c r="D4" s="21">
        <f>frac_sam_6_11months * 2.6</f>
        <v>5.3311276744185981E-2</v>
      </c>
      <c r="E4" s="21">
        <f>frac_sam_12_23months * 2.6</f>
        <v>3.5488065116279104E-2</v>
      </c>
      <c r="F4" s="21">
        <f>frac_sam_24_59months * 2.6</f>
        <v>3.2146019069767461E-2</v>
      </c>
    </row>
  </sheetData>
  <sheetProtection algorithmName="SHA-512" hashValue="6oQuY/KVXzgWb3MIZlb1GOyA8uCGWMMNBESRabLkLfNwSwammxkRUYtN+Bj0oZsvAAFaeRAC3DAk2PETu3dQHA==" saltValue="Zuj+C/5PLSuXA/BJF8mGu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3.5000000000000003E-2</v>
      </c>
      <c r="E2" s="60">
        <f>food_insecure</f>
        <v>3.5000000000000003E-2</v>
      </c>
      <c r="F2" s="60">
        <f>food_insecure</f>
        <v>3.5000000000000003E-2</v>
      </c>
      <c r="G2" s="60">
        <f>food_insecure</f>
        <v>3.5000000000000003E-2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3.5000000000000003E-2</v>
      </c>
      <c r="F5" s="60">
        <f>food_insecure</f>
        <v>3.5000000000000003E-2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3.5000000000000003E-2</v>
      </c>
      <c r="F8" s="60">
        <f>food_insecure</f>
        <v>3.5000000000000003E-2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3.5000000000000003E-2</v>
      </c>
      <c r="F9" s="60">
        <f>food_insecure</f>
        <v>3.5000000000000003E-2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3.5000000000000003E-2</v>
      </c>
      <c r="I15" s="60">
        <f>food_insecure</f>
        <v>3.5000000000000003E-2</v>
      </c>
      <c r="J15" s="60">
        <f>food_insecure</f>
        <v>3.5000000000000003E-2</v>
      </c>
      <c r="K15" s="60">
        <f>food_insecure</f>
        <v>3.5000000000000003E-2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9.5164176589965982E-2</v>
      </c>
      <c r="M25" s="60">
        <f>(1-food_insecure)*(0.49)+food_insecure*(0.7)</f>
        <v>0.49735000000000001</v>
      </c>
      <c r="N25" s="60">
        <f>(1-food_insecure)*(0.49)+food_insecure*(0.7)</f>
        <v>0.49735000000000001</v>
      </c>
      <c r="O25" s="60">
        <f>(1-food_insecure)*(0.49)+food_insecure*(0.7)</f>
        <v>0.49735000000000001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4.0784647109985417E-2</v>
      </c>
      <c r="M26" s="60">
        <f>(1-food_insecure)*(0.21)+food_insecure*(0.3)</f>
        <v>0.21315000000000001</v>
      </c>
      <c r="N26" s="60">
        <f>(1-food_insecure)*(0.21)+food_insecure*(0.3)</f>
        <v>0.21315000000000001</v>
      </c>
      <c r="O26" s="60">
        <f>(1-food_insecure)*(0.21)+food_insecure*(0.3)</f>
        <v>0.21315000000000001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5.5393644561767666E-2</v>
      </c>
      <c r="M27" s="60">
        <f>(1-food_insecure)*(0.3)</f>
        <v>0.28949999999999998</v>
      </c>
      <c r="N27" s="60">
        <f>(1-food_insecure)*(0.3)</f>
        <v>0.28949999999999998</v>
      </c>
      <c r="O27" s="60">
        <f>(1-food_insecure)*(0.3)</f>
        <v>0.28949999999999998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0.80865753173828092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1ZbsiAGaLKeKcHe45lV0Ror4h/l7yHsnhKPS5AJ2fPBGczf1uGlNUBImVoLudwUsbKHa4DAUnlfmZAJaHLSx3g==" saltValue="F8m67o+0Hx3WBArTD1taU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IpU5j/LjJHNm8NiF72ov64IEf6joyGB3tdMakhsTt/FE94NKXqreUdZnSU0xKrKfQY9wDF7I0KPp52wXou1Rag==" saltValue="uvl37GDOHprC5gJPrlLEv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3PdZgHFX3pOks49CP29fzcM3GiGhXyyDZ+bjkLk5RAjYJqNrslOnY34XfEOrcpzOV6cVdJ4iIalPGPxA/At8Q==" saltValue="46jW727xZvLCwVgveH1zg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+yRJEc1Z1rVBuYF2Y2Zh4HlqomgiZH4qyS5Fzkq8ca9bdoG2hx3CdnpzoeTqLRPNVpZbOYYwjPQnMWuMQOt9g==" saltValue="XU1noMgkQBsYOROlxjdkl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D7xaQK4XJwVeiOkrMzlB0BJyi4KOKKpDyFneQQdoD8H9fOKlQ49d/KLCv/zot1vr9LsB4MBQ/R5X7LPiopVr/A==" saltValue="Mf4QdkA4xi6U02rcQN1yQ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7NMFml2jdkASLWy6aBzULgPkitBdT1s8unZYdtjN/5kBp/2s0XkiGsZj/PE0fsACl1iRos6UaXk3U/FhgbO8Ew==" saltValue="FRwgrfYeoJ/+eSiwokWXp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LBnkfbjZvErYb4ShqRWQud9S1cM/lQqrsV9ff89kIXOCGwxlbKEyvWijLpIkRF8oZmKV2hgjcV4NxfR9LbnEkA==" saltValue="nsntXz8EGPhE00wNlh3kY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KperxsNg4MVSM/7KgmStA+TdMu9aMuR576woZsfH3hSv0FCQwJ0uiqFlDb6Q6Xzi0sk/DwmoaTziUREW3E+IA==" saltValue="VHpQum7W9qio4ZHjuuau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0F7gH3saYaGoTTRKiTA388VspV2SN1Wiw/5vLyO6LGFaxy9jwH8wdcsZ+EUWm216uXDzFcws6tPQotw8aqynw==" saltValue="MdVht8N8IpGJSyqq8qlk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1SU27XGHDvUcroFhbspFgOrChGaFym5Qe1Kh2UJKTOZyySLPgHDC5O1mTa4CZCoUYWA4RBNnlv6/7IBNGS3WIA==" saltValue="ahgcXA1RW16hhmh+Bezu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Hj7LvbSEHCbusmGJ5wFv86w/k+u9kyOlmul5C5+1HJK5SImD7WbE/TEnBj7WeH7Gr96mwldNUk0gU1mQS9Ukjg==" saltValue="KwZfvG/NP6OX8qWhK5Sn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eGTxtY8VZKq68fomaR7DUTnq3gXxqOCtXxPOQuzmmuTGGfF8qHG/HL92n04dC6rscajqk40iehsZiH0/wILbng==" saltValue="2BnmyZdfPTHynv3Y5XJv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Ex0FqoZcakVfwK0sbYkn9n7vKBFMZUFFgcCOfWLuXUh14bwkajvF0bX7EZ7398byOCIJj/SmsKAsSQhlCHhYsQ==" saltValue="YBrYKr8OrrkLIgFzbVncw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0.1079880875647985</v>
      </c>
      <c r="G18" s="90">
        <f>MIN(MAX(1-0.89/(1-frac_sam_12_23months+(frac_sam_12_23months*0.89)),0),1)</f>
        <v>0.10866172855078449</v>
      </c>
      <c r="H18" s="90">
        <f>MIN(MAX(1-0.89/(1-frac_sam_24_59months+(frac_sam_24_59months*0.89)),0),1)</f>
        <v>0.10878793029974732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0.1060244776503797</v>
      </c>
      <c r="G20" s="90">
        <f>MIN(MAX(1-0.89/(1-frac_mam_12_23months+(frac_mam_12_23months*0.89)),0),1)</f>
        <v>0.1079067636550467</v>
      </c>
      <c r="H20" s="90">
        <f>MIN(MAX(1-0.89/(1-frac_mam_24_59months+(frac_mam_24_59months*0.89)),0),1)</f>
        <v>0.10824369863569794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9.7969654307351606E-3</v>
      </c>
      <c r="G73" s="90">
        <f>MIN(MAX(1-0.99/(1-frac_sam_12_23months+(frac_sam_12_23months*0.99)),0),1)</f>
        <v>9.8648539210078878E-3</v>
      </c>
      <c r="H73" s="90">
        <f>MIN(MAX(1-0.99/(1-frac_sam_24_59months+(frac_sam_24_59months*0.99)),0),1)</f>
        <v>9.8775827149713002E-3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9.5996068023427306E-3</v>
      </c>
      <c r="G75" s="90">
        <f>MIN(MAX(1-0.99/(1-frac_mam_12_23months+(frac_mam_12_23months*0.99)),0),1)</f>
        <v>9.7887760403665425E-3</v>
      </c>
      <c r="H75" s="90">
        <f>MIN(MAX(1-0.99/(1-frac_mam_24_59months+(frac_mam_24_59months*0.99)),0),1)</f>
        <v>9.8227145369098601E-3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0.1967057969565037</v>
      </c>
      <c r="G128" s="90">
        <f>MIN(MAX(1-0.8/(1-frac_sam_12_23months+(frac_sam_12_23months*0.8)),0),1)</f>
        <v>0.1978101410808506</v>
      </c>
      <c r="H128" s="90">
        <f>MIN(MAX(1-0.8/(1-frac_sam_24_59months+(frac_sam_24_59months*0.8)),0),1)</f>
        <v>0.19801687963994419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0.1934788885584835</v>
      </c>
      <c r="G130" s="90">
        <f>MIN(MAX(1-0.8/(1-frac_mam_12_23months+(frac_mam_12_23months*0.8)),0),1)</f>
        <v>0.19657238459637316</v>
      </c>
      <c r="H130" s="90">
        <f>MIN(MAX(1-0.8/(1-frac_mam_24_59months+(frac_mam_24_59months*0.8)),0),1)</f>
        <v>0.19712499835008013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cQqT1R54/7tKVjLB9txIjmwuSb6DxIlPGyVQBnkFQPim+pcOT7upiPrO6rgeHjIQ9Mqql/yJJVxUJTts5XGDlQ==" saltValue="Xl9tDQx6YTfsUnehyKSo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kFW5a7XKcee8uTzRQZnzXMKWHe4HDr3/Ea5lKVxxlyr3E78B1NUsQp/nj9xzA3jBq7Be9n02uFVnbJSchcVUhw==" saltValue="3S9bk29F2RiF70se4fnvj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2024-08-06T08:13:05Z</dcterms:modified>
</cp:coreProperties>
</file>