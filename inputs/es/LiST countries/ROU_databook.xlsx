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C:\Users\tharindu.wickram\Desktop\Modeling\Nutrition\inputs\es\LiST countries\"/>
    </mc:Choice>
  </mc:AlternateContent>
  <xr:revisionPtr revIDLastSave="0" documentId="8_{D43FDBCA-47AB-471D-ACF3-FA5F11A93E26}" xr6:coauthVersionLast="47" xr6:coauthVersionMax="47" xr10:uidLastSave="{00000000-0000-0000-0000-000000000000}"/>
  <bookViews>
    <workbookView xWindow="0" yWindow="3670" windowWidth="19200" windowHeight="6530" tabRatio="961" xr2:uid="{00000000-000D-0000-FFFF-FFFF00000000}"/>
  </bookViews>
  <sheets>
    <sheet name="Entradas de población-año base" sheetId="1" r:id="rId1"/>
    <sheet name="Proyecciones demográficas" sheetId="2" r:id="rId2"/>
    <sheet name="Causas de muerte" sheetId="3" r:id="rId3"/>
    <sheet name="Distribución estado nutricional" sheetId="4" r:id="rId4"/>
    <sheet name="Distribución de lactancia" sheetId="5" r:id="rId5"/>
    <sheet name="Tendencias temporales" sheetId="6" r:id="rId6"/>
    <sheet name="Pérdida económica" sheetId="7" r:id="rId7"/>
    <sheet name="Paquetes de IYCF" sheetId="8" r:id="rId8"/>
    <sheet name="Tratamiento de la MAS" sheetId="9" r:id="rId9"/>
    <sheet name="Costo y cobertura del programa" sheetId="10" r:id="rId10"/>
    <sheet name="Dependencias del programa" sheetId="11" r:id="rId11"/>
    <sheet name="Programas de referencia" sheetId="12" state="hidden" r:id="rId12"/>
    <sheet name="Incidencia de las afecciones" sheetId="13" state="hidden" r:id="rId13"/>
    <sheet name="Población objetivo del programa" sheetId="14" state="hidden" r:id="rId14"/>
    <sheet name="Opciones de la curva de costos" sheetId="15" state="hidden" r:id="rId15"/>
    <sheet name="Prog. de planificación familiar" sheetId="16" state="hidden" r:id="rId16"/>
    <sheet name="Programas población afectada" sheetId="17" state="hidden" r:id="rId17"/>
    <sheet name="Riesgos que impacta programa" sheetId="18" state="hidden" r:id="rId18"/>
    <sheet name="Riegos para la población" sheetId="19" state="hidden" r:id="rId19"/>
    <sheet name="Razón de momios IYCF" sheetId="20" state="hidden" r:id="rId20"/>
    <sheet name="Riesgos desenlace de nacimiento" sheetId="21" state="hidden" r:id="rId21"/>
    <sheet name="Riesgos relativos" sheetId="22" state="hidden" r:id="rId22"/>
    <sheet name="Razón de momios" sheetId="23" state="hidden" r:id="rId23"/>
    <sheet name="Resultados de nacimiento- prog" sheetId="24" state="hidden" r:id="rId24"/>
    <sheet name="Programas de anemia" sheetId="25" state="hidden" r:id="rId25"/>
    <sheet name="Programas para emaciación" sheetId="26" state="hidden" r:id="rId26"/>
    <sheet name="Programas para niños" sheetId="27" state="hidden" r:id="rId27"/>
    <sheet name="Prog. para mujeres embarazadas" sheetId="28" state="hidden" r:id="rId28"/>
  </sheets>
  <definedNames>
    <definedName name="abortion" localSheetId="7">'Entradas de población-año base'!$C$38</definedName>
    <definedName name="abortion">'Entradas de población-año base'!$C$41</definedName>
    <definedName name="comm_deliv">'Tratamiento de la MAS'!$D$3</definedName>
    <definedName name="diarrhoea_1_5mo">'Entradas de población-año base'!$C$52</definedName>
    <definedName name="diarrhoea_12_23mo">'Entradas de población-año base'!$C$54</definedName>
    <definedName name="diarrhoea_1mo">'Entradas de población-año base'!$C$51</definedName>
    <definedName name="diarrhoea_24_59mo">'Entradas de población-año base'!$C$55</definedName>
    <definedName name="diarrhoea_6_11mo">'Entradas de población-año base'!$C$53</definedName>
    <definedName name="end_year">'Entradas de población-año base'!$C$4</definedName>
    <definedName name="famplan_unmet_need">'Entradas de población-año base'!$C$13</definedName>
    <definedName name="food_insecure">'Entradas de población-año base'!$C$8</definedName>
    <definedName name="frac_children_health_facility">'Entradas de población-año base'!$C$12</definedName>
    <definedName name="frac_diarrhea_severe">'Entradas de población-año base'!$C$58</definedName>
    <definedName name="frac_maize">'Entradas de población-año base'!$C$19</definedName>
    <definedName name="frac_malaria_risk">'Entradas de población-año base'!$C$9</definedName>
    <definedName name="frac_mam_1_5months">'Distribución estado nutricional'!$D$10</definedName>
    <definedName name="frac_mam_12_23months">'Distribución estado nutricional'!$F$10</definedName>
    <definedName name="frac_mam_1month">'Distribución estado nutricional'!$C$10</definedName>
    <definedName name="frac_mam_24_59months">'Distribución estado nutricional'!$G$10</definedName>
    <definedName name="frac_mam_6_11months">'Distribución estado nutricional'!$E$10</definedName>
    <definedName name="frac_MAMtoSAM">'Entradas de población-año base'!#REF!</definedName>
    <definedName name="frac_other_staples">'Entradas de población-año base'!$C$20</definedName>
    <definedName name="frac_PW_health_facility">'Entradas de población-año base'!$C$11</definedName>
    <definedName name="frac_rice">'Entradas de población-año base'!$C$17</definedName>
    <definedName name="frac_sam_1_5months">'Distribución estado nutricional'!$D$11</definedName>
    <definedName name="frac_sam_12_23months">'Distribución estado nutricional'!$F$11</definedName>
    <definedName name="frac_sam_1month">'Distribución estado nutricional'!$C$11</definedName>
    <definedName name="frac_sam_24_59months">'Distribución estado nutricional'!$G$11</definedName>
    <definedName name="frac_sam_6_11months">'Distribución estado nutricional'!$E$11</definedName>
    <definedName name="frac_SAMtoMAM">'Entradas de población-año base'!#REF!</definedName>
    <definedName name="frac_subsistence_farming">'Entradas de población-año base'!$C$16</definedName>
    <definedName name="frac_wheat">'Entradas de población-año base'!$C$18</definedName>
    <definedName name="infant_mortality">'Entradas de población-año base'!$C$38</definedName>
    <definedName name="iron_deficiency_anaemia">'Entradas de población-año base'!$C$59</definedName>
    <definedName name="manage_mam">'Tratamiento de la MAS'!$D$2</definedName>
    <definedName name="maternal_mortality">'Entradas de población-año base'!$C$40</definedName>
    <definedName name="neonatal_mortality">'Entradas de población-año base'!$C$37</definedName>
    <definedName name="Percentage_of_pregnant_women_attending_health_facility">'Entradas de población-año base'!$C$11</definedName>
    <definedName name="preterm_AGA">'Entradas de población-año base'!$C$46</definedName>
    <definedName name="preterm_SGA">'Entradas de población-año base'!$C$45</definedName>
    <definedName name="school_attendance">'Entradas de población-año base'!$C$10</definedName>
    <definedName name="start_year">'Entradas de población-año base'!$C$3</definedName>
    <definedName name="stillbirth" localSheetId="7">'Entradas de población-año base'!$C$39</definedName>
    <definedName name="stillbirth">'Entradas de población-año base'!$C$42</definedName>
    <definedName name="term_AGA">'Entradas de población-año base'!$C$48</definedName>
    <definedName name="term_SGA">'Entradas de población-año base'!$C$47</definedName>
    <definedName name="U5_mortality">'Entradas de población-año base'!$C$39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G25" i="28"/>
  <c r="F25" i="28"/>
  <c r="E25" i="28"/>
  <c r="D25" i="28"/>
  <c r="G24" i="28"/>
  <c r="F24" i="28"/>
  <c r="E24" i="28"/>
  <c r="D24" i="28"/>
  <c r="G23" i="28"/>
  <c r="F23" i="28"/>
  <c r="E23" i="28"/>
  <c r="D23" i="28"/>
  <c r="G22" i="28"/>
  <c r="F22" i="28"/>
  <c r="E22" i="28"/>
  <c r="D22" i="28"/>
  <c r="G20" i="28"/>
  <c r="F20" i="28"/>
  <c r="E20" i="28"/>
  <c r="D20" i="28"/>
  <c r="G16" i="28"/>
  <c r="F16" i="28"/>
  <c r="E16" i="28"/>
  <c r="D16" i="28"/>
  <c r="G15" i="28"/>
  <c r="F15" i="28"/>
  <c r="E15" i="28"/>
  <c r="D15" i="28"/>
  <c r="G14" i="28"/>
  <c r="F14" i="28"/>
  <c r="E14" i="28"/>
  <c r="D14" i="28"/>
  <c r="G13" i="28"/>
  <c r="F13" i="28"/>
  <c r="E13" i="28"/>
  <c r="D13" i="28"/>
  <c r="G11" i="28"/>
  <c r="F11" i="28"/>
  <c r="E11" i="28"/>
  <c r="D11" i="28"/>
  <c r="H153" i="27"/>
  <c r="G153" i="27"/>
  <c r="F153" i="27"/>
  <c r="E153" i="27"/>
  <c r="D153" i="27"/>
  <c r="H97" i="27"/>
  <c r="H152" i="27"/>
  <c r="G97" i="27"/>
  <c r="G152" i="27"/>
  <c r="F97" i="27"/>
  <c r="F152" i="27"/>
  <c r="E97" i="27"/>
  <c r="E152" i="27"/>
  <c r="D97" i="27"/>
  <c r="D152" i="27"/>
  <c r="H136" i="27"/>
  <c r="G136" i="27"/>
  <c r="F136" i="27"/>
  <c r="E136" i="27"/>
  <c r="H135" i="27"/>
  <c r="G135" i="27"/>
  <c r="F135" i="27"/>
  <c r="E135" i="27"/>
  <c r="D80" i="27"/>
  <c r="D135" i="27"/>
  <c r="H134" i="27"/>
  <c r="G134" i="27"/>
  <c r="F134" i="27"/>
  <c r="E134" i="27"/>
  <c r="H133" i="27"/>
  <c r="G133" i="27"/>
  <c r="F133" i="27"/>
  <c r="E133" i="27"/>
  <c r="D78" i="27"/>
  <c r="D133" i="27"/>
  <c r="H132" i="27"/>
  <c r="G132" i="27"/>
  <c r="F132" i="27"/>
  <c r="E132" i="27"/>
  <c r="H131" i="27"/>
  <c r="G131" i="27"/>
  <c r="F131" i="27"/>
  <c r="E131" i="27"/>
  <c r="D76" i="27"/>
  <c r="D131" i="27"/>
  <c r="E130" i="27"/>
  <c r="D130" i="27"/>
  <c r="H74" i="27"/>
  <c r="H129" i="27"/>
  <c r="G74" i="27"/>
  <c r="G129" i="27"/>
  <c r="F74" i="27"/>
  <c r="F129" i="27"/>
  <c r="E129" i="27"/>
  <c r="D129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H57" i="27"/>
  <c r="H112" i="27"/>
  <c r="G57" i="27"/>
  <c r="G112" i="27"/>
  <c r="F57" i="27"/>
  <c r="F112" i="27"/>
  <c r="E112" i="27"/>
  <c r="D112" i="27"/>
  <c r="H81" i="27"/>
  <c r="G81" i="27"/>
  <c r="F81" i="27"/>
  <c r="E81" i="27"/>
  <c r="H80" i="27"/>
  <c r="G80" i="27"/>
  <c r="F80" i="27"/>
  <c r="E80" i="27"/>
  <c r="H79" i="27"/>
  <c r="G79" i="27"/>
  <c r="F79" i="27"/>
  <c r="E79" i="27"/>
  <c r="H78" i="27"/>
  <c r="G78" i="27"/>
  <c r="F78" i="27"/>
  <c r="E78" i="27"/>
  <c r="H77" i="27"/>
  <c r="G77" i="27"/>
  <c r="F77" i="27"/>
  <c r="E77" i="27"/>
  <c r="H76" i="27"/>
  <c r="G76" i="27"/>
  <c r="F76" i="27"/>
  <c r="E76" i="27"/>
  <c r="E75" i="27"/>
  <c r="D75" i="27"/>
  <c r="E74" i="27"/>
  <c r="D74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E57" i="27"/>
  <c r="D57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O20" i="25"/>
  <c r="O66" i="25"/>
  <c r="N20" i="25"/>
  <c r="N66" i="25"/>
  <c r="M20" i="25"/>
  <c r="M66" i="25"/>
  <c r="L20" i="25"/>
  <c r="L66" i="25"/>
  <c r="K20" i="25"/>
  <c r="K66" i="25"/>
  <c r="J20" i="25"/>
  <c r="J66" i="25"/>
  <c r="I20" i="25"/>
  <c r="I66" i="25"/>
  <c r="H20" i="25"/>
  <c r="H66" i="25"/>
  <c r="G20" i="25"/>
  <c r="G66" i="25"/>
  <c r="F20" i="25"/>
  <c r="F66" i="25"/>
  <c r="E20" i="25"/>
  <c r="E66" i="25"/>
  <c r="D66" i="25"/>
  <c r="C66" i="25"/>
  <c r="D65" i="25"/>
  <c r="C65" i="25"/>
  <c r="O64" i="25"/>
  <c r="N64" i="25"/>
  <c r="M64" i="25"/>
  <c r="L64" i="25"/>
  <c r="K64" i="25"/>
  <c r="J64" i="25"/>
  <c r="I64" i="25"/>
  <c r="H64" i="25"/>
  <c r="G64" i="25"/>
  <c r="F64" i="25"/>
  <c r="E64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E49" i="25"/>
  <c r="D44" i="25"/>
  <c r="C44" i="25"/>
  <c r="O43" i="25"/>
  <c r="N43" i="25"/>
  <c r="M43" i="25"/>
  <c r="L43" i="25"/>
  <c r="K43" i="25"/>
  <c r="J43" i="25"/>
  <c r="I43" i="25"/>
  <c r="H43" i="25"/>
  <c r="G43" i="25"/>
  <c r="F43" i="25"/>
  <c r="E43" i="25"/>
  <c r="D43" i="25"/>
  <c r="C43" i="25"/>
  <c r="D42" i="25"/>
  <c r="C42" i="25"/>
  <c r="O41" i="25"/>
  <c r="N41" i="25"/>
  <c r="M41" i="25"/>
  <c r="L41" i="25"/>
  <c r="K41" i="25"/>
  <c r="J41" i="25"/>
  <c r="I41" i="25"/>
  <c r="H41" i="25"/>
  <c r="G41" i="25"/>
  <c r="F41" i="25"/>
  <c r="E41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E26" i="25"/>
  <c r="O14" i="25"/>
  <c r="N14" i="25"/>
  <c r="M14" i="25"/>
  <c r="L14" i="25"/>
  <c r="F42" i="24"/>
  <c r="E42" i="24"/>
  <c r="D42" i="24"/>
  <c r="C42" i="24"/>
  <c r="F40" i="24"/>
  <c r="E40" i="24"/>
  <c r="D40" i="24"/>
  <c r="C40" i="24"/>
  <c r="F38" i="24"/>
  <c r="E38" i="24"/>
  <c r="D38" i="24"/>
  <c r="C38" i="24"/>
  <c r="F36" i="24"/>
  <c r="E36" i="24"/>
  <c r="D36" i="24"/>
  <c r="C36" i="24"/>
  <c r="F34" i="24"/>
  <c r="E34" i="24"/>
  <c r="D34" i="24"/>
  <c r="C34" i="24"/>
  <c r="F32" i="24"/>
  <c r="E32" i="24"/>
  <c r="D32" i="24"/>
  <c r="C32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F21" i="24"/>
  <c r="E21" i="24"/>
  <c r="D21" i="24"/>
  <c r="C21" i="24"/>
  <c r="F19" i="24"/>
  <c r="E19" i="24"/>
  <c r="D19" i="24"/>
  <c r="C19" i="24"/>
  <c r="F17" i="24"/>
  <c r="E17" i="24"/>
  <c r="D17" i="24"/>
  <c r="C17" i="24"/>
  <c r="D12" i="24"/>
  <c r="C12" i="24"/>
  <c r="C67" i="23"/>
  <c r="G63" i="23"/>
  <c r="F63" i="23"/>
  <c r="E63" i="23"/>
  <c r="D63" i="23"/>
  <c r="C63" i="23"/>
  <c r="G62" i="23"/>
  <c r="F62" i="23"/>
  <c r="E62" i="23"/>
  <c r="D62" i="23"/>
  <c r="C62" i="23"/>
  <c r="G61" i="23"/>
  <c r="F61" i="23"/>
  <c r="E61" i="23"/>
  <c r="D61" i="23"/>
  <c r="C61" i="23"/>
  <c r="G55" i="23"/>
  <c r="F55" i="23"/>
  <c r="E55" i="23"/>
  <c r="D55" i="23"/>
  <c r="C55" i="23"/>
  <c r="G54" i="23"/>
  <c r="D54" i="23"/>
  <c r="C54" i="23"/>
  <c r="G53" i="23"/>
  <c r="D53" i="23"/>
  <c r="C53" i="23"/>
  <c r="G52" i="23"/>
  <c r="F52" i="23"/>
  <c r="E52" i="23"/>
  <c r="D52" i="23"/>
  <c r="C52" i="23"/>
  <c r="G50" i="23"/>
  <c r="F50" i="23"/>
  <c r="E50" i="23"/>
  <c r="D50" i="23"/>
  <c r="C50" i="23"/>
  <c r="G49" i="23"/>
  <c r="F49" i="23"/>
  <c r="E49" i="23"/>
  <c r="D49" i="23"/>
  <c r="C44" i="23"/>
  <c r="G40" i="23"/>
  <c r="F40" i="23"/>
  <c r="E40" i="23"/>
  <c r="D40" i="23"/>
  <c r="C40" i="23"/>
  <c r="G39" i="23"/>
  <c r="F39" i="23"/>
  <c r="E39" i="23"/>
  <c r="D39" i="23"/>
  <c r="C39" i="23"/>
  <c r="G38" i="23"/>
  <c r="F38" i="23"/>
  <c r="E38" i="23"/>
  <c r="D38" i="23"/>
  <c r="C38" i="23"/>
  <c r="G32" i="23"/>
  <c r="F32" i="23"/>
  <c r="E32" i="23"/>
  <c r="D32" i="23"/>
  <c r="C32" i="23"/>
  <c r="G31" i="23"/>
  <c r="D31" i="23"/>
  <c r="C31" i="23"/>
  <c r="G30" i="23"/>
  <c r="D30" i="23"/>
  <c r="C30" i="23"/>
  <c r="G29" i="23"/>
  <c r="F29" i="23"/>
  <c r="E29" i="23"/>
  <c r="D29" i="23"/>
  <c r="C29" i="23"/>
  <c r="G27" i="23"/>
  <c r="F27" i="23"/>
  <c r="E27" i="23"/>
  <c r="D27" i="23"/>
  <c r="C27" i="23"/>
  <c r="G26" i="23"/>
  <c r="F26" i="23"/>
  <c r="E26" i="23"/>
  <c r="D26" i="23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F121" i="20"/>
  <c r="E121" i="20"/>
  <c r="D121" i="20"/>
  <c r="H120" i="20"/>
  <c r="F120" i="20"/>
  <c r="E120" i="20"/>
  <c r="D120" i="20"/>
  <c r="H119" i="20"/>
  <c r="G119" i="20"/>
  <c r="F119" i="20"/>
  <c r="E119" i="20"/>
  <c r="D119" i="20"/>
  <c r="H118" i="20"/>
  <c r="G118" i="20"/>
  <c r="E118" i="20"/>
  <c r="D118" i="20"/>
  <c r="H117" i="20"/>
  <c r="G117" i="20"/>
  <c r="E117" i="20"/>
  <c r="D117" i="20"/>
  <c r="H116" i="20"/>
  <c r="G116" i="20"/>
  <c r="F116" i="20"/>
  <c r="E116" i="20"/>
  <c r="D116" i="20"/>
  <c r="H115" i="20"/>
  <c r="G115" i="20"/>
  <c r="F115" i="20"/>
  <c r="D115" i="20"/>
  <c r="H114" i="20"/>
  <c r="G114" i="20"/>
  <c r="F114" i="20"/>
  <c r="D114" i="20"/>
  <c r="H113" i="20"/>
  <c r="G113" i="20"/>
  <c r="F113" i="20"/>
  <c r="E113" i="20"/>
  <c r="D113" i="20"/>
  <c r="H112" i="20"/>
  <c r="G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E68" i="20"/>
  <c r="D68" i="20"/>
  <c r="H67" i="20"/>
  <c r="F67" i="20"/>
  <c r="E67" i="20"/>
  <c r="D67" i="20"/>
  <c r="H66" i="20"/>
  <c r="G66" i="20"/>
  <c r="F66" i="20"/>
  <c r="E66" i="20"/>
  <c r="D66" i="20"/>
  <c r="H65" i="20"/>
  <c r="G65" i="20"/>
  <c r="E65" i="20"/>
  <c r="D65" i="20"/>
  <c r="H64" i="20"/>
  <c r="G64" i="20"/>
  <c r="E64" i="20"/>
  <c r="D64" i="20"/>
  <c r="H63" i="20"/>
  <c r="G63" i="20"/>
  <c r="F63" i="20"/>
  <c r="E63" i="20"/>
  <c r="D63" i="20"/>
  <c r="H62" i="20"/>
  <c r="G62" i="20"/>
  <c r="F62" i="20"/>
  <c r="D62" i="20"/>
  <c r="H61" i="20"/>
  <c r="G61" i="20"/>
  <c r="F61" i="20"/>
  <c r="D61" i="20"/>
  <c r="H60" i="20"/>
  <c r="G60" i="20"/>
  <c r="F60" i="20"/>
  <c r="E60" i="20"/>
  <c r="D60" i="20"/>
  <c r="H59" i="20"/>
  <c r="G59" i="20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O32" i="14"/>
  <c r="N32" i="14"/>
  <c r="M32" i="14"/>
  <c r="L32" i="14"/>
  <c r="K32" i="14"/>
  <c r="J32" i="14"/>
  <c r="I32" i="14"/>
  <c r="H32" i="14"/>
  <c r="G32" i="14"/>
  <c r="F32" i="14"/>
  <c r="E32" i="14"/>
  <c r="O31" i="14"/>
  <c r="N31" i="14"/>
  <c r="M31" i="14"/>
  <c r="L31" i="14"/>
  <c r="K31" i="14"/>
  <c r="J31" i="14"/>
  <c r="I31" i="14"/>
  <c r="H31" i="14"/>
  <c r="G31" i="14"/>
  <c r="F31" i="14"/>
  <c r="E31" i="14"/>
  <c r="O30" i="14"/>
  <c r="N30" i="14"/>
  <c r="M30" i="14"/>
  <c r="L30" i="14"/>
  <c r="K30" i="14"/>
  <c r="J30" i="14"/>
  <c r="I30" i="14"/>
  <c r="H30" i="14"/>
  <c r="G30" i="14"/>
  <c r="F30" i="14"/>
  <c r="E30" i="14"/>
  <c r="L28" i="14"/>
  <c r="O27" i="14"/>
  <c r="N27" i="14"/>
  <c r="M27" i="14"/>
  <c r="L27" i="14"/>
  <c r="O26" i="14"/>
  <c r="N26" i="14"/>
  <c r="M26" i="14"/>
  <c r="L26" i="14"/>
  <c r="O25" i="14"/>
  <c r="N25" i="14"/>
  <c r="M25" i="14"/>
  <c r="L25" i="14"/>
  <c r="O24" i="14"/>
  <c r="N24" i="14"/>
  <c r="M24" i="14"/>
  <c r="L24" i="14"/>
  <c r="K22" i="14"/>
  <c r="J22" i="14"/>
  <c r="I22" i="14"/>
  <c r="H22" i="14"/>
  <c r="K19" i="14"/>
  <c r="J19" i="14"/>
  <c r="I19" i="14"/>
  <c r="H19" i="14"/>
  <c r="K18" i="14"/>
  <c r="J18" i="14"/>
  <c r="I18" i="14"/>
  <c r="H18" i="14"/>
  <c r="K17" i="14"/>
  <c r="J17" i="14"/>
  <c r="I17" i="14"/>
  <c r="H17" i="14"/>
  <c r="K15" i="14"/>
  <c r="J15" i="14"/>
  <c r="I15" i="14"/>
  <c r="H15" i="14"/>
  <c r="G12" i="14"/>
  <c r="F12" i="14"/>
  <c r="E12" i="14"/>
  <c r="D12" i="14"/>
  <c r="C12" i="14"/>
  <c r="G10" i="14"/>
  <c r="F10" i="14"/>
  <c r="E10" i="14"/>
  <c r="D10" i="14"/>
  <c r="F9" i="14"/>
  <c r="E9" i="14"/>
  <c r="F8" i="14"/>
  <c r="E8" i="14"/>
  <c r="G7" i="14"/>
  <c r="F7" i="14"/>
  <c r="E7" i="14"/>
  <c r="D7" i="14"/>
  <c r="C7" i="14"/>
  <c r="G6" i="14"/>
  <c r="F6" i="14"/>
  <c r="E6" i="14"/>
  <c r="F5" i="14"/>
  <c r="E5" i="14"/>
  <c r="G2" i="14"/>
  <c r="F2" i="14"/>
  <c r="E2" i="14"/>
  <c r="D2" i="14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G40" i="2"/>
  <c r="H40" i="2"/>
  <c r="I40" i="2"/>
  <c r="A2" i="2"/>
  <c r="A40" i="2"/>
  <c r="G39" i="2"/>
  <c r="H39" i="2"/>
  <c r="I39" i="2"/>
  <c r="A39" i="2"/>
  <c r="G38" i="2"/>
  <c r="H38" i="2"/>
  <c r="I38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G13" i="2"/>
  <c r="H13" i="2"/>
  <c r="I13" i="2"/>
  <c r="A3" i="2"/>
  <c r="A4" i="2"/>
  <c r="A5" i="2"/>
  <c r="A6" i="2"/>
  <c r="A7" i="2"/>
  <c r="A8" i="2"/>
  <c r="A9" i="2"/>
  <c r="A10" i="2"/>
  <c r="A11" i="2"/>
  <c r="A12" i="2"/>
  <c r="A13" i="2"/>
  <c r="G12" i="2"/>
  <c r="H12" i="2"/>
  <c r="I12" i="2"/>
  <c r="G11" i="2"/>
  <c r="H11" i="2"/>
  <c r="I11" i="2"/>
  <c r="G10" i="2"/>
  <c r="H10" i="2"/>
  <c r="I10" i="2"/>
  <c r="G9" i="2"/>
  <c r="H9" i="2"/>
  <c r="I9" i="2"/>
  <c r="G8" i="2"/>
  <c r="H8" i="2"/>
  <c r="I8" i="2"/>
  <c r="G7" i="2"/>
  <c r="H7" i="2"/>
  <c r="I7" i="2"/>
  <c r="G6" i="2"/>
  <c r="H6" i="2"/>
  <c r="I6" i="2"/>
  <c r="G5" i="2"/>
  <c r="H5" i="2"/>
  <c r="I5" i="2"/>
  <c r="G4" i="2"/>
  <c r="H4" i="2"/>
  <c r="I4" i="2"/>
  <c r="G3" i="2"/>
  <c r="H3" i="2"/>
  <c r="I3" i="2"/>
  <c r="G2" i="2"/>
  <c r="H2" i="2"/>
  <c r="I2" i="2"/>
  <c r="C33" i="1"/>
  <c r="C2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600-000001000000}">
      <text>
        <r>
          <rPr>
            <sz val="10"/>
            <color rgb="FF000000"/>
            <rFont val="Arial"/>
          </rPr>
          <t>Nick Scott:
Placeholder only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</rPr>
          <t>Nick Scott:
Cost per person per year, or per pregnancy</t>
        </r>
      </text>
    </comment>
    <comment ref="B2" authorId="0" shapeId="0" xr:uid="{00000000-0006-0000-0900-000002000000}">
      <text>
        <r>
          <rPr>
            <sz val="10"/>
            <color rgb="FF000000"/>
            <rFont val="Arial"/>
          </rPr>
          <t>Nick Scott:
LiST</t>
        </r>
      </text>
    </comment>
    <comment ref="D2" authorId="0" shapeId="0" xr:uid="{00000000-0006-0000-0900-000003000000}">
      <text>
        <r>
          <rPr>
            <sz val="10"/>
            <color rgb="FF000000"/>
            <rFont val="Arial"/>
          </rPr>
          <t>Nick Scott:
All unit cost estimates are placeholders, derived from Scott et al. BMC medicine, 18(1), 1-19.
If unknown, set to 99 .</t>
        </r>
      </text>
    </comment>
    <comment ref="B3" authorId="0" shapeId="0" xr:uid="{00000000-0006-0000-0900-000004000000}">
      <text>
        <r>
          <rPr>
            <sz val="10"/>
            <color rgb="FF000000"/>
            <rFont val="Arial"/>
          </rPr>
          <t>Nick Scott:
LiST</t>
        </r>
      </text>
    </comment>
    <comment ref="B4" authorId="0" shapeId="0" xr:uid="{00000000-0006-0000-0900-000005000000}">
      <text>
        <r>
          <rPr>
            <sz val="10"/>
            <color rgb="FF000000"/>
            <rFont val="Arial"/>
          </rPr>
          <t>Nick Scott:
Missing</t>
        </r>
      </text>
    </comment>
    <comment ref="B5" authorId="0" shapeId="0" xr:uid="{00000000-0006-0000-0900-000006000000}">
      <text>
        <r>
          <rPr>
            <sz val="10"/>
            <color rgb="FF000000"/>
            <rFont val="Arial"/>
          </rPr>
          <t>Nick Scott:
Missing</t>
        </r>
      </text>
    </comment>
    <comment ref="B6" authorId="0" shapeId="0" xr:uid="{00000000-0006-0000-0900-000007000000}">
      <text>
        <r>
          <rPr>
            <sz val="10"/>
            <color rgb="FF000000"/>
            <rFont val="Arial"/>
          </rPr>
          <t>Nick Scott:
Missing</t>
        </r>
      </text>
    </comment>
    <comment ref="B7" authorId="0" shapeId="0" xr:uid="{00000000-0006-0000-0900-000008000000}">
      <text>
        <r>
          <rPr>
            <sz val="10"/>
            <color rgb="FF000000"/>
            <rFont val="Arial"/>
          </rPr>
          <t>Nick Scott:
Missing</t>
        </r>
      </text>
    </comment>
    <comment ref="B8" authorId="0" shapeId="0" xr:uid="{00000000-0006-0000-0900-000009000000}">
      <text>
        <r>
          <rPr>
            <sz val="10"/>
            <color rgb="FF000000"/>
            <rFont val="Arial"/>
          </rPr>
          <t>Nick Scott:
Missing</t>
        </r>
      </text>
    </comment>
    <comment ref="B9" authorId="0" shapeId="0" xr:uid="{00000000-0006-0000-0900-00000A000000}">
      <text>
        <r>
          <rPr>
            <sz val="10"/>
            <color rgb="FF000000"/>
            <rFont val="Arial"/>
          </rPr>
          <t>Nick Scott:
Missing</t>
        </r>
      </text>
    </comment>
    <comment ref="B10" authorId="0" shapeId="0" xr:uid="{00000000-0006-0000-0900-00000B000000}">
      <text>
        <r>
          <rPr>
            <sz val="10"/>
            <color rgb="FF000000"/>
            <rFont val="Arial"/>
          </rPr>
          <t>Nick Scott:
LiST</t>
        </r>
      </text>
    </comment>
    <comment ref="B11" authorId="0" shapeId="0" xr:uid="{00000000-0006-0000-0900-00000C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2" authorId="0" shapeId="0" xr:uid="{00000000-0006-0000-0900-00000D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3" authorId="0" shapeId="0" xr:uid="{00000000-0006-0000-0900-00000E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4" authorId="0" shapeId="0" xr:uid="{00000000-0006-0000-0900-00000F000000}">
      <text>
        <r>
          <rPr>
            <sz val="10"/>
            <color rgb="FF000000"/>
            <rFont val="Arial"/>
          </rPr>
          <t>Nick Scott:
LiST</t>
        </r>
      </text>
    </comment>
    <comment ref="B15" authorId="0" shapeId="0" xr:uid="{00000000-0006-0000-0900-000010000000}">
      <text>
        <r>
          <rPr>
            <sz val="10"/>
            <color rgb="FF000000"/>
            <rFont val="Arial"/>
          </rPr>
          <t>Nick Scott:
More data required to divide "IFAS for pregnant women (community)" further. Community intervention assumed to represent all modalities as a placeholder</t>
        </r>
      </text>
    </comment>
    <comment ref="B16" authorId="0" shapeId="0" xr:uid="{00000000-0006-0000-0900-000011000000}">
      <text>
        <r>
          <rPr>
            <sz val="10"/>
            <color rgb="FF000000"/>
            <rFont val="Arial"/>
          </rPr>
          <t>Nick Scott:
LiST</t>
        </r>
      </text>
    </comment>
    <comment ref="B17" authorId="0" shapeId="0" xr:uid="{00000000-0006-0000-0900-000012000000}">
      <text>
        <r>
          <rPr>
            <sz val="10"/>
            <color rgb="FF000000"/>
            <rFont val="Arial"/>
          </rPr>
          <t>Nick Scott:
LiST, "Iron fortification"</t>
        </r>
      </text>
    </comment>
    <comment ref="B18" authorId="0" shapeId="0" xr:uid="{00000000-0006-0000-0900-000013000000}">
      <text>
        <r>
          <rPr>
            <sz val="10"/>
            <color rgb="FF000000"/>
            <rFont val="Arial"/>
          </rPr>
          <t>Nick Scott:
LiST; breastfeeding promotion</t>
        </r>
      </text>
    </comment>
    <comment ref="B19" authorId="0" shapeId="0" xr:uid="{00000000-0006-0000-0900-000014000000}">
      <text>
        <r>
          <rPr>
            <sz val="10"/>
            <color rgb="FF000000"/>
            <rFont val="Arial"/>
          </rPr>
          <t>Nick Scott:
LiST; complementary feeding education</t>
        </r>
      </text>
    </comment>
    <comment ref="B20" authorId="0" shapeId="0" xr:uid="{00000000-0006-0000-0900-000015000000}">
      <text>
        <r>
          <rPr>
            <sz val="10"/>
            <color rgb="FF000000"/>
            <rFont val="Arial"/>
          </rPr>
          <t>Nick Scott:
Not being used</t>
        </r>
      </text>
    </comment>
    <comment ref="B21" authorId="0" shapeId="0" xr:uid="{00000000-0006-0000-0900-000016000000}">
      <text>
        <r>
          <rPr>
            <sz val="10"/>
            <color rgb="FF000000"/>
            <rFont val="Arial"/>
          </rPr>
          <t>Nick Scott:
LiST</t>
        </r>
      </text>
    </comment>
    <comment ref="B22" authorId="0" shapeId="0" xr:uid="{00000000-0006-0000-0900-000017000000}">
      <text>
        <r>
          <rPr>
            <sz val="10"/>
            <color rgb="FF000000"/>
            <rFont val="Arial"/>
          </rPr>
          <t>Nick Scott:
Missing</t>
        </r>
      </text>
    </comment>
    <comment ref="B24" authorId="0" shapeId="0" xr:uid="{00000000-0006-0000-0900-000018000000}">
      <text>
        <r>
          <rPr>
            <sz val="10"/>
            <color rgb="FF000000"/>
            <rFont val="Arial"/>
          </rPr>
          <t>Nick Scott:
LiST</t>
        </r>
      </text>
    </comment>
    <comment ref="B25" authorId="0" shapeId="0" xr:uid="{00000000-0006-0000-0900-000019000000}">
      <text>
        <r>
          <rPr>
            <sz val="10"/>
            <color rgb="FF000000"/>
            <rFont val="Arial"/>
          </rPr>
          <t>Nick Scott:
Not being used</t>
        </r>
      </text>
    </comment>
    <comment ref="B26" authorId="0" shapeId="0" xr:uid="{00000000-0006-0000-0900-00001A000000}">
      <text>
        <r>
          <rPr>
            <sz val="10"/>
            <color rgb="FF000000"/>
            <rFont val="Arial"/>
          </rPr>
          <t>Nick Scott:
LiST</t>
        </r>
      </text>
    </comment>
    <comment ref="B27" authorId="0" shapeId="0" xr:uid="{00000000-0006-0000-0900-00001B000000}">
      <text>
        <r>
          <rPr>
            <sz val="10"/>
            <color rgb="FF000000"/>
            <rFont val="Arial"/>
          </rPr>
          <t>Nick Scott:
LiST</t>
        </r>
      </text>
    </comment>
    <comment ref="B28" authorId="0" shapeId="0" xr:uid="{00000000-0006-0000-0900-00001C000000}">
      <text>
        <r>
          <rPr>
            <sz val="10"/>
            <color rgb="FF000000"/>
            <rFont val="Arial"/>
          </rPr>
          <t>Nick Scott:
LiST</t>
        </r>
      </text>
    </comment>
    <comment ref="D28" authorId="0" shapeId="0" xr:uid="{00000000-0006-0000-0900-00001D000000}">
      <text>
        <r>
          <rPr>
            <sz val="10"/>
            <color rgb="FF000000"/>
            <rFont val="Arial"/>
          </rPr>
          <t>Nick Scott:
Cost per treatment</t>
        </r>
      </text>
    </comment>
    <comment ref="B29" authorId="0" shapeId="0" xr:uid="{00000000-0006-0000-0900-00001E000000}">
      <text>
        <r>
          <rPr>
            <sz val="10"/>
            <color rgb="FF000000"/>
            <rFont val="Arial"/>
          </rPr>
          <t>Nick Scott:
LiST</t>
        </r>
      </text>
    </comment>
    <comment ref="B30" authorId="0" shapeId="0" xr:uid="{00000000-0006-0000-0900-00001F000000}">
      <text>
        <r>
          <rPr>
            <sz val="10"/>
            <color rgb="FF000000"/>
            <rFont val="Arial"/>
          </rPr>
          <t>Nick Scott:
Missing</t>
        </r>
      </text>
    </comment>
    <comment ref="D30" authorId="0" shapeId="0" xr:uid="{00000000-0006-0000-0900-000020000000}">
      <text>
        <r>
          <rPr>
            <sz val="10"/>
            <color rgb="FF000000"/>
            <rFont val="Arial"/>
          </rPr>
          <t>Nick Scott:
Unknown</t>
        </r>
      </text>
    </comment>
    <comment ref="B31" authorId="0" shapeId="0" xr:uid="{00000000-0006-0000-0900-000021000000}">
      <text>
        <r>
          <rPr>
            <sz val="10"/>
            <color rgb="FF000000"/>
            <rFont val="Arial"/>
          </rPr>
          <t>Nick Scott:
LiST</t>
        </r>
      </text>
    </comment>
    <comment ref="D31" authorId="0" shapeId="0" xr:uid="{00000000-0006-0000-0900-000022000000}">
      <text>
        <r>
          <rPr>
            <sz val="10"/>
            <color rgb="FF000000"/>
            <rFont val="Arial"/>
          </rPr>
          <t>Nick Scott:
Cost per treatment</t>
        </r>
      </text>
    </comment>
    <comment ref="B32" authorId="0" shapeId="0" xr:uid="{00000000-0006-0000-0900-000023000000}">
      <text>
        <r>
          <rPr>
            <sz val="10"/>
            <color rgb="FF000000"/>
            <rFont val="Arial"/>
          </rPr>
          <t>Nick Scott:
LiST</t>
        </r>
      </text>
    </comment>
    <comment ref="B33" authorId="0" shapeId="0" xr:uid="{00000000-0006-0000-0900-000024000000}">
      <text>
        <r>
          <rPr>
            <sz val="10"/>
            <color rgb="FF000000"/>
            <rFont val="Arial"/>
          </rPr>
          <t>Nick Scott:
LiST</t>
        </r>
      </text>
    </comment>
    <comment ref="D33" authorId="0" shapeId="0" xr:uid="{00000000-0006-0000-0900-000025000000}">
      <text>
        <r>
          <rPr>
            <sz val="10"/>
            <color rgb="FF000000"/>
            <rFont val="Arial"/>
          </rPr>
          <t>Nick Scott:
Unknown</t>
        </r>
      </text>
    </comment>
    <comment ref="B34" authorId="0" shapeId="0" xr:uid="{00000000-0006-0000-0900-000026000000}">
      <text>
        <r>
          <rPr>
            <sz val="10"/>
            <color rgb="FF000000"/>
            <rFont val="Arial"/>
          </rPr>
          <t>Nick Scott:
LiST</t>
        </r>
      </text>
    </comment>
    <comment ref="D34" authorId="0" shapeId="0" xr:uid="{00000000-0006-0000-0900-000027000000}">
      <text>
        <r>
          <rPr>
            <sz val="10"/>
            <color rgb="FF000000"/>
            <rFont val="Arial"/>
          </rPr>
          <t>Nick Scott:
Unknown</t>
        </r>
      </text>
    </comment>
    <comment ref="B35" authorId="0" shapeId="0" xr:uid="{00000000-0006-0000-0900-000028000000}">
      <text>
        <r>
          <rPr>
            <sz val="10"/>
            <color rgb="FF000000"/>
            <rFont val="Arial"/>
          </rPr>
          <t>Nick Scott:
Not being used</t>
        </r>
      </text>
    </comment>
    <comment ref="D35" authorId="0" shapeId="0" xr:uid="{00000000-0006-0000-0900-000029000000}">
      <text>
        <r>
          <rPr>
            <sz val="10"/>
            <color rgb="FF000000"/>
            <rFont val="Arial"/>
          </rPr>
          <t>Nick Scott:
Unknown</t>
        </r>
      </text>
    </comment>
    <comment ref="B36" authorId="0" shapeId="0" xr:uid="{00000000-0006-0000-0900-00002A000000}">
      <text>
        <r>
          <rPr>
            <sz val="10"/>
            <color rgb="FF000000"/>
            <rFont val="Arial"/>
          </rPr>
          <t>Nick Scott:
LiST</t>
        </r>
      </text>
    </comment>
    <comment ref="D36" authorId="0" shapeId="0" xr:uid="{00000000-0006-0000-0900-00002B000000}">
      <text>
        <r>
          <rPr>
            <sz val="10"/>
            <color rgb="FF000000"/>
            <rFont val="Arial"/>
          </rPr>
          <t>Nick Scott:
Unknown</t>
        </r>
      </text>
    </comment>
    <comment ref="B37" authorId="0" shapeId="0" xr:uid="{00000000-0006-0000-0900-00002C000000}">
      <text>
        <r>
          <rPr>
            <sz val="10"/>
            <color rgb="FF000000"/>
            <rFont val="Arial"/>
          </rPr>
          <t>Nick Scott:
LiST</t>
        </r>
      </text>
    </comment>
    <comment ref="D37" authorId="0" shapeId="0" xr:uid="{00000000-0006-0000-0900-00002D000000}">
      <text>
        <r>
          <rPr>
            <sz val="10"/>
            <color rgb="FF000000"/>
            <rFont val="Arial"/>
          </rPr>
          <t>Nick Scott:
Unknown</t>
        </r>
      </text>
    </comment>
    <comment ref="B38" authorId="0" shapeId="0" xr:uid="{00000000-0006-0000-0900-00002E000000}">
      <text>
        <r>
          <rPr>
            <sz val="10"/>
            <color rgb="FF000000"/>
            <rFont val="Arial"/>
          </rPr>
          <t>Nick Scott:
LiST</t>
        </r>
      </text>
    </comment>
    <comment ref="D38" authorId="0" shapeId="0" xr:uid="{00000000-0006-0000-0900-00002F000000}">
      <text>
        <r>
          <rPr>
            <sz val="10"/>
            <color rgb="FF000000"/>
            <rFont val="Arial"/>
          </rPr>
          <t>Nick Scott:
Cost per treatment</t>
        </r>
      </text>
    </comment>
    <comment ref="B39" authorId="0" shapeId="0" xr:uid="{00000000-0006-0000-0900-000030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28" authorId="0" shapeId="0" xr:uid="{00000000-0006-0000-1300-000009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F29" authorId="0" shapeId="0" xr:uid="{00000000-0006-0000-1300-00000A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1" authorId="0" shapeId="0" xr:uid="{00000000-0006-0000-1300-00000B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2" authorId="0" shapeId="0" xr:uid="{00000000-0006-0000-1300-00000C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A36" authorId="1" shapeId="0" xr:uid="{00000000-0006-0000-1300-00000D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89" authorId="1" shapeId="0" xr:uid="{00000000-0006-0000-1300-000016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125" authorId="0" shapeId="0" xr:uid="{00000000-0006-0000-1300-00001F000000}">
      <text>
        <r>
          <rPr>
            <sz val="10"/>
            <color rgb="FF000000"/>
            <rFont val="Arial"/>
          </rPr>
          <t>Tharindu Wickramaarachchi:
Upper boundary for the impact means that the point estimate of the OR should be lower</t>
        </r>
      </text>
    </comment>
    <comment ref="A142" authorId="1" shapeId="0" xr:uid="{00000000-0006-0000-1300-000020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B56" authorId="0" shapeId="0" xr:uid="{00000000-0006-0000-1500-000001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  <comment ref="B65" authorId="0" shapeId="0" xr:uid="{00000000-0006-0000-1500-000002000000}">
      <text>
        <r>
          <rPr>
            <sz val="10"/>
            <color rgb="FF000000"/>
            <rFont val="Arial"/>
          </rPr>
          <t xml:space="preserve">Tharindu Wickramaarachchi:
LiST 6.29
Black RE, Victora CG, Walker SP, et al. Maternal and child undernutrition and overweight in low-income and middle-income countries. Lancet 2013; 382(9890): 427-51. http://www.ncbi.nlm.nih.gov/pubmed/23746772. (Supplementary material - Web Table 17.)
</t>
        </r>
      </text>
    </comment>
    <comment ref="C104" authorId="0" shapeId="0" xr:uid="{00000000-0006-0000-1500-000003000000}">
      <text>
        <r>
          <rPr>
            <sz val="10"/>
            <color rgb="FF000000"/>
            <rFont val="Arial"/>
          </rPr>
          <t>Tharindu Wickramaarachchi:
Spectrum LiST 6.29</t>
        </r>
      </text>
    </comment>
    <comment ref="A220" authorId="0" shapeId="0" xr:uid="{00000000-0006-0000-1500-000004000000}">
      <text>
        <r>
          <rPr>
            <sz val="10"/>
            <color rgb="FF000000"/>
            <rFont val="Arial"/>
          </rPr>
          <t>Tharindu Wickramaarachchi:
All the values should be greater than 1 and above the point estimate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B6" authorId="0" shapeId="0" xr:uid="{00000000-0006-0000-1600-000001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6" authorId="1" shapeId="0" xr:uid="{00000000-0006-0000-1600-000002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F6" authorId="1" shapeId="0" xr:uid="{00000000-0006-0000-1600-000003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B7" authorId="0" shapeId="0" xr:uid="{00000000-0006-0000-1600-000004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7" authorId="1" shapeId="0" xr:uid="{00000000-0006-0000-1600-000005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F7" authorId="1" shapeId="0" xr:uid="{00000000-0006-0000-1600-000006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8" authorId="1" shapeId="0" xr:uid="{00000000-0006-0000-1600-000007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F8" authorId="1" shapeId="0" xr:uid="{00000000-0006-0000-1600-000008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9" authorId="0" shapeId="0" xr:uid="{00000000-0006-0000-1600-000009000000}">
      <text>
        <r>
          <rPr>
            <sz val="10"/>
            <color rgb="FF000000"/>
            <rFont val="Arial"/>
          </rPr>
          <t xml:space="preserve">Nick Scott:
No statistically significant effect
Imdad et al 2023, RR prevalence of stunting 1.00 (0.94-1.07) 
Lassi et al 2020, incidence of stunting after 6 months RR 0.82 (0.65-1.03) 
Lassi et al 2020, LAZ 6 months SMD 0.06 (-0.07 to 0.19) 
Tam et al 2020, RR 1.00 (0.89-1.14)
</t>
        </r>
      </text>
    </comment>
    <comment ref="C12" authorId="1" shapeId="0" xr:uid="{00000000-0006-0000-1600-00000A000000}">
      <text>
        <r>
          <rPr>
            <sz val="10"/>
            <color rgb="FF000000"/>
            <rFont val="Arial"/>
          </rPr>
          <t>Tharindu Wickramaarachchi:
OR = 1.50 (1.26-1.78) for exclusive breastfeeding in children &lt; 1 month.</t>
        </r>
      </text>
    </comment>
    <comment ref="D12" authorId="1" shapeId="0" xr:uid="{00000000-0006-0000-1600-00000B000000}">
      <text>
        <r>
          <rPr>
            <sz val="10"/>
            <color rgb="FF000000"/>
            <rFont val="Arial"/>
          </rPr>
          <t>Tharindu Wickramaarachchi:
OR = 1.39 (1.11-1.74) for exclusive breastfeeding in children 1-6 months [Boundy et al. 2016, Pediatrics[66]]</t>
        </r>
      </text>
    </comment>
    <comment ref="A28" authorId="1" shapeId="0" xr:uid="{00000000-0006-0000-1600-00000C000000}">
      <text>
        <r>
          <rPr>
            <sz val="10"/>
            <color rgb="FF000000"/>
            <rFont val="Arial"/>
          </rPr>
          <t>Tharindu Wickramaarachchi:
Lower boundary means less effective compared with point estimate. Therefore, these ORs&lt;1 should be increased.</t>
        </r>
      </text>
    </comment>
    <comment ref="B29" authorId="0" shapeId="0" xr:uid="{00000000-0006-0000-1600-00000D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30" authorId="0" shapeId="0" xr:uid="{00000000-0006-0000-1600-00000E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30" authorId="1" shapeId="0" xr:uid="{00000000-0006-0000-1600-00000F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31" authorId="1" shapeId="0" xr:uid="{00000000-0006-0000-1600-000010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A34" authorId="1" shapeId="0" xr:uid="{00000000-0006-0000-1600-000011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37" authorId="1" shapeId="0" xr:uid="{00000000-0006-0000-1600-000012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B44" authorId="1" shapeId="0" xr:uid="{00000000-0006-0000-1600-000013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51" authorId="1" shapeId="0" xr:uid="{00000000-0006-0000-1600-000014000000}">
      <text>
        <r>
          <rPr>
            <sz val="10"/>
            <color rgb="FF000000"/>
            <rFont val="Arial"/>
          </rPr>
          <t>Tharindu Wickramaarachchi:
ORs which point estimate = 1 should stay the same, ORs with point estimate &lt;1 should be decreased as we expect higher impact</t>
        </r>
      </text>
    </comment>
    <comment ref="B52" authorId="0" shapeId="0" xr:uid="{00000000-0006-0000-1600-000015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53" authorId="0" shapeId="0" xr:uid="{00000000-0006-0000-1600-000016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53" authorId="1" shapeId="0" xr:uid="{00000000-0006-0000-1600-000017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54" authorId="1" shapeId="0" xr:uid="{00000000-0006-0000-1600-000018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C2" authorId="0" shapeId="0" xr:uid="{00000000-0006-0000-1700-000001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D2" authorId="0" shapeId="0" xr:uid="{00000000-0006-0000-1700-000002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C4" authorId="0" shapeId="0" xr:uid="{00000000-0006-0000-1700-000003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4" authorId="0" shapeId="0" xr:uid="{00000000-0006-0000-1700-000004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6" authorId="0" shapeId="0" xr:uid="{00000000-0006-0000-1700-000005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6" authorId="0" shapeId="0" xr:uid="{00000000-0006-0000-1700-000006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8" authorId="0" shapeId="0" xr:uid="{00000000-0006-0000-1700-000007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8" authorId="0" shapeId="0" xr:uid="{00000000-0006-0000-1700-000008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0" authorId="0" shapeId="0" xr:uid="{00000000-0006-0000-1700-000009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10" authorId="0" shapeId="0" xr:uid="{00000000-0006-0000-1700-00000A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2" authorId="0" shapeId="0" xr:uid="{00000000-0006-0000-1700-00000B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D12" authorId="0" shapeId="0" xr:uid="{00000000-0006-0000-1700-00000C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C17" authorId="0" shapeId="0" xr:uid="{00000000-0006-0000-1700-00000D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17" authorId="0" shapeId="0" xr:uid="{00000000-0006-0000-1700-00000E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19" authorId="0" shapeId="0" xr:uid="{00000000-0006-0000-1700-00000F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19" authorId="0" shapeId="0" xr:uid="{00000000-0006-0000-1700-000010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1" authorId="0" shapeId="0" xr:uid="{00000000-0006-0000-1700-000011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21" authorId="0" shapeId="0" xr:uid="{00000000-0006-0000-1700-000012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3" authorId="0" shapeId="0" xr:uid="{00000000-0006-0000-1700-000013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3" authorId="0" shapeId="0" xr:uid="{00000000-0006-0000-1700-000014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5" authorId="0" shapeId="0" xr:uid="{00000000-0006-0000-1700-000015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5" authorId="0" shapeId="0" xr:uid="{00000000-0006-0000-1700-000016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7" authorId="0" shapeId="0" xr:uid="{00000000-0006-0000-1700-000017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27" authorId="0" shapeId="0" xr:uid="{00000000-0006-0000-1700-000018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C32" authorId="0" shapeId="0" xr:uid="{00000000-0006-0000-1700-000019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32" authorId="0" shapeId="0" xr:uid="{00000000-0006-0000-1700-00001A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34" authorId="0" shapeId="0" xr:uid="{00000000-0006-0000-1700-00001B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4" authorId="0" shapeId="0" xr:uid="{00000000-0006-0000-1700-00001C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6" authorId="0" shapeId="0" xr:uid="{00000000-0006-0000-1700-00001D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6" authorId="0" shapeId="0" xr:uid="{00000000-0006-0000-1700-00001E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8" authorId="0" shapeId="0" xr:uid="{00000000-0006-0000-1700-00001F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38" authorId="0" shapeId="0" xr:uid="{00000000-0006-0000-1700-000020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0" authorId="0" shapeId="0" xr:uid="{00000000-0006-0000-1700-000021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40" authorId="0" shapeId="0" xr:uid="{00000000-0006-0000-1700-000022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2" authorId="0" shapeId="0" xr:uid="{00000000-0006-0000-1700-000023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42" authorId="0" shapeId="0" xr:uid="{00000000-0006-0000-1700-000024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4" authorId="0" shapeId="0" xr:uid="{00000000-0006-0000-1800-00000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3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4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5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8" authorId="0" shapeId="0" xr:uid="{00000000-0006-0000-1800-00000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8" authorId="0" shapeId="0" xr:uid="{00000000-0006-0000-1800-00000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8" authorId="0" shapeId="0" xr:uid="{00000000-0006-0000-1800-00000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9" authorId="0" shapeId="0" xr:uid="{00000000-0006-0000-1800-00000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9" authorId="0" shapeId="0" xr:uid="{00000000-0006-0000-1800-00000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9" authorId="0" shapeId="0" xr:uid="{00000000-0006-0000-1800-00000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9" authorId="0" shapeId="0" xr:uid="{00000000-0006-0000-1800-00000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10" authorId="0" shapeId="0" xr:uid="{00000000-0006-0000-1800-00000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10" authorId="0" shapeId="0" xr:uid="{00000000-0006-0000-1800-00000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10" authorId="0" shapeId="0" xr:uid="{00000000-0006-0000-1800-00001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10" authorId="0" shapeId="0" xr:uid="{00000000-0006-0000-1800-000011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E11" authorId="1" shapeId="0" xr:uid="{00000000-0006-0000-1800-000012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F11" authorId="1" shapeId="0" xr:uid="{00000000-0006-0000-1800-000013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C12" authorId="0" shapeId="0" xr:uid="{00000000-0006-0000-1800-00001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1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1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13" authorId="0" shapeId="0" xr:uid="{00000000-0006-0000-1800-000022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13" authorId="0" shapeId="0" xr:uid="{00000000-0006-0000-1800-000023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L14" authorId="1" shapeId="0" xr:uid="{00000000-0006-0000-1800-000024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5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6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7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8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9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A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</t>
        </r>
      </text>
    </comment>
    <comment ref="E19" authorId="0" shapeId="0" xr:uid="{00000000-0006-0000-1800-00002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0" authorId="0" shapeId="0" xr:uid="{00000000-0006-0000-1800-00002C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
Thereofre, set effect of rice = effect of wheat</t>
        </r>
      </text>
    </comment>
    <comment ref="E21" authorId="0" shapeId="0" xr:uid="{00000000-0006-0000-1800-00002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A25" authorId="0" shapeId="0" xr:uid="{00000000-0006-0000-1800-00002E000000}">
      <text>
        <r>
          <rPr>
            <sz val="10"/>
            <color rgb="FF000000"/>
            <rFont val="Arial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2F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27" authorId="0" shapeId="0" xr:uid="{00000000-0006-0000-1800-00003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3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3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3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34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1" authorId="0" shapeId="0" xr:uid="{00000000-0006-0000-1800-00003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1" authorId="0" shapeId="0" xr:uid="{00000000-0006-0000-1800-00003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1" authorId="0" shapeId="0" xr:uid="{00000000-0006-0000-1800-00003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2" authorId="0" shapeId="0" xr:uid="{00000000-0006-0000-1800-00003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2" authorId="0" shapeId="0" xr:uid="{00000000-0006-0000-1800-00003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2" authorId="0" shapeId="0" xr:uid="{00000000-0006-0000-1800-00003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2" authorId="0" shapeId="0" xr:uid="{00000000-0006-0000-1800-00003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3" authorId="0" shapeId="0" xr:uid="{00000000-0006-0000-1800-00003C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33" authorId="0" shapeId="0" xr:uid="{00000000-0006-0000-1800-00003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33" authorId="0" shapeId="0" xr:uid="{00000000-0006-0000-1800-00003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33" authorId="0" shapeId="0" xr:uid="{00000000-0006-0000-1800-00003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35" authorId="0" shapeId="0" xr:uid="{00000000-0006-0000-1800-00004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4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4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4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4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4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4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4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4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4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4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4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4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4D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36" authorId="0" shapeId="0" xr:uid="{00000000-0006-0000-1800-00004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36" authorId="0" shapeId="0" xr:uid="{00000000-0006-0000-1800-00004F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38" authorId="0" shapeId="0" xr:uid="{00000000-0006-0000-1800-000050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51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42" authorId="0" shapeId="0" xr:uid="{00000000-0006-0000-1800-00005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4" authorId="0" shapeId="0" xr:uid="{00000000-0006-0000-1800-00005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C49" authorId="0" shapeId="0" xr:uid="{00000000-0006-0000-1800-000054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50" authorId="0" shapeId="0" xr:uid="{00000000-0006-0000-1800-000055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56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57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5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5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5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5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5C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5D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5E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5F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6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6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6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6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6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6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4" authorId="0" shapeId="0" xr:uid="{00000000-0006-0000-1800-00006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4" authorId="0" shapeId="0" xr:uid="{00000000-0006-0000-1800-00006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4" authorId="0" shapeId="0" xr:uid="{00000000-0006-0000-1800-00006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5" authorId="0" shapeId="0" xr:uid="{00000000-0006-0000-1800-00006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5" authorId="0" shapeId="0" xr:uid="{00000000-0006-0000-1800-00006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5" authorId="0" shapeId="0" xr:uid="{00000000-0006-0000-1800-00006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5" authorId="0" shapeId="0" xr:uid="{00000000-0006-0000-1800-00006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6" authorId="0" shapeId="0" xr:uid="{00000000-0006-0000-1800-00006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56" authorId="0" shapeId="0" xr:uid="{00000000-0006-0000-1800-00006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56" authorId="0" shapeId="0" xr:uid="{00000000-0006-0000-1800-00006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56" authorId="0" shapeId="0" xr:uid="{00000000-0006-0000-1800-00007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58" authorId="0" shapeId="0" xr:uid="{00000000-0006-0000-1800-00007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7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7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7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7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7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7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7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7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7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7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7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7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7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59" authorId="0" shapeId="0" xr:uid="{00000000-0006-0000-1800-00007F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59" authorId="0" shapeId="0" xr:uid="{00000000-0006-0000-1800-000080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61" authorId="0" shapeId="0" xr:uid="{00000000-0006-0000-1800-000081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82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65" authorId="0" shapeId="0" xr:uid="{00000000-0006-0000-1800-00008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7" authorId="0" shapeId="0" xr:uid="{00000000-0006-0000-1800-000084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0" authorId="1" shapeId="0" xr:uid="{00000000-0006-0000-1A00-00000B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0" authorId="1" shapeId="0" xr:uid="{00000000-0006-0000-1A00-00000C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" authorId="1" shapeId="0" xr:uid="{00000000-0006-0000-1A00-00000D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" authorId="1" shapeId="0" xr:uid="{00000000-0006-0000-1A00-00000E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4" authorId="0" shapeId="0" xr:uid="{00000000-0006-0000-1A00-00000F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4" authorId="0" shapeId="0" xr:uid="{00000000-0006-0000-1A00-000010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6" authorId="0" shapeId="0" xr:uid="{00000000-0006-0000-1A00-000011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6" authorId="0" shapeId="0" xr:uid="{00000000-0006-0000-1A00-000012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8" authorId="0" shapeId="0" xr:uid="{00000000-0006-0000-1A00-000013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8" authorId="0" shapeId="0" xr:uid="{00000000-0006-0000-1A00-000014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H18" authorId="0" shapeId="0" xr:uid="{00000000-0006-0000-1A00-000015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F20" authorId="0" shapeId="0" xr:uid="{00000000-0006-0000-1A00-000016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20" authorId="0" shapeId="0" xr:uid="{00000000-0006-0000-1A00-000017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H20" authorId="0" shapeId="0" xr:uid="{00000000-0006-0000-1A00-000018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D22" authorId="0" shapeId="0" xr:uid="{00000000-0006-0000-1A00-000019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A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B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43" authorId="0" shapeId="0" xr:uid="{00000000-0006-0000-1A00-00001C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E43" authorId="0" shapeId="0" xr:uid="{00000000-0006-0000-1A00-00001D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F43" authorId="0" shapeId="0" xr:uid="{00000000-0006-0000-1A00-00001E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G43" authorId="0" shapeId="0" xr:uid="{00000000-0006-0000-1A00-00001F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H43" authorId="0" shapeId="0" xr:uid="{00000000-0006-0000-1A00-000020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D44" authorId="0" shapeId="0" xr:uid="{00000000-0006-0000-1A00-00002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44" authorId="0" shapeId="0" xr:uid="{00000000-0006-0000-1A00-00002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44" authorId="0" shapeId="0" xr:uid="{00000000-0006-0000-1A00-00002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44" authorId="0" shapeId="0" xr:uid="{00000000-0006-0000-1A00-00002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44" authorId="0" shapeId="0" xr:uid="{00000000-0006-0000-1A00-00002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47" authorId="0" shapeId="0" xr:uid="{00000000-0006-0000-1A00-00002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2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2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2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51" authorId="0" shapeId="0" xr:uid="{00000000-0006-0000-1A00-00003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51" authorId="0" shapeId="0" xr:uid="{00000000-0006-0000-1A00-00003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51" authorId="0" shapeId="0" xr:uid="{00000000-0006-0000-1A00-00003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51" authorId="0" shapeId="0" xr:uid="{00000000-0006-0000-1A00-00003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53" authorId="1" shapeId="0" xr:uid="{00000000-0006-0000-1A00-00003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58" authorId="0" shapeId="0" xr:uid="{00000000-0006-0000-1A00-00003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58" authorId="0" shapeId="0" xr:uid="{00000000-0006-0000-1A00-00003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58" authorId="0" shapeId="0" xr:uid="{00000000-0006-0000-1A00-00003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59" authorId="0" shapeId="0" xr:uid="{00000000-0006-0000-1A00-00003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59" authorId="0" shapeId="0" xr:uid="{00000000-0006-0000-1A00-00003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59" authorId="0" shapeId="0" xr:uid="{00000000-0006-0000-1A00-00003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1" authorId="1" shapeId="0" xr:uid="{00000000-0006-0000-1A00-00003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1" authorId="1" shapeId="0" xr:uid="{00000000-0006-0000-1A00-00003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3" authorId="1" shapeId="0" xr:uid="{00000000-0006-0000-1A00-00003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3" authorId="1" shapeId="0" xr:uid="{00000000-0006-0000-1A00-00003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5" authorId="1" shapeId="0" xr:uid="{00000000-0006-0000-1A00-00004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5" authorId="1" shapeId="0" xr:uid="{00000000-0006-0000-1A00-00004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7" authorId="1" shapeId="0" xr:uid="{00000000-0006-0000-1A00-00004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7" authorId="1" shapeId="0" xr:uid="{00000000-0006-0000-1A00-00004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9" authorId="0" shapeId="0" xr:uid="{00000000-0006-0000-1A00-00004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69" authorId="0" shapeId="0" xr:uid="{00000000-0006-0000-1A00-00004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71" authorId="0" shapeId="0" xr:uid="{00000000-0006-0000-1A00-00004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71" authorId="0" shapeId="0" xr:uid="{00000000-0006-0000-1A00-00004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73" authorId="0" shapeId="0" xr:uid="{00000000-0006-0000-1A00-00004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73" authorId="0" shapeId="0" xr:uid="{00000000-0006-0000-1A00-00004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73" authorId="0" shapeId="0" xr:uid="{00000000-0006-0000-1A00-00004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75" authorId="0" shapeId="0" xr:uid="{00000000-0006-0000-1A00-00004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75" authorId="0" shapeId="0" xr:uid="{00000000-0006-0000-1A00-00004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75" authorId="0" shapeId="0" xr:uid="{00000000-0006-0000-1A00-00004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77" authorId="0" shapeId="0" xr:uid="{00000000-0006-0000-1A00-00004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5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99" authorId="0" shapeId="0" xr:uid="{00000000-0006-0000-1A00-00005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99" authorId="0" shapeId="0" xr:uid="{00000000-0006-0000-1A00-00005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99" authorId="0" shapeId="0" xr:uid="{00000000-0006-0000-1A00-00005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99" authorId="0" shapeId="0" xr:uid="{00000000-0006-0000-1A00-00005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99" authorId="0" shapeId="0" xr:uid="{00000000-0006-0000-1A00-00005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02" authorId="0" shapeId="0" xr:uid="{00000000-0006-0000-1A00-00005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5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5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5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5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06" authorId="0" shapeId="0" xr:uid="{00000000-0006-0000-1A00-00006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06" authorId="0" shapeId="0" xr:uid="{00000000-0006-0000-1A00-00006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06" authorId="0" shapeId="0" xr:uid="{00000000-0006-0000-1A00-00006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06" authorId="0" shapeId="0" xr:uid="{00000000-0006-0000-1A00-00006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08" authorId="1" shapeId="0" xr:uid="{00000000-0006-0000-1A00-00006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113" authorId="0" shapeId="0" xr:uid="{00000000-0006-0000-1A00-00006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113" authorId="0" shapeId="0" xr:uid="{00000000-0006-0000-1A00-00006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113" authorId="0" shapeId="0" xr:uid="{00000000-0006-0000-1A00-00006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114" authorId="0" shapeId="0" xr:uid="{00000000-0006-0000-1A00-00006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114" authorId="0" shapeId="0" xr:uid="{00000000-0006-0000-1A00-00006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114" authorId="0" shapeId="0" xr:uid="{00000000-0006-0000-1A00-00006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116" authorId="1" shapeId="0" xr:uid="{00000000-0006-0000-1A00-00006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6" authorId="1" shapeId="0" xr:uid="{00000000-0006-0000-1A00-00006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18" authorId="1" shapeId="0" xr:uid="{00000000-0006-0000-1A00-00006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8" authorId="1" shapeId="0" xr:uid="{00000000-0006-0000-1A00-00006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20" authorId="1" shapeId="0" xr:uid="{00000000-0006-0000-1A00-00007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0" authorId="1" shapeId="0" xr:uid="{00000000-0006-0000-1A00-00007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2" authorId="1" shapeId="0" xr:uid="{00000000-0006-0000-1A00-00007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2" authorId="1" shapeId="0" xr:uid="{00000000-0006-0000-1A00-00007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4" authorId="0" shapeId="0" xr:uid="{00000000-0006-0000-1A00-00007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24" authorId="0" shapeId="0" xr:uid="{00000000-0006-0000-1A00-00007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26" authorId="0" shapeId="0" xr:uid="{00000000-0006-0000-1A00-00007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26" authorId="0" shapeId="0" xr:uid="{00000000-0006-0000-1A00-00007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28" authorId="0" shapeId="0" xr:uid="{00000000-0006-0000-1A00-00007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28" authorId="0" shapeId="0" xr:uid="{00000000-0006-0000-1A00-00007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128" authorId="0" shapeId="0" xr:uid="{00000000-0006-0000-1A00-00007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130" authorId="0" shapeId="0" xr:uid="{00000000-0006-0000-1A00-00007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130" authorId="0" shapeId="0" xr:uid="{00000000-0006-0000-1A00-00007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130" authorId="0" shapeId="0" xr:uid="{00000000-0006-0000-1A00-00007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132" authorId="0" shapeId="0" xr:uid="{00000000-0006-0000-1A00-00007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8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54" authorId="0" shapeId="0" xr:uid="{00000000-0006-0000-1A00-00008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154" authorId="0" shapeId="0" xr:uid="{00000000-0006-0000-1A00-00008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154" authorId="0" shapeId="0" xr:uid="{00000000-0006-0000-1A00-00008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154" authorId="0" shapeId="0" xr:uid="{00000000-0006-0000-1A00-00008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154" authorId="0" shapeId="0" xr:uid="{00000000-0006-0000-1A00-00008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57" authorId="0" shapeId="0" xr:uid="{00000000-0006-0000-1A00-00008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8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8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8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8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8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61" authorId="0" shapeId="0" xr:uid="{00000000-0006-0000-1A00-00009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61" authorId="0" shapeId="0" xr:uid="{00000000-0006-0000-1A00-00009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61" authorId="0" shapeId="0" xr:uid="{00000000-0006-0000-1A00-00009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61" authorId="0" shapeId="0" xr:uid="{00000000-0006-0000-1A00-00009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63" authorId="1" shapeId="0" xr:uid="{00000000-0006-0000-1A00-00009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12" authorId="0" shapeId="0" xr:uid="{00000000-0006-0000-1B00-00000D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12" authorId="0" shapeId="0" xr:uid="{00000000-0006-0000-1B00-00000E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12" authorId="0" shapeId="0" xr:uid="{00000000-0006-0000-1B00-00000F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12" authorId="0" shapeId="0" xr:uid="{00000000-0006-0000-1B00-000010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21" authorId="0" shapeId="0" xr:uid="{00000000-0006-0000-1B00-00001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21" authorId="0" shapeId="0" xr:uid="{00000000-0006-0000-1B00-00001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21" authorId="0" shapeId="0" xr:uid="{00000000-0006-0000-1B00-00001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21" authorId="0" shapeId="0" xr:uid="{00000000-0006-0000-1B00-00001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<sst xmlns="http://schemas.openxmlformats.org/spreadsheetml/2006/main" count="2102" uniqueCount="341">
  <si>
    <t>Field</t>
  </si>
  <si>
    <t>Neonatal</t>
  </si>
  <si>
    <t>Meningitis</t>
  </si>
  <si>
    <t>Malaria</t>
  </si>
  <si>
    <t>Sepsis</t>
  </si>
  <si>
    <t>x</t>
  </si>
  <si>
    <t>MAM</t>
  </si>
  <si>
    <t>Normal</t>
  </si>
  <si>
    <t>N/A</t>
  </si>
  <si>
    <t>Outcome</t>
  </si>
  <si>
    <t>18-23 meses</t>
  </si>
  <si>
    <t>24 meses o más</t>
  </si>
  <si>
    <t>Distribución de edad de las mujeres embarazadas</t>
  </si>
  <si>
    <t>Promedio de episodios por año: 1-5 meses</t>
  </si>
  <si>
    <t>Promedio de episodios por año: 12-23 meses</t>
  </si>
  <si>
    <t>Promedio de episodios por año: 24-59 meses</t>
  </si>
  <si>
    <t>Promedio de episodios por año: 6-11 meses</t>
  </si>
  <si>
    <t>Promedio de episodios por año: &lt;1 mes</t>
  </si>
  <si>
    <t>Año de referencia (año de inicio de la proyección)</t>
  </si>
  <si>
    <t>Datos del año de referencia</t>
  </si>
  <si>
    <t>Mortalidad y factores de riesgo en el año de referencia</t>
  </si>
  <si>
    <t>Distribución del desenlace del nacimiento</t>
  </si>
  <si>
    <t>Espaciamiento entre los nacimientos</t>
  </si>
  <si>
    <t>Población infantil menor de 5 años</t>
  </si>
  <si>
    <t>Datos</t>
  </si>
  <si>
    <t>Incidencia de la diarrea</t>
  </si>
  <si>
    <t>Año final</t>
  </si>
  <si>
    <t>El primer nacimiento</t>
  </si>
  <si>
    <t>Alimento</t>
  </si>
  <si>
    <t>Fracción que consume maíz como principal alimento básico</t>
  </si>
  <si>
    <t>Fracción que consume arroz como principal alimento básico</t>
  </si>
  <si>
    <t>Fracción que consume trigo como principal alimento básico</t>
  </si>
  <si>
    <t>Fracción de embarazos que terminan en aborto espontáneo</t>
  </si>
  <si>
    <t>Fracción de agricultura de subsistencia</t>
  </si>
  <si>
    <t>Fracción de otros alimentos básicos como alimento principal</t>
  </si>
  <si>
    <t>Mortalidad infantil (por cada 1.000 nacidos vivos)</t>
  </si>
  <si>
    <t>Mortalidad materna (por cada 1.000 nacidos vivos)</t>
  </si>
  <si>
    <t>Mortalidad</t>
  </si>
  <si>
    <t>Mortalidad neonatal (por cada 1.000 nacidos vivos)</t>
  </si>
  <si>
    <t>Otros riesgos</t>
  </si>
  <si>
    <t>Porcentaje de anemia que es deficiente en hierro</t>
  </si>
  <si>
    <t>Porcentaje de niños que acuden a un centro de salud</t>
  </si>
  <si>
    <t>Porcentaje de diarrea grave</t>
  </si>
  <si>
    <t>Porcentaje de población con riesgo de malaria</t>
  </si>
  <si>
    <t>Porcentaje de población con inseguridad alimentaria (pobre por defecto)</t>
  </si>
  <si>
    <t>Porcentaje de mujeres embarazadas de 15 a 19 años</t>
  </si>
  <si>
    <t>Porcentaje de mujeres embarazadas de 20 a 29 años</t>
  </si>
  <si>
    <t>Porcentaje de mujeres embarazadas de 30 a 39 años</t>
  </si>
  <si>
    <t>Porcentaje de mujeres embarazadas de 40 a 49 años</t>
  </si>
  <si>
    <t>Porcentaje de mujeres embarazadas que acuden a un centro de salud</t>
  </si>
  <si>
    <t>Datos poblacionales</t>
  </si>
  <si>
    <t>Prematuro AEG (adecuado para edad gestacional)</t>
  </si>
  <si>
    <t>Prematuro PEG (pequeño para la edad gestacional)</t>
  </si>
  <si>
    <t>Prevalencia de eclampsia</t>
  </si>
  <si>
    <t>Prevalencia de preeclampsia</t>
  </si>
  <si>
    <t>Años de proyección</t>
  </si>
  <si>
    <t>Asistencia a la escuela (porcentaje de mujeres de 15 a 19 años)</t>
  </si>
  <si>
    <t>Nacidos muertos (por cada 1.000 nacimientos totales)</t>
  </si>
  <si>
    <t>Nacido a término AEG (Adecuado para la edad gestacional)</t>
  </si>
  <si>
    <t>Nacido a término PEG (pequeño para la edad gestacional)</t>
  </si>
  <si>
    <t>Total (debe ser el 100%)</t>
  </si>
  <si>
    <t>Mortalidad de menores de 5 años (por cada 1.000 nacidos vivos)</t>
  </si>
  <si>
    <t>Necesidad insatisfecha de planificación familiar</t>
  </si>
  <si>
    <t>menos de 18 meses</t>
  </si>
  <si>
    <t>Bajo peso al nacer</t>
  </si>
  <si>
    <t>Estimación de mujeres embarazadas</t>
  </si>
  <si>
    <t>Número de nacimientos</t>
  </si>
  <si>
    <t>Total mujeres en edad reproductiva</t>
  </si>
  <si>
    <t>WRA: 15-19 años  (mujeres en edad reproductiva)</t>
  </si>
  <si>
    <t>WRA: 20-29 años (mujeres en edad reproductiva)</t>
  </si>
  <si>
    <t>WRA: 30-39 años (mujeres en edad reproductiva)</t>
  </si>
  <si>
    <t>WRA: 40-49 años (mujeres en edad reproductiva)</t>
  </si>
  <si>
    <t>mujeres en edad reproductiva no embarazadas</t>
  </si>
  <si>
    <t>año</t>
  </si>
  <si>
    <t>1-5 meses</t>
  </si>
  <si>
    <t>12-23 meses</t>
  </si>
  <si>
    <t>24-59 meses</t>
  </si>
  <si>
    <t>6-11 meses</t>
  </si>
  <si>
    <t>&lt;1 mes</t>
  </si>
  <si>
    <t>SIDA</t>
  </si>
  <si>
    <t>Aborto</t>
  </si>
  <si>
    <t>Hemorragia pre-parto</t>
  </si>
  <si>
    <t>Causas</t>
  </si>
  <si>
    <t>Niños</t>
  </si>
  <si>
    <t>Diarrea</t>
  </si>
  <si>
    <t>Embolia</t>
  </si>
  <si>
    <t>Trastornos hipertensivos</t>
  </si>
  <si>
    <t>Causas indirectas</t>
  </si>
  <si>
    <t>Lesión</t>
  </si>
  <si>
    <t>Hemorragia intraparto</t>
  </si>
  <si>
    <t>Sarampión</t>
  </si>
  <si>
    <t>Asfixia neonatal</t>
  </si>
  <si>
    <t>Anomalías congénitas neonatales</t>
  </si>
  <si>
    <t>Diarrea neonatal</t>
  </si>
  <si>
    <t>Neonatal otros</t>
  </si>
  <si>
    <t>Neumonía neonatal</t>
  </si>
  <si>
    <t>Prematuridad neonatal</t>
  </si>
  <si>
    <t>Sepsis neonatal</t>
  </si>
  <si>
    <t>Tétanos neonatal</t>
  </si>
  <si>
    <t>Otro</t>
  </si>
  <si>
    <t>Otras causas directas</t>
  </si>
  <si>
    <t>Tosferina</t>
  </si>
  <si>
    <t>Neumonía</t>
  </si>
  <si>
    <t>Hemorragia posparto</t>
  </si>
  <si>
    <t>Mujeres embarazadas</t>
  </si>
  <si>
    <t>Anemia</t>
  </si>
  <si>
    <t>Alto (puntuación HAZ &lt; -3)</t>
  </si>
  <si>
    <t>MAM (puntuación WHZ entre -3 y -2)</t>
  </si>
  <si>
    <t>Leve (score HAZ entre -2 y -1)</t>
  </si>
  <si>
    <t>Leve (score WHZ entre -2 y -1)</t>
  </si>
  <si>
    <t>Moderado (score HAZ entre -3 y -2)</t>
  </si>
  <si>
    <t>Normal (score HAZ &gt; -1)</t>
  </si>
  <si>
    <t>Normal (score WHZ &gt; -1)</t>
  </si>
  <si>
    <t>PW: 15-19 años</t>
  </si>
  <si>
    <t>PW: 20-29 años</t>
  </si>
  <si>
    <t>PW: 30-39 años</t>
  </si>
  <si>
    <t>PW: 40-49 años</t>
  </si>
  <si>
    <t>Prevalencia de anemia</t>
  </si>
  <si>
    <t>Prevalencia de anemia por deficiencia de hierro</t>
  </si>
  <si>
    <t>MAS (score WHZ &lt; -3)</t>
  </si>
  <si>
    <t>Estado</t>
  </si>
  <si>
    <t>Retraso en el crecimiento (Talla para la edad)</t>
  </si>
  <si>
    <t>Emaciación (peso para la talla)</t>
  </si>
  <si>
    <t>Lactancia materna</t>
  </si>
  <si>
    <t>Exclusivo</t>
  </si>
  <si>
    <t>Ninguno</t>
  </si>
  <si>
    <t>Parcial</t>
  </si>
  <si>
    <t>Predominante</t>
  </si>
  <si>
    <t>Prevalencia de anemia (%)</t>
  </si>
  <si>
    <t>Niños de 0 a 5 meses</t>
  </si>
  <si>
    <t>Niños de 0 a 59 meses</t>
  </si>
  <si>
    <t>Niños de 6 a 23 meses</t>
  </si>
  <si>
    <t>Materna (muertes por cada 1.000 nacimientos)</t>
  </si>
  <si>
    <t>Población</t>
  </si>
  <si>
    <t>Prevalencia de lactancia materna adecuada para la edad</t>
  </si>
  <si>
    <t>Riesgo</t>
  </si>
  <si>
    <t>Prevalencia del retraso del crecimiento (%)</t>
  </si>
  <si>
    <t>Menores de cinco años (muertes por cada 1.000 nacimientos)</t>
  </si>
  <si>
    <t>Prevalencia de emaciación (%)</t>
  </si>
  <si>
    <t>Mujeres en edad reproductiva</t>
  </si>
  <si>
    <t>Niño anémico (por año)</t>
  </si>
  <si>
    <t>Mujer embarazada anémica (por embarazo)</t>
  </si>
  <si>
    <t>Muerte del niño</t>
  </si>
  <si>
    <t>Niño que cumple 5 años con retraso en el crecimiento (a lo largo de su vida)</t>
  </si>
  <si>
    <t>Episodio de emaciación infantil</t>
  </si>
  <si>
    <t>Costo</t>
  </si>
  <si>
    <t>Muerte materna</t>
  </si>
  <si>
    <t>Tipo</t>
  </si>
  <si>
    <t>Todo</t>
  </si>
  <si>
    <t>Comunidad</t>
  </si>
  <si>
    <t>Centro de salud</t>
  </si>
  <si>
    <t>IYCF 1-alimentación del lactante y del niño pequeño</t>
  </si>
  <si>
    <t>IYCF 2-alimentación del lactante y del niño pequeño</t>
  </si>
  <si>
    <t>IYCF 3-alimentación del lactante y del niño pequeño</t>
  </si>
  <si>
    <t>Paquete alimentación del lactante y del niño pequeño (IYCF)</t>
  </si>
  <si>
    <t>Medios de comunicación masivos</t>
  </si>
  <si>
    <t>Población objetivo</t>
  </si>
  <si>
    <t>Añadir extensión</t>
  </si>
  <si>
    <t>Basado en la comunidad</t>
  </si>
  <si>
    <t>Por defecto</t>
  </si>
  <si>
    <t>Método de entrega</t>
  </si>
  <si>
    <t>Extensión</t>
  </si>
  <si>
    <t>Manejo de la Malnutrición Aguda Moderada (MAM)</t>
  </si>
  <si>
    <t>Programa</t>
  </si>
  <si>
    <t>Tratamiento de la MAS</t>
  </si>
  <si>
    <t>Suplemento energético-proteico equilibrado</t>
  </si>
  <si>
    <t>Suplemento con calcio</t>
  </si>
  <si>
    <t>Transferencias de efectivo</t>
  </si>
  <si>
    <t>Relación costo-cobertura</t>
  </si>
  <si>
    <t>Retraso en el pinzamiento del cordón umbilical</t>
  </si>
  <si>
    <t>Planificación familiar</t>
  </si>
  <si>
    <t>Enriquecimiento del maíz con hierro y ácido fólico</t>
  </si>
  <si>
    <t>Enriquecimiento del arroz con hierro y ácido fólico</t>
  </si>
  <si>
    <t>Enriquecimiento de la harina de trigo con hierro y ácido fólico</t>
  </si>
  <si>
    <t>Suplementación con hierro y ácido fólico (comunidad)</t>
  </si>
  <si>
    <t>Suplementación con hierro y ácido fólico (centro de salud)</t>
  </si>
  <si>
    <t>Suplementación con hierro y ácido fólico (minorista)</t>
  </si>
  <si>
    <t>Suplementación con hierro y ácido fólico (escuela)</t>
  </si>
  <si>
    <t>Suplementación con hierro y ácido fólico para mujeres embarazadas (comunidad)</t>
  </si>
  <si>
    <t>Suplementación con hierro y ácido fólico para mujeres embarazadas (centro de salud)</t>
  </si>
  <si>
    <t>IPTp-Tratamiento preventivo intermitente de la malaria en el embarazo</t>
  </si>
  <si>
    <t>Fortificación de la sal con hierro y yodo</t>
  </si>
  <si>
    <t>Método de la madre canguro</t>
  </si>
  <si>
    <t>Lineal (costo marginal constante) [por defecto]</t>
  </si>
  <si>
    <t>Suplementos nutricionales a base de lípidos</t>
  </si>
  <si>
    <t>Mosquiteros tratados con insecticida de larga duración</t>
  </si>
  <si>
    <t>Disminución máxima anual</t>
  </si>
  <si>
    <t>Aumento máximo anual</t>
  </si>
  <si>
    <t>Magnesio para la eclampsia</t>
  </si>
  <si>
    <t>Magnesio para la preeclampsia</t>
  </si>
  <si>
    <t>Micronutrientes en polvo</t>
  </si>
  <si>
    <t>Suplementación con micronutrientes múltiples</t>
  </si>
  <si>
    <t>Sales de rehidratación oral</t>
  </si>
  <si>
    <t>Suministro público de alimentos complementarios</t>
  </si>
  <si>
    <t>Cobertura de saturación de la población objetivo</t>
  </si>
  <si>
    <t>Costo unitario (US$)</t>
  </si>
  <si>
    <t>Suplementación con vitamina A</t>
  </si>
  <si>
    <t>WASH: Lavado de manos</t>
  </si>
  <si>
    <t>WASH: Eliminación higiénica de residuos</t>
  </si>
  <si>
    <t>WASH: Mejora del saneamiento</t>
  </si>
  <si>
    <t>WASH: Mejora de la fuente de agua</t>
  </si>
  <si>
    <t>WASH: Agua corriente o entubada</t>
  </si>
  <si>
    <t>Zinc para el tratamiento + SRO</t>
  </si>
  <si>
    <t>Suplementación con zinc</t>
  </si>
  <si>
    <t>Suplementos nutricionales a base de lípidos en pequeñas cantidades</t>
  </si>
  <si>
    <t>Exclusión de intervención dependiente</t>
  </si>
  <si>
    <t>Dependencia de otra intervención</t>
  </si>
  <si>
    <t>MAS</t>
  </si>
  <si>
    <t>Condición</t>
  </si>
  <si>
    <t>Amplio grupo de población</t>
  </si>
  <si>
    <t>Población general</t>
  </si>
  <si>
    <t>Mujeres en edad reproductiva no embarazadas</t>
  </si>
  <si>
    <t>Curva con costo marginal decreciente</t>
  </si>
  <si>
    <t>Curva con costo marginal creciente</t>
  </si>
  <si>
    <t>En forma de S (costo marginal decreciente y luego creciente)</t>
  </si>
  <si>
    <t>Preservativo/condón</t>
  </si>
  <si>
    <t>Efectividad</t>
  </si>
  <si>
    <t>Esterilización femenina</t>
  </si>
  <si>
    <t>Planificación Familiar Natural</t>
  </si>
  <si>
    <t>Dispositivo Intrauterino (DIU)</t>
  </si>
  <si>
    <t>Implante</t>
  </si>
  <si>
    <t>Inyectable</t>
  </si>
  <si>
    <t>Esterilización masculina</t>
  </si>
  <si>
    <t>Método</t>
  </si>
  <si>
    <t>Cápsula/píldora</t>
  </si>
  <si>
    <t>Costo proporcional</t>
  </si>
  <si>
    <t>Retiro</t>
  </si>
  <si>
    <t>Distribución</t>
  </si>
  <si>
    <t>Número de nacimiento</t>
  </si>
  <si>
    <t>Desenlaces del nacimiento</t>
  </si>
  <si>
    <t>Baja talla o retraso en el crecimiento</t>
  </si>
  <si>
    <t>Prevención de la emaciación</t>
  </si>
  <si>
    <t>Tratamiento de la emaciación</t>
  </si>
  <si>
    <t>Rango de edades</t>
  </si>
  <si>
    <t>Comportamiento</t>
  </si>
  <si>
    <t>Límites inferiores</t>
  </si>
  <si>
    <t>Razón de momios para lactancia materna adecuada</t>
  </si>
  <si>
    <t>Razón de momios para lactancia materna adecuada- inferior</t>
  </si>
  <si>
    <t>Razón de momios para lactancia materna adecuada - superior</t>
  </si>
  <si>
    <t>Razón de momios para alimentación complementaria correcta</t>
  </si>
  <si>
    <t>Razón de momios para alimentación complementaria correcta - inferior</t>
  </si>
  <si>
    <t>Razón de momios para alimentación complementaria correcta - superior</t>
  </si>
  <si>
    <t>Razón de momios para baja talla o retraso en el crecimiento</t>
  </si>
  <si>
    <t>Razón de momios para baja talla - inferior</t>
  </si>
  <si>
    <t>Razón de momios para baja talla - superior</t>
  </si>
  <si>
    <t>Límites superiores</t>
  </si>
  <si>
    <t>MAM (puntuación WHZ entre -3 y -2)-inferior</t>
  </si>
  <si>
    <t>MAM (puntuación WHZ entre -3 y -2)-superior</t>
  </si>
  <si>
    <t>Factores de riesgo materno que conducen a los resultados del nacimiento</t>
  </si>
  <si>
    <t>Razón de momios para las condiciones</t>
  </si>
  <si>
    <t>Razón de momios para las condiciones - inferior</t>
  </si>
  <si>
    <t>Razón de momios para las condiciones - superior</t>
  </si>
  <si>
    <t>Razón de momios para mujeres con anemia materna</t>
  </si>
  <si>
    <t>Razón de momios para mujeres con anemia materna-inferior</t>
  </si>
  <si>
    <t>Razón de momios para mujeres con anemia materna-superior</t>
  </si>
  <si>
    <t>Riesgo relativo según el espaciamiento de los nacimientos</t>
  </si>
  <si>
    <t>Riesgo relativo según el espaciamiento de los nacimientos-inferior</t>
  </si>
  <si>
    <t>Riesgo relativo según el espaciamiento de los nacimientos - superior</t>
  </si>
  <si>
    <t>Riesgos relativos de las causas de muerte neonatal</t>
  </si>
  <si>
    <t>Riesgos relativos de las causas de muerte neonatal - inferior</t>
  </si>
  <si>
    <t>Riesgos relativos de las causas de muerte neonatal - superior</t>
  </si>
  <si>
    <t>Riesgos para los niños que experimentan desenlaces al nacimiento</t>
  </si>
  <si>
    <t>MAS (score WHZ &lt; -3)-Inferior</t>
  </si>
  <si>
    <t>MAS (score WHZ &lt; -3)-superior</t>
  </si>
  <si>
    <t>Retraso en el crecimiento (score HAZ &lt; -2)</t>
  </si>
  <si>
    <t>Retraso en el crecimiento (score HAZ &lt; -2)-Inferior</t>
  </si>
  <si>
    <t>Retraso en el crecimiento (score HAZ &lt; -2)-superior</t>
  </si>
  <si>
    <t>Estado de anemia</t>
  </si>
  <si>
    <t>Anémico</t>
  </si>
  <si>
    <t>Situación de lactancia materna</t>
  </si>
  <si>
    <t>Causa de muerte</t>
  </si>
  <si>
    <t>Estado de HAZ (baja talla)</t>
  </si>
  <si>
    <t>Alto</t>
  </si>
  <si>
    <t>Leve</t>
  </si>
  <si>
    <t>Moderado</t>
  </si>
  <si>
    <t>No anémico</t>
  </si>
  <si>
    <t>Riesgo relativo de las causas de muerte según el estado de la anemia</t>
  </si>
  <si>
    <t>Riesgo relativo de las causas de muerte según el estado de la lactancia materna</t>
  </si>
  <si>
    <t>Riesgo relativo de las causas de muerte según la distribución de talla para la edad (retraso en el crecimiento)</t>
  </si>
  <si>
    <t>Riesgo relativo de las causas de muerte según la distribución del peso para la talla (emaciación)</t>
  </si>
  <si>
    <t>Riesgos relativos de sufrir diarrea según el estado de la lactancia materna</t>
  </si>
  <si>
    <t>Estado de la peso para la talla (WHZ)</t>
  </si>
  <si>
    <t>Emaciación</t>
  </si>
  <si>
    <t>Por programa</t>
  </si>
  <si>
    <t>Por programa - inferior</t>
  </si>
  <si>
    <t>Por programa - superior</t>
  </si>
  <si>
    <t>Diarrea (por episodio adicional)</t>
  </si>
  <si>
    <t>Diarrea (por episodio adicional) - inferior</t>
  </si>
  <si>
    <t>Diarrea (por episodio adicional) - superior</t>
  </si>
  <si>
    <t>Planificación familiar - más baja</t>
  </si>
  <si>
    <t>Planificación familiar - superior</t>
  </si>
  <si>
    <t>Para MAM por episodio adicional de diarrea</t>
  </si>
  <si>
    <t>Para MAM por episodio adicional de diarrea - inferior</t>
  </si>
  <si>
    <t>Para MAM por episodio adicional de diarrea - superior</t>
  </si>
  <si>
    <t>Para MAS por episodio adicional de diarrea</t>
  </si>
  <si>
    <t>Para MAS por episodio adicional de diarrea - inferior</t>
  </si>
  <si>
    <t>Para MAS por episodio adicional de diarrea - superior</t>
  </si>
  <si>
    <t>Para anemia por episodio adicional de diarrea grave</t>
  </si>
  <si>
    <t>Para anemia por episodio adicional de diarrea grave - inferior</t>
  </si>
  <si>
    <t>Para anemia por episodio adicional de diarrea grave - superior</t>
  </si>
  <si>
    <t>Dada la baja talla previa  (HAZ &lt; -2 en la banda de edad anterior)</t>
  </si>
  <si>
    <t>Dada a baja talla previa (HAZ &lt; -2 en la banda de edad anterior) - inferior</t>
  </si>
  <si>
    <t>Dada la baja talla previa (HAZ &lt; -2 en la banda de edad anterior) - superior</t>
  </si>
  <si>
    <t>Método madre canguro - inferior</t>
  </si>
  <si>
    <t>Método madre canguro - superior</t>
  </si>
  <si>
    <t>Suplementos nutricionales a base de lípidos: más bajos</t>
  </si>
  <si>
    <t>Suplementos nutricionales a base de lípidos - superior</t>
  </si>
  <si>
    <t>Razón de momios de lactancia materna adecuada por programa</t>
  </si>
  <si>
    <t>Razón de momios de lactancia materna adecuada por programa - inferior</t>
  </si>
  <si>
    <t>Razón de momios de lactancia materna adecuada por programa - superior</t>
  </si>
  <si>
    <t>Razón de momios para el espaciamiento óptimo de los nacimientos por programa</t>
  </si>
  <si>
    <t>Razón de momios para el espaciamiento óptimo de los nacimientos por programa - inferior</t>
  </si>
  <si>
    <t>Razón de momios para el espaciamiento óptimo de los nacimientos por programa - superior</t>
  </si>
  <si>
    <t>Razón de momios de baja talla o retraso en el crecimiento</t>
  </si>
  <si>
    <t>Otras razones de momios</t>
  </si>
  <si>
    <t>Suministro público de alimentos complementarios - inferior</t>
  </si>
  <si>
    <t>Suministro público de alimentos complementarios - superior</t>
  </si>
  <si>
    <t>Suplementación con zinc - inferior</t>
  </si>
  <si>
    <t>Suplementación con zinc- superior</t>
  </si>
  <si>
    <t>Suplementos nutricionales a base de lípidos en pequeñas cantidades: lower</t>
  </si>
  <si>
    <t>Suplementos nutricionales a base de lípidos en pequeñas cantidades - superior</t>
  </si>
  <si>
    <t>fracción afectada</t>
  </si>
  <si>
    <t>efectividad</t>
  </si>
  <si>
    <t>Razón de momios de ser anémico cuando está cubierto por la intervención</t>
  </si>
  <si>
    <t>Razón de momios de ser anémico cuando está cubierto por la intervención-menor</t>
  </si>
  <si>
    <t>Razón de momios de ser anémico cuando está cubierto por la intervención - superior</t>
  </si>
  <si>
    <t>Riesgos relativos de anemia cuando está cubierto por la intervención</t>
  </si>
  <si>
    <t>Riesgos relativos de anemia cuando está cubierto por la intervención - inferior</t>
  </si>
  <si>
    <t>Riesgos relativos de anemia cuando está cubierto por la intervención - superior</t>
  </si>
  <si>
    <t>Límite inferior</t>
  </si>
  <si>
    <t>Razón de momios de MAM cuando está cubierto por el programa</t>
  </si>
  <si>
    <t>Razón de momios de MAM cuando está cubierto por el programa - inferior</t>
  </si>
  <si>
    <t>Razón de momios de MAM cuando está cubierto por el programaa - superior</t>
  </si>
  <si>
    <t>Razón de momios de MAS cuando está cubierto por el programa</t>
  </si>
  <si>
    <t>Razón de momios de MAS cuando está cubierto por el programa - inferior</t>
  </si>
  <si>
    <t>Razón de momios de MAS cuando está cubierto por el programa - superior</t>
  </si>
  <si>
    <t>Límite superior</t>
  </si>
  <si>
    <t>Fracción afectada</t>
  </si>
  <si>
    <t>Efectividad en incidencia</t>
  </si>
  <si>
    <t>Efectividad en mortalidad</t>
  </si>
  <si>
    <t>Condición objetivo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</si>
</sst>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</numFmts>
  <fonts count="19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</cellStyleXfs>
  <cellXfs count="10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6">
    <cellStyle name="Comma 2" xfId="5" xr:uid="{00000000-0005-0000-0000-000007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5000000}"/>
    <cellStyle name="Normal 3" xfId="4" xr:uid="{00000000-0005-0000-0000-000006000000}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600"/>
  </sheetPr>
  <dimension ref="A1:E63"/>
  <sheetViews>
    <sheetView tabSelected="1" topLeftCell="A38" zoomScaleNormal="100" workbookViewId="0">
      <selection activeCell="C11" sqref="C11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3" width="14.453125" style="8" customWidth="1"/>
    <col min="4" max="16384" width="14.453125" style="8"/>
  </cols>
  <sheetData>
    <row r="1" spans="1:3" ht="15.9" customHeight="1" x14ac:dyDescent="0.3">
      <c r="A1" s="1" t="s">
        <v>19</v>
      </c>
      <c r="B1" s="29" t="s">
        <v>0</v>
      </c>
      <c r="C1" s="29" t="s">
        <v>24</v>
      </c>
    </row>
    <row r="2" spans="1:3" ht="15.9" customHeight="1" x14ac:dyDescent="0.3">
      <c r="A2" s="8" t="s">
        <v>55</v>
      </c>
      <c r="B2" s="29"/>
      <c r="C2" s="29"/>
    </row>
    <row r="3" spans="1:3" ht="15.9" customHeight="1" x14ac:dyDescent="0.3">
      <c r="A3" s="1"/>
      <c r="B3" s="5" t="s">
        <v>18</v>
      </c>
      <c r="C3" s="41">
        <v>2024</v>
      </c>
    </row>
    <row r="4" spans="1:3" ht="15.9" customHeight="1" x14ac:dyDescent="0.3">
      <c r="A4" s="1"/>
      <c r="B4" s="5" t="s">
        <v>26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50</v>
      </c>
    </row>
    <row r="7" spans="1:3" ht="15" customHeight="1" x14ac:dyDescent="0.25">
      <c r="B7" s="11" t="s">
        <v>23</v>
      </c>
      <c r="C7" s="43">
        <v>1006424.609375</v>
      </c>
    </row>
    <row r="8" spans="1:3" ht="15" customHeight="1" x14ac:dyDescent="0.25">
      <c r="B8" s="5" t="s">
        <v>44</v>
      </c>
      <c r="C8" s="44">
        <v>3.5000000000000003E-2</v>
      </c>
    </row>
    <row r="9" spans="1:3" ht="15" customHeight="1" x14ac:dyDescent="0.25">
      <c r="B9" s="5" t="s">
        <v>43</v>
      </c>
      <c r="C9" s="45">
        <v>0.01</v>
      </c>
    </row>
    <row r="10" spans="1:3" ht="15" customHeight="1" x14ac:dyDescent="0.25">
      <c r="B10" s="5" t="s">
        <v>56</v>
      </c>
      <c r="C10" s="45">
        <v>0.80865753173828092</v>
      </c>
    </row>
    <row r="11" spans="1:3" ht="15" customHeight="1" x14ac:dyDescent="0.25">
      <c r="B11" s="5" t="s">
        <v>49</v>
      </c>
      <c r="C11" s="45">
        <v>1</v>
      </c>
    </row>
    <row r="12" spans="1:3" ht="15" customHeight="1" x14ac:dyDescent="0.25">
      <c r="B12" s="5" t="s">
        <v>41</v>
      </c>
      <c r="C12" s="45">
        <v>1</v>
      </c>
    </row>
    <row r="13" spans="1:3" ht="15" customHeight="1" x14ac:dyDescent="0.25">
      <c r="B13" s="5" t="s">
        <v>62</v>
      </c>
      <c r="C13" s="45">
        <v>0.249</v>
      </c>
    </row>
    <row r="14" spans="1:3" ht="15" customHeight="1" x14ac:dyDescent="0.25">
      <c r="B14" s="8"/>
    </row>
    <row r="15" spans="1:3" ht="15" customHeight="1" x14ac:dyDescent="0.3">
      <c r="A15" s="8" t="s">
        <v>28</v>
      </c>
      <c r="B15" s="14"/>
      <c r="C15" s="3"/>
    </row>
    <row r="16" spans="1:3" ht="15" customHeight="1" x14ac:dyDescent="0.25">
      <c r="B16" s="5" t="s">
        <v>33</v>
      </c>
      <c r="C16" s="45">
        <v>0.1</v>
      </c>
    </row>
    <row r="17" spans="1:3" ht="15" customHeight="1" x14ac:dyDescent="0.25">
      <c r="B17" s="5" t="s">
        <v>30</v>
      </c>
      <c r="C17" s="45">
        <v>0.01</v>
      </c>
    </row>
    <row r="18" spans="1:3" ht="15" customHeight="1" x14ac:dyDescent="0.25">
      <c r="B18" s="5" t="s">
        <v>31</v>
      </c>
      <c r="C18" s="45">
        <v>0.98</v>
      </c>
    </row>
    <row r="19" spans="1:3" ht="15" customHeight="1" x14ac:dyDescent="0.25">
      <c r="B19" s="5" t="s">
        <v>29</v>
      </c>
      <c r="C19" s="45">
        <v>0.01</v>
      </c>
    </row>
    <row r="20" spans="1:3" ht="15" customHeight="1" x14ac:dyDescent="0.25">
      <c r="B20" s="5" t="s">
        <v>34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12</v>
      </c>
    </row>
    <row r="23" spans="1:3" ht="15" customHeight="1" x14ac:dyDescent="0.25">
      <c r="B23" s="15" t="s">
        <v>45</v>
      </c>
      <c r="C23" s="45">
        <v>0.1108</v>
      </c>
    </row>
    <row r="24" spans="1:3" ht="15" customHeight="1" x14ac:dyDescent="0.25">
      <c r="B24" s="15" t="s">
        <v>46</v>
      </c>
      <c r="C24" s="45">
        <v>0.51619999999999999</v>
      </c>
    </row>
    <row r="25" spans="1:3" ht="15" customHeight="1" x14ac:dyDescent="0.25">
      <c r="B25" s="15" t="s">
        <v>47</v>
      </c>
      <c r="C25" s="45">
        <v>0.3543</v>
      </c>
    </row>
    <row r="26" spans="1:3" ht="15" customHeight="1" x14ac:dyDescent="0.25">
      <c r="B26" s="15" t="s">
        <v>48</v>
      </c>
      <c r="C26" s="45">
        <v>1.8700000000000001E-2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22</v>
      </c>
      <c r="B28" s="15"/>
      <c r="C28" s="15"/>
    </row>
    <row r="29" spans="1:3" ht="14.25" customHeight="1" x14ac:dyDescent="0.25">
      <c r="B29" s="25" t="s">
        <v>27</v>
      </c>
      <c r="C29" s="45">
        <v>0.57290349526853401</v>
      </c>
    </row>
    <row r="30" spans="1:3" ht="14.25" customHeight="1" x14ac:dyDescent="0.25">
      <c r="B30" s="25" t="s">
        <v>63</v>
      </c>
      <c r="C30" s="99">
        <v>2.97816918362898E-2</v>
      </c>
    </row>
    <row r="31" spans="1:3" ht="14.25" customHeight="1" x14ac:dyDescent="0.25">
      <c r="B31" s="25" t="s">
        <v>10</v>
      </c>
      <c r="C31" s="99">
        <v>2.5306962187057899E-2</v>
      </c>
    </row>
    <row r="32" spans="1:3" ht="14.25" customHeight="1" x14ac:dyDescent="0.25">
      <c r="B32" s="25" t="s">
        <v>11</v>
      </c>
      <c r="C32" s="99">
        <v>0.37200785070811798</v>
      </c>
    </row>
    <row r="33" spans="1:5" ht="13" customHeight="1" x14ac:dyDescent="0.25">
      <c r="B33" s="27" t="s">
        <v>60</v>
      </c>
      <c r="C33" s="48">
        <f>SUM(C29:C32)</f>
        <v>0.99999999999999956</v>
      </c>
    </row>
    <row r="34" spans="1:5" ht="15" customHeight="1" x14ac:dyDescent="0.25"/>
    <row r="35" spans="1:5" ht="15" customHeight="1" x14ac:dyDescent="0.3">
      <c r="A35" s="4" t="s">
        <v>20</v>
      </c>
    </row>
    <row r="36" spans="1:5" ht="15" customHeight="1" x14ac:dyDescent="0.25">
      <c r="A36" s="8" t="s">
        <v>37</v>
      </c>
      <c r="B36" s="5"/>
    </row>
    <row r="37" spans="1:5" ht="15" customHeight="1" x14ac:dyDescent="0.25">
      <c r="B37" s="11" t="s">
        <v>38</v>
      </c>
      <c r="C37" s="43">
        <v>3.23326</v>
      </c>
    </row>
    <row r="38" spans="1:5" ht="15" customHeight="1" x14ac:dyDescent="0.25">
      <c r="B38" s="11" t="s">
        <v>35</v>
      </c>
      <c r="C38" s="43">
        <v>5.2582199999999997</v>
      </c>
      <c r="D38" s="12"/>
      <c r="E38" s="13"/>
    </row>
    <row r="39" spans="1:5" ht="15" customHeight="1" x14ac:dyDescent="0.25">
      <c r="B39" s="11" t="s">
        <v>61</v>
      </c>
      <c r="C39" s="43">
        <v>6.4268799999999997</v>
      </c>
      <c r="D39" s="12"/>
      <c r="E39" s="12"/>
    </row>
    <row r="40" spans="1:5" ht="15" customHeight="1" x14ac:dyDescent="0.25">
      <c r="B40" s="11" t="s">
        <v>36</v>
      </c>
      <c r="C40" s="100">
        <v>0.1</v>
      </c>
    </row>
    <row r="41" spans="1:5" ht="15" customHeight="1" x14ac:dyDescent="0.25">
      <c r="B41" s="11" t="s">
        <v>32</v>
      </c>
      <c r="C41" s="45">
        <v>0.12</v>
      </c>
    </row>
    <row r="42" spans="1:5" ht="15" customHeight="1" x14ac:dyDescent="0.25">
      <c r="B42" s="11" t="s">
        <v>57</v>
      </c>
      <c r="C42" s="43">
        <v>3.3947500000000002</v>
      </c>
    </row>
    <row r="43" spans="1:5" ht="15.75" customHeight="1" x14ac:dyDescent="0.25">
      <c r="D43" s="12"/>
    </row>
    <row r="44" spans="1:5" ht="15.75" customHeight="1" x14ac:dyDescent="0.25">
      <c r="A44" s="8" t="s">
        <v>21</v>
      </c>
      <c r="D44" s="12"/>
    </row>
    <row r="45" spans="1:5" ht="15.75" customHeight="1" x14ac:dyDescent="0.25">
      <c r="B45" s="11" t="s">
        <v>52</v>
      </c>
      <c r="C45" s="45">
        <v>7.1955999999999999E-3</v>
      </c>
      <c r="D45" s="12"/>
    </row>
    <row r="46" spans="1:5" ht="15.75" customHeight="1" x14ac:dyDescent="0.25">
      <c r="B46" s="11" t="s">
        <v>51</v>
      </c>
      <c r="C46" s="45">
        <v>7.7315800000000004E-2</v>
      </c>
      <c r="D46" s="12"/>
    </row>
    <row r="47" spans="1:5" ht="15.75" customHeight="1" x14ac:dyDescent="0.25">
      <c r="B47" s="11" t="s">
        <v>59</v>
      </c>
      <c r="C47" s="45">
        <v>7.4158099999999991E-2</v>
      </c>
      <c r="D47" s="12"/>
      <c r="E47" s="13"/>
    </row>
    <row r="48" spans="1:5" ht="15" customHeight="1" x14ac:dyDescent="0.25">
      <c r="B48" s="11" t="s">
        <v>58</v>
      </c>
      <c r="C48" s="46">
        <v>0.84133049999999998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25</v>
      </c>
      <c r="D50" s="12"/>
    </row>
    <row r="51" spans="1:4" ht="15.75" customHeight="1" x14ac:dyDescent="0.25">
      <c r="B51" s="11" t="s">
        <v>17</v>
      </c>
      <c r="C51" s="100">
        <v>2.8</v>
      </c>
      <c r="D51" s="12"/>
    </row>
    <row r="52" spans="1:4" ht="15" customHeight="1" x14ac:dyDescent="0.25">
      <c r="B52" s="11" t="s">
        <v>13</v>
      </c>
      <c r="C52" s="100">
        <v>2.8</v>
      </c>
    </row>
    <row r="53" spans="1:4" ht="15.75" customHeight="1" x14ac:dyDescent="0.25">
      <c r="B53" s="11" t="s">
        <v>16</v>
      </c>
      <c r="C53" s="100">
        <v>2.8</v>
      </c>
    </row>
    <row r="54" spans="1:4" ht="15.75" customHeight="1" x14ac:dyDescent="0.25">
      <c r="B54" s="11" t="s">
        <v>14</v>
      </c>
      <c r="C54" s="100">
        <v>2.8</v>
      </c>
    </row>
    <row r="55" spans="1:4" ht="15.75" customHeight="1" x14ac:dyDescent="0.25">
      <c r="B55" s="11" t="s">
        <v>15</v>
      </c>
      <c r="C55" s="100">
        <v>2.8</v>
      </c>
    </row>
    <row r="57" spans="1:4" ht="15.75" customHeight="1" x14ac:dyDescent="0.25">
      <c r="A57" s="8" t="s">
        <v>39</v>
      </c>
    </row>
    <row r="58" spans="1:4" ht="15.75" customHeight="1" x14ac:dyDescent="0.25">
      <c r="B58" s="5" t="s">
        <v>42</v>
      </c>
      <c r="C58" s="45">
        <v>1.6428571428571431E-2</v>
      </c>
    </row>
    <row r="59" spans="1:4" ht="15.75" customHeight="1" x14ac:dyDescent="0.25">
      <c r="B59" s="11" t="s">
        <v>40</v>
      </c>
      <c r="C59" s="45">
        <v>0.62845099999999998</v>
      </c>
    </row>
    <row r="60" spans="1:4" ht="15.75" customHeight="1" x14ac:dyDescent="0.25">
      <c r="B60" s="11" t="s">
        <v>54</v>
      </c>
      <c r="C60" s="45">
        <v>4.5999999999999999E-2</v>
      </c>
    </row>
    <row r="61" spans="1:4" ht="15.75" customHeight="1" x14ac:dyDescent="0.25">
      <c r="B61" s="11" t="s">
        <v>53</v>
      </c>
      <c r="C61" s="45">
        <v>1.4E-2</v>
      </c>
    </row>
    <row r="62" spans="1:4" ht="15.75" customHeight="1" x14ac:dyDescent="0.25">
      <c r="B62" s="11" t="s">
        <v>64</v>
      </c>
      <c r="C62" s="44">
        <v>8.1845530999999999E-2</v>
      </c>
    </row>
    <row r="63" spans="1:4" ht="15.75" customHeight="1" x14ac:dyDescent="0.3">
      <c r="A63" s="4"/>
    </row>
  </sheetData>
  <sheetProtection algorithmName="SHA-512" hashValue="2fFVBJoW7CNB3wvrUnaVEx3IpAL+d6Bk2Ts4dfOErLHu4JnRWtDFLRnYR6FeuAp7Swp5SZB6IUIwD0GQAeQ/xA==" saltValue="JuObnWv7YWMoZzyCktvtA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600"/>
  </sheetPr>
  <dimension ref="A1:I40"/>
  <sheetViews>
    <sheetView zoomScale="85" zoomScaleNormal="85" workbookViewId="0">
      <selection activeCell="B11" sqref="B11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0" width="14.453125" style="8" customWidth="1"/>
    <col min="11" max="16384" width="14.453125" style="8"/>
  </cols>
  <sheetData>
    <row r="1" spans="1:9" s="16" customFormat="1" ht="30" customHeight="1" x14ac:dyDescent="0.3">
      <c r="A1" s="26" t="s">
        <v>73</v>
      </c>
      <c r="B1" s="20" t="s">
        <v>66</v>
      </c>
      <c r="C1" s="18" t="s">
        <v>68</v>
      </c>
      <c r="D1" s="18" t="s">
        <v>69</v>
      </c>
      <c r="E1" s="18" t="s">
        <v>70</v>
      </c>
      <c r="F1" s="18" t="s">
        <v>71</v>
      </c>
      <c r="G1" s="18" t="s">
        <v>67</v>
      </c>
      <c r="H1" s="18" t="s">
        <v>65</v>
      </c>
      <c r="I1" s="18" t="s">
        <v>72</v>
      </c>
    </row>
    <row r="2" spans="1:9" ht="15.75" customHeight="1" x14ac:dyDescent="0.25">
      <c r="A2" s="5">
        <f>start_year</f>
        <v>2024</v>
      </c>
      <c r="B2" s="49">
        <v>204933</v>
      </c>
      <c r="C2" s="49">
        <v>640713.49999999988</v>
      </c>
      <c r="D2" s="49">
        <v>1102089.5</v>
      </c>
      <c r="E2" s="49">
        <v>1292810</v>
      </c>
      <c r="F2" s="49">
        <v>1321337.5</v>
      </c>
      <c r="G2" s="17">
        <f t="shared" ref="G2:G13" si="0">C2+D2+E2+F2</f>
        <v>4356950.5</v>
      </c>
      <c r="H2" s="17">
        <f t="shared" ref="H2:H13" si="1">(B2 + stillbirth*B2/(1000-stillbirth))/(1-abortion)</f>
        <v>233671.66597899125</v>
      </c>
      <c r="I2" s="17">
        <f t="shared" ref="I2:I13" si="2">G2-H2</f>
        <v>4123278.8340210086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197295</v>
      </c>
      <c r="C3" s="50">
        <v>623432.49999999988</v>
      </c>
      <c r="D3" s="50">
        <v>1067578.5</v>
      </c>
      <c r="E3" s="50">
        <v>1251822</v>
      </c>
      <c r="F3" s="50">
        <v>1283489.5</v>
      </c>
      <c r="G3" s="17">
        <f t="shared" si="0"/>
        <v>4226322.5</v>
      </c>
      <c r="H3" s="17">
        <f t="shared" si="1"/>
        <v>224962.5552708694</v>
      </c>
      <c r="I3" s="17">
        <f t="shared" si="2"/>
        <v>4001359.9447291307</v>
      </c>
    </row>
    <row r="4" spans="1:9" ht="15.75" customHeight="1" x14ac:dyDescent="0.25">
      <c r="A4" s="5">
        <f t="shared" si="3"/>
        <v>2026</v>
      </c>
      <c r="B4" s="49">
        <v>190844</v>
      </c>
      <c r="C4" s="50">
        <v>611135</v>
      </c>
      <c r="D4" s="50">
        <v>1048652.5</v>
      </c>
      <c r="E4" s="50">
        <v>1210208</v>
      </c>
      <c r="F4" s="50">
        <v>1256548.5</v>
      </c>
      <c r="G4" s="17">
        <f t="shared" si="0"/>
        <v>4126544</v>
      </c>
      <c r="H4" s="17">
        <f t="shared" si="1"/>
        <v>217606.90285163742</v>
      </c>
      <c r="I4" s="17">
        <f t="shared" si="2"/>
        <v>3908937.0971483625</v>
      </c>
    </row>
    <row r="5" spans="1:9" ht="15.75" customHeight="1" x14ac:dyDescent="0.25">
      <c r="A5" s="5">
        <f t="shared" si="3"/>
        <v>2027</v>
      </c>
      <c r="B5" s="49">
        <v>187613</v>
      </c>
      <c r="C5" s="50">
        <v>602522.5</v>
      </c>
      <c r="D5" s="50">
        <v>1039168</v>
      </c>
      <c r="E5" s="50">
        <v>1169808</v>
      </c>
      <c r="F5" s="50">
        <v>1235750</v>
      </c>
      <c r="G5" s="17">
        <f t="shared" si="0"/>
        <v>4047248.5</v>
      </c>
      <c r="H5" s="17">
        <f t="shared" si="1"/>
        <v>213922.8053525615</v>
      </c>
      <c r="I5" s="17">
        <f t="shared" si="2"/>
        <v>3833325.6946474384</v>
      </c>
    </row>
    <row r="6" spans="1:9" ht="15.75" customHeight="1" x14ac:dyDescent="0.25">
      <c r="A6" s="5">
        <f t="shared" si="3"/>
        <v>2028</v>
      </c>
      <c r="B6" s="49">
        <v>184298</v>
      </c>
      <c r="C6" s="50">
        <v>595554.50000000012</v>
      </c>
      <c r="D6" s="50">
        <v>1032840.5</v>
      </c>
      <c r="E6" s="50">
        <v>1130373.5</v>
      </c>
      <c r="F6" s="50">
        <v>1220465</v>
      </c>
      <c r="G6" s="17">
        <f t="shared" si="0"/>
        <v>3979233.5</v>
      </c>
      <c r="H6" s="17">
        <f t="shared" si="1"/>
        <v>210142.92815991631</v>
      </c>
      <c r="I6" s="17">
        <f t="shared" si="2"/>
        <v>3769090.5718400837</v>
      </c>
    </row>
    <row r="7" spans="1:9" ht="15.75" customHeight="1" x14ac:dyDescent="0.25">
      <c r="A7" s="5">
        <f t="shared" si="3"/>
        <v>2029</v>
      </c>
      <c r="B7" s="49">
        <v>182377</v>
      </c>
      <c r="C7" s="50">
        <v>592098</v>
      </c>
      <c r="D7" s="50">
        <v>1027125.5</v>
      </c>
      <c r="E7" s="50">
        <v>1095903.5</v>
      </c>
      <c r="F7" s="50">
        <v>1211422.5</v>
      </c>
      <c r="G7" s="17">
        <f t="shared" si="0"/>
        <v>3926549.5</v>
      </c>
      <c r="H7" s="17">
        <f t="shared" si="1"/>
        <v>207952.53778674247</v>
      </c>
      <c r="I7" s="17">
        <f t="shared" si="2"/>
        <v>3718596.9622132573</v>
      </c>
    </row>
    <row r="8" spans="1:9" ht="15.75" customHeight="1" x14ac:dyDescent="0.25">
      <c r="A8" s="5">
        <f t="shared" si="3"/>
        <v>2030</v>
      </c>
      <c r="B8" s="49">
        <v>180178</v>
      </c>
      <c r="C8" s="50">
        <v>593099</v>
      </c>
      <c r="D8" s="50">
        <v>1020286</v>
      </c>
      <c r="E8" s="50">
        <v>1069616.5</v>
      </c>
      <c r="F8" s="50">
        <v>1203336.5</v>
      </c>
      <c r="G8" s="17">
        <f t="shared" si="0"/>
        <v>3886338</v>
      </c>
      <c r="H8" s="17">
        <f t="shared" si="1"/>
        <v>205445.16223723211</v>
      </c>
      <c r="I8" s="17">
        <f t="shared" si="2"/>
        <v>3680892.8377627679</v>
      </c>
    </row>
    <row r="9" spans="1:9" ht="15.75" customHeight="1" x14ac:dyDescent="0.25">
      <c r="A9" s="5">
        <f t="shared" si="3"/>
        <v>2031</v>
      </c>
      <c r="B9" s="49">
        <v>178611</v>
      </c>
      <c r="C9" s="50">
        <v>599560.99999999988</v>
      </c>
      <c r="D9" s="50">
        <v>1012831.5</v>
      </c>
      <c r="E9" s="50">
        <v>1055769</v>
      </c>
      <c r="F9" s="50">
        <v>1192579.5</v>
      </c>
      <c r="G9" s="17">
        <f t="shared" si="0"/>
        <v>3860741</v>
      </c>
      <c r="H9" s="17">
        <f t="shared" si="1"/>
        <v>203658.41485838595</v>
      </c>
      <c r="I9" s="17">
        <f t="shared" si="2"/>
        <v>3657082.5851416141</v>
      </c>
    </row>
    <row r="10" spans="1:9" ht="15.75" customHeight="1" x14ac:dyDescent="0.25">
      <c r="A10" s="5">
        <f t="shared" si="3"/>
        <v>2032</v>
      </c>
      <c r="B10" s="49">
        <v>176794</v>
      </c>
      <c r="C10" s="50">
        <v>606264.99999999988</v>
      </c>
      <c r="D10" s="50">
        <v>1007363</v>
      </c>
      <c r="E10" s="50">
        <v>1048218.5</v>
      </c>
      <c r="F10" s="50">
        <v>1176620.5</v>
      </c>
      <c r="G10" s="17">
        <f t="shared" si="0"/>
        <v>3838467</v>
      </c>
      <c r="H10" s="17">
        <f t="shared" si="1"/>
        <v>201586.60886772646</v>
      </c>
      <c r="I10" s="17">
        <f t="shared" si="2"/>
        <v>3636880.3911322737</v>
      </c>
    </row>
    <row r="11" spans="1:9" ht="15.75" customHeight="1" x14ac:dyDescent="0.25">
      <c r="A11" s="5">
        <f t="shared" si="3"/>
        <v>2033</v>
      </c>
      <c r="B11" s="49">
        <v>175764</v>
      </c>
      <c r="C11" s="50">
        <v>611823.00000000012</v>
      </c>
      <c r="D11" s="50">
        <v>1001003.5</v>
      </c>
      <c r="E11" s="50">
        <v>1041661</v>
      </c>
      <c r="F11" s="50">
        <v>1161220.5</v>
      </c>
      <c r="G11" s="17">
        <f t="shared" si="0"/>
        <v>3815708</v>
      </c>
      <c r="H11" s="17">
        <f t="shared" si="1"/>
        <v>200412.16738705538</v>
      </c>
      <c r="I11" s="17">
        <f t="shared" si="2"/>
        <v>3615295.8326129448</v>
      </c>
    </row>
    <row r="12" spans="1:9" ht="15.75" customHeight="1" x14ac:dyDescent="0.25">
      <c r="A12" s="5">
        <f t="shared" si="3"/>
        <v>2034</v>
      </c>
      <c r="B12" s="49">
        <v>174864</v>
      </c>
      <c r="C12" s="50">
        <v>614792</v>
      </c>
      <c r="D12" s="50">
        <v>995052.5</v>
      </c>
      <c r="E12" s="50">
        <v>1034641</v>
      </c>
      <c r="F12" s="50">
        <v>1144051</v>
      </c>
      <c r="G12" s="17">
        <f t="shared" si="0"/>
        <v>3788536.5</v>
      </c>
      <c r="H12" s="17">
        <f t="shared" si="1"/>
        <v>199385.95638452729</v>
      </c>
      <c r="I12" s="17">
        <f t="shared" si="2"/>
        <v>3589150.5436154725</v>
      </c>
    </row>
    <row r="13" spans="1:9" ht="15.75" customHeight="1" x14ac:dyDescent="0.25">
      <c r="A13" s="5">
        <f t="shared" si="3"/>
        <v>2035</v>
      </c>
      <c r="B13" s="49">
        <v>173852</v>
      </c>
      <c r="C13" s="50">
        <v>612369</v>
      </c>
      <c r="D13" s="50">
        <v>992159.5</v>
      </c>
      <c r="E13" s="50">
        <v>1028865.5</v>
      </c>
      <c r="F13" s="50">
        <v>1119012</v>
      </c>
      <c r="G13" s="17">
        <f t="shared" si="0"/>
        <v>3752406</v>
      </c>
      <c r="H13" s="17">
        <f t="shared" si="1"/>
        <v>198232.03912390678</v>
      </c>
      <c r="I13" s="17">
        <f t="shared" si="2"/>
        <v>3554173.9608760932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VONbGSriIYv/cT3X7UnCBfiwBj9SG+uDlnJxllEfmMoMOV9pc5KU7wzVsHrmUpCcbJbOSlFp46SYPJaeiemZHw==" saltValue="P5KCjg9fLjEpxHkS0jy41Q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600"/>
  </sheetPr>
  <dimension ref="A1:H35"/>
  <sheetViews>
    <sheetView topLeftCell="A2" zoomScale="115" zoomScaleNormal="115" workbookViewId="0">
      <selection activeCell="C11" sqref="C11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"Porcentaje de muertes en el año de referencia ("&amp;start_year&amp;") atribuible a la causa"</f>
        <v>Porcentaje de muertes en el año de referencia (2024) atribuible a la causa</v>
      </c>
      <c r="B1" s="29"/>
      <c r="C1" s="29"/>
      <c r="D1" s="29"/>
      <c r="E1" s="29"/>
      <c r="F1" s="29"/>
    </row>
    <row r="2" spans="1:8" ht="27.75" customHeight="1" x14ac:dyDescent="0.3">
      <c r="A2" t="s">
        <v>1</v>
      </c>
      <c r="B2" s="29" t="s">
        <v>82</v>
      </c>
      <c r="C2" s="29" t="s">
        <v>78</v>
      </c>
      <c r="D2" s="29"/>
      <c r="E2" s="29"/>
      <c r="F2" s="29"/>
      <c r="G2" s="29"/>
    </row>
    <row r="3" spans="1:8" ht="15.75" customHeight="1" x14ac:dyDescent="0.25">
      <c r="B3" s="19" t="s">
        <v>93</v>
      </c>
      <c r="C3" s="55">
        <v>0</v>
      </c>
    </row>
    <row r="4" spans="1:8" ht="15.75" customHeight="1" x14ac:dyDescent="0.25">
      <c r="B4" s="19" t="s">
        <v>97</v>
      </c>
      <c r="C4" s="101">
        <v>1.473933380059465E-2</v>
      </c>
    </row>
    <row r="5" spans="1:8" ht="15.75" customHeight="1" x14ac:dyDescent="0.25">
      <c r="B5" s="19" t="s">
        <v>95</v>
      </c>
      <c r="C5" s="101">
        <v>0.1139262471236227</v>
      </c>
    </row>
    <row r="6" spans="1:8" ht="15.75" customHeight="1" x14ac:dyDescent="0.25">
      <c r="B6" s="19" t="s">
        <v>91</v>
      </c>
      <c r="C6" s="101">
        <v>6.1869417267545551E-2</v>
      </c>
    </row>
    <row r="7" spans="1:8" ht="15.75" customHeight="1" x14ac:dyDescent="0.25">
      <c r="B7" s="19" t="s">
        <v>96</v>
      </c>
      <c r="C7" s="101">
        <v>0.49361216191564328</v>
      </c>
    </row>
    <row r="8" spans="1:8" ht="15.75" customHeight="1" x14ac:dyDescent="0.25">
      <c r="B8" s="19" t="s">
        <v>98</v>
      </c>
      <c r="C8" s="101">
        <v>0</v>
      </c>
    </row>
    <row r="9" spans="1:8" ht="15.75" customHeight="1" x14ac:dyDescent="0.25">
      <c r="B9" s="19" t="s">
        <v>92</v>
      </c>
      <c r="C9" s="101">
        <v>0.24966765639651889</v>
      </c>
    </row>
    <row r="10" spans="1:8" ht="15.75" customHeight="1" x14ac:dyDescent="0.25">
      <c r="B10" s="19" t="s">
        <v>94</v>
      </c>
      <c r="C10" s="101">
        <v>6.6185183496074773E-2</v>
      </c>
    </row>
    <row r="11" spans="1:8" ht="15.75" customHeight="1" x14ac:dyDescent="0.25">
      <c r="B11" s="27" t="s">
        <v>60</v>
      </c>
      <c r="C11" s="48">
        <f>SUM(C3:C10)</f>
        <v>0.99999999999999978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83</v>
      </c>
      <c r="B13" s="29" t="s">
        <v>82</v>
      </c>
      <c r="C13" s="102" t="s">
        <v>74</v>
      </c>
      <c r="D13" s="102" t="s">
        <v>77</v>
      </c>
      <c r="E13" s="102" t="s">
        <v>75</v>
      </c>
      <c r="F13" s="102" t="s">
        <v>76</v>
      </c>
      <c r="G13" s="19"/>
    </row>
    <row r="14" spans="1:8" ht="15.75" customHeight="1" x14ac:dyDescent="0.25">
      <c r="B14" s="19" t="s">
        <v>84</v>
      </c>
      <c r="C14" s="55">
        <v>1.002726655543297E-2</v>
      </c>
      <c r="D14" s="55">
        <v>1.002726655543297E-2</v>
      </c>
      <c r="E14" s="55">
        <v>1.002726655543297E-2</v>
      </c>
      <c r="F14" s="55">
        <v>1.002726655543297E-2</v>
      </c>
    </row>
    <row r="15" spans="1:8" ht="15.75" customHeight="1" x14ac:dyDescent="0.25">
      <c r="B15" s="19" t="s">
        <v>102</v>
      </c>
      <c r="C15" s="101">
        <v>0.63817097631812669</v>
      </c>
      <c r="D15" s="101">
        <v>0.63817097631812669</v>
      </c>
      <c r="E15" s="101">
        <v>0.63817097631812669</v>
      </c>
      <c r="F15" s="101">
        <v>0.63817097631812669</v>
      </c>
    </row>
    <row r="16" spans="1:8" ht="15.75" customHeight="1" x14ac:dyDescent="0.25">
      <c r="B16" s="19" t="s">
        <v>2</v>
      </c>
      <c r="C16" s="101">
        <v>2.5838335386642829E-2</v>
      </c>
      <c r="D16" s="101">
        <v>2.5838335386642829E-2</v>
      </c>
      <c r="E16" s="101">
        <v>2.5838335386642829E-2</v>
      </c>
      <c r="F16" s="101">
        <v>2.5838335386642829E-2</v>
      </c>
    </row>
    <row r="17" spans="1:8" ht="15.75" customHeight="1" x14ac:dyDescent="0.25">
      <c r="B17" s="19" t="s">
        <v>90</v>
      </c>
      <c r="C17" s="101">
        <v>1.1448182175881449E-2</v>
      </c>
      <c r="D17" s="101">
        <v>1.1448182175881449E-2</v>
      </c>
      <c r="E17" s="101">
        <v>1.1448182175881449E-2</v>
      </c>
      <c r="F17" s="101">
        <v>1.1448182175881449E-2</v>
      </c>
    </row>
    <row r="18" spans="1:8" ht="15.75" customHeight="1" x14ac:dyDescent="0.25">
      <c r="B18" s="19" t="s">
        <v>3</v>
      </c>
      <c r="C18" s="101">
        <v>0</v>
      </c>
      <c r="D18" s="101">
        <v>0</v>
      </c>
      <c r="E18" s="101">
        <v>0</v>
      </c>
      <c r="F18" s="101">
        <v>0</v>
      </c>
    </row>
    <row r="19" spans="1:8" ht="15.75" customHeight="1" x14ac:dyDescent="0.25">
      <c r="B19" s="19" t="s">
        <v>101</v>
      </c>
      <c r="C19" s="101">
        <v>0</v>
      </c>
      <c r="D19" s="101">
        <v>0</v>
      </c>
      <c r="E19" s="101">
        <v>0</v>
      </c>
      <c r="F19" s="101">
        <v>0</v>
      </c>
    </row>
    <row r="20" spans="1:8" ht="15.75" customHeight="1" x14ac:dyDescent="0.25">
      <c r="B20" s="19" t="s">
        <v>79</v>
      </c>
      <c r="C20" s="101">
        <v>6.7960231181810301E-3</v>
      </c>
      <c r="D20" s="101">
        <v>6.7960231181810301E-3</v>
      </c>
      <c r="E20" s="101">
        <v>6.7960231181810301E-3</v>
      </c>
      <c r="F20" s="101">
        <v>6.7960231181810301E-3</v>
      </c>
    </row>
    <row r="21" spans="1:8" ht="15.75" customHeight="1" x14ac:dyDescent="0.25">
      <c r="B21" s="19" t="s">
        <v>88</v>
      </c>
      <c r="C21" s="101">
        <v>0.23764161547031629</v>
      </c>
      <c r="D21" s="101">
        <v>0.23764161547031629</v>
      </c>
      <c r="E21" s="101">
        <v>0.23764161547031629</v>
      </c>
      <c r="F21" s="101">
        <v>0.23764161547031629</v>
      </c>
    </row>
    <row r="22" spans="1:8" ht="15.75" customHeight="1" x14ac:dyDescent="0.25">
      <c r="B22" s="19" t="s">
        <v>99</v>
      </c>
      <c r="C22" s="101">
        <v>7.0077600975418805E-2</v>
      </c>
      <c r="D22" s="101">
        <v>7.0077600975418805E-2</v>
      </c>
      <c r="E22" s="101">
        <v>7.0077600975418805E-2</v>
      </c>
      <c r="F22" s="101">
        <v>7.0077600975418805E-2</v>
      </c>
    </row>
    <row r="23" spans="1:8" ht="15.75" customHeight="1" x14ac:dyDescent="0.25">
      <c r="B23" s="27" t="s">
        <v>60</v>
      </c>
      <c r="C23" s="48">
        <f>SUM(C14:C22)</f>
        <v>1</v>
      </c>
      <c r="D23" s="48">
        <f>SUM(D14:D22)</f>
        <v>1</v>
      </c>
      <c r="E23" s="48">
        <f>SUM(E14:E22)</f>
        <v>1</v>
      </c>
      <c r="F23" s="48">
        <f>SUM(F14:F22)</f>
        <v>1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104</v>
      </c>
      <c r="B25" s="29" t="s">
        <v>82</v>
      </c>
      <c r="C25" s="29" t="s">
        <v>104</v>
      </c>
      <c r="D25" s="19"/>
      <c r="E25" s="19"/>
      <c r="F25" s="19"/>
      <c r="G25" s="19"/>
      <c r="H25" s="19"/>
    </row>
    <row r="26" spans="1:8" ht="15.75" customHeight="1" x14ac:dyDescent="0.25">
      <c r="B26" s="19" t="s">
        <v>81</v>
      </c>
      <c r="C26" s="55">
        <v>7.5198439000000006E-2</v>
      </c>
    </row>
    <row r="27" spans="1:8" ht="15.75" customHeight="1" x14ac:dyDescent="0.25">
      <c r="B27" s="19" t="s">
        <v>89</v>
      </c>
      <c r="C27" s="101">
        <v>5.6785192000000012E-2</v>
      </c>
    </row>
    <row r="28" spans="1:8" ht="15.75" customHeight="1" x14ac:dyDescent="0.25">
      <c r="B28" s="19" t="s">
        <v>103</v>
      </c>
      <c r="C28" s="101">
        <v>0.122549727</v>
      </c>
    </row>
    <row r="29" spans="1:8" ht="15.75" customHeight="1" x14ac:dyDescent="0.25">
      <c r="B29" s="19" t="s">
        <v>86</v>
      </c>
      <c r="C29" s="101">
        <v>8.6248906E-2</v>
      </c>
    </row>
    <row r="30" spans="1:8" ht="15.75" customHeight="1" x14ac:dyDescent="0.25">
      <c r="B30" s="19" t="s">
        <v>4</v>
      </c>
      <c r="C30" s="101">
        <v>6.4099332999999994E-2</v>
      </c>
    </row>
    <row r="31" spans="1:8" ht="15.75" customHeight="1" x14ac:dyDescent="0.25">
      <c r="B31" s="19" t="s">
        <v>80</v>
      </c>
      <c r="C31" s="101">
        <v>0.35120792499999998</v>
      </c>
    </row>
    <row r="32" spans="1:8" ht="15.75" customHeight="1" x14ac:dyDescent="0.25">
      <c r="B32" s="19" t="s">
        <v>85</v>
      </c>
      <c r="C32" s="101">
        <v>0.132871925</v>
      </c>
    </row>
    <row r="33" spans="2:3" ht="15.75" customHeight="1" x14ac:dyDescent="0.25">
      <c r="B33" s="19" t="s">
        <v>100</v>
      </c>
      <c r="C33" s="101">
        <v>4.9043437000000002E-2</v>
      </c>
    </row>
    <row r="34" spans="2:3" ht="15.75" customHeight="1" x14ac:dyDescent="0.25">
      <c r="B34" s="19" t="s">
        <v>87</v>
      </c>
      <c r="C34" s="101">
        <v>6.1995117000000002E-2</v>
      </c>
    </row>
    <row r="35" spans="2:3" ht="15.75" customHeight="1" x14ac:dyDescent="0.25">
      <c r="B35" s="27" t="s">
        <v>60</v>
      </c>
      <c r="C35" s="48">
        <f>SUM(C26:C34)</f>
        <v>1.0000000009999999</v>
      </c>
    </row>
  </sheetData>
  <sheetProtection algorithmName="SHA-512" hashValue="Frbxps4JvBlacMrmMDYnPceTRz60Des5b0Q7ulhAnaR+KkDTCshl5inban3GRLYfygM/6MMIfSmtIh5G8u3PXw==" saltValue="ywGYEOklMssu9fhQreXJPw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600"/>
  </sheetPr>
  <dimension ref="A1:O17"/>
  <sheetViews>
    <sheetView zoomScaleNormal="100" workbookViewId="0">
      <selection activeCell="F11" sqref="F11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"Porcentaje de población en cada categoría en el año de referencia ("&amp;start_year&amp;")"</f>
        <v>Porcentaje de población en cada categoría en el año de referencia (2024)</v>
      </c>
      <c r="B1" s="1" t="s">
        <v>120</v>
      </c>
      <c r="C1" s="11" t="s">
        <v>78</v>
      </c>
      <c r="D1" s="11" t="s">
        <v>74</v>
      </c>
      <c r="E1" s="11" t="s">
        <v>77</v>
      </c>
      <c r="F1" s="11" t="s">
        <v>75</v>
      </c>
      <c r="G1" s="11" t="s">
        <v>76</v>
      </c>
    </row>
    <row r="2" spans="1:15" ht="15.75" customHeight="1" x14ac:dyDescent="0.25">
      <c r="A2" s="3" t="s">
        <v>121</v>
      </c>
      <c r="B2" s="5" t="s">
        <v>111</v>
      </c>
      <c r="C2" s="52">
        <f>IFERROR(1-_xlfn.NORM.DIST(_xlfn.NORM.INV(SUM(C4:C5), 0, 1) + 1, 0, 1, TRUE), "")</f>
        <v>0.58297288271154679</v>
      </c>
      <c r="D2" s="52">
        <f>IFERROR(1-_xlfn.NORM.DIST(_xlfn.NORM.INV(SUM(D4:D5), 0, 1) + 1, 0, 1, TRUE), "")</f>
        <v>0.58297288271154679</v>
      </c>
      <c r="E2" s="52">
        <f>IFERROR(1-_xlfn.NORM.DIST(_xlfn.NORM.INV(SUM(E4:E5), 0, 1) + 1, 0, 1, TRUE), "")</f>
        <v>0.58156996680665163</v>
      </c>
      <c r="F2" s="52">
        <f>IFERROR(1-_xlfn.NORM.DIST(_xlfn.NORM.INV(SUM(F4:F5), 0, 1) + 1, 0, 1, TRUE), "")</f>
        <v>0.50195502496214828</v>
      </c>
      <c r="G2" s="52">
        <f>IFERROR(1-_xlfn.NORM.DIST(_xlfn.NORM.INV(SUM(G4:G5), 0, 1) + 1, 0, 1, TRUE), "")</f>
        <v>0.51614479216839237</v>
      </c>
    </row>
    <row r="3" spans="1:15" ht="15.75" customHeight="1" x14ac:dyDescent="0.25">
      <c r="B3" s="5" t="s">
        <v>108</v>
      </c>
      <c r="C3" s="52">
        <f>IFERROR(_xlfn.NORM.DIST(_xlfn.NORM.INV(SUM(C4:C5), 0, 1) + 1, 0, 1, TRUE) - SUM(C4:C5), "")</f>
        <v>0.30379262193961598</v>
      </c>
      <c r="D3" s="52">
        <f>IFERROR(_xlfn.NORM.DIST(_xlfn.NORM.INV(SUM(D4:D5), 0, 1) + 1, 0, 1, TRUE) - SUM(D4:D5), "")</f>
        <v>0.30379262193961598</v>
      </c>
      <c r="E3" s="52">
        <f>IFERROR(_xlfn.NORM.DIST(_xlfn.NORM.INV(SUM(E4:E5), 0, 1) + 1, 0, 1, TRUE) - SUM(E4:E5), "")</f>
        <v>0.30450421923985999</v>
      </c>
      <c r="F3" s="52">
        <f>IFERROR(_xlfn.NORM.DIST(_xlfn.NORM.INV(SUM(F4:F5), 0, 1) + 1, 0, 1, TRUE) - SUM(F4:F5), "")</f>
        <v>0.34057260294482855</v>
      </c>
      <c r="G3" s="52">
        <f>IFERROR(_xlfn.NORM.DIST(_xlfn.NORM.INV(SUM(G4:G5), 0, 1) + 1, 0, 1, TRUE) - SUM(G4:G5), "")</f>
        <v>0.33479674271532855</v>
      </c>
    </row>
    <row r="4" spans="1:15" ht="15.75" customHeight="1" x14ac:dyDescent="0.25">
      <c r="B4" s="5" t="s">
        <v>110</v>
      </c>
      <c r="C4" s="45">
        <v>6.7813423255813993E-2</v>
      </c>
      <c r="D4" s="53">
        <v>6.7813423255813993E-2</v>
      </c>
      <c r="E4" s="53">
        <v>5.9689727906976797E-2</v>
      </c>
      <c r="F4" s="53">
        <v>9.1590816279069689E-2</v>
      </c>
      <c r="G4" s="53">
        <v>9.4087655813953508E-2</v>
      </c>
    </row>
    <row r="5" spans="1:15" ht="15.75" customHeight="1" x14ac:dyDescent="0.25">
      <c r="B5" s="5" t="s">
        <v>106</v>
      </c>
      <c r="C5" s="45">
        <v>4.5421072093023297E-2</v>
      </c>
      <c r="D5" s="53">
        <v>4.5421072093023297E-2</v>
      </c>
      <c r="E5" s="53">
        <v>5.4236086046511603E-2</v>
      </c>
      <c r="F5" s="53">
        <v>6.5881555813953496E-2</v>
      </c>
      <c r="G5" s="53">
        <v>5.4970809302325598E-2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122</v>
      </c>
      <c r="B8" s="5" t="s">
        <v>112</v>
      </c>
      <c r="C8" s="52">
        <f>IFERROR(1-_xlfn.NORM.DIST(_xlfn.NORM.INV(SUM(C10:C11), 0, 1) + 1, 0, 1, TRUE), "")</f>
        <v>0.57723804055256789</v>
      </c>
      <c r="D8" s="52">
        <f>IFERROR(1-_xlfn.NORM.DIST(_xlfn.NORM.INV(SUM(D10:D11), 0, 1) + 1, 0, 1, TRUE), "")</f>
        <v>0.57723804055256789</v>
      </c>
      <c r="E8" s="52">
        <f>IFERROR(1-_xlfn.NORM.DIST(_xlfn.NORM.INV(SUM(E10:E11), 0, 1) + 1, 0, 1, TRUE), "")</f>
        <v>0.70781028816723035</v>
      </c>
      <c r="F8" s="52">
        <f>IFERROR(1-_xlfn.NORM.DIST(_xlfn.NORM.INV(SUM(F10:F11), 0, 1) + 1, 0, 1, TRUE), "")</f>
        <v>0.79165112833288565</v>
      </c>
      <c r="G8" s="52">
        <f>IFERROR(1-_xlfn.NORM.DIST(_xlfn.NORM.INV(SUM(G10:G11), 0, 1) + 1, 0, 1, TRUE), "")</f>
        <v>0.80972013337160054</v>
      </c>
    </row>
    <row r="9" spans="1:15" ht="15.75" customHeight="1" x14ac:dyDescent="0.25">
      <c r="B9" s="5" t="s">
        <v>109</v>
      </c>
      <c r="C9" s="52">
        <f>IFERROR(_xlfn.NORM.DIST(_xlfn.NORM.INV(SUM(C10:C11), 0, 1) + 1, 0, 1, TRUE) - SUM(C10:C11), "")</f>
        <v>0.30668575944743215</v>
      </c>
      <c r="D9" s="52">
        <f>IFERROR(_xlfn.NORM.DIST(_xlfn.NORM.INV(SUM(D10:D11), 0, 1) + 1, 0, 1, TRUE) - SUM(D10:D11), "")</f>
        <v>0.30668575944743215</v>
      </c>
      <c r="E9" s="52">
        <f>IFERROR(_xlfn.NORM.DIST(_xlfn.NORM.INV(SUM(E10:E11), 0, 1) + 1, 0, 1, TRUE) - SUM(E10:E11), "")</f>
        <v>0.23125796764672316</v>
      </c>
      <c r="F9" s="52">
        <f>IFERROR(_xlfn.NORM.DIST(_xlfn.NORM.INV(SUM(F10:F11), 0, 1) + 1, 0, 1, TRUE) - SUM(F10:F11), "")</f>
        <v>0.17336841352757945</v>
      </c>
      <c r="G9" s="52">
        <f>IFERROR(_xlfn.NORM.DIST(_xlfn.NORM.INV(SUM(G10:G11), 0, 1) + 1, 0, 1, TRUE) - SUM(G10:G11), "")</f>
        <v>0.16001159686095753</v>
      </c>
    </row>
    <row r="10" spans="1:15" ht="15.75" customHeight="1" x14ac:dyDescent="0.25">
      <c r="B10" s="5" t="s">
        <v>107</v>
      </c>
      <c r="C10" s="45">
        <v>6.98490372093023E-2</v>
      </c>
      <c r="D10" s="53">
        <v>6.98490372093023E-2</v>
      </c>
      <c r="E10" s="53">
        <v>4.0427406976744198E-2</v>
      </c>
      <c r="F10" s="53">
        <v>2.1331202325581399E-2</v>
      </c>
      <c r="G10" s="53">
        <v>1.7904416279069801E-2</v>
      </c>
    </row>
    <row r="11" spans="1:15" ht="15.75" customHeight="1" x14ac:dyDescent="0.25">
      <c r="B11" s="5" t="s">
        <v>119</v>
      </c>
      <c r="C11" s="45">
        <v>4.6227162790697697E-2</v>
      </c>
      <c r="D11" s="53">
        <v>4.6227162790697697E-2</v>
      </c>
      <c r="E11" s="53">
        <v>2.0504337209302299E-2</v>
      </c>
      <c r="F11" s="53">
        <v>1.3649255813953501E-2</v>
      </c>
      <c r="G11" s="53">
        <v>1.2363853488372101E-2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105</v>
      </c>
      <c r="C13" s="11" t="s">
        <v>78</v>
      </c>
      <c r="D13" s="11" t="s">
        <v>74</v>
      </c>
      <c r="E13" s="11" t="s">
        <v>77</v>
      </c>
      <c r="F13" s="11" t="s">
        <v>75</v>
      </c>
      <c r="G13" s="11" t="s">
        <v>76</v>
      </c>
      <c r="H13" s="18" t="s">
        <v>113</v>
      </c>
      <c r="I13" s="18" t="s">
        <v>114</v>
      </c>
      <c r="J13" s="18" t="s">
        <v>115</v>
      </c>
      <c r="K13" s="18" t="s">
        <v>116</v>
      </c>
      <c r="L13" s="18" t="s">
        <v>68</v>
      </c>
      <c r="M13" s="18" t="s">
        <v>69</v>
      </c>
      <c r="N13" s="18" t="s">
        <v>70</v>
      </c>
      <c r="O13" s="18" t="s">
        <v>71</v>
      </c>
    </row>
    <row r="14" spans="1:15" ht="15.75" customHeight="1" x14ac:dyDescent="0.25">
      <c r="B14" s="11" t="s">
        <v>117</v>
      </c>
      <c r="C14" s="51">
        <v>0.57073461624999999</v>
      </c>
      <c r="D14" s="54">
        <v>0.56424493110999996</v>
      </c>
      <c r="E14" s="54">
        <v>0.56424493110999996</v>
      </c>
      <c r="F14" s="54">
        <v>0.275576724198</v>
      </c>
      <c r="G14" s="54">
        <v>0.275576724198</v>
      </c>
      <c r="H14" s="45">
        <v>0.27400000000000002</v>
      </c>
      <c r="I14" s="55">
        <v>0.27400000000000002</v>
      </c>
      <c r="J14" s="55">
        <v>0.27400000000000002</v>
      </c>
      <c r="K14" s="55">
        <v>0.27400000000000002</v>
      </c>
      <c r="L14" s="45">
        <v>0.26700000000000002</v>
      </c>
      <c r="M14" s="55">
        <v>0.26700000000000002</v>
      </c>
      <c r="N14" s="55">
        <v>0.26700000000000002</v>
      </c>
      <c r="O14" s="55">
        <v>0.26700000000000002</v>
      </c>
    </row>
    <row r="15" spans="1:15" ht="15.75" customHeight="1" x14ac:dyDescent="0.25">
      <c r="B15" s="11" t="s">
        <v>118</v>
      </c>
      <c r="C15" s="52">
        <f t="shared" ref="C15:O15" si="0">iron_deficiency_anaemia*C14</f>
        <v>0.35867874031692876</v>
      </c>
      <c r="D15" s="52">
        <f t="shared" si="0"/>
        <v>0.35460029120101055</v>
      </c>
      <c r="E15" s="52">
        <f t="shared" si="0"/>
        <v>0.35460029120101055</v>
      </c>
      <c r="F15" s="52">
        <f t="shared" si="0"/>
        <v>0.17318646789895728</v>
      </c>
      <c r="G15" s="52">
        <f t="shared" si="0"/>
        <v>0.17318646789895728</v>
      </c>
      <c r="H15" s="52">
        <f t="shared" si="0"/>
        <v>0.17219557400000002</v>
      </c>
      <c r="I15" s="52">
        <f t="shared" si="0"/>
        <v>0.17219557400000002</v>
      </c>
      <c r="J15" s="52">
        <f t="shared" si="0"/>
        <v>0.17219557400000002</v>
      </c>
      <c r="K15" s="52">
        <f t="shared" si="0"/>
        <v>0.17219557400000002</v>
      </c>
      <c r="L15" s="52">
        <f t="shared" si="0"/>
        <v>0.167796417</v>
      </c>
      <c r="M15" s="52">
        <f t="shared" si="0"/>
        <v>0.167796417</v>
      </c>
      <c r="N15" s="52">
        <f t="shared" si="0"/>
        <v>0.167796417</v>
      </c>
      <c r="O15" s="52">
        <f t="shared" si="0"/>
        <v>0.167796417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+8Fsmv0iYt7LwLoEdCXwaHQAH+AKRwTU7+G5fsXEda0Aql+zJNkiwTOuPqF37CYsGBc+CIQjGhPzi5X+fhxmxA==" saltValue="7IGzJpkH2tU2w1wYz/YAf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600"/>
  </sheetPr>
  <dimension ref="A1:G5"/>
  <sheetViews>
    <sheetView zoomScaleNormal="100" workbookViewId="0">
      <selection activeCell="E2" sqref="E2:G4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"Porcentaje de niños en cada categoría en el año de referencia ("&amp;start_year&amp;")"</f>
        <v>Porcentaje de niños en cada categoría en el año de referencia (2024)</v>
      </c>
      <c r="B1" s="1" t="s">
        <v>120</v>
      </c>
      <c r="C1" s="8" t="s">
        <v>78</v>
      </c>
      <c r="D1" s="8" t="s">
        <v>74</v>
      </c>
      <c r="E1" s="8" t="s">
        <v>77</v>
      </c>
      <c r="F1" s="8" t="s">
        <v>75</v>
      </c>
      <c r="G1" s="8" t="s">
        <v>76</v>
      </c>
    </row>
    <row r="2" spans="1:7" x14ac:dyDescent="0.25">
      <c r="A2" s="3" t="s">
        <v>123</v>
      </c>
      <c r="B2" s="3" t="s">
        <v>124</v>
      </c>
      <c r="C2" s="45">
        <v>0.43399436200000002</v>
      </c>
      <c r="D2" s="53">
        <v>0.23404619600000001</v>
      </c>
      <c r="E2" s="53">
        <v>0</v>
      </c>
      <c r="F2" s="53">
        <v>0</v>
      </c>
      <c r="G2" s="53">
        <v>0</v>
      </c>
    </row>
    <row r="3" spans="1:7" x14ac:dyDescent="0.25">
      <c r="B3" s="3" t="s">
        <v>127</v>
      </c>
      <c r="C3" s="53">
        <v>0.27557090400000001</v>
      </c>
      <c r="D3" s="53">
        <v>0.28600471399999999</v>
      </c>
      <c r="E3" s="53">
        <v>0</v>
      </c>
      <c r="F3" s="53">
        <v>0</v>
      </c>
      <c r="G3" s="53">
        <v>0</v>
      </c>
    </row>
    <row r="4" spans="1:7" x14ac:dyDescent="0.25">
      <c r="B4" s="3" t="s">
        <v>126</v>
      </c>
      <c r="C4" s="53">
        <v>0.20970329800000001</v>
      </c>
      <c r="D4" s="53">
        <v>0.320885694</v>
      </c>
      <c r="E4" s="53">
        <v>0.65853112884615395</v>
      </c>
      <c r="F4" s="53">
        <v>0.32869853269230798</v>
      </c>
      <c r="G4" s="53">
        <v>0</v>
      </c>
    </row>
    <row r="5" spans="1:7" x14ac:dyDescent="0.25">
      <c r="B5" s="3" t="s">
        <v>125</v>
      </c>
      <c r="C5" s="52">
        <v>8.0731462000000004E-2</v>
      </c>
      <c r="D5" s="52">
        <v>0.15906339</v>
      </c>
      <c r="E5" s="52">
        <f>1-SUM(E2:E4)</f>
        <v>0.34146887115384605</v>
      </c>
      <c r="F5" s="52">
        <f>1-SUM(F2:F4)</f>
        <v>0.67130146730769202</v>
      </c>
      <c r="G5" s="52">
        <f>1-SUM(G2:G4)</f>
        <v>1</v>
      </c>
    </row>
  </sheetData>
  <sheetProtection algorithmName="SHA-512" hashValue="Hdlkau/YIdjXdg2430QRws1QMXJ4j9vH//KqXIJQiOMmPbQ72Qya/sa3GW+1oUuMm+TfQOIetE31aV4j0hsLBQ==" saltValue="c1xLYfVmveOgIEBjmb6IHg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600"/>
  </sheetPr>
  <dimension ref="A1:K14"/>
  <sheetViews>
    <sheetView zoomScale="115" zoomScaleNormal="115" workbookViewId="0">
      <selection activeCell="D26" sqref="D26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customHeight="1" x14ac:dyDescent="0.3">
      <c r="A1" s="4" t="s">
        <v>135</v>
      </c>
      <c r="B1" s="4" t="s">
        <v>133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136</v>
      </c>
      <c r="B2" s="9" t="s">
        <v>130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138</v>
      </c>
      <c r="B4" s="9" t="s">
        <v>130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128</v>
      </c>
      <c r="B6" s="9" t="s">
        <v>130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104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139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134</v>
      </c>
      <c r="B10" s="11" t="s">
        <v>129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131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37</v>
      </c>
      <c r="B13" s="11" t="s">
        <v>137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132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N8uspzCHRRBuS2bZ6LuBPfJZn7WZRckLMKPjStmMAl4Rq6v9jlkG10FCfawGUObKjNzjzW4vzt5unvYWXESOBg==" saltValue="X8u9VWgzaXb4yinzfsIgXA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600"/>
  </sheetPr>
  <dimension ref="A1:B7"/>
  <sheetViews>
    <sheetView workbookViewId="0">
      <selection activeCell="B5" sqref="B5"/>
    </sheetView>
  </sheetViews>
  <sheetFormatPr defaultRowHeight="12.5" x14ac:dyDescent="0.25"/>
  <cols>
    <col min="1" max="1" width="36.453125" bestFit="1" customWidth="1"/>
    <col min="2" max="2" width="15.36328125" customWidth="1"/>
  </cols>
  <sheetData>
    <row r="1" spans="1:2" ht="13" customHeight="1" x14ac:dyDescent="0.3">
      <c r="A1" s="4" t="s">
        <v>147</v>
      </c>
      <c r="B1" s="4" t="s">
        <v>145</v>
      </c>
    </row>
    <row r="2" spans="1:2" x14ac:dyDescent="0.25">
      <c r="A2" s="8" t="s">
        <v>144</v>
      </c>
      <c r="B2" s="41">
        <v>10</v>
      </c>
    </row>
    <row r="3" spans="1:2" x14ac:dyDescent="0.25">
      <c r="A3" s="8" t="s">
        <v>143</v>
      </c>
      <c r="B3" s="41">
        <v>10</v>
      </c>
    </row>
    <row r="4" spans="1:2" x14ac:dyDescent="0.25">
      <c r="A4" s="8" t="s">
        <v>142</v>
      </c>
      <c r="B4" s="41">
        <v>10</v>
      </c>
    </row>
    <row r="5" spans="1:2" x14ac:dyDescent="0.25">
      <c r="A5" s="8" t="s">
        <v>146</v>
      </c>
      <c r="B5" s="41">
        <v>10</v>
      </c>
    </row>
    <row r="6" spans="1:2" x14ac:dyDescent="0.25">
      <c r="A6" s="8" t="s">
        <v>140</v>
      </c>
      <c r="B6" s="41">
        <v>10</v>
      </c>
    </row>
    <row r="7" spans="1:2" x14ac:dyDescent="0.25">
      <c r="A7" s="8" t="s">
        <v>141</v>
      </c>
      <c r="B7" s="41">
        <v>10</v>
      </c>
    </row>
  </sheetData>
  <sheetProtection algorithmName="SHA-512" hashValue="qJeRIlptXnf49/ntmEMW5DuP1AQBEyHKAS+0pIMXvrPfupqDWhX1wpHw0x8pQAAVZSPA7yWYP4Q2EuKZrlMtQg==" saltValue="bZo29AZJiJ1Ey0rJcSKiOw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-0.249977111117893"/>
  </sheetPr>
  <dimension ref="A1:E21"/>
  <sheetViews>
    <sheetView zoomScale="115" zoomScaleNormal="115" workbookViewId="0">
      <selection activeCell="D4" sqref="D4:D6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4" width="11.453125" style="8" customWidth="1"/>
    <col min="5" max="16384" width="11.453125" style="8"/>
  </cols>
  <sheetData>
    <row r="1" spans="1:5" ht="13" customHeight="1" x14ac:dyDescent="0.3">
      <c r="A1" s="35" t="s">
        <v>154</v>
      </c>
      <c r="B1" s="36" t="s">
        <v>156</v>
      </c>
      <c r="C1" s="36" t="s">
        <v>150</v>
      </c>
      <c r="D1" s="36" t="s">
        <v>149</v>
      </c>
      <c r="E1" s="36" t="s">
        <v>155</v>
      </c>
    </row>
    <row r="2" spans="1:5" ht="13" customHeight="1" x14ac:dyDescent="0.3">
      <c r="A2" s="34" t="s">
        <v>151</v>
      </c>
      <c r="B2" s="32" t="s">
        <v>104</v>
      </c>
      <c r="C2" s="47"/>
      <c r="D2" s="47"/>
      <c r="E2" s="38" t="str">
        <f>IF(E$7="","",E$7)</f>
        <v/>
      </c>
    </row>
    <row r="3" spans="1:5" x14ac:dyDescent="0.25">
      <c r="B3" s="32" t="s">
        <v>78</v>
      </c>
      <c r="C3" s="47"/>
      <c r="D3" s="47" t="s">
        <v>5</v>
      </c>
      <c r="E3" s="38" t="str">
        <f>IF(E$7="","",E$7)</f>
        <v/>
      </c>
    </row>
    <row r="4" spans="1:5" x14ac:dyDescent="0.25">
      <c r="B4" s="32" t="s">
        <v>74</v>
      </c>
      <c r="C4" s="47"/>
      <c r="D4" s="47" t="s">
        <v>5</v>
      </c>
      <c r="E4" s="38" t="str">
        <f>IF(E$7="","",E$7)</f>
        <v/>
      </c>
    </row>
    <row r="5" spans="1:5" x14ac:dyDescent="0.25">
      <c r="B5" s="32" t="s">
        <v>77</v>
      </c>
      <c r="C5" s="47"/>
      <c r="D5" s="47" t="s">
        <v>5</v>
      </c>
      <c r="E5" s="38" t="str">
        <f>IF(E$7="","",E$7)</f>
        <v/>
      </c>
    </row>
    <row r="6" spans="1:5" x14ac:dyDescent="0.25">
      <c r="B6" s="32" t="s">
        <v>75</v>
      </c>
      <c r="C6" s="47"/>
      <c r="D6" s="47" t="s">
        <v>5</v>
      </c>
      <c r="E6" s="38" t="str">
        <f>IF(E$7="","",E$7)</f>
        <v/>
      </c>
    </row>
    <row r="7" spans="1:5" x14ac:dyDescent="0.25">
      <c r="B7" s="32" t="s">
        <v>148</v>
      </c>
      <c r="C7" s="31"/>
      <c r="D7" s="30"/>
      <c r="E7" s="47"/>
    </row>
    <row r="9" spans="1:5" ht="13" customHeight="1" x14ac:dyDescent="0.3">
      <c r="A9" s="34" t="s">
        <v>152</v>
      </c>
      <c r="B9" s="32" t="s">
        <v>104</v>
      </c>
      <c r="C9" s="47"/>
      <c r="D9" s="47"/>
      <c r="E9" s="38" t="str">
        <f>IF(E$7="","",E$7)</f>
        <v/>
      </c>
    </row>
    <row r="10" spans="1:5" x14ac:dyDescent="0.25">
      <c r="B10" s="32" t="s">
        <v>78</v>
      </c>
      <c r="C10" s="47"/>
      <c r="D10" s="47"/>
      <c r="E10" s="38" t="str">
        <f>IF(E$7="","",E$7)</f>
        <v/>
      </c>
    </row>
    <row r="11" spans="1:5" x14ac:dyDescent="0.25">
      <c r="B11" s="32" t="s">
        <v>74</v>
      </c>
      <c r="C11" s="47"/>
      <c r="D11" s="47"/>
      <c r="E11" s="38" t="str">
        <f>IF(E$7="","",E$7)</f>
        <v/>
      </c>
    </row>
    <row r="12" spans="1:5" x14ac:dyDescent="0.25">
      <c r="B12" s="32" t="s">
        <v>77</v>
      </c>
      <c r="C12" s="47"/>
      <c r="D12" s="47" t="s">
        <v>5</v>
      </c>
      <c r="E12" s="38" t="str">
        <f>IF(E$7="","",E$7)</f>
        <v/>
      </c>
    </row>
    <row r="13" spans="1:5" x14ac:dyDescent="0.25">
      <c r="B13" s="32" t="s">
        <v>75</v>
      </c>
      <c r="C13" s="47"/>
      <c r="D13" s="47" t="s">
        <v>5</v>
      </c>
      <c r="E13" s="38" t="str">
        <f>IF(E$7="","",E$7)</f>
        <v/>
      </c>
    </row>
    <row r="14" spans="1:5" x14ac:dyDescent="0.25">
      <c r="B14" s="32" t="s">
        <v>148</v>
      </c>
      <c r="C14" s="31"/>
      <c r="D14" s="30"/>
      <c r="E14" s="47"/>
    </row>
    <row r="16" spans="1:5" ht="13" customHeight="1" x14ac:dyDescent="0.3">
      <c r="A16" s="34" t="s">
        <v>153</v>
      </c>
      <c r="B16" s="32" t="s">
        <v>104</v>
      </c>
      <c r="C16" s="47"/>
      <c r="D16" s="47" t="s">
        <v>5</v>
      </c>
      <c r="E16" s="38" t="str">
        <f>IF(E$7="","",E$7)</f>
        <v/>
      </c>
    </row>
    <row r="17" spans="2:5" x14ac:dyDescent="0.25">
      <c r="B17" s="32" t="s">
        <v>78</v>
      </c>
      <c r="C17" s="47"/>
      <c r="D17" s="47" t="s">
        <v>5</v>
      </c>
      <c r="E17" s="38" t="str">
        <f>IF(E$7="","",E$7)</f>
        <v/>
      </c>
    </row>
    <row r="18" spans="2:5" x14ac:dyDescent="0.25">
      <c r="B18" s="32" t="s">
        <v>74</v>
      </c>
      <c r="C18" s="47"/>
      <c r="D18" s="47" t="s">
        <v>5</v>
      </c>
      <c r="E18" s="38" t="str">
        <f>IF(E$7="","",E$7)</f>
        <v/>
      </c>
    </row>
    <row r="19" spans="2:5" x14ac:dyDescent="0.25">
      <c r="B19" s="32" t="s">
        <v>77</v>
      </c>
      <c r="C19" s="47"/>
      <c r="D19" s="47" t="s">
        <v>5</v>
      </c>
      <c r="E19" s="38" t="str">
        <f>IF(E$7="","",E$7)</f>
        <v/>
      </c>
    </row>
    <row r="20" spans="2:5" x14ac:dyDescent="0.25">
      <c r="B20" s="32" t="s">
        <v>75</v>
      </c>
      <c r="C20" s="47"/>
      <c r="D20" s="47" t="s">
        <v>5</v>
      </c>
      <c r="E20" s="38" t="str">
        <f>IF(E$7="","",E$7)</f>
        <v/>
      </c>
    </row>
    <row r="21" spans="2:5" x14ac:dyDescent="0.25">
      <c r="B21" s="32" t="s">
        <v>148</v>
      </c>
      <c r="C21" s="31"/>
      <c r="D21" s="30"/>
      <c r="E21" s="47"/>
    </row>
  </sheetData>
  <sheetProtection algorithmName="SHA-512" hashValue="5RJAIOs8ssaoBeucxGBY5ytK7+nwM5387Qz9U7wMOOIJQ7bn0FsOh7twICkoeGXE+HkeiSYvA2PF5Fx0c8i1/Q==" saltValue="7Ei/ddzE4gbTEjMVychXoA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-0.249977111117893"/>
  </sheetPr>
  <dimension ref="A1:D3"/>
  <sheetViews>
    <sheetView zoomScale="145" zoomScaleNormal="145" workbookViewId="0">
      <selection activeCell="D2" sqref="D2:D3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customHeight="1" x14ac:dyDescent="0.3">
      <c r="A1" s="39" t="s">
        <v>0</v>
      </c>
      <c r="B1" s="36" t="s">
        <v>159</v>
      </c>
      <c r="C1" s="40" t="s">
        <v>161</v>
      </c>
      <c r="D1" s="40" t="s">
        <v>157</v>
      </c>
    </row>
    <row r="2" spans="1:4" ht="13" customHeight="1" x14ac:dyDescent="0.3">
      <c r="A2" s="40" t="s">
        <v>163</v>
      </c>
      <c r="B2" s="32" t="s">
        <v>164</v>
      </c>
      <c r="C2" s="32" t="s">
        <v>162</v>
      </c>
      <c r="D2" s="47"/>
    </row>
    <row r="3" spans="1:4" ht="13" customHeight="1" x14ac:dyDescent="0.3">
      <c r="A3" s="40" t="s">
        <v>160</v>
      </c>
      <c r="B3" s="32" t="s">
        <v>150</v>
      </c>
      <c r="C3" s="32" t="s">
        <v>158</v>
      </c>
      <c r="D3" s="47"/>
    </row>
  </sheetData>
  <sheetProtection algorithmName="SHA-512" hashValue="tA/PbIDc1IsiYf1vDK1tPS2FCWOxyMBqCkoZ8LGbkIwvtI0uWgbYdq+eQudJpKide7RC6gKw05dkWJAU7v9VuQ==" saltValue="uOly4N8sVBUbMblCZEaggg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-0.249977111117893"/>
  </sheetPr>
  <dimension ref="A1:G39"/>
  <sheetViews>
    <sheetView topLeftCell="A24" zoomScale="70" zoomScaleNormal="70" workbookViewId="0">
      <selection activeCell="B30" sqref="B30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8" width="14.453125" style="8" customWidth="1"/>
    <col min="9" max="16384" width="14.453125" style="8"/>
  </cols>
  <sheetData>
    <row r="1" spans="1:7" ht="26" customHeight="1" x14ac:dyDescent="0.3">
      <c r="A1" s="1" t="s">
        <v>163</v>
      </c>
      <c r="B1" s="22" t="str">
        <f>"Cobertura de referencia ("&amp;start_year&amp;")"</f>
        <v>Cobertura de referencia (2024)</v>
      </c>
      <c r="C1" s="22" t="s">
        <v>194</v>
      </c>
      <c r="D1" s="22" t="s">
        <v>195</v>
      </c>
      <c r="E1" s="22" t="s">
        <v>168</v>
      </c>
      <c r="F1" s="22" t="s">
        <v>187</v>
      </c>
      <c r="G1" s="22" t="s">
        <v>186</v>
      </c>
    </row>
    <row r="2" spans="1:7" ht="15.75" customHeight="1" x14ac:dyDescent="0.25">
      <c r="A2" s="5" t="s">
        <v>165</v>
      </c>
      <c r="B2" s="45">
        <v>0</v>
      </c>
      <c r="C2" s="98">
        <v>0.95</v>
      </c>
      <c r="D2" s="56">
        <v>92.337747645899924</v>
      </c>
      <c r="E2" s="56" t="s">
        <v>183</v>
      </c>
      <c r="F2" s="98">
        <v>1</v>
      </c>
      <c r="G2" s="98">
        <v>1</v>
      </c>
    </row>
    <row r="3" spans="1:7" ht="15.75" customHeight="1" x14ac:dyDescent="0.25">
      <c r="A3" s="5" t="s">
        <v>166</v>
      </c>
      <c r="B3" s="45">
        <v>0.18789175999999999</v>
      </c>
      <c r="C3" s="98">
        <v>0.95</v>
      </c>
      <c r="D3" s="56">
        <v>40.649110236447719</v>
      </c>
      <c r="E3" s="56" t="s">
        <v>183</v>
      </c>
      <c r="F3" s="98">
        <v>1</v>
      </c>
      <c r="G3" s="98">
        <v>1</v>
      </c>
    </row>
    <row r="4" spans="1:7" ht="15.75" customHeight="1" x14ac:dyDescent="0.25">
      <c r="A4" s="5" t="s">
        <v>167</v>
      </c>
      <c r="B4" s="98">
        <v>0</v>
      </c>
      <c r="C4" s="98">
        <v>0.95</v>
      </c>
      <c r="D4" s="56">
        <v>952.2771040936276</v>
      </c>
      <c r="E4" s="56" t="s">
        <v>183</v>
      </c>
      <c r="F4" s="98">
        <v>1</v>
      </c>
      <c r="G4" s="98">
        <v>1</v>
      </c>
    </row>
    <row r="5" spans="1:7" ht="15.75" customHeight="1" x14ac:dyDescent="0.25">
      <c r="A5" s="5" t="s">
        <v>169</v>
      </c>
      <c r="B5" s="98">
        <v>0</v>
      </c>
      <c r="C5" s="98">
        <v>0.95</v>
      </c>
      <c r="D5" s="56">
        <v>9.1374201570642448</v>
      </c>
      <c r="E5" s="56" t="s">
        <v>183</v>
      </c>
      <c r="F5" s="98">
        <v>1</v>
      </c>
      <c r="G5" s="98">
        <v>1</v>
      </c>
    </row>
    <row r="6" spans="1:7" ht="15.75" customHeight="1" x14ac:dyDescent="0.25">
      <c r="A6" s="5" t="s">
        <v>170</v>
      </c>
      <c r="B6" s="98">
        <v>0</v>
      </c>
      <c r="C6" s="98">
        <v>0.95</v>
      </c>
      <c r="D6" s="56">
        <v>99.99</v>
      </c>
      <c r="E6" s="56" t="s">
        <v>183</v>
      </c>
      <c r="F6" s="98">
        <v>1</v>
      </c>
      <c r="G6" s="98">
        <v>1</v>
      </c>
    </row>
    <row r="7" spans="1:7" ht="15.75" customHeight="1" x14ac:dyDescent="0.25">
      <c r="A7" s="5" t="s">
        <v>171</v>
      </c>
      <c r="B7" s="98">
        <v>0</v>
      </c>
      <c r="C7" s="98">
        <v>0.95</v>
      </c>
      <c r="D7" s="56">
        <v>99.99</v>
      </c>
      <c r="E7" s="56" t="s">
        <v>183</v>
      </c>
      <c r="F7" s="98">
        <v>1</v>
      </c>
      <c r="G7" s="98">
        <v>1</v>
      </c>
    </row>
    <row r="8" spans="1:7" ht="15.75" customHeight="1" x14ac:dyDescent="0.25">
      <c r="A8" s="5" t="s">
        <v>172</v>
      </c>
      <c r="B8" s="98">
        <v>0</v>
      </c>
      <c r="C8" s="98">
        <v>0.95</v>
      </c>
      <c r="D8" s="56">
        <v>99.99</v>
      </c>
      <c r="E8" s="56" t="s">
        <v>183</v>
      </c>
      <c r="F8" s="98">
        <v>1</v>
      </c>
      <c r="G8" s="98">
        <v>1</v>
      </c>
    </row>
    <row r="9" spans="1:7" ht="15.75" customHeight="1" x14ac:dyDescent="0.25">
      <c r="A9" s="5" t="s">
        <v>173</v>
      </c>
      <c r="B9" s="98">
        <v>0</v>
      </c>
      <c r="C9" s="98">
        <v>0.95</v>
      </c>
      <c r="D9" s="56">
        <v>99.99</v>
      </c>
      <c r="E9" s="56" t="s">
        <v>183</v>
      </c>
      <c r="F9" s="98">
        <v>1</v>
      </c>
      <c r="G9" s="98">
        <v>1</v>
      </c>
    </row>
    <row r="10" spans="1:7" ht="15.75" customHeight="1" x14ac:dyDescent="0.25">
      <c r="A10" s="11" t="s">
        <v>174</v>
      </c>
      <c r="B10" s="45">
        <v>0</v>
      </c>
      <c r="C10" s="98">
        <v>0.95</v>
      </c>
      <c r="D10" s="56">
        <v>13.78140968024363</v>
      </c>
      <c r="E10" s="56" t="s">
        <v>183</v>
      </c>
      <c r="F10" s="98">
        <v>1</v>
      </c>
      <c r="G10" s="98">
        <v>1</v>
      </c>
    </row>
    <row r="11" spans="1:7" ht="15.75" customHeight="1" x14ac:dyDescent="0.25">
      <c r="A11" s="11" t="s">
        <v>175</v>
      </c>
      <c r="B11" s="98">
        <v>0</v>
      </c>
      <c r="C11" s="98">
        <v>0.95</v>
      </c>
      <c r="D11" s="56">
        <v>13.78140968024363</v>
      </c>
      <c r="E11" s="56" t="s">
        <v>183</v>
      </c>
      <c r="F11" s="98">
        <v>1</v>
      </c>
      <c r="G11" s="98">
        <v>1</v>
      </c>
    </row>
    <row r="12" spans="1:7" ht="15.75" customHeight="1" x14ac:dyDescent="0.25">
      <c r="A12" s="11" t="s">
        <v>176</v>
      </c>
      <c r="B12" s="98">
        <v>0</v>
      </c>
      <c r="C12" s="98">
        <v>0.95</v>
      </c>
      <c r="D12" s="56">
        <v>13.78140968024363</v>
      </c>
      <c r="E12" s="56" t="s">
        <v>183</v>
      </c>
      <c r="F12" s="98">
        <v>1</v>
      </c>
      <c r="G12" s="98">
        <v>1</v>
      </c>
    </row>
    <row r="13" spans="1:7" ht="15.75" customHeight="1" x14ac:dyDescent="0.25">
      <c r="A13" s="11" t="s">
        <v>177</v>
      </c>
      <c r="B13" s="98">
        <v>0</v>
      </c>
      <c r="C13" s="98">
        <v>0.95</v>
      </c>
      <c r="D13" s="56">
        <v>13.78140968024363</v>
      </c>
      <c r="E13" s="56" t="s">
        <v>183</v>
      </c>
      <c r="F13" s="98">
        <v>1</v>
      </c>
      <c r="G13" s="98">
        <v>1</v>
      </c>
    </row>
    <row r="14" spans="1:7" ht="15.75" customHeight="1" x14ac:dyDescent="0.25">
      <c r="A14" s="5" t="s">
        <v>178</v>
      </c>
      <c r="B14" s="45">
        <v>0</v>
      </c>
      <c r="C14" s="98">
        <v>0.95</v>
      </c>
      <c r="D14" s="56">
        <v>13.78140968024363</v>
      </c>
      <c r="E14" s="56" t="s">
        <v>183</v>
      </c>
      <c r="F14" s="98">
        <v>1</v>
      </c>
      <c r="G14" s="98">
        <v>1</v>
      </c>
    </row>
    <row r="15" spans="1:7" ht="15.75" customHeight="1" x14ac:dyDescent="0.25">
      <c r="A15" s="5" t="s">
        <v>179</v>
      </c>
      <c r="B15" s="98">
        <v>0</v>
      </c>
      <c r="C15" s="98">
        <v>0.95</v>
      </c>
      <c r="D15" s="56">
        <v>13.78140968024363</v>
      </c>
      <c r="E15" s="56" t="s">
        <v>183</v>
      </c>
      <c r="F15" s="98">
        <v>1</v>
      </c>
      <c r="G15" s="98">
        <v>1</v>
      </c>
    </row>
    <row r="16" spans="1:7" ht="15.75" customHeight="1" x14ac:dyDescent="0.25">
      <c r="A16" s="5" t="s">
        <v>180</v>
      </c>
      <c r="B16" s="45">
        <v>0</v>
      </c>
      <c r="C16" s="98">
        <v>0.95</v>
      </c>
      <c r="D16" s="56">
        <v>1.4881754801389779</v>
      </c>
      <c r="E16" s="56" t="s">
        <v>183</v>
      </c>
      <c r="F16" s="98">
        <v>1</v>
      </c>
      <c r="G16" s="98">
        <v>1</v>
      </c>
    </row>
    <row r="17" spans="1:7" ht="15.75" customHeight="1" x14ac:dyDescent="0.25">
      <c r="A17" s="5" t="s">
        <v>181</v>
      </c>
      <c r="B17" s="98">
        <v>0</v>
      </c>
      <c r="C17" s="98">
        <v>0.95</v>
      </c>
      <c r="D17" s="56">
        <v>0.1369044839662158</v>
      </c>
      <c r="E17" s="56" t="s">
        <v>183</v>
      </c>
      <c r="F17" s="98">
        <v>1</v>
      </c>
      <c r="G17" s="98">
        <v>1</v>
      </c>
    </row>
    <row r="18" spans="1:7" ht="15.9" customHeight="1" x14ac:dyDescent="0.25">
      <c r="A18" s="5" t="s">
        <v>151</v>
      </c>
      <c r="B18" s="98">
        <v>0.12404016349999999</v>
      </c>
      <c r="C18" s="98">
        <v>0.95</v>
      </c>
      <c r="D18" s="56">
        <v>21.79150990690356</v>
      </c>
      <c r="E18" s="56" t="s">
        <v>183</v>
      </c>
      <c r="F18" s="98">
        <v>1</v>
      </c>
      <c r="G18" s="98">
        <v>1</v>
      </c>
    </row>
    <row r="19" spans="1:7" ht="15.75" customHeight="1" x14ac:dyDescent="0.25">
      <c r="A19" s="5" t="s">
        <v>152</v>
      </c>
      <c r="B19" s="98">
        <v>0.85690619999999995</v>
      </c>
      <c r="C19" s="98">
        <v>0.95</v>
      </c>
      <c r="D19" s="56">
        <v>21.79150990690356</v>
      </c>
      <c r="E19" s="56" t="s">
        <v>183</v>
      </c>
      <c r="F19" s="98">
        <v>1</v>
      </c>
      <c r="G19" s="98">
        <v>1</v>
      </c>
    </row>
    <row r="20" spans="1:7" ht="15.75" customHeight="1" x14ac:dyDescent="0.25">
      <c r="A20" s="5" t="s">
        <v>153</v>
      </c>
      <c r="B20" s="98">
        <v>0</v>
      </c>
      <c r="C20" s="98">
        <v>0.95</v>
      </c>
      <c r="D20" s="56">
        <v>99.99</v>
      </c>
      <c r="E20" s="56" t="s">
        <v>183</v>
      </c>
      <c r="F20" s="98">
        <v>1</v>
      </c>
      <c r="G20" s="98">
        <v>1</v>
      </c>
    </row>
    <row r="21" spans="1:7" ht="15.75" customHeight="1" x14ac:dyDescent="0.25">
      <c r="A21" s="5" t="s">
        <v>182</v>
      </c>
      <c r="B21" s="45">
        <v>0.64560309999999999</v>
      </c>
      <c r="C21" s="98">
        <v>0.95</v>
      </c>
      <c r="D21" s="56">
        <v>91.149218966868133</v>
      </c>
      <c r="E21" s="56" t="s">
        <v>183</v>
      </c>
      <c r="F21" s="98">
        <v>1</v>
      </c>
      <c r="G21" s="98">
        <v>1</v>
      </c>
    </row>
    <row r="22" spans="1:7" ht="15.75" customHeight="1" x14ac:dyDescent="0.25">
      <c r="A22" s="5" t="s">
        <v>184</v>
      </c>
      <c r="B22" s="98">
        <v>0</v>
      </c>
      <c r="C22" s="98">
        <v>0.95</v>
      </c>
      <c r="D22" s="56">
        <v>24.185634611008918</v>
      </c>
      <c r="E22" s="56" t="s">
        <v>183</v>
      </c>
      <c r="F22" s="98">
        <v>1</v>
      </c>
      <c r="G22" s="98">
        <v>1</v>
      </c>
    </row>
    <row r="23" spans="1:7" ht="15.75" customHeight="1" x14ac:dyDescent="0.25">
      <c r="A23" s="5" t="s">
        <v>185</v>
      </c>
      <c r="B23" s="98">
        <v>0</v>
      </c>
      <c r="C23" s="98">
        <v>0.95</v>
      </c>
      <c r="D23" s="56">
        <v>4.7601065600060064</v>
      </c>
      <c r="E23" s="56" t="s">
        <v>183</v>
      </c>
      <c r="F23" s="98">
        <v>1</v>
      </c>
      <c r="G23" s="98">
        <v>1</v>
      </c>
    </row>
    <row r="24" spans="1:7" ht="15.75" customHeight="1" x14ac:dyDescent="0.25">
      <c r="A24" s="5" t="s">
        <v>188</v>
      </c>
      <c r="B24" s="45">
        <v>0.939935462</v>
      </c>
      <c r="C24" s="98">
        <v>0.95</v>
      </c>
      <c r="D24" s="56">
        <v>99.99</v>
      </c>
      <c r="E24" s="56" t="s">
        <v>183</v>
      </c>
      <c r="F24" s="98">
        <v>1</v>
      </c>
      <c r="G24" s="98">
        <v>1</v>
      </c>
    </row>
    <row r="25" spans="1:7" ht="15.75" customHeight="1" x14ac:dyDescent="0.25">
      <c r="A25" s="5" t="s">
        <v>189</v>
      </c>
      <c r="B25" s="98">
        <v>0</v>
      </c>
      <c r="C25" s="98">
        <v>0.95</v>
      </c>
      <c r="D25" s="56">
        <v>99.99</v>
      </c>
      <c r="E25" s="56" t="s">
        <v>183</v>
      </c>
      <c r="F25" s="98">
        <v>1</v>
      </c>
      <c r="G25" s="98">
        <v>1</v>
      </c>
    </row>
    <row r="26" spans="1:7" ht="15.75" customHeight="1" x14ac:dyDescent="0.25">
      <c r="A26" s="5" t="s">
        <v>190</v>
      </c>
      <c r="B26" s="45">
        <v>0</v>
      </c>
      <c r="C26" s="98">
        <v>0.95</v>
      </c>
      <c r="D26" s="56">
        <v>99.99</v>
      </c>
      <c r="E26" s="56" t="s">
        <v>183</v>
      </c>
      <c r="F26" s="98">
        <v>1</v>
      </c>
      <c r="G26" s="98">
        <v>1</v>
      </c>
    </row>
    <row r="27" spans="1:7" ht="15.75" customHeight="1" x14ac:dyDescent="0.25">
      <c r="A27" s="5" t="s">
        <v>191</v>
      </c>
      <c r="B27" s="45">
        <v>0</v>
      </c>
      <c r="C27" s="98">
        <v>0.95</v>
      </c>
      <c r="D27" s="56">
        <v>19.347107873216441</v>
      </c>
      <c r="E27" s="56" t="s">
        <v>183</v>
      </c>
      <c r="F27" s="98">
        <v>1</v>
      </c>
      <c r="G27" s="98">
        <v>1</v>
      </c>
    </row>
    <row r="28" spans="1:7" ht="15.75" customHeight="1" x14ac:dyDescent="0.25">
      <c r="A28" s="5" t="s">
        <v>192</v>
      </c>
      <c r="B28" s="45">
        <v>0.7370952985</v>
      </c>
      <c r="C28" s="98">
        <v>0.95</v>
      </c>
      <c r="D28" s="56">
        <v>99.99</v>
      </c>
      <c r="E28" s="56" t="s">
        <v>183</v>
      </c>
      <c r="F28" s="98">
        <v>1</v>
      </c>
      <c r="G28" s="98">
        <v>1</v>
      </c>
    </row>
    <row r="29" spans="1:7" ht="15.75" customHeight="1" x14ac:dyDescent="0.25">
      <c r="A29" s="5" t="s">
        <v>193</v>
      </c>
      <c r="B29" s="45">
        <v>0</v>
      </c>
      <c r="C29" s="98">
        <v>0.95</v>
      </c>
      <c r="D29" s="56">
        <v>191.95165548538569</v>
      </c>
      <c r="E29" s="56" t="s">
        <v>183</v>
      </c>
      <c r="F29" s="98">
        <v>1</v>
      </c>
      <c r="G29" s="98">
        <v>1</v>
      </c>
    </row>
    <row r="30" spans="1:7" ht="15.75" customHeight="1" x14ac:dyDescent="0.25">
      <c r="A30" s="5" t="s">
        <v>204</v>
      </c>
      <c r="B30" s="98">
        <v>0</v>
      </c>
      <c r="C30" s="98">
        <v>0.95</v>
      </c>
      <c r="D30" s="56">
        <v>99</v>
      </c>
      <c r="E30" s="56" t="s">
        <v>183</v>
      </c>
      <c r="F30" s="98">
        <v>1</v>
      </c>
      <c r="G30" s="98">
        <v>1</v>
      </c>
    </row>
    <row r="31" spans="1:7" ht="15.75" customHeight="1" x14ac:dyDescent="0.25">
      <c r="A31" s="5" t="s">
        <v>164</v>
      </c>
      <c r="B31" s="45">
        <v>0</v>
      </c>
      <c r="C31" s="98">
        <v>0.95</v>
      </c>
      <c r="D31" s="56">
        <v>0.83197235394544489</v>
      </c>
      <c r="E31" s="56" t="s">
        <v>183</v>
      </c>
      <c r="F31" s="98">
        <v>1</v>
      </c>
      <c r="G31" s="98">
        <v>1</v>
      </c>
    </row>
    <row r="32" spans="1:7" ht="15.75" customHeight="1" x14ac:dyDescent="0.25">
      <c r="A32" s="5" t="s">
        <v>196</v>
      </c>
      <c r="B32" s="45">
        <v>0</v>
      </c>
      <c r="C32" s="98">
        <v>0.95</v>
      </c>
      <c r="D32" s="56">
        <v>3.2744527743238541</v>
      </c>
      <c r="E32" s="56" t="s">
        <v>183</v>
      </c>
      <c r="F32" s="98">
        <v>1</v>
      </c>
      <c r="G32" s="98">
        <v>1</v>
      </c>
    </row>
    <row r="33" spans="1:7" ht="15.75" customHeight="1" x14ac:dyDescent="0.25">
      <c r="A33" s="5" t="s">
        <v>197</v>
      </c>
      <c r="B33" s="45">
        <v>0</v>
      </c>
      <c r="C33" s="98">
        <v>0.95</v>
      </c>
      <c r="D33" s="56">
        <v>99.99</v>
      </c>
      <c r="E33" s="56" t="s">
        <v>183</v>
      </c>
      <c r="F33" s="98">
        <v>1</v>
      </c>
      <c r="G33" s="98">
        <v>1</v>
      </c>
    </row>
    <row r="34" spans="1:7" ht="15.75" customHeight="1" x14ac:dyDescent="0.25">
      <c r="A34" s="5" t="s">
        <v>198</v>
      </c>
      <c r="B34" s="45">
        <v>0</v>
      </c>
      <c r="C34" s="98">
        <v>0.95</v>
      </c>
      <c r="D34" s="56">
        <v>99.99</v>
      </c>
      <c r="E34" s="56" t="s">
        <v>183</v>
      </c>
      <c r="F34" s="98">
        <v>1</v>
      </c>
      <c r="G34" s="98">
        <v>1</v>
      </c>
    </row>
    <row r="35" spans="1:7" ht="15.75" customHeight="1" x14ac:dyDescent="0.25">
      <c r="A35" s="5" t="s">
        <v>199</v>
      </c>
      <c r="B35" s="98">
        <v>0</v>
      </c>
      <c r="C35" s="98">
        <v>0.95</v>
      </c>
      <c r="D35" s="56">
        <v>99.99</v>
      </c>
      <c r="E35" s="56" t="s">
        <v>183</v>
      </c>
      <c r="F35" s="98">
        <v>1</v>
      </c>
      <c r="G35" s="98">
        <v>1</v>
      </c>
    </row>
    <row r="36" spans="1:7" ht="15.75" customHeight="1" x14ac:dyDescent="0.25">
      <c r="A36" s="5" t="s">
        <v>200</v>
      </c>
      <c r="B36" s="45">
        <v>0</v>
      </c>
      <c r="C36" s="98">
        <v>0.95</v>
      </c>
      <c r="D36" s="56">
        <v>99.99</v>
      </c>
      <c r="E36" s="56" t="s">
        <v>183</v>
      </c>
      <c r="F36" s="98">
        <v>1</v>
      </c>
      <c r="G36" s="98">
        <v>1</v>
      </c>
    </row>
    <row r="37" spans="1:7" ht="15.75" customHeight="1" x14ac:dyDescent="0.25">
      <c r="A37" s="5" t="s">
        <v>201</v>
      </c>
      <c r="B37" s="45">
        <v>0</v>
      </c>
      <c r="C37" s="98">
        <v>0.95</v>
      </c>
      <c r="D37" s="56">
        <v>99.99</v>
      </c>
      <c r="E37" s="56" t="s">
        <v>183</v>
      </c>
      <c r="F37" s="98">
        <v>1</v>
      </c>
      <c r="G37" s="98">
        <v>1</v>
      </c>
    </row>
    <row r="38" spans="1:7" ht="15.75" customHeight="1" x14ac:dyDescent="0.25">
      <c r="A38" s="5" t="s">
        <v>202</v>
      </c>
      <c r="B38" s="45">
        <v>0</v>
      </c>
      <c r="C38" s="98">
        <v>0.95</v>
      </c>
      <c r="D38" s="56">
        <v>4.9836110403594773</v>
      </c>
      <c r="E38" s="56" t="s">
        <v>183</v>
      </c>
      <c r="F38" s="98">
        <v>1</v>
      </c>
      <c r="G38" s="98">
        <v>1</v>
      </c>
    </row>
    <row r="39" spans="1:7" ht="15.75" customHeight="1" x14ac:dyDescent="0.25">
      <c r="A39" s="5" t="s">
        <v>203</v>
      </c>
      <c r="B39" s="45">
        <v>0</v>
      </c>
      <c r="C39" s="98">
        <v>0.95</v>
      </c>
      <c r="D39" s="56">
        <v>99.99</v>
      </c>
      <c r="E39" s="56" t="s">
        <v>183</v>
      </c>
      <c r="F39" s="98">
        <v>1</v>
      </c>
      <c r="G39" s="98">
        <v>1</v>
      </c>
    </row>
  </sheetData>
  <sheetProtection algorithmName="SHA-512" hashValue="0N9b/U/fIP9XPClv8fOnizR7XLMBspKc6u8qHtojEricEhDq3uzJ3jMvZ3HxIaljApRwl9HU72pAq4jPSh2mGw==" saltValue="au0ZqDMq9VfOczqY0lYI+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 tint="-0.249977111117893"/>
  </sheetPr>
  <dimension ref="A1:C20"/>
  <sheetViews>
    <sheetView workbookViewId="0">
      <selection activeCell="B12" sqref="B12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4" width="11.453125" style="8" customWidth="1"/>
    <col min="5" max="16384" width="11.453125" style="8"/>
  </cols>
  <sheetData>
    <row r="1" spans="1:3" ht="13" customHeight="1" x14ac:dyDescent="0.3">
      <c r="A1" s="4" t="s">
        <v>163</v>
      </c>
      <c r="B1" s="4" t="s">
        <v>205</v>
      </c>
      <c r="C1" s="4" t="s">
        <v>206</v>
      </c>
    </row>
    <row r="2" spans="1:3" x14ac:dyDescent="0.25">
      <c r="A2" s="57" t="s">
        <v>178</v>
      </c>
      <c r="B2" s="47" t="s">
        <v>191</v>
      </c>
      <c r="C2" s="47"/>
    </row>
    <row r="3" spans="1:3" x14ac:dyDescent="0.25">
      <c r="A3" s="57" t="s">
        <v>179</v>
      </c>
      <c r="B3" s="47" t="s">
        <v>191</v>
      </c>
      <c r="C3" s="47"/>
    </row>
    <row r="4" spans="1:3" x14ac:dyDescent="0.25">
      <c r="A4" s="57" t="s">
        <v>193</v>
      </c>
      <c r="B4" s="47" t="s">
        <v>184</v>
      </c>
      <c r="C4" s="47"/>
    </row>
    <row r="5" spans="1:3" x14ac:dyDescent="0.25">
      <c r="A5" s="57" t="s">
        <v>190</v>
      </c>
      <c r="B5" s="47" t="s">
        <v>184</v>
      </c>
      <c r="C5" s="47"/>
    </row>
    <row r="6" spans="1:3" x14ac:dyDescent="0.25">
      <c r="A6" s="57" t="s">
        <v>193</v>
      </c>
      <c r="B6" s="58" t="s">
        <v>204</v>
      </c>
      <c r="C6" s="58"/>
    </row>
    <row r="7" spans="1:3" x14ac:dyDescent="0.25">
      <c r="A7" s="57" t="s">
        <v>190</v>
      </c>
      <c r="B7" s="58" t="s">
        <v>204</v>
      </c>
      <c r="C7" s="58"/>
    </row>
    <row r="8" spans="1:3" x14ac:dyDescent="0.25">
      <c r="A8" s="57" t="s">
        <v>203</v>
      </c>
      <c r="B8" s="58" t="s">
        <v>204</v>
      </c>
      <c r="C8" s="58"/>
    </row>
    <row r="9" spans="1:3" x14ac:dyDescent="0.25">
      <c r="A9" s="57" t="s">
        <v>196</v>
      </c>
      <c r="B9" s="58" t="s">
        <v>204</v>
      </c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QNGnnhi2FcAWmHmP4JELhpN3Pma2TjuHOUS4x5HIS+/V6aF5uc6K7vHP9SORwgzwc/T9S5SOUfSmqgV/Urk90A==" saltValue="lR66k3hgVth3oJe2X783gQ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0.249977111117893"/>
  </sheetPr>
  <dimension ref="A1:A19"/>
  <sheetViews>
    <sheetView workbookViewId="0">
      <selection activeCell="A6" sqref="A6"/>
    </sheetView>
  </sheetViews>
  <sheetFormatPr defaultColWidth="11.453125" defaultRowHeight="12.5" x14ac:dyDescent="0.25"/>
  <cols>
    <col min="1" max="1" width="30.08984375" style="8" customWidth="1"/>
    <col min="2" max="2" width="11.453125" style="8" customWidth="1"/>
    <col min="3" max="16384" width="11.453125" style="8"/>
  </cols>
  <sheetData>
    <row r="1" spans="1:1" ht="13" customHeight="1" x14ac:dyDescent="0.3">
      <c r="A1" s="4" t="s">
        <v>163</v>
      </c>
    </row>
    <row r="2" spans="1:1" x14ac:dyDescent="0.25">
      <c r="A2" s="33" t="s">
        <v>170</v>
      </c>
    </row>
    <row r="3" spans="1:1" x14ac:dyDescent="0.25">
      <c r="A3" s="33" t="s">
        <v>180</v>
      </c>
    </row>
    <row r="4" spans="1:1" x14ac:dyDescent="0.25">
      <c r="A4" s="33" t="s">
        <v>185</v>
      </c>
    </row>
    <row r="5" spans="1:1" x14ac:dyDescent="0.25">
      <c r="A5" s="33" t="s">
        <v>197</v>
      </c>
    </row>
    <row r="6" spans="1:1" x14ac:dyDescent="0.25">
      <c r="A6" s="33" t="s">
        <v>198</v>
      </c>
    </row>
    <row r="7" spans="1:1" x14ac:dyDescent="0.25">
      <c r="A7" s="33" t="s">
        <v>199</v>
      </c>
    </row>
    <row r="8" spans="1:1" x14ac:dyDescent="0.25">
      <c r="A8" s="33" t="s">
        <v>200</v>
      </c>
    </row>
    <row r="9" spans="1:1" x14ac:dyDescent="0.25">
      <c r="A9" s="33" t="s">
        <v>201</v>
      </c>
    </row>
    <row r="10" spans="1:1" x14ac:dyDescent="0.25">
      <c r="A10" s="33"/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zqfnk9ylWYR92Q4LlHBa+ln+1kbe685tfBmJj/tl0C0Y15hwm/Qr6T2oTTMhuAp25YrGKc6n/SbkKCJQtr9BPw==" saltValue="gqgT5+of+VSKCR1joHx/8w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 tint="-0.34998626667073579"/>
  </sheetPr>
  <dimension ref="A1:F4"/>
  <sheetViews>
    <sheetView workbookViewId="0">
      <selection activeCell="F8" sqref="F8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208</v>
      </c>
      <c r="B1" t="s">
        <v>78</v>
      </c>
      <c r="C1" t="s">
        <v>74</v>
      </c>
      <c r="D1" t="s">
        <v>77</v>
      </c>
      <c r="E1" t="s">
        <v>75</v>
      </c>
      <c r="F1" t="s">
        <v>76</v>
      </c>
    </row>
    <row r="2" spans="1:6" ht="15.75" customHeight="1" x14ac:dyDescent="0.25">
      <c r="A2" s="3" t="s">
        <v>84</v>
      </c>
      <c r="B2" s="21">
        <f>'Entradas de población-año base'!C51</f>
        <v>2.8</v>
      </c>
      <c r="C2" s="21">
        <f>'Entradas de población-año base'!C52</f>
        <v>2.8</v>
      </c>
      <c r="D2" s="21">
        <f>'Entradas de población-año base'!C53</f>
        <v>2.8</v>
      </c>
      <c r="E2" s="21">
        <f>'Entradas de población-año base'!C54</f>
        <v>2.8</v>
      </c>
      <c r="F2" s="21">
        <f>'Entradas de población-año base'!C55</f>
        <v>2.8</v>
      </c>
    </row>
    <row r="3" spans="1:6" ht="15.75" customHeight="1" x14ac:dyDescent="0.25">
      <c r="A3" s="3" t="s">
        <v>6</v>
      </c>
      <c r="B3" s="21">
        <f>frac_mam_1month * 2.6</f>
        <v>0.181607496744186</v>
      </c>
      <c r="C3" s="21">
        <f>frac_mam_1_5months * 2.6</f>
        <v>0.181607496744186</v>
      </c>
      <c r="D3" s="21">
        <f>frac_mam_6_11months * 2.6</f>
        <v>0.10511125813953492</v>
      </c>
      <c r="E3" s="21">
        <f>frac_mam_12_23months * 2.6</f>
        <v>5.5461126046511641E-2</v>
      </c>
      <c r="F3" s="21">
        <f>frac_mam_24_59months * 2.6</f>
        <v>4.6551482325581484E-2</v>
      </c>
    </row>
    <row r="4" spans="1:6" ht="15.75" customHeight="1" x14ac:dyDescent="0.25">
      <c r="A4" s="3" t="s">
        <v>207</v>
      </c>
      <c r="B4" s="21">
        <f>frac_sam_1month * 2.6</f>
        <v>0.12019062325581402</v>
      </c>
      <c r="C4" s="21">
        <f>frac_sam_1_5months * 2.6</f>
        <v>0.12019062325581402</v>
      </c>
      <c r="D4" s="21">
        <f>frac_sam_6_11months * 2.6</f>
        <v>5.3311276744185981E-2</v>
      </c>
      <c r="E4" s="21">
        <f>frac_sam_12_23months * 2.6</f>
        <v>3.5488065116279104E-2</v>
      </c>
      <c r="F4" s="21">
        <f>frac_sam_24_59months * 2.6</f>
        <v>3.2146019069767461E-2</v>
      </c>
    </row>
  </sheetData>
  <sheetProtection algorithmName="SHA-512" hashValue="0gTd5fTbs7CRKROfK4Msra1HpEytRI3kJuUdSc8ycGfN6R+z8hUgKt5DJHrI1/DCdKzIV72ZVMM1phB430TUDA==" saltValue="DO4zoDBAHRYtbncXmZcDYQ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 tint="-0.249977111117893"/>
  </sheetPr>
  <dimension ref="A1:O40"/>
  <sheetViews>
    <sheetView zoomScale="85" zoomScaleNormal="118" workbookViewId="0">
      <selection activeCell="C9" sqref="C9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209</v>
      </c>
      <c r="B1" s="1" t="s">
        <v>163</v>
      </c>
      <c r="C1" s="4" t="s">
        <v>78</v>
      </c>
      <c r="D1" s="4" t="s">
        <v>74</v>
      </c>
      <c r="E1" s="4" t="s">
        <v>77</v>
      </c>
      <c r="F1" s="4" t="s">
        <v>75</v>
      </c>
      <c r="G1" s="4" t="s">
        <v>76</v>
      </c>
      <c r="H1" s="4" t="s">
        <v>113</v>
      </c>
      <c r="I1" s="4" t="s">
        <v>114</v>
      </c>
      <c r="J1" s="4" t="s">
        <v>115</v>
      </c>
      <c r="K1" s="4" t="s">
        <v>116</v>
      </c>
      <c r="L1" s="4" t="s">
        <v>68</v>
      </c>
      <c r="M1" s="4" t="s">
        <v>69</v>
      </c>
      <c r="N1" s="4" t="s">
        <v>70</v>
      </c>
      <c r="O1" s="4" t="s">
        <v>71</v>
      </c>
    </row>
    <row r="2" spans="1:15" ht="15.75" customHeight="1" x14ac:dyDescent="0.3">
      <c r="A2" s="4" t="s">
        <v>83</v>
      </c>
      <c r="B2" s="5" t="s">
        <v>167</v>
      </c>
      <c r="C2" s="60">
        <v>0</v>
      </c>
      <c r="D2" s="60">
        <f>food_insecure</f>
        <v>3.5000000000000003E-2</v>
      </c>
      <c r="E2" s="60">
        <f>food_insecure</f>
        <v>3.5000000000000003E-2</v>
      </c>
      <c r="F2" s="60">
        <f>food_insecure</f>
        <v>3.5000000000000003E-2</v>
      </c>
      <c r="G2" s="60">
        <f>food_insecure</f>
        <v>3.5000000000000003E-2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169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182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184</v>
      </c>
      <c r="C5" s="60">
        <v>0</v>
      </c>
      <c r="D5" s="60">
        <v>0</v>
      </c>
      <c r="E5" s="60">
        <f>food_insecure</f>
        <v>3.5000000000000003E-2</v>
      </c>
      <c r="F5" s="60">
        <f>food_insecure</f>
        <v>3.5000000000000003E-2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190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192</v>
      </c>
      <c r="C7" s="60">
        <f>diarrhoea_1mo*frac_diarrhea_severe</f>
        <v>4.6000000000000006E-2</v>
      </c>
      <c r="D7" s="60">
        <f>diarrhoea_1_5mo*frac_diarrhea_severe</f>
        <v>4.6000000000000006E-2</v>
      </c>
      <c r="E7" s="60">
        <f>diarrhoea_6_11mo*frac_diarrhea_severe</f>
        <v>4.6000000000000006E-2</v>
      </c>
      <c r="F7" s="60">
        <f>diarrhoea_12_23mo*frac_diarrhea_severe</f>
        <v>4.6000000000000006E-2</v>
      </c>
      <c r="G7" s="60">
        <f>diarrhoea_24_59mo*frac_diarrhea_severe</f>
        <v>4.6000000000000006E-2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193</v>
      </c>
      <c r="C8" s="60">
        <v>0</v>
      </c>
      <c r="D8" s="60">
        <v>0</v>
      </c>
      <c r="E8" s="60">
        <f>food_insecure</f>
        <v>3.5000000000000003E-2</v>
      </c>
      <c r="F8" s="60">
        <f>food_insecure</f>
        <v>3.5000000000000003E-2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204</v>
      </c>
      <c r="C9" s="60">
        <v>0</v>
      </c>
      <c r="D9" s="60">
        <v>0</v>
      </c>
      <c r="E9" s="60">
        <f>food_insecure</f>
        <v>3.5000000000000003E-2</v>
      </c>
      <c r="F9" s="60">
        <f>food_insecure</f>
        <v>3.5000000000000003E-2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164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196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202</v>
      </c>
      <c r="C12" s="60">
        <f>diarrhoea_1mo*frac_diarrhea_severe</f>
        <v>4.6000000000000006E-2</v>
      </c>
      <c r="D12" s="60">
        <f>diarrhoea_1_5mo*frac_diarrhea_severe</f>
        <v>4.6000000000000006E-2</v>
      </c>
      <c r="E12" s="60">
        <f>diarrhoea_6_11mo*frac_diarrhea_severe</f>
        <v>4.6000000000000006E-2</v>
      </c>
      <c r="F12" s="60">
        <f>diarrhoea_12_23mo*frac_diarrhea_severe</f>
        <v>4.6000000000000006E-2</v>
      </c>
      <c r="G12" s="60">
        <f>diarrhoea_24_59mo*frac_diarrhea_severe</f>
        <v>4.6000000000000006E-2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203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104</v>
      </c>
      <c r="B15" s="9" t="s">
        <v>165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>food_insecure</f>
        <v>3.5000000000000003E-2</v>
      </c>
      <c r="I15" s="60">
        <f>food_insecure</f>
        <v>3.5000000000000003E-2</v>
      </c>
      <c r="J15" s="60">
        <f>food_insecure</f>
        <v>3.5000000000000003E-2</v>
      </c>
      <c r="K15" s="60">
        <f>food_insecure</f>
        <v>3.5000000000000003E-2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166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v>1</v>
      </c>
      <c r="I16" s="60">
        <v>1</v>
      </c>
      <c r="J16" s="60">
        <v>1</v>
      </c>
      <c r="K16" s="60">
        <v>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178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179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180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0.01</v>
      </c>
      <c r="I19" s="60">
        <f>frac_malaria_risk</f>
        <v>0.01</v>
      </c>
      <c r="J19" s="60">
        <f>frac_malaria_risk</f>
        <v>0.01</v>
      </c>
      <c r="K19" s="60">
        <f>frac_malaria_risk</f>
        <v>0.01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188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189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191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211</v>
      </c>
      <c r="B24" s="11" t="s">
        <v>170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0.249</v>
      </c>
      <c r="M24" s="60">
        <f>famplan_unmet_need</f>
        <v>0.249</v>
      </c>
      <c r="N24" s="60">
        <f>famplan_unmet_need</f>
        <v>0.249</v>
      </c>
      <c r="O24" s="60">
        <f>famplan_unmet_need</f>
        <v>0.249</v>
      </c>
    </row>
    <row r="25" spans="1:15" ht="15.75" customHeight="1" x14ac:dyDescent="0.25">
      <c r="B25" s="11" t="s">
        <v>174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9.5164176589965982E-2</v>
      </c>
      <c r="M25" s="60">
        <f>(1-food_insecure)*(0.49)+food_insecure*(0.7)</f>
        <v>0.49735000000000001</v>
      </c>
      <c r="N25" s="60">
        <f>(1-food_insecure)*(0.49)+food_insecure*(0.7)</f>
        <v>0.49735000000000001</v>
      </c>
      <c r="O25" s="60">
        <f>(1-food_insecure)*(0.49)+food_insecure*(0.7)</f>
        <v>0.49735000000000001</v>
      </c>
    </row>
    <row r="26" spans="1:15" ht="15.75" customHeight="1" x14ac:dyDescent="0.25">
      <c r="B26" s="11" t="s">
        <v>175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4.0784647109985417E-2</v>
      </c>
      <c r="M26" s="60">
        <f>(1-food_insecure)*(0.21)+food_insecure*(0.3)</f>
        <v>0.21315000000000001</v>
      </c>
      <c r="N26" s="60">
        <f>(1-food_insecure)*(0.21)+food_insecure*(0.3)</f>
        <v>0.21315000000000001</v>
      </c>
      <c r="O26" s="60">
        <f>(1-food_insecure)*(0.21)+food_insecure*(0.3)</f>
        <v>0.21315000000000001</v>
      </c>
    </row>
    <row r="27" spans="1:15" ht="15.75" customHeight="1" x14ac:dyDescent="0.25">
      <c r="B27" s="11" t="s">
        <v>176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5.5393644561767666E-2</v>
      </c>
      <c r="M27" s="60">
        <f>(1-food_insecure)*(0.3)</f>
        <v>0.28949999999999998</v>
      </c>
      <c r="N27" s="60">
        <f>(1-food_insecure)*(0.3)</f>
        <v>0.28949999999999998</v>
      </c>
      <c r="O27" s="60">
        <f>(1-food_insecure)*(0.3)</f>
        <v>0.28949999999999998</v>
      </c>
    </row>
    <row r="28" spans="1:15" ht="15.75" customHeight="1" x14ac:dyDescent="0.25">
      <c r="B28" s="11" t="s">
        <v>177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0.80865753173828092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210</v>
      </c>
      <c r="B30" s="5" t="s">
        <v>171</v>
      </c>
      <c r="C30" s="60">
        <v>0</v>
      </c>
      <c r="D30" s="60">
        <v>0</v>
      </c>
      <c r="E30" s="60">
        <f t="shared" ref="E30:O30" si="0">frac_maize</f>
        <v>0.01</v>
      </c>
      <c r="F30" s="60">
        <f t="shared" si="0"/>
        <v>0.01</v>
      </c>
      <c r="G30" s="60">
        <f t="shared" si="0"/>
        <v>0.01</v>
      </c>
      <c r="H30" s="60">
        <f t="shared" si="0"/>
        <v>0.01</v>
      </c>
      <c r="I30" s="60">
        <f t="shared" si="0"/>
        <v>0.01</v>
      </c>
      <c r="J30" s="60">
        <f t="shared" si="0"/>
        <v>0.01</v>
      </c>
      <c r="K30" s="60">
        <f t="shared" si="0"/>
        <v>0.01</v>
      </c>
      <c r="L30" s="60">
        <f t="shared" si="0"/>
        <v>0.01</v>
      </c>
      <c r="M30" s="60">
        <f t="shared" si="0"/>
        <v>0.01</v>
      </c>
      <c r="N30" s="60">
        <f t="shared" si="0"/>
        <v>0.01</v>
      </c>
      <c r="O30" s="60">
        <f t="shared" si="0"/>
        <v>0.01</v>
      </c>
    </row>
    <row r="31" spans="1:15" ht="15.75" customHeight="1" x14ac:dyDescent="0.25">
      <c r="B31" s="5" t="s">
        <v>172</v>
      </c>
      <c r="C31" s="60">
        <v>0</v>
      </c>
      <c r="D31" s="60">
        <v>0</v>
      </c>
      <c r="E31" s="60">
        <f t="shared" ref="E31:O31" si="1">frac_rice</f>
        <v>0.01</v>
      </c>
      <c r="F31" s="60">
        <f t="shared" si="1"/>
        <v>0.01</v>
      </c>
      <c r="G31" s="60">
        <f t="shared" si="1"/>
        <v>0.01</v>
      </c>
      <c r="H31" s="60">
        <f t="shared" si="1"/>
        <v>0.01</v>
      </c>
      <c r="I31" s="60">
        <f t="shared" si="1"/>
        <v>0.01</v>
      </c>
      <c r="J31" s="60">
        <f t="shared" si="1"/>
        <v>0.01</v>
      </c>
      <c r="K31" s="60">
        <f t="shared" si="1"/>
        <v>0.01</v>
      </c>
      <c r="L31" s="60">
        <f t="shared" si="1"/>
        <v>0.01</v>
      </c>
      <c r="M31" s="60">
        <f t="shared" si="1"/>
        <v>0.01</v>
      </c>
      <c r="N31" s="60">
        <f t="shared" si="1"/>
        <v>0.01</v>
      </c>
      <c r="O31" s="60">
        <f t="shared" si="1"/>
        <v>0.01</v>
      </c>
    </row>
    <row r="32" spans="1:15" ht="15.75" customHeight="1" x14ac:dyDescent="0.25">
      <c r="B32" s="5" t="s">
        <v>173</v>
      </c>
      <c r="C32" s="60">
        <v>0</v>
      </c>
      <c r="D32" s="60">
        <v>0</v>
      </c>
      <c r="E32" s="60">
        <f t="shared" ref="E32:O32" si="2">frac_wheat</f>
        <v>0.98</v>
      </c>
      <c r="F32" s="60">
        <f t="shared" si="2"/>
        <v>0.98</v>
      </c>
      <c r="G32" s="60">
        <f t="shared" si="2"/>
        <v>0.98</v>
      </c>
      <c r="H32" s="60">
        <f t="shared" si="2"/>
        <v>0.98</v>
      </c>
      <c r="I32" s="60">
        <f t="shared" si="2"/>
        <v>0.98</v>
      </c>
      <c r="J32" s="60">
        <f t="shared" si="2"/>
        <v>0.98</v>
      </c>
      <c r="K32" s="60">
        <f t="shared" si="2"/>
        <v>0.98</v>
      </c>
      <c r="L32" s="60">
        <f t="shared" si="2"/>
        <v>0.98</v>
      </c>
      <c r="M32" s="60">
        <f t="shared" si="2"/>
        <v>0.98</v>
      </c>
      <c r="N32" s="60">
        <f t="shared" si="2"/>
        <v>0.98</v>
      </c>
      <c r="O32" s="60">
        <f t="shared" si="2"/>
        <v>0.98</v>
      </c>
    </row>
    <row r="33" spans="2:15" ht="15.75" customHeight="1" x14ac:dyDescent="0.25">
      <c r="B33" s="5" t="s">
        <v>181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185</v>
      </c>
      <c r="C34" s="60">
        <f t="shared" ref="C34:O34" si="3">frac_malaria_risk</f>
        <v>0.01</v>
      </c>
      <c r="D34" s="60">
        <f t="shared" si="3"/>
        <v>0.01</v>
      </c>
      <c r="E34" s="60">
        <f t="shared" si="3"/>
        <v>0.01</v>
      </c>
      <c r="F34" s="60">
        <f t="shared" si="3"/>
        <v>0.01</v>
      </c>
      <c r="G34" s="60">
        <f t="shared" si="3"/>
        <v>0.01</v>
      </c>
      <c r="H34" s="60">
        <f t="shared" si="3"/>
        <v>0.01</v>
      </c>
      <c r="I34" s="60">
        <f t="shared" si="3"/>
        <v>0.01</v>
      </c>
      <c r="J34" s="60">
        <f t="shared" si="3"/>
        <v>0.01</v>
      </c>
      <c r="K34" s="60">
        <f t="shared" si="3"/>
        <v>0.01</v>
      </c>
      <c r="L34" s="60">
        <f t="shared" si="3"/>
        <v>0.01</v>
      </c>
      <c r="M34" s="60">
        <f t="shared" si="3"/>
        <v>0.01</v>
      </c>
      <c r="N34" s="60">
        <f t="shared" si="3"/>
        <v>0.01</v>
      </c>
      <c r="O34" s="60">
        <f t="shared" si="3"/>
        <v>0.01</v>
      </c>
    </row>
    <row r="35" spans="2:15" ht="15.75" customHeight="1" x14ac:dyDescent="0.25">
      <c r="B35" s="9" t="s">
        <v>197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198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199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200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201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IQKfziW5xMnvZjkYWC1CgJ3C09DVe6cC07fSz6jqQruxskA1HRvoD4PPaxPV23qCwkIRpMz7rAVKsNE72CcsmA==" saltValue="F6KhOWeVNwhj5ZpjwWbpfw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183</v>
      </c>
    </row>
    <row r="2" spans="1:1" x14ac:dyDescent="0.25">
      <c r="A2" s="8" t="s">
        <v>213</v>
      </c>
    </row>
    <row r="3" spans="1:1" x14ac:dyDescent="0.25">
      <c r="A3" s="8" t="s">
        <v>212</v>
      </c>
    </row>
    <row r="4" spans="1:1" x14ac:dyDescent="0.25">
      <c r="A4" s="8" t="s">
        <v>214</v>
      </c>
    </row>
  </sheetData>
  <sheetProtection algorithmName="SHA-512" hashValue="7JudioNWAqsUF7BDhGGbDTWm0a0jTqBm+tCxjNAVjClEXW0j7O5EQxuq3yGwnVur/Jox3M3CNR93QMdD4e621g==" saltValue="L7FEHVcT2nJ32c6+2ISA7w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6" width="11.453125" style="8" customWidth="1"/>
    <col min="7" max="16384" width="11.453125" style="8"/>
  </cols>
  <sheetData>
    <row r="1" spans="1:5" ht="13" customHeight="1" x14ac:dyDescent="0.3">
      <c r="A1" s="4" t="s">
        <v>223</v>
      </c>
      <c r="B1" s="4" t="s">
        <v>216</v>
      </c>
      <c r="C1" s="4" t="s">
        <v>227</v>
      </c>
      <c r="D1" s="4" t="s">
        <v>145</v>
      </c>
      <c r="E1" s="4" t="s">
        <v>225</v>
      </c>
    </row>
    <row r="2" spans="1:5" ht="14" customHeight="1" x14ac:dyDescent="0.3">
      <c r="A2" s="28" t="s">
        <v>215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222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217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221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220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224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226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218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219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BxmEk2WH7uss0PWI4O+5+65Ge2awlZG3bLpVDTYC/yoKs7/7VHK6olQwaXM75Yf5a3LkXowuuNnV5wkNHvU2nw==" saltValue="BOLAMtsaFw9wigDpuxMLqQ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 tint="-0.249977111117893"/>
  </sheetPr>
  <dimension ref="A1:P42"/>
  <sheetViews>
    <sheetView topLeftCell="A16" workbookViewId="0">
      <selection activeCell="C12" sqref="C12"/>
    </sheetView>
  </sheetViews>
  <sheetFormatPr defaultColWidth="16.08984375" defaultRowHeight="15.75" customHeight="1" x14ac:dyDescent="0.35"/>
  <cols>
    <col min="1" max="1" width="22.179687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6" width="16.08984375" style="37" customWidth="1"/>
    <col min="17" max="16384" width="16.08984375" style="37"/>
  </cols>
  <sheetData>
    <row r="1" spans="1:15" ht="15.75" customHeight="1" x14ac:dyDescent="0.35">
      <c r="A1" s="4" t="s">
        <v>209</v>
      </c>
      <c r="B1" s="1" t="s">
        <v>163</v>
      </c>
      <c r="C1" s="4" t="s">
        <v>78</v>
      </c>
      <c r="D1" s="4" t="s">
        <v>74</v>
      </c>
      <c r="E1" s="4" t="s">
        <v>77</v>
      </c>
      <c r="F1" s="4" t="s">
        <v>75</v>
      </c>
      <c r="G1" s="4" t="s">
        <v>76</v>
      </c>
      <c r="H1" s="4" t="s">
        <v>113</v>
      </c>
      <c r="I1" s="4" t="s">
        <v>114</v>
      </c>
      <c r="J1" s="4" t="s">
        <v>115</v>
      </c>
      <c r="K1" s="4" t="s">
        <v>116</v>
      </c>
      <c r="L1" s="4" t="s">
        <v>68</v>
      </c>
      <c r="M1" s="4" t="s">
        <v>69</v>
      </c>
      <c r="N1" s="4" t="s">
        <v>70</v>
      </c>
      <c r="O1" s="4" t="s">
        <v>71</v>
      </c>
    </row>
    <row r="2" spans="1:15" ht="15.75" customHeight="1" x14ac:dyDescent="0.35">
      <c r="A2" s="4" t="s">
        <v>83</v>
      </c>
      <c r="B2" s="5" t="s">
        <v>167</v>
      </c>
      <c r="C2" s="87">
        <v>0</v>
      </c>
      <c r="D2" s="87">
        <v>1</v>
      </c>
      <c r="E2" s="87">
        <v>1</v>
      </c>
      <c r="F2" s="87">
        <v>1</v>
      </c>
      <c r="G2" s="87">
        <v>1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169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151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152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153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182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184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190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192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193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204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164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196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202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203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104</v>
      </c>
      <c r="B18" s="5" t="s">
        <v>165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166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178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179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180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188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189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191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" customHeight="1" x14ac:dyDescent="0.35">
      <c r="A27" s="4" t="s">
        <v>211</v>
      </c>
      <c r="B27" s="5" t="s">
        <v>170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174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175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176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177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210</v>
      </c>
      <c r="B33" s="5" t="s">
        <v>171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172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173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181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185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197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198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199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200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201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9n2NmqJJ2DosTUAFn0xHJaCrcKfVM2biSHV1C0/+e/AkTEqUxFWItVU6746dGlnNPOfKPH4Rfs1JMUPTXnTEYw==" saltValue="2ghl43vm6IoLjEFKqqRFjA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 tint="-0.249977111117893"/>
  </sheetPr>
  <dimension ref="A1:K39"/>
  <sheetViews>
    <sheetView workbookViewId="0">
      <selection activeCell="D14" sqref="D14"/>
    </sheetView>
  </sheetViews>
  <sheetFormatPr defaultColWidth="12.81640625" defaultRowHeight="12.5" x14ac:dyDescent="0.25"/>
  <cols>
    <col min="1" max="1" width="58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163</v>
      </c>
      <c r="B1" s="8" t="s">
        <v>230</v>
      </c>
      <c r="C1" s="8" t="s">
        <v>105</v>
      </c>
      <c r="D1" s="8" t="s">
        <v>231</v>
      </c>
      <c r="E1" s="8" t="s">
        <v>232</v>
      </c>
      <c r="F1" s="8" t="s">
        <v>123</v>
      </c>
      <c r="G1" s="8" t="s">
        <v>84</v>
      </c>
      <c r="H1" s="8" t="s">
        <v>37</v>
      </c>
      <c r="I1" s="8" t="s">
        <v>229</v>
      </c>
      <c r="J1" s="8" t="s">
        <v>22</v>
      </c>
      <c r="K1" s="8" t="s">
        <v>228</v>
      </c>
    </row>
    <row r="2" spans="1:11" x14ac:dyDescent="0.25">
      <c r="A2" s="5" t="s">
        <v>165</v>
      </c>
      <c r="B2" s="87"/>
      <c r="C2" s="87"/>
      <c r="D2" s="87"/>
      <c r="E2" s="87"/>
      <c r="F2" s="87"/>
      <c r="G2" s="87"/>
      <c r="H2" s="87"/>
      <c r="I2" s="87" t="s">
        <v>5</v>
      </c>
      <c r="J2" s="87"/>
      <c r="K2" s="87"/>
    </row>
    <row r="3" spans="1:11" x14ac:dyDescent="0.25">
      <c r="A3" s="5" t="s">
        <v>166</v>
      </c>
      <c r="B3" s="87"/>
      <c r="C3" s="87"/>
      <c r="D3" s="87"/>
      <c r="E3" s="87"/>
      <c r="F3" s="87"/>
      <c r="G3" s="87"/>
      <c r="H3" s="87" t="s">
        <v>5</v>
      </c>
      <c r="I3" s="87"/>
      <c r="J3" s="87"/>
      <c r="K3" s="87"/>
    </row>
    <row r="4" spans="1:11" x14ac:dyDescent="0.25">
      <c r="A4" s="5" t="s">
        <v>167</v>
      </c>
      <c r="B4" s="87"/>
      <c r="C4" s="87"/>
      <c r="D4" s="87" t="s">
        <v>5</v>
      </c>
      <c r="E4" s="87"/>
      <c r="F4" s="87"/>
      <c r="G4" s="87"/>
      <c r="H4" s="87"/>
      <c r="I4" s="87"/>
      <c r="J4" s="87"/>
      <c r="K4" s="87"/>
    </row>
    <row r="5" spans="1:11" x14ac:dyDescent="0.25">
      <c r="A5" s="5" t="s">
        <v>169</v>
      </c>
      <c r="B5" s="87"/>
      <c r="C5" s="87" t="s">
        <v>5</v>
      </c>
      <c r="D5" s="87"/>
      <c r="E5" s="87"/>
      <c r="F5" s="87"/>
      <c r="G5" s="87"/>
      <c r="H5" s="87"/>
      <c r="I5" s="87"/>
      <c r="J5" s="87"/>
      <c r="K5" s="87"/>
    </row>
    <row r="6" spans="1:11" x14ac:dyDescent="0.25">
      <c r="A6" s="5" t="s">
        <v>170</v>
      </c>
      <c r="B6" s="87"/>
      <c r="C6" s="87"/>
      <c r="D6" s="87"/>
      <c r="E6" s="87"/>
      <c r="F6" s="87"/>
      <c r="G6" s="87"/>
      <c r="H6" s="87"/>
      <c r="I6" s="87"/>
      <c r="J6" s="87" t="s">
        <v>5</v>
      </c>
      <c r="K6" s="87" t="s">
        <v>5</v>
      </c>
    </row>
    <row r="7" spans="1:11" x14ac:dyDescent="0.25">
      <c r="A7" s="5" t="s">
        <v>171</v>
      </c>
      <c r="B7" s="87"/>
      <c r="C7" s="87" t="s">
        <v>5</v>
      </c>
      <c r="D7" s="87"/>
      <c r="E7" s="87"/>
      <c r="F7" s="87"/>
      <c r="G7" s="87"/>
      <c r="H7" s="87" t="s">
        <v>5</v>
      </c>
      <c r="I7" s="87"/>
      <c r="J7" s="87"/>
      <c r="K7" s="87"/>
    </row>
    <row r="8" spans="1:11" x14ac:dyDescent="0.25">
      <c r="A8" s="5" t="s">
        <v>172</v>
      </c>
      <c r="B8" s="87"/>
      <c r="C8" s="87" t="s">
        <v>5</v>
      </c>
      <c r="D8" s="87"/>
      <c r="E8" s="87"/>
      <c r="F8" s="87"/>
      <c r="G8" s="87"/>
      <c r="H8" s="87" t="s">
        <v>5</v>
      </c>
      <c r="I8" s="87"/>
      <c r="J8" s="87"/>
      <c r="K8" s="87"/>
    </row>
    <row r="9" spans="1:11" x14ac:dyDescent="0.25">
      <c r="A9" s="5" t="s">
        <v>173</v>
      </c>
      <c r="B9" s="87"/>
      <c r="C9" s="87" t="s">
        <v>5</v>
      </c>
      <c r="D9" s="87"/>
      <c r="E9" s="87"/>
      <c r="F9" s="87"/>
      <c r="G9" s="87"/>
      <c r="H9" s="87" t="s">
        <v>5</v>
      </c>
      <c r="I9" s="87"/>
      <c r="J9" s="87"/>
      <c r="K9" s="87"/>
    </row>
    <row r="10" spans="1:11" x14ac:dyDescent="0.25">
      <c r="A10" s="11" t="s">
        <v>174</v>
      </c>
      <c r="B10" s="87"/>
      <c r="C10" s="87" t="s">
        <v>5</v>
      </c>
      <c r="D10" s="87"/>
      <c r="E10" s="87"/>
      <c r="F10" s="87"/>
      <c r="G10" s="87"/>
      <c r="H10" s="87"/>
      <c r="I10" s="87"/>
      <c r="J10" s="87"/>
      <c r="K10" s="87"/>
    </row>
    <row r="11" spans="1:11" x14ac:dyDescent="0.25">
      <c r="A11" s="11" t="s">
        <v>175</v>
      </c>
      <c r="B11" s="87"/>
      <c r="C11" s="87" t="s">
        <v>5</v>
      </c>
      <c r="D11" s="87"/>
      <c r="E11" s="87"/>
      <c r="F11" s="87"/>
      <c r="G11" s="87"/>
      <c r="H11" s="87"/>
      <c r="I11" s="87"/>
      <c r="J11" s="87"/>
      <c r="K11" s="87"/>
    </row>
    <row r="12" spans="1:11" x14ac:dyDescent="0.25">
      <c r="A12" s="11" t="s">
        <v>176</v>
      </c>
      <c r="B12" s="87"/>
      <c r="C12" s="87" t="s">
        <v>5</v>
      </c>
      <c r="D12" s="87"/>
      <c r="E12" s="87"/>
      <c r="F12" s="87"/>
      <c r="G12" s="87"/>
      <c r="H12" s="87"/>
      <c r="I12" s="87"/>
      <c r="J12" s="87"/>
      <c r="K12" s="87"/>
    </row>
    <row r="13" spans="1:11" x14ac:dyDescent="0.25">
      <c r="A13" s="11" t="s">
        <v>177</v>
      </c>
      <c r="B13" s="87"/>
      <c r="C13" s="87" t="s">
        <v>5</v>
      </c>
      <c r="D13" s="87"/>
      <c r="E13" s="87"/>
      <c r="F13" s="87"/>
      <c r="G13" s="87"/>
      <c r="H13" s="87"/>
      <c r="I13" s="87"/>
      <c r="J13" s="87"/>
      <c r="K13" s="87"/>
    </row>
    <row r="14" spans="1:11" x14ac:dyDescent="0.25">
      <c r="A14" s="5" t="s">
        <v>178</v>
      </c>
      <c r="B14" s="87"/>
      <c r="C14" s="87" t="s">
        <v>5</v>
      </c>
      <c r="D14" s="87"/>
      <c r="E14" s="87"/>
      <c r="F14" s="87"/>
      <c r="G14" s="87"/>
      <c r="H14" s="87"/>
      <c r="I14" s="87" t="s">
        <v>5</v>
      </c>
      <c r="J14" s="87"/>
      <c r="K14" s="87"/>
    </row>
    <row r="15" spans="1:11" x14ac:dyDescent="0.25">
      <c r="A15" s="5" t="s">
        <v>179</v>
      </c>
      <c r="B15" s="87"/>
      <c r="C15" s="87" t="s">
        <v>5</v>
      </c>
      <c r="D15" s="87"/>
      <c r="E15" s="87"/>
      <c r="F15" s="87"/>
      <c r="G15" s="87"/>
      <c r="H15" s="87"/>
      <c r="I15" s="87" t="s">
        <v>5</v>
      </c>
      <c r="J15" s="87"/>
      <c r="K15" s="87"/>
    </row>
    <row r="16" spans="1:11" x14ac:dyDescent="0.25">
      <c r="A16" s="5" t="s">
        <v>180</v>
      </c>
      <c r="B16" s="87"/>
      <c r="C16" s="87" t="s">
        <v>5</v>
      </c>
      <c r="D16" s="87"/>
      <c r="E16" s="87"/>
      <c r="F16" s="87"/>
      <c r="G16" s="87"/>
      <c r="H16" s="87" t="s">
        <v>5</v>
      </c>
      <c r="I16" s="87" t="s">
        <v>5</v>
      </c>
      <c r="J16" s="87"/>
      <c r="K16" s="87"/>
    </row>
    <row r="17" spans="1:11" x14ac:dyDescent="0.25">
      <c r="A17" s="5" t="s">
        <v>181</v>
      </c>
      <c r="B17" s="87"/>
      <c r="C17" s="87" t="s">
        <v>5</v>
      </c>
      <c r="D17" s="87"/>
      <c r="E17" s="87"/>
      <c r="F17" s="87"/>
      <c r="G17" s="87"/>
      <c r="H17" s="87"/>
      <c r="I17" s="87"/>
      <c r="J17" s="87"/>
      <c r="K17" s="87"/>
    </row>
    <row r="18" spans="1:11" x14ac:dyDescent="0.25">
      <c r="A18" s="5" t="s">
        <v>151</v>
      </c>
      <c r="B18" s="87" t="s">
        <v>5</v>
      </c>
      <c r="C18" s="87"/>
      <c r="D18" s="87"/>
      <c r="E18" s="87"/>
      <c r="F18" s="87" t="s">
        <v>5</v>
      </c>
      <c r="G18" s="87"/>
      <c r="H18" s="87"/>
      <c r="I18" s="87"/>
      <c r="J18" s="87"/>
      <c r="K18" s="87"/>
    </row>
    <row r="19" spans="1:11" x14ac:dyDescent="0.25">
      <c r="A19" s="5" t="s">
        <v>152</v>
      </c>
      <c r="B19" s="87" t="s">
        <v>5</v>
      </c>
      <c r="C19" s="87"/>
      <c r="D19" s="87"/>
      <c r="E19" s="87"/>
      <c r="F19" s="87" t="s">
        <v>5</v>
      </c>
      <c r="G19" s="87"/>
      <c r="H19" s="87"/>
      <c r="I19" s="87"/>
      <c r="J19" s="87"/>
      <c r="K19" s="87"/>
    </row>
    <row r="20" spans="1:11" x14ac:dyDescent="0.25">
      <c r="A20" s="5" t="s">
        <v>153</v>
      </c>
      <c r="B20" s="87" t="s">
        <v>5</v>
      </c>
      <c r="C20" s="87"/>
      <c r="D20" s="87"/>
      <c r="E20" s="87"/>
      <c r="F20" s="87" t="s">
        <v>5</v>
      </c>
      <c r="G20" s="87"/>
      <c r="H20" s="87"/>
      <c r="I20" s="87"/>
      <c r="J20" s="87"/>
      <c r="K20" s="87"/>
    </row>
    <row r="21" spans="1:11" x14ac:dyDescent="0.25">
      <c r="A21" s="5" t="s">
        <v>182</v>
      </c>
      <c r="B21" s="87"/>
      <c r="C21" s="87"/>
      <c r="D21" s="87"/>
      <c r="E21" s="87"/>
      <c r="F21" s="87"/>
      <c r="G21" s="87"/>
      <c r="H21" s="87" t="s">
        <v>5</v>
      </c>
      <c r="I21" s="87" t="s">
        <v>5</v>
      </c>
      <c r="J21" s="87"/>
      <c r="K21" s="87"/>
    </row>
    <row r="22" spans="1:11" x14ac:dyDescent="0.25">
      <c r="A22" s="5" t="s">
        <v>184</v>
      </c>
      <c r="B22" s="87" t="s">
        <v>5</v>
      </c>
      <c r="C22" s="87" t="s">
        <v>5</v>
      </c>
      <c r="D22" s="87" t="s">
        <v>5</v>
      </c>
      <c r="E22" s="87"/>
      <c r="F22" s="87"/>
      <c r="G22" s="87"/>
      <c r="H22" s="87"/>
      <c r="I22" s="87"/>
      <c r="J22" s="87"/>
      <c r="K22" s="87"/>
    </row>
    <row r="23" spans="1:11" x14ac:dyDescent="0.25">
      <c r="A23" s="5" t="s">
        <v>185</v>
      </c>
      <c r="B23" s="87"/>
      <c r="C23" s="87" t="s">
        <v>5</v>
      </c>
      <c r="D23" s="87"/>
      <c r="E23" s="87"/>
      <c r="F23" s="87"/>
      <c r="G23" s="87"/>
      <c r="H23" s="87"/>
      <c r="I23" s="87" t="s">
        <v>5</v>
      </c>
      <c r="J23" s="87"/>
      <c r="K23" s="87"/>
    </row>
    <row r="24" spans="1:11" x14ac:dyDescent="0.25">
      <c r="A24" s="5" t="s">
        <v>188</v>
      </c>
      <c r="B24" s="87"/>
      <c r="C24" s="87"/>
      <c r="D24" s="87"/>
      <c r="E24" s="87"/>
      <c r="F24" s="87"/>
      <c r="G24" s="87"/>
      <c r="H24" s="87" t="s">
        <v>5</v>
      </c>
      <c r="I24" s="87"/>
      <c r="J24" s="87"/>
      <c r="K24" s="87"/>
    </row>
    <row r="25" spans="1:11" x14ac:dyDescent="0.25">
      <c r="A25" s="5" t="s">
        <v>189</v>
      </c>
      <c r="B25" s="87"/>
      <c r="C25" s="87"/>
      <c r="D25" s="87"/>
      <c r="E25" s="87"/>
      <c r="F25" s="87"/>
      <c r="G25" s="87"/>
      <c r="H25" s="87" t="s">
        <v>5</v>
      </c>
      <c r="I25" s="87"/>
      <c r="J25" s="87"/>
      <c r="K25" s="87"/>
    </row>
    <row r="26" spans="1:11" x14ac:dyDescent="0.25">
      <c r="A26" s="5" t="s">
        <v>190</v>
      </c>
      <c r="B26" s="87"/>
      <c r="C26" s="87" t="s">
        <v>5</v>
      </c>
      <c r="D26" s="87"/>
      <c r="E26" s="87"/>
      <c r="F26" s="87"/>
      <c r="G26" s="87"/>
      <c r="H26" s="87"/>
      <c r="I26" s="87"/>
      <c r="J26" s="87"/>
      <c r="K26" s="87"/>
    </row>
    <row r="27" spans="1:11" x14ac:dyDescent="0.25">
      <c r="A27" s="5" t="s">
        <v>191</v>
      </c>
      <c r="B27" s="87"/>
      <c r="C27" s="87" t="s">
        <v>5</v>
      </c>
      <c r="D27" s="87"/>
      <c r="E27" s="87"/>
      <c r="F27" s="87"/>
      <c r="G27" s="87"/>
      <c r="H27" s="87"/>
      <c r="I27" s="87" t="s">
        <v>5</v>
      </c>
      <c r="J27" s="87"/>
      <c r="K27" s="87"/>
    </row>
    <row r="28" spans="1:11" x14ac:dyDescent="0.25">
      <c r="A28" s="5" t="s">
        <v>192</v>
      </c>
      <c r="B28" s="87"/>
      <c r="C28" s="87"/>
      <c r="D28" s="87"/>
      <c r="E28" s="87"/>
      <c r="F28" s="87"/>
      <c r="G28" s="87"/>
      <c r="H28" s="87" t="s">
        <v>5</v>
      </c>
      <c r="I28" s="87"/>
      <c r="J28" s="87"/>
      <c r="K28" s="87"/>
    </row>
    <row r="29" spans="1:11" x14ac:dyDescent="0.25">
      <c r="A29" s="5" t="s">
        <v>193</v>
      </c>
      <c r="B29" s="87" t="s">
        <v>5</v>
      </c>
      <c r="C29" s="87"/>
      <c r="D29" s="87" t="s">
        <v>5</v>
      </c>
      <c r="E29" s="87"/>
      <c r="F29" s="87"/>
      <c r="G29" s="87"/>
      <c r="H29" s="87"/>
      <c r="I29" s="87"/>
      <c r="J29" s="87"/>
      <c r="K29" s="87"/>
    </row>
    <row r="30" spans="1:11" x14ac:dyDescent="0.25">
      <c r="A30" s="5" t="s">
        <v>204</v>
      </c>
      <c r="B30" s="87" t="s">
        <v>5</v>
      </c>
      <c r="C30" s="87" t="s">
        <v>5</v>
      </c>
      <c r="D30" s="87" t="s">
        <v>5</v>
      </c>
      <c r="E30" s="87"/>
      <c r="F30" s="87"/>
      <c r="G30" s="87"/>
      <c r="H30" s="87"/>
      <c r="I30" s="87"/>
      <c r="J30" s="87"/>
      <c r="K30" s="87"/>
    </row>
    <row r="31" spans="1:11" x14ac:dyDescent="0.25">
      <c r="A31" s="5" t="s">
        <v>164</v>
      </c>
      <c r="B31" s="87"/>
      <c r="C31" s="87"/>
      <c r="D31" s="87"/>
      <c r="E31" s="87" t="s">
        <v>5</v>
      </c>
      <c r="F31" s="87"/>
      <c r="G31" s="87"/>
      <c r="H31" s="87"/>
      <c r="I31" s="87"/>
      <c r="J31" s="87"/>
      <c r="K31" s="87"/>
    </row>
    <row r="32" spans="1:11" x14ac:dyDescent="0.25">
      <c r="A32" s="5" t="s">
        <v>196</v>
      </c>
      <c r="B32" s="87"/>
      <c r="C32" s="87"/>
      <c r="D32" s="87"/>
      <c r="E32" s="87"/>
      <c r="F32" s="87"/>
      <c r="G32" s="87" t="s">
        <v>5</v>
      </c>
      <c r="H32" s="87" t="s">
        <v>5</v>
      </c>
      <c r="I32" s="87"/>
      <c r="J32" s="87"/>
      <c r="K32" s="87"/>
    </row>
    <row r="33" spans="1:11" x14ac:dyDescent="0.25">
      <c r="A33" s="5" t="s">
        <v>197</v>
      </c>
      <c r="B33" s="87"/>
      <c r="C33" s="87"/>
      <c r="D33" s="87"/>
      <c r="E33" s="87"/>
      <c r="F33" s="87"/>
      <c r="G33" s="87" t="s">
        <v>5</v>
      </c>
      <c r="H33" s="87" t="s">
        <v>5</v>
      </c>
      <c r="I33" s="87"/>
      <c r="J33" s="87"/>
      <c r="K33" s="87"/>
    </row>
    <row r="34" spans="1:11" x14ac:dyDescent="0.25">
      <c r="A34" s="5" t="s">
        <v>198</v>
      </c>
      <c r="B34" s="87"/>
      <c r="C34" s="87"/>
      <c r="D34" s="87"/>
      <c r="E34" s="87"/>
      <c r="F34" s="87"/>
      <c r="G34" s="87" t="s">
        <v>5</v>
      </c>
      <c r="H34" s="87" t="s">
        <v>5</v>
      </c>
      <c r="I34" s="87"/>
      <c r="J34" s="87"/>
      <c r="K34" s="87"/>
    </row>
    <row r="35" spans="1:11" x14ac:dyDescent="0.25">
      <c r="A35" s="5" t="s">
        <v>199</v>
      </c>
      <c r="B35" s="87"/>
      <c r="C35" s="87"/>
      <c r="D35" s="87"/>
      <c r="E35" s="87"/>
      <c r="F35" s="87"/>
      <c r="G35" s="87" t="s">
        <v>5</v>
      </c>
      <c r="H35" s="87" t="s">
        <v>5</v>
      </c>
      <c r="I35" s="87"/>
      <c r="J35" s="87"/>
      <c r="K35" s="87"/>
    </row>
    <row r="36" spans="1:11" x14ac:dyDescent="0.25">
      <c r="A36" s="5" t="s">
        <v>200</v>
      </c>
      <c r="B36" s="87"/>
      <c r="C36" s="87"/>
      <c r="D36" s="87"/>
      <c r="E36" s="87"/>
      <c r="F36" s="87"/>
      <c r="G36" s="87" t="s">
        <v>5</v>
      </c>
      <c r="H36" s="87" t="s">
        <v>5</v>
      </c>
      <c r="I36" s="87"/>
      <c r="J36" s="87"/>
      <c r="K36" s="87"/>
    </row>
    <row r="37" spans="1:11" x14ac:dyDescent="0.25">
      <c r="A37" s="5" t="s">
        <v>201</v>
      </c>
      <c r="B37" s="87"/>
      <c r="C37" s="87"/>
      <c r="D37" s="87"/>
      <c r="E37" s="87"/>
      <c r="F37" s="87"/>
      <c r="G37" s="87" t="s">
        <v>5</v>
      </c>
      <c r="H37" s="87" t="s">
        <v>5</v>
      </c>
      <c r="I37" s="87"/>
      <c r="J37" s="87"/>
      <c r="K37" s="87"/>
    </row>
    <row r="38" spans="1:11" x14ac:dyDescent="0.25">
      <c r="A38" s="5" t="s">
        <v>202</v>
      </c>
      <c r="B38" s="87"/>
      <c r="C38" s="87"/>
      <c r="D38" s="87"/>
      <c r="E38" s="87"/>
      <c r="F38" s="87"/>
      <c r="G38" s="87"/>
      <c r="H38" s="87" t="s">
        <v>5</v>
      </c>
      <c r="I38" s="87"/>
      <c r="J38" s="87"/>
      <c r="K38" s="87"/>
    </row>
    <row r="39" spans="1:11" x14ac:dyDescent="0.25">
      <c r="A39" s="5" t="s">
        <v>203</v>
      </c>
      <c r="B39" s="87" t="s">
        <v>5</v>
      </c>
      <c r="C39" s="87"/>
      <c r="D39" s="87"/>
      <c r="E39" s="87"/>
      <c r="F39" s="87"/>
      <c r="G39" s="87" t="s">
        <v>5</v>
      </c>
      <c r="H39" s="87" t="s">
        <v>5</v>
      </c>
      <c r="I39" s="87"/>
      <c r="J39" s="87"/>
      <c r="K39" s="87"/>
    </row>
  </sheetData>
  <sheetProtection algorithmName="SHA-512" hashValue="jA1loGrJzonR/eEpCURme/luKrrWjY3RTLyWkRObSnwr/ebI9hq1TdOQD0RDIl9T91pPxos/5MbNX529UtBedQ==" saltValue="S9cMdYiR/GMsUViNxOh2NQ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 tint="-0.249977111117893"/>
  </sheetPr>
  <dimension ref="A1:K14"/>
  <sheetViews>
    <sheetView workbookViewId="0">
      <selection activeCell="F8" sqref="F8"/>
    </sheetView>
  </sheetViews>
  <sheetFormatPr defaultColWidth="12.81640625" defaultRowHeight="12.5" x14ac:dyDescent="0.25"/>
  <cols>
    <col min="1" max="1" width="16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233</v>
      </c>
      <c r="B1" s="8" t="s">
        <v>230</v>
      </c>
      <c r="C1" s="8" t="s">
        <v>105</v>
      </c>
      <c r="D1" s="8" t="s">
        <v>231</v>
      </c>
      <c r="E1" s="8" t="s">
        <v>232</v>
      </c>
      <c r="F1" s="8" t="s">
        <v>123</v>
      </c>
      <c r="G1" s="8" t="s">
        <v>84</v>
      </c>
      <c r="H1" s="8" t="s">
        <v>37</v>
      </c>
      <c r="I1" s="8" t="s">
        <v>229</v>
      </c>
      <c r="J1" s="8" t="s">
        <v>22</v>
      </c>
      <c r="K1" s="8" t="s">
        <v>228</v>
      </c>
    </row>
    <row r="2" spans="1:11" x14ac:dyDescent="0.25">
      <c r="A2" s="8" t="s">
        <v>78</v>
      </c>
      <c r="B2" s="87" t="s">
        <v>5</v>
      </c>
      <c r="C2" s="87" t="s">
        <v>5</v>
      </c>
      <c r="D2" s="87" t="s">
        <v>5</v>
      </c>
      <c r="E2" s="87" t="s">
        <v>5</v>
      </c>
      <c r="F2" s="87" t="s">
        <v>5</v>
      </c>
      <c r="G2" s="87" t="s">
        <v>5</v>
      </c>
      <c r="H2" s="87" t="s">
        <v>5</v>
      </c>
      <c r="I2" s="87"/>
      <c r="J2" s="87"/>
      <c r="K2" s="87"/>
    </row>
    <row r="3" spans="1:11" x14ac:dyDescent="0.25">
      <c r="A3" s="8" t="s">
        <v>74</v>
      </c>
      <c r="B3" s="87" t="s">
        <v>5</v>
      </c>
      <c r="C3" s="87" t="s">
        <v>5</v>
      </c>
      <c r="D3" s="87" t="s">
        <v>5</v>
      </c>
      <c r="E3" s="87" t="s">
        <v>5</v>
      </c>
      <c r="F3" s="87" t="s">
        <v>5</v>
      </c>
      <c r="G3" s="87" t="s">
        <v>5</v>
      </c>
      <c r="H3" s="87" t="s">
        <v>5</v>
      </c>
      <c r="I3" s="87"/>
      <c r="J3" s="87"/>
      <c r="K3" s="87"/>
    </row>
    <row r="4" spans="1:11" x14ac:dyDescent="0.25">
      <c r="A4" s="8" t="s">
        <v>77</v>
      </c>
      <c r="B4" s="87" t="s">
        <v>5</v>
      </c>
      <c r="C4" s="87" t="s">
        <v>5</v>
      </c>
      <c r="D4" s="87" t="s">
        <v>5</v>
      </c>
      <c r="E4" s="87" t="s">
        <v>5</v>
      </c>
      <c r="F4" s="87" t="s">
        <v>5</v>
      </c>
      <c r="G4" s="87" t="s">
        <v>5</v>
      </c>
      <c r="H4" s="87" t="s">
        <v>5</v>
      </c>
      <c r="I4" s="87"/>
      <c r="J4" s="87"/>
      <c r="K4" s="87"/>
    </row>
    <row r="5" spans="1:11" x14ac:dyDescent="0.25">
      <c r="A5" s="8" t="s">
        <v>75</v>
      </c>
      <c r="B5" s="87" t="s">
        <v>5</v>
      </c>
      <c r="C5" s="87" t="s">
        <v>5</v>
      </c>
      <c r="D5" s="87" t="s">
        <v>5</v>
      </c>
      <c r="E5" s="87" t="s">
        <v>5</v>
      </c>
      <c r="F5" s="87" t="s">
        <v>5</v>
      </c>
      <c r="G5" s="87" t="s">
        <v>5</v>
      </c>
      <c r="H5" s="87" t="s">
        <v>5</v>
      </c>
      <c r="I5" s="87"/>
      <c r="J5" s="87"/>
      <c r="K5" s="87"/>
    </row>
    <row r="6" spans="1:11" x14ac:dyDescent="0.25">
      <c r="A6" s="8" t="s">
        <v>76</v>
      </c>
      <c r="B6" s="87" t="s">
        <v>5</v>
      </c>
      <c r="C6" s="87" t="s">
        <v>5</v>
      </c>
      <c r="D6" s="87" t="s">
        <v>5</v>
      </c>
      <c r="E6" s="87" t="s">
        <v>5</v>
      </c>
      <c r="F6" s="87" t="s">
        <v>5</v>
      </c>
      <c r="G6" s="87" t="s">
        <v>5</v>
      </c>
      <c r="H6" s="87" t="s">
        <v>5</v>
      </c>
      <c r="I6" s="87"/>
      <c r="J6" s="87"/>
      <c r="K6" s="87"/>
    </row>
    <row r="7" spans="1:11" x14ac:dyDescent="0.25">
      <c r="A7" s="8" t="s">
        <v>113</v>
      </c>
      <c r="B7" s="87"/>
      <c r="C7" s="87" t="s">
        <v>5</v>
      </c>
      <c r="D7" s="87"/>
      <c r="E7" s="87"/>
      <c r="F7" s="87"/>
      <c r="G7" s="87"/>
      <c r="H7" s="87" t="s">
        <v>5</v>
      </c>
      <c r="I7" s="87" t="s">
        <v>5</v>
      </c>
      <c r="J7" s="87"/>
      <c r="K7" s="87"/>
    </row>
    <row r="8" spans="1:11" x14ac:dyDescent="0.25">
      <c r="A8" s="8" t="s">
        <v>114</v>
      </c>
      <c r="B8" s="87"/>
      <c r="C8" s="87" t="s">
        <v>5</v>
      </c>
      <c r="D8" s="87"/>
      <c r="E8" s="87"/>
      <c r="F8" s="87"/>
      <c r="G8" s="87"/>
      <c r="H8" s="87" t="s">
        <v>5</v>
      </c>
      <c r="I8" s="87" t="s">
        <v>5</v>
      </c>
      <c r="J8" s="87"/>
      <c r="K8" s="87"/>
    </row>
    <row r="9" spans="1:11" x14ac:dyDescent="0.25">
      <c r="A9" s="8" t="s">
        <v>115</v>
      </c>
      <c r="B9" s="87"/>
      <c r="C9" s="87" t="s">
        <v>5</v>
      </c>
      <c r="D9" s="87"/>
      <c r="E9" s="87"/>
      <c r="F9" s="87"/>
      <c r="G9" s="87"/>
      <c r="H9" s="87" t="s">
        <v>5</v>
      </c>
      <c r="I9" s="87" t="s">
        <v>5</v>
      </c>
      <c r="J9" s="87"/>
      <c r="K9" s="87"/>
    </row>
    <row r="10" spans="1:11" x14ac:dyDescent="0.25">
      <c r="A10" s="8" t="s">
        <v>116</v>
      </c>
      <c r="B10" s="87"/>
      <c r="C10" s="87" t="s">
        <v>5</v>
      </c>
      <c r="D10" s="87"/>
      <c r="E10" s="87"/>
      <c r="F10" s="87"/>
      <c r="G10" s="87"/>
      <c r="H10" s="87" t="s">
        <v>5</v>
      </c>
      <c r="I10" s="87" t="s">
        <v>5</v>
      </c>
      <c r="J10" s="87"/>
      <c r="K10" s="87"/>
    </row>
    <row r="11" spans="1:11" x14ac:dyDescent="0.25">
      <c r="A11" s="8" t="s">
        <v>68</v>
      </c>
      <c r="B11" s="87"/>
      <c r="C11" s="87" t="s">
        <v>5</v>
      </c>
      <c r="D11" s="87"/>
      <c r="E11" s="87"/>
      <c r="F11" s="87"/>
      <c r="G11" s="87"/>
      <c r="H11" s="87"/>
      <c r="I11" s="87"/>
      <c r="J11" s="87" t="s">
        <v>5</v>
      </c>
      <c r="K11" s="87" t="s">
        <v>5</v>
      </c>
    </row>
    <row r="12" spans="1:11" x14ac:dyDescent="0.25">
      <c r="A12" s="8" t="s">
        <v>69</v>
      </c>
      <c r="B12" s="87"/>
      <c r="C12" s="87" t="s">
        <v>5</v>
      </c>
      <c r="D12" s="87"/>
      <c r="E12" s="87"/>
      <c r="F12" s="87"/>
      <c r="G12" s="87"/>
      <c r="H12" s="87"/>
      <c r="I12" s="87"/>
      <c r="J12" s="87"/>
      <c r="K12" s="87" t="s">
        <v>5</v>
      </c>
    </row>
    <row r="13" spans="1:11" x14ac:dyDescent="0.25">
      <c r="A13" s="8" t="s">
        <v>70</v>
      </c>
      <c r="B13" s="87"/>
      <c r="C13" s="87" t="s">
        <v>5</v>
      </c>
      <c r="D13" s="87"/>
      <c r="E13" s="87"/>
      <c r="F13" s="87"/>
      <c r="G13" s="87"/>
      <c r="H13" s="87"/>
      <c r="I13" s="87"/>
      <c r="J13" s="87"/>
      <c r="K13" s="87" t="s">
        <v>5</v>
      </c>
    </row>
    <row r="14" spans="1:11" x14ac:dyDescent="0.25">
      <c r="A14" s="8" t="s">
        <v>71</v>
      </c>
      <c r="B14" s="87"/>
      <c r="C14" s="87" t="s">
        <v>5</v>
      </c>
      <c r="D14" s="87"/>
      <c r="E14" s="87"/>
      <c r="F14" s="87"/>
      <c r="G14" s="87"/>
      <c r="H14" s="87"/>
      <c r="I14" s="87"/>
      <c r="J14" s="87"/>
      <c r="K14" s="87" t="s">
        <v>5</v>
      </c>
    </row>
  </sheetData>
  <sheetProtection algorithmName="SHA-512" hashValue="CF/JMXRS4k7boIpAsX9fl5ssaFXYpq99MEwjtRtlgJksTIs/ffWiKHoEObC+uEFUbUEm3i4rIFWVfin8Rvf2pQ==" saltValue="W/KhvHgYWAehhm1FIWPjGw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 tint="-0.249977111117893"/>
  </sheetPr>
  <dimension ref="A1:J157"/>
  <sheetViews>
    <sheetView zoomScale="85" zoomScaleNormal="85" workbookViewId="0">
      <selection activeCell="G15" sqref="G15"/>
    </sheetView>
  </sheetViews>
  <sheetFormatPr defaultColWidth="12.816406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4" width="12.81640625" style="8" customWidth="1"/>
    <col min="5" max="16384" width="12.81640625" style="8"/>
  </cols>
  <sheetData>
    <row r="1" spans="1:10" ht="13" customHeight="1" x14ac:dyDescent="0.3">
      <c r="A1" s="4" t="s">
        <v>234</v>
      </c>
      <c r="B1" s="4" t="s">
        <v>156</v>
      </c>
      <c r="C1" s="4" t="s">
        <v>160</v>
      </c>
      <c r="D1" s="4" t="s">
        <v>78</v>
      </c>
      <c r="E1" s="4" t="s">
        <v>74</v>
      </c>
      <c r="F1" s="4" t="s">
        <v>77</v>
      </c>
      <c r="G1" s="4" t="s">
        <v>75</v>
      </c>
      <c r="H1" s="4" t="s">
        <v>76</v>
      </c>
    </row>
    <row r="2" spans="1:10" ht="13" customHeight="1" x14ac:dyDescent="0.3">
      <c r="A2" s="4" t="s">
        <v>236</v>
      </c>
      <c r="B2" s="103" t="s">
        <v>104</v>
      </c>
      <c r="C2" s="8" t="s">
        <v>150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04"/>
      <c r="C3" s="8" t="s">
        <v>149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04"/>
      <c r="C4" s="8" t="s">
        <v>155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03" t="s">
        <v>78</v>
      </c>
      <c r="C5" s="8" t="s">
        <v>150</v>
      </c>
      <c r="D5" s="88">
        <v>1.73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04"/>
      <c r="C6" s="8" t="s">
        <v>149</v>
      </c>
      <c r="D6" s="88">
        <v>1.73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04"/>
      <c r="C7" s="8" t="s">
        <v>155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03" t="s">
        <v>74</v>
      </c>
      <c r="C8" s="8" t="s">
        <v>150</v>
      </c>
      <c r="D8" s="88">
        <v>1</v>
      </c>
      <c r="E8" s="88">
        <v>1.73</v>
      </c>
      <c r="F8" s="88">
        <v>1</v>
      </c>
      <c r="G8" s="88">
        <v>1</v>
      </c>
      <c r="H8" s="88">
        <v>1</v>
      </c>
    </row>
    <row r="9" spans="1:10" x14ac:dyDescent="0.25">
      <c r="B9" s="104"/>
      <c r="C9" s="8" t="s">
        <v>149</v>
      </c>
      <c r="D9" s="88">
        <v>1</v>
      </c>
      <c r="E9" s="88">
        <v>1.73</v>
      </c>
      <c r="F9" s="88">
        <v>1</v>
      </c>
      <c r="G9" s="88">
        <v>1</v>
      </c>
      <c r="H9" s="88">
        <v>1</v>
      </c>
    </row>
    <row r="10" spans="1:10" x14ac:dyDescent="0.25">
      <c r="B10" s="104"/>
      <c r="C10" s="8" t="s">
        <v>155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03" t="s">
        <v>77</v>
      </c>
      <c r="C11" s="8" t="s">
        <v>150</v>
      </c>
      <c r="D11" s="88">
        <v>1</v>
      </c>
      <c r="E11" s="88">
        <v>1</v>
      </c>
      <c r="F11" s="88">
        <v>1.73</v>
      </c>
      <c r="G11" s="88">
        <v>1</v>
      </c>
      <c r="H11" s="88">
        <v>1</v>
      </c>
    </row>
    <row r="12" spans="1:10" x14ac:dyDescent="0.25">
      <c r="B12" s="104"/>
      <c r="C12" s="8" t="s">
        <v>149</v>
      </c>
      <c r="D12" s="88">
        <v>1</v>
      </c>
      <c r="E12" s="88">
        <v>1</v>
      </c>
      <c r="F12" s="88">
        <v>1.73</v>
      </c>
      <c r="G12" s="88">
        <v>1</v>
      </c>
      <c r="H12" s="88">
        <v>1</v>
      </c>
    </row>
    <row r="13" spans="1:10" x14ac:dyDescent="0.25">
      <c r="B13" s="104"/>
      <c r="C13" s="8" t="s">
        <v>155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03" t="s">
        <v>75</v>
      </c>
      <c r="C14" s="8" t="s">
        <v>150</v>
      </c>
      <c r="D14" s="88">
        <v>1</v>
      </c>
      <c r="E14" s="88">
        <v>1</v>
      </c>
      <c r="F14" s="88">
        <v>1</v>
      </c>
      <c r="G14" s="88">
        <v>1.73</v>
      </c>
      <c r="H14" s="88">
        <v>1</v>
      </c>
    </row>
    <row r="15" spans="1:10" x14ac:dyDescent="0.25">
      <c r="B15" s="104"/>
      <c r="C15" s="8" t="s">
        <v>149</v>
      </c>
      <c r="D15" s="88">
        <v>1</v>
      </c>
      <c r="E15" s="88">
        <v>1</v>
      </c>
      <c r="F15" s="88">
        <v>1</v>
      </c>
      <c r="G15" s="88">
        <v>1.73</v>
      </c>
      <c r="H15" s="88">
        <v>1</v>
      </c>
    </row>
    <row r="16" spans="1:10" x14ac:dyDescent="0.25">
      <c r="B16" s="104"/>
      <c r="C16" s="8" t="s">
        <v>155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customHeight="1" x14ac:dyDescent="0.25">
      <c r="B17" s="65" t="s">
        <v>148</v>
      </c>
      <c r="C17" s="8" t="s">
        <v>155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customHeight="1" x14ac:dyDescent="0.3">
      <c r="A19" s="4" t="s">
        <v>242</v>
      </c>
      <c r="B19" s="103" t="s">
        <v>104</v>
      </c>
      <c r="C19" s="8" t="s">
        <v>150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04"/>
      <c r="C20" s="8" t="s">
        <v>149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04"/>
      <c r="C21" s="8" t="s">
        <v>155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03" t="s">
        <v>78</v>
      </c>
      <c r="C22" s="8" t="s">
        <v>150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04"/>
      <c r="C23" s="8" t="s">
        <v>149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04"/>
      <c r="C24" s="8" t="s">
        <v>155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03" t="s">
        <v>74</v>
      </c>
      <c r="C25" s="8" t="s">
        <v>150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04"/>
      <c r="C26" s="8" t="s">
        <v>149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04"/>
      <c r="C27" s="8" t="s">
        <v>155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03" t="s">
        <v>77</v>
      </c>
      <c r="C28" s="8" t="s">
        <v>150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04"/>
      <c r="C29" s="8" t="s">
        <v>149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04"/>
      <c r="C30" s="8" t="s">
        <v>155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03" t="s">
        <v>75</v>
      </c>
      <c r="C31" s="8" t="s">
        <v>150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04"/>
      <c r="C32" s="8" t="s">
        <v>149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04"/>
      <c r="C33" s="8" t="s">
        <v>155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customHeight="1" x14ac:dyDescent="0.25">
      <c r="B34" s="65" t="s">
        <v>148</v>
      </c>
      <c r="C34" s="8" t="s">
        <v>155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customHeight="1" x14ac:dyDescent="0.3">
      <c r="A36" s="66" t="s">
        <v>239</v>
      </c>
      <c r="B36" s="103" t="s">
        <v>104</v>
      </c>
      <c r="C36" s="8" t="s">
        <v>150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04"/>
      <c r="C37" s="8" t="s">
        <v>149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04"/>
      <c r="C38" s="8" t="s">
        <v>155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03" t="s">
        <v>78</v>
      </c>
      <c r="C39" s="8" t="s">
        <v>150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04"/>
      <c r="C40" s="8" t="s">
        <v>149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04"/>
      <c r="C41" s="8" t="s">
        <v>155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03" t="s">
        <v>74</v>
      </c>
      <c r="C42" s="8" t="s">
        <v>150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04"/>
      <c r="C43" s="8" t="s">
        <v>149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04"/>
      <c r="C44" s="8" t="s">
        <v>155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03" t="s">
        <v>77</v>
      </c>
      <c r="C45" s="8" t="s">
        <v>150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04"/>
      <c r="C46" s="8" t="s">
        <v>149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04"/>
      <c r="C47" s="8" t="s">
        <v>155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03" t="s">
        <v>75</v>
      </c>
      <c r="C48" s="8" t="s">
        <v>150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04"/>
      <c r="C49" s="8" t="s">
        <v>149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04"/>
      <c r="C50" s="8" t="s">
        <v>155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customHeight="1" x14ac:dyDescent="0.25">
      <c r="B51" s="65" t="s">
        <v>148</v>
      </c>
      <c r="C51" s="8" t="s">
        <v>155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customHeight="1" x14ac:dyDescent="0.3">
      <c r="A53" s="92" t="s">
        <v>235</v>
      </c>
      <c r="B53" s="92"/>
      <c r="C53" s="92"/>
      <c r="D53" s="92"/>
      <c r="E53" s="92"/>
      <c r="F53" s="92"/>
      <c r="G53" s="92"/>
      <c r="H53" s="92"/>
    </row>
    <row r="54" spans="1:8" ht="13" customHeight="1" x14ac:dyDescent="0.3">
      <c r="A54" s="4" t="s">
        <v>234</v>
      </c>
      <c r="B54" s="4" t="s">
        <v>156</v>
      </c>
      <c r="C54" s="4" t="s">
        <v>160</v>
      </c>
      <c r="D54" s="4" t="s">
        <v>78</v>
      </c>
      <c r="E54" s="4" t="s">
        <v>74</v>
      </c>
      <c r="F54" s="4" t="s">
        <v>77</v>
      </c>
      <c r="G54" s="4" t="s">
        <v>75</v>
      </c>
      <c r="H54" s="4" t="s">
        <v>76</v>
      </c>
    </row>
    <row r="55" spans="1:8" ht="13" customHeight="1" x14ac:dyDescent="0.3">
      <c r="A55" s="4" t="s">
        <v>237</v>
      </c>
      <c r="B55" s="103" t="s">
        <v>104</v>
      </c>
      <c r="C55" s="8" t="s">
        <v>150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04"/>
      <c r="C56" s="8" t="s">
        <v>149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04"/>
      <c r="C57" s="8" t="s">
        <v>155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03" t="s">
        <v>78</v>
      </c>
      <c r="C58" s="8" t="s">
        <v>150</v>
      </c>
      <c r="D58" s="88">
        <v>1.35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04"/>
      <c r="C59" s="8" t="s">
        <v>149</v>
      </c>
      <c r="D59" s="88">
        <v>1.35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04"/>
      <c r="C60" s="8" t="s">
        <v>155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03" t="s">
        <v>74</v>
      </c>
      <c r="C61" s="8" t="s">
        <v>150</v>
      </c>
      <c r="D61" s="88">
        <f t="shared" si="2"/>
        <v>1</v>
      </c>
      <c r="E61" s="88">
        <v>1.35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04"/>
      <c r="C62" s="8" t="s">
        <v>149</v>
      </c>
      <c r="D62" s="88">
        <f t="shared" si="2"/>
        <v>1</v>
      </c>
      <c r="E62" s="88">
        <v>1.35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04"/>
      <c r="C63" s="8" t="s">
        <v>155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03" t="s">
        <v>77</v>
      </c>
      <c r="C64" s="8" t="s">
        <v>150</v>
      </c>
      <c r="D64" s="88">
        <f t="shared" si="2"/>
        <v>1</v>
      </c>
      <c r="E64" s="88">
        <f t="shared" si="4"/>
        <v>1</v>
      </c>
      <c r="F64" s="88">
        <v>1.35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04"/>
      <c r="C65" s="8" t="s">
        <v>149</v>
      </c>
      <c r="D65" s="88">
        <f t="shared" si="2"/>
        <v>1</v>
      </c>
      <c r="E65" s="88">
        <f t="shared" si="4"/>
        <v>1</v>
      </c>
      <c r="F65" s="88">
        <v>1.35</v>
      </c>
      <c r="G65" s="88">
        <f t="shared" si="5"/>
        <v>1</v>
      </c>
      <c r="H65" s="88">
        <f t="shared" si="5"/>
        <v>1</v>
      </c>
    </row>
    <row r="66" spans="1:8" x14ac:dyDescent="0.25">
      <c r="B66" s="104"/>
      <c r="C66" s="8" t="s">
        <v>155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03" t="s">
        <v>75</v>
      </c>
      <c r="C67" s="8" t="s">
        <v>150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1.35</v>
      </c>
      <c r="H67" s="88">
        <f>IF(H14=1,1,H14*0.9)</f>
        <v>1</v>
      </c>
    </row>
    <row r="68" spans="1:8" x14ac:dyDescent="0.25">
      <c r="B68" s="104"/>
      <c r="C68" s="8" t="s">
        <v>149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1.35</v>
      </c>
      <c r="H68" s="88">
        <f>IF(H15=1,1,H15*0.9)</f>
        <v>1</v>
      </c>
    </row>
    <row r="69" spans="1:8" x14ac:dyDescent="0.25">
      <c r="B69" s="104"/>
      <c r="C69" s="8" t="s">
        <v>155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customHeight="1" x14ac:dyDescent="0.25">
      <c r="B70" s="65" t="s">
        <v>148</v>
      </c>
      <c r="C70" s="8" t="s">
        <v>155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customHeight="1" x14ac:dyDescent="0.3">
      <c r="A72" s="4" t="s">
        <v>243</v>
      </c>
      <c r="B72" s="103" t="s">
        <v>104</v>
      </c>
      <c r="C72" s="8" t="s">
        <v>150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04"/>
      <c r="C73" s="8" t="s">
        <v>149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04"/>
      <c r="C74" s="8" t="s">
        <v>155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03" t="s">
        <v>78</v>
      </c>
      <c r="C75" s="8" t="s">
        <v>150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04"/>
      <c r="C76" s="8" t="s">
        <v>149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04"/>
      <c r="C77" s="8" t="s">
        <v>155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03" t="s">
        <v>74</v>
      </c>
      <c r="C78" s="8" t="s">
        <v>150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04"/>
      <c r="C79" s="8" t="s">
        <v>149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04"/>
      <c r="C80" s="8" t="s">
        <v>155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03" t="s">
        <v>77</v>
      </c>
      <c r="C81" s="8" t="s">
        <v>150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04"/>
      <c r="C82" s="8" t="s">
        <v>149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04"/>
      <c r="C83" s="8" t="s">
        <v>155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03" t="s">
        <v>75</v>
      </c>
      <c r="C84" s="8" t="s">
        <v>150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04"/>
      <c r="C85" s="8" t="s">
        <v>149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04"/>
      <c r="C86" s="8" t="s">
        <v>155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customHeight="1" x14ac:dyDescent="0.25">
      <c r="B87" s="65" t="s">
        <v>148</v>
      </c>
      <c r="C87" s="8" t="s">
        <v>155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customHeight="1" x14ac:dyDescent="0.3">
      <c r="A89" s="66" t="s">
        <v>240</v>
      </c>
      <c r="B89" s="103" t="s">
        <v>104</v>
      </c>
      <c r="C89" s="8" t="s">
        <v>150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04"/>
      <c r="C90" s="8" t="s">
        <v>149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04"/>
      <c r="C91" s="8" t="s">
        <v>155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03" t="s">
        <v>78</v>
      </c>
      <c r="C92" s="8" t="s">
        <v>150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04"/>
      <c r="C93" s="8" t="s">
        <v>149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04"/>
      <c r="C94" s="8" t="s">
        <v>155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03" t="s">
        <v>74</v>
      </c>
      <c r="C95" s="8" t="s">
        <v>150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04"/>
      <c r="C96" s="8" t="s">
        <v>149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04"/>
      <c r="C97" s="8" t="s">
        <v>155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03" t="s">
        <v>77</v>
      </c>
      <c r="C98" s="8" t="s">
        <v>150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04"/>
      <c r="C99" s="8" t="s">
        <v>149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04"/>
      <c r="C100" s="8" t="s">
        <v>155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03" t="s">
        <v>75</v>
      </c>
      <c r="C101" s="8" t="s">
        <v>150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04"/>
      <c r="C102" s="8" t="s">
        <v>149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04"/>
      <c r="C103" s="8" t="s">
        <v>155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customHeight="1" x14ac:dyDescent="0.25">
      <c r="B104" s="65" t="s">
        <v>148</v>
      </c>
      <c r="C104" s="8" t="s">
        <v>155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customHeight="1" x14ac:dyDescent="0.3">
      <c r="A106" s="92" t="s">
        <v>245</v>
      </c>
      <c r="B106" s="92"/>
      <c r="C106" s="92"/>
      <c r="D106" s="92"/>
      <c r="E106" s="92"/>
      <c r="F106" s="92"/>
      <c r="G106" s="92"/>
      <c r="H106" s="92"/>
    </row>
    <row r="107" spans="1:8" ht="13" customHeight="1" x14ac:dyDescent="0.3">
      <c r="A107" s="4" t="s">
        <v>234</v>
      </c>
      <c r="B107" s="4" t="s">
        <v>156</v>
      </c>
      <c r="C107" s="4" t="s">
        <v>160</v>
      </c>
      <c r="D107" s="4" t="s">
        <v>78</v>
      </c>
      <c r="E107" s="4" t="s">
        <v>74</v>
      </c>
      <c r="F107" s="4" t="s">
        <v>77</v>
      </c>
      <c r="G107" s="4" t="s">
        <v>75</v>
      </c>
      <c r="H107" s="4" t="s">
        <v>76</v>
      </c>
    </row>
    <row r="108" spans="1:8" ht="13" customHeight="1" x14ac:dyDescent="0.3">
      <c r="A108" s="4" t="s">
        <v>238</v>
      </c>
      <c r="B108" s="103" t="s">
        <v>104</v>
      </c>
      <c r="C108" s="8" t="s">
        <v>150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04"/>
      <c r="C109" s="8" t="s">
        <v>149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04"/>
      <c r="C110" s="8" t="s">
        <v>155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03" t="s">
        <v>78</v>
      </c>
      <c r="C111" s="8" t="s">
        <v>150</v>
      </c>
      <c r="D111" s="88">
        <v>2.11</v>
      </c>
      <c r="E111" s="88">
        <f t="shared" ref="E111:H113" si="11">IF(E5=1,1,E5*1.05)</f>
        <v>1</v>
      </c>
      <c r="F111" s="88">
        <f t="shared" si="11"/>
        <v>1</v>
      </c>
      <c r="G111" s="88">
        <f t="shared" si="11"/>
        <v>1</v>
      </c>
      <c r="H111" s="88">
        <f t="shared" si="11"/>
        <v>1</v>
      </c>
    </row>
    <row r="112" spans="1:8" x14ac:dyDescent="0.25">
      <c r="B112" s="104"/>
      <c r="C112" s="8" t="s">
        <v>149</v>
      </c>
      <c r="D112" s="88">
        <v>2.11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1"/>
        <v>1</v>
      </c>
    </row>
    <row r="113" spans="1:8" x14ac:dyDescent="0.25">
      <c r="B113" s="104"/>
      <c r="C113" s="8" t="s">
        <v>155</v>
      </c>
      <c r="D113" s="88">
        <f t="shared" ref="D113:D123" si="12">IF(D7=1,1,D7*1.05)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1"/>
        <v>1</v>
      </c>
    </row>
    <row r="114" spans="1:8" x14ac:dyDescent="0.25">
      <c r="B114" s="103" t="s">
        <v>74</v>
      </c>
      <c r="C114" s="8" t="s">
        <v>150</v>
      </c>
      <c r="D114" s="88">
        <f t="shared" si="12"/>
        <v>1</v>
      </c>
      <c r="E114" s="88">
        <v>2.11</v>
      </c>
      <c r="F114" s="88">
        <f t="shared" ref="F114:H116" si="13">IF(F8=1,1,F8*1.05)</f>
        <v>1</v>
      </c>
      <c r="G114" s="88">
        <f t="shared" si="13"/>
        <v>1</v>
      </c>
      <c r="H114" s="88">
        <f t="shared" si="13"/>
        <v>1</v>
      </c>
    </row>
    <row r="115" spans="1:8" x14ac:dyDescent="0.25">
      <c r="B115" s="104"/>
      <c r="C115" s="8" t="s">
        <v>149</v>
      </c>
      <c r="D115" s="88">
        <f t="shared" si="12"/>
        <v>1</v>
      </c>
      <c r="E115" s="88">
        <v>2.11</v>
      </c>
      <c r="F115" s="88">
        <f t="shared" si="13"/>
        <v>1</v>
      </c>
      <c r="G115" s="88">
        <f t="shared" si="13"/>
        <v>1</v>
      </c>
      <c r="H115" s="88">
        <f t="shared" si="13"/>
        <v>1</v>
      </c>
    </row>
    <row r="116" spans="1:8" x14ac:dyDescent="0.25">
      <c r="B116" s="104"/>
      <c r="C116" s="8" t="s">
        <v>155</v>
      </c>
      <c r="D116" s="88">
        <f t="shared" si="12"/>
        <v>1</v>
      </c>
      <c r="E116" s="88">
        <f t="shared" ref="E116:E123" si="14">IF(E10=1,1,E10*1.05)</f>
        <v>1</v>
      </c>
      <c r="F116" s="88">
        <f t="shared" si="13"/>
        <v>1</v>
      </c>
      <c r="G116" s="88">
        <f t="shared" si="13"/>
        <v>1</v>
      </c>
      <c r="H116" s="88">
        <f t="shared" si="13"/>
        <v>1</v>
      </c>
    </row>
    <row r="117" spans="1:8" x14ac:dyDescent="0.25">
      <c r="B117" s="103" t="s">
        <v>77</v>
      </c>
      <c r="C117" s="8" t="s">
        <v>150</v>
      </c>
      <c r="D117" s="88">
        <f t="shared" si="12"/>
        <v>1</v>
      </c>
      <c r="E117" s="88">
        <f t="shared" si="14"/>
        <v>1</v>
      </c>
      <c r="F117" s="88">
        <v>2.11</v>
      </c>
      <c r="G117" s="88">
        <f t="shared" ref="G117:H119" si="15">IF(G11=1,1,G11*1.05)</f>
        <v>1</v>
      </c>
      <c r="H117" s="88">
        <f t="shared" si="15"/>
        <v>1</v>
      </c>
    </row>
    <row r="118" spans="1:8" x14ac:dyDescent="0.25">
      <c r="B118" s="104"/>
      <c r="C118" s="8" t="s">
        <v>149</v>
      </c>
      <c r="D118" s="88">
        <f t="shared" si="12"/>
        <v>1</v>
      </c>
      <c r="E118" s="88">
        <f t="shared" si="14"/>
        <v>1</v>
      </c>
      <c r="F118" s="88">
        <v>2.11</v>
      </c>
      <c r="G118" s="88">
        <f t="shared" si="15"/>
        <v>1</v>
      </c>
      <c r="H118" s="88">
        <f t="shared" si="15"/>
        <v>1</v>
      </c>
    </row>
    <row r="119" spans="1:8" x14ac:dyDescent="0.25">
      <c r="B119" s="104"/>
      <c r="C119" s="8" t="s">
        <v>155</v>
      </c>
      <c r="D119" s="88">
        <f t="shared" si="12"/>
        <v>1</v>
      </c>
      <c r="E119" s="88">
        <f t="shared" si="14"/>
        <v>1</v>
      </c>
      <c r="F119" s="88">
        <f>IF(F13=1,1,F13*1.05)</f>
        <v>1</v>
      </c>
      <c r="G119" s="88">
        <f t="shared" si="15"/>
        <v>1</v>
      </c>
      <c r="H119" s="88">
        <f t="shared" si="15"/>
        <v>1</v>
      </c>
    </row>
    <row r="120" spans="1:8" x14ac:dyDescent="0.25">
      <c r="B120" s="103" t="s">
        <v>75</v>
      </c>
      <c r="C120" s="8" t="s">
        <v>150</v>
      </c>
      <c r="D120" s="88">
        <f t="shared" si="12"/>
        <v>1</v>
      </c>
      <c r="E120" s="88">
        <f t="shared" si="14"/>
        <v>1</v>
      </c>
      <c r="F120" s="88">
        <f>IF(F14=1,1,F14*1.05)</f>
        <v>1</v>
      </c>
      <c r="G120" s="88">
        <v>2.11</v>
      </c>
      <c r="H120" s="88">
        <f>IF(H14=1,1,H14*1.05)</f>
        <v>1</v>
      </c>
    </row>
    <row r="121" spans="1:8" x14ac:dyDescent="0.25">
      <c r="B121" s="104"/>
      <c r="C121" s="8" t="s">
        <v>149</v>
      </c>
      <c r="D121" s="88">
        <f t="shared" si="12"/>
        <v>1</v>
      </c>
      <c r="E121" s="88">
        <f t="shared" si="14"/>
        <v>1</v>
      </c>
      <c r="F121" s="88">
        <f>IF(F15=1,1,F15*1.05)</f>
        <v>1</v>
      </c>
      <c r="G121" s="88">
        <v>2.11</v>
      </c>
      <c r="H121" s="88">
        <f>IF(H15=1,1,H15*1.05)</f>
        <v>1</v>
      </c>
    </row>
    <row r="122" spans="1:8" x14ac:dyDescent="0.25">
      <c r="B122" s="104"/>
      <c r="C122" s="8" t="s">
        <v>155</v>
      </c>
      <c r="D122" s="88">
        <f t="shared" si="12"/>
        <v>1</v>
      </c>
      <c r="E122" s="88">
        <f t="shared" si="14"/>
        <v>1</v>
      </c>
      <c r="F122" s="88">
        <f>IF(F16=1,1,F16*1.05)</f>
        <v>1</v>
      </c>
      <c r="G122" s="88">
        <f>IF(G16=1,1,G16*1.05)</f>
        <v>1</v>
      </c>
      <c r="H122" s="88">
        <f>IF(H16=1,1,H16*1.05)</f>
        <v>1</v>
      </c>
    </row>
    <row r="123" spans="1:8" ht="13" customHeight="1" x14ac:dyDescent="0.25">
      <c r="B123" s="65" t="s">
        <v>148</v>
      </c>
      <c r="C123" s="8" t="s">
        <v>155</v>
      </c>
      <c r="D123" s="88">
        <f t="shared" si="12"/>
        <v>1.1025</v>
      </c>
      <c r="E123" s="88">
        <f t="shared" si="14"/>
        <v>1.1025</v>
      </c>
      <c r="F123" s="88">
        <f>IF(F17=1,1,F17*1.05)</f>
        <v>1.1025</v>
      </c>
      <c r="G123" s="88">
        <f>IF(G17=1,1,G17*1.05)</f>
        <v>1.1025</v>
      </c>
      <c r="H123" s="88">
        <f>IF(H17=1,1,H17*1.05)</f>
        <v>1</v>
      </c>
    </row>
    <row r="124" spans="1:8" x14ac:dyDescent="0.25">
      <c r="D124" s="86"/>
      <c r="E124" s="86"/>
      <c r="F124" s="86"/>
      <c r="G124" s="86"/>
      <c r="H124" s="86"/>
    </row>
    <row r="125" spans="1:8" ht="13" customHeight="1" x14ac:dyDescent="0.3">
      <c r="A125" s="4" t="s">
        <v>244</v>
      </c>
      <c r="B125" s="103" t="s">
        <v>104</v>
      </c>
      <c r="C125" s="8" t="s">
        <v>150</v>
      </c>
      <c r="D125" s="88">
        <f t="shared" ref="D125:H134" si="16">IF(D19=1,1,D19*1.05)</f>
        <v>1</v>
      </c>
      <c r="E125" s="88">
        <f t="shared" si="16"/>
        <v>1</v>
      </c>
      <c r="F125" s="88">
        <f t="shared" si="16"/>
        <v>1</v>
      </c>
      <c r="G125" s="88">
        <f t="shared" si="16"/>
        <v>1</v>
      </c>
      <c r="H125" s="88">
        <f t="shared" si="16"/>
        <v>1</v>
      </c>
    </row>
    <row r="126" spans="1:8" x14ac:dyDescent="0.25">
      <c r="B126" s="104"/>
      <c r="C126" s="8" t="s">
        <v>149</v>
      </c>
      <c r="D126" s="88">
        <f t="shared" si="16"/>
        <v>1</v>
      </c>
      <c r="E126" s="88">
        <f t="shared" si="16"/>
        <v>1</v>
      </c>
      <c r="F126" s="88">
        <f t="shared" si="16"/>
        <v>1</v>
      </c>
      <c r="G126" s="88">
        <f t="shared" si="16"/>
        <v>1</v>
      </c>
      <c r="H126" s="88">
        <f t="shared" si="16"/>
        <v>1</v>
      </c>
    </row>
    <row r="127" spans="1:8" x14ac:dyDescent="0.25">
      <c r="B127" s="104"/>
      <c r="C127" s="8" t="s">
        <v>155</v>
      </c>
      <c r="D127" s="88">
        <f t="shared" si="16"/>
        <v>1</v>
      </c>
      <c r="E127" s="88">
        <f t="shared" si="16"/>
        <v>1</v>
      </c>
      <c r="F127" s="88">
        <f t="shared" si="16"/>
        <v>1</v>
      </c>
      <c r="G127" s="88">
        <f t="shared" si="16"/>
        <v>1</v>
      </c>
      <c r="H127" s="88">
        <f t="shared" si="16"/>
        <v>1</v>
      </c>
    </row>
    <row r="128" spans="1:8" x14ac:dyDescent="0.25">
      <c r="B128" s="103" t="s">
        <v>78</v>
      </c>
      <c r="C128" s="8" t="s">
        <v>150</v>
      </c>
      <c r="D128" s="88">
        <f t="shared" si="16"/>
        <v>1</v>
      </c>
      <c r="E128" s="88">
        <f t="shared" si="16"/>
        <v>1</v>
      </c>
      <c r="F128" s="88">
        <f t="shared" si="16"/>
        <v>1</v>
      </c>
      <c r="G128" s="88">
        <f t="shared" si="16"/>
        <v>1</v>
      </c>
      <c r="H128" s="88">
        <f t="shared" si="16"/>
        <v>1</v>
      </c>
    </row>
    <row r="129" spans="1:8" x14ac:dyDescent="0.25">
      <c r="B129" s="104"/>
      <c r="C129" s="8" t="s">
        <v>149</v>
      </c>
      <c r="D129" s="88">
        <f t="shared" si="16"/>
        <v>1</v>
      </c>
      <c r="E129" s="88">
        <f t="shared" si="16"/>
        <v>1</v>
      </c>
      <c r="F129" s="88">
        <f t="shared" si="16"/>
        <v>1</v>
      </c>
      <c r="G129" s="88">
        <f t="shared" si="16"/>
        <v>1</v>
      </c>
      <c r="H129" s="88">
        <f t="shared" si="16"/>
        <v>1</v>
      </c>
    </row>
    <row r="130" spans="1:8" x14ac:dyDescent="0.25">
      <c r="B130" s="104"/>
      <c r="C130" s="8" t="s">
        <v>155</v>
      </c>
      <c r="D130" s="88">
        <f t="shared" si="16"/>
        <v>1</v>
      </c>
      <c r="E130" s="88">
        <f t="shared" si="16"/>
        <v>1</v>
      </c>
      <c r="F130" s="88">
        <f t="shared" si="16"/>
        <v>1</v>
      </c>
      <c r="G130" s="88">
        <f t="shared" si="16"/>
        <v>1</v>
      </c>
      <c r="H130" s="88">
        <f t="shared" si="16"/>
        <v>1</v>
      </c>
    </row>
    <row r="131" spans="1:8" x14ac:dyDescent="0.25">
      <c r="B131" s="103" t="s">
        <v>74</v>
      </c>
      <c r="C131" s="8" t="s">
        <v>150</v>
      </c>
      <c r="D131" s="88">
        <f t="shared" si="16"/>
        <v>1</v>
      </c>
      <c r="E131" s="88">
        <f t="shared" si="16"/>
        <v>1</v>
      </c>
      <c r="F131" s="88">
        <f t="shared" si="16"/>
        <v>1</v>
      </c>
      <c r="G131" s="88">
        <f t="shared" si="16"/>
        <v>1</v>
      </c>
      <c r="H131" s="88">
        <f t="shared" si="16"/>
        <v>1</v>
      </c>
    </row>
    <row r="132" spans="1:8" x14ac:dyDescent="0.25">
      <c r="B132" s="104"/>
      <c r="C132" s="8" t="s">
        <v>149</v>
      </c>
      <c r="D132" s="88">
        <f t="shared" si="16"/>
        <v>1</v>
      </c>
      <c r="E132" s="88">
        <f t="shared" si="16"/>
        <v>1</v>
      </c>
      <c r="F132" s="88">
        <f t="shared" si="16"/>
        <v>1</v>
      </c>
      <c r="G132" s="88">
        <f t="shared" si="16"/>
        <v>1</v>
      </c>
      <c r="H132" s="88">
        <f t="shared" si="16"/>
        <v>1</v>
      </c>
    </row>
    <row r="133" spans="1:8" x14ac:dyDescent="0.25">
      <c r="B133" s="104"/>
      <c r="C133" s="8" t="s">
        <v>155</v>
      </c>
      <c r="D133" s="88">
        <f t="shared" si="16"/>
        <v>1</v>
      </c>
      <c r="E133" s="88">
        <f t="shared" si="16"/>
        <v>1</v>
      </c>
      <c r="F133" s="88">
        <f t="shared" si="16"/>
        <v>1</v>
      </c>
      <c r="G133" s="88">
        <f t="shared" si="16"/>
        <v>1</v>
      </c>
      <c r="H133" s="88">
        <f t="shared" si="16"/>
        <v>1</v>
      </c>
    </row>
    <row r="134" spans="1:8" x14ac:dyDescent="0.25">
      <c r="B134" s="103" t="s">
        <v>77</v>
      </c>
      <c r="C134" s="8" t="s">
        <v>150</v>
      </c>
      <c r="D134" s="88">
        <f t="shared" si="16"/>
        <v>1</v>
      </c>
      <c r="E134" s="88">
        <f t="shared" si="16"/>
        <v>1</v>
      </c>
      <c r="F134" s="88">
        <f t="shared" si="16"/>
        <v>1</v>
      </c>
      <c r="G134" s="88">
        <f t="shared" si="16"/>
        <v>1</v>
      </c>
      <c r="H134" s="88">
        <f t="shared" si="16"/>
        <v>1</v>
      </c>
    </row>
    <row r="135" spans="1:8" x14ac:dyDescent="0.25">
      <c r="B135" s="104"/>
      <c r="C135" s="8" t="s">
        <v>149</v>
      </c>
      <c r="D135" s="88">
        <f t="shared" ref="D135:H140" si="17">IF(D29=1,1,D29*1.05)</f>
        <v>1</v>
      </c>
      <c r="E135" s="88">
        <f t="shared" si="17"/>
        <v>1</v>
      </c>
      <c r="F135" s="88">
        <f t="shared" si="17"/>
        <v>1</v>
      </c>
      <c r="G135" s="88">
        <f t="shared" si="17"/>
        <v>1</v>
      </c>
      <c r="H135" s="88">
        <f t="shared" si="17"/>
        <v>1</v>
      </c>
    </row>
    <row r="136" spans="1:8" x14ac:dyDescent="0.25">
      <c r="B136" s="104"/>
      <c r="C136" s="8" t="s">
        <v>155</v>
      </c>
      <c r="D136" s="88">
        <f t="shared" si="17"/>
        <v>1</v>
      </c>
      <c r="E136" s="88">
        <f t="shared" si="17"/>
        <v>1</v>
      </c>
      <c r="F136" s="88">
        <f t="shared" si="17"/>
        <v>1</v>
      </c>
      <c r="G136" s="88">
        <f t="shared" si="17"/>
        <v>1</v>
      </c>
      <c r="H136" s="88">
        <f t="shared" si="17"/>
        <v>1</v>
      </c>
    </row>
    <row r="137" spans="1:8" x14ac:dyDescent="0.25">
      <c r="B137" s="103" t="s">
        <v>75</v>
      </c>
      <c r="C137" s="8" t="s">
        <v>150</v>
      </c>
      <c r="D137" s="88">
        <f t="shared" si="17"/>
        <v>1</v>
      </c>
      <c r="E137" s="88">
        <f t="shared" si="17"/>
        <v>1</v>
      </c>
      <c r="F137" s="88">
        <f t="shared" si="17"/>
        <v>1</v>
      </c>
      <c r="G137" s="88">
        <f t="shared" si="17"/>
        <v>1</v>
      </c>
      <c r="H137" s="88">
        <f t="shared" si="17"/>
        <v>1</v>
      </c>
    </row>
    <row r="138" spans="1:8" x14ac:dyDescent="0.25">
      <c r="B138" s="104"/>
      <c r="C138" s="8" t="s">
        <v>149</v>
      </c>
      <c r="D138" s="88">
        <f t="shared" si="17"/>
        <v>1</v>
      </c>
      <c r="E138" s="88">
        <f t="shared" si="17"/>
        <v>1</v>
      </c>
      <c r="F138" s="88">
        <f t="shared" si="17"/>
        <v>1</v>
      </c>
      <c r="G138" s="88">
        <f t="shared" si="17"/>
        <v>1</v>
      </c>
      <c r="H138" s="88">
        <f t="shared" si="17"/>
        <v>1</v>
      </c>
    </row>
    <row r="139" spans="1:8" x14ac:dyDescent="0.25">
      <c r="B139" s="104"/>
      <c r="C139" s="8" t="s">
        <v>155</v>
      </c>
      <c r="D139" s="88">
        <f t="shared" si="17"/>
        <v>1</v>
      </c>
      <c r="E139" s="88">
        <f t="shared" si="17"/>
        <v>1</v>
      </c>
      <c r="F139" s="88">
        <f t="shared" si="17"/>
        <v>1</v>
      </c>
      <c r="G139" s="88">
        <f t="shared" si="17"/>
        <v>1</v>
      </c>
      <c r="H139" s="88">
        <f t="shared" si="17"/>
        <v>1</v>
      </c>
    </row>
    <row r="140" spans="1:8" ht="13" customHeight="1" x14ac:dyDescent="0.25">
      <c r="B140" s="65" t="s">
        <v>148</v>
      </c>
      <c r="C140" s="8" t="s">
        <v>155</v>
      </c>
      <c r="D140" s="88">
        <f t="shared" si="17"/>
        <v>1</v>
      </c>
      <c r="E140" s="88">
        <f t="shared" si="17"/>
        <v>1</v>
      </c>
      <c r="F140" s="88">
        <f t="shared" si="17"/>
        <v>1</v>
      </c>
      <c r="G140" s="88">
        <f t="shared" si="17"/>
        <v>1</v>
      </c>
      <c r="H140" s="88">
        <f t="shared" si="17"/>
        <v>1</v>
      </c>
    </row>
    <row r="141" spans="1:8" x14ac:dyDescent="0.25">
      <c r="D141" s="86"/>
      <c r="E141" s="86"/>
      <c r="F141" s="86"/>
      <c r="G141" s="86"/>
      <c r="H141" s="86"/>
    </row>
    <row r="142" spans="1:8" ht="13" customHeight="1" x14ac:dyDescent="0.3">
      <c r="A142" s="66" t="s">
        <v>241</v>
      </c>
      <c r="B142" s="103" t="s">
        <v>104</v>
      </c>
      <c r="C142" s="8" t="s">
        <v>150</v>
      </c>
      <c r="D142" s="88">
        <f t="shared" ref="D142:H151" si="18">IF(D36=1,1,D36*1.05)</f>
        <v>1</v>
      </c>
      <c r="E142" s="88">
        <f t="shared" si="18"/>
        <v>1</v>
      </c>
      <c r="F142" s="88">
        <f t="shared" si="18"/>
        <v>1</v>
      </c>
      <c r="G142" s="88">
        <f t="shared" si="18"/>
        <v>1</v>
      </c>
      <c r="H142" s="88">
        <f t="shared" si="18"/>
        <v>1</v>
      </c>
    </row>
    <row r="143" spans="1:8" x14ac:dyDescent="0.25">
      <c r="B143" s="104"/>
      <c r="C143" s="8" t="s">
        <v>149</v>
      </c>
      <c r="D143" s="88">
        <f t="shared" si="18"/>
        <v>1</v>
      </c>
      <c r="E143" s="88">
        <f t="shared" si="18"/>
        <v>1</v>
      </c>
      <c r="F143" s="88">
        <f t="shared" si="18"/>
        <v>1</v>
      </c>
      <c r="G143" s="88">
        <f t="shared" si="18"/>
        <v>1</v>
      </c>
      <c r="H143" s="88">
        <f t="shared" si="18"/>
        <v>1</v>
      </c>
    </row>
    <row r="144" spans="1:8" x14ac:dyDescent="0.25">
      <c r="B144" s="104"/>
      <c r="C144" s="8" t="s">
        <v>155</v>
      </c>
      <c r="D144" s="88">
        <f t="shared" si="18"/>
        <v>1</v>
      </c>
      <c r="E144" s="88">
        <f t="shared" si="18"/>
        <v>1</v>
      </c>
      <c r="F144" s="88">
        <f t="shared" si="18"/>
        <v>1</v>
      </c>
      <c r="G144" s="88">
        <f t="shared" si="18"/>
        <v>1</v>
      </c>
      <c r="H144" s="88">
        <f t="shared" si="18"/>
        <v>1</v>
      </c>
    </row>
    <row r="145" spans="2:8" x14ac:dyDescent="0.25">
      <c r="B145" s="103" t="s">
        <v>78</v>
      </c>
      <c r="C145" s="8" t="s">
        <v>150</v>
      </c>
      <c r="D145" s="88">
        <f t="shared" si="18"/>
        <v>1</v>
      </c>
      <c r="E145" s="88">
        <f t="shared" si="18"/>
        <v>1</v>
      </c>
      <c r="F145" s="88">
        <f t="shared" si="18"/>
        <v>1</v>
      </c>
      <c r="G145" s="88">
        <f t="shared" si="18"/>
        <v>1</v>
      </c>
      <c r="H145" s="88">
        <f t="shared" si="18"/>
        <v>1</v>
      </c>
    </row>
    <row r="146" spans="2:8" x14ac:dyDescent="0.25">
      <c r="B146" s="104"/>
      <c r="C146" s="8" t="s">
        <v>149</v>
      </c>
      <c r="D146" s="88">
        <f t="shared" si="18"/>
        <v>1</v>
      </c>
      <c r="E146" s="88">
        <f t="shared" si="18"/>
        <v>1</v>
      </c>
      <c r="F146" s="88">
        <f t="shared" si="18"/>
        <v>1</v>
      </c>
      <c r="G146" s="88">
        <f t="shared" si="18"/>
        <v>1</v>
      </c>
      <c r="H146" s="88">
        <f t="shared" si="18"/>
        <v>1</v>
      </c>
    </row>
    <row r="147" spans="2:8" x14ac:dyDescent="0.25">
      <c r="B147" s="104"/>
      <c r="C147" s="8" t="s">
        <v>155</v>
      </c>
      <c r="D147" s="88">
        <f t="shared" si="18"/>
        <v>1</v>
      </c>
      <c r="E147" s="88">
        <f t="shared" si="18"/>
        <v>1</v>
      </c>
      <c r="F147" s="88">
        <f t="shared" si="18"/>
        <v>1</v>
      </c>
      <c r="G147" s="88">
        <f t="shared" si="18"/>
        <v>1</v>
      </c>
      <c r="H147" s="88">
        <f t="shared" si="18"/>
        <v>1</v>
      </c>
    </row>
    <row r="148" spans="2:8" x14ac:dyDescent="0.25">
      <c r="B148" s="103" t="s">
        <v>74</v>
      </c>
      <c r="C148" s="8" t="s">
        <v>150</v>
      </c>
      <c r="D148" s="88">
        <f t="shared" si="18"/>
        <v>1</v>
      </c>
      <c r="E148" s="88">
        <f t="shared" si="18"/>
        <v>1</v>
      </c>
      <c r="F148" s="88">
        <f t="shared" si="18"/>
        <v>1</v>
      </c>
      <c r="G148" s="88">
        <f t="shared" si="18"/>
        <v>1</v>
      </c>
      <c r="H148" s="88">
        <f t="shared" si="18"/>
        <v>1</v>
      </c>
    </row>
    <row r="149" spans="2:8" x14ac:dyDescent="0.25">
      <c r="B149" s="104"/>
      <c r="C149" s="8" t="s">
        <v>149</v>
      </c>
      <c r="D149" s="88">
        <f t="shared" si="18"/>
        <v>1</v>
      </c>
      <c r="E149" s="88">
        <f t="shared" si="18"/>
        <v>1</v>
      </c>
      <c r="F149" s="88">
        <f t="shared" si="18"/>
        <v>1</v>
      </c>
      <c r="G149" s="88">
        <f t="shared" si="18"/>
        <v>1</v>
      </c>
      <c r="H149" s="88">
        <f t="shared" si="18"/>
        <v>1</v>
      </c>
    </row>
    <row r="150" spans="2:8" x14ac:dyDescent="0.25">
      <c r="B150" s="104"/>
      <c r="C150" s="8" t="s">
        <v>155</v>
      </c>
      <c r="D150" s="88">
        <f t="shared" si="18"/>
        <v>1</v>
      </c>
      <c r="E150" s="88">
        <f t="shared" si="18"/>
        <v>1</v>
      </c>
      <c r="F150" s="88">
        <f t="shared" si="18"/>
        <v>1</v>
      </c>
      <c r="G150" s="88">
        <f t="shared" si="18"/>
        <v>1</v>
      </c>
      <c r="H150" s="88">
        <f t="shared" si="18"/>
        <v>1</v>
      </c>
    </row>
    <row r="151" spans="2:8" x14ac:dyDescent="0.25">
      <c r="B151" s="103" t="s">
        <v>77</v>
      </c>
      <c r="C151" s="8" t="s">
        <v>150</v>
      </c>
      <c r="D151" s="88">
        <f t="shared" si="18"/>
        <v>1</v>
      </c>
      <c r="E151" s="88">
        <f t="shared" si="18"/>
        <v>1</v>
      </c>
      <c r="F151" s="88">
        <f t="shared" si="18"/>
        <v>1</v>
      </c>
      <c r="G151" s="88">
        <f t="shared" si="18"/>
        <v>1</v>
      </c>
      <c r="H151" s="88">
        <f t="shared" si="18"/>
        <v>1</v>
      </c>
    </row>
    <row r="152" spans="2:8" x14ac:dyDescent="0.25">
      <c r="B152" s="104"/>
      <c r="C152" s="8" t="s">
        <v>149</v>
      </c>
      <c r="D152" s="88">
        <f t="shared" ref="D152:H157" si="19">IF(D46=1,1,D46*1.05)</f>
        <v>1</v>
      </c>
      <c r="E152" s="88">
        <f t="shared" si="19"/>
        <v>1</v>
      </c>
      <c r="F152" s="88">
        <f t="shared" si="19"/>
        <v>1</v>
      </c>
      <c r="G152" s="88">
        <f t="shared" si="19"/>
        <v>1</v>
      </c>
      <c r="H152" s="88">
        <f t="shared" si="19"/>
        <v>1</v>
      </c>
    </row>
    <row r="153" spans="2:8" x14ac:dyDescent="0.25">
      <c r="B153" s="104"/>
      <c r="C153" s="8" t="s">
        <v>155</v>
      </c>
      <c r="D153" s="88">
        <f t="shared" si="19"/>
        <v>1</v>
      </c>
      <c r="E153" s="88">
        <f t="shared" si="19"/>
        <v>1</v>
      </c>
      <c r="F153" s="88">
        <f t="shared" si="19"/>
        <v>1</v>
      </c>
      <c r="G153" s="88">
        <f t="shared" si="19"/>
        <v>1</v>
      </c>
      <c r="H153" s="88">
        <f t="shared" si="19"/>
        <v>1</v>
      </c>
    </row>
    <row r="154" spans="2:8" x14ac:dyDescent="0.25">
      <c r="B154" s="103" t="s">
        <v>75</v>
      </c>
      <c r="C154" s="8" t="s">
        <v>150</v>
      </c>
      <c r="D154" s="88">
        <f t="shared" si="19"/>
        <v>1</v>
      </c>
      <c r="E154" s="88">
        <f t="shared" si="19"/>
        <v>1</v>
      </c>
      <c r="F154" s="88">
        <f t="shared" si="19"/>
        <v>1</v>
      </c>
      <c r="G154" s="88">
        <f t="shared" si="19"/>
        <v>1</v>
      </c>
      <c r="H154" s="88">
        <f t="shared" si="19"/>
        <v>1</v>
      </c>
    </row>
    <row r="155" spans="2:8" x14ac:dyDescent="0.25">
      <c r="B155" s="104"/>
      <c r="C155" s="8" t="s">
        <v>149</v>
      </c>
      <c r="D155" s="88">
        <f t="shared" si="19"/>
        <v>1</v>
      </c>
      <c r="E155" s="88">
        <f t="shared" si="19"/>
        <v>1</v>
      </c>
      <c r="F155" s="88">
        <f t="shared" si="19"/>
        <v>1</v>
      </c>
      <c r="G155" s="88">
        <f t="shared" si="19"/>
        <v>1</v>
      </c>
      <c r="H155" s="88">
        <f t="shared" si="19"/>
        <v>1</v>
      </c>
    </row>
    <row r="156" spans="2:8" x14ac:dyDescent="0.25">
      <c r="B156" s="104"/>
      <c r="C156" s="8" t="s">
        <v>155</v>
      </c>
      <c r="D156" s="88">
        <f t="shared" si="19"/>
        <v>1</v>
      </c>
      <c r="E156" s="88">
        <f t="shared" si="19"/>
        <v>1</v>
      </c>
      <c r="F156" s="88">
        <f t="shared" si="19"/>
        <v>1</v>
      </c>
      <c r="G156" s="88">
        <f t="shared" si="19"/>
        <v>1</v>
      </c>
      <c r="H156" s="88">
        <f t="shared" si="19"/>
        <v>1</v>
      </c>
    </row>
    <row r="157" spans="2:8" ht="13" customHeight="1" x14ac:dyDescent="0.25">
      <c r="B157" s="65" t="s">
        <v>148</v>
      </c>
      <c r="C157" s="8" t="s">
        <v>155</v>
      </c>
      <c r="D157" s="88">
        <f t="shared" si="19"/>
        <v>1</v>
      </c>
      <c r="E157" s="88">
        <f t="shared" si="19"/>
        <v>1</v>
      </c>
      <c r="F157" s="88">
        <f t="shared" si="19"/>
        <v>1</v>
      </c>
      <c r="G157" s="88">
        <f t="shared" si="19"/>
        <v>1</v>
      </c>
      <c r="H157" s="88">
        <f t="shared" si="19"/>
        <v>1</v>
      </c>
    </row>
  </sheetData>
  <sheetProtection algorithmName="SHA-512" hashValue="PnNHIqQeZGZgZ9uqlHnYoN2zPFpJLICrt4Py5Y5CcRhhYrqX9OvHBmVFKLJpEnxtUqeZFxgiiaceq9x45dgoJQ==" saltValue="Mr6bF0R4ynyH1xstHIGMgg==" spinCount="100000" sheet="1" objects="1" scenarios="1" selectLockedCells="1"/>
  <mergeCells count="45">
    <mergeCell ref="B145:B147"/>
    <mergeCell ref="B148:B150"/>
    <mergeCell ref="B151:B153"/>
    <mergeCell ref="B154:B156"/>
    <mergeCell ref="B128:B130"/>
    <mergeCell ref="B131:B133"/>
    <mergeCell ref="B134:B136"/>
    <mergeCell ref="B137:B139"/>
    <mergeCell ref="B142:B144"/>
    <mergeCell ref="B111:B113"/>
    <mergeCell ref="B114:B116"/>
    <mergeCell ref="B117:B119"/>
    <mergeCell ref="B120:B122"/>
    <mergeCell ref="B125:B127"/>
    <mergeCell ref="B108:B110"/>
    <mergeCell ref="B89:B91"/>
    <mergeCell ref="B92:B94"/>
    <mergeCell ref="B95:B97"/>
    <mergeCell ref="B98:B100"/>
    <mergeCell ref="B101:B103"/>
    <mergeCell ref="B72:B74"/>
    <mergeCell ref="B75:B77"/>
    <mergeCell ref="B78:B80"/>
    <mergeCell ref="B81:B83"/>
    <mergeCell ref="B84:B86"/>
    <mergeCell ref="B55:B57"/>
    <mergeCell ref="B58:B60"/>
    <mergeCell ref="B61:B63"/>
    <mergeCell ref="B64:B66"/>
    <mergeCell ref="B67:B69"/>
    <mergeCell ref="B42:B44"/>
    <mergeCell ref="B45:B47"/>
    <mergeCell ref="B48:B50"/>
    <mergeCell ref="B22:B24"/>
    <mergeCell ref="B25:B27"/>
    <mergeCell ref="B28:B30"/>
    <mergeCell ref="B31:B33"/>
    <mergeCell ref="B36:B38"/>
    <mergeCell ref="B39:B41"/>
    <mergeCell ref="B19:B21"/>
    <mergeCell ref="B2:B4"/>
    <mergeCell ref="B5:B7"/>
    <mergeCell ref="B8:B10"/>
    <mergeCell ref="B11:B13"/>
    <mergeCell ref="B14:B16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 tint="-0.249977111117893"/>
  </sheetPr>
  <dimension ref="A1:F79"/>
  <sheetViews>
    <sheetView topLeftCell="A15" zoomScale="85" zoomScaleNormal="85" workbookViewId="0">
      <selection activeCell="C31" sqref="C31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7" width="16.08984375" style="8" customWidth="1"/>
    <col min="8" max="16384" width="16.08984375" style="8"/>
  </cols>
  <sheetData>
    <row r="1" spans="1:6" s="68" customFormat="1" ht="18.75" customHeight="1" x14ac:dyDescent="0.3">
      <c r="A1" s="67" t="s">
        <v>248</v>
      </c>
    </row>
    <row r="2" spans="1:6" ht="15.75" customHeight="1" x14ac:dyDescent="0.3">
      <c r="B2" s="69"/>
      <c r="C2" s="26" t="s">
        <v>58</v>
      </c>
      <c r="D2" s="70" t="s">
        <v>59</v>
      </c>
      <c r="E2" s="70" t="s">
        <v>51</v>
      </c>
      <c r="F2" s="70" t="s">
        <v>52</v>
      </c>
    </row>
    <row r="3" spans="1:6" ht="15.75" customHeight="1" x14ac:dyDescent="0.3">
      <c r="A3" s="4" t="s">
        <v>255</v>
      </c>
      <c r="B3" s="14"/>
      <c r="C3" s="71"/>
      <c r="D3" s="72"/>
      <c r="E3" s="72"/>
      <c r="F3" s="72"/>
    </row>
    <row r="4" spans="1:6" ht="15.75" customHeight="1" x14ac:dyDescent="0.25">
      <c r="B4" s="5" t="s">
        <v>27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63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10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11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252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261</v>
      </c>
      <c r="C11" s="74"/>
      <c r="D11" s="75"/>
      <c r="E11" s="75"/>
      <c r="F11" s="75"/>
    </row>
    <row r="12" spans="1:6" ht="15.75" customHeight="1" x14ac:dyDescent="0.3">
      <c r="A12" s="4" t="s">
        <v>249</v>
      </c>
      <c r="C12" s="73"/>
      <c r="D12" s="64"/>
      <c r="E12" s="64"/>
      <c r="F12" s="64"/>
    </row>
    <row r="13" spans="1:6" ht="15.75" customHeight="1" x14ac:dyDescent="0.25">
      <c r="B13" s="11" t="s">
        <v>264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107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119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258</v>
      </c>
      <c r="B17" s="14"/>
      <c r="C17" s="77"/>
      <c r="D17" s="78"/>
      <c r="E17" s="78"/>
      <c r="F17" s="78"/>
    </row>
    <row r="18" spans="1:6" ht="15.75" customHeight="1" x14ac:dyDescent="0.25">
      <c r="B18" s="5" t="s">
        <v>93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97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95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91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96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98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92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94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235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248</v>
      </c>
    </row>
    <row r="29" spans="1:6" ht="15.75" customHeight="1" x14ac:dyDescent="0.3">
      <c r="B29" s="69"/>
      <c r="C29" s="26" t="s">
        <v>58</v>
      </c>
      <c r="D29" s="70" t="s">
        <v>59</v>
      </c>
      <c r="E29" s="70" t="s">
        <v>51</v>
      </c>
      <c r="F29" s="70" t="s">
        <v>52</v>
      </c>
    </row>
    <row r="30" spans="1:6" ht="15.75" customHeight="1" x14ac:dyDescent="0.3">
      <c r="A30" s="4" t="s">
        <v>256</v>
      </c>
      <c r="B30" s="14"/>
      <c r="C30" s="71"/>
      <c r="D30" s="72"/>
      <c r="E30" s="72"/>
      <c r="F30" s="72"/>
    </row>
    <row r="31" spans="1:6" ht="15.75" customHeight="1" x14ac:dyDescent="0.25">
      <c r="B31" s="5" t="s">
        <v>27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63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10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11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253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261</v>
      </c>
      <c r="B38" s="68"/>
      <c r="C38" s="74"/>
      <c r="D38" s="75"/>
      <c r="E38" s="75"/>
      <c r="F38" s="75"/>
    </row>
    <row r="39" spans="1:6" ht="15.75" customHeight="1" x14ac:dyDescent="0.3">
      <c r="A39" s="4" t="s">
        <v>250</v>
      </c>
      <c r="C39" s="73"/>
      <c r="D39" s="64"/>
      <c r="E39" s="64"/>
      <c r="F39" s="64"/>
    </row>
    <row r="40" spans="1:6" ht="15.75" customHeight="1" x14ac:dyDescent="0.25">
      <c r="B40" s="11" t="s">
        <v>265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246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262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259</v>
      </c>
      <c r="B44" s="14"/>
      <c r="C44" s="77"/>
      <c r="D44" s="78"/>
      <c r="E44" s="78"/>
      <c r="F44" s="78"/>
    </row>
    <row r="45" spans="1:6" ht="15.75" customHeight="1" x14ac:dyDescent="0.25">
      <c r="B45" s="5" t="s">
        <v>93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97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95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91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96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98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92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94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245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248</v>
      </c>
    </row>
    <row r="56" spans="1:6" ht="15.75" customHeight="1" x14ac:dyDescent="0.3">
      <c r="B56" s="69"/>
      <c r="C56" s="26" t="s">
        <v>58</v>
      </c>
      <c r="D56" s="70" t="s">
        <v>59</v>
      </c>
      <c r="E56" s="70" t="s">
        <v>51</v>
      </c>
      <c r="F56" s="70" t="s">
        <v>52</v>
      </c>
    </row>
    <row r="57" spans="1:6" ht="15.75" customHeight="1" x14ac:dyDescent="0.3">
      <c r="A57" s="4" t="s">
        <v>257</v>
      </c>
      <c r="B57" s="14"/>
      <c r="C57" s="71"/>
      <c r="D57" s="72"/>
      <c r="E57" s="72"/>
      <c r="F57" s="72"/>
    </row>
    <row r="58" spans="1:6" ht="15.75" customHeight="1" x14ac:dyDescent="0.25">
      <c r="B58" s="5" t="s">
        <v>27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63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10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11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254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261</v>
      </c>
      <c r="B65" s="68"/>
      <c r="C65" s="74"/>
      <c r="D65" s="75"/>
      <c r="E65" s="75"/>
      <c r="F65" s="75"/>
    </row>
    <row r="66" spans="1:6" ht="15.75" customHeight="1" x14ac:dyDescent="0.3">
      <c r="A66" s="4" t="s">
        <v>251</v>
      </c>
      <c r="C66" s="73"/>
      <c r="D66" s="64"/>
      <c r="E66" s="64"/>
      <c r="F66" s="64"/>
    </row>
    <row r="67" spans="1:6" ht="15.75" customHeight="1" x14ac:dyDescent="0.25">
      <c r="B67" s="11" t="s">
        <v>266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247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263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260</v>
      </c>
      <c r="B71" s="14"/>
      <c r="C71" s="77"/>
      <c r="D71" s="78"/>
      <c r="E71" s="78"/>
      <c r="F71" s="78"/>
    </row>
    <row r="72" spans="1:6" ht="15.75" customHeight="1" x14ac:dyDescent="0.25">
      <c r="B72" s="5" t="s">
        <v>93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97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95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91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96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98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92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94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ISIGsjPXai1OEHRZE19nQ6xggBiG2K9ZNKNT5/nEouSLXIckMJCQtZfFv0oKoc0tDJu6IqCDt0Hs26IEyfEaiQ==" saltValue="4XL+7jx94wIUxjU2nABnP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 tint="-0.249977111117893"/>
  </sheetPr>
  <dimension ref="A1:P328"/>
  <sheetViews>
    <sheetView zoomScaleNormal="100" workbookViewId="0">
      <selection activeCell="D30" sqref="D30"/>
    </sheetView>
  </sheetViews>
  <sheetFormatPr defaultColWidth="12.81640625" defaultRowHeight="12.5" x14ac:dyDescent="0.25"/>
  <cols>
    <col min="1" max="1" width="27.1796875" style="8" customWidth="1"/>
    <col min="2" max="2" width="26.90625" style="8" customWidth="1"/>
    <col min="3" max="3" width="18.36328125" style="8" customWidth="1"/>
    <col min="4" max="8" width="14.81640625" style="8" customWidth="1"/>
    <col min="9" max="12" width="15.36328125" style="8" bestFit="1" customWidth="1"/>
    <col min="13" max="16" width="16.90625" style="8" bestFit="1" customWidth="1"/>
    <col min="17" max="17" width="12.81640625" style="8" customWidth="1"/>
    <col min="18" max="16384" width="12.81640625" style="8"/>
  </cols>
  <sheetData>
    <row r="1" spans="1:16" s="68" customFormat="1" ht="13" customHeight="1" x14ac:dyDescent="0.3">
      <c r="A1" s="67" t="s">
        <v>278</v>
      </c>
    </row>
    <row r="2" spans="1:16" ht="13" customHeight="1" x14ac:dyDescent="0.3">
      <c r="A2" s="39" t="s">
        <v>230</v>
      </c>
      <c r="B2" s="1" t="s">
        <v>270</v>
      </c>
      <c r="C2" s="1" t="s">
        <v>271</v>
      </c>
      <c r="D2" s="70" t="s">
        <v>78</v>
      </c>
      <c r="E2" s="70" t="s">
        <v>74</v>
      </c>
      <c r="F2" s="70" t="s">
        <v>77</v>
      </c>
      <c r="G2" s="70" t="s">
        <v>75</v>
      </c>
      <c r="H2" s="70" t="s">
        <v>76</v>
      </c>
      <c r="I2" s="79"/>
      <c r="J2" s="79"/>
      <c r="K2" s="79"/>
      <c r="L2" s="79"/>
      <c r="M2" s="79"/>
      <c r="N2" s="79"/>
      <c r="O2" s="79"/>
      <c r="P2" s="79"/>
    </row>
    <row r="3" spans="1:16" ht="13" customHeight="1" x14ac:dyDescent="0.3">
      <c r="A3" s="4"/>
      <c r="B3" s="8" t="s">
        <v>84</v>
      </c>
      <c r="C3" s="3" t="s">
        <v>7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273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274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272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102</v>
      </c>
      <c r="C7" s="3" t="s">
        <v>7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273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274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272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90</v>
      </c>
      <c r="C11" s="3" t="s">
        <v>7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273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274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272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3</v>
      </c>
      <c r="C15" s="3" t="s">
        <v>7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273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274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272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2</v>
      </c>
      <c r="C19" s="3" t="s">
        <v>7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273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274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272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99</v>
      </c>
      <c r="C23" s="3" t="s">
        <v>7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273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274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272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customHeight="1" x14ac:dyDescent="0.3">
      <c r="A28" s="67" t="s">
        <v>279</v>
      </c>
    </row>
    <row r="29" spans="1:16" ht="13" customHeight="1" x14ac:dyDescent="0.3">
      <c r="A29" s="39" t="s">
        <v>282</v>
      </c>
      <c r="B29" s="4" t="s">
        <v>270</v>
      </c>
      <c r="C29" s="4" t="s">
        <v>281</v>
      </c>
      <c r="D29" s="70" t="s">
        <v>78</v>
      </c>
      <c r="E29" s="70" t="s">
        <v>74</v>
      </c>
      <c r="F29" s="70" t="s">
        <v>77</v>
      </c>
      <c r="G29" s="70" t="s">
        <v>75</v>
      </c>
      <c r="H29" s="70" t="s">
        <v>76</v>
      </c>
      <c r="I29" s="79"/>
      <c r="J29" s="79"/>
      <c r="K29" s="79"/>
      <c r="L29" s="79"/>
      <c r="M29" s="79"/>
      <c r="N29" s="79"/>
      <c r="O29" s="79"/>
      <c r="P29" s="79"/>
    </row>
    <row r="30" spans="1:16" ht="13" customHeight="1" x14ac:dyDescent="0.3">
      <c r="A30" s="4"/>
      <c r="B30" s="8" t="s">
        <v>84</v>
      </c>
      <c r="C30" s="3" t="s">
        <v>7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273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6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207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102</v>
      </c>
      <c r="C34" s="3" t="s">
        <v>7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273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6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207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90</v>
      </c>
      <c r="C38" s="3" t="s">
        <v>7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273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6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207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3</v>
      </c>
      <c r="C42" s="3" t="s">
        <v>7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273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6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207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2</v>
      </c>
      <c r="C46" s="3" t="s">
        <v>7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273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6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207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99</v>
      </c>
      <c r="C50" s="3" t="s">
        <v>7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273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6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207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customHeight="1" x14ac:dyDescent="0.3">
      <c r="A55" s="67" t="s">
        <v>276</v>
      </c>
    </row>
    <row r="56" spans="1:16" ht="26" customHeight="1" x14ac:dyDescent="0.3">
      <c r="A56" s="39" t="s">
        <v>105</v>
      </c>
      <c r="B56" s="4" t="s">
        <v>270</v>
      </c>
      <c r="C56" s="69" t="s">
        <v>267</v>
      </c>
      <c r="D56" s="70" t="s">
        <v>113</v>
      </c>
      <c r="E56" s="70" t="s">
        <v>114</v>
      </c>
      <c r="F56" s="70" t="s">
        <v>115</v>
      </c>
      <c r="G56" s="70" t="s">
        <v>116</v>
      </c>
      <c r="H56" s="79"/>
      <c r="M56" s="79"/>
      <c r="N56" s="79"/>
      <c r="O56" s="79"/>
      <c r="P56" s="79"/>
    </row>
    <row r="57" spans="1:16" ht="13" customHeight="1" x14ac:dyDescent="0.3">
      <c r="A57" s="4"/>
      <c r="B57" s="8" t="s">
        <v>81</v>
      </c>
      <c r="C57" s="3" t="s">
        <v>275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268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89</v>
      </c>
      <c r="C59" s="3" t="s">
        <v>275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268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103</v>
      </c>
      <c r="C61" s="3" t="s">
        <v>275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268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customHeight="1" x14ac:dyDescent="0.3">
      <c r="A64" s="67" t="s">
        <v>277</v>
      </c>
    </row>
    <row r="65" spans="1:16" ht="26" customHeight="1" x14ac:dyDescent="0.3">
      <c r="A65" s="39" t="s">
        <v>123</v>
      </c>
      <c r="B65" s="4" t="s">
        <v>270</v>
      </c>
      <c r="C65" s="69" t="s">
        <v>269</v>
      </c>
      <c r="D65" s="70" t="s">
        <v>78</v>
      </c>
      <c r="E65" s="70" t="s">
        <v>74</v>
      </c>
      <c r="F65" s="70" t="s">
        <v>77</v>
      </c>
      <c r="G65" s="70" t="s">
        <v>75</v>
      </c>
      <c r="H65" s="81" t="s">
        <v>76</v>
      </c>
      <c r="I65" s="79"/>
      <c r="J65" s="79"/>
      <c r="K65" s="79"/>
      <c r="L65" s="79"/>
      <c r="M65" s="79"/>
      <c r="N65" s="79"/>
      <c r="O65" s="79"/>
      <c r="P65" s="79"/>
    </row>
    <row r="66" spans="1:16" ht="13" customHeight="1" x14ac:dyDescent="0.3">
      <c r="A66" s="82"/>
      <c r="B66" s="8" t="s">
        <v>93</v>
      </c>
      <c r="C66" s="3" t="s">
        <v>124</v>
      </c>
      <c r="D66" s="90">
        <v>1.35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127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126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125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97</v>
      </c>
      <c r="C70" s="3" t="s">
        <v>124</v>
      </c>
      <c r="D70" s="90">
        <v>1.35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127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126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125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95</v>
      </c>
      <c r="C74" s="3" t="s">
        <v>124</v>
      </c>
      <c r="D74" s="90">
        <v>1.35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127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126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125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96</v>
      </c>
      <c r="C78" s="3" t="s">
        <v>124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127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126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125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84</v>
      </c>
      <c r="C82" s="3" t="s">
        <v>124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127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126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125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102</v>
      </c>
      <c r="C86" s="3" t="s">
        <v>124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127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126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125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90</v>
      </c>
      <c r="C90" s="3" t="s">
        <v>124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127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126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125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2</v>
      </c>
      <c r="C94" s="3" t="s">
        <v>124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127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126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125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101</v>
      </c>
      <c r="C98" s="3" t="s">
        <v>124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127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126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125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customHeight="1" x14ac:dyDescent="0.3">
      <c r="A103" s="67" t="s">
        <v>280</v>
      </c>
    </row>
    <row r="104" spans="1:16" ht="26" customHeight="1" x14ac:dyDescent="0.3">
      <c r="A104" s="39" t="s">
        <v>84</v>
      </c>
      <c r="B104" s="82" t="s">
        <v>125</v>
      </c>
      <c r="C104" s="69" t="s">
        <v>269</v>
      </c>
      <c r="D104" s="70" t="s">
        <v>78</v>
      </c>
      <c r="E104" s="70" t="s">
        <v>74</v>
      </c>
      <c r="F104" s="70" t="s">
        <v>77</v>
      </c>
      <c r="G104" s="70" t="s">
        <v>75</v>
      </c>
      <c r="H104" s="81" t="s">
        <v>76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customHeight="1" x14ac:dyDescent="0.3">
      <c r="A105" s="4"/>
      <c r="C105" s="3" t="s">
        <v>124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127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126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125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customHeight="1" x14ac:dyDescent="0.3">
      <c r="A110" s="92" t="s">
        <v>235</v>
      </c>
      <c r="H110" s="92"/>
    </row>
    <row r="111" spans="1:16" ht="13" customHeight="1" x14ac:dyDescent="0.3">
      <c r="A111" s="67" t="s">
        <v>278</v>
      </c>
      <c r="B111" s="68"/>
      <c r="C111" s="68"/>
      <c r="D111" s="68"/>
      <c r="E111" s="68"/>
      <c r="F111" s="68"/>
      <c r="G111" s="68"/>
      <c r="H111" s="68"/>
    </row>
    <row r="112" spans="1:16" ht="13" customHeight="1" x14ac:dyDescent="0.3">
      <c r="A112" s="39" t="s">
        <v>230</v>
      </c>
      <c r="B112" s="1" t="s">
        <v>270</v>
      </c>
      <c r="C112" s="1" t="s">
        <v>271</v>
      </c>
      <c r="D112" s="70" t="s">
        <v>78</v>
      </c>
      <c r="E112" s="70" t="s">
        <v>74</v>
      </c>
      <c r="F112" s="70" t="s">
        <v>77</v>
      </c>
      <c r="G112" s="70" t="s">
        <v>75</v>
      </c>
      <c r="H112" s="70" t="s">
        <v>76</v>
      </c>
    </row>
    <row r="113" spans="1:8" ht="13" customHeight="1" x14ac:dyDescent="0.3">
      <c r="A113" s="4"/>
      <c r="B113" s="8" t="s">
        <v>84</v>
      </c>
      <c r="C113" s="3" t="s">
        <v>7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273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274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272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102</v>
      </c>
      <c r="C117" s="3" t="s">
        <v>7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273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274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272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90</v>
      </c>
      <c r="C121" s="3" t="s">
        <v>7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273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274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272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3</v>
      </c>
      <c r="C125" s="3" t="s">
        <v>7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273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274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272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2</v>
      </c>
      <c r="C129" s="3" t="s">
        <v>7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273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274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272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99</v>
      </c>
      <c r="C133" s="3" t="s">
        <v>7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273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274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272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customHeight="1" x14ac:dyDescent="0.3">
      <c r="A138" s="67" t="s">
        <v>279</v>
      </c>
      <c r="B138" s="68"/>
      <c r="C138" s="68"/>
      <c r="D138" s="68"/>
      <c r="E138" s="68"/>
      <c r="F138" s="68"/>
      <c r="G138" s="68"/>
      <c r="H138" s="68"/>
    </row>
    <row r="139" spans="1:8" ht="13" customHeight="1" x14ac:dyDescent="0.3">
      <c r="A139" s="39" t="s">
        <v>282</v>
      </c>
      <c r="B139" s="4" t="s">
        <v>270</v>
      </c>
      <c r="C139" s="4" t="s">
        <v>281</v>
      </c>
      <c r="D139" s="70" t="s">
        <v>78</v>
      </c>
      <c r="E139" s="70" t="s">
        <v>74</v>
      </c>
      <c r="F139" s="70" t="s">
        <v>77</v>
      </c>
      <c r="G139" s="70" t="s">
        <v>75</v>
      </c>
      <c r="H139" s="70" t="s">
        <v>76</v>
      </c>
    </row>
    <row r="140" spans="1:8" ht="13" customHeight="1" x14ac:dyDescent="0.3">
      <c r="A140" s="4"/>
      <c r="B140" s="8" t="s">
        <v>84</v>
      </c>
      <c r="C140" s="3" t="s">
        <v>7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273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6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207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102</v>
      </c>
      <c r="C144" s="3" t="s">
        <v>7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273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6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207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90</v>
      </c>
      <c r="C148" s="3" t="s">
        <v>7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273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6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207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3</v>
      </c>
      <c r="C152" s="3" t="s">
        <v>7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273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6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207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2</v>
      </c>
      <c r="C156" s="3" t="s">
        <v>7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273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6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207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99</v>
      </c>
      <c r="C160" s="3" t="s">
        <v>7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273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6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207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customHeight="1" x14ac:dyDescent="0.3">
      <c r="A165" s="67" t="s">
        <v>276</v>
      </c>
      <c r="B165" s="68"/>
      <c r="C165" s="68"/>
      <c r="D165" s="68"/>
      <c r="E165" s="68"/>
      <c r="F165" s="68"/>
      <c r="G165" s="68"/>
      <c r="H165" s="68"/>
    </row>
    <row r="166" spans="1:8" ht="26" customHeight="1" x14ac:dyDescent="0.3">
      <c r="A166" s="39" t="s">
        <v>105</v>
      </c>
      <c r="B166" s="4" t="s">
        <v>270</v>
      </c>
      <c r="C166" s="69" t="s">
        <v>267</v>
      </c>
      <c r="D166" s="70" t="s">
        <v>113</v>
      </c>
      <c r="E166" s="70" t="s">
        <v>114</v>
      </c>
      <c r="F166" s="70" t="s">
        <v>115</v>
      </c>
      <c r="G166" s="70" t="s">
        <v>116</v>
      </c>
      <c r="H166" s="79"/>
    </row>
    <row r="167" spans="1:8" ht="13" customHeight="1" x14ac:dyDescent="0.3">
      <c r="A167" s="4"/>
      <c r="B167" s="8" t="s">
        <v>81</v>
      </c>
      <c r="C167" s="3" t="s">
        <v>275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268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89</v>
      </c>
      <c r="C169" s="3" t="s">
        <v>275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268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103</v>
      </c>
      <c r="C171" s="3" t="s">
        <v>275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268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customHeight="1" x14ac:dyDescent="0.3">
      <c r="A174" s="67" t="s">
        <v>277</v>
      </c>
      <c r="B174" s="68"/>
      <c r="C174" s="68"/>
      <c r="D174" s="68"/>
      <c r="E174" s="68"/>
      <c r="F174" s="68"/>
      <c r="G174" s="68"/>
      <c r="H174" s="68"/>
    </row>
    <row r="175" spans="1:8" ht="26" customHeight="1" x14ac:dyDescent="0.3">
      <c r="A175" s="39" t="s">
        <v>123</v>
      </c>
      <c r="B175" s="4" t="s">
        <v>270</v>
      </c>
      <c r="C175" s="69" t="s">
        <v>269</v>
      </c>
      <c r="D175" s="70" t="s">
        <v>78</v>
      </c>
      <c r="E175" s="70" t="s">
        <v>74</v>
      </c>
      <c r="F175" s="70" t="s">
        <v>77</v>
      </c>
      <c r="G175" s="70" t="s">
        <v>75</v>
      </c>
      <c r="H175" s="81" t="s">
        <v>76</v>
      </c>
    </row>
    <row r="176" spans="1:8" ht="13" customHeight="1" x14ac:dyDescent="0.3">
      <c r="A176" s="82"/>
      <c r="B176" s="8" t="s">
        <v>93</v>
      </c>
      <c r="C176" s="3" t="s">
        <v>124</v>
      </c>
      <c r="D176" s="91">
        <f t="shared" ref="D176:G195" si="7">IF(D66=1,1,D66*0.9)</f>
        <v>1.2150000000000001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127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126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125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97</v>
      </c>
      <c r="C180" s="3" t="s">
        <v>124</v>
      </c>
      <c r="D180" s="91">
        <f t="shared" si="7"/>
        <v>1.2150000000000001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127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126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125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95</v>
      </c>
      <c r="C184" s="3" t="s">
        <v>124</v>
      </c>
      <c r="D184" s="91">
        <f t="shared" si="7"/>
        <v>1.2150000000000001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127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126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125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96</v>
      </c>
      <c r="C188" s="3" t="s">
        <v>124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127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126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125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84</v>
      </c>
      <c r="C192" s="3" t="s">
        <v>124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127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126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125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102</v>
      </c>
      <c r="C196" s="3" t="s">
        <v>124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127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126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125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90</v>
      </c>
      <c r="C200" s="3" t="s">
        <v>124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127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126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125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2</v>
      </c>
      <c r="C204" s="3" t="s">
        <v>124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127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126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125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101</v>
      </c>
      <c r="C208" s="3" t="s">
        <v>124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127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126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125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customHeight="1" x14ac:dyDescent="0.3">
      <c r="A213" s="67" t="s">
        <v>280</v>
      </c>
      <c r="B213" s="68"/>
      <c r="C213" s="68"/>
      <c r="D213" s="68"/>
      <c r="E213" s="68"/>
      <c r="F213" s="68"/>
      <c r="G213" s="68"/>
      <c r="H213" s="68"/>
    </row>
    <row r="214" spans="1:9" ht="26" customHeight="1" x14ac:dyDescent="0.3">
      <c r="A214" s="39" t="s">
        <v>84</v>
      </c>
      <c r="B214" s="82" t="s">
        <v>125</v>
      </c>
      <c r="C214" s="69" t="s">
        <v>269</v>
      </c>
      <c r="D214" s="70" t="s">
        <v>78</v>
      </c>
      <c r="E214" s="70" t="s">
        <v>74</v>
      </c>
      <c r="F214" s="70" t="s">
        <v>77</v>
      </c>
      <c r="G214" s="70" t="s">
        <v>75</v>
      </c>
      <c r="H214" s="81" t="s">
        <v>76</v>
      </c>
    </row>
    <row r="215" spans="1:9" ht="13" customHeight="1" x14ac:dyDescent="0.3">
      <c r="A215" s="4"/>
      <c r="C215" s="3" t="s">
        <v>124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127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126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125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customHeight="1" x14ac:dyDescent="0.3">
      <c r="A220" s="92" t="s">
        <v>245</v>
      </c>
      <c r="H220" s="92"/>
    </row>
    <row r="221" spans="1:9" ht="13" customHeight="1" x14ac:dyDescent="0.3">
      <c r="A221" s="67" t="s">
        <v>278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customHeight="1" x14ac:dyDescent="0.3">
      <c r="A222" s="39" t="s">
        <v>230</v>
      </c>
      <c r="B222" s="1" t="s">
        <v>270</v>
      </c>
      <c r="C222" s="1" t="s">
        <v>271</v>
      </c>
      <c r="D222" s="70" t="s">
        <v>78</v>
      </c>
      <c r="E222" s="70" t="s">
        <v>74</v>
      </c>
      <c r="F222" s="70" t="s">
        <v>77</v>
      </c>
      <c r="G222" s="70" t="s">
        <v>75</v>
      </c>
      <c r="H222" s="70" t="s">
        <v>76</v>
      </c>
      <c r="I222" s="79"/>
    </row>
    <row r="223" spans="1:9" ht="13" customHeight="1" x14ac:dyDescent="0.3">
      <c r="A223" s="4"/>
      <c r="B223" s="8" t="s">
        <v>84</v>
      </c>
      <c r="C223" s="3" t="s">
        <v>7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273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274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272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102</v>
      </c>
      <c r="C227" s="3" t="s">
        <v>7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273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274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272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90</v>
      </c>
      <c r="C231" s="3" t="s">
        <v>7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273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274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272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3</v>
      </c>
      <c r="C235" s="3" t="s">
        <v>7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273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274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272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2</v>
      </c>
      <c r="C239" s="3" t="s">
        <v>7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273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274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272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99</v>
      </c>
      <c r="C243" s="3" t="s">
        <v>7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273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274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272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customHeight="1" x14ac:dyDescent="0.3">
      <c r="A248" s="67" t="s">
        <v>279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customHeight="1" x14ac:dyDescent="0.3">
      <c r="A249" s="39" t="s">
        <v>282</v>
      </c>
      <c r="B249" s="4" t="s">
        <v>270</v>
      </c>
      <c r="C249" s="4" t="s">
        <v>281</v>
      </c>
      <c r="D249" s="70" t="s">
        <v>78</v>
      </c>
      <c r="E249" s="70" t="s">
        <v>74</v>
      </c>
      <c r="F249" s="70" t="s">
        <v>77</v>
      </c>
      <c r="G249" s="70" t="s">
        <v>75</v>
      </c>
      <c r="H249" s="70" t="s">
        <v>76</v>
      </c>
      <c r="I249" s="79"/>
    </row>
    <row r="250" spans="1:9" ht="13" customHeight="1" x14ac:dyDescent="0.3">
      <c r="A250" s="4"/>
      <c r="B250" s="8" t="s">
        <v>84</v>
      </c>
      <c r="C250" s="3" t="s">
        <v>7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273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6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207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102</v>
      </c>
      <c r="C254" s="3" t="s">
        <v>7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273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6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207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90</v>
      </c>
      <c r="C258" s="3" t="s">
        <v>7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273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6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207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3</v>
      </c>
      <c r="C262" s="3" t="s">
        <v>7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273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6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207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2</v>
      </c>
      <c r="C266" s="3" t="s">
        <v>7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273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6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207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99</v>
      </c>
      <c r="C270" s="3" t="s">
        <v>7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273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6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207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customHeight="1" x14ac:dyDescent="0.3">
      <c r="A275" s="67" t="s">
        <v>276</v>
      </c>
      <c r="B275" s="68"/>
      <c r="C275" s="68"/>
      <c r="D275" s="68"/>
      <c r="E275" s="68"/>
      <c r="F275" s="68"/>
      <c r="G275" s="68"/>
      <c r="H275" s="68"/>
      <c r="I275" s="68"/>
    </row>
    <row r="276" spans="1:9" ht="26" customHeight="1" x14ac:dyDescent="0.3">
      <c r="A276" s="39" t="s">
        <v>105</v>
      </c>
      <c r="B276" s="4" t="s">
        <v>270</v>
      </c>
      <c r="C276" s="69" t="s">
        <v>267</v>
      </c>
      <c r="D276" s="70" t="s">
        <v>113</v>
      </c>
      <c r="E276" s="70" t="s">
        <v>114</v>
      </c>
      <c r="F276" s="70" t="s">
        <v>115</v>
      </c>
      <c r="G276" s="70" t="s">
        <v>116</v>
      </c>
      <c r="H276" s="79"/>
    </row>
    <row r="277" spans="1:9" ht="13" customHeight="1" x14ac:dyDescent="0.3">
      <c r="A277" s="4"/>
      <c r="B277" s="8" t="s">
        <v>81</v>
      </c>
      <c r="C277" s="3" t="s">
        <v>275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268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89</v>
      </c>
      <c r="C279" s="3" t="s">
        <v>275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268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103</v>
      </c>
      <c r="C281" s="3" t="s">
        <v>275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268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customHeight="1" x14ac:dyDescent="0.3">
      <c r="A284" s="67" t="s">
        <v>277</v>
      </c>
      <c r="B284" s="68"/>
      <c r="C284" s="68"/>
      <c r="D284" s="68"/>
      <c r="E284" s="68"/>
      <c r="F284" s="68"/>
      <c r="G284" s="68"/>
      <c r="H284" s="68"/>
      <c r="I284" s="68"/>
    </row>
    <row r="285" spans="1:9" ht="26" customHeight="1" x14ac:dyDescent="0.3">
      <c r="A285" s="39" t="s">
        <v>123</v>
      </c>
      <c r="B285" s="4" t="s">
        <v>270</v>
      </c>
      <c r="C285" s="69" t="s">
        <v>269</v>
      </c>
      <c r="D285" s="70" t="s">
        <v>78</v>
      </c>
      <c r="E285" s="70" t="s">
        <v>74</v>
      </c>
      <c r="F285" s="70" t="s">
        <v>77</v>
      </c>
      <c r="G285" s="70" t="s">
        <v>75</v>
      </c>
      <c r="H285" s="81" t="s">
        <v>76</v>
      </c>
      <c r="I285" s="79"/>
    </row>
    <row r="286" spans="1:9" ht="13" customHeight="1" x14ac:dyDescent="0.3">
      <c r="A286" s="82"/>
      <c r="B286" s="8" t="s">
        <v>93</v>
      </c>
      <c r="C286" s="3" t="s">
        <v>124</v>
      </c>
      <c r="D286" s="91">
        <f t="shared" ref="D286:G305" si="17">IF(D66=1,1,D66*1.1)</f>
        <v>1.4850000000000003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127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126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125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97</v>
      </c>
      <c r="C290" s="3" t="s">
        <v>124</v>
      </c>
      <c r="D290" s="91">
        <f t="shared" si="17"/>
        <v>1.4850000000000003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127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126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125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95</v>
      </c>
      <c r="C294" s="3" t="s">
        <v>124</v>
      </c>
      <c r="D294" s="91">
        <f t="shared" si="17"/>
        <v>1.4850000000000003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127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126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125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96</v>
      </c>
      <c r="C298" s="3" t="s">
        <v>124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127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126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125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84</v>
      </c>
      <c r="C302" s="3" t="s">
        <v>124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127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126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125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102</v>
      </c>
      <c r="C306" s="3" t="s">
        <v>124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127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126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125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90</v>
      </c>
      <c r="C310" s="3" t="s">
        <v>124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127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126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125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2</v>
      </c>
      <c r="C314" s="3" t="s">
        <v>124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127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126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125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101</v>
      </c>
      <c r="C318" s="3" t="s">
        <v>124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127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126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125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customHeight="1" x14ac:dyDescent="0.3">
      <c r="A323" s="67" t="s">
        <v>280</v>
      </c>
      <c r="B323" s="68"/>
      <c r="C323" s="68"/>
      <c r="D323" s="68"/>
      <c r="E323" s="68"/>
      <c r="F323" s="68"/>
      <c r="G323" s="68"/>
      <c r="H323" s="68"/>
      <c r="I323" s="68"/>
    </row>
    <row r="324" spans="1:9" ht="26" customHeight="1" x14ac:dyDescent="0.3">
      <c r="A324" s="39" t="s">
        <v>84</v>
      </c>
      <c r="B324" s="82" t="s">
        <v>125</v>
      </c>
      <c r="C324" s="69" t="s">
        <v>269</v>
      </c>
      <c r="D324" s="70" t="s">
        <v>78</v>
      </c>
      <c r="E324" s="70" t="s">
        <v>74</v>
      </c>
      <c r="F324" s="70" t="s">
        <v>77</v>
      </c>
      <c r="G324" s="70" t="s">
        <v>75</v>
      </c>
      <c r="H324" s="81" t="s">
        <v>76</v>
      </c>
      <c r="I324" s="79"/>
    </row>
    <row r="325" spans="1:9" ht="13" customHeight="1" x14ac:dyDescent="0.3">
      <c r="A325" s="4"/>
      <c r="C325" s="3" t="s">
        <v>124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127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126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125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Eopg2OgyiwwUmVrOF4m+1miRFAyA/ZHUyLGeestDow3fA584MvSOHNNdDOa5sAD/zQfTQ3bf+zEeTGmm2Ij7Og==" saltValue="gM5tTd8EVLTjs7Rnw4TcG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0" tint="-0.249977111117893"/>
  </sheetPr>
  <dimension ref="A1:G67"/>
  <sheetViews>
    <sheetView zoomScale="70" zoomScaleNormal="70" workbookViewId="0">
      <selection activeCell="E53" sqref="E53"/>
    </sheetView>
  </sheetViews>
  <sheetFormatPr defaultColWidth="12.81640625" defaultRowHeight="12.5" x14ac:dyDescent="0.25"/>
  <cols>
    <col min="1" max="1" width="44.90625" style="8" customWidth="1"/>
    <col min="2" max="2" width="44.453125" style="8" customWidth="1"/>
    <col min="3" max="3" width="17.81640625" style="8" customWidth="1"/>
    <col min="4" max="4" width="17.54296875" style="8" customWidth="1"/>
    <col min="5" max="5" width="17.1796875" style="8" customWidth="1"/>
    <col min="6" max="6" width="15" style="8" customWidth="1"/>
    <col min="7" max="7" width="13.6328125" style="8" customWidth="1"/>
    <col min="8" max="8" width="12.81640625" style="8" customWidth="1"/>
    <col min="9" max="16384" width="12.81640625" style="8"/>
  </cols>
  <sheetData>
    <row r="1" spans="1:7" s="68" customFormat="1" ht="14.25" customHeight="1" x14ac:dyDescent="0.3">
      <c r="A1" s="67" t="s">
        <v>313</v>
      </c>
    </row>
    <row r="2" spans="1:7" ht="14.25" customHeight="1" x14ac:dyDescent="0.3">
      <c r="A2" s="82" t="s">
        <v>208</v>
      </c>
      <c r="B2" s="1"/>
      <c r="C2" s="4" t="s">
        <v>78</v>
      </c>
      <c r="D2" s="4" t="s">
        <v>74</v>
      </c>
      <c r="E2" s="4" t="s">
        <v>77</v>
      </c>
      <c r="F2" s="4" t="s">
        <v>75</v>
      </c>
      <c r="G2" s="4" t="s">
        <v>76</v>
      </c>
    </row>
    <row r="3" spans="1:7" ht="14.25" customHeight="1" x14ac:dyDescent="0.25">
      <c r="B3" s="11" t="s">
        <v>300</v>
      </c>
      <c r="C3" s="90" t="s">
        <v>8</v>
      </c>
      <c r="D3" s="90">
        <v>45</v>
      </c>
      <c r="E3" s="90">
        <v>361.6</v>
      </c>
      <c r="F3" s="90">
        <v>174.7</v>
      </c>
      <c r="G3" s="90">
        <v>174.7</v>
      </c>
    </row>
    <row r="4" spans="1:7" ht="14.25" customHeight="1" x14ac:dyDescent="0.3">
      <c r="A4" s="4"/>
      <c r="B4" s="5" t="s">
        <v>286</v>
      </c>
      <c r="C4" s="90">
        <v>1.0249999999999999</v>
      </c>
      <c r="D4" s="90">
        <v>1.0249999999999999</v>
      </c>
      <c r="E4" s="90">
        <v>1.0249999999999999</v>
      </c>
      <c r="F4" s="90">
        <v>1.0249999999999999</v>
      </c>
      <c r="G4" s="90">
        <v>1.0249999999999999</v>
      </c>
    </row>
    <row r="5" spans="1:7" ht="14.25" customHeight="1" x14ac:dyDescent="0.3">
      <c r="A5" s="14" t="s">
        <v>283</v>
      </c>
    </row>
    <row r="6" spans="1:7" ht="14.25" customHeight="1" x14ac:dyDescent="0.25">
      <c r="B6" s="5" t="s">
        <v>193</v>
      </c>
      <c r="C6" s="90">
        <v>1</v>
      </c>
      <c r="D6" s="90">
        <v>1</v>
      </c>
      <c r="E6" s="90">
        <v>0.89</v>
      </c>
      <c r="F6" s="90">
        <v>0.89</v>
      </c>
      <c r="G6" s="90">
        <v>1</v>
      </c>
    </row>
    <row r="7" spans="1:7" ht="14.25" customHeight="1" x14ac:dyDescent="0.25">
      <c r="B7" s="5" t="s">
        <v>184</v>
      </c>
      <c r="C7" s="90">
        <v>1</v>
      </c>
      <c r="D7" s="90">
        <v>1</v>
      </c>
      <c r="E7" s="90">
        <v>0.88</v>
      </c>
      <c r="F7" s="90">
        <v>0.88</v>
      </c>
      <c r="G7" s="90">
        <v>1</v>
      </c>
    </row>
    <row r="8" spans="1:7" ht="14.25" customHeight="1" x14ac:dyDescent="0.25">
      <c r="B8" s="5" t="s">
        <v>204</v>
      </c>
      <c r="C8" s="90">
        <v>1</v>
      </c>
      <c r="D8" s="90">
        <v>1</v>
      </c>
      <c r="E8" s="90">
        <v>0.88</v>
      </c>
      <c r="F8" s="90">
        <v>0.88</v>
      </c>
      <c r="G8" s="90">
        <v>1</v>
      </c>
    </row>
    <row r="9" spans="1:7" ht="14.25" customHeight="1" x14ac:dyDescent="0.25">
      <c r="B9" s="5" t="s">
        <v>203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</row>
    <row r="10" spans="1:7" ht="14.25" customHeight="1" x14ac:dyDescent="0.25">
      <c r="B10" s="5"/>
      <c r="C10" s="5"/>
      <c r="D10" s="5"/>
      <c r="E10" s="5"/>
      <c r="F10" s="5"/>
      <c r="G10" s="5"/>
    </row>
    <row r="11" spans="1:7" s="68" customFormat="1" ht="14.25" customHeight="1" x14ac:dyDescent="0.3">
      <c r="A11" s="67" t="s">
        <v>307</v>
      </c>
    </row>
    <row r="12" spans="1:7" ht="14.25" customHeight="1" x14ac:dyDescent="0.3">
      <c r="A12" s="14"/>
      <c r="B12" s="11" t="s">
        <v>182</v>
      </c>
      <c r="C12" s="90">
        <v>1.5</v>
      </c>
      <c r="D12" s="90">
        <v>1.39</v>
      </c>
      <c r="E12" s="90">
        <v>1</v>
      </c>
      <c r="F12" s="90">
        <v>1</v>
      </c>
      <c r="G12" s="90">
        <v>1</v>
      </c>
    </row>
    <row r="13" spans="1:7" ht="14.25" customHeight="1" x14ac:dyDescent="0.3">
      <c r="A13" s="14"/>
      <c r="B13" s="11"/>
    </row>
    <row r="14" spans="1:7" s="68" customFormat="1" ht="14.25" customHeight="1" x14ac:dyDescent="0.3">
      <c r="A14" s="67" t="s">
        <v>314</v>
      </c>
    </row>
    <row r="15" spans="1:7" ht="14.25" customHeight="1" x14ac:dyDescent="0.3">
      <c r="A15" s="82" t="s">
        <v>282</v>
      </c>
      <c r="B15" s="5" t="s">
        <v>294</v>
      </c>
      <c r="C15" s="90">
        <v>1.0249999999999999</v>
      </c>
      <c r="D15" s="90">
        <v>1.0249999999999999</v>
      </c>
      <c r="E15" s="90">
        <v>1.0249999999999999</v>
      </c>
      <c r="F15" s="90">
        <v>1.0249999999999999</v>
      </c>
      <c r="G15" s="90">
        <v>1.0249999999999999</v>
      </c>
    </row>
    <row r="16" spans="1:7" ht="14.25" customHeight="1" x14ac:dyDescent="0.3">
      <c r="A16" s="4"/>
      <c r="B16" s="5" t="s">
        <v>291</v>
      </c>
      <c r="C16" s="90">
        <v>1.0249999999999999</v>
      </c>
      <c r="D16" s="90">
        <v>1.0249999999999999</v>
      </c>
      <c r="E16" s="90">
        <v>1.0249999999999999</v>
      </c>
      <c r="F16" s="90">
        <v>1.0249999999999999</v>
      </c>
      <c r="G16" s="90">
        <v>1.0249999999999999</v>
      </c>
    </row>
    <row r="17" spans="1:7" ht="14.25" customHeight="1" x14ac:dyDescent="0.3">
      <c r="A17" s="82" t="s">
        <v>105</v>
      </c>
      <c r="B17" s="11" t="s">
        <v>297</v>
      </c>
      <c r="C17" s="90">
        <v>1</v>
      </c>
      <c r="D17" s="90">
        <v>1</v>
      </c>
      <c r="E17" s="90">
        <v>1</v>
      </c>
      <c r="F17" s="90">
        <v>1</v>
      </c>
      <c r="G17" s="90">
        <v>1</v>
      </c>
    </row>
    <row r="18" spans="1:7" ht="14.25" customHeight="1" x14ac:dyDescent="0.25"/>
    <row r="19" spans="1:7" s="68" customFormat="1" ht="14.25" customHeight="1" x14ac:dyDescent="0.3">
      <c r="A19" s="67" t="s">
        <v>310</v>
      </c>
    </row>
    <row r="20" spans="1:7" s="14" customFormat="1" ht="14.25" customHeight="1" x14ac:dyDescent="0.3">
      <c r="C20" s="4" t="s">
        <v>68</v>
      </c>
      <c r="D20" s="4" t="s">
        <v>69</v>
      </c>
      <c r="E20" s="4" t="s">
        <v>70</v>
      </c>
      <c r="F20" s="4" t="s">
        <v>71</v>
      </c>
    </row>
    <row r="21" spans="1:7" x14ac:dyDescent="0.25">
      <c r="B21" s="11" t="s">
        <v>170</v>
      </c>
      <c r="C21" s="90">
        <v>1.52</v>
      </c>
      <c r="D21" s="90">
        <v>1</v>
      </c>
      <c r="E21" s="90">
        <v>1</v>
      </c>
      <c r="F21" s="90">
        <v>1</v>
      </c>
    </row>
    <row r="23" spans="1:7" s="92" customFormat="1" ht="13" customHeight="1" x14ac:dyDescent="0.3">
      <c r="A23" s="92" t="s">
        <v>235</v>
      </c>
    </row>
    <row r="24" spans="1:7" ht="13" customHeight="1" x14ac:dyDescent="0.3">
      <c r="A24" s="67" t="s">
        <v>313</v>
      </c>
      <c r="B24" s="68"/>
      <c r="C24" s="68"/>
      <c r="D24" s="68"/>
      <c r="E24" s="68"/>
      <c r="F24" s="68"/>
      <c r="G24" s="68"/>
    </row>
    <row r="25" spans="1:7" ht="13" customHeight="1" x14ac:dyDescent="0.3">
      <c r="A25" s="82" t="s">
        <v>208</v>
      </c>
      <c r="B25" s="1"/>
      <c r="C25" s="4" t="s">
        <v>78</v>
      </c>
      <c r="D25" s="4" t="s">
        <v>74</v>
      </c>
      <c r="E25" s="4" t="s">
        <v>77</v>
      </c>
      <c r="F25" s="4" t="s">
        <v>75</v>
      </c>
      <c r="G25" s="4" t="s">
        <v>76</v>
      </c>
    </row>
    <row r="26" spans="1:7" x14ac:dyDescent="0.25">
      <c r="B26" s="11" t="s">
        <v>301</v>
      </c>
      <c r="C26" s="90" t="s">
        <v>8</v>
      </c>
      <c r="D26" s="90">
        <f>D3*0.9</f>
        <v>40.5</v>
      </c>
      <c r="E26" s="90">
        <f>E3*0.9</f>
        <v>325.44000000000005</v>
      </c>
      <c r="F26" s="90">
        <f>F3*0.9</f>
        <v>157.22999999999999</v>
      </c>
      <c r="G26" s="90">
        <f>G3*0.9</f>
        <v>157.22999999999999</v>
      </c>
    </row>
    <row r="27" spans="1:7" ht="13" customHeight="1" x14ac:dyDescent="0.3">
      <c r="A27" s="4"/>
      <c r="B27" s="5" t="s">
        <v>287</v>
      </c>
      <c r="C27" s="90">
        <f>IF(C4=1,1,C4*0.9)</f>
        <v>0.92249999999999999</v>
      </c>
      <c r="D27" s="90">
        <f>IF(D4=1,1,D4*0.9)</f>
        <v>0.92249999999999999</v>
      </c>
      <c r="E27" s="90">
        <f>IF(E4=1,1,E4*0.9)</f>
        <v>0.92249999999999999</v>
      </c>
      <c r="F27" s="90">
        <f>IF(F4=1,1,F4*0.9)</f>
        <v>0.92249999999999999</v>
      </c>
      <c r="G27" s="90">
        <f>IF(G4=1,1,G4*0.9)</f>
        <v>0.92249999999999999</v>
      </c>
    </row>
    <row r="28" spans="1:7" ht="13" customHeight="1" x14ac:dyDescent="0.3">
      <c r="A28" s="14" t="s">
        <v>284</v>
      </c>
    </row>
    <row r="29" spans="1:7" x14ac:dyDescent="0.25">
      <c r="B29" s="5" t="s">
        <v>315</v>
      </c>
      <c r="C29" s="90">
        <f t="shared" ref="C29:D32" si="0">IF(C6=1,1,C6*0.9)</f>
        <v>1</v>
      </c>
      <c r="D29" s="90">
        <f t="shared" si="0"/>
        <v>1</v>
      </c>
      <c r="E29" s="90">
        <f>E6*0.9</f>
        <v>0.80100000000000005</v>
      </c>
      <c r="F29" s="90">
        <f>F6*0.9</f>
        <v>0.80100000000000005</v>
      </c>
      <c r="G29" s="90">
        <f>IF(G6=1,1,G6*0.9)</f>
        <v>1</v>
      </c>
    </row>
    <row r="30" spans="1:7" x14ac:dyDescent="0.25">
      <c r="B30" s="5" t="s">
        <v>305</v>
      </c>
      <c r="C30" s="90">
        <f t="shared" si="0"/>
        <v>1</v>
      </c>
      <c r="D30" s="90">
        <f t="shared" si="0"/>
        <v>1</v>
      </c>
      <c r="E30" s="90">
        <v>0.85</v>
      </c>
      <c r="F30" s="90">
        <v>0.85</v>
      </c>
      <c r="G30" s="90">
        <f>IF(G7=1,1,G7*0.9)</f>
        <v>1</v>
      </c>
    </row>
    <row r="31" spans="1:7" x14ac:dyDescent="0.25">
      <c r="B31" s="5" t="s">
        <v>319</v>
      </c>
      <c r="C31" s="90">
        <f t="shared" si="0"/>
        <v>1</v>
      </c>
      <c r="D31" s="90">
        <f t="shared" si="0"/>
        <v>1</v>
      </c>
      <c r="E31" s="90">
        <v>0.85</v>
      </c>
      <c r="F31" s="90">
        <v>0.85</v>
      </c>
      <c r="G31" s="90">
        <f>IF(G8=1,1,G8*0.9)</f>
        <v>1</v>
      </c>
    </row>
    <row r="32" spans="1:7" x14ac:dyDescent="0.25">
      <c r="B32" s="5" t="s">
        <v>317</v>
      </c>
      <c r="C32" s="90">
        <f t="shared" si="0"/>
        <v>1</v>
      </c>
      <c r="D32" s="90">
        <f t="shared" si="0"/>
        <v>1</v>
      </c>
      <c r="E32" s="90">
        <f>IF(E9=1,1,E9*0.9)</f>
        <v>1</v>
      </c>
      <c r="F32" s="90">
        <f>IF(F9=1,1,F9*0.9)</f>
        <v>1</v>
      </c>
      <c r="G32" s="90">
        <f>IF(G9=1,1,G9*0.9)</f>
        <v>1</v>
      </c>
    </row>
    <row r="33" spans="1:7" x14ac:dyDescent="0.25">
      <c r="B33" s="5"/>
      <c r="C33" s="5"/>
      <c r="D33" s="5"/>
      <c r="E33" s="5"/>
      <c r="F33" s="5"/>
      <c r="G33" s="5"/>
    </row>
    <row r="34" spans="1:7" ht="13" customHeight="1" x14ac:dyDescent="0.3">
      <c r="A34" s="67" t="s">
        <v>308</v>
      </c>
      <c r="B34" s="68"/>
      <c r="C34" s="68"/>
      <c r="D34" s="68"/>
      <c r="E34" s="68"/>
      <c r="F34" s="68"/>
      <c r="G34" s="68"/>
    </row>
    <row r="35" spans="1:7" ht="13" customHeight="1" x14ac:dyDescent="0.3">
      <c r="A35" s="14"/>
      <c r="B35" s="11" t="s">
        <v>303</v>
      </c>
      <c r="C35" s="90">
        <v>1.26</v>
      </c>
      <c r="D35" s="90">
        <v>1.1100000000000001</v>
      </c>
      <c r="E35" s="90">
        <v>1</v>
      </c>
      <c r="F35" s="90">
        <v>1</v>
      </c>
      <c r="G35" s="90">
        <v>1</v>
      </c>
    </row>
    <row r="36" spans="1:7" ht="13" customHeight="1" x14ac:dyDescent="0.3">
      <c r="A36" s="14"/>
      <c r="B36" s="11"/>
    </row>
    <row r="37" spans="1:7" ht="13" customHeight="1" x14ac:dyDescent="0.3">
      <c r="A37" s="67" t="s">
        <v>314</v>
      </c>
      <c r="B37" s="68"/>
      <c r="C37" s="68"/>
      <c r="D37" s="68"/>
      <c r="E37" s="68"/>
      <c r="F37" s="68"/>
      <c r="G37" s="68"/>
    </row>
    <row r="38" spans="1:7" ht="13" customHeight="1" x14ac:dyDescent="0.3">
      <c r="A38" s="82" t="s">
        <v>282</v>
      </c>
      <c r="B38" s="5" t="s">
        <v>295</v>
      </c>
      <c r="C38" s="90">
        <f t="shared" ref="C38:G40" si="1">IF(C15=1,1,C15*0.9)</f>
        <v>0.92249999999999999</v>
      </c>
      <c r="D38" s="90">
        <f t="shared" si="1"/>
        <v>0.92249999999999999</v>
      </c>
      <c r="E38" s="90">
        <f t="shared" si="1"/>
        <v>0.92249999999999999</v>
      </c>
      <c r="F38" s="90">
        <f t="shared" si="1"/>
        <v>0.92249999999999999</v>
      </c>
      <c r="G38" s="90">
        <f t="shared" si="1"/>
        <v>0.92249999999999999</v>
      </c>
    </row>
    <row r="39" spans="1:7" ht="13" customHeight="1" x14ac:dyDescent="0.3">
      <c r="A39" s="4"/>
      <c r="B39" s="5" t="s">
        <v>292</v>
      </c>
      <c r="C39" s="90">
        <f t="shared" si="1"/>
        <v>0.92249999999999999</v>
      </c>
      <c r="D39" s="90">
        <f t="shared" si="1"/>
        <v>0.92249999999999999</v>
      </c>
      <c r="E39" s="90">
        <f t="shared" si="1"/>
        <v>0.92249999999999999</v>
      </c>
      <c r="F39" s="90">
        <f t="shared" si="1"/>
        <v>0.92249999999999999</v>
      </c>
      <c r="G39" s="90">
        <f t="shared" si="1"/>
        <v>0.92249999999999999</v>
      </c>
    </row>
    <row r="40" spans="1:7" ht="13" customHeight="1" x14ac:dyDescent="0.3">
      <c r="A40" s="82" t="s">
        <v>105</v>
      </c>
      <c r="B40" s="11" t="s">
        <v>298</v>
      </c>
      <c r="C40" s="90">
        <f t="shared" si="1"/>
        <v>1</v>
      </c>
      <c r="D40" s="90">
        <f t="shared" si="1"/>
        <v>1</v>
      </c>
      <c r="E40" s="90">
        <f t="shared" si="1"/>
        <v>1</v>
      </c>
      <c r="F40" s="90">
        <f t="shared" si="1"/>
        <v>1</v>
      </c>
      <c r="G40" s="90">
        <f t="shared" si="1"/>
        <v>1</v>
      </c>
    </row>
    <row r="42" spans="1:7" ht="13" customHeight="1" x14ac:dyDescent="0.3">
      <c r="A42" s="67" t="s">
        <v>311</v>
      </c>
      <c r="B42" s="68"/>
      <c r="C42" s="68"/>
      <c r="D42" s="68"/>
      <c r="E42" s="68"/>
      <c r="F42" s="68"/>
      <c r="G42" s="68"/>
    </row>
    <row r="43" spans="1:7" ht="13" customHeight="1" x14ac:dyDescent="0.3">
      <c r="A43" s="14"/>
      <c r="B43" s="14"/>
      <c r="C43" s="4" t="s">
        <v>68</v>
      </c>
      <c r="D43" s="4" t="s">
        <v>69</v>
      </c>
      <c r="E43" s="4" t="s">
        <v>70</v>
      </c>
      <c r="F43" s="4" t="s">
        <v>71</v>
      </c>
      <c r="G43" s="14"/>
    </row>
    <row r="44" spans="1:7" x14ac:dyDescent="0.25">
      <c r="B44" s="11" t="s">
        <v>289</v>
      </c>
      <c r="C44" s="90">
        <f>C21*0.9</f>
        <v>1.3680000000000001</v>
      </c>
      <c r="D44" s="90">
        <v>1</v>
      </c>
      <c r="E44" s="90">
        <v>1</v>
      </c>
      <c r="F44" s="90">
        <v>1</v>
      </c>
    </row>
    <row r="46" spans="1:7" s="92" customFormat="1" ht="13" customHeight="1" x14ac:dyDescent="0.3">
      <c r="A46" s="92" t="s">
        <v>245</v>
      </c>
    </row>
    <row r="47" spans="1:7" ht="13" customHeight="1" x14ac:dyDescent="0.3">
      <c r="A47" s="67" t="s">
        <v>313</v>
      </c>
      <c r="B47" s="68"/>
      <c r="C47" s="68"/>
      <c r="D47" s="68"/>
      <c r="E47" s="68"/>
      <c r="F47" s="68"/>
      <c r="G47" s="68"/>
    </row>
    <row r="48" spans="1:7" ht="13" customHeight="1" x14ac:dyDescent="0.3">
      <c r="A48" s="82" t="s">
        <v>208</v>
      </c>
      <c r="B48" s="1"/>
      <c r="C48" s="4" t="s">
        <v>78</v>
      </c>
      <c r="D48" s="4" t="s">
        <v>74</v>
      </c>
      <c r="E48" s="4" t="s">
        <v>77</v>
      </c>
      <c r="F48" s="4" t="s">
        <v>75</v>
      </c>
      <c r="G48" s="4" t="s">
        <v>76</v>
      </c>
    </row>
    <row r="49" spans="1:7" x14ac:dyDescent="0.25">
      <c r="B49" s="11" t="s">
        <v>302</v>
      </c>
      <c r="C49" s="90" t="s">
        <v>8</v>
      </c>
      <c r="D49" s="90">
        <f t="shared" ref="D49:G50" si="2">D3*1.05</f>
        <v>47.25</v>
      </c>
      <c r="E49" s="90">
        <f t="shared" si="2"/>
        <v>379.68000000000006</v>
      </c>
      <c r="F49" s="90">
        <f t="shared" si="2"/>
        <v>183.435</v>
      </c>
      <c r="G49" s="90">
        <f t="shared" si="2"/>
        <v>183.435</v>
      </c>
    </row>
    <row r="50" spans="1:7" ht="13" customHeight="1" x14ac:dyDescent="0.3">
      <c r="A50" s="4"/>
      <c r="B50" s="5" t="s">
        <v>288</v>
      </c>
      <c r="C50" s="90">
        <f>C4*1.05</f>
        <v>1.0762499999999999</v>
      </c>
      <c r="D50" s="90">
        <f t="shared" si="2"/>
        <v>1.0762499999999999</v>
      </c>
      <c r="E50" s="90">
        <f t="shared" si="2"/>
        <v>1.0762499999999999</v>
      </c>
      <c r="F50" s="90">
        <f t="shared" si="2"/>
        <v>1.0762499999999999</v>
      </c>
      <c r="G50" s="90">
        <f t="shared" si="2"/>
        <v>1.0762499999999999</v>
      </c>
    </row>
    <row r="51" spans="1:7" ht="13" customHeight="1" x14ac:dyDescent="0.3">
      <c r="A51" s="14" t="s">
        <v>285</v>
      </c>
    </row>
    <row r="52" spans="1:7" x14ac:dyDescent="0.25">
      <c r="B52" s="5" t="s">
        <v>316</v>
      </c>
      <c r="C52" s="90">
        <f t="shared" ref="C52:D55" si="3">IF(C6=1,1,C6*1.1)</f>
        <v>1</v>
      </c>
      <c r="D52" s="90">
        <f t="shared" si="3"/>
        <v>1</v>
      </c>
      <c r="E52" s="90">
        <f>E6*1.05</f>
        <v>0.93450000000000011</v>
      </c>
      <c r="F52" s="90">
        <f>F6*1.05</f>
        <v>0.93450000000000011</v>
      </c>
      <c r="G52" s="90">
        <f>IF(G6=1,1,G6*1.1)</f>
        <v>1</v>
      </c>
    </row>
    <row r="53" spans="1:7" x14ac:dyDescent="0.25">
      <c r="B53" s="5" t="s">
        <v>306</v>
      </c>
      <c r="C53" s="90">
        <f t="shared" si="3"/>
        <v>1</v>
      </c>
      <c r="D53" s="90">
        <f t="shared" si="3"/>
        <v>1</v>
      </c>
      <c r="E53" s="90">
        <v>0.91</v>
      </c>
      <c r="F53" s="90">
        <v>0.91</v>
      </c>
      <c r="G53" s="90">
        <f>IF(G7=1,1,G7*1.1)</f>
        <v>1</v>
      </c>
    </row>
    <row r="54" spans="1:7" x14ac:dyDescent="0.25">
      <c r="B54" s="5" t="s">
        <v>320</v>
      </c>
      <c r="C54" s="90">
        <f t="shared" si="3"/>
        <v>1</v>
      </c>
      <c r="D54" s="90">
        <f t="shared" si="3"/>
        <v>1</v>
      </c>
      <c r="E54" s="90">
        <v>0.91</v>
      </c>
      <c r="F54" s="90">
        <v>0.91</v>
      </c>
      <c r="G54" s="90">
        <f>IF(G8=1,1,G8*1.1)</f>
        <v>1</v>
      </c>
    </row>
    <row r="55" spans="1:7" x14ac:dyDescent="0.25">
      <c r="B55" s="5" t="s">
        <v>318</v>
      </c>
      <c r="C55" s="90">
        <f t="shared" si="3"/>
        <v>1</v>
      </c>
      <c r="D55" s="90">
        <f t="shared" si="3"/>
        <v>1</v>
      </c>
      <c r="E55" s="90">
        <f>IF(E9=1,1,E9*1.1)</f>
        <v>1</v>
      </c>
      <c r="F55" s="90">
        <f>IF(F9=1,1,F9*1.1)</f>
        <v>1</v>
      </c>
      <c r="G55" s="90">
        <f>IF(G9=1,1,G9*1.1)</f>
        <v>1</v>
      </c>
    </row>
    <row r="56" spans="1:7" x14ac:dyDescent="0.25">
      <c r="B56" s="5"/>
      <c r="C56" s="5"/>
      <c r="D56" s="5"/>
      <c r="E56" s="5"/>
      <c r="F56" s="5"/>
      <c r="G56" s="5"/>
    </row>
    <row r="57" spans="1:7" ht="13" customHeight="1" x14ac:dyDescent="0.3">
      <c r="A57" s="67" t="s">
        <v>309</v>
      </c>
      <c r="B57" s="68"/>
      <c r="C57" s="68"/>
      <c r="D57" s="68"/>
      <c r="E57" s="68"/>
      <c r="F57" s="68"/>
      <c r="G57" s="68"/>
    </row>
    <row r="58" spans="1:7" ht="13" customHeight="1" x14ac:dyDescent="0.3">
      <c r="A58" s="14"/>
      <c r="B58" s="11" t="s">
        <v>304</v>
      </c>
      <c r="C58" s="90">
        <v>1.78</v>
      </c>
      <c r="D58" s="90">
        <v>1.74</v>
      </c>
      <c r="E58" s="90">
        <v>1</v>
      </c>
      <c r="F58" s="90">
        <v>1</v>
      </c>
      <c r="G58" s="90">
        <v>1</v>
      </c>
    </row>
    <row r="59" spans="1:7" ht="13" customHeight="1" x14ac:dyDescent="0.3">
      <c r="A59" s="14"/>
      <c r="B59" s="11"/>
    </row>
    <row r="60" spans="1:7" ht="13" customHeight="1" x14ac:dyDescent="0.3">
      <c r="A60" s="67" t="s">
        <v>314</v>
      </c>
      <c r="B60" s="68"/>
      <c r="C60" s="68"/>
      <c r="D60" s="68"/>
      <c r="E60" s="68"/>
      <c r="F60" s="68"/>
      <c r="G60" s="68"/>
    </row>
    <row r="61" spans="1:7" ht="13" customHeight="1" x14ac:dyDescent="0.3">
      <c r="A61" s="82" t="s">
        <v>282</v>
      </c>
      <c r="B61" s="5" t="s">
        <v>296</v>
      </c>
      <c r="C61" s="90">
        <f t="shared" ref="C61:G63" si="4">IF(C15=1,1,C15*1.1)</f>
        <v>1.1274999999999999</v>
      </c>
      <c r="D61" s="90">
        <f t="shared" si="4"/>
        <v>1.1274999999999999</v>
      </c>
      <c r="E61" s="90">
        <f t="shared" si="4"/>
        <v>1.1274999999999999</v>
      </c>
      <c r="F61" s="90">
        <f t="shared" si="4"/>
        <v>1.1274999999999999</v>
      </c>
      <c r="G61" s="90">
        <f t="shared" si="4"/>
        <v>1.1274999999999999</v>
      </c>
    </row>
    <row r="62" spans="1:7" ht="13" customHeight="1" x14ac:dyDescent="0.3">
      <c r="A62" s="4"/>
      <c r="B62" s="5" t="s">
        <v>293</v>
      </c>
      <c r="C62" s="90">
        <f t="shared" si="4"/>
        <v>1.1274999999999999</v>
      </c>
      <c r="D62" s="90">
        <f t="shared" si="4"/>
        <v>1.1274999999999999</v>
      </c>
      <c r="E62" s="90">
        <f t="shared" si="4"/>
        <v>1.1274999999999999</v>
      </c>
      <c r="F62" s="90">
        <f t="shared" si="4"/>
        <v>1.1274999999999999</v>
      </c>
      <c r="G62" s="90">
        <f t="shared" si="4"/>
        <v>1.1274999999999999</v>
      </c>
    </row>
    <row r="63" spans="1:7" ht="13" customHeight="1" x14ac:dyDescent="0.3">
      <c r="A63" s="82" t="s">
        <v>105</v>
      </c>
      <c r="B63" s="11" t="s">
        <v>299</v>
      </c>
      <c r="C63" s="90">
        <f t="shared" si="4"/>
        <v>1</v>
      </c>
      <c r="D63" s="90">
        <f t="shared" si="4"/>
        <v>1</v>
      </c>
      <c r="E63" s="90">
        <f t="shared" si="4"/>
        <v>1</v>
      </c>
      <c r="F63" s="90">
        <f t="shared" si="4"/>
        <v>1</v>
      </c>
      <c r="G63" s="90">
        <f t="shared" si="4"/>
        <v>1</v>
      </c>
    </row>
    <row r="65" spans="1:7" ht="13" customHeight="1" x14ac:dyDescent="0.3">
      <c r="A65" s="67" t="s">
        <v>312</v>
      </c>
      <c r="B65" s="68"/>
      <c r="C65" s="68"/>
      <c r="D65" s="68"/>
      <c r="E65" s="68"/>
      <c r="F65" s="68"/>
      <c r="G65" s="68"/>
    </row>
    <row r="66" spans="1:7" ht="13" customHeight="1" x14ac:dyDescent="0.3">
      <c r="A66" s="14"/>
      <c r="B66" s="14"/>
      <c r="C66" s="4" t="s">
        <v>68</v>
      </c>
      <c r="D66" s="4" t="s">
        <v>69</v>
      </c>
      <c r="E66" s="4" t="s">
        <v>70</v>
      </c>
      <c r="F66" s="4" t="s">
        <v>71</v>
      </c>
      <c r="G66" s="14"/>
    </row>
    <row r="67" spans="1:7" x14ac:dyDescent="0.25">
      <c r="B67" s="11" t="s">
        <v>290</v>
      </c>
      <c r="C67" s="90">
        <f>C21*1.1</f>
        <v>1.6720000000000002</v>
      </c>
      <c r="D67" s="90">
        <v>1</v>
      </c>
      <c r="E67" s="90">
        <v>1</v>
      </c>
      <c r="F67" s="90">
        <v>1</v>
      </c>
    </row>
  </sheetData>
  <sheetProtection algorithmName="SHA-512" hashValue="+XG2caALeu03FVoXKIgkazA5FtODFgqIWAt9c7xAqjs1d8gsitknIomK7/XpokJSOWBUdl2cXgSiLoYdGjAKPQ==" saltValue="6XdyLROG2IZR0B2p2108A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0" tint="-0.249977111117893"/>
  </sheetPr>
  <dimension ref="A1:F43"/>
  <sheetViews>
    <sheetView zoomScale="70" zoomScaleNormal="70" workbookViewId="0">
      <selection activeCell="C12" sqref="C12"/>
    </sheetView>
  </sheetViews>
  <sheetFormatPr defaultColWidth="16.08984375" defaultRowHeight="15.75" customHeight="1" x14ac:dyDescent="0.25"/>
  <cols>
    <col min="1" max="1" width="52.1796875" style="8" customWidth="1"/>
    <col min="2" max="6" width="16.08984375" style="8" customWidth="1"/>
    <col min="7" max="7" width="17.1796875" style="8" customWidth="1"/>
    <col min="8" max="9" width="16.08984375" style="8" customWidth="1"/>
    <col min="10" max="16384" width="16.08984375" style="8"/>
  </cols>
  <sheetData>
    <row r="1" spans="1:6" ht="15.75" customHeight="1" x14ac:dyDescent="0.3">
      <c r="A1" s="1" t="s">
        <v>163</v>
      </c>
      <c r="B1" s="4"/>
      <c r="C1" s="4" t="s">
        <v>52</v>
      </c>
      <c r="D1" s="4" t="s">
        <v>59</v>
      </c>
      <c r="E1" s="4" t="s">
        <v>51</v>
      </c>
      <c r="F1" s="1" t="s">
        <v>58</v>
      </c>
    </row>
    <row r="2" spans="1:6" ht="15.75" customHeight="1" x14ac:dyDescent="0.25">
      <c r="A2" s="5" t="s">
        <v>165</v>
      </c>
      <c r="B2" s="5" t="s">
        <v>322</v>
      </c>
      <c r="C2" s="90">
        <v>0.28999999999999998</v>
      </c>
      <c r="D2" s="90">
        <v>0.28999999999999998</v>
      </c>
      <c r="E2" s="90">
        <v>0</v>
      </c>
      <c r="F2" s="90">
        <v>0</v>
      </c>
    </row>
    <row r="3" spans="1:6" ht="15.75" customHeight="1" x14ac:dyDescent="0.25">
      <c r="A3" s="5"/>
      <c r="B3" s="5" t="s">
        <v>321</v>
      </c>
      <c r="C3" s="90">
        <v>1</v>
      </c>
      <c r="D3" s="90">
        <v>1</v>
      </c>
      <c r="E3" s="90">
        <v>1</v>
      </c>
      <c r="F3" s="90">
        <v>1</v>
      </c>
    </row>
    <row r="4" spans="1:6" ht="15.75" customHeight="1" x14ac:dyDescent="0.25">
      <c r="A4" s="5" t="s">
        <v>178</v>
      </c>
      <c r="B4" s="5" t="s">
        <v>322</v>
      </c>
      <c r="C4" s="90">
        <v>0.61</v>
      </c>
      <c r="D4" s="90">
        <v>0.61</v>
      </c>
      <c r="E4" s="90">
        <v>0</v>
      </c>
      <c r="F4" s="90">
        <v>0</v>
      </c>
    </row>
    <row r="5" spans="1:6" ht="15.75" customHeight="1" x14ac:dyDescent="0.25">
      <c r="A5" s="5"/>
      <c r="B5" s="5" t="s">
        <v>321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5" t="s">
        <v>179</v>
      </c>
      <c r="B6" s="5" t="s">
        <v>322</v>
      </c>
      <c r="C6" s="90">
        <v>0.61</v>
      </c>
      <c r="D6" s="90">
        <v>0.61</v>
      </c>
      <c r="E6" s="90">
        <v>0</v>
      </c>
      <c r="F6" s="90">
        <v>0</v>
      </c>
    </row>
    <row r="7" spans="1:6" ht="15.75" customHeight="1" x14ac:dyDescent="0.25">
      <c r="A7" s="5"/>
      <c r="B7" s="5" t="s">
        <v>321</v>
      </c>
      <c r="C7" s="90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A8" s="5" t="s">
        <v>180</v>
      </c>
      <c r="B8" s="5" t="s">
        <v>322</v>
      </c>
      <c r="C8" s="90">
        <v>0.35</v>
      </c>
      <c r="D8" s="90">
        <v>0.35</v>
      </c>
      <c r="E8" s="90">
        <v>0</v>
      </c>
      <c r="F8" s="90">
        <v>0</v>
      </c>
    </row>
    <row r="9" spans="1:6" ht="15.75" customHeight="1" x14ac:dyDescent="0.25">
      <c r="A9" s="5"/>
      <c r="B9" s="5" t="s">
        <v>321</v>
      </c>
      <c r="C9" s="90">
        <v>1</v>
      </c>
      <c r="D9" s="90">
        <v>1</v>
      </c>
      <c r="E9" s="90">
        <v>0</v>
      </c>
      <c r="F9" s="90">
        <v>0</v>
      </c>
    </row>
    <row r="10" spans="1:6" ht="15.75" customHeight="1" x14ac:dyDescent="0.25">
      <c r="A10" s="5" t="s">
        <v>185</v>
      </c>
      <c r="B10" s="5" t="s">
        <v>322</v>
      </c>
      <c r="C10" s="90">
        <v>0.35</v>
      </c>
      <c r="D10" s="90">
        <v>0.35</v>
      </c>
      <c r="E10" s="90">
        <v>0</v>
      </c>
      <c r="F10" s="90">
        <v>0</v>
      </c>
    </row>
    <row r="11" spans="1:6" ht="15.75" customHeight="1" x14ac:dyDescent="0.25">
      <c r="A11" s="5"/>
      <c r="B11" s="5" t="s">
        <v>321</v>
      </c>
      <c r="C11" s="90">
        <v>1</v>
      </c>
      <c r="D11" s="90">
        <v>1</v>
      </c>
      <c r="E11" s="90">
        <v>0</v>
      </c>
      <c r="F11" s="90">
        <v>0</v>
      </c>
    </row>
    <row r="12" spans="1:6" ht="15.75" customHeight="1" x14ac:dyDescent="0.25">
      <c r="A12" s="5" t="s">
        <v>191</v>
      </c>
      <c r="B12" s="5" t="s">
        <v>322</v>
      </c>
      <c r="C12" s="90">
        <f>1-0.93*0.39</f>
        <v>0.63729999999999998</v>
      </c>
      <c r="D12" s="90">
        <f>1-0.93*0.39</f>
        <v>0.63729999999999998</v>
      </c>
      <c r="E12" s="90">
        <v>0</v>
      </c>
      <c r="F12" s="90">
        <v>0</v>
      </c>
    </row>
    <row r="13" spans="1:6" ht="15.75" customHeight="1" x14ac:dyDescent="0.25">
      <c r="A13" s="5"/>
      <c r="B13" s="5" t="s">
        <v>321</v>
      </c>
      <c r="C13" s="90">
        <v>1</v>
      </c>
      <c r="D13" s="90">
        <v>1</v>
      </c>
      <c r="E13" s="90">
        <v>1</v>
      </c>
      <c r="F13" s="90">
        <v>1</v>
      </c>
    </row>
    <row r="15" spans="1:6" s="92" customFormat="1" ht="15.75" customHeight="1" x14ac:dyDescent="0.3">
      <c r="A15" s="92" t="s">
        <v>235</v>
      </c>
    </row>
    <row r="16" spans="1:6" ht="15.75" customHeight="1" x14ac:dyDescent="0.3">
      <c r="A16" s="1" t="s">
        <v>163</v>
      </c>
      <c r="B16" s="4"/>
      <c r="C16" s="4" t="s">
        <v>52</v>
      </c>
      <c r="D16" s="4" t="s">
        <v>59</v>
      </c>
      <c r="E16" s="4" t="s">
        <v>51</v>
      </c>
      <c r="F16" s="1" t="s">
        <v>58</v>
      </c>
    </row>
    <row r="17" spans="1:6" ht="15.75" customHeight="1" x14ac:dyDescent="0.25">
      <c r="A17" s="5" t="s">
        <v>165</v>
      </c>
      <c r="B17" s="5" t="s">
        <v>322</v>
      </c>
      <c r="C17" s="90">
        <f>1-0.94</f>
        <v>6.0000000000000053E-2</v>
      </c>
      <c r="D17" s="90">
        <f>1-0.94</f>
        <v>6.0000000000000053E-2</v>
      </c>
      <c r="E17" s="90">
        <f>E2*0.9</f>
        <v>0</v>
      </c>
      <c r="F17" s="90">
        <f>F2*0.9</f>
        <v>0</v>
      </c>
    </row>
    <row r="18" spans="1:6" ht="15.75" customHeight="1" x14ac:dyDescent="0.25">
      <c r="A18" s="5"/>
      <c r="B18" s="5" t="s">
        <v>321</v>
      </c>
      <c r="C18" s="90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A19" s="5" t="s">
        <v>178</v>
      </c>
      <c r="B19" s="5" t="s">
        <v>322</v>
      </c>
      <c r="C19" s="90">
        <f>1-0.86</f>
        <v>0.14000000000000001</v>
      </c>
      <c r="D19" s="90">
        <f>1-0.86</f>
        <v>0.14000000000000001</v>
      </c>
      <c r="E19" s="90">
        <f>E4*0.9</f>
        <v>0</v>
      </c>
      <c r="F19" s="90">
        <f>F4*0.9</f>
        <v>0</v>
      </c>
    </row>
    <row r="20" spans="1:6" ht="15.75" customHeight="1" x14ac:dyDescent="0.25">
      <c r="A20" s="5"/>
      <c r="B20" s="5" t="s">
        <v>321</v>
      </c>
      <c r="C20" s="90">
        <v>1</v>
      </c>
      <c r="D20" s="90">
        <v>1</v>
      </c>
      <c r="E20" s="90">
        <v>1</v>
      </c>
      <c r="F20" s="90">
        <v>1</v>
      </c>
    </row>
    <row r="21" spans="1:6" ht="15.75" customHeight="1" x14ac:dyDescent="0.25">
      <c r="A21" s="5" t="s">
        <v>179</v>
      </c>
      <c r="B21" s="5" t="s">
        <v>322</v>
      </c>
      <c r="C21" s="90">
        <f>1-0.86</f>
        <v>0.14000000000000001</v>
      </c>
      <c r="D21" s="90">
        <f>1-0.86</f>
        <v>0.14000000000000001</v>
      </c>
      <c r="E21" s="90">
        <f>E6*0.9</f>
        <v>0</v>
      </c>
      <c r="F21" s="90">
        <f>F6*0.9</f>
        <v>0</v>
      </c>
    </row>
    <row r="22" spans="1:6" ht="15.75" customHeight="1" x14ac:dyDescent="0.25">
      <c r="A22" s="5"/>
      <c r="B22" s="5" t="s">
        <v>321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5" t="s">
        <v>180</v>
      </c>
      <c r="B23" s="5" t="s">
        <v>322</v>
      </c>
      <c r="C23" s="90">
        <f>1-0.77</f>
        <v>0.22999999999999998</v>
      </c>
      <c r="D23" s="90">
        <f>1-0.77</f>
        <v>0.22999999999999998</v>
      </c>
      <c r="E23" s="90">
        <f>E10*0.9</f>
        <v>0</v>
      </c>
      <c r="F23" s="90">
        <f>F10*0.9</f>
        <v>0</v>
      </c>
    </row>
    <row r="24" spans="1:6" ht="15.75" customHeight="1" x14ac:dyDescent="0.25">
      <c r="A24" s="5"/>
      <c r="B24" s="5" t="s">
        <v>321</v>
      </c>
      <c r="C24" s="90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A25" s="5" t="s">
        <v>185</v>
      </c>
      <c r="B25" s="5" t="s">
        <v>322</v>
      </c>
      <c r="C25" s="90">
        <f>1-0.77</f>
        <v>0.22999999999999998</v>
      </c>
      <c r="D25" s="90">
        <f>1-0.77</f>
        <v>0.22999999999999998</v>
      </c>
      <c r="E25" s="90">
        <f>E10*0.9</f>
        <v>0</v>
      </c>
      <c r="F25" s="90">
        <f>F10*0.9</f>
        <v>0</v>
      </c>
    </row>
    <row r="26" spans="1:6" ht="15.75" customHeight="1" x14ac:dyDescent="0.25">
      <c r="A26" s="5"/>
      <c r="B26" s="5" t="s">
        <v>321</v>
      </c>
      <c r="C26" s="90">
        <v>1</v>
      </c>
      <c r="D26" s="90">
        <v>1</v>
      </c>
      <c r="E26" s="90">
        <v>1</v>
      </c>
      <c r="F26" s="90">
        <v>1</v>
      </c>
    </row>
    <row r="27" spans="1:6" ht="15.75" customHeight="1" x14ac:dyDescent="0.25">
      <c r="A27" s="5" t="s">
        <v>191</v>
      </c>
      <c r="B27" s="5" t="s">
        <v>322</v>
      </c>
      <c r="C27" s="90">
        <f>1-0.98*0.86</f>
        <v>0.15720000000000001</v>
      </c>
      <c r="D27" s="90">
        <f>1-0.98*0.86</f>
        <v>0.15720000000000001</v>
      </c>
      <c r="E27" s="90">
        <f>E12*0.9</f>
        <v>0</v>
      </c>
      <c r="F27" s="90">
        <f>F12*0.9</f>
        <v>0</v>
      </c>
    </row>
    <row r="28" spans="1:6" ht="15.75" customHeight="1" x14ac:dyDescent="0.25">
      <c r="A28" s="5"/>
      <c r="B28" s="5" t="s">
        <v>321</v>
      </c>
      <c r="C28" s="90">
        <v>1</v>
      </c>
      <c r="D28" s="90">
        <v>1</v>
      </c>
      <c r="E28" s="90">
        <v>1</v>
      </c>
      <c r="F28" s="90">
        <v>1</v>
      </c>
    </row>
    <row r="30" spans="1:6" s="92" customFormat="1" ht="15.75" customHeight="1" x14ac:dyDescent="0.3">
      <c r="A30" s="92" t="s">
        <v>245</v>
      </c>
    </row>
    <row r="31" spans="1:6" ht="15.75" customHeight="1" x14ac:dyDescent="0.3">
      <c r="A31" s="1" t="s">
        <v>163</v>
      </c>
      <c r="B31" s="4"/>
      <c r="C31" s="4" t="s">
        <v>52</v>
      </c>
      <c r="D31" s="4" t="s">
        <v>59</v>
      </c>
      <c r="E31" s="4" t="s">
        <v>51</v>
      </c>
      <c r="F31" s="1" t="s">
        <v>58</v>
      </c>
    </row>
    <row r="32" spans="1:6" ht="15.75" customHeight="1" x14ac:dyDescent="0.25">
      <c r="A32" s="5" t="s">
        <v>165</v>
      </c>
      <c r="B32" s="5" t="s">
        <v>322</v>
      </c>
      <c r="C32" s="90">
        <f>1-0.54</f>
        <v>0.45999999999999996</v>
      </c>
      <c r="D32" s="90">
        <f>1-0.54</f>
        <v>0.45999999999999996</v>
      </c>
      <c r="E32" s="90">
        <f>E2*1.1</f>
        <v>0</v>
      </c>
      <c r="F32" s="90">
        <f>F2*1.1</f>
        <v>0</v>
      </c>
    </row>
    <row r="33" spans="1:6" ht="15.75" customHeight="1" x14ac:dyDescent="0.25">
      <c r="A33" s="5"/>
      <c r="B33" s="5" t="s">
        <v>321</v>
      </c>
      <c r="C33" s="90">
        <v>1</v>
      </c>
      <c r="D33" s="90">
        <v>1</v>
      </c>
      <c r="E33" s="90">
        <v>1</v>
      </c>
      <c r="F33" s="90">
        <v>1</v>
      </c>
    </row>
    <row r="34" spans="1:6" ht="15.75" customHeight="1" x14ac:dyDescent="0.25">
      <c r="A34" s="5" t="s">
        <v>178</v>
      </c>
      <c r="B34" s="5" t="s">
        <v>322</v>
      </c>
      <c r="C34" s="90">
        <f>1-0.17</f>
        <v>0.83</v>
      </c>
      <c r="D34" s="90">
        <f>1-0.17</f>
        <v>0.83</v>
      </c>
      <c r="E34" s="90">
        <f>E4*1.1</f>
        <v>0</v>
      </c>
      <c r="F34" s="90">
        <f>F4*1.1</f>
        <v>0</v>
      </c>
    </row>
    <row r="35" spans="1:6" ht="15.75" customHeight="1" x14ac:dyDescent="0.25">
      <c r="A35" s="5"/>
      <c r="B35" s="5" t="s">
        <v>321</v>
      </c>
      <c r="C35" s="90">
        <v>1</v>
      </c>
      <c r="D35" s="90">
        <v>1</v>
      </c>
      <c r="E35" s="90">
        <v>1</v>
      </c>
      <c r="F35" s="90">
        <v>1</v>
      </c>
    </row>
    <row r="36" spans="1:6" ht="15.75" customHeight="1" x14ac:dyDescent="0.25">
      <c r="A36" s="5" t="s">
        <v>179</v>
      </c>
      <c r="B36" s="5" t="s">
        <v>322</v>
      </c>
      <c r="C36" s="90">
        <f>1-0.17</f>
        <v>0.83</v>
      </c>
      <c r="D36" s="90">
        <f>1-0.17</f>
        <v>0.83</v>
      </c>
      <c r="E36" s="90">
        <f>E6*1.1</f>
        <v>0</v>
      </c>
      <c r="F36" s="90">
        <f>F6*1.1</f>
        <v>0</v>
      </c>
    </row>
    <row r="37" spans="1:6" ht="15.75" customHeight="1" x14ac:dyDescent="0.25">
      <c r="A37" s="5"/>
      <c r="B37" s="5" t="s">
        <v>321</v>
      </c>
      <c r="C37" s="90">
        <v>1</v>
      </c>
      <c r="D37" s="90">
        <v>1</v>
      </c>
      <c r="E37" s="90">
        <v>1</v>
      </c>
      <c r="F37" s="90">
        <v>1</v>
      </c>
    </row>
    <row r="38" spans="1:6" ht="15.75" customHeight="1" x14ac:dyDescent="0.25">
      <c r="A38" s="5" t="s">
        <v>180</v>
      </c>
      <c r="B38" s="5" t="s">
        <v>322</v>
      </c>
      <c r="C38" s="90">
        <f>1-0.55</f>
        <v>0.44999999999999996</v>
      </c>
      <c r="D38" s="90">
        <f>1-0.55</f>
        <v>0.44999999999999996</v>
      </c>
      <c r="E38" s="90">
        <f>E8*1.1</f>
        <v>0</v>
      </c>
      <c r="F38" s="90">
        <f>F8*1.1</f>
        <v>0</v>
      </c>
    </row>
    <row r="39" spans="1:6" ht="15.75" customHeight="1" x14ac:dyDescent="0.25">
      <c r="A39" s="5"/>
      <c r="B39" s="5" t="s">
        <v>321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5" t="s">
        <v>185</v>
      </c>
      <c r="B40" s="5" t="s">
        <v>322</v>
      </c>
      <c r="C40" s="90">
        <f>1-0.55</f>
        <v>0.44999999999999996</v>
      </c>
      <c r="D40" s="90">
        <f>1-0.55</f>
        <v>0.44999999999999996</v>
      </c>
      <c r="E40" s="90">
        <f>E10*1.1</f>
        <v>0</v>
      </c>
      <c r="F40" s="90">
        <f>F10*1.1</f>
        <v>0</v>
      </c>
    </row>
    <row r="41" spans="1:6" ht="15.75" customHeight="1" x14ac:dyDescent="0.25">
      <c r="A41" s="5"/>
      <c r="B41" s="5" t="s">
        <v>321</v>
      </c>
      <c r="C41" s="90">
        <v>1</v>
      </c>
      <c r="D41" s="90">
        <v>1</v>
      </c>
      <c r="E41" s="90">
        <v>1</v>
      </c>
      <c r="F41" s="90">
        <v>1</v>
      </c>
    </row>
    <row r="42" spans="1:6" ht="15.75" customHeight="1" x14ac:dyDescent="0.25">
      <c r="A42" s="5" t="s">
        <v>191</v>
      </c>
      <c r="B42" s="5" t="s">
        <v>322</v>
      </c>
      <c r="C42" s="90">
        <f>1-0.88*0.17</f>
        <v>0.85040000000000004</v>
      </c>
      <c r="D42" s="90">
        <f>1-0.88*0.17</f>
        <v>0.85040000000000004</v>
      </c>
      <c r="E42" s="90">
        <f>E12*1.1</f>
        <v>0</v>
      </c>
      <c r="F42" s="90">
        <f>F12*1.1</f>
        <v>0</v>
      </c>
    </row>
    <row r="43" spans="1:6" ht="15.75" customHeight="1" x14ac:dyDescent="0.25">
      <c r="A43" s="5"/>
      <c r="B43" s="5" t="s">
        <v>321</v>
      </c>
      <c r="C43" s="90">
        <v>1</v>
      </c>
      <c r="D43" s="90">
        <v>1</v>
      </c>
      <c r="E43" s="90">
        <v>1</v>
      </c>
      <c r="F43" s="90">
        <v>1</v>
      </c>
    </row>
  </sheetData>
  <sheetProtection algorithmName="SHA-512" hashValue="3y3s5N1p2gCmiZiOBaNHDT81wJXnuXf5Ov3/f0OYM7u6/A72ebzYXyU7ikD9x/5od5XDoBD9xlnq1U6PYgiJGQ==" saltValue="6hv2CQ1WY/sWhW7zvxgrC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 tint="-0.249977111117893"/>
  </sheetPr>
  <dimension ref="A1:O67"/>
  <sheetViews>
    <sheetView topLeftCell="A2" zoomScale="70" zoomScaleNormal="70" workbookViewId="0">
      <selection activeCell="H14" sqref="H14"/>
    </sheetView>
  </sheetViews>
  <sheetFormatPr defaultColWidth="12.816406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6" width="12.81640625" style="8" customWidth="1"/>
    <col min="17" max="16384" width="12.81640625" style="8"/>
  </cols>
  <sheetData>
    <row r="1" spans="1:15" ht="35.25" customHeight="1" x14ac:dyDescent="0.3">
      <c r="A1" s="4"/>
      <c r="B1" s="4"/>
      <c r="C1" s="70" t="s">
        <v>78</v>
      </c>
      <c r="D1" s="70" t="s">
        <v>74</v>
      </c>
      <c r="E1" s="70" t="s">
        <v>77</v>
      </c>
      <c r="F1" s="70" t="s">
        <v>75</v>
      </c>
      <c r="G1" s="70" t="s">
        <v>76</v>
      </c>
      <c r="H1" s="70" t="s">
        <v>68</v>
      </c>
      <c r="I1" s="70" t="s">
        <v>69</v>
      </c>
      <c r="J1" s="70" t="s">
        <v>70</v>
      </c>
      <c r="K1" s="70" t="s">
        <v>71</v>
      </c>
      <c r="L1" s="70" t="s">
        <v>113</v>
      </c>
      <c r="M1" s="70" t="s">
        <v>114</v>
      </c>
      <c r="N1" s="70" t="s">
        <v>115</v>
      </c>
      <c r="O1" s="70" t="s">
        <v>116</v>
      </c>
    </row>
    <row r="2" spans="1:15" ht="13" customHeight="1" x14ac:dyDescent="0.3">
      <c r="A2" s="4" t="s">
        <v>326</v>
      </c>
    </row>
    <row r="3" spans="1:15" x14ac:dyDescent="0.25">
      <c r="B3" s="11" t="s">
        <v>169</v>
      </c>
      <c r="C3" s="90">
        <v>0.92</v>
      </c>
      <c r="D3" s="90">
        <v>0.53</v>
      </c>
      <c r="E3" s="90">
        <v>1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174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175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176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177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178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179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180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5" t="s">
        <v>184</v>
      </c>
      <c r="C11" s="90">
        <v>1</v>
      </c>
      <c r="D11" s="90">
        <v>1</v>
      </c>
      <c r="E11" s="90">
        <v>0.69</v>
      </c>
      <c r="F11" s="90">
        <v>0.69</v>
      </c>
      <c r="G11" s="90">
        <v>1</v>
      </c>
      <c r="H11" s="90">
        <v>1</v>
      </c>
      <c r="I11" s="90">
        <v>1</v>
      </c>
      <c r="J11" s="90">
        <v>1</v>
      </c>
      <c r="K11" s="90">
        <v>1</v>
      </c>
      <c r="L11" s="90">
        <v>1</v>
      </c>
      <c r="M11" s="90">
        <v>1</v>
      </c>
      <c r="N11" s="90">
        <v>1</v>
      </c>
      <c r="O11" s="90">
        <v>1</v>
      </c>
    </row>
    <row r="12" spans="1:15" x14ac:dyDescent="0.25">
      <c r="B12" s="11" t="s">
        <v>185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" customHeight="1" x14ac:dyDescent="0.25">
      <c r="B13" s="11" t="s">
        <v>190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191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204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customHeight="1" x14ac:dyDescent="0.3">
      <c r="A17" s="4" t="s">
        <v>323</v>
      </c>
      <c r="B17" s="11"/>
    </row>
    <row r="18" spans="1:15" x14ac:dyDescent="0.25">
      <c r="B18" s="5" t="s">
        <v>171</v>
      </c>
      <c r="C18" s="90">
        <v>1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90">
        <v>1</v>
      </c>
      <c r="J18" s="90">
        <v>1</v>
      </c>
      <c r="K18" s="90">
        <v>1</v>
      </c>
      <c r="L18" s="90">
        <v>1</v>
      </c>
      <c r="M18" s="90">
        <v>1</v>
      </c>
      <c r="N18" s="90">
        <v>1</v>
      </c>
      <c r="O18" s="90">
        <v>1</v>
      </c>
    </row>
    <row r="19" spans="1:15" x14ac:dyDescent="0.25">
      <c r="B19" s="5" t="s">
        <v>172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173</v>
      </c>
      <c r="C20" s="90">
        <v>1</v>
      </c>
      <c r="D20" s="90">
        <v>1</v>
      </c>
      <c r="E20" s="90">
        <f t="shared" ref="E20:O20" si="0">E19</f>
        <v>0.97599999999999998</v>
      </c>
      <c r="F20" s="90">
        <f t="shared" si="0"/>
        <v>0.97599999999999998</v>
      </c>
      <c r="G20" s="90">
        <f t="shared" si="0"/>
        <v>0.97599999999999998</v>
      </c>
      <c r="H20" s="90">
        <f t="shared" si="0"/>
        <v>0.97599999999999998</v>
      </c>
      <c r="I20" s="90">
        <f t="shared" si="0"/>
        <v>0.97599999999999998</v>
      </c>
      <c r="J20" s="90">
        <f t="shared" si="0"/>
        <v>0.97599999999999998</v>
      </c>
      <c r="K20" s="90">
        <f t="shared" si="0"/>
        <v>0.97599999999999998</v>
      </c>
      <c r="L20" s="90">
        <f t="shared" si="0"/>
        <v>0.97599999999999998</v>
      </c>
      <c r="M20" s="90">
        <f t="shared" si="0"/>
        <v>0.97599999999999998</v>
      </c>
      <c r="N20" s="90">
        <f t="shared" si="0"/>
        <v>0.97599999999999998</v>
      </c>
      <c r="O20" s="90">
        <f t="shared" si="0"/>
        <v>0.97599999999999998</v>
      </c>
    </row>
    <row r="21" spans="1:15" x14ac:dyDescent="0.25">
      <c r="B21" s="5" t="s">
        <v>181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customHeight="1" x14ac:dyDescent="0.3">
      <c r="A23" s="92" t="s">
        <v>235</v>
      </c>
    </row>
    <row r="24" spans="1:15" ht="26" customHeight="1" x14ac:dyDescent="0.3">
      <c r="A24" s="4"/>
      <c r="B24" s="4"/>
      <c r="C24" s="70" t="s">
        <v>78</v>
      </c>
      <c r="D24" s="70" t="s">
        <v>74</v>
      </c>
      <c r="E24" s="70" t="s">
        <v>77</v>
      </c>
      <c r="F24" s="70" t="s">
        <v>75</v>
      </c>
      <c r="G24" s="70" t="s">
        <v>76</v>
      </c>
      <c r="H24" s="70" t="s">
        <v>68</v>
      </c>
      <c r="I24" s="70" t="s">
        <v>69</v>
      </c>
      <c r="J24" s="70" t="s">
        <v>70</v>
      </c>
      <c r="K24" s="70" t="s">
        <v>71</v>
      </c>
      <c r="L24" s="70" t="s">
        <v>113</v>
      </c>
      <c r="M24" s="70" t="s">
        <v>114</v>
      </c>
      <c r="N24" s="70" t="s">
        <v>115</v>
      </c>
      <c r="O24" s="70" t="s">
        <v>116</v>
      </c>
    </row>
    <row r="25" spans="1:15" ht="13" customHeight="1" x14ac:dyDescent="0.3">
      <c r="A25" s="4" t="s">
        <v>327</v>
      </c>
    </row>
    <row r="26" spans="1:15" x14ac:dyDescent="0.25">
      <c r="B26" s="11" t="s">
        <v>169</v>
      </c>
      <c r="C26" s="90">
        <v>0.87</v>
      </c>
      <c r="D26" s="90">
        <v>0.4</v>
      </c>
      <c r="E26" s="90">
        <f t="shared" ref="E26:O26" si="1">IF(E3=1,1,E3*0.9)</f>
        <v>1</v>
      </c>
      <c r="F26" s="90">
        <f t="shared" si="1"/>
        <v>1</v>
      </c>
      <c r="G26" s="90">
        <f t="shared" si="1"/>
        <v>1</v>
      </c>
      <c r="H26" s="90">
        <f t="shared" si="1"/>
        <v>1</v>
      </c>
      <c r="I26" s="90">
        <f t="shared" si="1"/>
        <v>1</v>
      </c>
      <c r="J26" s="90">
        <f t="shared" si="1"/>
        <v>1</v>
      </c>
      <c r="K26" s="90">
        <f t="shared" si="1"/>
        <v>1</v>
      </c>
      <c r="L26" s="90">
        <f t="shared" si="1"/>
        <v>1</v>
      </c>
      <c r="M26" s="90">
        <f t="shared" si="1"/>
        <v>1</v>
      </c>
      <c r="N26" s="90">
        <f t="shared" si="1"/>
        <v>1</v>
      </c>
      <c r="O26" s="90">
        <f t="shared" si="1"/>
        <v>1</v>
      </c>
    </row>
    <row r="27" spans="1:15" x14ac:dyDescent="0.25">
      <c r="B27" s="11" t="s">
        <v>174</v>
      </c>
      <c r="C27" s="90">
        <f t="shared" ref="C27:G33" si="2">IF(C4=1,1,C4*0.9)</f>
        <v>1</v>
      </c>
      <c r="D27" s="90">
        <f t="shared" si="2"/>
        <v>1</v>
      </c>
      <c r="E27" s="90">
        <f t="shared" si="2"/>
        <v>1</v>
      </c>
      <c r="F27" s="90">
        <f t="shared" si="2"/>
        <v>1</v>
      </c>
      <c r="G27" s="90">
        <f t="shared" si="2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3">IF(L4=1,1,L4*0.9)</f>
        <v>1</v>
      </c>
      <c r="M27" s="90">
        <f t="shared" si="3"/>
        <v>1</v>
      </c>
      <c r="N27" s="90">
        <f t="shared" si="3"/>
        <v>1</v>
      </c>
      <c r="O27" s="90">
        <f t="shared" si="3"/>
        <v>1</v>
      </c>
    </row>
    <row r="28" spans="1:15" x14ac:dyDescent="0.25">
      <c r="B28" s="11" t="s">
        <v>175</v>
      </c>
      <c r="C28" s="90">
        <f t="shared" si="2"/>
        <v>1</v>
      </c>
      <c r="D28" s="90">
        <f t="shared" si="2"/>
        <v>1</v>
      </c>
      <c r="E28" s="90">
        <f t="shared" si="2"/>
        <v>1</v>
      </c>
      <c r="F28" s="90">
        <f t="shared" si="2"/>
        <v>1</v>
      </c>
      <c r="G28" s="90">
        <f t="shared" si="2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3"/>
        <v>1</v>
      </c>
      <c r="M28" s="90">
        <f t="shared" si="3"/>
        <v>1</v>
      </c>
      <c r="N28" s="90">
        <f t="shared" si="3"/>
        <v>1</v>
      </c>
      <c r="O28" s="90">
        <f t="shared" si="3"/>
        <v>1</v>
      </c>
    </row>
    <row r="29" spans="1:15" x14ac:dyDescent="0.25">
      <c r="B29" s="11" t="s">
        <v>176</v>
      </c>
      <c r="C29" s="90">
        <f t="shared" si="2"/>
        <v>1</v>
      </c>
      <c r="D29" s="90">
        <f t="shared" si="2"/>
        <v>1</v>
      </c>
      <c r="E29" s="90">
        <f t="shared" si="2"/>
        <v>1</v>
      </c>
      <c r="F29" s="90">
        <f t="shared" si="2"/>
        <v>1</v>
      </c>
      <c r="G29" s="90">
        <f t="shared" si="2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3"/>
        <v>1</v>
      </c>
      <c r="M29" s="90">
        <f t="shared" si="3"/>
        <v>1</v>
      </c>
      <c r="N29" s="90">
        <f t="shared" si="3"/>
        <v>1</v>
      </c>
      <c r="O29" s="90">
        <f t="shared" si="3"/>
        <v>1</v>
      </c>
    </row>
    <row r="30" spans="1:15" x14ac:dyDescent="0.25">
      <c r="B30" s="11" t="s">
        <v>177</v>
      </c>
      <c r="C30" s="90">
        <f t="shared" si="2"/>
        <v>1</v>
      </c>
      <c r="D30" s="90">
        <f t="shared" si="2"/>
        <v>1</v>
      </c>
      <c r="E30" s="90">
        <f t="shared" si="2"/>
        <v>1</v>
      </c>
      <c r="F30" s="90">
        <f t="shared" si="2"/>
        <v>1</v>
      </c>
      <c r="G30" s="90">
        <f t="shared" si="2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3"/>
        <v>1</v>
      </c>
      <c r="M30" s="90">
        <f t="shared" si="3"/>
        <v>1</v>
      </c>
      <c r="N30" s="90">
        <f t="shared" si="3"/>
        <v>1</v>
      </c>
      <c r="O30" s="90">
        <f t="shared" si="3"/>
        <v>1</v>
      </c>
    </row>
    <row r="31" spans="1:15" x14ac:dyDescent="0.25">
      <c r="B31" s="5" t="s">
        <v>178</v>
      </c>
      <c r="C31" s="90">
        <f t="shared" si="2"/>
        <v>1</v>
      </c>
      <c r="D31" s="90">
        <f t="shared" si="2"/>
        <v>1</v>
      </c>
      <c r="E31" s="90">
        <f t="shared" si="2"/>
        <v>1</v>
      </c>
      <c r="F31" s="90">
        <f t="shared" si="2"/>
        <v>1</v>
      </c>
      <c r="G31" s="90">
        <f t="shared" si="2"/>
        <v>1</v>
      </c>
      <c r="H31" s="90">
        <f t="shared" ref="H31:K34" si="4">IF(H8=1,1,H8*0.9)</f>
        <v>1</v>
      </c>
      <c r="I31" s="90">
        <f t="shared" si="4"/>
        <v>1</v>
      </c>
      <c r="J31" s="90">
        <f t="shared" si="4"/>
        <v>1</v>
      </c>
      <c r="K31" s="90">
        <f t="shared" si="4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179</v>
      </c>
      <c r="C32" s="90">
        <f t="shared" si="2"/>
        <v>1</v>
      </c>
      <c r="D32" s="90">
        <f t="shared" si="2"/>
        <v>1</v>
      </c>
      <c r="E32" s="90">
        <f t="shared" si="2"/>
        <v>1</v>
      </c>
      <c r="F32" s="90">
        <f t="shared" si="2"/>
        <v>1</v>
      </c>
      <c r="G32" s="90">
        <f t="shared" si="2"/>
        <v>1</v>
      </c>
      <c r="H32" s="90">
        <f t="shared" si="4"/>
        <v>1</v>
      </c>
      <c r="I32" s="90">
        <f t="shared" si="4"/>
        <v>1</v>
      </c>
      <c r="J32" s="90">
        <f t="shared" si="4"/>
        <v>1</v>
      </c>
      <c r="K32" s="90">
        <f t="shared" si="4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180</v>
      </c>
      <c r="C33" s="90">
        <f t="shared" si="2"/>
        <v>1</v>
      </c>
      <c r="D33" s="90">
        <f t="shared" si="2"/>
        <v>1</v>
      </c>
      <c r="E33" s="90">
        <f t="shared" si="2"/>
        <v>1</v>
      </c>
      <c r="F33" s="90">
        <f t="shared" si="2"/>
        <v>1</v>
      </c>
      <c r="G33" s="90">
        <f t="shared" si="2"/>
        <v>1</v>
      </c>
      <c r="H33" s="90">
        <f t="shared" si="4"/>
        <v>1</v>
      </c>
      <c r="I33" s="90">
        <f t="shared" si="4"/>
        <v>1</v>
      </c>
      <c r="J33" s="90">
        <f t="shared" si="4"/>
        <v>1</v>
      </c>
      <c r="K33" s="90">
        <f t="shared" si="4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184</v>
      </c>
      <c r="C34" s="90">
        <f>IF(C11=1,1,C11*0.9)</f>
        <v>1</v>
      </c>
      <c r="D34" s="90">
        <f>IF(D11=1,1,D11*0.9)</f>
        <v>1</v>
      </c>
      <c r="E34" s="90">
        <v>0.62</v>
      </c>
      <c r="F34" s="90">
        <v>0.62</v>
      </c>
      <c r="G34" s="90">
        <v>1</v>
      </c>
      <c r="H34" s="90">
        <f t="shared" si="4"/>
        <v>1</v>
      </c>
      <c r="I34" s="90">
        <f t="shared" si="4"/>
        <v>1</v>
      </c>
      <c r="J34" s="90">
        <f t="shared" si="4"/>
        <v>1</v>
      </c>
      <c r="K34" s="90">
        <f t="shared" si="4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185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190</v>
      </c>
      <c r="C36" s="90">
        <f t="shared" ref="C36:D38" si="5">IF(C13=1,1,C13*0.9)</f>
        <v>1</v>
      </c>
      <c r="D36" s="90">
        <f t="shared" si="5"/>
        <v>1</v>
      </c>
      <c r="E36" s="90">
        <v>0.62</v>
      </c>
      <c r="F36" s="90">
        <v>0.62</v>
      </c>
      <c r="G36" s="90">
        <v>0.62</v>
      </c>
      <c r="H36" s="90">
        <f t="shared" ref="H36:O36" si="6">IF(H13=1,1,H13*0.9)</f>
        <v>1</v>
      </c>
      <c r="I36" s="90">
        <f t="shared" si="6"/>
        <v>1</v>
      </c>
      <c r="J36" s="90">
        <f t="shared" si="6"/>
        <v>1</v>
      </c>
      <c r="K36" s="90">
        <f t="shared" si="6"/>
        <v>1</v>
      </c>
      <c r="L36" s="90">
        <f t="shared" si="6"/>
        <v>1</v>
      </c>
      <c r="M36" s="90">
        <f t="shared" si="6"/>
        <v>1</v>
      </c>
      <c r="N36" s="90">
        <f t="shared" si="6"/>
        <v>1</v>
      </c>
      <c r="O36" s="90">
        <f t="shared" si="6"/>
        <v>1</v>
      </c>
    </row>
    <row r="37" spans="1:15" x14ac:dyDescent="0.25">
      <c r="B37" s="11" t="s">
        <v>191</v>
      </c>
      <c r="C37" s="90">
        <f t="shared" si="5"/>
        <v>1</v>
      </c>
      <c r="D37" s="90">
        <f t="shared" si="5"/>
        <v>1</v>
      </c>
      <c r="E37" s="90">
        <f t="shared" ref="E37:K37" si="7">IF(E14=1,1,E14*0.9)</f>
        <v>1</v>
      </c>
      <c r="F37" s="90">
        <f t="shared" si="7"/>
        <v>1</v>
      </c>
      <c r="G37" s="90">
        <f t="shared" si="7"/>
        <v>1</v>
      </c>
      <c r="H37" s="90">
        <f t="shared" si="7"/>
        <v>1</v>
      </c>
      <c r="I37" s="90">
        <f t="shared" si="7"/>
        <v>1</v>
      </c>
      <c r="J37" s="90">
        <f t="shared" si="7"/>
        <v>1</v>
      </c>
      <c r="K37" s="90">
        <f t="shared" si="7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204</v>
      </c>
      <c r="C38" s="90">
        <f t="shared" si="5"/>
        <v>1</v>
      </c>
      <c r="D38" s="90">
        <f t="shared" si="5"/>
        <v>1</v>
      </c>
      <c r="E38" s="90">
        <v>0.3</v>
      </c>
      <c r="F38" s="90">
        <v>0.3</v>
      </c>
      <c r="G38" s="90">
        <f t="shared" ref="G38:O38" si="8">IF(G15=1,1,G15*0.9)</f>
        <v>1</v>
      </c>
      <c r="H38" s="90">
        <f t="shared" si="8"/>
        <v>1</v>
      </c>
      <c r="I38" s="90">
        <f t="shared" si="8"/>
        <v>1</v>
      </c>
      <c r="J38" s="90">
        <f t="shared" si="8"/>
        <v>1</v>
      </c>
      <c r="K38" s="90">
        <f t="shared" si="8"/>
        <v>1</v>
      </c>
      <c r="L38" s="90">
        <f t="shared" si="8"/>
        <v>1</v>
      </c>
      <c r="M38" s="90">
        <f t="shared" si="8"/>
        <v>1</v>
      </c>
      <c r="N38" s="90">
        <f t="shared" si="8"/>
        <v>1</v>
      </c>
      <c r="O38" s="90">
        <f t="shared" si="8"/>
        <v>1</v>
      </c>
    </row>
    <row r="40" spans="1:15" ht="13" customHeight="1" x14ac:dyDescent="0.3">
      <c r="A40" s="4" t="s">
        <v>324</v>
      </c>
      <c r="B40" s="11"/>
    </row>
    <row r="41" spans="1:15" x14ac:dyDescent="0.25">
      <c r="B41" s="5" t="s">
        <v>171</v>
      </c>
      <c r="C41" s="90">
        <f t="shared" ref="C41:O41" si="9">IF(C18=1,1,C18*0.9)</f>
        <v>1</v>
      </c>
      <c r="D41" s="90">
        <f t="shared" si="9"/>
        <v>1</v>
      </c>
      <c r="E41" s="90">
        <f t="shared" si="9"/>
        <v>1</v>
      </c>
      <c r="F41" s="90">
        <f t="shared" si="9"/>
        <v>1</v>
      </c>
      <c r="G41" s="90">
        <f t="shared" si="9"/>
        <v>1</v>
      </c>
      <c r="H41" s="90">
        <f t="shared" si="9"/>
        <v>1</v>
      </c>
      <c r="I41" s="90">
        <f t="shared" si="9"/>
        <v>1</v>
      </c>
      <c r="J41" s="90">
        <f t="shared" si="9"/>
        <v>1</v>
      </c>
      <c r="K41" s="90">
        <f t="shared" si="9"/>
        <v>1</v>
      </c>
      <c r="L41" s="90">
        <f t="shared" si="9"/>
        <v>1</v>
      </c>
      <c r="M41" s="90">
        <f t="shared" si="9"/>
        <v>1</v>
      </c>
      <c r="N41" s="90">
        <f t="shared" si="9"/>
        <v>1</v>
      </c>
      <c r="O41" s="90">
        <f t="shared" si="9"/>
        <v>1</v>
      </c>
    </row>
    <row r="42" spans="1:15" x14ac:dyDescent="0.25">
      <c r="B42" s="5" t="s">
        <v>172</v>
      </c>
      <c r="C42" s="90">
        <f t="shared" ref="C42:D44" si="10">IF(C19=1,1,C19*0.9)</f>
        <v>1</v>
      </c>
      <c r="D42" s="90">
        <f t="shared" si="10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173</v>
      </c>
      <c r="C43" s="90">
        <f t="shared" si="10"/>
        <v>1</v>
      </c>
      <c r="D43" s="90">
        <f t="shared" si="10"/>
        <v>1</v>
      </c>
      <c r="E43" s="90">
        <f t="shared" ref="E43:O43" si="11">IF(E20=1,1,E20*0.9)</f>
        <v>0.87839999999999996</v>
      </c>
      <c r="F43" s="90">
        <f t="shared" si="11"/>
        <v>0.87839999999999996</v>
      </c>
      <c r="G43" s="90">
        <f t="shared" si="11"/>
        <v>0.87839999999999996</v>
      </c>
      <c r="H43" s="90">
        <f t="shared" si="11"/>
        <v>0.87839999999999996</v>
      </c>
      <c r="I43" s="90">
        <f t="shared" si="11"/>
        <v>0.87839999999999996</v>
      </c>
      <c r="J43" s="90">
        <f t="shared" si="11"/>
        <v>0.87839999999999996</v>
      </c>
      <c r="K43" s="90">
        <f t="shared" si="11"/>
        <v>0.87839999999999996</v>
      </c>
      <c r="L43" s="90">
        <f t="shared" si="11"/>
        <v>0.87839999999999996</v>
      </c>
      <c r="M43" s="90">
        <f t="shared" si="11"/>
        <v>0.87839999999999996</v>
      </c>
      <c r="N43" s="90">
        <f t="shared" si="11"/>
        <v>0.87839999999999996</v>
      </c>
      <c r="O43" s="90">
        <f t="shared" si="11"/>
        <v>0.87839999999999996</v>
      </c>
    </row>
    <row r="44" spans="1:15" x14ac:dyDescent="0.25">
      <c r="B44" s="5" t="s">
        <v>181</v>
      </c>
      <c r="C44" s="90">
        <f t="shared" si="10"/>
        <v>1</v>
      </c>
      <c r="D44" s="90">
        <f t="shared" si="10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customHeight="1" x14ac:dyDescent="0.3">
      <c r="A46" s="92" t="s">
        <v>245</v>
      </c>
    </row>
    <row r="47" spans="1:15" ht="26" customHeight="1" x14ac:dyDescent="0.3">
      <c r="A47" s="4"/>
      <c r="B47" s="4"/>
      <c r="C47" s="70" t="s">
        <v>78</v>
      </c>
      <c r="D47" s="70" t="s">
        <v>74</v>
      </c>
      <c r="E47" s="70" t="s">
        <v>77</v>
      </c>
      <c r="F47" s="70" t="s">
        <v>75</v>
      </c>
      <c r="G47" s="70" t="s">
        <v>76</v>
      </c>
      <c r="H47" s="70" t="s">
        <v>68</v>
      </c>
      <c r="I47" s="70" t="s">
        <v>69</v>
      </c>
      <c r="J47" s="70" t="s">
        <v>70</v>
      </c>
      <c r="K47" s="70" t="s">
        <v>71</v>
      </c>
      <c r="L47" s="70" t="s">
        <v>113</v>
      </c>
      <c r="M47" s="70" t="s">
        <v>114</v>
      </c>
      <c r="N47" s="70" t="s">
        <v>115</v>
      </c>
      <c r="O47" s="70" t="s">
        <v>116</v>
      </c>
    </row>
    <row r="48" spans="1:15" ht="13" customHeight="1" x14ac:dyDescent="0.3">
      <c r="A48" s="4" t="s">
        <v>328</v>
      </c>
    </row>
    <row r="49" spans="1:15" x14ac:dyDescent="0.25">
      <c r="B49" s="11" t="s">
        <v>169</v>
      </c>
      <c r="C49" s="90">
        <v>0.99</v>
      </c>
      <c r="D49" s="90">
        <v>0.7</v>
      </c>
      <c r="E49" s="90">
        <f t="shared" ref="E49:O49" si="12">IF(E3=1,1,E3*1.05)</f>
        <v>1</v>
      </c>
      <c r="F49" s="90">
        <f t="shared" si="12"/>
        <v>1</v>
      </c>
      <c r="G49" s="90">
        <f t="shared" si="12"/>
        <v>1</v>
      </c>
      <c r="H49" s="90">
        <f t="shared" si="12"/>
        <v>1</v>
      </c>
      <c r="I49" s="90">
        <f t="shared" si="12"/>
        <v>1</v>
      </c>
      <c r="J49" s="90">
        <f t="shared" si="12"/>
        <v>1</v>
      </c>
      <c r="K49" s="90">
        <f t="shared" si="12"/>
        <v>1</v>
      </c>
      <c r="L49" s="90">
        <f t="shared" si="12"/>
        <v>1</v>
      </c>
      <c r="M49" s="90">
        <f t="shared" si="12"/>
        <v>1</v>
      </c>
      <c r="N49" s="90">
        <f t="shared" si="12"/>
        <v>1</v>
      </c>
      <c r="O49" s="90">
        <f t="shared" si="12"/>
        <v>1</v>
      </c>
    </row>
    <row r="50" spans="1:15" x14ac:dyDescent="0.25">
      <c r="B50" s="11" t="s">
        <v>174</v>
      </c>
      <c r="C50" s="90">
        <f t="shared" ref="C50:G56" si="13">IF(C4=1,1,C4*1.05)</f>
        <v>1</v>
      </c>
      <c r="D50" s="90">
        <f t="shared" si="13"/>
        <v>1</v>
      </c>
      <c r="E50" s="90">
        <f t="shared" si="13"/>
        <v>1</v>
      </c>
      <c r="F50" s="90">
        <f t="shared" si="13"/>
        <v>1</v>
      </c>
      <c r="G50" s="90">
        <f t="shared" si="13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4">IF(L4=1,1,L4*1.05)</f>
        <v>1</v>
      </c>
      <c r="M50" s="90">
        <f t="shared" si="14"/>
        <v>1</v>
      </c>
      <c r="N50" s="90">
        <f t="shared" si="14"/>
        <v>1</v>
      </c>
      <c r="O50" s="90">
        <f t="shared" si="14"/>
        <v>1</v>
      </c>
    </row>
    <row r="51" spans="1:15" x14ac:dyDescent="0.25">
      <c r="B51" s="11" t="s">
        <v>175</v>
      </c>
      <c r="C51" s="90">
        <f t="shared" si="13"/>
        <v>1</v>
      </c>
      <c r="D51" s="90">
        <f t="shared" si="13"/>
        <v>1</v>
      </c>
      <c r="E51" s="90">
        <f t="shared" si="13"/>
        <v>1</v>
      </c>
      <c r="F51" s="90">
        <f t="shared" si="13"/>
        <v>1</v>
      </c>
      <c r="G51" s="90">
        <f t="shared" si="13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4"/>
        <v>1</v>
      </c>
      <c r="M51" s="90">
        <f t="shared" si="14"/>
        <v>1</v>
      </c>
      <c r="N51" s="90">
        <f t="shared" si="14"/>
        <v>1</v>
      </c>
      <c r="O51" s="90">
        <f t="shared" si="14"/>
        <v>1</v>
      </c>
    </row>
    <row r="52" spans="1:15" x14ac:dyDescent="0.25">
      <c r="B52" s="11" t="s">
        <v>176</v>
      </c>
      <c r="C52" s="90">
        <f t="shared" si="13"/>
        <v>1</v>
      </c>
      <c r="D52" s="90">
        <f t="shared" si="13"/>
        <v>1</v>
      </c>
      <c r="E52" s="90">
        <f t="shared" si="13"/>
        <v>1</v>
      </c>
      <c r="F52" s="90">
        <f t="shared" si="13"/>
        <v>1</v>
      </c>
      <c r="G52" s="90">
        <f t="shared" si="13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4"/>
        <v>1</v>
      </c>
      <c r="M52" s="90">
        <f t="shared" si="14"/>
        <v>1</v>
      </c>
      <c r="N52" s="90">
        <f t="shared" si="14"/>
        <v>1</v>
      </c>
      <c r="O52" s="90">
        <f t="shared" si="14"/>
        <v>1</v>
      </c>
    </row>
    <row r="53" spans="1:15" x14ac:dyDescent="0.25">
      <c r="B53" s="11" t="s">
        <v>177</v>
      </c>
      <c r="C53" s="90">
        <f t="shared" si="13"/>
        <v>1</v>
      </c>
      <c r="D53" s="90">
        <f t="shared" si="13"/>
        <v>1</v>
      </c>
      <c r="E53" s="90">
        <f t="shared" si="13"/>
        <v>1</v>
      </c>
      <c r="F53" s="90">
        <f t="shared" si="13"/>
        <v>1</v>
      </c>
      <c r="G53" s="90">
        <f t="shared" si="13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4"/>
        <v>1</v>
      </c>
      <c r="M53" s="90">
        <f t="shared" si="14"/>
        <v>1</v>
      </c>
      <c r="N53" s="90">
        <f t="shared" si="14"/>
        <v>1</v>
      </c>
      <c r="O53" s="90">
        <f t="shared" si="14"/>
        <v>1</v>
      </c>
    </row>
    <row r="54" spans="1:15" x14ac:dyDescent="0.25">
      <c r="B54" s="5" t="s">
        <v>178</v>
      </c>
      <c r="C54" s="90">
        <f t="shared" si="13"/>
        <v>1</v>
      </c>
      <c r="D54" s="90">
        <f t="shared" si="13"/>
        <v>1</v>
      </c>
      <c r="E54" s="90">
        <f t="shared" si="13"/>
        <v>1</v>
      </c>
      <c r="F54" s="90">
        <f t="shared" si="13"/>
        <v>1</v>
      </c>
      <c r="G54" s="90">
        <f t="shared" si="13"/>
        <v>1</v>
      </c>
      <c r="H54" s="90">
        <f t="shared" ref="H54:K57" si="15">IF(H8=1,1,H8*1.05)</f>
        <v>1</v>
      </c>
      <c r="I54" s="90">
        <f t="shared" si="15"/>
        <v>1</v>
      </c>
      <c r="J54" s="90">
        <f t="shared" si="15"/>
        <v>1</v>
      </c>
      <c r="K54" s="90">
        <f t="shared" si="15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179</v>
      </c>
      <c r="C55" s="90">
        <f t="shared" si="13"/>
        <v>1</v>
      </c>
      <c r="D55" s="90">
        <f t="shared" si="13"/>
        <v>1</v>
      </c>
      <c r="E55" s="90">
        <f t="shared" si="13"/>
        <v>1</v>
      </c>
      <c r="F55" s="90">
        <f t="shared" si="13"/>
        <v>1</v>
      </c>
      <c r="G55" s="90">
        <f t="shared" si="13"/>
        <v>1</v>
      </c>
      <c r="H55" s="90">
        <f t="shared" si="15"/>
        <v>1</v>
      </c>
      <c r="I55" s="90">
        <f t="shared" si="15"/>
        <v>1</v>
      </c>
      <c r="J55" s="90">
        <f t="shared" si="15"/>
        <v>1</v>
      </c>
      <c r="K55" s="90">
        <f t="shared" si="15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180</v>
      </c>
      <c r="C56" s="90">
        <f t="shared" si="13"/>
        <v>1</v>
      </c>
      <c r="D56" s="90">
        <f t="shared" si="13"/>
        <v>1</v>
      </c>
      <c r="E56" s="90">
        <f t="shared" si="13"/>
        <v>1</v>
      </c>
      <c r="F56" s="90">
        <f t="shared" si="13"/>
        <v>1</v>
      </c>
      <c r="G56" s="90">
        <f t="shared" si="13"/>
        <v>1</v>
      </c>
      <c r="H56" s="90">
        <f t="shared" si="15"/>
        <v>1</v>
      </c>
      <c r="I56" s="90">
        <f t="shared" si="15"/>
        <v>1</v>
      </c>
      <c r="J56" s="90">
        <f t="shared" si="15"/>
        <v>1</v>
      </c>
      <c r="K56" s="90">
        <f t="shared" si="15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184</v>
      </c>
      <c r="C57" s="90">
        <f>IF(C11=1,1,C11*1.05)</f>
        <v>1</v>
      </c>
      <c r="D57" s="90">
        <f>IF(D11=1,1,D11*1.05)</f>
        <v>1</v>
      </c>
      <c r="E57" s="90">
        <v>0.77</v>
      </c>
      <c r="F57" s="90">
        <v>0.77</v>
      </c>
      <c r="G57" s="90">
        <f>IF(G11=1,1,G11*1.05)</f>
        <v>1</v>
      </c>
      <c r="H57" s="90">
        <f t="shared" si="15"/>
        <v>1</v>
      </c>
      <c r="I57" s="90">
        <f t="shared" si="15"/>
        <v>1</v>
      </c>
      <c r="J57" s="90">
        <f t="shared" si="15"/>
        <v>1</v>
      </c>
      <c r="K57" s="90">
        <f t="shared" si="15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185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190</v>
      </c>
      <c r="C59" s="90">
        <f t="shared" ref="C59:D61" si="16">IF(C13=1,1,C13*1.05)</f>
        <v>1</v>
      </c>
      <c r="D59" s="90">
        <f t="shared" si="16"/>
        <v>1</v>
      </c>
      <c r="E59" s="90">
        <v>0.77</v>
      </c>
      <c r="F59" s="90">
        <v>0.77</v>
      </c>
      <c r="G59" s="90">
        <v>0.77</v>
      </c>
      <c r="H59" s="90">
        <f t="shared" ref="H59:O59" si="17">IF(H13=1,1,H13*1.05)</f>
        <v>1</v>
      </c>
      <c r="I59" s="90">
        <f t="shared" si="17"/>
        <v>1</v>
      </c>
      <c r="J59" s="90">
        <f t="shared" si="17"/>
        <v>1</v>
      </c>
      <c r="K59" s="90">
        <f t="shared" si="17"/>
        <v>1</v>
      </c>
      <c r="L59" s="90">
        <f t="shared" si="17"/>
        <v>1</v>
      </c>
      <c r="M59" s="90">
        <f t="shared" si="17"/>
        <v>1</v>
      </c>
      <c r="N59" s="90">
        <f t="shared" si="17"/>
        <v>1</v>
      </c>
      <c r="O59" s="90">
        <f t="shared" si="17"/>
        <v>1</v>
      </c>
    </row>
    <row r="60" spans="1:15" x14ac:dyDescent="0.25">
      <c r="B60" s="11" t="s">
        <v>191</v>
      </c>
      <c r="C60" s="90">
        <f t="shared" si="16"/>
        <v>1</v>
      </c>
      <c r="D60" s="90">
        <f t="shared" si="16"/>
        <v>1</v>
      </c>
      <c r="E60" s="90">
        <f t="shared" ref="E60:K60" si="18">IF(E14=1,1,E14*1.05)</f>
        <v>1</v>
      </c>
      <c r="F60" s="90">
        <f t="shared" si="18"/>
        <v>1</v>
      </c>
      <c r="G60" s="90">
        <f t="shared" si="18"/>
        <v>1</v>
      </c>
      <c r="H60" s="90">
        <f t="shared" si="18"/>
        <v>1</v>
      </c>
      <c r="I60" s="90">
        <f t="shared" si="18"/>
        <v>1</v>
      </c>
      <c r="J60" s="90">
        <f t="shared" si="18"/>
        <v>1</v>
      </c>
      <c r="K60" s="90">
        <f t="shared" si="18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204</v>
      </c>
      <c r="C61" s="90">
        <f t="shared" si="16"/>
        <v>1</v>
      </c>
      <c r="D61" s="90">
        <f t="shared" si="16"/>
        <v>1</v>
      </c>
      <c r="E61" s="90">
        <v>0.44</v>
      </c>
      <c r="F61" s="90">
        <v>0.44</v>
      </c>
      <c r="G61" s="90">
        <f t="shared" ref="G61:O61" si="19">IF(G15=1,1,G15*1.05)</f>
        <v>1</v>
      </c>
      <c r="H61" s="90">
        <f t="shared" si="19"/>
        <v>1</v>
      </c>
      <c r="I61" s="90">
        <f t="shared" si="19"/>
        <v>1</v>
      </c>
      <c r="J61" s="90">
        <f t="shared" si="19"/>
        <v>1</v>
      </c>
      <c r="K61" s="90">
        <f t="shared" si="19"/>
        <v>1</v>
      </c>
      <c r="L61" s="90">
        <f t="shared" si="19"/>
        <v>1</v>
      </c>
      <c r="M61" s="90">
        <f t="shared" si="19"/>
        <v>1</v>
      </c>
      <c r="N61" s="90">
        <f t="shared" si="19"/>
        <v>1</v>
      </c>
      <c r="O61" s="90">
        <f t="shared" si="19"/>
        <v>1</v>
      </c>
    </row>
    <row r="63" spans="1:15" ht="13" customHeight="1" x14ac:dyDescent="0.3">
      <c r="A63" s="4" t="s">
        <v>325</v>
      </c>
      <c r="B63" s="11"/>
    </row>
    <row r="64" spans="1:15" x14ac:dyDescent="0.25">
      <c r="B64" s="5" t="s">
        <v>171</v>
      </c>
      <c r="C64" s="90">
        <f t="shared" ref="C64:O64" si="20">IF(C18=1,1,C18*1.05)</f>
        <v>1</v>
      </c>
      <c r="D64" s="90">
        <f t="shared" si="20"/>
        <v>1</v>
      </c>
      <c r="E64" s="90">
        <f t="shared" si="20"/>
        <v>1</v>
      </c>
      <c r="F64" s="90">
        <f t="shared" si="20"/>
        <v>1</v>
      </c>
      <c r="G64" s="90">
        <f t="shared" si="20"/>
        <v>1</v>
      </c>
      <c r="H64" s="90">
        <f t="shared" si="20"/>
        <v>1</v>
      </c>
      <c r="I64" s="90">
        <f t="shared" si="20"/>
        <v>1</v>
      </c>
      <c r="J64" s="90">
        <f t="shared" si="20"/>
        <v>1</v>
      </c>
      <c r="K64" s="90">
        <f t="shared" si="20"/>
        <v>1</v>
      </c>
      <c r="L64" s="90">
        <f t="shared" si="20"/>
        <v>1</v>
      </c>
      <c r="M64" s="90">
        <f t="shared" si="20"/>
        <v>1</v>
      </c>
      <c r="N64" s="90">
        <f t="shared" si="20"/>
        <v>1</v>
      </c>
      <c r="O64" s="90">
        <f t="shared" si="20"/>
        <v>1</v>
      </c>
    </row>
    <row r="65" spans="2:15" x14ac:dyDescent="0.25">
      <c r="B65" s="5" t="s">
        <v>172</v>
      </c>
      <c r="C65" s="90">
        <f t="shared" ref="C65:D67" si="21">IF(C19=1,1,C19*1.05)</f>
        <v>1</v>
      </c>
      <c r="D65" s="90">
        <f t="shared" si="21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173</v>
      </c>
      <c r="C66" s="90">
        <f t="shared" si="21"/>
        <v>1</v>
      </c>
      <c r="D66" s="90">
        <f t="shared" si="21"/>
        <v>1</v>
      </c>
      <c r="E66" s="90">
        <f t="shared" ref="E66:O66" si="22">IF(E20=1,1,E20*1.05)</f>
        <v>1.0247999999999999</v>
      </c>
      <c r="F66" s="90">
        <f t="shared" si="22"/>
        <v>1.0247999999999999</v>
      </c>
      <c r="G66" s="90">
        <f t="shared" si="22"/>
        <v>1.0247999999999999</v>
      </c>
      <c r="H66" s="90">
        <f t="shared" si="22"/>
        <v>1.0247999999999999</v>
      </c>
      <c r="I66" s="90">
        <f t="shared" si="22"/>
        <v>1.0247999999999999</v>
      </c>
      <c r="J66" s="90">
        <f t="shared" si="22"/>
        <v>1.0247999999999999</v>
      </c>
      <c r="K66" s="90">
        <f t="shared" si="22"/>
        <v>1.0247999999999999</v>
      </c>
      <c r="L66" s="90">
        <f t="shared" si="22"/>
        <v>1.0247999999999999</v>
      </c>
      <c r="M66" s="90">
        <f t="shared" si="22"/>
        <v>1.0247999999999999</v>
      </c>
      <c r="N66" s="90">
        <f t="shared" si="22"/>
        <v>1.0247999999999999</v>
      </c>
      <c r="O66" s="90">
        <f t="shared" si="22"/>
        <v>1.0247999999999999</v>
      </c>
    </row>
    <row r="67" spans="2:15" x14ac:dyDescent="0.25">
      <c r="B67" s="5" t="s">
        <v>181</v>
      </c>
      <c r="C67" s="90">
        <f t="shared" si="21"/>
        <v>1</v>
      </c>
      <c r="D67" s="90">
        <f t="shared" si="21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lXHF4jKgG6wVWq97+4cVgXq5CXfHytT9vtDux+RS1gBSw4/lfxJSRHX5h+nfKtkvHftbWDvHgGsGzWWEOW651A==" saltValue="rviFea+cqaowSBxjBQCUW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 tint="-0.249977111117893"/>
  </sheetPr>
  <dimension ref="A1:G19"/>
  <sheetViews>
    <sheetView zoomScale="85" zoomScaleNormal="85" workbookViewId="0">
      <selection activeCell="D17" sqref="D17"/>
    </sheetView>
  </sheetViews>
  <sheetFormatPr defaultColWidth="12.81640625" defaultRowHeight="12.5" x14ac:dyDescent="0.25"/>
  <cols>
    <col min="1" max="1" width="21.36328125" style="8" customWidth="1"/>
    <col min="2" max="2" width="27.81640625" style="8" customWidth="1"/>
    <col min="3" max="7" width="15.54296875" style="8" customWidth="1"/>
    <col min="8" max="8" width="12.81640625" style="8" customWidth="1"/>
    <col min="9" max="16384" width="12.81640625" style="8"/>
  </cols>
  <sheetData>
    <row r="1" spans="1:7" ht="13" customHeight="1" x14ac:dyDescent="0.3">
      <c r="A1" s="4"/>
      <c r="B1" s="1"/>
      <c r="C1" s="4" t="s">
        <v>78</v>
      </c>
      <c r="D1" s="4" t="s">
        <v>74</v>
      </c>
      <c r="E1" s="4" t="s">
        <v>77</v>
      </c>
      <c r="F1" s="4" t="s">
        <v>75</v>
      </c>
      <c r="G1" s="4" t="s">
        <v>76</v>
      </c>
    </row>
    <row r="2" spans="1:7" ht="13" customHeight="1" x14ac:dyDescent="0.3">
      <c r="A2" s="4" t="s">
        <v>333</v>
      </c>
    </row>
    <row r="3" spans="1:7" x14ac:dyDescent="0.25">
      <c r="B3" s="11" t="s">
        <v>164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customHeight="1" x14ac:dyDescent="0.3">
      <c r="A4" s="4" t="s">
        <v>330</v>
      </c>
      <c r="B4" s="11"/>
      <c r="C4" s="83"/>
      <c r="D4" s="83"/>
      <c r="E4" s="83"/>
      <c r="F4" s="83"/>
      <c r="G4" s="83"/>
    </row>
    <row r="5" spans="1:7" x14ac:dyDescent="0.25">
      <c r="B5" s="5" t="s">
        <v>162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customHeight="1" x14ac:dyDescent="0.3">
      <c r="A7" s="92" t="s">
        <v>329</v>
      </c>
    </row>
    <row r="8" spans="1:7" ht="13" customHeight="1" x14ac:dyDescent="0.3">
      <c r="A8" s="4"/>
      <c r="B8" s="1"/>
      <c r="C8" s="4" t="s">
        <v>78</v>
      </c>
      <c r="D8" s="4" t="s">
        <v>74</v>
      </c>
      <c r="E8" s="4" t="s">
        <v>77</v>
      </c>
      <c r="F8" s="4" t="s">
        <v>75</v>
      </c>
      <c r="G8" s="4" t="s">
        <v>76</v>
      </c>
    </row>
    <row r="9" spans="1:7" ht="13" customHeight="1" x14ac:dyDescent="0.3">
      <c r="A9" s="4" t="s">
        <v>334</v>
      </c>
    </row>
    <row r="10" spans="1:7" x14ac:dyDescent="0.25">
      <c r="B10" s="11" t="s">
        <v>164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customHeight="1" x14ac:dyDescent="0.3">
      <c r="A11" s="4" t="s">
        <v>331</v>
      </c>
      <c r="B11" s="11"/>
      <c r="C11" s="83"/>
      <c r="D11" s="83"/>
      <c r="E11" s="83"/>
      <c r="F11" s="83"/>
      <c r="G11" s="83"/>
    </row>
    <row r="12" spans="1:7" x14ac:dyDescent="0.25">
      <c r="B12" s="5" t="s">
        <v>162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customHeight="1" x14ac:dyDescent="0.3">
      <c r="A14" s="92" t="s">
        <v>336</v>
      </c>
    </row>
    <row r="15" spans="1:7" ht="13" customHeight="1" x14ac:dyDescent="0.3">
      <c r="A15" s="4"/>
      <c r="B15" s="1"/>
      <c r="C15" s="4" t="s">
        <v>78</v>
      </c>
      <c r="D15" s="4" t="s">
        <v>74</v>
      </c>
      <c r="E15" s="4" t="s">
        <v>77</v>
      </c>
      <c r="F15" s="4" t="s">
        <v>75</v>
      </c>
      <c r="G15" s="4" t="s">
        <v>76</v>
      </c>
    </row>
    <row r="16" spans="1:7" ht="13" customHeight="1" x14ac:dyDescent="0.3">
      <c r="A16" s="4" t="s">
        <v>335</v>
      </c>
    </row>
    <row r="17" spans="1:7" x14ac:dyDescent="0.25">
      <c r="B17" s="11" t="s">
        <v>164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customHeight="1" x14ac:dyDescent="0.3">
      <c r="A18" s="4" t="s">
        <v>332</v>
      </c>
      <c r="B18" s="11"/>
      <c r="C18" s="83"/>
      <c r="D18" s="83"/>
      <c r="E18" s="83"/>
      <c r="F18" s="83"/>
      <c r="G18" s="83"/>
    </row>
    <row r="19" spans="1:7" x14ac:dyDescent="0.25">
      <c r="B19" s="5" t="s">
        <v>162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VnzGkQYgjPRhFPN0V+WoBUDC1P6ieEytYIRlJX/2QsfW7225w9j8uwRaKDq/UAh53ZlxDji/l+I3GlGvsDI1/A==" saltValue="RmsAZ6D3w3pi9WtHoXXj0w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0" tint="-0.249977111117893"/>
  </sheetPr>
  <dimension ref="A1:H163"/>
  <sheetViews>
    <sheetView topLeftCell="A33" zoomScale="80" zoomScaleNormal="80" workbookViewId="0">
      <selection activeCell="F46" sqref="F46"/>
    </sheetView>
  </sheetViews>
  <sheetFormatPr defaultColWidth="12.81640625" defaultRowHeight="12.5" x14ac:dyDescent="0.25"/>
  <cols>
    <col min="1" max="1" width="53" style="5" customWidth="1"/>
    <col min="2" max="2" width="30.54296875" style="5" customWidth="1"/>
    <col min="3" max="3" width="24.81640625" style="5" customWidth="1"/>
    <col min="4" max="4" width="15" style="8" customWidth="1"/>
    <col min="5" max="5" width="13.6328125" style="8" customWidth="1"/>
    <col min="6" max="6" width="14.453125" style="8" customWidth="1"/>
    <col min="7" max="7" width="12.81640625" style="8" customWidth="1"/>
    <col min="8" max="8" width="17.54296875" style="8" customWidth="1"/>
    <col min="9" max="9" width="12.81640625" style="8" customWidth="1"/>
    <col min="10" max="16384" width="12.81640625" style="8"/>
  </cols>
  <sheetData>
    <row r="1" spans="1:8" ht="13" customHeight="1" x14ac:dyDescent="0.3">
      <c r="A1" s="4" t="s">
        <v>163</v>
      </c>
      <c r="B1" s="4" t="s">
        <v>340</v>
      </c>
      <c r="C1" s="82" t="s">
        <v>9</v>
      </c>
      <c r="D1" s="4" t="s">
        <v>78</v>
      </c>
      <c r="E1" s="4" t="s">
        <v>74</v>
      </c>
      <c r="F1" s="4" t="s">
        <v>77</v>
      </c>
      <c r="G1" s="4" t="s">
        <v>75</v>
      </c>
      <c r="H1" s="4" t="s">
        <v>76</v>
      </c>
    </row>
    <row r="2" spans="1:8" x14ac:dyDescent="0.25">
      <c r="A2" s="5" t="s">
        <v>196</v>
      </c>
      <c r="B2" s="5" t="s">
        <v>84</v>
      </c>
      <c r="C2" s="5" t="s">
        <v>337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5" t="s">
        <v>339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5" t="s">
        <v>338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5" t="s">
        <v>193</v>
      </c>
      <c r="B5" s="5" t="s">
        <v>207</v>
      </c>
      <c r="C5" s="5" t="s">
        <v>337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5" t="s">
        <v>338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5" t="s">
        <v>6</v>
      </c>
      <c r="C7" s="5" t="s">
        <v>337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5" t="s">
        <v>338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5" t="s">
        <v>184</v>
      </c>
      <c r="B9" s="5" t="s">
        <v>207</v>
      </c>
      <c r="C9" s="5" t="s">
        <v>337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5" t="s">
        <v>338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5" t="s">
        <v>6</v>
      </c>
      <c r="C11" s="5" t="s">
        <v>337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5" t="s">
        <v>338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5" t="s">
        <v>204</v>
      </c>
      <c r="B13" s="5" t="s">
        <v>207</v>
      </c>
      <c r="C13" s="5" t="s">
        <v>337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5" t="s">
        <v>338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5" t="s">
        <v>6</v>
      </c>
      <c r="C15" s="5" t="s">
        <v>337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5" t="s">
        <v>338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A17" s="5" t="s">
        <v>167</v>
      </c>
      <c r="B17" s="5" t="s">
        <v>207</v>
      </c>
      <c r="C17" s="5" t="s">
        <v>337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x14ac:dyDescent="0.25">
      <c r="C18" s="5" t="s">
        <v>338</v>
      </c>
      <c r="D18" s="90">
        <v>0</v>
      </c>
      <c r="E18" s="90">
        <v>0</v>
      </c>
      <c r="F18" s="90">
        <v>0.68</v>
      </c>
      <c r="G18" s="90">
        <v>0.68</v>
      </c>
      <c r="H18" s="90">
        <v>0.68</v>
      </c>
    </row>
    <row r="19" spans="1:8" x14ac:dyDescent="0.25">
      <c r="B19" s="5" t="s">
        <v>6</v>
      </c>
      <c r="C19" s="5" t="s">
        <v>337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5" t="s">
        <v>338</v>
      </c>
      <c r="D20" s="90">
        <v>0</v>
      </c>
      <c r="E20" s="90">
        <v>0</v>
      </c>
      <c r="F20" s="90">
        <v>0.6</v>
      </c>
      <c r="G20" s="90">
        <v>0.6</v>
      </c>
      <c r="H20" s="90">
        <v>0.6</v>
      </c>
    </row>
    <row r="21" spans="1:8" x14ac:dyDescent="0.25">
      <c r="A21" s="5" t="s">
        <v>173</v>
      </c>
      <c r="B21" s="5" t="s">
        <v>92</v>
      </c>
      <c r="C21" s="5" t="s">
        <v>337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339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171</v>
      </c>
      <c r="B23" s="5" t="s">
        <v>92</v>
      </c>
      <c r="C23" s="5" t="s">
        <v>337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339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172</v>
      </c>
      <c r="B25" s="5" t="s">
        <v>92</v>
      </c>
      <c r="C25" s="5" t="s">
        <v>337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339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200</v>
      </c>
      <c r="B27" s="5" t="s">
        <v>84</v>
      </c>
      <c r="C27" s="5" t="s">
        <v>337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339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C29" s="5" t="s">
        <v>338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201</v>
      </c>
      <c r="B30" s="5" t="s">
        <v>84</v>
      </c>
      <c r="C30" s="5" t="s">
        <v>337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339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338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199</v>
      </c>
      <c r="B33" s="5" t="s">
        <v>84</v>
      </c>
      <c r="C33" s="5" t="s">
        <v>337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339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338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198</v>
      </c>
      <c r="B36" s="5" t="s">
        <v>84</v>
      </c>
      <c r="C36" s="5" t="s">
        <v>337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339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338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197</v>
      </c>
      <c r="B39" s="5" t="s">
        <v>84</v>
      </c>
      <c r="C39" s="5" t="s">
        <v>337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339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338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203</v>
      </c>
      <c r="B42" s="5" t="s">
        <v>84</v>
      </c>
      <c r="C42" s="5" t="s">
        <v>337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339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338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102</v>
      </c>
      <c r="C45" s="5" t="s">
        <v>337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339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338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192</v>
      </c>
      <c r="B48" s="5" t="s">
        <v>84</v>
      </c>
      <c r="C48" s="5" t="s">
        <v>337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339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202</v>
      </c>
      <c r="B50" s="5" t="s">
        <v>84</v>
      </c>
      <c r="C50" s="5" t="s">
        <v>337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339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182</v>
      </c>
      <c r="B52" s="5" t="s">
        <v>96</v>
      </c>
      <c r="C52" s="5" t="s">
        <v>337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339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customHeight="1" x14ac:dyDescent="0.3">
      <c r="A55" s="96" t="s">
        <v>329</v>
      </c>
      <c r="B55" s="97"/>
      <c r="C55" s="97"/>
    </row>
    <row r="56" spans="1:8" ht="13" customHeight="1" x14ac:dyDescent="0.3">
      <c r="A56" s="4" t="s">
        <v>163</v>
      </c>
      <c r="B56" s="4" t="s">
        <v>340</v>
      </c>
      <c r="C56" s="82" t="s">
        <v>9</v>
      </c>
      <c r="D56" s="4" t="s">
        <v>78</v>
      </c>
      <c r="E56" s="4" t="s">
        <v>74</v>
      </c>
      <c r="F56" s="4" t="s">
        <v>77</v>
      </c>
      <c r="G56" s="4" t="s">
        <v>75</v>
      </c>
      <c r="H56" s="4" t="s">
        <v>76</v>
      </c>
    </row>
    <row r="57" spans="1:8" x14ac:dyDescent="0.25">
      <c r="A57" s="5" t="s">
        <v>196</v>
      </c>
      <c r="B57" s="5" t="s">
        <v>84</v>
      </c>
      <c r="C57" s="5" t="s">
        <v>337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339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338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193</v>
      </c>
      <c r="B60" s="5" t="s">
        <v>207</v>
      </c>
      <c r="C60" s="5" t="s">
        <v>337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338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6</v>
      </c>
      <c r="C62" s="5" t="s">
        <v>337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338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184</v>
      </c>
      <c r="B64" s="5" t="s">
        <v>207</v>
      </c>
      <c r="C64" s="5" t="s">
        <v>337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338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6</v>
      </c>
      <c r="C66" s="5" t="s">
        <v>337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338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204</v>
      </c>
      <c r="B68" s="5" t="s">
        <v>207</v>
      </c>
      <c r="C68" s="5" t="s">
        <v>337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338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6</v>
      </c>
      <c r="C70" s="5" t="s">
        <v>337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338</v>
      </c>
      <c r="D71" s="90">
        <f t="shared" si="0"/>
        <v>0</v>
      </c>
      <c r="E71" s="90">
        <f t="shared" si="0"/>
        <v>0</v>
      </c>
      <c r="F71" s="90">
        <v>7.0000000000000007E-2</v>
      </c>
      <c r="G71" s="90">
        <v>7.0000000000000007E-2</v>
      </c>
      <c r="H71" s="90">
        <f>IF($C16="Affected fraction",H16,IF(H16=1,1,H16*0.9))</f>
        <v>0</v>
      </c>
    </row>
    <row r="72" spans="1:8" x14ac:dyDescent="0.25">
      <c r="A72" s="5" t="s">
        <v>167</v>
      </c>
      <c r="B72" s="5" t="s">
        <v>207</v>
      </c>
      <c r="C72" s="5" t="s">
        <v>337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338</v>
      </c>
      <c r="D73" s="90">
        <f t="shared" si="0"/>
        <v>0</v>
      </c>
      <c r="E73" s="90">
        <f t="shared" si="0"/>
        <v>0</v>
      </c>
      <c r="F73" s="90">
        <v>0.39</v>
      </c>
      <c r="G73" s="90">
        <v>0.39</v>
      </c>
      <c r="H73" s="90">
        <v>0.39</v>
      </c>
    </row>
    <row r="74" spans="1:8" x14ac:dyDescent="0.25">
      <c r="B74" s="5" t="s">
        <v>6</v>
      </c>
      <c r="C74" s="5" t="s">
        <v>337</v>
      </c>
      <c r="D74" s="90">
        <f t="shared" si="0"/>
        <v>0</v>
      </c>
      <c r="E74" s="90">
        <f t="shared" si="0"/>
        <v>0</v>
      </c>
      <c r="F74" s="90">
        <f>IF($C19="Affected fraction",F19,IF(F19=1,1,F19*0.9))</f>
        <v>1</v>
      </c>
      <c r="G74" s="90">
        <f>IF($C19="Affected fraction",G19,IF(G19=1,1,G19*0.9))</f>
        <v>1</v>
      </c>
      <c r="H74" s="90">
        <f>IF($C19="Affected fraction",H19,IF(H19=1,1,H19*0.9))</f>
        <v>1</v>
      </c>
    </row>
    <row r="75" spans="1:8" x14ac:dyDescent="0.25">
      <c r="C75" s="5" t="s">
        <v>338</v>
      </c>
      <c r="D75" s="90">
        <f t="shared" si="0"/>
        <v>0</v>
      </c>
      <c r="E75" s="90">
        <f t="shared" si="0"/>
        <v>0</v>
      </c>
      <c r="F75" s="90">
        <v>0.32</v>
      </c>
      <c r="G75" s="90">
        <v>0.32</v>
      </c>
      <c r="H75" s="90">
        <v>0.32</v>
      </c>
    </row>
    <row r="76" spans="1:8" x14ac:dyDescent="0.25">
      <c r="A76" s="5" t="s">
        <v>173</v>
      </c>
      <c r="B76" s="5" t="s">
        <v>92</v>
      </c>
      <c r="C76" s="5" t="s">
        <v>337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339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171</v>
      </c>
      <c r="B78" s="5" t="s">
        <v>92</v>
      </c>
      <c r="C78" s="5" t="s">
        <v>337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339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172</v>
      </c>
      <c r="B80" s="5" t="s">
        <v>92</v>
      </c>
      <c r="C80" s="5" t="s">
        <v>337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339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200</v>
      </c>
      <c r="B82" s="5" t="s">
        <v>84</v>
      </c>
      <c r="C82" s="5" t="s">
        <v>337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339</v>
      </c>
      <c r="D83" s="90">
        <v>0</v>
      </c>
      <c r="E83" s="90">
        <v>0</v>
      </c>
      <c r="F83" s="90">
        <v>0</v>
      </c>
      <c r="G83" s="90">
        <v>0</v>
      </c>
      <c r="H83" s="90">
        <v>0</v>
      </c>
    </row>
    <row r="84" spans="1:8" x14ac:dyDescent="0.25">
      <c r="C84" s="5" t="s">
        <v>338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201</v>
      </c>
      <c r="B85" s="5" t="s">
        <v>84</v>
      </c>
      <c r="C85" s="5" t="s">
        <v>337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339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338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199</v>
      </c>
      <c r="B88" s="5" t="s">
        <v>84</v>
      </c>
      <c r="C88" s="5" t="s">
        <v>337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339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338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198</v>
      </c>
      <c r="B91" s="5" t="s">
        <v>84</v>
      </c>
      <c r="C91" s="5" t="s">
        <v>337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339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338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197</v>
      </c>
      <c r="B94" s="5" t="s">
        <v>84</v>
      </c>
      <c r="C94" s="5" t="s">
        <v>337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339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338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203</v>
      </c>
      <c r="B97" s="5" t="s">
        <v>84</v>
      </c>
      <c r="C97" s="5" t="s">
        <v>337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339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338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102</v>
      </c>
      <c r="C100" s="5" t="s">
        <v>337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339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338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192</v>
      </c>
      <c r="B103" s="5" t="s">
        <v>84</v>
      </c>
      <c r="C103" s="5" t="s">
        <v>337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339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202</v>
      </c>
      <c r="B105" s="5" t="s">
        <v>84</v>
      </c>
      <c r="C105" s="5" t="s">
        <v>337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339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182</v>
      </c>
      <c r="B107" s="5" t="s">
        <v>96</v>
      </c>
      <c r="C107" s="5" t="s">
        <v>337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339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customHeight="1" x14ac:dyDescent="0.3">
      <c r="A110" s="96" t="s">
        <v>336</v>
      </c>
      <c r="B110" s="97"/>
      <c r="C110" s="97"/>
    </row>
    <row r="111" spans="1:8" ht="13" customHeight="1" x14ac:dyDescent="0.3">
      <c r="A111" s="4" t="s">
        <v>163</v>
      </c>
      <c r="B111" s="4" t="s">
        <v>340</v>
      </c>
      <c r="C111" s="82" t="s">
        <v>9</v>
      </c>
      <c r="D111" s="4" t="s">
        <v>78</v>
      </c>
      <c r="E111" s="4" t="s">
        <v>74</v>
      </c>
      <c r="F111" s="4" t="s">
        <v>77</v>
      </c>
      <c r="G111" s="4" t="s">
        <v>75</v>
      </c>
      <c r="H111" s="4" t="s">
        <v>76</v>
      </c>
    </row>
    <row r="112" spans="1:8" x14ac:dyDescent="0.25">
      <c r="A112" s="5" t="s">
        <v>196</v>
      </c>
      <c r="B112" s="5" t="s">
        <v>84</v>
      </c>
      <c r="C112" s="5" t="s">
        <v>337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339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338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193</v>
      </c>
      <c r="B115" s="5" t="s">
        <v>207</v>
      </c>
      <c r="C115" s="5" t="s">
        <v>337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338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6</v>
      </c>
      <c r="C117" s="5" t="s">
        <v>337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338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184</v>
      </c>
      <c r="B119" s="5" t="s">
        <v>207</v>
      </c>
      <c r="C119" s="5" t="s">
        <v>337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338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6</v>
      </c>
      <c r="C121" s="5" t="s">
        <v>337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338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204</v>
      </c>
      <c r="B123" s="5" t="s">
        <v>207</v>
      </c>
      <c r="C123" s="5" t="s">
        <v>337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338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6</v>
      </c>
      <c r="C125" s="5" t="s">
        <v>337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338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167</v>
      </c>
      <c r="B127" s="5" t="s">
        <v>207</v>
      </c>
      <c r="C127" s="5" t="s">
        <v>337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338</v>
      </c>
      <c r="D128" s="90">
        <f t="shared" si="3"/>
        <v>0</v>
      </c>
      <c r="E128" s="90">
        <f t="shared" si="3"/>
        <v>0</v>
      </c>
      <c r="F128" s="90">
        <v>0.84</v>
      </c>
      <c r="G128" s="90">
        <v>0.84</v>
      </c>
      <c r="H128" s="90">
        <v>0.84</v>
      </c>
    </row>
    <row r="129" spans="1:8" x14ac:dyDescent="0.25">
      <c r="B129" s="5" t="s">
        <v>6</v>
      </c>
      <c r="C129" s="5" t="s">
        <v>337</v>
      </c>
      <c r="D129" s="90">
        <f t="shared" si="3"/>
        <v>0</v>
      </c>
      <c r="E129" s="90">
        <f t="shared" si="3"/>
        <v>0</v>
      </c>
      <c r="F129" s="90">
        <f>IF($C74="Affected fraction",F74,IF(F74=1,1,F74*0.9))</f>
        <v>1</v>
      </c>
      <c r="G129" s="90">
        <f>IF($C74="Affected fraction",G74,IF(G74=1,1,G74*0.9))</f>
        <v>1</v>
      </c>
      <c r="H129" s="90">
        <f>IF($C74="Affected fraction",H74,IF(H74=1,1,H74*0.9))</f>
        <v>1</v>
      </c>
    </row>
    <row r="130" spans="1:8" x14ac:dyDescent="0.25">
      <c r="C130" s="5" t="s">
        <v>338</v>
      </c>
      <c r="D130" s="90">
        <f t="shared" si="3"/>
        <v>0</v>
      </c>
      <c r="E130" s="90">
        <f t="shared" si="3"/>
        <v>0</v>
      </c>
      <c r="F130" s="90">
        <v>0.77</v>
      </c>
      <c r="G130" s="90">
        <v>0.77</v>
      </c>
      <c r="H130" s="90">
        <v>0.77</v>
      </c>
    </row>
    <row r="131" spans="1:8" x14ac:dyDescent="0.25">
      <c r="A131" s="5" t="s">
        <v>173</v>
      </c>
      <c r="B131" s="5" t="s">
        <v>92</v>
      </c>
      <c r="C131" s="5" t="s">
        <v>337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339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171</v>
      </c>
      <c r="B133" s="5" t="s">
        <v>92</v>
      </c>
      <c r="C133" s="5" t="s">
        <v>337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339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172</v>
      </c>
      <c r="B135" s="5" t="s">
        <v>92</v>
      </c>
      <c r="C135" s="5" t="s">
        <v>337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339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200</v>
      </c>
      <c r="B137" s="5" t="s">
        <v>84</v>
      </c>
      <c r="C137" s="5" t="s">
        <v>337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339</v>
      </c>
      <c r="D138" s="90">
        <v>0</v>
      </c>
      <c r="E138" s="90">
        <v>0</v>
      </c>
      <c r="F138" s="90">
        <v>0</v>
      </c>
      <c r="G138" s="90">
        <v>0</v>
      </c>
      <c r="H138" s="90">
        <v>0</v>
      </c>
    </row>
    <row r="139" spans="1:8" x14ac:dyDescent="0.25">
      <c r="C139" s="5" t="s">
        <v>338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201</v>
      </c>
      <c r="B140" s="5" t="s">
        <v>84</v>
      </c>
      <c r="C140" s="5" t="s">
        <v>337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339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338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199</v>
      </c>
      <c r="B143" s="5" t="s">
        <v>84</v>
      </c>
      <c r="C143" s="5" t="s">
        <v>337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339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338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198</v>
      </c>
      <c r="B146" s="5" t="s">
        <v>84</v>
      </c>
      <c r="C146" s="5" t="s">
        <v>337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339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338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197</v>
      </c>
      <c r="B149" s="5" t="s">
        <v>84</v>
      </c>
      <c r="C149" s="5" t="s">
        <v>337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339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338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203</v>
      </c>
      <c r="B152" s="5" t="s">
        <v>84</v>
      </c>
      <c r="C152" s="5" t="s">
        <v>337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339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338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102</v>
      </c>
      <c r="C155" s="5" t="s">
        <v>337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339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338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192</v>
      </c>
      <c r="B158" s="5" t="s">
        <v>84</v>
      </c>
      <c r="C158" s="5" t="s">
        <v>337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339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202</v>
      </c>
      <c r="B160" s="5" t="s">
        <v>84</v>
      </c>
      <c r="C160" s="5" t="s">
        <v>337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339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182</v>
      </c>
      <c r="B162" s="5" t="s">
        <v>96</v>
      </c>
      <c r="C162" s="5" t="s">
        <v>337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339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T6lBh3PdYHaxIj7od0duc/QmoAEOWKXLRkXCRfI8uj5E0eF4P8+0xozgLl6MSC0ciL82enUT8DrgOwyyifpSGA==" saltValue="+mFHCHIv2vVHIvz95thVq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0" tint="-0.249977111117893"/>
  </sheetPr>
  <dimension ref="A1:H25"/>
  <sheetViews>
    <sheetView zoomScale="85" zoomScaleNormal="85" workbookViewId="0">
      <selection activeCell="D3" sqref="D3"/>
    </sheetView>
  </sheetViews>
  <sheetFormatPr defaultColWidth="12.816406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1796875" style="8" customWidth="1"/>
    <col min="8" max="8" width="12.81640625" style="8" customWidth="1"/>
    <col min="9" max="16384" width="12.81640625" style="8"/>
  </cols>
  <sheetData>
    <row r="1" spans="1:8" ht="13" customHeight="1" x14ac:dyDescent="0.3">
      <c r="A1" s="1" t="s">
        <v>163</v>
      </c>
      <c r="B1" s="1" t="s">
        <v>340</v>
      </c>
      <c r="C1" s="1"/>
      <c r="D1" s="4" t="s">
        <v>113</v>
      </c>
      <c r="E1" s="4" t="s">
        <v>114</v>
      </c>
      <c r="F1" s="4" t="s">
        <v>115</v>
      </c>
      <c r="G1" s="4" t="s">
        <v>116</v>
      </c>
      <c r="H1" s="4"/>
    </row>
    <row r="2" spans="1:8" x14ac:dyDescent="0.25">
      <c r="A2" s="3" t="s">
        <v>166</v>
      </c>
      <c r="B2" s="8" t="s">
        <v>86</v>
      </c>
      <c r="C2" s="3" t="s">
        <v>337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339</v>
      </c>
      <c r="D3" s="90">
        <v>0.83</v>
      </c>
      <c r="E3" s="90">
        <v>0.83</v>
      </c>
      <c r="F3" s="90">
        <v>0.83</v>
      </c>
      <c r="G3" s="90">
        <v>0.83</v>
      </c>
      <c r="H3" s="3"/>
    </row>
    <row r="4" spans="1:8" x14ac:dyDescent="0.25">
      <c r="A4" s="3" t="s">
        <v>189</v>
      </c>
      <c r="B4" s="8" t="s">
        <v>86</v>
      </c>
      <c r="C4" s="3" t="s">
        <v>337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339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188</v>
      </c>
      <c r="B6" s="8" t="s">
        <v>86</v>
      </c>
      <c r="C6" s="3" t="s">
        <v>337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339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9" spans="1:8" s="92" customFormat="1" ht="13" customHeight="1" x14ac:dyDescent="0.3">
      <c r="A9" s="92" t="s">
        <v>329</v>
      </c>
    </row>
    <row r="10" spans="1:8" ht="13" customHeight="1" x14ac:dyDescent="0.3">
      <c r="A10" s="1" t="s">
        <v>163</v>
      </c>
      <c r="B10" s="1" t="s">
        <v>340</v>
      </c>
      <c r="C10" s="1"/>
      <c r="D10" s="4" t="s">
        <v>113</v>
      </c>
      <c r="E10" s="4" t="s">
        <v>114</v>
      </c>
      <c r="F10" s="4" t="s">
        <v>115</v>
      </c>
      <c r="G10" s="4" t="s">
        <v>116</v>
      </c>
    </row>
    <row r="11" spans="1:8" x14ac:dyDescent="0.25">
      <c r="A11" s="3" t="s">
        <v>166</v>
      </c>
      <c r="B11" s="8" t="s">
        <v>86</v>
      </c>
      <c r="C11" s="3" t="s">
        <v>337</v>
      </c>
      <c r="D11" s="90">
        <f>IF($C2="Affected fraction",D2,IF(D2=1,1,D2*0.9))</f>
        <v>1</v>
      </c>
      <c r="E11" s="90">
        <f>IF($C2="Affected fraction",E2,IF(E2=1,1,E2*0.9))</f>
        <v>1</v>
      </c>
      <c r="F11" s="90">
        <f>IF($C2="Affected fraction",F2,IF(F2=1,1,F2*0.9))</f>
        <v>1</v>
      </c>
      <c r="G11" s="90">
        <f>IF($C2="Affected fraction",G2,IF(G2=1,1,G2*0.9))</f>
        <v>1</v>
      </c>
    </row>
    <row r="12" spans="1:8" x14ac:dyDescent="0.25">
      <c r="C12" s="8" t="s">
        <v>339</v>
      </c>
      <c r="D12" s="90">
        <v>0</v>
      </c>
      <c r="E12" s="90">
        <v>0</v>
      </c>
      <c r="F12" s="90">
        <v>0</v>
      </c>
      <c r="G12" s="90">
        <v>0</v>
      </c>
    </row>
    <row r="13" spans="1:8" x14ac:dyDescent="0.25">
      <c r="A13" s="3" t="s">
        <v>189</v>
      </c>
      <c r="B13" s="8" t="s">
        <v>86</v>
      </c>
      <c r="C13" s="3" t="s">
        <v>337</v>
      </c>
      <c r="D13" s="90">
        <f t="shared" ref="D13:G16" si="0">IF($C4="Affected fraction",D4,IF(D4=1,1,D4*0.9))</f>
        <v>1</v>
      </c>
      <c r="E13" s="90">
        <f t="shared" si="0"/>
        <v>1</v>
      </c>
      <c r="F13" s="90">
        <f t="shared" si="0"/>
        <v>1</v>
      </c>
      <c r="G13" s="90">
        <f t="shared" si="0"/>
        <v>1</v>
      </c>
    </row>
    <row r="14" spans="1:8" x14ac:dyDescent="0.25">
      <c r="C14" s="8" t="s">
        <v>339</v>
      </c>
      <c r="D14" s="90">
        <f t="shared" si="0"/>
        <v>0.53100000000000003</v>
      </c>
      <c r="E14" s="90">
        <f t="shared" si="0"/>
        <v>0.53100000000000003</v>
      </c>
      <c r="F14" s="90">
        <f t="shared" si="0"/>
        <v>0.53100000000000003</v>
      </c>
      <c r="G14" s="90">
        <f t="shared" si="0"/>
        <v>0.53100000000000003</v>
      </c>
    </row>
    <row r="15" spans="1:8" x14ac:dyDescent="0.25">
      <c r="A15" s="3" t="s">
        <v>188</v>
      </c>
      <c r="B15" s="8" t="s">
        <v>86</v>
      </c>
      <c r="C15" s="3" t="s">
        <v>337</v>
      </c>
      <c r="D15" s="90">
        <f t="shared" si="0"/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339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8" spans="1:7" s="92" customFormat="1" ht="13" customHeight="1" x14ac:dyDescent="0.3">
      <c r="A18" s="92" t="s">
        <v>336</v>
      </c>
    </row>
    <row r="19" spans="1:7" ht="13" customHeight="1" x14ac:dyDescent="0.3">
      <c r="A19" s="1" t="s">
        <v>163</v>
      </c>
      <c r="B19" s="1" t="s">
        <v>340</v>
      </c>
      <c r="C19" s="1"/>
      <c r="D19" s="4" t="s">
        <v>113</v>
      </c>
      <c r="E19" s="4" t="s">
        <v>114</v>
      </c>
      <c r="F19" s="4" t="s">
        <v>115</v>
      </c>
      <c r="G19" s="4" t="s">
        <v>116</v>
      </c>
    </row>
    <row r="20" spans="1:7" x14ac:dyDescent="0.25">
      <c r="A20" s="3" t="s">
        <v>166</v>
      </c>
      <c r="B20" s="8" t="s">
        <v>86</v>
      </c>
      <c r="C20" s="3" t="s">
        <v>337</v>
      </c>
      <c r="D20" s="90">
        <f>IF($C2="Affected fraction",D2,IF(D2=1,1,D2*1.05))</f>
        <v>1</v>
      </c>
      <c r="E20" s="90">
        <f>IF($C2="Affected fraction",E2,IF(E2=1,1,E2*1.05))</f>
        <v>1</v>
      </c>
      <c r="F20" s="90">
        <f>IF($C2="Affected fraction",F2,IF(F2=1,1,F2*1.05))</f>
        <v>1</v>
      </c>
      <c r="G20" s="90">
        <f>IF($C2="Affected fraction",G2,IF(G2=1,1,G2*1.05))</f>
        <v>1</v>
      </c>
    </row>
    <row r="21" spans="1:7" x14ac:dyDescent="0.25">
      <c r="C21" s="8" t="s">
        <v>339</v>
      </c>
      <c r="D21" s="90">
        <v>0.98</v>
      </c>
      <c r="E21" s="90">
        <v>0.98</v>
      </c>
      <c r="F21" s="90">
        <v>0.98</v>
      </c>
      <c r="G21" s="90">
        <v>0.98</v>
      </c>
    </row>
    <row r="22" spans="1:7" x14ac:dyDescent="0.25">
      <c r="A22" s="3" t="s">
        <v>189</v>
      </c>
      <c r="B22" s="8" t="s">
        <v>86</v>
      </c>
      <c r="C22" s="3" t="s">
        <v>337</v>
      </c>
      <c r="D22" s="90">
        <f>IF($C4="Affected fraction",D4,IF(D4=1,1,D4*1.05))</f>
        <v>1</v>
      </c>
      <c r="E22" s="90">
        <f>IF($C4="Affected fraction",E4,IF(E4=1,1,E4*1.05))</f>
        <v>1</v>
      </c>
      <c r="F22" s="90">
        <f>IF($C4="Affected fraction",F4,IF(F4=1,1,F4*1.05))</f>
        <v>1</v>
      </c>
      <c r="G22" s="90">
        <f>IF($C4="Affected fraction",G4,IF(G4=1,1,G4*1.05))</f>
        <v>1</v>
      </c>
    </row>
    <row r="23" spans="1:7" x14ac:dyDescent="0.25">
      <c r="C23" s="8" t="s">
        <v>339</v>
      </c>
      <c r="D23" s="90">
        <f>IF($C5="Affected fraction",D5,IF(D5=1,1,D5*1.1))</f>
        <v>0.64900000000000002</v>
      </c>
      <c r="E23" s="90">
        <f>IF($C5="Affected fraction",E5,IF(E5=1,1,E5*1.1))</f>
        <v>0.64900000000000002</v>
      </c>
      <c r="F23" s="90">
        <f>IF($C5="Affected fraction",F5,IF(F5=1,1,F5*1.1))</f>
        <v>0.64900000000000002</v>
      </c>
      <c r="G23" s="90">
        <f>IF($C5="Affected fraction",G5,IF(G5=1,1,G5*1.1))</f>
        <v>0.64900000000000002</v>
      </c>
    </row>
    <row r="24" spans="1:7" x14ac:dyDescent="0.25">
      <c r="A24" s="3" t="s">
        <v>188</v>
      </c>
      <c r="B24" s="8" t="s">
        <v>86</v>
      </c>
      <c r="C24" s="3" t="s">
        <v>337</v>
      </c>
      <c r="D24" s="90">
        <f>IF($C6="Affected fraction",D6,IF(D6=1,1,D6*1.05))</f>
        <v>1</v>
      </c>
      <c r="E24" s="90">
        <f>IF($C6="Affected fraction",E6,IF(E6=1,1,E6*1.05))</f>
        <v>1</v>
      </c>
      <c r="F24" s="90">
        <f>IF($C6="Affected fraction",F6,IF(F6=1,1,F6*1.05))</f>
        <v>1</v>
      </c>
      <c r="G24" s="90">
        <f>IF($C6="Affected fraction",G6,IF(G6=1,1,G6*1.05))</f>
        <v>1</v>
      </c>
    </row>
    <row r="25" spans="1:7" x14ac:dyDescent="0.25">
      <c r="C25" s="8" t="s">
        <v>339</v>
      </c>
      <c r="D25" s="90">
        <f>IF($C7="Affected fraction",D7,IF(D7=1,1,D7*1.1))</f>
        <v>0.64900000000000002</v>
      </c>
      <c r="E25" s="90">
        <f>IF($C7="Affected fraction",E7,IF(E7=1,1,E7*1.1))</f>
        <v>0.64900000000000002</v>
      </c>
      <c r="F25" s="90">
        <f>IF($C7="Affected fraction",F7,IF(F7=1,1,F7*1.1))</f>
        <v>0.64900000000000002</v>
      </c>
      <c r="G25" s="90">
        <f>IF($C7="Affected fraction",G7,IF(G7=1,1,G7*1.1))</f>
        <v>0.64900000000000002</v>
      </c>
    </row>
  </sheetData>
  <sheetProtection algorithmName="SHA-512" hashValue="i4ESbhNYqfXQrsNVGWReVWfeqdeYWzmLpFn3IBqxb+yBnYVcMtj5RqQ4sVVZamkoBhVmBrKvIZq27Tr3ycrf3g==" saltValue="QGAapWK5xhvBQkqs4Tw3Xw==" spinCount="100000" sheet="1" objects="1" scenarios="1" selectLockedCells="1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Entradas de población-año base</vt:lpstr>
      <vt:lpstr>Proyecciones demográficas</vt:lpstr>
      <vt:lpstr>Causas de muerte</vt:lpstr>
      <vt:lpstr>Distribución estado nutricional</vt:lpstr>
      <vt:lpstr>Distribución de lactancia</vt:lpstr>
      <vt:lpstr>Tendencias temporales</vt:lpstr>
      <vt:lpstr>Pérdida económica</vt:lpstr>
      <vt:lpstr>Paquetes de IYCF</vt:lpstr>
      <vt:lpstr>Tratamiento de la MAS</vt:lpstr>
      <vt:lpstr>Costo y cobertura del programa</vt:lpstr>
      <vt:lpstr>Dependencias del programa</vt:lpstr>
      <vt:lpstr>Programas de referencia</vt:lpstr>
      <vt:lpstr>Incidencia de las afecciones</vt:lpstr>
      <vt:lpstr>Población objetivo del programa</vt:lpstr>
      <vt:lpstr>Opciones de la curva de costos</vt:lpstr>
      <vt:lpstr>Prog. de planificación familiar</vt:lpstr>
      <vt:lpstr>Programas población afectada</vt:lpstr>
      <vt:lpstr>Riesgos que impacta programa</vt:lpstr>
      <vt:lpstr>Riegos para la población</vt:lpstr>
      <vt:lpstr>Razón de momios IYCF</vt:lpstr>
      <vt:lpstr>Riesgos desenlace de nacimiento</vt:lpstr>
      <vt:lpstr>Riesgos relativos</vt:lpstr>
      <vt:lpstr>Razón de momios</vt:lpstr>
      <vt:lpstr>Resultados de nacimiento- prog</vt:lpstr>
      <vt:lpstr>Programas de anemia</vt:lpstr>
      <vt:lpstr>Programas para emaciación</vt:lpstr>
      <vt:lpstr>Programas para niños</vt:lpstr>
      <vt:lpstr>Prog. para mujeres embarazadas</vt:lpstr>
      <vt:lpstr>'Paquetes de IYCF'!abortion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'Paquetes de IYCF'!stillbirth</vt:lpstr>
      <vt:lpstr>stillbirth</vt:lpstr>
      <vt:lpstr>term_AGA</vt:lpstr>
      <vt:lpstr>term_SGA</vt:lpstr>
      <vt:lpstr>U5_mortality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Tharindu Wickramaarachchi</dc:creator>
  <cp:keywords>lang=es</cp:keywords>
  <cp:lastModifiedBy>Tharindu Wickramaarachchi</cp:lastModifiedBy>
  <dcterms:created xsi:type="dcterms:W3CDTF">2017-08-01T10:42:13Z</dcterms:created>
  <dcterms:modified xsi:type="dcterms:W3CDTF">2024-05-16T23:56:12Z</dcterms:modified>
</cp:coreProperties>
</file>