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792AA22-34E7-44FD-B324-564A6D16CFD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79625E36-4AAB-4147-8696-9200569ADADF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CA45345E-DD22-4CC0-A782-94F7CC43269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<sst xmlns="http://schemas.openxmlformats.org/spreadsheetml/2006/main" count="2102" uniqueCount="341">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</sst>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4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10103.413024902349</v>
      </c>
    </row>
    <row r="8" spans="1:3" ht="15" customHeight="1" x14ac:dyDescent="0.25">
      <c r="B8" s="5" t="s">
        <v>44</v>
      </c>
      <c r="C8" s="44">
        <v>4.7E-2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0.81211067199706999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0.14169999999999999</v>
      </c>
    </row>
    <row r="24" spans="1:3" ht="15" customHeight="1" x14ac:dyDescent="0.25">
      <c r="B24" s="15" t="s">
        <v>46</v>
      </c>
      <c r="C24" s="45">
        <v>0.49370000000000003</v>
      </c>
    </row>
    <row r="25" spans="1:3" ht="15" customHeight="1" x14ac:dyDescent="0.25">
      <c r="B25" s="15" t="s">
        <v>47</v>
      </c>
      <c r="C25" s="45">
        <v>0.31890000000000002</v>
      </c>
    </row>
    <row r="26" spans="1:3" ht="15" customHeight="1" x14ac:dyDescent="0.25">
      <c r="B26" s="15" t="s">
        <v>48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0.3567553</v>
      </c>
    </row>
    <row r="30" spans="1:3" ht="14.25" customHeight="1" x14ac:dyDescent="0.25">
      <c r="B30" s="25" t="s">
        <v>63</v>
      </c>
      <c r="C30" s="99">
        <v>6.59106E-2</v>
      </c>
    </row>
    <row r="31" spans="1:3" ht="14.25" customHeight="1" x14ac:dyDescent="0.25">
      <c r="B31" s="25" t="s">
        <v>10</v>
      </c>
      <c r="C31" s="99">
        <v>9.2620400000000006E-2</v>
      </c>
    </row>
    <row r="32" spans="1:3" ht="14.25" customHeight="1" x14ac:dyDescent="0.25">
      <c r="B32" s="25" t="s">
        <v>11</v>
      </c>
      <c r="C32" s="99">
        <v>0.48471370000000003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13.01304</v>
      </c>
    </row>
    <row r="38" spans="1:5" ht="15" customHeight="1" x14ac:dyDescent="0.25">
      <c r="B38" s="11" t="s">
        <v>35</v>
      </c>
      <c r="C38" s="43">
        <v>22.43721</v>
      </c>
      <c r="D38" s="12"/>
      <c r="E38" s="13"/>
    </row>
    <row r="39" spans="1:5" ht="15" customHeight="1" x14ac:dyDescent="0.25">
      <c r="B39" s="11" t="s">
        <v>61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100">
        <v>0.73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7.1923999999999998E-3</v>
      </c>
      <c r="D45" s="12"/>
    </row>
    <row r="46" spans="1:5" ht="15.75" customHeight="1" x14ac:dyDescent="0.25">
      <c r="B46" s="11" t="s">
        <v>51</v>
      </c>
      <c r="C46" s="45">
        <v>7.7281600000000006E-2</v>
      </c>
      <c r="D46" s="12"/>
    </row>
    <row r="47" spans="1:5" ht="15.75" customHeight="1" x14ac:dyDescent="0.25">
      <c r="B47" s="11" t="s">
        <v>59</v>
      </c>
      <c r="C47" s="45">
        <v>7.4161099999999994E-2</v>
      </c>
      <c r="D47" s="12"/>
      <c r="E47" s="13"/>
    </row>
    <row r="48" spans="1:5" ht="15" customHeight="1" x14ac:dyDescent="0.25">
      <c r="B48" s="11" t="s">
        <v>58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0.54077500000000001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1vuYSA7CehhrBqkbKE95vqiuJxM8S3ybnpsjTkeDFFJiGR79nbHmltFoiSJaVqbw8g2mm2aPk9kg2D4UMj28gQ==" saltValue="R44u9BKf6pRAyoGvSpfS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1994</v>
      </c>
      <c r="C2" s="49">
        <v>7175.5</v>
      </c>
      <c r="D2" s="49">
        <v>14566</v>
      </c>
      <c r="E2" s="49">
        <v>15133</v>
      </c>
      <c r="F2" s="49">
        <v>11622.5</v>
      </c>
      <c r="G2" s="17">
        <f t="shared" ref="G2:G13" si="0">C2+D2+E2+F2</f>
        <v>48497</v>
      </c>
      <c r="H2" s="17">
        <f t="shared" ref="H2:H13" si="1">(B2 + stillbirth*B2/(1000-stillbirth))/(1-abortion)</f>
        <v>2291.6320881910133</v>
      </c>
      <c r="I2" s="17">
        <f t="shared" ref="I2:I13" si="2">G2-H2</f>
        <v>46205.367911808986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1976</v>
      </c>
      <c r="C3" s="50">
        <v>6966.5</v>
      </c>
      <c r="D3" s="50">
        <v>14172.5</v>
      </c>
      <c r="E3" s="50">
        <v>15313.5</v>
      </c>
      <c r="F3" s="50">
        <v>11778</v>
      </c>
      <c r="G3" s="17">
        <f t="shared" si="0"/>
        <v>48230.5</v>
      </c>
      <c r="H3" s="17">
        <f t="shared" si="1"/>
        <v>2270.9453391501715</v>
      </c>
      <c r="I3" s="17">
        <f t="shared" si="2"/>
        <v>45959.554660849826</v>
      </c>
    </row>
    <row r="4" spans="1:9" ht="15.75" customHeight="1" x14ac:dyDescent="0.25">
      <c r="A4" s="5">
        <f t="shared" si="3"/>
        <v>2026</v>
      </c>
      <c r="B4" s="49">
        <v>1969</v>
      </c>
      <c r="C4" s="50">
        <v>6793.5000000000009</v>
      </c>
      <c r="D4" s="50">
        <v>13764</v>
      </c>
      <c r="E4" s="50">
        <v>15468</v>
      </c>
      <c r="F4" s="50">
        <v>11953</v>
      </c>
      <c r="G4" s="17">
        <f t="shared" si="0"/>
        <v>47978.5</v>
      </c>
      <c r="H4" s="17">
        <f t="shared" si="1"/>
        <v>2262.9004923009552</v>
      </c>
      <c r="I4" s="17">
        <f t="shared" si="2"/>
        <v>45715.599507699044</v>
      </c>
    </row>
    <row r="5" spans="1:9" ht="15.75" customHeight="1" x14ac:dyDescent="0.25">
      <c r="A5" s="5">
        <f t="shared" si="3"/>
        <v>2027</v>
      </c>
      <c r="B5" s="49">
        <v>1944</v>
      </c>
      <c r="C5" s="50">
        <v>6652.5</v>
      </c>
      <c r="D5" s="50">
        <v>13389.5</v>
      </c>
      <c r="E5" s="50">
        <v>15558</v>
      </c>
      <c r="F5" s="50">
        <v>12137.5</v>
      </c>
      <c r="G5" s="17">
        <f t="shared" si="0"/>
        <v>47737.5</v>
      </c>
      <c r="H5" s="17">
        <f t="shared" si="1"/>
        <v>2234.1688964108971</v>
      </c>
      <c r="I5" s="17">
        <f t="shared" si="2"/>
        <v>45503.331103589102</v>
      </c>
    </row>
    <row r="6" spans="1:9" ht="15.75" customHeight="1" x14ac:dyDescent="0.25">
      <c r="A6" s="5">
        <f t="shared" si="3"/>
        <v>2028</v>
      </c>
      <c r="B6" s="49">
        <v>1921</v>
      </c>
      <c r="C6" s="50">
        <v>6518.4999999999991</v>
      </c>
      <c r="D6" s="50">
        <v>13080.5</v>
      </c>
      <c r="E6" s="50">
        <v>15570</v>
      </c>
      <c r="F6" s="50">
        <v>12319</v>
      </c>
      <c r="G6" s="17">
        <f t="shared" si="0"/>
        <v>47488</v>
      </c>
      <c r="H6" s="17">
        <f t="shared" si="1"/>
        <v>2207.7358281920442</v>
      </c>
      <c r="I6" s="17">
        <f t="shared" si="2"/>
        <v>45280.264171807954</v>
      </c>
    </row>
    <row r="7" spans="1:9" ht="15.75" customHeight="1" x14ac:dyDescent="0.25">
      <c r="A7" s="5">
        <f t="shared" si="3"/>
        <v>2029</v>
      </c>
      <c r="B7" s="49">
        <v>1900</v>
      </c>
      <c r="C7" s="50">
        <v>6359</v>
      </c>
      <c r="D7" s="50">
        <v>12814</v>
      </c>
      <c r="E7" s="50">
        <v>15548.5</v>
      </c>
      <c r="F7" s="50">
        <v>12504.5</v>
      </c>
      <c r="G7" s="17">
        <f t="shared" si="0"/>
        <v>47226</v>
      </c>
      <c r="H7" s="17">
        <f t="shared" si="1"/>
        <v>2183.6012876443956</v>
      </c>
      <c r="I7" s="17">
        <f t="shared" si="2"/>
        <v>45042.398712355607</v>
      </c>
    </row>
    <row r="8" spans="1:9" ht="15.75" customHeight="1" x14ac:dyDescent="0.25">
      <c r="A8" s="5">
        <f t="shared" si="3"/>
        <v>2030</v>
      </c>
      <c r="B8" s="49">
        <v>1875</v>
      </c>
      <c r="C8" s="50">
        <v>6269</v>
      </c>
      <c r="D8" s="50">
        <v>12469.5</v>
      </c>
      <c r="E8" s="50">
        <v>15509</v>
      </c>
      <c r="F8" s="50">
        <v>12685.5</v>
      </c>
      <c r="G8" s="17">
        <f t="shared" si="0"/>
        <v>46933</v>
      </c>
      <c r="H8" s="17">
        <f t="shared" si="1"/>
        <v>2154.8696917543375</v>
      </c>
      <c r="I8" s="17">
        <f t="shared" si="2"/>
        <v>44778.130308245665</v>
      </c>
    </row>
    <row r="9" spans="1:9" ht="15.75" customHeight="1" x14ac:dyDescent="0.25">
      <c r="A9" s="5">
        <f t="shared" si="3"/>
        <v>2031</v>
      </c>
      <c r="B9" s="49">
        <v>1846</v>
      </c>
      <c r="C9" s="50">
        <v>6269</v>
      </c>
      <c r="D9" s="50">
        <v>12081</v>
      </c>
      <c r="E9" s="50">
        <v>15386.5</v>
      </c>
      <c r="F9" s="50">
        <v>12856.5</v>
      </c>
      <c r="G9" s="17">
        <f t="shared" si="0"/>
        <v>46593</v>
      </c>
      <c r="H9" s="17">
        <f t="shared" si="1"/>
        <v>2121.5410405218704</v>
      </c>
      <c r="I9" s="17">
        <f t="shared" si="2"/>
        <v>44471.458959478128</v>
      </c>
    </row>
    <row r="10" spans="1:9" ht="15.75" customHeight="1" x14ac:dyDescent="0.25">
      <c r="A10" s="5">
        <f t="shared" si="3"/>
        <v>2032</v>
      </c>
      <c r="B10" s="49">
        <v>1815</v>
      </c>
      <c r="C10" s="50">
        <v>6262</v>
      </c>
      <c r="D10" s="50">
        <v>11778</v>
      </c>
      <c r="E10" s="50">
        <v>15150.5</v>
      </c>
      <c r="F10" s="50">
        <v>13027</v>
      </c>
      <c r="G10" s="17">
        <f t="shared" si="0"/>
        <v>46217.5</v>
      </c>
      <c r="H10" s="17">
        <f t="shared" si="1"/>
        <v>2085.9138616181986</v>
      </c>
      <c r="I10" s="17">
        <f t="shared" si="2"/>
        <v>44131.586138381805</v>
      </c>
    </row>
    <row r="11" spans="1:9" ht="15.75" customHeight="1" x14ac:dyDescent="0.25">
      <c r="A11" s="5">
        <f t="shared" si="3"/>
        <v>2033</v>
      </c>
      <c r="B11" s="49">
        <v>1795</v>
      </c>
      <c r="C11" s="50">
        <v>6246</v>
      </c>
      <c r="D11" s="50">
        <v>11537</v>
      </c>
      <c r="E11" s="50">
        <v>14837</v>
      </c>
      <c r="F11" s="50">
        <v>13190.5</v>
      </c>
      <c r="G11" s="17">
        <f t="shared" si="0"/>
        <v>45810.5</v>
      </c>
      <c r="H11" s="17">
        <f t="shared" si="1"/>
        <v>2062.9285849061525</v>
      </c>
      <c r="I11" s="17">
        <f t="shared" si="2"/>
        <v>43747.571415093844</v>
      </c>
    </row>
    <row r="12" spans="1:9" ht="15.75" customHeight="1" x14ac:dyDescent="0.25">
      <c r="A12" s="5">
        <f t="shared" si="3"/>
        <v>2034</v>
      </c>
      <c r="B12" s="49">
        <v>1763</v>
      </c>
      <c r="C12" s="50">
        <v>6220</v>
      </c>
      <c r="D12" s="50">
        <v>11318</v>
      </c>
      <c r="E12" s="50">
        <v>14481.5</v>
      </c>
      <c r="F12" s="50">
        <v>13347.5</v>
      </c>
      <c r="G12" s="17">
        <f t="shared" si="0"/>
        <v>45367</v>
      </c>
      <c r="H12" s="17">
        <f t="shared" si="1"/>
        <v>2026.1521421668785</v>
      </c>
      <c r="I12" s="17">
        <f t="shared" si="2"/>
        <v>43340.84785783312</v>
      </c>
    </row>
    <row r="13" spans="1:9" ht="15.75" customHeight="1" x14ac:dyDescent="0.25">
      <c r="A13" s="5">
        <f t="shared" si="3"/>
        <v>2035</v>
      </c>
      <c r="B13" s="49">
        <v>1741</v>
      </c>
      <c r="C13" s="50">
        <v>6181.0000000000009</v>
      </c>
      <c r="D13" s="50">
        <v>11114.5</v>
      </c>
      <c r="E13" s="50">
        <v>14092.5</v>
      </c>
      <c r="F13" s="50">
        <v>13509.5</v>
      </c>
      <c r="G13" s="17">
        <f t="shared" si="0"/>
        <v>44897.5</v>
      </c>
      <c r="H13" s="17">
        <f t="shared" si="1"/>
        <v>2000.8683377836276</v>
      </c>
      <c r="I13" s="17">
        <f t="shared" si="2"/>
        <v>42896.631662216372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1X/b9rrRfu1AKYNAgHnUkeiFp1vTW4JfoWcQ9CTvbdzm/jOydVo+L42FITjLWiARmpRh/dKYTNiT8mDf9mvvQ==" saltValue="x5BPHMqShiEbiZVc2vxu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4.3137200000000028E-2</v>
      </c>
    </row>
    <row r="5" spans="1:8" ht="15.75" customHeight="1" x14ac:dyDescent="0.25">
      <c r="B5" s="19" t="s">
        <v>95</v>
      </c>
      <c r="C5" s="101">
        <v>3.935220000000008E-2</v>
      </c>
    </row>
    <row r="6" spans="1:8" ht="15.75" customHeight="1" x14ac:dyDescent="0.25">
      <c r="B6" s="19" t="s">
        <v>91</v>
      </c>
      <c r="C6" s="101">
        <v>0.10518480000000011</v>
      </c>
    </row>
    <row r="7" spans="1:8" ht="15.75" customHeight="1" x14ac:dyDescent="0.25">
      <c r="B7" s="19" t="s">
        <v>96</v>
      </c>
      <c r="C7" s="101">
        <v>0.45285349999999969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0.17140770000000019</v>
      </c>
    </row>
    <row r="10" spans="1:8" ht="15.75" customHeight="1" x14ac:dyDescent="0.25">
      <c r="B10" s="19" t="s">
        <v>94</v>
      </c>
      <c r="C10" s="101">
        <v>0.18806460000000019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102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99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4.5480066999999999E-2</v>
      </c>
    </row>
    <row r="27" spans="1:8" ht="15.75" customHeight="1" x14ac:dyDescent="0.25">
      <c r="B27" s="19" t="s">
        <v>89</v>
      </c>
      <c r="C27" s="101">
        <v>0.14298022799999999</v>
      </c>
    </row>
    <row r="28" spans="1:8" ht="15.75" customHeight="1" x14ac:dyDescent="0.25">
      <c r="B28" s="19" t="s">
        <v>103</v>
      </c>
      <c r="C28" s="101">
        <v>9.6627131000000019E-2</v>
      </c>
    </row>
    <row r="29" spans="1:8" ht="15.75" customHeight="1" x14ac:dyDescent="0.25">
      <c r="B29" s="19" t="s">
        <v>86</v>
      </c>
      <c r="C29" s="101">
        <v>0.16091661700000001</v>
      </c>
    </row>
    <row r="30" spans="1:8" ht="15.75" customHeight="1" x14ac:dyDescent="0.25">
      <c r="B30" s="19" t="s">
        <v>4</v>
      </c>
      <c r="C30" s="101">
        <v>3.5424285E-2</v>
      </c>
    </row>
    <row r="31" spans="1:8" ht="15.75" customHeight="1" x14ac:dyDescent="0.25">
      <c r="B31" s="19" t="s">
        <v>80</v>
      </c>
      <c r="C31" s="101">
        <v>0.141582982</v>
      </c>
    </row>
    <row r="32" spans="1:8" ht="15.75" customHeight="1" x14ac:dyDescent="0.25">
      <c r="B32" s="19" t="s">
        <v>85</v>
      </c>
      <c r="C32" s="101">
        <v>7.2277499999999981E-2</v>
      </c>
    </row>
    <row r="33" spans="2:3" ht="15.75" customHeight="1" x14ac:dyDescent="0.25">
      <c r="B33" s="19" t="s">
        <v>100</v>
      </c>
      <c r="C33" s="101">
        <v>0.14607978499999999</v>
      </c>
    </row>
    <row r="34" spans="2:3" ht="15.75" customHeight="1" x14ac:dyDescent="0.25">
      <c r="B34" s="19" t="s">
        <v>87</v>
      </c>
      <c r="C34" s="101">
        <v>0.158631406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ipnqZt35vPAGejbJTit2mf2hNO93yr1I6EG4SteBbIR5TWtnWYtUZAICWp4iMB4xrqkA66mxlJcQy80/lqRrXA==" saltValue="kJ3Zqx4KsQniK1xsOyTi3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EZwGZ9v9fvtSFtWTTLG31OYiyaNJOrSngU6n3HBTTV0/JQ0Gt6EEbMiZ2YEUKUPEiTrwLadrEjNaRXz0x/U5Q==" saltValue="SqHAjAHXIhnvtwi0uJKH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125</v>
      </c>
      <c r="C5" s="52">
        <v>0</v>
      </c>
      <c r="D5" s="52">
        <v>0.12241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p3K/+SvVzBi8D/1s1AMG9hwO6V5NIPJpHoovo5pPCOG5MXlDozbKxyVhTLWuRKrSyf8uIS3m72yU3A0ihymTDQ==" saltValue="9Q08h3FAh6YjUQ9JTHW8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sMtZSdzouK3PXrFfl8de3+X1vEh27V5fjwYRCYwYwL07ZK2NP9eHqnXCazoJaUAMJK9ObPxIeZNb/qLTqdgRg==" saltValue="a4aXY0MjWXl2BrpdExK47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Eom/UBgutuaQ/KO4TE8cnQWDzmlrtEYaZJQsOW3N2JyN8+wwds7KyPnVZHmncGeyxNC8FiHRfbvsmIC77HLi7A==" saltValue="nCqYMcUuD9CBs73qFKsA+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x/XLLHJFiKtuomJQwjsLrr94ftTIimWopdI8k6LBqzkDYVbMGPrAQ3vUkxcGEsvE23n7Uypgo2ckeySbyuA7GA==" saltValue="p3M3UQ+A0atkhzqsF3LX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6gG6fXffEZFys6JC9pZXfCe8ISy/3ffyPRO6Ks7uMI2F08TieOMj30v9QqmGb/hG3cx754+hxirkl5JNBG+HNg==" saltValue="euVvUUyyWZL2Ko+W0msY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91.330267740197584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0.2395468390462</v>
      </c>
      <c r="C3" s="98">
        <v>0.95</v>
      </c>
      <c r="D3" s="56">
        <v>40.626528785920193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936.48215246114307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2.960998159368637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13.758828229716091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13.758828229716091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13.758828229716091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13.758828229716091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13.758828229716091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13.758828229716091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1.465594029611444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0.38806249999999998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0.12592909999999999</v>
      </c>
      <c r="C18" s="98">
        <v>0.95</v>
      </c>
      <c r="D18" s="56">
        <v>21.432133639931681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0.83357990000000004</v>
      </c>
      <c r="C19" s="98">
        <v>0.95</v>
      </c>
      <c r="D19" s="56">
        <v>21.432133639931681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0.96712320000000007</v>
      </c>
      <c r="C21" s="98">
        <v>0.95</v>
      </c>
      <c r="D21" s="56">
        <v>27.58396231596782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24.134826347321969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4.7459931534262978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0.95424920000000002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19.155143804923071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0.74832009999999993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189.65223389589579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0.76529144671086591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3.2236445106369032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3.73761277259677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3vN5l3qo8xaJRprC9V4Rls//hGlcW6OApP7FkNqTARWwdJuRQQjnUmk8A4Hk56QlGhM/BaJ55EylW3kuHoAakQ==" saltValue="xKU0Cw+sDnfDI3FeSVSI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3dyVP5MGUIezJHsw1m1kjQ7kiTyJtdaxjdaZwiDg+FPzfGOONF9crs6RFWymNV8ud9HgN8zlpWkYM5/NhNmxw==" saltValue="jxdMPXg5Pb1ylIdLOroi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HyKuvAAoIdIxGX8akpsBLA9Nq4jSNlne2sr99f+xMIhqnzkHXLqXk5F4u7kehygiPDg1rk+3wQhIf4Bcj31LA==" saltValue="X4eFhy2m3FrKZkTcIBOJ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guI73TlmWOZehrRNaEaKIwP7C+ABaTfkVq3BDDQZh47Ooxwvqtc5csp3fF7MmyRCRvRUanS3rD/xI/G3sZ67tA==" saltValue="ftD87rK1R+qT42DNkP4lX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4.7E-2</v>
      </c>
      <c r="E2" s="60">
        <f>food_insecure</f>
        <v>4.7E-2</v>
      </c>
      <c r="F2" s="60">
        <f>food_insecure</f>
        <v>4.7E-2</v>
      </c>
      <c r="G2" s="60">
        <f>food_insecure</f>
        <v>4.7E-2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4.7E-2</v>
      </c>
      <c r="F5" s="60">
        <f>food_insecure</f>
        <v>4.7E-2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4.7E-2</v>
      </c>
      <c r="F8" s="60">
        <f>food_insecure</f>
        <v>4.7E-2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4.7E-2</v>
      </c>
      <c r="F9" s="60">
        <f>food_insecure</f>
        <v>4.7E-2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4.7E-2</v>
      </c>
      <c r="I15" s="60">
        <f>food_insecure</f>
        <v>4.7E-2</v>
      </c>
      <c r="J15" s="60">
        <f>food_insecure</f>
        <v>4.7E-2</v>
      </c>
      <c r="K15" s="60">
        <f>food_insecure</f>
        <v>4.7E-2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9.3920238388824628E-2</v>
      </c>
      <c r="M25" s="60">
        <f>(1-food_insecure)*(0.49)+food_insecure*(0.7)</f>
        <v>0.49986999999999998</v>
      </c>
      <c r="N25" s="60">
        <f>(1-food_insecure)*(0.49)+food_insecure*(0.7)</f>
        <v>0.49986999999999998</v>
      </c>
      <c r="O25" s="60">
        <f>(1-food_insecure)*(0.49)+food_insecure*(0.7)</f>
        <v>0.49986999999999998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4.0251530738067691E-2</v>
      </c>
      <c r="M26" s="60">
        <f>(1-food_insecure)*(0.21)+food_insecure*(0.3)</f>
        <v>0.21422999999999998</v>
      </c>
      <c r="N26" s="60">
        <f>(1-food_insecure)*(0.21)+food_insecure*(0.3)</f>
        <v>0.21422999999999998</v>
      </c>
      <c r="O26" s="60">
        <f>(1-food_insecure)*(0.21)+food_insecure*(0.3)</f>
        <v>0.21422999999999998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5.3717558876037685E-2</v>
      </c>
      <c r="M27" s="60">
        <f>(1-food_insecure)*(0.3)</f>
        <v>0.28589999999999999</v>
      </c>
      <c r="N27" s="60">
        <f>(1-food_insecure)*(0.3)</f>
        <v>0.28589999999999999</v>
      </c>
      <c r="O27" s="60">
        <f>(1-food_insecure)*(0.3)</f>
        <v>0.28589999999999999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0.81211067199706999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KkoxR/ylQj6yygLfEKUJvdmxXgxN1Zzr1aUCD6IzMpPtL47mPb5fdyEAfvfURTYLcSTSy7xnZB6pURLhMrXlQ==" saltValue="0CrKNtJzKdI4ZoksN10R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JY4SFOsS0tbJLXZZigglY48pTEWC4Y1wXwwwYqpjkwGQHcABFsaTxVv1+mmGzvGGu8kz+g4P686nEXXq/YSssw==" saltValue="mWE6wEy9G0S209pqmhFO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VIg+nYXUem88duQlhexRgSQqImvATF9eO7xp4AX+Mta4TSfsn2dunZBSpYI4B7QdY2CsT0wwqxRPZIKA9uAVg==" saltValue="uJyVvJHNQ1izlJqShybn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SCkS9rPkRPFDmVpdj8bShbqdG4ibYceWpihJ0LqnIxyT2wi8+9Centq+jnaadu9UA3FYvvy27loqE3XoPyaQQ==" saltValue="wAZCfnlzHbwmwBDBOuEq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mptUl6vSWMa1Wf01Q3ri0uELkHb9zD/IhLu2MVUBS5srJhnzeZhEGx9Z+Zfanf/IJPhrHtkIK5VyYiJiBPByQ==" saltValue="DOFS8+MT3jadCNdgCtBIB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qxVDoIEzTRT2+6bnudTYrWptCJtBYkRn9vjP+CYMgsZab+okoWUH7se/877/8f4BkdrnHQAxNb18MTPZr6j+A==" saltValue="rlqoyHq1+HM6mUI7izFG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Wu2e6skHljmhyqBzvVi0cx4gkbPt3I/Finrx9jqzGu48XedjUzRLrgNzEySIibV1W3/8Ue1FEAIKq6p08Ai/cA==" saltValue="sS3aNvd5nnWHbHWgmRsfHg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jGUrSwYBbt+4lrsZ9C9/PSN5rrF6KsT2E+UsD2sXnpJH211YGpeEUgThbMwH/qur/DyX2Z8tL15ykR7xKvvMQ==" saltValue="kCQIWfidx4yGx2o2ca6H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yaLoajiF2cYKqb+HHYaVS3tt5Nr/5EJHqvDm+tNUaPKcAxnONdimDgrwCj83byRu2DZ6G7L/pC4yCUu4d+W1w==" saltValue="H6jTD0BsbvQsFvJwKH+X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2i+lVFWjdoX2zdHBFauM28QDU5RHUZBbZqmFx9yib6Mga+zn72DQsnD6d2qYX43L4tOIhq3bNWUI6EzPmi5ew==" saltValue="+4WaFDMFGB2kM76YuKNQ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aX+ggx2imn5wWdSqJhdSD4iqxjHNReXz3qXS97OL2eP9HbRbZel7ItetgTvn3JoaBEnlUYVwjFKLPxUiATNug==" saltValue="7WSXF6TliDdu877VLQfC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AzJvc4ttZUX91xpSPaFCCSTZ4E1avEmjpqIP12v1AKvxf8P978E7GZnnCuMABI7UT8iwZ9N17n/Sx5YZ4gl/w==" saltValue="i5Trl+yA03ow9Mm8AxsK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C0rxmPVAMLk0QzrUg2p68+2JUdmRWnyb+Cx+ep7/gUTNifnB9SQAdHeon9vuzXpFMaHDPL9qthgcPbi13ZWtQ==" saltValue="yXAbuLfnV+bnpOeGyfZP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cVUd1+dNwoHAl/TgJwJl63BAcQiNu+iBtgKmMWOeWmhPlaIyOS2qDQ8zqdMC07S0UUrb9GLQvOtd7VHBRCGcw==" saltValue="FeIsG3K/Qe25n+WX9ZFi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xhfZGRKAnlR1y19EhyPy0xfBI71IO5HEuGYJur/tcO0x1EDm3uyrippgzBQiLd8C6z/basGDUhnRzkm5HdSNg==" saltValue="MxiglWZaf7DTYeYwOxVUY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2024-05-16T23:43:14Z</dcterms:modified>
</cp:coreProperties>
</file>