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es\LiST countries\"/>
    </mc:Choice>
  </mc:AlternateContent>
  <xr:revisionPtr revIDLastSave="0" documentId="8_{98E6C34F-40A0-42EC-A9EE-4078969AD59C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A40" i="2"/>
  <c r="H39" i="2"/>
  <c r="G39" i="2"/>
  <c r="H38" i="2"/>
  <c r="G38" i="2"/>
  <c r="I38" i="2" s="1"/>
  <c r="A31" i="2"/>
  <c r="A25" i="2"/>
  <c r="A24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I4" i="2" s="1"/>
  <c r="H3" i="2"/>
  <c r="G3" i="2"/>
  <c r="I3" i="2" s="1"/>
  <c r="H2" i="2"/>
  <c r="G2" i="2"/>
  <c r="A2" i="2"/>
  <c r="A39" i="2" s="1"/>
  <c r="C33" i="1"/>
  <c r="C20" i="1"/>
  <c r="A23" i="2" l="1"/>
  <c r="I6" i="2"/>
  <c r="I12" i="2"/>
  <c r="A35" i="2"/>
  <c r="A36" i="2"/>
  <c r="A37" i="2"/>
  <c r="I2" i="2"/>
  <c r="I8" i="2"/>
  <c r="A19" i="2"/>
  <c r="A22" i="2"/>
  <c r="I39" i="2"/>
  <c r="A26" i="2"/>
  <c r="A3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<sst xmlns="http://schemas.openxmlformats.org/spreadsheetml/2006/main" count="2169" uniqueCount="373">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</sst>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10021</v>
      </c>
    </row>
    <row r="8" spans="1:3" ht="15" customHeight="1" x14ac:dyDescent="0.25">
      <c r="B8" s="5" t="s">
        <v>63</v>
      </c>
      <c r="C8" s="44">
        <v>0.25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0.81712890000000005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0.27600000000000002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0.14169999999999999</v>
      </c>
    </row>
    <row r="24" spans="1:3" ht="15" customHeight="1" x14ac:dyDescent="0.25">
      <c r="B24" s="15" t="s">
        <v>65</v>
      </c>
      <c r="C24" s="45">
        <v>0.49370000000000003</v>
      </c>
    </row>
    <row r="25" spans="1:3" ht="15" customHeight="1" x14ac:dyDescent="0.25">
      <c r="B25" s="15" t="s">
        <v>66</v>
      </c>
      <c r="C25" s="45">
        <v>0.31890000000000002</v>
      </c>
    </row>
    <row r="26" spans="1:3" ht="15" customHeight="1" x14ac:dyDescent="0.25">
      <c r="B26" s="15" t="s">
        <v>67</v>
      </c>
      <c r="C26" s="45">
        <v>4.5699999999999998E-2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0.38027698235904311</v>
      </c>
    </row>
    <row r="30" spans="1:3" ht="14.25" customHeight="1" x14ac:dyDescent="0.25">
      <c r="B30" s="25" t="s">
        <v>82</v>
      </c>
      <c r="C30" s="97">
        <v>5.4660418264349912E-2</v>
      </c>
    </row>
    <row r="31" spans="1:3" ht="14.25" customHeight="1" x14ac:dyDescent="0.25">
      <c r="B31" s="25" t="s">
        <v>29</v>
      </c>
      <c r="C31" s="97">
        <v>6.1967733026657798E-2</v>
      </c>
    </row>
    <row r="32" spans="1:3" ht="14.25" customHeight="1" x14ac:dyDescent="0.25">
      <c r="B32" s="25" t="s">
        <v>30</v>
      </c>
      <c r="C32" s="97">
        <v>0.50309486634994893</v>
      </c>
    </row>
    <row r="33" spans="1:5" ht="13.25" customHeight="1" x14ac:dyDescent="0.25">
      <c r="B33" s="27" t="s">
        <v>79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13.01304</v>
      </c>
    </row>
    <row r="38" spans="1:5" ht="15" customHeight="1" x14ac:dyDescent="0.25">
      <c r="B38" s="11" t="s">
        <v>54</v>
      </c>
      <c r="C38" s="43">
        <v>22.43721</v>
      </c>
      <c r="D38" s="12"/>
      <c r="E38" s="13"/>
    </row>
    <row r="39" spans="1:5" ht="15" customHeight="1" x14ac:dyDescent="0.25">
      <c r="B39" s="11" t="s">
        <v>80</v>
      </c>
      <c r="C39" s="43">
        <v>24.820640000000001</v>
      </c>
      <c r="D39" s="12"/>
      <c r="E39" s="12"/>
    </row>
    <row r="40" spans="1:5" ht="15" customHeight="1" x14ac:dyDescent="0.25">
      <c r="B40" s="11" t="s">
        <v>55</v>
      </c>
      <c r="C40" s="98">
        <v>0.73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11.22475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7.1923999999999998E-3</v>
      </c>
      <c r="D45" s="12"/>
    </row>
    <row r="46" spans="1:5" ht="15.75" customHeight="1" x14ac:dyDescent="0.25">
      <c r="B46" s="11" t="s">
        <v>70</v>
      </c>
      <c r="C46" s="45">
        <v>7.7281600000000006E-2</v>
      </c>
      <c r="D46" s="12"/>
    </row>
    <row r="47" spans="1:5" ht="15.75" customHeight="1" x14ac:dyDescent="0.25">
      <c r="B47" s="11" t="s">
        <v>78</v>
      </c>
      <c r="C47" s="45">
        <v>7.4161099999999994E-2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3.2</v>
      </c>
      <c r="D51" s="12"/>
    </row>
    <row r="52" spans="1:4" ht="15" customHeight="1" x14ac:dyDescent="0.25">
      <c r="B52" s="11" t="s">
        <v>32</v>
      </c>
      <c r="C52" s="98">
        <v>3.2</v>
      </c>
    </row>
    <row r="53" spans="1:4" ht="15.75" customHeight="1" x14ac:dyDescent="0.25">
      <c r="B53" s="11" t="s">
        <v>35</v>
      </c>
      <c r="C53" s="98">
        <v>3.2</v>
      </c>
    </row>
    <row r="54" spans="1:4" ht="15.75" customHeight="1" x14ac:dyDescent="0.25">
      <c r="B54" s="11" t="s">
        <v>33</v>
      </c>
      <c r="C54" s="98">
        <v>3.2</v>
      </c>
    </row>
    <row r="55" spans="1:4" ht="15.75" customHeight="1" x14ac:dyDescent="0.25">
      <c r="B55" s="11" t="s">
        <v>34</v>
      </c>
      <c r="C55" s="98">
        <v>3.2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1.9375E-2</v>
      </c>
    </row>
    <row r="59" spans="1:4" ht="15.75" customHeight="1" x14ac:dyDescent="0.25">
      <c r="B59" s="11" t="s">
        <v>59</v>
      </c>
      <c r="C59" s="45">
        <v>0.54077500000000001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0.16251143530000001</v>
      </c>
    </row>
    <row r="63" spans="1:4" ht="15.75" customHeight="1" x14ac:dyDescent="0.3">
      <c r="A63" s="4"/>
    </row>
  </sheetData>
  <sheetProtection algorithmName="SHA-512" hashValue="rExxQbKv+8ca0MHuPFhlZilaD6lzXEu+RW7RUqqHbFjLbdwhW0Yc9z4SdhJz37qHgXv7vJ05kTvKLeM4u/fQ6Q==" saltValue="cEd+ojpVFjEiGHWS+qGg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2015.0000000000002</v>
      </c>
      <c r="C2" s="49">
        <v>6044</v>
      </c>
      <c r="D2" s="49">
        <v>14548.5</v>
      </c>
      <c r="E2" s="49">
        <v>15056.5</v>
      </c>
      <c r="F2" s="49">
        <v>12976.5</v>
      </c>
      <c r="G2" s="17">
        <f t="shared" ref="G2:G13" si="0">C2+D2+E2+F2</f>
        <v>48625.5</v>
      </c>
      <c r="H2" s="17">
        <f t="shared" ref="H2:H13" si="1">(B2 + stillbirth*B2/(1000-stillbirth))/(1-abortion)</f>
        <v>2315.7666287386619</v>
      </c>
      <c r="I2" s="17">
        <f t="shared" ref="I2:I13" si="2">G2-H2</f>
        <v>46309.73337126134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1985</v>
      </c>
      <c r="C3" s="50">
        <v>5966</v>
      </c>
      <c r="D3" s="50">
        <v>14154</v>
      </c>
      <c r="E3" s="50">
        <v>15232.5</v>
      </c>
      <c r="F3" s="50">
        <v>13157.499999999998</v>
      </c>
      <c r="G3" s="17">
        <f t="shared" si="0"/>
        <v>48510</v>
      </c>
      <c r="H3" s="17">
        <f t="shared" si="1"/>
        <v>2281.2887136705922</v>
      </c>
      <c r="I3" s="17">
        <f t="shared" si="2"/>
        <v>46228.71128632941</v>
      </c>
    </row>
    <row r="4" spans="1:9" ht="15.75" customHeight="1" x14ac:dyDescent="0.25">
      <c r="A4" s="5">
        <f t="shared" si="3"/>
        <v>2026</v>
      </c>
      <c r="B4" s="49">
        <v>1959</v>
      </c>
      <c r="C4" s="50">
        <v>5822</v>
      </c>
      <c r="D4" s="50">
        <v>13738.5</v>
      </c>
      <c r="E4" s="50">
        <v>15386</v>
      </c>
      <c r="F4" s="50">
        <v>13344.999999999998</v>
      </c>
      <c r="G4" s="17">
        <f t="shared" si="0"/>
        <v>48291.5</v>
      </c>
      <c r="H4" s="17">
        <f t="shared" si="1"/>
        <v>2251.407853944932</v>
      </c>
      <c r="I4" s="17">
        <f t="shared" si="2"/>
        <v>46040.092146055067</v>
      </c>
    </row>
    <row r="5" spans="1:9" ht="15.75" customHeight="1" x14ac:dyDescent="0.25">
      <c r="A5" s="5">
        <f t="shared" si="3"/>
        <v>2027</v>
      </c>
      <c r="B5" s="49">
        <v>1931</v>
      </c>
      <c r="C5" s="50">
        <v>5662</v>
      </c>
      <c r="D5" s="50">
        <v>13351.5</v>
      </c>
      <c r="E5" s="50">
        <v>15479.500000000002</v>
      </c>
      <c r="F5" s="50">
        <v>13527.5</v>
      </c>
      <c r="G5" s="17">
        <f t="shared" si="0"/>
        <v>48020.5</v>
      </c>
      <c r="H5" s="17">
        <f t="shared" si="1"/>
        <v>2219.228466548067</v>
      </c>
      <c r="I5" s="17">
        <f t="shared" si="2"/>
        <v>45801.271533451931</v>
      </c>
    </row>
    <row r="6" spans="1:9" ht="15.75" customHeight="1" x14ac:dyDescent="0.25">
      <c r="A6" s="5">
        <f t="shared" si="3"/>
        <v>2028</v>
      </c>
      <c r="B6" s="49">
        <v>1907</v>
      </c>
      <c r="C6" s="50">
        <v>5520</v>
      </c>
      <c r="D6" s="50">
        <v>13024</v>
      </c>
      <c r="E6" s="50">
        <v>15499.5</v>
      </c>
      <c r="F6" s="50">
        <v>13722.000000000002</v>
      </c>
      <c r="G6" s="17">
        <f t="shared" si="0"/>
        <v>47765.5</v>
      </c>
      <c r="H6" s="17">
        <f t="shared" si="1"/>
        <v>2191.6461344936115</v>
      </c>
      <c r="I6" s="17">
        <f t="shared" si="2"/>
        <v>45573.853865506389</v>
      </c>
    </row>
    <row r="7" spans="1:9" ht="15.75" customHeight="1" x14ac:dyDescent="0.25">
      <c r="A7" s="5">
        <f t="shared" si="3"/>
        <v>2029</v>
      </c>
      <c r="B7" s="49">
        <v>1883</v>
      </c>
      <c r="C7" s="50">
        <v>5358</v>
      </c>
      <c r="D7" s="50">
        <v>12732.5</v>
      </c>
      <c r="E7" s="50">
        <v>15490</v>
      </c>
      <c r="F7" s="50">
        <v>13930</v>
      </c>
      <c r="G7" s="17">
        <f t="shared" si="0"/>
        <v>47510.5</v>
      </c>
      <c r="H7" s="17">
        <f t="shared" si="1"/>
        <v>2164.063802439156</v>
      </c>
      <c r="I7" s="17">
        <f t="shared" si="2"/>
        <v>45346.436197560841</v>
      </c>
    </row>
    <row r="8" spans="1:9" ht="15.75" customHeight="1" x14ac:dyDescent="0.25">
      <c r="A8" s="5">
        <f t="shared" si="3"/>
        <v>2030</v>
      </c>
      <c r="B8" s="49">
        <v>1857</v>
      </c>
      <c r="C8" s="50">
        <v>5219.5</v>
      </c>
      <c r="D8" s="50">
        <v>12411.999999999998</v>
      </c>
      <c r="E8" s="50">
        <v>15461</v>
      </c>
      <c r="F8" s="50">
        <v>14140</v>
      </c>
      <c r="G8" s="17">
        <f t="shared" si="0"/>
        <v>47232.5</v>
      </c>
      <c r="H8" s="17">
        <f t="shared" si="1"/>
        <v>2134.1829427134962</v>
      </c>
      <c r="I8" s="17">
        <f t="shared" si="2"/>
        <v>45098.317057286506</v>
      </c>
    </row>
    <row r="9" spans="1:9" ht="15.75" customHeight="1" x14ac:dyDescent="0.25">
      <c r="A9" s="5">
        <f t="shared" si="3"/>
        <v>2031</v>
      </c>
      <c r="B9" s="49">
        <v>1831</v>
      </c>
      <c r="C9" s="50">
        <v>5177.5</v>
      </c>
      <c r="D9" s="50">
        <v>12043</v>
      </c>
      <c r="E9" s="50">
        <v>15351.500000000002</v>
      </c>
      <c r="F9" s="50">
        <v>14344.5</v>
      </c>
      <c r="G9" s="17">
        <f t="shared" si="0"/>
        <v>46916.5</v>
      </c>
      <c r="H9" s="17">
        <f t="shared" si="1"/>
        <v>2104.302082987836</v>
      </c>
      <c r="I9" s="17">
        <f t="shared" si="2"/>
        <v>44812.197917012163</v>
      </c>
    </row>
    <row r="10" spans="1:9" ht="15.75" customHeight="1" x14ac:dyDescent="0.25">
      <c r="A10" s="5">
        <f t="shared" si="3"/>
        <v>2032</v>
      </c>
      <c r="B10" s="49">
        <v>1805</v>
      </c>
      <c r="C10" s="50">
        <v>5179</v>
      </c>
      <c r="D10" s="50">
        <v>11708.5</v>
      </c>
      <c r="E10" s="50">
        <v>15128.499999999998</v>
      </c>
      <c r="F10" s="50">
        <v>14534.5</v>
      </c>
      <c r="G10" s="17">
        <f t="shared" si="0"/>
        <v>46550.5</v>
      </c>
      <c r="H10" s="17">
        <f t="shared" si="1"/>
        <v>2074.4212232621758</v>
      </c>
      <c r="I10" s="17">
        <f t="shared" si="2"/>
        <v>44476.078776737821</v>
      </c>
    </row>
    <row r="11" spans="1:9" ht="15.75" customHeight="1" x14ac:dyDescent="0.25">
      <c r="A11" s="5">
        <f t="shared" si="3"/>
        <v>2033</v>
      </c>
      <c r="B11" s="49">
        <v>1774</v>
      </c>
      <c r="C11" s="50">
        <v>5165</v>
      </c>
      <c r="D11" s="50">
        <v>11445.5</v>
      </c>
      <c r="E11" s="50">
        <v>14824.5</v>
      </c>
      <c r="F11" s="50">
        <v>14707.5</v>
      </c>
      <c r="G11" s="17">
        <f t="shared" si="0"/>
        <v>46142.5</v>
      </c>
      <c r="H11" s="17">
        <f t="shared" si="1"/>
        <v>2038.7940443585042</v>
      </c>
      <c r="I11" s="17">
        <f t="shared" si="2"/>
        <v>44103.705955641497</v>
      </c>
    </row>
    <row r="12" spans="1:9" ht="15.75" customHeight="1" x14ac:dyDescent="0.25">
      <c r="A12" s="5">
        <f t="shared" si="3"/>
        <v>2034</v>
      </c>
      <c r="B12" s="49">
        <v>1742</v>
      </c>
      <c r="C12" s="50">
        <v>5141</v>
      </c>
      <c r="D12" s="50">
        <v>11207</v>
      </c>
      <c r="E12" s="50">
        <v>14469.5</v>
      </c>
      <c r="F12" s="50">
        <v>14876.000000000002</v>
      </c>
      <c r="G12" s="17">
        <f t="shared" si="0"/>
        <v>45693.5</v>
      </c>
      <c r="H12" s="17">
        <f t="shared" si="1"/>
        <v>2002.0176016192299</v>
      </c>
      <c r="I12" s="17">
        <f t="shared" si="2"/>
        <v>43691.482398380773</v>
      </c>
    </row>
    <row r="13" spans="1:9" ht="15.75" customHeight="1" x14ac:dyDescent="0.25">
      <c r="A13" s="5">
        <f t="shared" si="3"/>
        <v>2035</v>
      </c>
      <c r="B13" s="49">
        <v>1709</v>
      </c>
      <c r="C13" s="50">
        <v>5111.5</v>
      </c>
      <c r="D13" s="50">
        <v>10983</v>
      </c>
      <c r="E13" s="50">
        <v>14071.5</v>
      </c>
      <c r="F13" s="50">
        <v>15049</v>
      </c>
      <c r="G13" s="17">
        <f t="shared" si="0"/>
        <v>45215</v>
      </c>
      <c r="H13" s="17">
        <f t="shared" si="1"/>
        <v>1964.0918950443538</v>
      </c>
      <c r="I13" s="17">
        <f t="shared" si="2"/>
        <v>43250.908104955648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4h7YwDeKtdyypc6NnTlo3LTkN46o42YDX76LsWSQVrb2IfnuwAkibTBsfqkMiJ0UHM9zOD45kaJfZIYG1Ptgg==" saltValue="JXzajSTIJ/oR9SxT1rZnp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0</v>
      </c>
    </row>
    <row r="4" spans="1:8" ht="15.75" customHeight="1" x14ac:dyDescent="0.25">
      <c r="B4" s="19" t="s">
        <v>116</v>
      </c>
      <c r="C4" s="99">
        <v>4.3137200000000028E-2</v>
      </c>
    </row>
    <row r="5" spans="1:8" ht="15.75" customHeight="1" x14ac:dyDescent="0.25">
      <c r="B5" s="19" t="s">
        <v>114</v>
      </c>
      <c r="C5" s="99">
        <v>3.935220000000008E-2</v>
      </c>
    </row>
    <row r="6" spans="1:8" ht="15.75" customHeight="1" x14ac:dyDescent="0.25">
      <c r="B6" s="19" t="s">
        <v>110</v>
      </c>
      <c r="C6" s="99">
        <v>0.10518480000000011</v>
      </c>
    </row>
    <row r="7" spans="1:8" ht="15.75" customHeight="1" x14ac:dyDescent="0.25">
      <c r="B7" s="19" t="s">
        <v>115</v>
      </c>
      <c r="C7" s="99">
        <v>0.45285349999999969</v>
      </c>
    </row>
    <row r="8" spans="1:8" ht="15.75" customHeight="1" x14ac:dyDescent="0.25">
      <c r="B8" s="19" t="s">
        <v>117</v>
      </c>
      <c r="C8" s="99">
        <v>0</v>
      </c>
    </row>
    <row r="9" spans="1:8" ht="15.75" customHeight="1" x14ac:dyDescent="0.25">
      <c r="B9" s="19" t="s">
        <v>111</v>
      </c>
      <c r="C9" s="99">
        <v>0.17140770000000019</v>
      </c>
    </row>
    <row r="10" spans="1:8" ht="15.75" customHeight="1" x14ac:dyDescent="0.25">
      <c r="B10" s="19" t="s">
        <v>113</v>
      </c>
      <c r="C10" s="99">
        <v>0.18806460000000019</v>
      </c>
    </row>
    <row r="11" spans="1:8" ht="15.75" customHeight="1" x14ac:dyDescent="0.25">
      <c r="B11" s="27" t="s">
        <v>79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</v>
      </c>
      <c r="D14" s="55">
        <v>0</v>
      </c>
      <c r="E14" s="55">
        <v>0</v>
      </c>
      <c r="F14" s="55">
        <v>0</v>
      </c>
    </row>
    <row r="15" spans="1:8" ht="15.75" customHeight="1" x14ac:dyDescent="0.25">
      <c r="B15" s="19" t="s">
        <v>121</v>
      </c>
      <c r="C15" s="99">
        <v>0.51381300585893785</v>
      </c>
      <c r="D15" s="99">
        <v>0.51381300585893785</v>
      </c>
      <c r="E15" s="99">
        <v>0.51381300585893785</v>
      </c>
      <c r="F15" s="99">
        <v>0.51381300585893785</v>
      </c>
    </row>
    <row r="16" spans="1:8" ht="15.75" customHeight="1" x14ac:dyDescent="0.25">
      <c r="B16" s="19" t="s">
        <v>2</v>
      </c>
      <c r="C16" s="99">
        <v>0</v>
      </c>
      <c r="D16" s="99">
        <v>0</v>
      </c>
      <c r="E16" s="99">
        <v>0</v>
      </c>
      <c r="F16" s="99">
        <v>0</v>
      </c>
    </row>
    <row r="17" spans="1:8" ht="15.75" customHeight="1" x14ac:dyDescent="0.25">
      <c r="B17" s="19" t="s">
        <v>109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3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120</v>
      </c>
      <c r="C19" s="99">
        <v>0</v>
      </c>
      <c r="D19" s="99">
        <v>0</v>
      </c>
      <c r="E19" s="99">
        <v>0</v>
      </c>
      <c r="F19" s="99">
        <v>0</v>
      </c>
    </row>
    <row r="20" spans="1:8" ht="15.75" customHeight="1" x14ac:dyDescent="0.25">
      <c r="B20" s="19" t="s">
        <v>98</v>
      </c>
      <c r="C20" s="99">
        <v>0</v>
      </c>
      <c r="D20" s="99">
        <v>0</v>
      </c>
      <c r="E20" s="99">
        <v>0</v>
      </c>
      <c r="F20" s="99">
        <v>0</v>
      </c>
    </row>
    <row r="21" spans="1:8" ht="15.75" customHeight="1" x14ac:dyDescent="0.25">
      <c r="B21" s="19" t="s">
        <v>107</v>
      </c>
      <c r="C21" s="99">
        <v>0.28053606855628938</v>
      </c>
      <c r="D21" s="99">
        <v>0.28053606855628938</v>
      </c>
      <c r="E21" s="99">
        <v>0.28053606855628938</v>
      </c>
      <c r="F21" s="99">
        <v>0.28053606855628938</v>
      </c>
    </row>
    <row r="22" spans="1:8" ht="15.75" customHeight="1" x14ac:dyDescent="0.25">
      <c r="B22" s="19" t="s">
        <v>118</v>
      </c>
      <c r="C22" s="99">
        <v>0.2056509255847726</v>
      </c>
      <c r="D22" s="99">
        <v>0.2056509255847726</v>
      </c>
      <c r="E22" s="99">
        <v>0.2056509255847726</v>
      </c>
      <c r="F22" s="99">
        <v>0.2056509255847726</v>
      </c>
    </row>
    <row r="23" spans="1:8" ht="15.75" customHeight="1" x14ac:dyDescent="0.25">
      <c r="B23" s="27" t="s">
        <v>79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4.5480066999999999E-2</v>
      </c>
    </row>
    <row r="27" spans="1:8" ht="15.75" customHeight="1" x14ac:dyDescent="0.25">
      <c r="B27" s="19" t="s">
        <v>108</v>
      </c>
      <c r="C27" s="99">
        <v>0.14298022799999999</v>
      </c>
    </row>
    <row r="28" spans="1:8" ht="15.75" customHeight="1" x14ac:dyDescent="0.25">
      <c r="B28" s="19" t="s">
        <v>122</v>
      </c>
      <c r="C28" s="99">
        <v>9.6627131000000019E-2</v>
      </c>
    </row>
    <row r="29" spans="1:8" ht="15.75" customHeight="1" x14ac:dyDescent="0.25">
      <c r="B29" s="19" t="s">
        <v>105</v>
      </c>
      <c r="C29" s="99">
        <v>0.16091661700000001</v>
      </c>
    </row>
    <row r="30" spans="1:8" ht="15.75" customHeight="1" x14ac:dyDescent="0.25">
      <c r="B30" s="19" t="s">
        <v>4</v>
      </c>
      <c r="C30" s="99">
        <v>3.5424285E-2</v>
      </c>
    </row>
    <row r="31" spans="1:8" ht="15.75" customHeight="1" x14ac:dyDescent="0.25">
      <c r="B31" s="19" t="s">
        <v>99</v>
      </c>
      <c r="C31" s="99">
        <v>0.141582982</v>
      </c>
    </row>
    <row r="32" spans="1:8" ht="15.75" customHeight="1" x14ac:dyDescent="0.25">
      <c r="B32" s="19" t="s">
        <v>104</v>
      </c>
      <c r="C32" s="99">
        <v>7.2277499999999981E-2</v>
      </c>
    </row>
    <row r="33" spans="2:3" ht="15.75" customHeight="1" x14ac:dyDescent="0.25">
      <c r="B33" s="19" t="s">
        <v>119</v>
      </c>
      <c r="C33" s="99">
        <v>0.14607978499999999</v>
      </c>
    </row>
    <row r="34" spans="2:3" ht="15.75" customHeight="1" x14ac:dyDescent="0.25">
      <c r="B34" s="19" t="s">
        <v>106</v>
      </c>
      <c r="C34" s="99">
        <v>0.158631406</v>
      </c>
    </row>
    <row r="35" spans="2:3" ht="15.75" customHeight="1" x14ac:dyDescent="0.25">
      <c r="B35" s="27" t="s">
        <v>79</v>
      </c>
      <c r="C35" s="48">
        <f>SUM(C26:C34)</f>
        <v>1.0000000010000001</v>
      </c>
    </row>
  </sheetData>
  <sheetProtection algorithmName="SHA-512" hashValue="2oCTzDXM4I8HhoJUFVA579wuDj1xBCwiRv4XOBs6fykc1taC63/5VwYkRUiQBX5Hr/dTZmCRgyauHQjwYMRiiw==" saltValue="6SYCrFxJihuEN4zwzBbb9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0.56571320635899591</v>
      </c>
      <c r="D2" s="52">
        <f>IFERROR(1-_xlfn.NORM.DIST(_xlfn.NORM.INV(SUM(D4:D5), 0, 1) + 1, 0, 1, TRUE), "")</f>
        <v>0.56571320635899591</v>
      </c>
      <c r="E2" s="52">
        <f>IFERROR(1-_xlfn.NORM.DIST(_xlfn.NORM.INV(SUM(E4:E5), 0, 1) + 1, 0, 1, TRUE), "")</f>
        <v>0.5489003245052726</v>
      </c>
      <c r="F2" s="52">
        <f>IFERROR(1-_xlfn.NORM.DIST(_xlfn.NORM.INV(SUM(F4:F5), 0, 1) + 1, 0, 1, TRUE), "")</f>
        <v>0.40571757652982099</v>
      </c>
      <c r="G2" s="52">
        <f>IFERROR(1-_xlfn.NORM.DIST(_xlfn.NORM.INV(SUM(G4:G5), 0, 1) + 1, 0, 1, TRUE), "")</f>
        <v>0.42098878903416415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0.31237251692867529</v>
      </c>
      <c r="D3" s="52">
        <f>IFERROR(_xlfn.NORM.DIST(_xlfn.NORM.INV(SUM(D4:D5), 0, 1) + 1, 0, 1, TRUE) - SUM(D4:D5), "")</f>
        <v>0.31237251692867529</v>
      </c>
      <c r="E3" s="52">
        <f>IFERROR(_xlfn.NORM.DIST(_xlfn.NORM.INV(SUM(E4:E5), 0, 1) + 1, 0, 1, TRUE) - SUM(E4:E5), "")</f>
        <v>0.32035618765688967</v>
      </c>
      <c r="F3" s="52">
        <f>IFERROR(_xlfn.NORM.DIST(_xlfn.NORM.INV(SUM(F4:F5), 0, 1) + 1, 0, 1, TRUE) - SUM(F4:F5), "")</f>
        <v>0.37108079374044944</v>
      </c>
      <c r="G3" s="52">
        <f>IFERROR(_xlfn.NORM.DIST(_xlfn.NORM.INV(SUM(G4:G5), 0, 1) + 1, 0, 1, TRUE) - SUM(G4:G5), "")</f>
        <v>0.36733984610097042</v>
      </c>
    </row>
    <row r="4" spans="1:15" ht="15.75" customHeight="1" x14ac:dyDescent="0.25">
      <c r="B4" s="5" t="s">
        <v>129</v>
      </c>
      <c r="C4" s="45">
        <v>7.883543561643841E-2</v>
      </c>
      <c r="D4" s="53">
        <v>7.883543561643841E-2</v>
      </c>
      <c r="E4" s="53">
        <v>9.5080344594594593E-2</v>
      </c>
      <c r="F4" s="53">
        <v>0.15155733108108099</v>
      </c>
      <c r="G4" s="53">
        <v>0.14753636351351401</v>
      </c>
    </row>
    <row r="5" spans="1:15" ht="15.75" customHeight="1" x14ac:dyDescent="0.25">
      <c r="B5" s="5" t="s">
        <v>125</v>
      </c>
      <c r="C5" s="45">
        <v>4.3078841095890399E-2</v>
      </c>
      <c r="D5" s="53">
        <v>4.3078841095890399E-2</v>
      </c>
      <c r="E5" s="53">
        <v>3.5663143243243198E-2</v>
      </c>
      <c r="F5" s="53">
        <v>7.1644298648648602E-2</v>
      </c>
      <c r="G5" s="53">
        <v>6.4135001351351403E-2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0.74829542472685828</v>
      </c>
      <c r="D8" s="52">
        <f>IFERROR(1-_xlfn.NORM.DIST(_xlfn.NORM.INV(SUM(D10:D11), 0, 1) + 1, 0, 1, TRUE), "")</f>
        <v>0.74829542472685828</v>
      </c>
      <c r="E8" s="52">
        <f>IFERROR(1-_xlfn.NORM.DIST(_xlfn.NORM.INV(SUM(E10:E11), 0, 1) + 1, 0, 1, TRUE), "")</f>
        <v>0.78445700575695343</v>
      </c>
      <c r="F8" s="52">
        <f>IFERROR(1-_xlfn.NORM.DIST(_xlfn.NORM.INV(SUM(F10:F11), 0, 1) + 1, 0, 1, TRUE), "")</f>
        <v>0.83285025048157679</v>
      </c>
      <c r="G8" s="52">
        <f>IFERROR(1-_xlfn.NORM.DIST(_xlfn.NORM.INV(SUM(G10:G11), 0, 1) + 1, 0, 1, TRUE), "")</f>
        <v>0.86465701739449596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0.20415929445122397</v>
      </c>
      <c r="D9" s="52">
        <f>IFERROR(_xlfn.NORM.DIST(_xlfn.NORM.INV(SUM(D10:D11), 0, 1) + 1, 0, 1, TRUE) - SUM(D10:D11), "")</f>
        <v>0.20415929445122397</v>
      </c>
      <c r="E9" s="52">
        <f>IFERROR(_xlfn.NORM.DIST(_xlfn.NORM.INV(SUM(E10:E11), 0, 1) + 1, 0, 1, TRUE) - SUM(E10:E11), "")</f>
        <v>0.1786012861349385</v>
      </c>
      <c r="F9" s="52">
        <f>IFERROR(_xlfn.NORM.DIST(_xlfn.NORM.INV(SUM(F10:F11), 0, 1) + 1, 0, 1, TRUE) - SUM(F10:F11), "")</f>
        <v>0.14247096699343242</v>
      </c>
      <c r="G9" s="52">
        <f>IFERROR(_xlfn.NORM.DIST(_xlfn.NORM.INV(SUM(G10:G11), 0, 1) + 1, 0, 1, TRUE) - SUM(G10:G11), "")</f>
        <v>0.11754374206496343</v>
      </c>
    </row>
    <row r="10" spans="1:15" ht="15.75" customHeight="1" x14ac:dyDescent="0.25">
      <c r="B10" s="5" t="s">
        <v>126</v>
      </c>
      <c r="C10" s="45">
        <v>2.9596563013698601E-2</v>
      </c>
      <c r="D10" s="53">
        <v>2.9596563013698601E-2</v>
      </c>
      <c r="E10" s="53">
        <v>2.6053795945945899E-2</v>
      </c>
      <c r="F10" s="53">
        <v>1.7234675675675701E-2</v>
      </c>
      <c r="G10" s="53">
        <v>1.32244202702703E-2</v>
      </c>
    </row>
    <row r="11" spans="1:15" ht="15.75" customHeight="1" x14ac:dyDescent="0.25">
      <c r="B11" s="5" t="s">
        <v>138</v>
      </c>
      <c r="C11" s="45">
        <v>1.7948717808219199E-2</v>
      </c>
      <c r="D11" s="53">
        <v>1.7948717808219199E-2</v>
      </c>
      <c r="E11" s="53">
        <v>1.08879121621622E-2</v>
      </c>
      <c r="F11" s="53">
        <v>7.4441068493150686E-3</v>
      </c>
      <c r="G11" s="53">
        <v>4.57482027027027E-3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0.3675873845</v>
      </c>
      <c r="D14" s="54">
        <v>0.34495623779099999</v>
      </c>
      <c r="E14" s="54">
        <v>0.34495623779099999</v>
      </c>
      <c r="F14" s="54">
        <v>0.158397592408</v>
      </c>
      <c r="G14" s="54">
        <v>0.158397592408</v>
      </c>
      <c r="H14" s="45">
        <v>0.26500000000000001</v>
      </c>
      <c r="I14" s="55">
        <v>0.26500000000000001</v>
      </c>
      <c r="J14" s="55">
        <v>0.26500000000000001</v>
      </c>
      <c r="K14" s="55">
        <v>0.26500000000000001</v>
      </c>
      <c r="L14" s="45">
        <v>0.218</v>
      </c>
      <c r="M14" s="55">
        <v>0.218</v>
      </c>
      <c r="N14" s="55">
        <v>0.218</v>
      </c>
      <c r="O14" s="55">
        <v>0.218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0.19878206785298749</v>
      </c>
      <c r="D15" s="52">
        <f t="shared" si="0"/>
        <v>0.18654370949142801</v>
      </c>
      <c r="E15" s="52">
        <f t="shared" si="0"/>
        <v>0.18654370949142801</v>
      </c>
      <c r="F15" s="52">
        <f t="shared" si="0"/>
        <v>8.5657458034436196E-2</v>
      </c>
      <c r="G15" s="52">
        <f t="shared" si="0"/>
        <v>8.5657458034436196E-2</v>
      </c>
      <c r="H15" s="52">
        <f t="shared" si="0"/>
        <v>0.14330537500000001</v>
      </c>
      <c r="I15" s="52">
        <f t="shared" si="0"/>
        <v>0.14330537500000001</v>
      </c>
      <c r="J15" s="52">
        <f t="shared" si="0"/>
        <v>0.14330537500000001</v>
      </c>
      <c r="K15" s="52">
        <f t="shared" si="0"/>
        <v>0.14330537500000001</v>
      </c>
      <c r="L15" s="52">
        <f t="shared" si="0"/>
        <v>0.11788895000000001</v>
      </c>
      <c r="M15" s="52">
        <f t="shared" si="0"/>
        <v>0.11788895000000001</v>
      </c>
      <c r="N15" s="52">
        <f t="shared" si="0"/>
        <v>0.11788895000000001</v>
      </c>
      <c r="O15" s="52">
        <f t="shared" si="0"/>
        <v>0.11788895000000001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6CZ9TS0pre+6VZzOepTnbkulhPSEYDzJ6xfviHJqVVU964dInpvUjvLfSkrG0pqEzqrzBHesvoG6/X0QJvbqwA==" saltValue="Zu6tbr9Me2RueEP9Fl1Ub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0.45713999999999999</v>
      </c>
      <c r="D2" s="53">
        <v>0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</v>
      </c>
      <c r="D3" s="53">
        <v>0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0.54286000000000001</v>
      </c>
      <c r="D4" s="53">
        <v>0</v>
      </c>
      <c r="E4" s="53">
        <v>0.6363337</v>
      </c>
      <c r="F4" s="53">
        <v>0.28694750000000002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0</v>
      </c>
      <c r="D5" s="52">
        <f t="shared" si="0"/>
        <v>1</v>
      </c>
      <c r="E5" s="52">
        <f>1-SUM(E2:E4)</f>
        <v>0.3636663</v>
      </c>
      <c r="F5" s="52">
        <f>1-SUM(F2:F4)</f>
        <v>0.71305249999999998</v>
      </c>
      <c r="G5" s="52">
        <f>1-SUM(G2:G4)</f>
        <v>1</v>
      </c>
    </row>
  </sheetData>
  <sheetProtection algorithmName="SHA-512" hashValue="lFKGASCqztqSlIYKZl3QHd/E1XaQ2wgShO9IbajsL27eVBpTZ8t73G4PJtq2TgCu7v0YPBi5uu/7K5VPgE3hUA==" saltValue="y8GhMWl3xBItZXLVYjqWs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I5UH+9PWDvCfXShOFRaGBVJ+jQj+3FIHeER0ryAXmK1sUksTwFizYycAoCb6yTzsZjP/pe9XmQs15Deu6a6Nfw==" saltValue="OpRqnmwRxCROWHXt1oO+Y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1303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0.47712000000000004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0.70819999999999994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1.2403142304424781E-2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97785.355119999993</v>
      </c>
      <c r="C22" s="107">
        <v>97621.375239999994</v>
      </c>
      <c r="D22" s="107">
        <v>97480.378989999997</v>
      </c>
      <c r="E22" s="107">
        <v>97160.884229999996</v>
      </c>
      <c r="F22" s="107">
        <v>96605.586200000005</v>
      </c>
      <c r="G22" s="107">
        <v>95898.978959999993</v>
      </c>
      <c r="H22" s="107">
        <v>95064.022330000007</v>
      </c>
      <c r="I22" s="107">
        <v>94089.641829999993</v>
      </c>
      <c r="J22" s="107">
        <v>92670.601439999999</v>
      </c>
      <c r="K22" s="107">
        <v>90664.702680000002</v>
      </c>
      <c r="L22" s="107">
        <v>87987.075030000007</v>
      </c>
      <c r="M22" s="107">
        <v>84237.454559999998</v>
      </c>
      <c r="N22" s="107">
        <v>78813.868730000002</v>
      </c>
      <c r="O22" s="107">
        <v>71639.822899999999</v>
      </c>
    </row>
  </sheetData>
  <sheetProtection algorithmName="SHA-512" hashValue="ZYWQPTeR1jwq20GRexYwDoWqv2sS3toHKdeVAhDYLeUEWWDPa3YBuAHUMpmoHM8abDiTx08rUL/xpZQz0Adx/g==" saltValue="ECMayFnvSeEhxlu1ab3GO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wEqXTRJB8OzboaOVb7W2O/JcE19bRWtRxSXutEbe05ClAGm9A/rBgBJdfV1N2NgJjbN1Hk+QhFgQg9KW+nt9vg==" saltValue="Q2p5EttWQm9hSxbYhWBSM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f8H/F8Q0alXFuIy9rWzD5NLLcAgvSXLeD7ARTQt0M07tgWmnGLrtRahT28I3bfA98AoaYGDK6/LXSfwxHMEQKg==" saltValue="hk2Rp7pw0teAeedD7z/Ao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19.75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19.75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21.195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0.48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0.44994896638918952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1.516970800969268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0.32855565777368906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</v>
      </c>
      <c r="C10" s="96">
        <v>0.95</v>
      </c>
      <c r="D10" s="56">
        <v>13.758828229716091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13.758828229716091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13.758828229716091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13.758828229716091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</v>
      </c>
      <c r="C14" s="96">
        <v>0.95</v>
      </c>
      <c r="D14" s="56">
        <v>13.758828229716091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13.758828229716091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</v>
      </c>
      <c r="C16" s="96">
        <v>0.95</v>
      </c>
      <c r="D16" s="56">
        <v>5.8835597567123799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0.38806249999999998</v>
      </c>
      <c r="C17" s="96">
        <v>0.95</v>
      </c>
      <c r="D17" s="56">
        <v>0.14000000000000001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</v>
      </c>
      <c r="C18" s="96">
        <v>0.95</v>
      </c>
      <c r="D18" s="56">
        <v>21.195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</v>
      </c>
      <c r="C19" s="96">
        <v>0.95</v>
      </c>
      <c r="D19" s="56">
        <v>21.432133639931681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7.48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21.195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</v>
      </c>
      <c r="C23" s="96">
        <v>0.95</v>
      </c>
      <c r="D23" s="56">
        <v>4.7459931534262978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0.71505740000000007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</v>
      </c>
      <c r="C26" s="96">
        <v>0.95</v>
      </c>
      <c r="D26" s="56">
        <v>4.4421306161984946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9.2958524157825622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</v>
      </c>
      <c r="C29" s="96">
        <v>0.95</v>
      </c>
      <c r="D29" s="56">
        <v>206.81375092158379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124.66848615801089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123.05968780269725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</v>
      </c>
      <c r="C32" s="96">
        <v>0.95</v>
      </c>
      <c r="D32" s="56">
        <v>1.5917274986535743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0.87331649999999994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0.26580399999999998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0.15005470000000001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0.96712320000000007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</v>
      </c>
      <c r="C38" s="96">
        <v>0.95</v>
      </c>
      <c r="D38" s="56">
        <v>2.4500000000000002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3.43</v>
      </c>
      <c r="E39" s="56" t="s">
        <v>212</v>
      </c>
      <c r="F39" s="96">
        <v>1</v>
      </c>
      <c r="G39" s="96">
        <v>1</v>
      </c>
    </row>
  </sheetData>
  <sheetProtection algorithmName="SHA-512" hashValue="Xl7UDUnakgxyKUBT2ZOqzV8TnVcIquNeAI8Y2cda8PlH7s6UN5e4SatXEi97stqMirpvkbk7rmQASZ2m4X7KPw==" saltValue="i56FntuPFDAOeg+Vwruyk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SRr8KX4T9CgCyPLHygPz3IkPNMSsv2+97CJiixYya9VS2CqPGLj/rDbKuZLS4Vs9WKUXCOetNqHTglMemm+vkg==" saltValue="WkUthwkEw4cUgDajXzmp+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lt0kT7b2apq3ceL6K0/j6clm5A5RmqZedCPVtqJMzaZ8TqlaBJ1ZA6TqSn/NDP9qG2ydQinG5wIgHTLBszeCqA==" saltValue="H+BBCtcBVu2BMkGAd+g4E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3.2</v>
      </c>
      <c r="C2" s="21">
        <f>'Entradas de población-año base'!C52</f>
        <v>3.2</v>
      </c>
      <c r="D2" s="21">
        <f>'Entradas de población-año base'!C53</f>
        <v>3.2</v>
      </c>
      <c r="E2" s="21">
        <f>'Entradas de población-año base'!C54</f>
        <v>3.2</v>
      </c>
      <c r="F2" s="21">
        <f>'Entradas de población-año base'!C55</f>
        <v>3.2</v>
      </c>
    </row>
    <row r="3" spans="1:6" ht="15.75" customHeight="1" x14ac:dyDescent="0.25">
      <c r="A3" s="3" t="s">
        <v>6</v>
      </c>
      <c r="B3" s="21">
        <f>frac_mam_1month * 2.6</f>
        <v>7.6951063835616368E-2</v>
      </c>
      <c r="C3" s="21">
        <f>frac_mam_1_5months * 2.6</f>
        <v>7.6951063835616368E-2</v>
      </c>
      <c r="D3" s="21">
        <f>frac_mam_6_11months * 2.6</f>
        <v>6.773986945945934E-2</v>
      </c>
      <c r="E3" s="21">
        <f>frac_mam_12_23months * 2.6</f>
        <v>4.4810156756756821E-2</v>
      </c>
      <c r="F3" s="21">
        <f>frac_mam_24_59months * 2.6</f>
        <v>3.438349270270278E-2</v>
      </c>
    </row>
    <row r="4" spans="1:6" ht="15.75" customHeight="1" x14ac:dyDescent="0.25">
      <c r="A4" s="3" t="s">
        <v>236</v>
      </c>
      <c r="B4" s="21">
        <f>frac_sam_1month * 2.6</f>
        <v>4.6666666301369918E-2</v>
      </c>
      <c r="C4" s="21">
        <f>frac_sam_1_5months * 2.6</f>
        <v>4.6666666301369918E-2</v>
      </c>
      <c r="D4" s="21">
        <f>frac_sam_6_11months * 2.6</f>
        <v>2.830857162162172E-2</v>
      </c>
      <c r="E4" s="21">
        <f>frac_sam_12_23months * 2.6</f>
        <v>1.935467780821918E-2</v>
      </c>
      <c r="F4" s="21">
        <f>frac_sam_24_59months * 2.6</f>
        <v>1.1894532702702703E-2</v>
      </c>
    </row>
  </sheetData>
  <sheetProtection algorithmName="SHA-512" hashValue="jb9si4WFk20dBkluoiYk8IZz43U7u+LrG7pWYD4ChjCExije1FIUf0ySfXzo6/Ng+snF0F8MWgJHJjQCgWyahQ==" saltValue="Cv2iIphtzW78meqeN2y39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0.25</v>
      </c>
      <c r="F2" s="60">
        <f>food_insecure</f>
        <v>0.25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0.25</v>
      </c>
      <c r="F5" s="60">
        <f>food_insecure</f>
        <v>0.25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0.25</v>
      </c>
      <c r="F8" s="60">
        <f>food_insecure</f>
        <v>0.25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0.25</v>
      </c>
      <c r="F9" s="60">
        <f>food_insecure</f>
        <v>0.25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0.25</v>
      </c>
      <c r="I15" s="60">
        <f t="shared" si="0"/>
        <v>0.25</v>
      </c>
      <c r="J15" s="60">
        <f t="shared" si="0"/>
        <v>0.25</v>
      </c>
      <c r="K15" s="60">
        <f t="shared" si="0"/>
        <v>0.25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0.25</v>
      </c>
      <c r="I16" s="60">
        <f t="shared" si="0"/>
        <v>0.25</v>
      </c>
      <c r="J16" s="60">
        <f t="shared" si="0"/>
        <v>0.25</v>
      </c>
      <c r="K16" s="60">
        <f t="shared" si="0"/>
        <v>0.25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0.27600000000000002</v>
      </c>
      <c r="M24" s="60">
        <f>famplan_unmet_need</f>
        <v>0.27600000000000002</v>
      </c>
      <c r="N24" s="60">
        <f>famplan_unmet_need</f>
        <v>0.27600000000000002</v>
      </c>
      <c r="O24" s="60">
        <f>famplan_unmet_need</f>
        <v>0.27600000000000002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9.9207571749999973E-2</v>
      </c>
      <c r="M25" s="60">
        <f>(1-food_insecure)*(0.49)+food_insecure*(0.7)</f>
        <v>0.54249999999999998</v>
      </c>
      <c r="N25" s="60">
        <f>(1-food_insecure)*(0.49)+food_insecure*(0.7)</f>
        <v>0.54249999999999998</v>
      </c>
      <c r="O25" s="60">
        <f>(1-food_insecure)*(0.49)+food_insecure*(0.7)</f>
        <v>0.54249999999999998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4.251753074999999E-2</v>
      </c>
      <c r="M26" s="60">
        <f>(1-food_insecure)*(0.21)+food_insecure*(0.3)</f>
        <v>0.23249999999999998</v>
      </c>
      <c r="N26" s="60">
        <f>(1-food_insecure)*(0.21)+food_insecure*(0.3)</f>
        <v>0.23249999999999998</v>
      </c>
      <c r="O26" s="60">
        <f>(1-food_insecure)*(0.21)+food_insecure*(0.3)</f>
        <v>0.23249999999999998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4.1145997499999983E-2</v>
      </c>
      <c r="M27" s="60">
        <f>(1-food_insecure)*(0.3)</f>
        <v>0.22499999999999998</v>
      </c>
      <c r="N27" s="60">
        <f>(1-food_insecure)*(0.3)</f>
        <v>0.22499999999999998</v>
      </c>
      <c r="O27" s="60">
        <f>(1-food_insecure)*(0.3)</f>
        <v>0.22499999999999998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0.81712890000000005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4e7tpC5tRwSM31DhQ6Pj9ihavNv6+51+TfncaHdWH0xT6T5M87WXyyaYgzNnoc0QPYxwY2p1DVulEYBjZs86Cw==" saltValue="y87aWOztMsZa26bhg0C4r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K1ZdilIkj5K5f2jpEWatOLT2Vmamd2fPybD/NqFmGPnZIq9X0HnJgDSd7p4Iq/n3nl4bHYXrfHBk52MUPxamGQ==" saltValue="NQ/ADrUKlLVAbAJzuoEv7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3t2rU3Xyh9cOUFJZyCua4VzdswSHz5tusSBBNbw2J6qncGKgTBPg6saWYGY3ihUP/G5CVVlYd2sUuEnSUphUyw==" saltValue="33cgKqWuJDOcZPDrnGXtY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lwElNAAL+4WOGyZfSk2Dmfqj4mZwuXyBiogMkBdP/VGlqtBC/A/KevZMmeE9pmSt2jM4gQlY4gqZ5ZAjqj3BZA==" saltValue="GIwNy440RmuSV3DRhugtx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y/NNUA0G5v19qzNRvYFgDcboOU3pwQunRIjn4qB9rl4cz4ujUGANSEZeoHrnCMI34uoiQ4J+ml+FDzNGWlApQA==" saltValue="CUrj/xsRPUr/B2xyq85j/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b+9RecMcqQp+0QD+Mg8NFUDM3e1rlZwbiXCyyqTt27QR/zVhYpgD/8wOQswE9+7mwqDGRzLdrVhbsqcV8AMTFA==" saltValue="afX0FK8lHU7SMzFC2xrBd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fYFDBO+0mHLkKiXyHpMFh9DzjV4z5I3xQ8Dp7w7DMsemWxsULkkqICgtLRPqSkRrA26KRSOpMt9QHMhuh1+TKw==" saltValue="GbvPXr+Y7HJyPGQGRT+rFw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3MpIANHAmgcl43JKHE5YZpT29P7KesZyoFoG7AMAaPkiKQxP9jk4qcjKptLKN0xllQWc8nSmz6/Hk2AnZtKmQQ==" saltValue="b/Elx0Zv2WnvUspg77Ge9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W5E7fwI7BbKOGGu+usaOjP3YUdYwudx2vp1BZCNtVVNkdtQgmhBQq7rVbFuaB0vjRRl7eoS5riSq1nssmQPBTQ==" saltValue="z2ooZOaIgMH71eezDXomM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rwMbyLwCA4Sn+8uLeh67qjWc69jApDAsqTTmL3+Kyyrftg1R6UmABcw2ZWhqR0UTrRnYRiOGei+5+tp53G5tDA==" saltValue="BTk3YFzQ5g2Wh7ZQ9cUa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y8R+S+NbY47z5Hv0CiXX24G932+k7k+5IYlIxZoj0pI9nbs8y/UR8v3XSAGnFZDaq2RqujCirKOEmDSXTtAGDQ==" saltValue="peQ/IZanoB00Uk/lXq0KH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K7XW4vk2GPU9nMxe2Uhq5MZ26cjAZZZuvChHWtsksxWUIC1/8HQAnIQYOLWXop1rrL+ewm2Wt5kdUJ+yx7qm7A==" saltValue="qrpIvROd/+lBSD0FKwmtW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fn/UuDePQk+n1JPmEFxdfd5fQNGFi/aac9lPx+XmeIzxezEMjL+hlgBOzDO54b9a/DzCqZh8goqT6ntoMVSaVQ==" saltValue="OuMXomlQyzKegm/fKR3RC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7Sp63Pi4JSdZqEC8oMjLXnBUTvrk1N0Yq8EZu85FOsTx4vM42OSeNN6QZCwg2FKqzIpOIJo3oVO8+MMZfbcNhg==" saltValue="3DNNhVnJGAXQx4b2OmzZl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U06xvuS2Icvuh6WZRo898lhvlCNISwO/MqxNnib3CtX2tdBsKk8vjRRwEW7q2zZJTUOVQTBhZXGI1cU24WDVNg==" saltValue="s1lLnwj7amj0jxeLGzYOb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2026-04-29T02:45:27Z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