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8584555B-AE17-4F62-96EE-F9A5773A589F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4" i="2"/>
  <c r="A25" i="2"/>
  <c r="A36" i="2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<sst xmlns="http://schemas.openxmlformats.org/spreadsheetml/2006/main" count="2159" uniqueCount="372">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</sst>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10021</v>
      </c>
    </row>
    <row r="8" spans="1:3" ht="15" customHeight="1" x14ac:dyDescent="0.25">
      <c r="B8" s="5" t="s">
        <v>63</v>
      </c>
      <c r="C8" s="44">
        <v>0.25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0.81712890000000005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0.14169999999999999</v>
      </c>
    </row>
    <row r="24" spans="1:3" ht="15" customHeight="1" x14ac:dyDescent="0.25">
      <c r="B24" s="15" t="s">
        <v>65</v>
      </c>
      <c r="C24" s="45">
        <v>0.49370000000000003</v>
      </c>
    </row>
    <row r="25" spans="1:3" ht="15" customHeight="1" x14ac:dyDescent="0.25">
      <c r="B25" s="15" t="s">
        <v>66</v>
      </c>
      <c r="C25" s="45">
        <v>0.31890000000000002</v>
      </c>
    </row>
    <row r="26" spans="1:3" ht="15" customHeight="1" x14ac:dyDescent="0.25">
      <c r="B26" s="15" t="s">
        <v>67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9">
        <v>5.4660418264349912E-2</v>
      </c>
    </row>
    <row r="31" spans="1:3" ht="14.25" customHeight="1" x14ac:dyDescent="0.25">
      <c r="B31" s="25" t="s">
        <v>29</v>
      </c>
      <c r="C31" s="99">
        <v>6.1967733026657798E-2</v>
      </c>
    </row>
    <row r="32" spans="1:3" ht="14.25" customHeight="1" x14ac:dyDescent="0.25">
      <c r="B32" s="25" t="s">
        <v>30</v>
      </c>
      <c r="C32" s="99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13.01304</v>
      </c>
    </row>
    <row r="38" spans="1:5" ht="15" customHeight="1" x14ac:dyDescent="0.25">
      <c r="B38" s="11" t="s">
        <v>54</v>
      </c>
      <c r="C38" s="43">
        <v>22.43721</v>
      </c>
      <c r="D38" s="12"/>
      <c r="E38" s="13"/>
    </row>
    <row r="39" spans="1:5" ht="15" customHeight="1" x14ac:dyDescent="0.25">
      <c r="B39" s="11" t="s">
        <v>80</v>
      </c>
      <c r="C39" s="43">
        <v>24.820640000000001</v>
      </c>
      <c r="D39" s="12"/>
      <c r="E39" s="12"/>
    </row>
    <row r="40" spans="1:5" ht="15" customHeight="1" x14ac:dyDescent="0.25">
      <c r="B40" s="11" t="s">
        <v>55</v>
      </c>
      <c r="C40" s="100">
        <v>0.73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7.1923999999999998E-3</v>
      </c>
      <c r="D45" s="12"/>
    </row>
    <row r="46" spans="1:5" ht="15.75" customHeight="1" x14ac:dyDescent="0.25">
      <c r="B46" s="11" t="s">
        <v>70</v>
      </c>
      <c r="C46" s="45">
        <v>7.7281600000000006E-2</v>
      </c>
      <c r="D46" s="12"/>
    </row>
    <row r="47" spans="1:5" ht="15.75" customHeight="1" x14ac:dyDescent="0.25">
      <c r="B47" s="11" t="s">
        <v>78</v>
      </c>
      <c r="C47" s="45">
        <v>7.4161099999999994E-2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0.54077500000000001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0.16251143530000001</v>
      </c>
    </row>
    <row r="63" spans="1:4" ht="15.75" customHeight="1" x14ac:dyDescent="0.3">
      <c r="A63" s="4"/>
    </row>
  </sheetData>
  <sheetProtection algorithmName="SHA-512" hashValue="eZVRzmIXM0bL1F5urO1mGS/gmDroUmiOgFhhaA0aPzjuTI0iTF+sKtFRFge/AfDrVFa8yazJNDH712CQ6EbBCw==" saltValue="QElRK1xwv3BpyN7jS9It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2015.0000000000002</v>
      </c>
      <c r="C2" s="49">
        <v>6044</v>
      </c>
      <c r="D2" s="49">
        <v>14548.5</v>
      </c>
      <c r="E2" s="49">
        <v>15056.5</v>
      </c>
      <c r="F2" s="49">
        <v>12976.5</v>
      </c>
      <c r="G2" s="17">
        <f t="shared" ref="G2:G13" si="0">C2+D2+E2+F2</f>
        <v>48625.5</v>
      </c>
      <c r="H2" s="17">
        <f t="shared" ref="H2:H13" si="1">(B2 + stillbirth*B2/(1000-stillbirth))/(1-abortion)</f>
        <v>2315.7666287386619</v>
      </c>
      <c r="I2" s="17">
        <f t="shared" ref="I2:I13" si="2">G2-H2</f>
        <v>46309.73337126134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1985</v>
      </c>
      <c r="C3" s="50">
        <v>5966</v>
      </c>
      <c r="D3" s="50">
        <v>14154</v>
      </c>
      <c r="E3" s="50">
        <v>15232.5</v>
      </c>
      <c r="F3" s="50">
        <v>13157.499999999998</v>
      </c>
      <c r="G3" s="17">
        <f t="shared" si="0"/>
        <v>48510</v>
      </c>
      <c r="H3" s="17">
        <f t="shared" si="1"/>
        <v>2281.2887136705922</v>
      </c>
      <c r="I3" s="17">
        <f t="shared" si="2"/>
        <v>46228.71128632941</v>
      </c>
    </row>
    <row r="4" spans="1:9" ht="15.75" customHeight="1" x14ac:dyDescent="0.25">
      <c r="A4" s="5">
        <f t="shared" si="3"/>
        <v>2026</v>
      </c>
      <c r="B4" s="49">
        <v>1959</v>
      </c>
      <c r="C4" s="50">
        <v>5822</v>
      </c>
      <c r="D4" s="50">
        <v>13738.5</v>
      </c>
      <c r="E4" s="50">
        <v>15386</v>
      </c>
      <c r="F4" s="50">
        <v>13344.999999999998</v>
      </c>
      <c r="G4" s="17">
        <f t="shared" si="0"/>
        <v>48291.5</v>
      </c>
      <c r="H4" s="17">
        <f t="shared" si="1"/>
        <v>2251.407853944932</v>
      </c>
      <c r="I4" s="17">
        <f t="shared" si="2"/>
        <v>46040.092146055067</v>
      </c>
    </row>
    <row r="5" spans="1:9" ht="15.75" customHeight="1" x14ac:dyDescent="0.25">
      <c r="A5" s="5">
        <f t="shared" si="3"/>
        <v>2027</v>
      </c>
      <c r="B5" s="49">
        <v>1931</v>
      </c>
      <c r="C5" s="50">
        <v>5662</v>
      </c>
      <c r="D5" s="50">
        <v>13351.5</v>
      </c>
      <c r="E5" s="50">
        <v>15479.500000000002</v>
      </c>
      <c r="F5" s="50">
        <v>13527.5</v>
      </c>
      <c r="G5" s="17">
        <f t="shared" si="0"/>
        <v>48020.5</v>
      </c>
      <c r="H5" s="17">
        <f t="shared" si="1"/>
        <v>2219.228466548067</v>
      </c>
      <c r="I5" s="17">
        <f t="shared" si="2"/>
        <v>45801.271533451931</v>
      </c>
    </row>
    <row r="6" spans="1:9" ht="15.75" customHeight="1" x14ac:dyDescent="0.25">
      <c r="A6" s="5">
        <f t="shared" si="3"/>
        <v>2028</v>
      </c>
      <c r="B6" s="49">
        <v>1907</v>
      </c>
      <c r="C6" s="50">
        <v>5520</v>
      </c>
      <c r="D6" s="50">
        <v>13024</v>
      </c>
      <c r="E6" s="50">
        <v>15499.5</v>
      </c>
      <c r="F6" s="50">
        <v>13722.000000000002</v>
      </c>
      <c r="G6" s="17">
        <f t="shared" si="0"/>
        <v>47765.5</v>
      </c>
      <c r="H6" s="17">
        <f t="shared" si="1"/>
        <v>2191.6461344936115</v>
      </c>
      <c r="I6" s="17">
        <f t="shared" si="2"/>
        <v>45573.853865506389</v>
      </c>
    </row>
    <row r="7" spans="1:9" ht="15.75" customHeight="1" x14ac:dyDescent="0.25">
      <c r="A7" s="5">
        <f t="shared" si="3"/>
        <v>2029</v>
      </c>
      <c r="B7" s="49">
        <v>1883</v>
      </c>
      <c r="C7" s="50">
        <v>5358</v>
      </c>
      <c r="D7" s="50">
        <v>12732.5</v>
      </c>
      <c r="E7" s="50">
        <v>15490</v>
      </c>
      <c r="F7" s="50">
        <v>13930</v>
      </c>
      <c r="G7" s="17">
        <f t="shared" si="0"/>
        <v>47510.5</v>
      </c>
      <c r="H7" s="17">
        <f t="shared" si="1"/>
        <v>2164.063802439156</v>
      </c>
      <c r="I7" s="17">
        <f t="shared" si="2"/>
        <v>45346.436197560841</v>
      </c>
    </row>
    <row r="8" spans="1:9" ht="15.75" customHeight="1" x14ac:dyDescent="0.25">
      <c r="A8" s="5">
        <f t="shared" si="3"/>
        <v>2030</v>
      </c>
      <c r="B8" s="49">
        <v>1857</v>
      </c>
      <c r="C8" s="50">
        <v>5219.5</v>
      </c>
      <c r="D8" s="50">
        <v>12411.999999999998</v>
      </c>
      <c r="E8" s="50">
        <v>15461</v>
      </c>
      <c r="F8" s="50">
        <v>14140</v>
      </c>
      <c r="G8" s="17">
        <f t="shared" si="0"/>
        <v>47232.5</v>
      </c>
      <c r="H8" s="17">
        <f t="shared" si="1"/>
        <v>2134.1829427134962</v>
      </c>
      <c r="I8" s="17">
        <f t="shared" si="2"/>
        <v>45098.317057286506</v>
      </c>
    </row>
    <row r="9" spans="1:9" ht="15.75" customHeight="1" x14ac:dyDescent="0.25">
      <c r="A9" s="5">
        <f t="shared" si="3"/>
        <v>2031</v>
      </c>
      <c r="B9" s="49">
        <v>1831</v>
      </c>
      <c r="C9" s="50">
        <v>5177.5</v>
      </c>
      <c r="D9" s="50">
        <v>12043</v>
      </c>
      <c r="E9" s="50">
        <v>15351.500000000002</v>
      </c>
      <c r="F9" s="50">
        <v>14344.5</v>
      </c>
      <c r="G9" s="17">
        <f t="shared" si="0"/>
        <v>46916.5</v>
      </c>
      <c r="H9" s="17">
        <f t="shared" si="1"/>
        <v>2104.302082987836</v>
      </c>
      <c r="I9" s="17">
        <f t="shared" si="2"/>
        <v>44812.197917012163</v>
      </c>
    </row>
    <row r="10" spans="1:9" ht="15.75" customHeight="1" x14ac:dyDescent="0.25">
      <c r="A10" s="5">
        <f t="shared" si="3"/>
        <v>2032</v>
      </c>
      <c r="B10" s="49">
        <v>1805</v>
      </c>
      <c r="C10" s="50">
        <v>5179</v>
      </c>
      <c r="D10" s="50">
        <v>11708.5</v>
      </c>
      <c r="E10" s="50">
        <v>15128.499999999998</v>
      </c>
      <c r="F10" s="50">
        <v>14534.5</v>
      </c>
      <c r="G10" s="17">
        <f t="shared" si="0"/>
        <v>46550.5</v>
      </c>
      <c r="H10" s="17">
        <f t="shared" si="1"/>
        <v>2074.4212232621758</v>
      </c>
      <c r="I10" s="17">
        <f t="shared" si="2"/>
        <v>44476.078776737821</v>
      </c>
    </row>
    <row r="11" spans="1:9" ht="15.75" customHeight="1" x14ac:dyDescent="0.25">
      <c r="A11" s="5">
        <f t="shared" si="3"/>
        <v>2033</v>
      </c>
      <c r="B11" s="49">
        <v>1774</v>
      </c>
      <c r="C11" s="50">
        <v>5165</v>
      </c>
      <c r="D11" s="50">
        <v>11445.5</v>
      </c>
      <c r="E11" s="50">
        <v>14824.5</v>
      </c>
      <c r="F11" s="50">
        <v>14707.5</v>
      </c>
      <c r="G11" s="17">
        <f t="shared" si="0"/>
        <v>46142.5</v>
      </c>
      <c r="H11" s="17">
        <f t="shared" si="1"/>
        <v>2038.7940443585042</v>
      </c>
      <c r="I11" s="17">
        <f t="shared" si="2"/>
        <v>44103.705955641497</v>
      </c>
    </row>
    <row r="12" spans="1:9" ht="15.75" customHeight="1" x14ac:dyDescent="0.25">
      <c r="A12" s="5">
        <f t="shared" si="3"/>
        <v>2034</v>
      </c>
      <c r="B12" s="49">
        <v>1742</v>
      </c>
      <c r="C12" s="50">
        <v>5141</v>
      </c>
      <c r="D12" s="50">
        <v>11207</v>
      </c>
      <c r="E12" s="50">
        <v>14469.5</v>
      </c>
      <c r="F12" s="50">
        <v>14876.000000000002</v>
      </c>
      <c r="G12" s="17">
        <f t="shared" si="0"/>
        <v>45693.5</v>
      </c>
      <c r="H12" s="17">
        <f t="shared" si="1"/>
        <v>2002.0176016192299</v>
      </c>
      <c r="I12" s="17">
        <f t="shared" si="2"/>
        <v>43691.482398380773</v>
      </c>
    </row>
    <row r="13" spans="1:9" ht="15.75" customHeight="1" x14ac:dyDescent="0.25">
      <c r="A13" s="5">
        <f t="shared" si="3"/>
        <v>2035</v>
      </c>
      <c r="B13" s="49">
        <v>1709</v>
      </c>
      <c r="C13" s="50">
        <v>5111.5</v>
      </c>
      <c r="D13" s="50">
        <v>10983</v>
      </c>
      <c r="E13" s="50">
        <v>14071.5</v>
      </c>
      <c r="F13" s="50">
        <v>15049</v>
      </c>
      <c r="G13" s="17">
        <f t="shared" si="0"/>
        <v>45215</v>
      </c>
      <c r="H13" s="17">
        <f t="shared" si="1"/>
        <v>1964.0918950443538</v>
      </c>
      <c r="I13" s="17">
        <f t="shared" si="2"/>
        <v>43250.908104955648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HbozSha9/sBnIP+Rv3zCPLQ9DxEjGJ8fjNGi4dm5tZ8ybQHUBrvbw5LY+e9dpk1ziXQAC5PuiG7pOwLw+EjNw==" saltValue="Mg1N926XFPvQjHAd79Wca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4.3137200000000028E-2</v>
      </c>
    </row>
    <row r="5" spans="1:8" ht="15.75" customHeight="1" x14ac:dyDescent="0.25">
      <c r="B5" s="19" t="s">
        <v>114</v>
      </c>
      <c r="C5" s="101">
        <v>3.935220000000008E-2</v>
      </c>
    </row>
    <row r="6" spans="1:8" ht="15.75" customHeight="1" x14ac:dyDescent="0.25">
      <c r="B6" s="19" t="s">
        <v>110</v>
      </c>
      <c r="C6" s="101">
        <v>0.10518480000000011</v>
      </c>
    </row>
    <row r="7" spans="1:8" ht="15.75" customHeight="1" x14ac:dyDescent="0.25">
      <c r="B7" s="19" t="s">
        <v>115</v>
      </c>
      <c r="C7" s="101">
        <v>0.45285349999999969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0.17140770000000019</v>
      </c>
    </row>
    <row r="10" spans="1:8" ht="15.75" customHeight="1" x14ac:dyDescent="0.25">
      <c r="B10" s="19" t="s">
        <v>113</v>
      </c>
      <c r="C10" s="101">
        <v>0.18806460000000019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121</v>
      </c>
      <c r="C15" s="101">
        <v>0.51381300585893785</v>
      </c>
      <c r="D15" s="101">
        <v>0.51381300585893785</v>
      </c>
      <c r="E15" s="101">
        <v>0.51381300585893785</v>
      </c>
      <c r="F15" s="101">
        <v>0.51381300585893785</v>
      </c>
    </row>
    <row r="16" spans="1:8" ht="15.75" customHeight="1" x14ac:dyDescent="0.25">
      <c r="B16" s="19" t="s">
        <v>2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0.28053606855628938</v>
      </c>
      <c r="D21" s="101">
        <v>0.28053606855628938</v>
      </c>
      <c r="E21" s="101">
        <v>0.28053606855628938</v>
      </c>
      <c r="F21" s="101">
        <v>0.28053606855628938</v>
      </c>
    </row>
    <row r="22" spans="1:8" ht="15.75" customHeight="1" x14ac:dyDescent="0.25">
      <c r="B22" s="19" t="s">
        <v>118</v>
      </c>
      <c r="C22" s="101">
        <v>0.2056509255847726</v>
      </c>
      <c r="D22" s="101">
        <v>0.2056509255847726</v>
      </c>
      <c r="E22" s="101">
        <v>0.2056509255847726</v>
      </c>
      <c r="F22" s="101">
        <v>0.2056509255847726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4.5480066999999999E-2</v>
      </c>
    </row>
    <row r="27" spans="1:8" ht="15.75" customHeight="1" x14ac:dyDescent="0.25">
      <c r="B27" s="19" t="s">
        <v>108</v>
      </c>
      <c r="C27" s="101">
        <v>0.14298022799999999</v>
      </c>
    </row>
    <row r="28" spans="1:8" ht="15.75" customHeight="1" x14ac:dyDescent="0.25">
      <c r="B28" s="19" t="s">
        <v>122</v>
      </c>
      <c r="C28" s="101">
        <v>9.6627131000000019E-2</v>
      </c>
    </row>
    <row r="29" spans="1:8" ht="15.75" customHeight="1" x14ac:dyDescent="0.25">
      <c r="B29" s="19" t="s">
        <v>105</v>
      </c>
      <c r="C29" s="101">
        <v>0.16091661700000001</v>
      </c>
    </row>
    <row r="30" spans="1:8" ht="15.75" customHeight="1" x14ac:dyDescent="0.25">
      <c r="B30" s="19" t="s">
        <v>4</v>
      </c>
      <c r="C30" s="101">
        <v>3.5424285E-2</v>
      </c>
    </row>
    <row r="31" spans="1:8" ht="15.75" customHeight="1" x14ac:dyDescent="0.25">
      <c r="B31" s="19" t="s">
        <v>99</v>
      </c>
      <c r="C31" s="101">
        <v>0.141582982</v>
      </c>
    </row>
    <row r="32" spans="1:8" ht="15.75" customHeight="1" x14ac:dyDescent="0.25">
      <c r="B32" s="19" t="s">
        <v>104</v>
      </c>
      <c r="C32" s="101">
        <v>7.2277499999999981E-2</v>
      </c>
    </row>
    <row r="33" spans="2:3" ht="15.75" customHeight="1" x14ac:dyDescent="0.25">
      <c r="B33" s="19" t="s">
        <v>119</v>
      </c>
      <c r="C33" s="101">
        <v>0.14607978499999999</v>
      </c>
    </row>
    <row r="34" spans="2:3" ht="15.75" customHeight="1" x14ac:dyDescent="0.25">
      <c r="B34" s="19" t="s">
        <v>106</v>
      </c>
      <c r="C34" s="101">
        <v>0.158631406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upjV7cWcPM75sLOth4Bm4QSTXIaiuJuh79dJenPFjGG1NXRZM0RH3EWogDsUVi1ac1RJwY/8avAUo2s1Ba25Pg==" saltValue="WNuXDL1fRNRG+nLoYsI+k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/fcyK2F63iRDEHp+1s8IdoiC1nD4XqUmXJc76ZXbMUoA/RthbttuM+p/rk45UvJrRcZj80/4gFlEEy61+/X+uA==" saltValue="6B1d2VQdAPBRr+t6k39A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DIM7Vgs9/5nTzJSrxE2mEVlNrJLsSiuHQgcEeDYnBgAfFA2cjZJ/IiYu4sR+IEfr8kPT+jZc3q8RJXMS/hwgsA==" saltValue="KRhsa+eCakaIkuYa71I9T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0dL+rR3JB/8gVG+EI57lGz1V0VAgv58qYUjR4yEp7w3NPCSem+cbP93/I+ET0CCAebDTlxbX+FOQebN7hq7zQ==" saltValue="VZ1X+UHcS60xco7Nl10T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1303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0.47712000000000004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0.70819999999999994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1.2403142304424781E-2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97785.355119999993</v>
      </c>
      <c r="C22" s="109">
        <v>97621.375239999994</v>
      </c>
      <c r="D22" s="109">
        <v>97480.378989999997</v>
      </c>
      <c r="E22" s="109">
        <v>97160.884229999996</v>
      </c>
      <c r="F22" s="109">
        <v>96605.586200000005</v>
      </c>
      <c r="G22" s="109">
        <v>95898.978959999993</v>
      </c>
      <c r="H22" s="109">
        <v>95064.022330000007</v>
      </c>
      <c r="I22" s="109">
        <v>94089.641829999993</v>
      </c>
      <c r="J22" s="109">
        <v>92670.601439999999</v>
      </c>
      <c r="K22" s="109">
        <v>90664.702680000002</v>
      </c>
      <c r="L22" s="109">
        <v>87987.075030000007</v>
      </c>
      <c r="M22" s="109">
        <v>84237.454559999998</v>
      </c>
      <c r="N22" s="109">
        <v>78813.868730000002</v>
      </c>
      <c r="O22" s="109">
        <v>71639.822899999999</v>
      </c>
    </row>
  </sheetData>
  <sheetProtection algorithmName="SHA-512" hashValue="X5Vex5gA0DRUZ0PvgQnw9PMpAISMeNWvFRYfoXM2vKG5khSJxI6SbStJuv2037WIVYg5jQS5hWMTEOB8Nr4M4A==" saltValue="G/nT9XKY9nHA21u8HpWS8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EseRjUgaoGVagMFXFUVj+S/JAePF55m3MURsRs2fRByZ3fKWk2JBjoD5JvxwEN5YWSxlErjJQ2lwRtHZEQIZjg==" saltValue="VMHYDQ0EyWLa1bDMXtDVi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d0H0udf8M/C5CjcunMMbiv3tBl0Z09TF4VnWyzBfV5Q2xnd1Fd/V6hguKfU9xOok/NpcI5dAoPipa6KcyrTaDA==" saltValue="5OaYTZ+9FyvPQgfPK5mIh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0.44994896638918952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1.516970800969268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13.758828229716091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13.758828229716091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13.758828229716091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13.758828229716091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13.758828229716091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13.758828229716091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5.8835597567123799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0.38806249999999998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21.432133639931681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4.7459931534262978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0.71505740000000007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206.81375092158379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124.66848615801089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0.87331649999999994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0.26580399999999998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0.15005470000000001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0.96712320000000007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VhHRhWcUGMpvy2KnP3JNSAsiAdcpkoZe75sgTxpLl35mQNqby1VFETkMtZfdoqUepOkpWWv2JVR2JT7LVGdwiw==" saltValue="8wkdcWh03Yt0SMkEeMWN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P4i00JTtJG/mhyGG/m2YJkdre0rKNtzB46ua2/kxKrDt6mnwVvzrBGEQeCvRS8W81Mcqne1rkTBL2lt4DCIDA==" saltValue="kewH140LBDDmxrgPyOrh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2EomACnWlI3FTnYYUw3Y9YhUPPEUCi5Hqyk3OS6mkkeqgHmZfuY87YxdIcHG+43uwgIc/TV40gARDbEHC2zZA==" saltValue="Lf/ZUNuRco542WFihxdtY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mrkj3Gn5AmrCxnAMWTt6xeT7dvmHLehKNsvaqKqoIW/litg5XBCifhR4p/qJ3igkwvr5i7s10IyvX3nc8kja1g==" saltValue="kEnz/eldgMmcDUeO363lG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0.25</v>
      </c>
      <c r="F2" s="60">
        <f>food_insecure</f>
        <v>0.25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0.25</v>
      </c>
      <c r="F5" s="60">
        <f>food_insecure</f>
        <v>0.25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0.25</v>
      </c>
      <c r="F8" s="60">
        <f>food_insecure</f>
        <v>0.25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0.25</v>
      </c>
      <c r="F9" s="60">
        <f>food_insecure</f>
        <v>0.25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</v>
      </c>
      <c r="I15" s="60">
        <f t="shared" si="0"/>
        <v>0.25</v>
      </c>
      <c r="J15" s="60">
        <f t="shared" si="0"/>
        <v>0.25</v>
      </c>
      <c r="K15" s="60">
        <f t="shared" si="0"/>
        <v>0.25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</v>
      </c>
      <c r="I16" s="60">
        <f t="shared" si="0"/>
        <v>0.25</v>
      </c>
      <c r="J16" s="60">
        <f t="shared" si="0"/>
        <v>0.25</v>
      </c>
      <c r="K16" s="60">
        <f t="shared" si="0"/>
        <v>0.25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9.9207571749999973E-2</v>
      </c>
      <c r="M25" s="60">
        <f>(1-food_insecure)*(0.49)+food_insecure*(0.7)</f>
        <v>0.54249999999999998</v>
      </c>
      <c r="N25" s="60">
        <f>(1-food_insecure)*(0.49)+food_insecure*(0.7)</f>
        <v>0.54249999999999998</v>
      </c>
      <c r="O25" s="60">
        <f>(1-food_insecure)*(0.49)+food_insecure*(0.7)</f>
        <v>0.54249999999999998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4.251753074999999E-2</v>
      </c>
      <c r="M26" s="60">
        <f>(1-food_insecure)*(0.21)+food_insecure*(0.3)</f>
        <v>0.23249999999999998</v>
      </c>
      <c r="N26" s="60">
        <f>(1-food_insecure)*(0.21)+food_insecure*(0.3)</f>
        <v>0.23249999999999998</v>
      </c>
      <c r="O26" s="60">
        <f>(1-food_insecure)*(0.21)+food_insecure*(0.3)</f>
        <v>0.23249999999999998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4.1145997499999983E-2</v>
      </c>
      <c r="M27" s="60">
        <f>(1-food_insecure)*(0.3)</f>
        <v>0.22499999999999998</v>
      </c>
      <c r="N27" s="60">
        <f>(1-food_insecure)*(0.3)</f>
        <v>0.22499999999999998</v>
      </c>
      <c r="O27" s="60">
        <f>(1-food_insecure)*(0.3)</f>
        <v>0.22499999999999998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0.81712890000000005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lzSN4kMn8iHXH+n+8LwCyMzRWKvPosGK8+LWqo644ylmtygj5ii7ME2PuGo1Ertt8m+xh7oiiTKDSy0jypCLw==" saltValue="sD8bDIaWWrHpW/M4kwmJL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2eMbY1VaWvkrK3L92syYrAqZYWMyZJrQdKRQTFsB3dDhbilyb5vVPZ493LVpLnC9MGAXEOb3BsU1KQHtQ4hTcg==" saltValue="jnAzrjt/h/0L1I53ynT56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jV1Qrc06vtu+FWZbADrANd7eyl7ZHssGJeGdWP6ye4N3rrjsqAvSHz4TY2pzr3rctVDvah+62utpHAZyjqh2w==" saltValue="VMCJNfURAwl7AGRXjfjXO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C0WQ/7Lpfgzq/a3ZcLHBwG0C51E2qlMPVk7zTLD+JPIgT8dsDRBL5pL4Z2h8X/5puL1U5x1TScD1GtDi0yInw==" saltValue="LneTchVfHroq94jadcbAe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9lhbBT/rCuVHUOgZR+U5NVmUEAn3D0SG8qTwkBCZsqdllDJvPCJ8kvVkgNfVf9HgHD0FdUBzIhspIn9jBuqpbA==" saltValue="cRHKU0BsqathLAQ3SKVOH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pnznEJyz0iKVeiSIVR4UOqomk03LjCMKWNclLYkMKH5OcpSNdzu5+kEE8YWbIPkjwakzurvIawCX8MADe3pivA==" saltValue="UszCo0SWgR8eCUSWiFDAK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ZmdVJyKldcZkHxkFPTz331JK/NuwKvuylkkCtg+FmsedBj5IGXDeSdprRGgKyJgnat754UHP24As2T20TiW+A==" saltValue="BMkUQdaxj9Z2/V+Xfacec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jGj2dZZ8o287+i0WucnC2BWHoB4Ag8X1s3jcv0mXm8+ViqdoJ0mT1bmVR7imkfLajynX9xZxrQA4X72KMkC4jg==" saltValue="iW9Uil1UU323xNC2JlEV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PQpYXrsk1W0ZdDJp1GarGHIdgWg09Uo9ZsTERYDQIEr597czNh9j3SDPPbfIvynOQkRopOKxGsdp2tJY9PM9kw==" saltValue="ycTtyORmyMbqsrXWzjQE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nEsASOX96oiKBh8Mt9ruYOj3Xiwycrp2nbdFrH7+1ln6VZaE5StqXln7VuqyStSQfrAx8+vGWRBZb9l6eAA1Q==" saltValue="Qvxik29zAZ+BO7eW/Vos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gNwuE/RyEkN1gfsMLPayrUPcPC4HGfMqQMlLst4ktHgMDFVeUoD7oQSvHiCfnRPkdYt0jmXKmSZX4N1b05iHQ==" saltValue="SFfoAGlxXnnFHTCgRjZE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Ba6Se5HTpfG9gGj4DO4q//UJYO5CI40SocXxrshjrfIBlmosn48npbqXgPawoFUGqYR+mI9r73wlSvan17ruw==" saltValue="qC//VWENTNQVSK48oqeX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qznPldExVvm+b0DjE9QFmREj93Gjya3VRNbhebJIL1CT2bQZVfU/Do3WrgYivaOPXt6MqrHFCzZI0NssyJ4ZA==" saltValue="sZ7dyMZiB92o20/fK1FT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B9GIYhcdPzf1V9HXuc+uZrIKgIugm5wm5Pa81U26tj19VcSxgPfFLMz8lSyfYAEst277Z8XIAQaqvnd600P8A==" saltValue="TDqWxBFcbofVmwYitXxm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NgZa2tvyZ2QvDBFkMGz1VMjF3FWBKS3K9VlLQBh9Hhg/lYNILUlGSZjBG4Fl13O6QfRkBCeIQuICqyf2jiRxLg==" saltValue="EQqeUO0hwxHwWftHqPJ2F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