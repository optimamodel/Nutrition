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30D143CC-2D7C-4873-AE52-B24E4E6530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I39" i="2"/>
  <c r="H39" i="2"/>
  <c r="G39" i="2"/>
  <c r="H38" i="2"/>
  <c r="G38" i="2"/>
  <c r="I38" i="2" s="1"/>
  <c r="A34" i="2"/>
  <c r="A24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25" i="2" l="1"/>
  <c r="A16" i="2"/>
  <c r="A37" i="2"/>
  <c r="A17" i="2"/>
  <c r="A3" i="2"/>
  <c r="A18" i="2"/>
  <c r="A29" i="2"/>
  <c r="A19" i="2"/>
  <c r="A31" i="2"/>
  <c r="A39" i="2"/>
  <c r="A21" i="2"/>
  <c r="A32" i="2"/>
  <c r="A15" i="2"/>
  <c r="A35" i="2"/>
  <c r="A26" i="2"/>
  <c r="A27" i="2"/>
  <c r="I10" i="2"/>
  <c r="A23" i="2"/>
  <c r="A33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<sst xmlns="http://schemas.openxmlformats.org/spreadsheetml/2006/main" count="2101" uniqueCount="341">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</sst>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6538.6036987304706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0.90741958618164109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0.17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0.13059999999999999</v>
      </c>
    </row>
    <row r="24" spans="1:3" ht="15" customHeight="1" x14ac:dyDescent="0.25">
      <c r="B24" s="15" t="s">
        <v>46</v>
      </c>
      <c r="C24" s="45">
        <v>0.55969999999999998</v>
      </c>
    </row>
    <row r="25" spans="1:3" ht="15" customHeight="1" x14ac:dyDescent="0.25">
      <c r="B25" s="15" t="s">
        <v>47</v>
      </c>
      <c r="C25" s="45">
        <v>0.28770000000000001</v>
      </c>
    </row>
    <row r="26" spans="1:3" ht="15" customHeight="1" x14ac:dyDescent="0.25">
      <c r="B26" s="15" t="s">
        <v>48</v>
      </c>
      <c r="C26" s="45">
        <v>2.1999999999999999E-2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0.38027698235904311</v>
      </c>
    </row>
    <row r="30" spans="1:3" ht="14.25" customHeight="1" x14ac:dyDescent="0.25">
      <c r="B30" s="25" t="s">
        <v>63</v>
      </c>
      <c r="C30" s="99">
        <v>5.4660418264349912E-2</v>
      </c>
    </row>
    <row r="31" spans="1:3" ht="14.25" customHeight="1" x14ac:dyDescent="0.25">
      <c r="B31" s="25" t="s">
        <v>10</v>
      </c>
      <c r="C31" s="99">
        <v>6.1967733026657798E-2</v>
      </c>
    </row>
    <row r="32" spans="1:3" ht="14.25" customHeight="1" x14ac:dyDescent="0.25">
      <c r="B32" s="25" t="s">
        <v>11</v>
      </c>
      <c r="C32" s="99">
        <v>0.50309486634994893</v>
      </c>
    </row>
    <row r="33" spans="1:5" ht="13" customHeight="1" x14ac:dyDescent="0.25">
      <c r="B33" s="27" t="s">
        <v>60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8.4706399999999995</v>
      </c>
    </row>
    <row r="38" spans="1:5" ht="15" customHeight="1" x14ac:dyDescent="0.25">
      <c r="B38" s="11" t="s">
        <v>35</v>
      </c>
      <c r="C38" s="43">
        <v>12.56386</v>
      </c>
      <c r="D38" s="12"/>
      <c r="E38" s="13"/>
    </row>
    <row r="39" spans="1:5" ht="15" customHeight="1" x14ac:dyDescent="0.25">
      <c r="B39" s="11" t="s">
        <v>61</v>
      </c>
      <c r="C39" s="43">
        <v>13.71026</v>
      </c>
      <c r="D39" s="12"/>
      <c r="E39" s="12"/>
    </row>
    <row r="40" spans="1:5" ht="15" customHeight="1" x14ac:dyDescent="0.25">
      <c r="B40" s="11" t="s">
        <v>36</v>
      </c>
      <c r="C40" s="100">
        <v>0.62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11.914770000000001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7.2014999999999996E-3</v>
      </c>
      <c r="D45" s="12"/>
    </row>
    <row r="46" spans="1:5" ht="15.75" customHeight="1" x14ac:dyDescent="0.25">
      <c r="B46" s="11" t="s">
        <v>51</v>
      </c>
      <c r="C46" s="45">
        <v>7.7378600000000006E-2</v>
      </c>
      <c r="D46" s="12"/>
    </row>
    <row r="47" spans="1:5" ht="15.75" customHeight="1" x14ac:dyDescent="0.25">
      <c r="B47" s="11" t="s">
        <v>59</v>
      </c>
      <c r="C47" s="45">
        <v>7.415250000000001E-2</v>
      </c>
      <c r="D47" s="12"/>
      <c r="E47" s="13"/>
    </row>
    <row r="48" spans="1:5" ht="15" customHeight="1" x14ac:dyDescent="0.25">
      <c r="B48" s="11" t="s">
        <v>58</v>
      </c>
      <c r="C48" s="46">
        <v>0.8412674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3.2</v>
      </c>
      <c r="D51" s="12"/>
    </row>
    <row r="52" spans="1:4" ht="15" customHeight="1" x14ac:dyDescent="0.25">
      <c r="B52" s="11" t="s">
        <v>13</v>
      </c>
      <c r="C52" s="100">
        <v>3.2</v>
      </c>
    </row>
    <row r="53" spans="1:4" ht="15.75" customHeight="1" x14ac:dyDescent="0.25">
      <c r="B53" s="11" t="s">
        <v>16</v>
      </c>
      <c r="C53" s="100">
        <v>3.2</v>
      </c>
    </row>
    <row r="54" spans="1:4" ht="15.75" customHeight="1" x14ac:dyDescent="0.25">
      <c r="B54" s="11" t="s">
        <v>14</v>
      </c>
      <c r="C54" s="100">
        <v>3.2</v>
      </c>
    </row>
    <row r="55" spans="1:4" ht="15.75" customHeight="1" x14ac:dyDescent="0.25">
      <c r="B55" s="11" t="s">
        <v>15</v>
      </c>
      <c r="C55" s="100">
        <v>3.2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1.9375E-2</v>
      </c>
    </row>
    <row r="59" spans="1:4" ht="15.75" customHeight="1" x14ac:dyDescent="0.25">
      <c r="B59" s="11" t="s">
        <v>40</v>
      </c>
      <c r="C59" s="45">
        <v>0.55246399999999996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lmwNfJpoBvYyozLhq4TPoLBUmjBnmXsbBOs5XvDs57PO3frPKkYXPb1/1ldERVutLbfrpbvL4Q4x8TikqDyDaw==" saltValue="rTSHghLZvhPV0Wxuixtw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1296</v>
      </c>
      <c r="C2" s="49">
        <v>4496</v>
      </c>
      <c r="D2" s="49">
        <v>7473</v>
      </c>
      <c r="E2" s="49">
        <v>7152</v>
      </c>
      <c r="F2" s="49">
        <v>6385.5</v>
      </c>
      <c r="G2" s="17">
        <f t="shared" ref="G2:G13" si="0">C2+D2+E2+F2</f>
        <v>25506.5</v>
      </c>
      <c r="H2" s="17">
        <f t="shared" ref="H2:H13" si="1">(B2 + stillbirth*B2/(1000-stillbirth))/(1-abortion)</f>
        <v>1490.4860714568849</v>
      </c>
      <c r="I2" s="17">
        <f t="shared" ref="I2:I13" si="2">G2-H2</f>
        <v>24016.013928543114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1290</v>
      </c>
      <c r="C3" s="50">
        <v>4566.5</v>
      </c>
      <c r="D3" s="50">
        <v>7345</v>
      </c>
      <c r="E3" s="50">
        <v>7191.5</v>
      </c>
      <c r="F3" s="50">
        <v>6430</v>
      </c>
      <c r="G3" s="17">
        <f t="shared" si="0"/>
        <v>25533</v>
      </c>
      <c r="H3" s="17">
        <f t="shared" si="1"/>
        <v>1483.585672977918</v>
      </c>
      <c r="I3" s="17">
        <f t="shared" si="2"/>
        <v>24049.414327022081</v>
      </c>
    </row>
    <row r="4" spans="1:9" ht="15.75" customHeight="1" x14ac:dyDescent="0.25">
      <c r="A4" s="5">
        <f t="shared" si="3"/>
        <v>2026</v>
      </c>
      <c r="B4" s="49">
        <v>1283</v>
      </c>
      <c r="C4" s="50">
        <v>4634.4999999999991</v>
      </c>
      <c r="D4" s="50">
        <v>7240</v>
      </c>
      <c r="E4" s="50">
        <v>7251</v>
      </c>
      <c r="F4" s="50">
        <v>6442</v>
      </c>
      <c r="G4" s="17">
        <f t="shared" si="0"/>
        <v>25567.5</v>
      </c>
      <c r="H4" s="17">
        <f t="shared" si="1"/>
        <v>1475.5352080857899</v>
      </c>
      <c r="I4" s="17">
        <f t="shared" si="2"/>
        <v>24091.964791914212</v>
      </c>
    </row>
    <row r="5" spans="1:9" ht="15.75" customHeight="1" x14ac:dyDescent="0.25">
      <c r="A5" s="5">
        <f t="shared" si="3"/>
        <v>2027</v>
      </c>
      <c r="B5" s="49">
        <v>1278</v>
      </c>
      <c r="C5" s="50">
        <v>4693</v>
      </c>
      <c r="D5" s="50">
        <v>7171.5</v>
      </c>
      <c r="E5" s="50">
        <v>7312</v>
      </c>
      <c r="F5" s="50">
        <v>6416</v>
      </c>
      <c r="G5" s="17">
        <f t="shared" si="0"/>
        <v>25592.5</v>
      </c>
      <c r="H5" s="17">
        <f t="shared" si="1"/>
        <v>1469.784876019984</v>
      </c>
      <c r="I5" s="17">
        <f t="shared" si="2"/>
        <v>24122.715123980015</v>
      </c>
    </row>
    <row r="6" spans="1:9" ht="15.75" customHeight="1" x14ac:dyDescent="0.25">
      <c r="A6" s="5">
        <f t="shared" si="3"/>
        <v>2028</v>
      </c>
      <c r="B6" s="49">
        <v>1273</v>
      </c>
      <c r="C6" s="50">
        <v>4726.5000000000009</v>
      </c>
      <c r="D6" s="50">
        <v>7147</v>
      </c>
      <c r="E6" s="50">
        <v>7367.5</v>
      </c>
      <c r="F6" s="50">
        <v>6364</v>
      </c>
      <c r="G6" s="17">
        <f t="shared" si="0"/>
        <v>25605</v>
      </c>
      <c r="H6" s="17">
        <f t="shared" si="1"/>
        <v>1464.0345439541779</v>
      </c>
      <c r="I6" s="17">
        <f t="shared" si="2"/>
        <v>24140.965456045822</v>
      </c>
    </row>
    <row r="7" spans="1:9" ht="15.75" customHeight="1" x14ac:dyDescent="0.25">
      <c r="A7" s="5">
        <f t="shared" si="3"/>
        <v>2029</v>
      </c>
      <c r="B7" s="49">
        <v>1269</v>
      </c>
      <c r="C7" s="50">
        <v>4733.0000000000009</v>
      </c>
      <c r="D7" s="50">
        <v>7154.5</v>
      </c>
      <c r="E7" s="50">
        <v>7416</v>
      </c>
      <c r="F7" s="50">
        <v>6299</v>
      </c>
      <c r="G7" s="17">
        <f t="shared" si="0"/>
        <v>25602.5</v>
      </c>
      <c r="H7" s="17">
        <f t="shared" si="1"/>
        <v>1459.4342783015334</v>
      </c>
      <c r="I7" s="17">
        <f t="shared" si="2"/>
        <v>24143.065721698465</v>
      </c>
    </row>
    <row r="8" spans="1:9" ht="15.75" customHeight="1" x14ac:dyDescent="0.25">
      <c r="A8" s="5">
        <f t="shared" si="3"/>
        <v>2030</v>
      </c>
      <c r="B8" s="49">
        <v>1264</v>
      </c>
      <c r="C8" s="50">
        <v>4710</v>
      </c>
      <c r="D8" s="50">
        <v>7171.5</v>
      </c>
      <c r="E8" s="50">
        <v>7450.5</v>
      </c>
      <c r="F8" s="50">
        <v>6225.5</v>
      </c>
      <c r="G8" s="17">
        <f t="shared" si="0"/>
        <v>25557.5</v>
      </c>
      <c r="H8" s="17">
        <f t="shared" si="1"/>
        <v>1453.6839462357273</v>
      </c>
      <c r="I8" s="17">
        <f t="shared" si="2"/>
        <v>24103.816053764273</v>
      </c>
    </row>
    <row r="9" spans="1:9" ht="15.75" customHeight="1" x14ac:dyDescent="0.25">
      <c r="A9" s="5">
        <f t="shared" si="3"/>
        <v>2031</v>
      </c>
      <c r="B9" s="49">
        <v>1260</v>
      </c>
      <c r="C9" s="50">
        <v>4652</v>
      </c>
      <c r="D9" s="50">
        <v>7192</v>
      </c>
      <c r="E9" s="50">
        <v>7435</v>
      </c>
      <c r="F9" s="50">
        <v>6143</v>
      </c>
      <c r="G9" s="17">
        <f t="shared" si="0"/>
        <v>25422</v>
      </c>
      <c r="H9" s="17">
        <f t="shared" si="1"/>
        <v>1449.0836805830827</v>
      </c>
      <c r="I9" s="17">
        <f t="shared" si="2"/>
        <v>23972.916319416916</v>
      </c>
    </row>
    <row r="10" spans="1:9" ht="15.75" customHeight="1" x14ac:dyDescent="0.25">
      <c r="A10" s="5">
        <f t="shared" si="3"/>
        <v>2032</v>
      </c>
      <c r="B10" s="49">
        <v>1250</v>
      </c>
      <c r="C10" s="50">
        <v>4558</v>
      </c>
      <c r="D10" s="50">
        <v>7227.5</v>
      </c>
      <c r="E10" s="50">
        <v>7359</v>
      </c>
      <c r="F10" s="50">
        <v>6087</v>
      </c>
      <c r="G10" s="17">
        <f t="shared" si="0"/>
        <v>25231.5</v>
      </c>
      <c r="H10" s="17">
        <f t="shared" si="1"/>
        <v>1437.5830164514709</v>
      </c>
      <c r="I10" s="17">
        <f t="shared" si="2"/>
        <v>23793.91698354853</v>
      </c>
    </row>
    <row r="11" spans="1:9" ht="15.75" customHeight="1" x14ac:dyDescent="0.25">
      <c r="A11" s="5">
        <f t="shared" si="3"/>
        <v>2033</v>
      </c>
      <c r="B11" s="49">
        <v>1246</v>
      </c>
      <c r="C11" s="50">
        <v>4438.4999999999991</v>
      </c>
      <c r="D11" s="50">
        <v>7284.5</v>
      </c>
      <c r="E11" s="50">
        <v>7246.5</v>
      </c>
      <c r="F11" s="50">
        <v>6078.5</v>
      </c>
      <c r="G11" s="17">
        <f t="shared" si="0"/>
        <v>25048</v>
      </c>
      <c r="H11" s="17">
        <f t="shared" si="1"/>
        <v>1432.9827507988264</v>
      </c>
      <c r="I11" s="17">
        <f t="shared" si="2"/>
        <v>23615.017249201173</v>
      </c>
    </row>
    <row r="12" spans="1:9" ht="15.75" customHeight="1" x14ac:dyDescent="0.25">
      <c r="A12" s="5">
        <f t="shared" si="3"/>
        <v>2034</v>
      </c>
      <c r="B12" s="49">
        <v>1244</v>
      </c>
      <c r="C12" s="50">
        <v>4303.5000000000009</v>
      </c>
      <c r="D12" s="50">
        <v>7355.0000000000009</v>
      </c>
      <c r="E12" s="50">
        <v>7116</v>
      </c>
      <c r="F12" s="50">
        <v>6097.5</v>
      </c>
      <c r="G12" s="17">
        <f t="shared" si="0"/>
        <v>24872</v>
      </c>
      <c r="H12" s="17">
        <f t="shared" si="1"/>
        <v>1430.682617972504</v>
      </c>
      <c r="I12" s="17">
        <f t="shared" si="2"/>
        <v>23441.317382027497</v>
      </c>
    </row>
    <row r="13" spans="1:9" ht="15.75" customHeight="1" x14ac:dyDescent="0.25">
      <c r="A13" s="5">
        <f t="shared" si="3"/>
        <v>2035</v>
      </c>
      <c r="B13" s="49">
        <v>1237</v>
      </c>
      <c r="C13" s="50">
        <v>4158</v>
      </c>
      <c r="D13" s="50">
        <v>7426.5</v>
      </c>
      <c r="E13" s="50">
        <v>6989</v>
      </c>
      <c r="F13" s="50">
        <v>6147</v>
      </c>
      <c r="G13" s="17">
        <f t="shared" si="0"/>
        <v>24720.5</v>
      </c>
      <c r="H13" s="17">
        <f t="shared" si="1"/>
        <v>1422.6321530803757</v>
      </c>
      <c r="I13" s="17">
        <f t="shared" si="2"/>
        <v>23297.867846919624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cKmtWPzfWvZJmmTRJQqOIcRK62lJsHb96IeQBx4vmKm1bnjMxv8xvkAmc8AOKHlwdnQTezqXgpG9tV91uaUKg==" saltValue="ec96p/IZOfk4565Auomr2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0.245679024567902</v>
      </c>
    </row>
    <row r="5" spans="1:8" ht="15.75" customHeight="1" x14ac:dyDescent="0.25">
      <c r="B5" s="19" t="s">
        <v>95</v>
      </c>
      <c r="C5" s="101">
        <v>2.1604902160490141E-2</v>
      </c>
    </row>
    <row r="6" spans="1:8" ht="15.75" customHeight="1" x14ac:dyDescent="0.25">
      <c r="B6" s="19" t="s">
        <v>91</v>
      </c>
      <c r="C6" s="101">
        <v>9.7325109732510948E-2</v>
      </c>
    </row>
    <row r="7" spans="1:8" ht="15.75" customHeight="1" x14ac:dyDescent="0.25">
      <c r="B7" s="19" t="s">
        <v>96</v>
      </c>
      <c r="C7" s="101">
        <v>0.36460903646090392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0.186625518662552</v>
      </c>
    </row>
    <row r="10" spans="1:8" ht="15.75" customHeight="1" x14ac:dyDescent="0.25">
      <c r="B10" s="19" t="s">
        <v>94</v>
      </c>
      <c r="C10" s="101">
        <v>8.4156408415640871E-2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0.27882946584520879</v>
      </c>
      <c r="D14" s="55">
        <v>0.27882946584520879</v>
      </c>
      <c r="E14" s="55">
        <v>0.27882946584520879</v>
      </c>
      <c r="F14" s="55">
        <v>0.27882946584520879</v>
      </c>
    </row>
    <row r="15" spans="1:8" ht="15.75" customHeight="1" x14ac:dyDescent="0.25">
      <c r="B15" s="19" t="s">
        <v>102</v>
      </c>
      <c r="C15" s="101">
        <v>0.44874457216701419</v>
      </c>
      <c r="D15" s="101">
        <v>0.44874457216701419</v>
      </c>
      <c r="E15" s="101">
        <v>0.44874457216701419</v>
      </c>
      <c r="F15" s="101">
        <v>0.44874457216701419</v>
      </c>
    </row>
    <row r="16" spans="1:8" ht="15.75" customHeight="1" x14ac:dyDescent="0.25">
      <c r="B16" s="19" t="s">
        <v>2</v>
      </c>
      <c r="C16" s="101">
        <v>0</v>
      </c>
      <c r="D16" s="101">
        <v>0</v>
      </c>
      <c r="E16" s="101">
        <v>0</v>
      </c>
      <c r="F16" s="101">
        <v>0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0.26107037820752421</v>
      </c>
      <c r="D21" s="101">
        <v>0.26107037820752421</v>
      </c>
      <c r="E21" s="101">
        <v>0.26107037820752421</v>
      </c>
      <c r="F21" s="101">
        <v>0.26107037820752421</v>
      </c>
    </row>
    <row r="22" spans="1:8" ht="15.75" customHeight="1" x14ac:dyDescent="0.25">
      <c r="B22" s="19" t="s">
        <v>99</v>
      </c>
      <c r="C22" s="101">
        <v>1.135558378025292E-2</v>
      </c>
      <c r="D22" s="101">
        <v>1.135558378025292E-2</v>
      </c>
      <c r="E22" s="101">
        <v>1.135558378025292E-2</v>
      </c>
      <c r="F22" s="101">
        <v>1.135558378025292E-2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5.0091695999999998E-2</v>
      </c>
    </row>
    <row r="27" spans="1:8" ht="15.75" customHeight="1" x14ac:dyDescent="0.25">
      <c r="B27" s="19" t="s">
        <v>89</v>
      </c>
      <c r="C27" s="101">
        <v>4.9500180999999997E-2</v>
      </c>
    </row>
    <row r="28" spans="1:8" ht="15.75" customHeight="1" x14ac:dyDescent="0.25">
      <c r="B28" s="19" t="s">
        <v>103</v>
      </c>
      <c r="C28" s="101">
        <v>0.107511299</v>
      </c>
    </row>
    <row r="29" spans="1:8" ht="15.75" customHeight="1" x14ac:dyDescent="0.25">
      <c r="B29" s="19" t="s">
        <v>86</v>
      </c>
      <c r="C29" s="101">
        <v>0.189587958</v>
      </c>
    </row>
    <row r="30" spans="1:8" ht="15.75" customHeight="1" x14ac:dyDescent="0.25">
      <c r="B30" s="19" t="s">
        <v>4</v>
      </c>
      <c r="C30" s="101">
        <v>5.7170368999999999E-2</v>
      </c>
    </row>
    <row r="31" spans="1:8" ht="15.75" customHeight="1" x14ac:dyDescent="0.25">
      <c r="B31" s="19" t="s">
        <v>80</v>
      </c>
      <c r="C31" s="101">
        <v>0.16519774500000001</v>
      </c>
    </row>
    <row r="32" spans="1:8" ht="15.75" customHeight="1" x14ac:dyDescent="0.25">
      <c r="B32" s="19" t="s">
        <v>85</v>
      </c>
      <c r="C32" s="101">
        <v>4.2521530000000002E-2</v>
      </c>
    </row>
    <row r="33" spans="2:3" ht="15.75" customHeight="1" x14ac:dyDescent="0.25">
      <c r="B33" s="19" t="s">
        <v>100</v>
      </c>
      <c r="C33" s="101">
        <v>0.16630512</v>
      </c>
    </row>
    <row r="34" spans="2:3" ht="15.75" customHeight="1" x14ac:dyDescent="0.25">
      <c r="B34" s="19" t="s">
        <v>87</v>
      </c>
      <c r="C34" s="101">
        <v>0.17211410299999999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igchKf6fD+5vWyAWqi/jxni9lRWLzx+va0SI0atoY2vPD+KmY66NWfDYexVGe0HZi0D8awwWOGPizhYtjFvWdg==" saltValue="2DRkWnjHSTuQrmTzOVWhC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110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106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107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119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0.39112227900000002</v>
      </c>
      <c r="D14" s="54">
        <v>0.36316351757300003</v>
      </c>
      <c r="E14" s="54">
        <v>0.36316351757300003</v>
      </c>
      <c r="F14" s="54">
        <v>0.27569453613299999</v>
      </c>
      <c r="G14" s="54">
        <v>0.27569453613299999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0.21608097874545598</v>
      </c>
      <c r="D15" s="52">
        <f t="shared" si="0"/>
        <v>0.20063476957244988</v>
      </c>
      <c r="E15" s="52">
        <f t="shared" si="0"/>
        <v>0.20063476957244988</v>
      </c>
      <c r="F15" s="52">
        <f t="shared" si="0"/>
        <v>0.15231130621018169</v>
      </c>
      <c r="G15" s="52">
        <f t="shared" si="0"/>
        <v>0.15231130621018169</v>
      </c>
      <c r="H15" s="52">
        <f t="shared" si="0"/>
        <v>0.15524238400000001</v>
      </c>
      <c r="I15" s="52">
        <f t="shared" si="0"/>
        <v>0.15524238400000001</v>
      </c>
      <c r="J15" s="52">
        <f t="shared" si="0"/>
        <v>0.15524238400000001</v>
      </c>
      <c r="K15" s="52">
        <f t="shared" si="0"/>
        <v>0.15524238400000001</v>
      </c>
      <c r="L15" s="52">
        <f t="shared" si="0"/>
        <v>0.13480121599999997</v>
      </c>
      <c r="M15" s="52">
        <f t="shared" si="0"/>
        <v>0.13480121599999997</v>
      </c>
      <c r="N15" s="52">
        <f t="shared" si="0"/>
        <v>0.13480121599999997</v>
      </c>
      <c r="O15" s="52">
        <f t="shared" si="0"/>
        <v>0.13480121599999997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0YQL83pDaJ1pcRYyYTQ/qBChLzmiJGCwhvPnjnxgCMw7wgHFjReXWM0UCa0gE8GCZ9zJHfTUJMb9KwVbWFMaew==" saltValue="ObYDnXkbWMTgHRb9eWq/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125</v>
      </c>
      <c r="C5" s="52">
        <v>4.7031312222222198E-2</v>
      </c>
      <c r="D5" s="52">
        <v>0.10405767555555601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cPgmOj9KEvnVkTEzY4IIWQEb7RO05Vp4fKq6/iBwT1OCFdIxn0ihO0Yzlv6BdbjcfRZyHSu+cHdF649juMuKzw==" saltValue="0FXd47Xc+WAbZmJ+6Mt44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JheqyRzSBIJidK2qwfc04b5SRie27h2caLER8TVgzsfCgNu46UKI/eM0t6MQUJV2hunondwBstqGDyR6ppM2Q==" saltValue="qGg40W7UuEy7fAhEIZaxL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KKI00ouLEoOraKrS0kJiUlVSQu75n1QkZG+Gl+RibxffMS1KdEViV2p9zMNXn3qUahMNUcmlva9pv6LqpX3Q0A==" saltValue="TE06B9c6XuismfiHAHDN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tKZIGqPdMtFd7FiX7UHcBHaW3PGMU+ZZGQLzfQjwB9mNpurJlXgrVvks8N8u0g491eEZFhAfH2f/bAAfzzCvTg==" saltValue="mh8Qk4QMzHyqWHCnhK5BG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x+E4Pr/gCpYuSnK95Y+1n1kHOQyyQimhE2tGU0k9x9uR0U7lXpTtM3Ywj8KpUW+YDhY6HPmihY7C4c56T37MZQ==" saltValue="kuJXmtIBFFZzYQfaiUQOi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76.288343665672741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40.289382146661893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700.65961955315572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4.0450576957307653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13.4216815904578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13.4216815904578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13.4216815904578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13.4216815904578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13.4216815904578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13.4216815904578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1.1284473903531529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0.43425000000000002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16.066557124329801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16.066557124329801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34.565331454239143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23.37624640899082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4.5352765038898664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18.982349980949131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155.3213010716627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0.81553707763180794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2.465064572305748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0.93760060000000001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2.412570092323977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61xxqQp7wqmiIZuKImez6LRxhW5c9P2DwMYnUp4X8QdHYWNdalizYlXXQD3UlXXfy+McsenDwrr7+Dpo9K91TQ==" saltValue="uZ+7ZRdW9AJylHXFvqRh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AF9qZqQiSJz3G9tFB4xyfshvXC24omABKWF4r2O4PbLxzp5NDrh5aPIipcGDOUb0O+ZGcCuXV1kpMc1xdKm0SQ==" saltValue="Efw4Y3EdyxjmJNRFo3Nk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CxYsI7i84kYGxGTTOOV2cUsLETqsJlQQ4ZQt0zhnibZFk+eaJj+GJzG3v/Al0F10f4Sn2SJ6O2tWRGMNjA4Jqg==" saltValue="cQVx3xXWSkFocSOIiMm3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207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sheetProtection algorithmName="SHA-512" hashValue="v90IR5OvNKQBCf4jFumOOywUge/gAH3AH2+9iQvBg5sO6MzMqppFJKj9SJV7g4PW9/7/UyzXB486Vuuq4w/OFg==" saltValue="4M8vRMDENe+8ahL3ZGu9U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</v>
      </c>
      <c r="M24" s="60">
        <f>famplan_unmet_need</f>
        <v>0.17</v>
      </c>
      <c r="N24" s="60">
        <f>famplan_unmet_need</f>
        <v>0.17</v>
      </c>
      <c r="O24" s="60">
        <f>famplan_unmet_need</f>
        <v>0.17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4.5656031074523692E-2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1.9566870460510151E-2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2.7357512283325055E-2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0.90741958618164109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dUDn5wMAcWzr4RWxP/BPolQGn8bYKirvEHgelGUStTJHnOp8KHEIO7vmIiZS1Lhg/iJkfsv47weJ55LegvLuw==" saltValue="DJHlu78WxBDxDljS6+tz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Fgr+bIA7f7S9YXnP/tPrPXtmeBQaZ5dSmQz9gymmhiVpBx0zLkCQA7Mg07h5KqguDA6u2f6b/OrNZHjqAfDvA==" saltValue="NtNgWtCTWrJUyveItlKE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HqTuPc7pjsTFZZIVEUc75DY7EoV7W3ksC2ISCDeNv6Nq9SdmNOkoYI0DWRsYHFX0gaKcMDLaiVpGbgbKm0MRA==" saltValue="kr39pNayNNLl5FcBOUnrO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Clv0WVVeq/zJbGnptaZDC5nUkAyuFIKs0Dv7OV6UtveDEneLSuHWcc+7zeUtwX7mj8rRrzkIZVvBvzIU9ScMw==" saltValue="YqiUssVkdHcADoZEV7b/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F0/Rzms7UKoSuZJQ6W8TGxU1a8u3UQ82ueiJrbHQ1v8fyEgFv2n93mfq3pcGVgD4DvcXGw4lhxI93fWzMYWdQ==" saltValue="KAOH0jWL+xsgO53BTiESG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10zRnTJSIhxhEYXccHHpKesdoK8gsxv/FszYjqqM49Hbm4n7SFTErIWhEViyHNFgDIs7glKUvWqgEd7uLR8gAA==" saltValue="2v3/rtZJbx/0WwBSIq7+6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vdqL+dx9Qcfvm8TTyR0HAQZtwUi/+4FCcMwZDhr0xJA3NUpax61Z8dWzoTSzfM2efau23mNsNS/noy88Prztw==" saltValue="F++KIm4wK0Bdi7Po4ybHQ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1m9vo9UWWCDBdUFxMjNQfDrv8Fxy+2TSVel0G4lZCt7cykGuRN1Y9rgNkvnfkGFButf2jG2F/c9LnTpi2UCcw==" saltValue="+EzrRgrAQ2YDOZOr/oKM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tkca35JzHtc56Fm4g4tWyaGhanz4+BOZde70GCq1dCwsdXasgqmrbp3bk3oe8DTmpOrEKzmNfQY/8tcnm6yCw==" saltValue="1bcKgpzg09EIecboQzvX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/TVJwykEzAgVwfC4dyaNUyxWgmsnhMiFwiBCDqkacomEO/igE+BGdrNZ5Y/JcxAwEp7V0VP1Uf4jqGoM+Yhgkw==" saltValue="33OAXnDCFvFy1xF82I+V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3OOa8cXKOriyDRO91+N4Y+wIdWys+FnvJePU7m7i+MHn2I4jbu2frkJs4EmMoMYqm6yHGz2Bqgvlz9Hlwy9HDQ==" saltValue="ONEM2twGkqzplHSKDSXu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R8u8SJA1kkkkqC4aPtmC+eZ9NyLES8B8HQ78MUz6Jc9HMkbfch+FJyUb3MnVBS9nlagzgBDSMD7VD6J7SQ7Lw==" saltValue="CWkjrJ8jwj/8qNlo/iY3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RJKjwezCOFGNRVqu9b4E3AjmGRwMeIRj+H97ZvF/kskujnMIyhh7ywZM9PgzVwANLEdCexSYAz6//K9DnCxcg==" saltValue="5KKmOQ06rB186LhY/tcu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0.10893279523983856</v>
      </c>
      <c r="G18" s="90">
        <f>MIN(MAX(1-0.89/(1-frac_sam_12_23months+(frac_sam_12_23months*0.89)),0),1)</f>
        <v>0.1092706246891999</v>
      </c>
      <c r="H18" s="90">
        <f>MIN(MAX(1-0.89/(1-frac_sam_24_59months+(frac_sam_24_59months*0.89)),0),1)</f>
        <v>0.10955189959787226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0.10744200236657098</v>
      </c>
      <c r="G20" s="90">
        <f>MIN(MAX(1-0.89/(1-frac_mam_12_23months+(frac_mam_12_23months*0.89)),0),1)</f>
        <v>0.10830952041594089</v>
      </c>
      <c r="H20" s="90">
        <f>MIN(MAX(1-0.89/(1-frac_mam_24_59months+(frac_mam_24_59months*0.89)),0),1)</f>
        <v>0.10870344317217706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9.8921979322001974E-3</v>
      </c>
      <c r="G73" s="90">
        <f>MIN(MAX(1-0.99/(1-frac_sam_12_23months+(frac_sam_12_23months*0.99)),0),1)</f>
        <v>9.9262978557254078E-3</v>
      </c>
      <c r="H73" s="90">
        <f>MIN(MAX(1-0.99/(1-frac_sam_24_59months+(frac_sam_24_59months*0.99)),0),1)</f>
        <v>9.9547072072605491E-3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9.742000201394041E-3</v>
      </c>
      <c r="G75" s="90">
        <f>MIN(MAX(1-0.99/(1-frac_mam_12_23months+(frac_mam_12_23months*0.99)),0),1)</f>
        <v>9.8293472993712383E-3</v>
      </c>
      <c r="H75" s="90">
        <f>MIN(MAX(1-0.99/(1-frac_mam_24_59months+(frac_mam_24_59months*0.99)),0),1)</f>
        <v>9.8690609233905713E-3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0.19825413228318445</v>
      </c>
      <c r="G128" s="90">
        <f>MIN(MAX(1-0.8/(1-frac_sam_12_23months+(frac_sam_12_23months*0.8)),0),1)</f>
        <v>0.19880716698883183</v>
      </c>
      <c r="H128" s="90">
        <f>MIN(MAX(1-0.8/(1-frac_sam_24_59months+(frac_sam_24_59months*0.8)),0),1)</f>
        <v>0.19926735841604293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0.19580955726063765</v>
      </c>
      <c r="G130" s="90">
        <f>MIN(MAX(1-0.8/(1-frac_mam_12_23months+(frac_mam_12_23months*0.8)),0),1)</f>
        <v>0.19723291392568032</v>
      </c>
      <c r="H130" s="90">
        <f>MIN(MAX(1-0.8/(1-frac_mam_24_59months+(frac_mam_24_59months*0.8)),0),1)</f>
        <v>0.19787848158653454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Z5Gs2qd4x2T3SU+5QbCAOqQtcmFkMG/eSFt1w0sXoL5bc3oBHC578gg6bqOvxwEC+d1bzZrqFBW3os0F3wfxLw==" saltValue="B4oGOB5cHz3Ee8dZ9ueu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pmGLv1OZtPE8/n6zowLoflATo0lZS1faOaai6ggXeiz9v4Z5qlw/UHnjblOTf9k/fZiQa0IfHpzSadKi8JKPZQ==" saltValue="T4mAtjCOUjgK7QAIUg+br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2024-08-06T08:31:38Z</dcterms:modified>
</cp:coreProperties>
</file>