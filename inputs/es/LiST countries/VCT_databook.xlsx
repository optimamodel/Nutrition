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484FC548-A87B-409E-9FD2-272B4A7271BF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5" i="2" l="1"/>
  <c r="A26" i="2"/>
  <c r="I3" i="2"/>
  <c r="I7" i="2"/>
  <c r="I11" i="2"/>
  <c r="A31" i="2"/>
  <c r="I4" i="2"/>
  <c r="I8" i="2"/>
  <c r="I12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<sst xmlns="http://schemas.openxmlformats.org/spreadsheetml/2006/main" count="2159" uniqueCount="372">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</sst>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5967.5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0.90741958618164109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0.13059999999999999</v>
      </c>
    </row>
    <row r="24" spans="1:3" ht="15" customHeight="1" x14ac:dyDescent="0.25">
      <c r="B24" s="15" t="s">
        <v>65</v>
      </c>
      <c r="C24" s="45">
        <v>0.55969999999999998</v>
      </c>
    </row>
    <row r="25" spans="1:3" ht="15" customHeight="1" x14ac:dyDescent="0.25">
      <c r="B25" s="15" t="s">
        <v>66</v>
      </c>
      <c r="C25" s="45">
        <v>0.28770000000000001</v>
      </c>
    </row>
    <row r="26" spans="1:3" ht="15" customHeight="1" x14ac:dyDescent="0.25">
      <c r="B26" s="15" t="s">
        <v>67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9">
        <v>5.4660418264349912E-2</v>
      </c>
    </row>
    <row r="31" spans="1:3" ht="14.25" customHeight="1" x14ac:dyDescent="0.25">
      <c r="B31" s="25" t="s">
        <v>29</v>
      </c>
      <c r="C31" s="99">
        <v>6.1967733026657798E-2</v>
      </c>
    </row>
    <row r="32" spans="1:3" ht="14.25" customHeight="1" x14ac:dyDescent="0.25">
      <c r="B32" s="25" t="s">
        <v>30</v>
      </c>
      <c r="C32" s="99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8.4706399999999995</v>
      </c>
    </row>
    <row r="38" spans="1:5" ht="15" customHeight="1" x14ac:dyDescent="0.25">
      <c r="B38" s="11" t="s">
        <v>54</v>
      </c>
      <c r="C38" s="43">
        <v>12.56386</v>
      </c>
      <c r="D38" s="12"/>
      <c r="E38" s="13"/>
    </row>
    <row r="39" spans="1:5" ht="15" customHeight="1" x14ac:dyDescent="0.25">
      <c r="B39" s="11" t="s">
        <v>80</v>
      </c>
      <c r="C39" s="43">
        <v>13.71026</v>
      </c>
      <c r="D39" s="12"/>
      <c r="E39" s="12"/>
    </row>
    <row r="40" spans="1:5" ht="15" customHeight="1" x14ac:dyDescent="0.25">
      <c r="B40" s="11" t="s">
        <v>55</v>
      </c>
      <c r="C40" s="100">
        <v>0.62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7.2014999999999996E-3</v>
      </c>
      <c r="D45" s="12"/>
    </row>
    <row r="46" spans="1:5" ht="15.75" customHeight="1" x14ac:dyDescent="0.25">
      <c r="B46" s="11" t="s">
        <v>70</v>
      </c>
      <c r="C46" s="45">
        <v>7.7378600000000006E-2</v>
      </c>
      <c r="D46" s="12"/>
    </row>
    <row r="47" spans="1:5" ht="15.75" customHeight="1" x14ac:dyDescent="0.25">
      <c r="B47" s="11" t="s">
        <v>78</v>
      </c>
      <c r="C47" s="45">
        <v>7.415250000000001E-2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0.55246399999999996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TNO/76qIgbwpKk4RNTF1173HuVrLTRtd/ZkgjnQoezngtrxZho/02Nf1wXKuoSVraSGX4p9ozfBdZSIxbzJyA==" saltValue="C8byf73Il+flGVk1rITa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1203</v>
      </c>
      <c r="C2" s="49">
        <v>3568</v>
      </c>
      <c r="D2" s="49">
        <v>6846.9999999999991</v>
      </c>
      <c r="E2" s="49">
        <v>6561.5</v>
      </c>
      <c r="F2" s="49">
        <v>6734</v>
      </c>
      <c r="G2" s="17">
        <f t="shared" ref="G2:G13" si="0">C2+D2+E2+F2</f>
        <v>23710.5</v>
      </c>
      <c r="H2" s="17">
        <f t="shared" ref="H2:H13" si="1">(B2 + stillbirth*B2/(1000-stillbirth))/(1-abortion)</f>
        <v>1383.5298950328956</v>
      </c>
      <c r="I2" s="17">
        <f t="shared" ref="I2:I13" si="2">G2-H2</f>
        <v>22326.970104967106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1179</v>
      </c>
      <c r="C3" s="50">
        <v>3650.5</v>
      </c>
      <c r="D3" s="50">
        <v>6675.5</v>
      </c>
      <c r="E3" s="50">
        <v>6513</v>
      </c>
      <c r="F3" s="50">
        <v>6720</v>
      </c>
      <c r="G3" s="17">
        <f t="shared" si="0"/>
        <v>23559</v>
      </c>
      <c r="H3" s="17">
        <f t="shared" si="1"/>
        <v>1355.9283011170273</v>
      </c>
      <c r="I3" s="17">
        <f t="shared" si="2"/>
        <v>22203.071698882974</v>
      </c>
    </row>
    <row r="4" spans="1:9" ht="15.75" customHeight="1" x14ac:dyDescent="0.25">
      <c r="A4" s="5">
        <f t="shared" si="3"/>
        <v>2026</v>
      </c>
      <c r="B4" s="49">
        <v>1157</v>
      </c>
      <c r="C4" s="50">
        <v>3717</v>
      </c>
      <c r="D4" s="50">
        <v>6545</v>
      </c>
      <c r="E4" s="50">
        <v>6478.5</v>
      </c>
      <c r="F4" s="50">
        <v>6659.4999999999991</v>
      </c>
      <c r="G4" s="17">
        <f t="shared" si="0"/>
        <v>23400</v>
      </c>
      <c r="H4" s="17">
        <f t="shared" si="1"/>
        <v>1330.6268400274816</v>
      </c>
      <c r="I4" s="17">
        <f t="shared" si="2"/>
        <v>22069.373159972518</v>
      </c>
    </row>
    <row r="5" spans="1:9" ht="15.75" customHeight="1" x14ac:dyDescent="0.25">
      <c r="A5" s="5">
        <f t="shared" si="3"/>
        <v>2027</v>
      </c>
      <c r="B5" s="49">
        <v>1141</v>
      </c>
      <c r="C5" s="50">
        <v>3762</v>
      </c>
      <c r="D5" s="50">
        <v>6476</v>
      </c>
      <c r="E5" s="50">
        <v>6438.4999999999991</v>
      </c>
      <c r="F5" s="50">
        <v>6574.9999999999991</v>
      </c>
      <c r="G5" s="17">
        <f t="shared" si="0"/>
        <v>23251.5</v>
      </c>
      <c r="H5" s="17">
        <f t="shared" si="1"/>
        <v>1312.2257774169027</v>
      </c>
      <c r="I5" s="17">
        <f t="shared" si="2"/>
        <v>21939.274222583099</v>
      </c>
    </row>
    <row r="6" spans="1:9" ht="15.75" customHeight="1" x14ac:dyDescent="0.25">
      <c r="A6" s="5">
        <f t="shared" si="3"/>
        <v>2028</v>
      </c>
      <c r="B6" s="49">
        <v>1129</v>
      </c>
      <c r="C6" s="50">
        <v>3787</v>
      </c>
      <c r="D6" s="50">
        <v>6465</v>
      </c>
      <c r="E6" s="50">
        <v>6390</v>
      </c>
      <c r="F6" s="50">
        <v>6489.0000000000009</v>
      </c>
      <c r="G6" s="17">
        <f t="shared" si="0"/>
        <v>23131</v>
      </c>
      <c r="H6" s="17">
        <f t="shared" si="1"/>
        <v>1298.4249804589688</v>
      </c>
      <c r="I6" s="17">
        <f t="shared" si="2"/>
        <v>21832.575019541033</v>
      </c>
    </row>
    <row r="7" spans="1:9" ht="15.75" customHeight="1" x14ac:dyDescent="0.25">
      <c r="A7" s="5">
        <f t="shared" si="3"/>
        <v>2029</v>
      </c>
      <c r="B7" s="49">
        <v>1120</v>
      </c>
      <c r="C7" s="50">
        <v>3798.5</v>
      </c>
      <c r="D7" s="50">
        <v>6478.9999999999991</v>
      </c>
      <c r="E7" s="50">
        <v>6358</v>
      </c>
      <c r="F7" s="50">
        <v>6392.5</v>
      </c>
      <c r="G7" s="17">
        <f t="shared" si="0"/>
        <v>23028</v>
      </c>
      <c r="H7" s="17">
        <f t="shared" si="1"/>
        <v>1288.0743827405181</v>
      </c>
      <c r="I7" s="17">
        <f t="shared" si="2"/>
        <v>21739.925617259483</v>
      </c>
    </row>
    <row r="8" spans="1:9" ht="15.75" customHeight="1" x14ac:dyDescent="0.25">
      <c r="A8" s="5">
        <f t="shared" si="3"/>
        <v>2030</v>
      </c>
      <c r="B8" s="49">
        <v>1113</v>
      </c>
      <c r="C8" s="50">
        <v>3805.5</v>
      </c>
      <c r="D8" s="50">
        <v>6500.9999999999991</v>
      </c>
      <c r="E8" s="50">
        <v>6340</v>
      </c>
      <c r="F8" s="50">
        <v>6282.5</v>
      </c>
      <c r="G8" s="17">
        <f t="shared" si="0"/>
        <v>22929</v>
      </c>
      <c r="H8" s="17">
        <f t="shared" si="1"/>
        <v>1280.0239178483898</v>
      </c>
      <c r="I8" s="17">
        <f t="shared" si="2"/>
        <v>21648.97608215161</v>
      </c>
    </row>
    <row r="9" spans="1:9" ht="15.75" customHeight="1" x14ac:dyDescent="0.25">
      <c r="A9" s="5">
        <f t="shared" si="3"/>
        <v>2031</v>
      </c>
      <c r="B9" s="49">
        <v>1106</v>
      </c>
      <c r="C9" s="50">
        <v>3791.5</v>
      </c>
      <c r="D9" s="50">
        <v>6529</v>
      </c>
      <c r="E9" s="50">
        <v>6305.5</v>
      </c>
      <c r="F9" s="50">
        <v>6185.4999999999991</v>
      </c>
      <c r="G9" s="17">
        <f t="shared" si="0"/>
        <v>22811.5</v>
      </c>
      <c r="H9" s="17">
        <f t="shared" si="1"/>
        <v>1271.9734529562613</v>
      </c>
      <c r="I9" s="17">
        <f t="shared" si="2"/>
        <v>21539.526547043737</v>
      </c>
    </row>
    <row r="10" spans="1:9" ht="15.75" customHeight="1" x14ac:dyDescent="0.25">
      <c r="A10" s="5">
        <f t="shared" si="3"/>
        <v>2032</v>
      </c>
      <c r="B10" s="49">
        <v>1100</v>
      </c>
      <c r="C10" s="50">
        <v>3723.5</v>
      </c>
      <c r="D10" s="50">
        <v>6578.5</v>
      </c>
      <c r="E10" s="50">
        <v>6228</v>
      </c>
      <c r="F10" s="50">
        <v>6120.5</v>
      </c>
      <c r="G10" s="17">
        <f t="shared" si="0"/>
        <v>22650.5</v>
      </c>
      <c r="H10" s="17">
        <f t="shared" si="1"/>
        <v>1265.0730544772944</v>
      </c>
      <c r="I10" s="17">
        <f t="shared" si="2"/>
        <v>21385.426945522704</v>
      </c>
    </row>
    <row r="11" spans="1:9" ht="15.75" customHeight="1" x14ac:dyDescent="0.25">
      <c r="A11" s="5">
        <f t="shared" si="3"/>
        <v>2033</v>
      </c>
      <c r="B11" s="49">
        <v>1094</v>
      </c>
      <c r="C11" s="50">
        <v>3606.5</v>
      </c>
      <c r="D11" s="50">
        <v>6664</v>
      </c>
      <c r="E11" s="50">
        <v>6118</v>
      </c>
      <c r="F11" s="50">
        <v>6080</v>
      </c>
      <c r="G11" s="17">
        <f t="shared" si="0"/>
        <v>22468.5</v>
      </c>
      <c r="H11" s="17">
        <f t="shared" si="1"/>
        <v>1258.1726559983274</v>
      </c>
      <c r="I11" s="17">
        <f t="shared" si="2"/>
        <v>21210.327344001671</v>
      </c>
    </row>
    <row r="12" spans="1:9" ht="15.75" customHeight="1" x14ac:dyDescent="0.25">
      <c r="A12" s="5">
        <f t="shared" si="3"/>
        <v>2034</v>
      </c>
      <c r="B12" s="49">
        <v>1090</v>
      </c>
      <c r="C12" s="50">
        <v>3460.5</v>
      </c>
      <c r="D12" s="50">
        <v>6779.5000000000009</v>
      </c>
      <c r="E12" s="50">
        <v>5996.5</v>
      </c>
      <c r="F12" s="50">
        <v>6053</v>
      </c>
      <c r="G12" s="17">
        <f t="shared" si="0"/>
        <v>22289.5</v>
      </c>
      <c r="H12" s="17">
        <f t="shared" si="1"/>
        <v>1253.5723903456828</v>
      </c>
      <c r="I12" s="17">
        <f t="shared" si="2"/>
        <v>21035.927609654318</v>
      </c>
    </row>
    <row r="13" spans="1:9" ht="15.75" customHeight="1" x14ac:dyDescent="0.25">
      <c r="A13" s="5">
        <f t="shared" si="3"/>
        <v>2035</v>
      </c>
      <c r="B13" s="49">
        <v>1085</v>
      </c>
      <c r="C13" s="50">
        <v>3290</v>
      </c>
      <c r="D13" s="50">
        <v>6907.9999999999991</v>
      </c>
      <c r="E13" s="50">
        <v>5885</v>
      </c>
      <c r="F13" s="50">
        <v>6032.9999999999991</v>
      </c>
      <c r="G13" s="17">
        <f t="shared" si="0"/>
        <v>22116</v>
      </c>
      <c r="H13" s="17">
        <f t="shared" si="1"/>
        <v>1247.8220582798767</v>
      </c>
      <c r="I13" s="17">
        <f t="shared" si="2"/>
        <v>20868.177941720125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Mz7xw2IlamawL9TwPL/LaibXzABiHV6HuziPxBA5/UVg0hhtO/TNMLac6rEOsOZwxw4dlmvND2Z0QYfm5/uvQ==" saltValue="0sDsO1/LJKhndB1k//51N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0.245679024567902</v>
      </c>
    </row>
    <row r="5" spans="1:8" ht="15.75" customHeight="1" x14ac:dyDescent="0.25">
      <c r="B5" s="19" t="s">
        <v>114</v>
      </c>
      <c r="C5" s="101">
        <v>2.1604902160490141E-2</v>
      </c>
    </row>
    <row r="6" spans="1:8" ht="15.75" customHeight="1" x14ac:dyDescent="0.25">
      <c r="B6" s="19" t="s">
        <v>110</v>
      </c>
      <c r="C6" s="101">
        <v>9.7325109732510948E-2</v>
      </c>
    </row>
    <row r="7" spans="1:8" ht="15.75" customHeight="1" x14ac:dyDescent="0.25">
      <c r="B7" s="19" t="s">
        <v>115</v>
      </c>
      <c r="C7" s="101">
        <v>0.36460903646090392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0.186625518662552</v>
      </c>
    </row>
    <row r="10" spans="1:8" ht="15.75" customHeight="1" x14ac:dyDescent="0.25">
      <c r="B10" s="19" t="s">
        <v>113</v>
      </c>
      <c r="C10" s="101">
        <v>8.4156408415640871E-2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121</v>
      </c>
      <c r="C15" s="101">
        <v>0.44874457216701419</v>
      </c>
      <c r="D15" s="101">
        <v>0.44874457216701419</v>
      </c>
      <c r="E15" s="101">
        <v>0.44874457216701419</v>
      </c>
      <c r="F15" s="101">
        <v>0.44874457216701419</v>
      </c>
    </row>
    <row r="16" spans="1:8" ht="15.75" customHeight="1" x14ac:dyDescent="0.25">
      <c r="B16" s="19" t="s">
        <v>2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0.26107037820752421</v>
      </c>
      <c r="D21" s="101">
        <v>0.26107037820752421</v>
      </c>
      <c r="E21" s="101">
        <v>0.26107037820752421</v>
      </c>
      <c r="F21" s="101">
        <v>0.26107037820752421</v>
      </c>
    </row>
    <row r="22" spans="1:8" ht="15.75" customHeight="1" x14ac:dyDescent="0.25">
      <c r="B22" s="19" t="s">
        <v>118</v>
      </c>
      <c r="C22" s="101">
        <v>1.135558378025292E-2</v>
      </c>
      <c r="D22" s="101">
        <v>1.135558378025292E-2</v>
      </c>
      <c r="E22" s="101">
        <v>1.135558378025292E-2</v>
      </c>
      <c r="F22" s="101">
        <v>1.135558378025292E-2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5.0091695999999998E-2</v>
      </c>
    </row>
    <row r="27" spans="1:8" ht="15.75" customHeight="1" x14ac:dyDescent="0.25">
      <c r="B27" s="19" t="s">
        <v>108</v>
      </c>
      <c r="C27" s="101">
        <v>4.9500180999999997E-2</v>
      </c>
    </row>
    <row r="28" spans="1:8" ht="15.75" customHeight="1" x14ac:dyDescent="0.25">
      <c r="B28" s="19" t="s">
        <v>122</v>
      </c>
      <c r="C28" s="101">
        <v>0.107511299</v>
      </c>
    </row>
    <row r="29" spans="1:8" ht="15.75" customHeight="1" x14ac:dyDescent="0.25">
      <c r="B29" s="19" t="s">
        <v>105</v>
      </c>
      <c r="C29" s="101">
        <v>0.189587958</v>
      </c>
    </row>
    <row r="30" spans="1:8" ht="15.75" customHeight="1" x14ac:dyDescent="0.25">
      <c r="B30" s="19" t="s">
        <v>4</v>
      </c>
      <c r="C30" s="101">
        <v>5.7170368999999999E-2</v>
      </c>
    </row>
    <row r="31" spans="1:8" ht="15.75" customHeight="1" x14ac:dyDescent="0.25">
      <c r="B31" s="19" t="s">
        <v>99</v>
      </c>
      <c r="C31" s="101">
        <v>0.16519774500000001</v>
      </c>
    </row>
    <row r="32" spans="1:8" ht="15.75" customHeight="1" x14ac:dyDescent="0.25">
      <c r="B32" s="19" t="s">
        <v>104</v>
      </c>
      <c r="C32" s="101">
        <v>4.2521530000000002E-2</v>
      </c>
    </row>
    <row r="33" spans="2:3" ht="15.75" customHeight="1" x14ac:dyDescent="0.25">
      <c r="B33" s="19" t="s">
        <v>119</v>
      </c>
      <c r="C33" s="101">
        <v>0.16630512</v>
      </c>
    </row>
    <row r="34" spans="2:3" ht="15.75" customHeight="1" x14ac:dyDescent="0.25">
      <c r="B34" s="19" t="s">
        <v>106</v>
      </c>
      <c r="C34" s="101">
        <v>0.17211410299999999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EsNt3l9UE3nqrAMsMMBdwfW5qFr6XWjzvNl5SC7osJ64RRPwjQYdTDmjhsSuISlS0GXooHZzv4Z1I250pGbveg==" saltValue="6y5qIENod1eqG3k8n64l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fnuRmsBGnhdxuyMLmVEcuAix+HXqsYRq7Eaow93E7q9Ab9QrD1uCbXsDvbdUN5E6elHFkvOEdEI1YXWC/LznQ==" saltValue="FUKK6N4AmNUC/jPAOL/B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dV8sE9reDR6yJ/7AUwVKYHJx0DSu+WbuT9AIEfSF9gDcPYPdIVVspTC8knNud50LYlYV6T5Lsc6+mBn9rBXF+Q==" saltValue="T27zDQJaM9o2BWbg6nPP0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jkCIaLLub/D+oZK7E6VcvsZQJd/MDE4zWdhXz+jCy/KZ5+b1n0hEO0mi2htl00TpQFC9+gu5XaRwHSWt8qrfQ==" saltValue="sA3+cO7u63WT+IQZRyvgi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9125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0.47491999999999995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0.62270000000000003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1.3402517919652024E-2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98483.010469999994</v>
      </c>
      <c r="C22" s="109">
        <v>98326.213369999998</v>
      </c>
      <c r="D22" s="109">
        <v>98003.960359999997</v>
      </c>
      <c r="E22" s="109">
        <v>97434.783320000002</v>
      </c>
      <c r="F22" s="109">
        <v>96752.861189999996</v>
      </c>
      <c r="G22" s="109">
        <v>95817.159589999996</v>
      </c>
      <c r="H22" s="109">
        <v>94592.800510000001</v>
      </c>
      <c r="I22" s="109">
        <v>93592.204769999997</v>
      </c>
      <c r="J22" s="109">
        <v>91229.059259999995</v>
      </c>
      <c r="K22" s="109">
        <v>88675.431089999998</v>
      </c>
      <c r="L22" s="109">
        <v>85276.945980000004</v>
      </c>
      <c r="M22" s="109">
        <v>80622.462610000002</v>
      </c>
      <c r="N22" s="109">
        <v>74840.41648</v>
      </c>
      <c r="O22" s="109">
        <v>67603.455820000003</v>
      </c>
    </row>
  </sheetData>
  <sheetProtection algorithmName="SHA-512" hashValue="Xu/AqfIhBW5CjU9ev9kkXFnEuXU8ccGUUhmIXvFVT/4IgMd3+D/OTEnyO6+IORcrq31PnJvfqWaRDPF/vQPdDw==" saltValue="O02l3YIo+3hP8D/bNKAe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jH1LQoG25MOaWdL5Zug9vg16T7p0mrmOoF0Von3OUblSY7VlUkb2AYee4yWd9mH8xn+lMiF5KOpoh3lCt7+Og==" saltValue="0IaSZGp5cK6EiQ98m67ak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XftiMnOThLYJZHDABNuCUn6Wns0OFgwHOrUs/mehboPXntuKwgY/zd5Ou/CVDrPrGVTWhc7XbIwkvjcM5jLFw==" saltValue="Pg1RNwjGuLi97x3BEbYjq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13.4216815904578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13.4216815904578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13.4216815904578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13.4216815904578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13.4216815904578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13.4216815904578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0.43425000000000002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16.066557124329801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4.5352765038898664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155.3213010716627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0.93760060000000001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Dx/A1HdXKJ37pDSbNY/B/qGhyswIc2YIIy6Wyu59TQzKDLXlVSZCoQTpocxEhVGsLehOfg3bRrdJSNfoFj4g5Q==" saltValue="geHrVYSZawgPvcmJyuI1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6/9yqXsK+uIYwdhDqaQPPyoE6OZaA88LPdQLackW9E5C+TfKVdcXV8dr8d83LmFqmZWnYGNzXy9/yjPLEV87Q==" saltValue="+cevxui8mu82zqIU2mYx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BlyTeYuH75CwUvJSBSpGToVfSrDRq+W1/Dc5PG2/r2/PdH17kgsDaJaCbD298RV4ywLh5+cEIZESijtyjlrAA==" saltValue="f49+jks782Tz8wBUxvAu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5NJBnvDiA2IsCLO63GdULav4CxLua5tfLlj93U0VExA4iQw/mWXUx4X/Dlh9+Jv+aFvKy63dmoWPDbv6ncNflQ==" saltValue="gUlXeDmk2IoLBBh9QfQE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tW1eZc7XWLRrTGxpC6mf5snb5qroUgul3IPBjn0fPQOYPubN6A9PKE9otDsXjlou9mlOfIrDvQ26/z1yliZAw==" saltValue="yLd+9FqoYbJKJOrD+OlF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G1oln3OTSTLhgfHivJkqUlAMwh+eMmYnxxl0P8xfJfYm/vru4eHMith8VhdojY4RpPRaLIM1fUAaf+C2sEnBQ==" saltValue="Tko01j/wCHdLKZJWSbz7e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dFlIbeDuwVawULfA2lfmHn73Vd/DS0wJrvZ+YfMrCXhDxzUpGOufK6P5FcFrYuAupLDQbPy8P0KAcqrjoIW1w==" saltValue="GAxu7Z0f1TLdDOUoqm5Z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Ymf6xu2VodSw0J2l6tKSQj09yB/3vO2WJ9d18G5JdRMyA/Uo13sSuVvfso2aSSI6edZ44xhoyMq8JGZlzbmBg==" saltValue="XZLfiXkAV5RfkmId8wMU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FhI0yq2FJD5glfDJz2PgQ/q5LpKZFkU3fI9SLH+2ExMTJw7e+CAe98azfCm+H758+xgB41gn4SzrxyodCpjtOg==" saltValue="O++gIpnqkRWZ6ogV/K7Ml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M7uHEPcHuSuSEk2K03cjNv+Tu/MrQVW1zGRPZWkLEwGtKVcQJ38pQdpxTBmpXEcXRtrnW61K+4jI0W583ZhFIg==" saltValue="3wirn4K0mnOSSqGoX55Q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7fvkQyIM2aHxmNNFIoTJ2XPAwdcdoPUwesNWoKX3jCtkeyWMj9s4Bwm4uOYAcRiWzK1IklD6yqh1f3pcWpVZg==" saltValue="2dyiArjSEmkSjiCTjm03D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gwcaf09H/UtmnJ3sQKkk2Cb+e46atzFmYYG/NtlNxKpsYcPLRLsJGi0FxJkKZQZKZMvsJ3/KqC/Mrx5VB7Aalg==" saltValue="XpLrmBRc8kzwTrRlV9Jm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sJjUmid8M+gfBWWPxarzL6/3eFsCB1wASpbkcJ8NW53vxas0qnjzDzSDLw8UDPY7J6GkaDeXYqKZ2NmBWDLDeg==" saltValue="v809RDLVA721heQaJP6d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CAkDjJGIitwQZp0SuK5ebomGKFuPcSzBOmXfNEqrurjYKi4X0yBvlLL8mwIMQspqgZNyYJKk1We5zssfhjYfA==" saltValue="32wTkcBhi1LC6QjKWtvm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H391ahMI7bfMU8fPq3h5TjfL6pjZ/NY39OtfmUG/Yoab+ogMkId4QAYjSdvPg0D+JikOoXbIiXzp+DOdcJDOg==" saltValue="AvTW4HbmDY23pC+lLArh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QsLNJ8boGB+N/m2TnJBoqG67QewUDDGuMXn1G2zRcDHEd71JMW/BFAeZbuCnd2OBhxfTd03ZCRxjsvNLccD7Q==" saltValue="HxwIuwPuATSoIHvgjp7n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BJZFQHUElnJQUq/3K9C/lTo982cEZAMPiGEiFo5GUfi1oaphNjOSV3m8GLFmT4If5fLIyMp0l9f4/BY8LqjwA==" saltValue="FZ7As6dTPmlUbdl+MZhB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R7tJI+aaE14J/18FShrvgexoDGvm9Ju5JjzVN8tnCiOJuLJaFIVMf3qzmUJImH4Udmr+HVBu51Z8wshoJExVw==" saltValue="R1gfspU9AEoPErThpjTW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zHdLw97HoZhPWWN1KgV76FLKVUuxMx/IKn8dCgNej9qKRTdvfW0MpmDxacoIeHgxalYYEj68rnA5ZA41SQb4A==" saltValue="aP52315xncNIk3q4bdlpJ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