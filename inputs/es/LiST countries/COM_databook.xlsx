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B6ED6B3E-2014-42D6-99F7-855A9ED18100}" xr6:coauthVersionLast="47" xr6:coauthVersionMax="47" xr10:uidLastSave="{00000000-0000-0000-0000-000000000000}"/>
  <bookViews>
    <workbookView xWindow="20" yWindow="20" windowWidth="19180" windowHeight="1018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5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I9" i="2"/>
  <c r="I13" i="2"/>
  <c r="A31" i="2"/>
  <c r="I2" i="2"/>
  <c r="I6" i="2"/>
  <c r="A19" i="2"/>
  <c r="A35" i="2"/>
  <c r="A34" i="2"/>
  <c r="A22" i="2"/>
  <c r="A36" i="2"/>
  <c r="I3" i="2"/>
  <c r="I7" i="2"/>
  <c r="I11" i="2"/>
  <c r="A23" i="2"/>
  <c r="A37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<sst xmlns="http://schemas.openxmlformats.org/spreadsheetml/2006/main" count="2159" uniqueCount="372">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</sst>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114859</v>
      </c>
    </row>
    <row r="8" spans="1:3" ht="15" customHeight="1" x14ac:dyDescent="0.25">
      <c r="B8" s="5" t="s">
        <v>63</v>
      </c>
      <c r="C8" s="44">
        <v>0.17899999999999999</v>
      </c>
    </row>
    <row r="9" spans="1:3" ht="15" customHeight="1" x14ac:dyDescent="0.25">
      <c r="B9" s="5" t="s">
        <v>62</v>
      </c>
      <c r="C9" s="45">
        <v>0.5</v>
      </c>
    </row>
    <row r="10" spans="1:3" ht="15" customHeight="1" x14ac:dyDescent="0.25">
      <c r="B10" s="5" t="s">
        <v>75</v>
      </c>
      <c r="C10" s="45">
        <v>0.51667209999999997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8.2599999999999993E-2</v>
      </c>
    </row>
    <row r="24" spans="1:3" ht="15" customHeight="1" x14ac:dyDescent="0.25">
      <c r="B24" s="15" t="s">
        <v>65</v>
      </c>
      <c r="C24" s="45">
        <v>0.42909999999999998</v>
      </c>
    </row>
    <row r="25" spans="1:3" ht="15" customHeight="1" x14ac:dyDescent="0.25">
      <c r="B25" s="15" t="s">
        <v>66</v>
      </c>
      <c r="C25" s="45">
        <v>0.38800000000000001</v>
      </c>
    </row>
    <row r="26" spans="1:3" ht="15" customHeight="1" x14ac:dyDescent="0.25">
      <c r="B26" s="15" t="s">
        <v>67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0.22550533803534301</v>
      </c>
    </row>
    <row r="30" spans="1:3" ht="14.25" customHeight="1" x14ac:dyDescent="0.25">
      <c r="B30" s="25" t="s">
        <v>82</v>
      </c>
      <c r="C30" s="99">
        <v>9.9346175298700296E-2</v>
      </c>
    </row>
    <row r="31" spans="1:3" ht="14.25" customHeight="1" x14ac:dyDescent="0.25">
      <c r="B31" s="25" t="s">
        <v>29</v>
      </c>
      <c r="C31" s="99">
        <v>0.13120678480199499</v>
      </c>
    </row>
    <row r="32" spans="1:3" ht="14.25" customHeight="1" x14ac:dyDescent="0.25">
      <c r="B32" s="25" t="s">
        <v>30</v>
      </c>
      <c r="C32" s="99">
        <v>0.54394170186396207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25.751989999999999</v>
      </c>
    </row>
    <row r="38" spans="1:5" ht="15" customHeight="1" x14ac:dyDescent="0.25">
      <c r="B38" s="11" t="s">
        <v>54</v>
      </c>
      <c r="C38" s="43">
        <v>39.297609999999999</v>
      </c>
      <c r="D38" s="12"/>
      <c r="E38" s="13"/>
    </row>
    <row r="39" spans="1:5" ht="15" customHeight="1" x14ac:dyDescent="0.25">
      <c r="B39" s="11" t="s">
        <v>80</v>
      </c>
      <c r="C39" s="43">
        <v>49.716740000000001</v>
      </c>
      <c r="D39" s="12"/>
      <c r="E39" s="12"/>
    </row>
    <row r="40" spans="1:5" ht="15" customHeight="1" x14ac:dyDescent="0.25">
      <c r="B40" s="11" t="s">
        <v>55</v>
      </c>
      <c r="C40" s="100">
        <v>2.17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7.8993999999999991E-3</v>
      </c>
      <c r="D45" s="12"/>
    </row>
    <row r="46" spans="1:5" ht="15.75" customHeight="1" x14ac:dyDescent="0.25">
      <c r="B46" s="11" t="s">
        <v>70</v>
      </c>
      <c r="C46" s="45">
        <v>8.4877900000000006E-2</v>
      </c>
      <c r="D46" s="12"/>
    </row>
    <row r="47" spans="1:5" ht="15.75" customHeight="1" x14ac:dyDescent="0.25">
      <c r="B47" s="11" t="s">
        <v>78</v>
      </c>
      <c r="C47" s="45">
        <v>7.3488499999999998E-2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4.1340000000000003</v>
      </c>
      <c r="D51" s="12"/>
    </row>
    <row r="52" spans="1:4" ht="15" customHeight="1" x14ac:dyDescent="0.25">
      <c r="B52" s="11" t="s">
        <v>32</v>
      </c>
      <c r="C52" s="100">
        <v>4.1340000000000003</v>
      </c>
    </row>
    <row r="53" spans="1:4" ht="15.75" customHeight="1" x14ac:dyDescent="0.25">
      <c r="B53" s="11" t="s">
        <v>35</v>
      </c>
      <c r="C53" s="100">
        <v>8.6319999999999997</v>
      </c>
    </row>
    <row r="54" spans="1:4" ht="15.75" customHeight="1" x14ac:dyDescent="0.25">
      <c r="B54" s="11" t="s">
        <v>33</v>
      </c>
      <c r="C54" s="100">
        <v>7.0460000000000003</v>
      </c>
    </row>
    <row r="55" spans="1:4" ht="15.75" customHeight="1" x14ac:dyDescent="0.25">
      <c r="B55" s="11" t="s">
        <v>34</v>
      </c>
      <c r="C55" s="100">
        <v>2.5219999999999998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0.50987099999999996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0.23027240060000001</v>
      </c>
    </row>
    <row r="63" spans="1:4" ht="15.75" customHeight="1" x14ac:dyDescent="0.3">
      <c r="A63" s="4"/>
    </row>
  </sheetData>
  <sheetProtection algorithmName="SHA-512" hashValue="4qOuiNrOh8g+PUOg/MC75EK+inEi5n0MbujJ5MBoDBjUiWXqEQ1LKdfMUpzWsiTTVIRRCopAEwvXPJbE9dbADw==" saltValue="g+Qivcl4qQzgnl0RhOjk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115694</v>
      </c>
      <c r="C2" s="49">
        <v>25889</v>
      </c>
      <c r="D2" s="49">
        <v>52802.5</v>
      </c>
      <c r="E2" s="49">
        <v>89253.999999999985</v>
      </c>
      <c r="F2" s="49">
        <v>69124</v>
      </c>
      <c r="G2" s="17">
        <f t="shared" ref="G2:G13" si="0">C2+D2+E2+F2</f>
        <v>237069.5</v>
      </c>
      <c r="H2" s="17">
        <f t="shared" ref="H2:H13" si="1">(B2 + stillbirth*B2/(1000-stillbirth))/(1-abortion)</f>
        <v>134735.3935921193</v>
      </c>
      <c r="I2" s="17">
        <f t="shared" ref="I2:I13" si="2">G2-H2</f>
        <v>102334.1064078807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24467</v>
      </c>
      <c r="C3" s="50">
        <v>42634</v>
      </c>
      <c r="D3" s="50">
        <v>71651</v>
      </c>
      <c r="E3" s="50">
        <v>56603</v>
      </c>
      <c r="F3" s="50">
        <v>43073.5</v>
      </c>
      <c r="G3" s="17">
        <f t="shared" si="0"/>
        <v>213961.5</v>
      </c>
      <c r="H3" s="17">
        <f t="shared" si="1"/>
        <v>28493.879328386807</v>
      </c>
      <c r="I3" s="17">
        <f t="shared" si="2"/>
        <v>185467.6206716132</v>
      </c>
    </row>
    <row r="4" spans="1:9" ht="15.75" customHeight="1" x14ac:dyDescent="0.25">
      <c r="A4" s="5">
        <f t="shared" si="3"/>
        <v>2026</v>
      </c>
      <c r="B4" s="49">
        <v>24525</v>
      </c>
      <c r="C4" s="50">
        <v>43768</v>
      </c>
      <c r="D4" s="50">
        <v>73193</v>
      </c>
      <c r="E4" s="50">
        <v>57253.5</v>
      </c>
      <c r="F4" s="50">
        <v>44391.5</v>
      </c>
      <c r="G4" s="17">
        <f t="shared" si="0"/>
        <v>218606</v>
      </c>
      <c r="H4" s="17">
        <f t="shared" si="1"/>
        <v>28561.425206551125</v>
      </c>
      <c r="I4" s="17">
        <f t="shared" si="2"/>
        <v>190044.57479344888</v>
      </c>
    </row>
    <row r="5" spans="1:9" ht="15.75" customHeight="1" x14ac:dyDescent="0.25">
      <c r="A5" s="5">
        <f t="shared" si="3"/>
        <v>2027</v>
      </c>
      <c r="B5" s="49">
        <v>24599</v>
      </c>
      <c r="C5" s="50">
        <v>44969.5</v>
      </c>
      <c r="D5" s="50">
        <v>74696</v>
      </c>
      <c r="E5" s="50">
        <v>57931</v>
      </c>
      <c r="F5" s="50">
        <v>45672</v>
      </c>
      <c r="G5" s="17">
        <f t="shared" si="0"/>
        <v>223268.5</v>
      </c>
      <c r="H5" s="17">
        <f t="shared" si="1"/>
        <v>28647.604430415951</v>
      </c>
      <c r="I5" s="17">
        <f t="shared" si="2"/>
        <v>194620.89556958404</v>
      </c>
    </row>
    <row r="6" spans="1:9" ht="15.75" customHeight="1" x14ac:dyDescent="0.25">
      <c r="A6" s="5">
        <f t="shared" si="3"/>
        <v>2028</v>
      </c>
      <c r="B6" s="49">
        <v>24695</v>
      </c>
      <c r="C6" s="50">
        <v>46153.5</v>
      </c>
      <c r="D6" s="50">
        <v>76129.5</v>
      </c>
      <c r="E6" s="50">
        <v>58705</v>
      </c>
      <c r="F6" s="50">
        <v>46924.5</v>
      </c>
      <c r="G6" s="17">
        <f t="shared" si="0"/>
        <v>227912.5</v>
      </c>
      <c r="H6" s="17">
        <f t="shared" si="1"/>
        <v>28759.404504618964</v>
      </c>
      <c r="I6" s="17">
        <f t="shared" si="2"/>
        <v>199153.09549538104</v>
      </c>
    </row>
    <row r="7" spans="1:9" ht="15.75" customHeight="1" x14ac:dyDescent="0.25">
      <c r="A7" s="5">
        <f t="shared" si="3"/>
        <v>2029</v>
      </c>
      <c r="B7" s="49">
        <v>24823</v>
      </c>
      <c r="C7" s="50">
        <v>47258</v>
      </c>
      <c r="D7" s="50">
        <v>77502.000000000015</v>
      </c>
      <c r="E7" s="50">
        <v>59623.5</v>
      </c>
      <c r="F7" s="50">
        <v>48150.999999999993</v>
      </c>
      <c r="G7" s="17">
        <f t="shared" si="0"/>
        <v>232534.5</v>
      </c>
      <c r="H7" s="17">
        <f t="shared" si="1"/>
        <v>28908.471270222981</v>
      </c>
      <c r="I7" s="17">
        <f t="shared" si="2"/>
        <v>203626.02872977703</v>
      </c>
    </row>
    <row r="8" spans="1:9" ht="15.75" customHeight="1" x14ac:dyDescent="0.25">
      <c r="A8" s="5">
        <f t="shared" si="3"/>
        <v>2030</v>
      </c>
      <c r="B8" s="49">
        <v>24938</v>
      </c>
      <c r="C8" s="50">
        <v>48256.5</v>
      </c>
      <c r="D8" s="50">
        <v>78861.5</v>
      </c>
      <c r="E8" s="50">
        <v>60694.5</v>
      </c>
      <c r="F8" s="50">
        <v>49330.5</v>
      </c>
      <c r="G8" s="17">
        <f t="shared" si="0"/>
        <v>237143</v>
      </c>
      <c r="H8" s="17">
        <f t="shared" si="1"/>
        <v>29042.398442445341</v>
      </c>
      <c r="I8" s="17">
        <f t="shared" si="2"/>
        <v>208100.60155755465</v>
      </c>
    </row>
    <row r="9" spans="1:9" ht="15.75" customHeight="1" x14ac:dyDescent="0.25">
      <c r="A9" s="5">
        <f t="shared" si="3"/>
        <v>2031</v>
      </c>
      <c r="B9" s="49">
        <v>25062</v>
      </c>
      <c r="C9" s="50">
        <v>49146</v>
      </c>
      <c r="D9" s="50">
        <v>80269</v>
      </c>
      <c r="E9" s="50">
        <v>61900.000000000007</v>
      </c>
      <c r="F9" s="50">
        <v>50433</v>
      </c>
      <c r="G9" s="17">
        <f t="shared" si="0"/>
        <v>241748</v>
      </c>
      <c r="H9" s="17">
        <f t="shared" si="1"/>
        <v>29186.806871624234</v>
      </c>
      <c r="I9" s="17">
        <f t="shared" si="2"/>
        <v>212561.19312837577</v>
      </c>
    </row>
    <row r="10" spans="1:9" ht="15.75" customHeight="1" x14ac:dyDescent="0.25">
      <c r="A10" s="5">
        <f t="shared" si="3"/>
        <v>2032</v>
      </c>
      <c r="B10" s="49">
        <v>25184</v>
      </c>
      <c r="C10" s="50">
        <v>49947.5</v>
      </c>
      <c r="D10" s="50">
        <v>81785</v>
      </c>
      <c r="E10" s="50">
        <v>63215</v>
      </c>
      <c r="F10" s="50">
        <v>51433</v>
      </c>
      <c r="G10" s="17">
        <f t="shared" si="0"/>
        <v>246380.5</v>
      </c>
      <c r="H10" s="17">
        <f t="shared" si="1"/>
        <v>29328.886132590564</v>
      </c>
      <c r="I10" s="17">
        <f t="shared" si="2"/>
        <v>217051.61386740944</v>
      </c>
    </row>
    <row r="11" spans="1:9" ht="15.75" customHeight="1" x14ac:dyDescent="0.25">
      <c r="A11" s="5">
        <f t="shared" si="3"/>
        <v>2033</v>
      </c>
      <c r="B11" s="49">
        <v>25346</v>
      </c>
      <c r="C11" s="50">
        <v>50708.5</v>
      </c>
      <c r="D11" s="50">
        <v>83452</v>
      </c>
      <c r="E11" s="50">
        <v>64619</v>
      </c>
      <c r="F11" s="50">
        <v>52313</v>
      </c>
      <c r="G11" s="17">
        <f t="shared" si="0"/>
        <v>251092.5</v>
      </c>
      <c r="H11" s="17">
        <f t="shared" si="1"/>
        <v>29517.548757808152</v>
      </c>
      <c r="I11" s="17">
        <f t="shared" si="2"/>
        <v>221574.95124219183</v>
      </c>
    </row>
    <row r="12" spans="1:9" ht="15.75" customHeight="1" x14ac:dyDescent="0.25">
      <c r="A12" s="5">
        <f t="shared" si="3"/>
        <v>2034</v>
      </c>
      <c r="B12" s="49">
        <v>25528</v>
      </c>
      <c r="C12" s="50">
        <v>51446</v>
      </c>
      <c r="D12" s="50">
        <v>85293</v>
      </c>
      <c r="E12" s="50">
        <v>66092.5</v>
      </c>
      <c r="F12" s="50">
        <v>53073.499999999993</v>
      </c>
      <c r="G12" s="17">
        <f t="shared" si="0"/>
        <v>255905</v>
      </c>
      <c r="H12" s="17">
        <f t="shared" si="1"/>
        <v>29729.503065151363</v>
      </c>
      <c r="I12" s="17">
        <f t="shared" si="2"/>
        <v>226175.49693484863</v>
      </c>
    </row>
    <row r="13" spans="1:9" ht="15.75" customHeight="1" x14ac:dyDescent="0.25">
      <c r="A13" s="5">
        <f t="shared" si="3"/>
        <v>2035</v>
      </c>
      <c r="B13" s="49">
        <v>25712</v>
      </c>
      <c r="C13" s="50">
        <v>52142</v>
      </c>
      <c r="D13" s="50">
        <v>87253.999999999985</v>
      </c>
      <c r="E13" s="50">
        <v>67603</v>
      </c>
      <c r="F13" s="50">
        <v>53747.5</v>
      </c>
      <c r="G13" s="17">
        <f t="shared" si="0"/>
        <v>260746.5</v>
      </c>
      <c r="H13" s="17">
        <f t="shared" si="1"/>
        <v>29943.78654070714</v>
      </c>
      <c r="I13" s="17">
        <f t="shared" si="2"/>
        <v>230802.71345929286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YjBl1nfxsiAieHf4PdqFEMTyJ7V7wkb5u3s2105ChuvZJUTAiPbyPoyGPBqeFBb4Wjgj4R23kiCb/FvAZ3mIQ==" saltValue="8hnbfN3vGGionJR/j+C68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1.379560137956014E-2</v>
      </c>
    </row>
    <row r="4" spans="1:8" ht="15.75" customHeight="1" x14ac:dyDescent="0.25">
      <c r="B4" s="19" t="s">
        <v>116</v>
      </c>
      <c r="C4" s="101">
        <v>5.6293305629330617E-2</v>
      </c>
    </row>
    <row r="5" spans="1:8" ht="15.75" customHeight="1" x14ac:dyDescent="0.25">
      <c r="B5" s="19" t="s">
        <v>114</v>
      </c>
      <c r="C5" s="101">
        <v>7.5123207512320808E-2</v>
      </c>
    </row>
    <row r="6" spans="1:8" ht="15.75" customHeight="1" x14ac:dyDescent="0.25">
      <c r="B6" s="19" t="s">
        <v>110</v>
      </c>
      <c r="C6" s="101">
        <v>0.24197382419738189</v>
      </c>
    </row>
    <row r="7" spans="1:8" ht="15.75" customHeight="1" x14ac:dyDescent="0.25">
      <c r="B7" s="19" t="s">
        <v>115</v>
      </c>
      <c r="C7" s="101">
        <v>0.42879114287911452</v>
      </c>
    </row>
    <row r="8" spans="1:8" ht="15.75" customHeight="1" x14ac:dyDescent="0.25">
      <c r="B8" s="19" t="s">
        <v>117</v>
      </c>
      <c r="C8" s="101">
        <v>1.9423001942300211E-3</v>
      </c>
    </row>
    <row r="9" spans="1:8" ht="15.75" customHeight="1" x14ac:dyDescent="0.25">
      <c r="B9" s="19" t="s">
        <v>111</v>
      </c>
      <c r="C9" s="101">
        <v>7.2365807236580704E-2</v>
      </c>
    </row>
    <row r="10" spans="1:8" ht="15.75" customHeight="1" x14ac:dyDescent="0.25">
      <c r="B10" s="19" t="s">
        <v>113</v>
      </c>
      <c r="C10" s="101">
        <v>0.1097148109714812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121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2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120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98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107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118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8.8581871999999992E-2</v>
      </c>
    </row>
    <row r="27" spans="1:8" ht="15.75" customHeight="1" x14ac:dyDescent="0.25">
      <c r="B27" s="19" t="s">
        <v>108</v>
      </c>
      <c r="C27" s="101">
        <v>8.8641740000000007E-3</v>
      </c>
    </row>
    <row r="28" spans="1:8" ht="15.75" customHeight="1" x14ac:dyDescent="0.25">
      <c r="B28" s="19" t="s">
        <v>122</v>
      </c>
      <c r="C28" s="101">
        <v>0.15728592299999999</v>
      </c>
    </row>
    <row r="29" spans="1:8" ht="15.75" customHeight="1" x14ac:dyDescent="0.25">
      <c r="B29" s="19" t="s">
        <v>105</v>
      </c>
      <c r="C29" s="101">
        <v>0.170055973</v>
      </c>
    </row>
    <row r="30" spans="1:8" ht="15.75" customHeight="1" x14ac:dyDescent="0.25">
      <c r="B30" s="19" t="s">
        <v>4</v>
      </c>
      <c r="C30" s="101">
        <v>0.105793744</v>
      </c>
    </row>
    <row r="31" spans="1:8" ht="15.75" customHeight="1" x14ac:dyDescent="0.25">
      <c r="B31" s="19" t="s">
        <v>99</v>
      </c>
      <c r="C31" s="101">
        <v>0.111206134</v>
      </c>
    </row>
    <row r="32" spans="1:8" ht="15.75" customHeight="1" x14ac:dyDescent="0.25">
      <c r="B32" s="19" t="s">
        <v>104</v>
      </c>
      <c r="C32" s="101">
        <v>1.8849359E-2</v>
      </c>
    </row>
    <row r="33" spans="2:3" ht="15.75" customHeight="1" x14ac:dyDescent="0.25">
      <c r="B33" s="19" t="s">
        <v>119</v>
      </c>
      <c r="C33" s="101">
        <v>8.5214494999999987E-2</v>
      </c>
    </row>
    <row r="34" spans="2:3" ht="15.75" customHeight="1" x14ac:dyDescent="0.25">
      <c r="B34" s="19" t="s">
        <v>106</v>
      </c>
      <c r="C34" s="101">
        <v>0.25414832700000001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vdrnbwi+xcglFHtWyIEjn11PVH9U9Ce34pHZ/ZDxQh2doqA197NQurg1HctC3PujqKHb9IrimpIdzAM8QrF8Rg==" saltValue="DgSNnLGXVpeywuHwfe8k7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129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125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126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138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5k1CfwaVtu3GK8Vn7HX2mnZ++PUjVOV18H9iVKQ9apJKa32NCM3Zbroz9tMepKZqF8yiN7eePUuPvEwJLoSNA==" saltValue="DSIriB9PQ3iC4Opu5kYp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6.8028899999999948E-2</v>
      </c>
      <c r="D5" s="52">
        <f t="shared" si="0"/>
        <v>5.3734100000000007E-2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NVNe3UWeq8Hd0c9YJm6JQQhqVL8ESKKTW5becWqACNi3qdcUH3WVjPwmqkK9QbHqfJwor5b8C9HGAfMV9D0UNQ==" saltValue="LvJIjGVgEwldCYQPRvkuL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rEwfK4zIIIX6xdaGn7RLZzfROmkc18ue0IpGNuT8eoO9I3bjRlWTaF3V508zWIV7kxWtLMDk7Opj3cxJ0RxmQ==" saltValue="rOsV/32xttad0p+dOlpPj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1484.89246472542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0.42185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0.34328999999999998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2.3254234572696694E-2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93426.008679999999</v>
      </c>
      <c r="C22" s="109">
        <v>92886.310400000002</v>
      </c>
      <c r="D22" s="109">
        <v>92630.517399999997</v>
      </c>
      <c r="E22" s="109">
        <v>92183.813639999993</v>
      </c>
      <c r="F22" s="109">
        <v>91537.191340000005</v>
      </c>
      <c r="G22" s="109">
        <v>90782.443859999999</v>
      </c>
      <c r="H22" s="109">
        <v>89859.403009999995</v>
      </c>
      <c r="I22" s="109">
        <v>88678.481050000002</v>
      </c>
      <c r="J22" s="109">
        <v>86993.360520000002</v>
      </c>
      <c r="K22" s="109">
        <v>84689.153760000001</v>
      </c>
      <c r="L22" s="109">
        <v>81236.659220000001</v>
      </c>
      <c r="M22" s="109">
        <v>76359.293820000006</v>
      </c>
      <c r="N22" s="109">
        <v>69169.567190000002</v>
      </c>
      <c r="O22" s="109">
        <v>59738.168949999999</v>
      </c>
    </row>
  </sheetData>
  <sheetProtection algorithmName="SHA-512" hashValue="oSLLGXypnLly33kKnG1NgBPWBAr89lSM5U+wVHKOAAF04YgeFBnpxINeQOOwnZH6DH7lOWh4xkZd6gKUPenEEw==" saltValue="BVEH75qvesqQaVTLam0eH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DKHqNrWMrWxwq1ToBfZP8Qx2s8/nwgjuIF7DnYtvz6dShzzGDRuaw5oGrSkOKOnghw/nJYduuuqaEE98MS0BA==" saltValue="BXSSQoyq9XkxeecyERV2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GHiHWEmZjPKw3uyNypLZVxZkQySY7EYj4va9ptme5Nh4UWVHfWO4IhViWIL3WjMDpmP5NknDXdPG6KIC9KI7GQ==" saltValue="y2Hc1FIHOOOeqxKvwudOG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0.125552</v>
      </c>
      <c r="C10" s="98">
        <v>0.95</v>
      </c>
      <c r="D10" s="56">
        <v>15.06077994466111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15.06077994466111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15.06077994466111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15.06077994466111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15.06077994466111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0.41392640000000003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0.60599999999999998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0.10688060000000001</v>
      </c>
      <c r="C19" s="98">
        <v>0.95</v>
      </c>
      <c r="D19" s="56">
        <v>1.888235787121497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0.56810229999999995</v>
      </c>
      <c r="C23" s="98">
        <v>0.95</v>
      </c>
      <c r="D23" s="56">
        <v>4.9386229663401986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0.42426401169421402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0.37546259999999998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0.21526239999999999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0.25009999999999999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0.48499999999999999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0.15573529999999999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0.6041609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8.7560000000000003E-4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0.59496380000000004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2E-3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frU8nlzsywvltoGppiMBrEPzRtFQ1XsxlPVqqKBZHsVxIZfWO0qXUeViqpcSdnemyMSMehMFKmvR9J/IGRGm3A==" saltValue="FZO5SpQsHxFXDAXMO9PX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BlbNaCOArP+JhSDTPbzKst88W6wz6ZGSN9CecxAyiCtOW3W1gyC+9gfB6ZAhGqNw/2eFmyoTZ+h/SVaVU2vag==" saltValue="VmF9oYQnFEWw+wPBgQAF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s+Xfp58U5jBV8dT+tlw3wXX15lsbHhHP51k7L3UujUqSiDmPbP02LNAQKuSqPm0JGYr+02cBMlaCdsdjv0/xA==" saltValue="mg9jtmHmwF92nd/iVmaOu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4.1340000000000003</v>
      </c>
      <c r="C2" s="21">
        <f>'Entradas de población-año base'!C52</f>
        <v>4.1340000000000003</v>
      </c>
      <c r="D2" s="21">
        <f>'Entradas de población-año base'!C53</f>
        <v>8.6319999999999997</v>
      </c>
      <c r="E2" s="21">
        <f>'Entradas de población-año base'!C54</f>
        <v>7.0460000000000003</v>
      </c>
      <c r="F2" s="21">
        <f>'Entradas de población-año base'!C55</f>
        <v>2.5219999999999998</v>
      </c>
    </row>
    <row r="3" spans="1:6" ht="15.75" customHeight="1" x14ac:dyDescent="0.25">
      <c r="A3" s="3" t="s">
        <v>6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236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sheetProtection algorithmName="SHA-512" hashValue="8MiTq2Jfcl1e1+vtKiGQbSmDsYoUYQPh+9CBVrzjJ6A/o0wnbh1xRJ1lbXhx2Hii3+qm7dgsd3ZsNbOJXv/LPA==" saltValue="r83wFz47F+UbwUGtpp9k0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0.17899999999999999</v>
      </c>
      <c r="F2" s="60">
        <f>food_insecure</f>
        <v>0.17899999999999999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9.0196363636363658E-2</v>
      </c>
      <c r="D7" s="60">
        <f>diarrhoea_1_5mo*frac_diarrhea_severe</f>
        <v>9.0196363636363658E-2</v>
      </c>
      <c r="E7" s="60">
        <f>diarrhoea_6_11mo*frac_diarrhea_severe</f>
        <v>0.18833454545454545</v>
      </c>
      <c r="F7" s="60">
        <f>diarrhoea_12_23mo*frac_diarrhea_severe</f>
        <v>0.15373090909090911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9.0196363636363658E-2</v>
      </c>
      <c r="D12" s="60">
        <f>diarrhoea_1_5mo*frac_diarrhea_severe</f>
        <v>9.0196363636363658E-2</v>
      </c>
      <c r="E12" s="60">
        <f>diarrhoea_6_11mo*frac_diarrhea_severe</f>
        <v>0.18833454545454545</v>
      </c>
      <c r="F12" s="60">
        <f>diarrhoea_12_23mo*frac_diarrhea_severe</f>
        <v>0.15373090909090911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0.17899999999999999</v>
      </c>
      <c r="I15" s="60">
        <f t="shared" si="0"/>
        <v>0.17899999999999999</v>
      </c>
      <c r="J15" s="60">
        <f t="shared" si="0"/>
        <v>0.17899999999999999</v>
      </c>
      <c r="K15" s="60">
        <f t="shared" si="0"/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0.17899999999999999</v>
      </c>
      <c r="I16" s="60">
        <f t="shared" si="0"/>
        <v>0.17899999999999999</v>
      </c>
      <c r="J16" s="60">
        <f t="shared" si="0"/>
        <v>0.17899999999999999</v>
      </c>
      <c r="K16" s="60">
        <f t="shared" si="0"/>
        <v>0.17899999999999999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0.25499896676099998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0.10928527146899999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0.11904366176999999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0.51667209999999997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0.5</v>
      </c>
      <c r="D34" s="60">
        <f t="shared" si="4"/>
        <v>0.5</v>
      </c>
      <c r="E34" s="60">
        <f t="shared" si="4"/>
        <v>0.5</v>
      </c>
      <c r="F34" s="60">
        <f t="shared" si="4"/>
        <v>0.5</v>
      </c>
      <c r="G34" s="60">
        <f t="shared" si="4"/>
        <v>0.5</v>
      </c>
      <c r="H34" s="60">
        <f t="shared" si="4"/>
        <v>0.5</v>
      </c>
      <c r="I34" s="60">
        <f t="shared" si="4"/>
        <v>0.5</v>
      </c>
      <c r="J34" s="60">
        <f t="shared" si="4"/>
        <v>0.5</v>
      </c>
      <c r="K34" s="60">
        <f t="shared" si="4"/>
        <v>0.5</v>
      </c>
      <c r="L34" s="60">
        <f t="shared" si="4"/>
        <v>0.5</v>
      </c>
      <c r="M34" s="60">
        <f t="shared" si="4"/>
        <v>0.5</v>
      </c>
      <c r="N34" s="60">
        <f t="shared" si="4"/>
        <v>0.5</v>
      </c>
      <c r="O34" s="60">
        <f t="shared" si="4"/>
        <v>0.5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Gn7d2/U4QjqKo3KkOlJCiwwY5FbMpHDaB6PfqhyG4iCXxvLT3T5ZQTiRVPJWYjCbyFHNcB9hGcvGf9TZa3pDg==" saltValue="t8SrdyPnYtm04MCnCOGCK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ag3epwAm9pOJlvs5HiF+maypjaTWGjksOqybhp8xsoE6ie+6HenpuQ/I8jra8/FH+7OVlzSVP9H3Xab2BpTPQ==" saltValue="fZJ9AaRcM1LD1btJFjexm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cbnJ44pCwmWMn9WnkXZxaID5rTJyFlENxOOQILDTZ3bCNCQ7OR5F5PgcgHXiipZ/CngJr7DY539d/u62epgpg==" saltValue="/LcTqwQWYVtcncrPSeTJ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jMOlFtEFEhBWh7VxZjh9f64aJHrV5QOGODmsvHHIZ2UTjvAsHWwUPhFCf390QHfx0JO4LsXRzKckc7GiTXnpg==" saltValue="7Ipng+ugMOqAu8hYOyMDR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/CY0D8h0PtJqPd0jCh+nPINRNmSZJZ8tRyAFy6lYs2yzlpAIcDICXpvQyCJXCc4Z/bYOcet+sYgWVtXvFyKbvg==" saltValue="2UNMw2bR/UGpzrh1PTD+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5fEtvbahxKaQMP9HAX9SKVKjSPZallOLxz83eNH3kAem9GIuQE1tdlR5D5MUN4gGJmWi1rYZ9Sa1x3U2uF1o1w==" saltValue="ixsSYvKHYrT8Rayyq7J1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yB7cFGsOIoNbuorj7tzQECZn80qjMUHXoskeKyVymt8ZIK9LKXbxAMLWG/zhknw79Avn3bxIqILJI7kmXyRrA==" saltValue="1rXdv6ilzJ9jWYNBHfsIe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7F339lWOu6fsTrpjhCYz54yLQ9xf37+rb18fiVkHDku3M20kXqhQHPUOVFUBTYV+aeNhpXNjxGMCObZxDnw8Q==" saltValue="AGO7Psm6xx2+PTby7F8g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z3+UiWTlYSKxbYOmgPFSNyu19ZLqlWciXPc728wlpyM+CW7dT8u9OmeaFCeo0c+zYbB5zYxIh15LkMdX1dz/7A==" saltValue="Vfw7X1l7OQxNAdDLWhWF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Q0wAQBEAUvHaUfxuea+g/+tnbv1BKz1SGbszpLrOwI9/sb4orfgluY9EuWhgA+/9uHH5NE4BzrV8zp1wL9fFw==" saltValue="Lng/IJcCY9geF1HjrgP5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Zic5VlGm0sUD2Hg2v6DqWkKAJzxqdqyZ7tc9IVeActqAG7xCdRSipn7lYE3xi5Uf6Q1jZKZjD8Ndc7H/s6mrQ==" saltValue="rhJIlbXc0Oljrm8JdnZK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JaK87V+P+iO2nNznu+DNGU1zwbqA38SumbLtiUtfiDKxbsZNwOHFrAC4abOX4yOmBeXhCESTR11RiP4rrMz6w==" saltValue="nA0aPMZwGjcHo0tv7a2K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te6XRDR9eUu7dRlHreijWnyYkXf86uWRoALHu/+qmqEuvtnikPDW2oxmljA+i5vjcofSo0zdOetZ8YgY1AoPw==" saltValue="ANq7hUpcP1cFRhY65LYt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51bPw+fBKfHDvqzesokftCzz1bQAMlpVGqIjYVUgwkL70yS6s9an6y/vNS7hSQoi4BbdOGOHA7O9ppGOMN76yg==" saltValue="lD6An54wIC2SMpIPplri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a3Gcuctqvvx6Q/bJ41ZlDzTejRY0YwaIn8DwmClB+GQondaiEEKH0pwfFe8wyI9wO/GkHVjDrd+/BhIsFkljw==" saltValue="NrBQKAPNNZPhk8VAeImHT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