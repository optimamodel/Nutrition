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6D306A3-A9E1-423C-B72B-B7CB50ED5DB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26" i="2"/>
  <c r="I39" i="2"/>
  <c r="I2" i="2"/>
  <c r="I6" i="2"/>
  <c r="A19" i="2"/>
  <c r="A35" i="2"/>
  <c r="A22" i="2"/>
  <c r="A36" i="2"/>
  <c r="I3" i="2"/>
  <c r="I7" i="2"/>
  <c r="I11" i="2"/>
  <c r="A23" i="2"/>
  <c r="A37" i="2"/>
  <c r="A40" i="2"/>
  <c r="A24" i="2"/>
  <c r="I38" i="2"/>
  <c r="A3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<sst xmlns="http://schemas.openxmlformats.org/spreadsheetml/2006/main" count="2169" uniqueCount="373">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</sst>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114859</v>
      </c>
    </row>
    <row r="8" spans="1:3" ht="15" customHeight="1" x14ac:dyDescent="0.25">
      <c r="B8" s="5" t="s">
        <v>63</v>
      </c>
      <c r="C8" s="44">
        <v>0.17899999999999999</v>
      </c>
    </row>
    <row r="9" spans="1:3" ht="15" customHeight="1" x14ac:dyDescent="0.25">
      <c r="B9" s="5" t="s">
        <v>62</v>
      </c>
      <c r="C9" s="45">
        <v>0.5</v>
      </c>
    </row>
    <row r="10" spans="1:3" ht="15" customHeight="1" x14ac:dyDescent="0.25">
      <c r="B10" s="5" t="s">
        <v>75</v>
      </c>
      <c r="C10" s="45">
        <v>0.51667209999999997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8.2599999999999993E-2</v>
      </c>
    </row>
    <row r="24" spans="1:3" ht="15" customHeight="1" x14ac:dyDescent="0.25">
      <c r="B24" s="15" t="s">
        <v>65</v>
      </c>
      <c r="C24" s="45">
        <v>0.42909999999999998</v>
      </c>
    </row>
    <row r="25" spans="1:3" ht="15" customHeight="1" x14ac:dyDescent="0.25">
      <c r="B25" s="15" t="s">
        <v>66</v>
      </c>
      <c r="C25" s="45">
        <v>0.38800000000000001</v>
      </c>
    </row>
    <row r="26" spans="1:3" ht="15" customHeight="1" x14ac:dyDescent="0.25">
      <c r="B26" s="15" t="s">
        <v>67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0.22550533803534301</v>
      </c>
    </row>
    <row r="30" spans="1:3" ht="14.25" customHeight="1" x14ac:dyDescent="0.25">
      <c r="B30" s="25" t="s">
        <v>82</v>
      </c>
      <c r="C30" s="97">
        <v>9.9346175298700296E-2</v>
      </c>
    </row>
    <row r="31" spans="1:3" ht="14.25" customHeight="1" x14ac:dyDescent="0.25">
      <c r="B31" s="25" t="s">
        <v>29</v>
      </c>
      <c r="C31" s="97">
        <v>0.13120678480199499</v>
      </c>
    </row>
    <row r="32" spans="1:3" ht="14.25" customHeight="1" x14ac:dyDescent="0.25">
      <c r="B32" s="25" t="s">
        <v>30</v>
      </c>
      <c r="C32" s="97">
        <v>0.54394170186396207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25.751989999999999</v>
      </c>
    </row>
    <row r="38" spans="1:5" ht="15" customHeight="1" x14ac:dyDescent="0.25">
      <c r="B38" s="11" t="s">
        <v>54</v>
      </c>
      <c r="C38" s="43">
        <v>39.297609999999999</v>
      </c>
      <c r="D38" s="12"/>
      <c r="E38" s="13"/>
    </row>
    <row r="39" spans="1:5" ht="15" customHeight="1" x14ac:dyDescent="0.25">
      <c r="B39" s="11" t="s">
        <v>80</v>
      </c>
      <c r="C39" s="43">
        <v>49.716740000000001</v>
      </c>
      <c r="D39" s="12"/>
      <c r="E39" s="12"/>
    </row>
    <row r="40" spans="1:5" ht="15" customHeight="1" x14ac:dyDescent="0.25">
      <c r="B40" s="11" t="s">
        <v>55</v>
      </c>
      <c r="C40" s="98">
        <v>2.17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7.8993999999999991E-3</v>
      </c>
      <c r="D45" s="12"/>
    </row>
    <row r="46" spans="1:5" ht="15.75" customHeight="1" x14ac:dyDescent="0.25">
      <c r="B46" s="11" t="s">
        <v>70</v>
      </c>
      <c r="C46" s="45">
        <v>8.4877900000000006E-2</v>
      </c>
      <c r="D46" s="12"/>
    </row>
    <row r="47" spans="1:5" ht="15.75" customHeight="1" x14ac:dyDescent="0.25">
      <c r="B47" s="11" t="s">
        <v>78</v>
      </c>
      <c r="C47" s="45">
        <v>7.3488499999999998E-2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4.1340000000000003</v>
      </c>
      <c r="D51" s="12"/>
    </row>
    <row r="52" spans="1:4" ht="15" customHeight="1" x14ac:dyDescent="0.25">
      <c r="B52" s="11" t="s">
        <v>32</v>
      </c>
      <c r="C52" s="98">
        <v>4.1340000000000003</v>
      </c>
    </row>
    <row r="53" spans="1:4" ht="15.75" customHeight="1" x14ac:dyDescent="0.25">
      <c r="B53" s="11" t="s">
        <v>35</v>
      </c>
      <c r="C53" s="98">
        <v>8.6319999999999997</v>
      </c>
    </row>
    <row r="54" spans="1:4" ht="15.75" customHeight="1" x14ac:dyDescent="0.25">
      <c r="B54" s="11" t="s">
        <v>33</v>
      </c>
      <c r="C54" s="98">
        <v>7.0460000000000003</v>
      </c>
    </row>
    <row r="55" spans="1:4" ht="15.75" customHeight="1" x14ac:dyDescent="0.25">
      <c r="B55" s="11" t="s">
        <v>34</v>
      </c>
      <c r="C55" s="98">
        <v>2.5219999999999998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0.50987099999999996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eMe2EnvcOGPS8zYeTDOPMABqcGGW+LKUNZkv1Vt5qAShZ1qBPaksr/k2rPmnY7QVIwOvkyxMOmiyTcHM7YChUQ==" saltValue="lrupmNNi5zSk1AFBwqIA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115694</v>
      </c>
      <c r="C2" s="49">
        <v>25889</v>
      </c>
      <c r="D2" s="49">
        <v>52802.5</v>
      </c>
      <c r="E2" s="49">
        <v>89253.999999999985</v>
      </c>
      <c r="F2" s="49">
        <v>69124</v>
      </c>
      <c r="G2" s="17">
        <f t="shared" ref="G2:G13" si="0">C2+D2+E2+F2</f>
        <v>237069.5</v>
      </c>
      <c r="H2" s="17">
        <f t="shared" ref="H2:H13" si="1">(B2 + stillbirth*B2/(1000-stillbirth))/(1-abortion)</f>
        <v>134735.3935921193</v>
      </c>
      <c r="I2" s="17">
        <f t="shared" ref="I2:I13" si="2">G2-H2</f>
        <v>102334.1064078807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24467</v>
      </c>
      <c r="C3" s="50">
        <v>42634</v>
      </c>
      <c r="D3" s="50">
        <v>71651</v>
      </c>
      <c r="E3" s="50">
        <v>56603</v>
      </c>
      <c r="F3" s="50">
        <v>43073.5</v>
      </c>
      <c r="G3" s="17">
        <f t="shared" si="0"/>
        <v>213961.5</v>
      </c>
      <c r="H3" s="17">
        <f t="shared" si="1"/>
        <v>28493.879328386807</v>
      </c>
      <c r="I3" s="17">
        <f t="shared" si="2"/>
        <v>185467.6206716132</v>
      </c>
    </row>
    <row r="4" spans="1:9" ht="15.75" customHeight="1" x14ac:dyDescent="0.25">
      <c r="A4" s="5">
        <f t="shared" si="3"/>
        <v>2026</v>
      </c>
      <c r="B4" s="49">
        <v>24525</v>
      </c>
      <c r="C4" s="50">
        <v>43768</v>
      </c>
      <c r="D4" s="50">
        <v>73193</v>
      </c>
      <c r="E4" s="50">
        <v>57253.5</v>
      </c>
      <c r="F4" s="50">
        <v>44391.5</v>
      </c>
      <c r="G4" s="17">
        <f t="shared" si="0"/>
        <v>218606</v>
      </c>
      <c r="H4" s="17">
        <f t="shared" si="1"/>
        <v>28561.425206551125</v>
      </c>
      <c r="I4" s="17">
        <f t="shared" si="2"/>
        <v>190044.57479344888</v>
      </c>
    </row>
    <row r="5" spans="1:9" ht="15.75" customHeight="1" x14ac:dyDescent="0.25">
      <c r="A5" s="5">
        <f t="shared" si="3"/>
        <v>2027</v>
      </c>
      <c r="B5" s="49">
        <v>24599</v>
      </c>
      <c r="C5" s="50">
        <v>44969.5</v>
      </c>
      <c r="D5" s="50">
        <v>74696</v>
      </c>
      <c r="E5" s="50">
        <v>57931</v>
      </c>
      <c r="F5" s="50">
        <v>45672</v>
      </c>
      <c r="G5" s="17">
        <f t="shared" si="0"/>
        <v>223268.5</v>
      </c>
      <c r="H5" s="17">
        <f t="shared" si="1"/>
        <v>28647.604430415951</v>
      </c>
      <c r="I5" s="17">
        <f t="shared" si="2"/>
        <v>194620.89556958404</v>
      </c>
    </row>
    <row r="6" spans="1:9" ht="15.75" customHeight="1" x14ac:dyDescent="0.25">
      <c r="A6" s="5">
        <f t="shared" si="3"/>
        <v>2028</v>
      </c>
      <c r="B6" s="49">
        <v>24695</v>
      </c>
      <c r="C6" s="50">
        <v>46153.5</v>
      </c>
      <c r="D6" s="50">
        <v>76129.5</v>
      </c>
      <c r="E6" s="50">
        <v>58705</v>
      </c>
      <c r="F6" s="50">
        <v>46924.5</v>
      </c>
      <c r="G6" s="17">
        <f t="shared" si="0"/>
        <v>227912.5</v>
      </c>
      <c r="H6" s="17">
        <f t="shared" si="1"/>
        <v>28759.404504618964</v>
      </c>
      <c r="I6" s="17">
        <f t="shared" si="2"/>
        <v>199153.09549538104</v>
      </c>
    </row>
    <row r="7" spans="1:9" ht="15.75" customHeight="1" x14ac:dyDescent="0.25">
      <c r="A7" s="5">
        <f t="shared" si="3"/>
        <v>2029</v>
      </c>
      <c r="B7" s="49">
        <v>24823</v>
      </c>
      <c r="C7" s="50">
        <v>47258</v>
      </c>
      <c r="D7" s="50">
        <v>77502.000000000015</v>
      </c>
      <c r="E7" s="50">
        <v>59623.5</v>
      </c>
      <c r="F7" s="50">
        <v>48150.999999999993</v>
      </c>
      <c r="G7" s="17">
        <f t="shared" si="0"/>
        <v>232534.5</v>
      </c>
      <c r="H7" s="17">
        <f t="shared" si="1"/>
        <v>28908.471270222981</v>
      </c>
      <c r="I7" s="17">
        <f t="shared" si="2"/>
        <v>203626.02872977703</v>
      </c>
    </row>
    <row r="8" spans="1:9" ht="15.75" customHeight="1" x14ac:dyDescent="0.25">
      <c r="A8" s="5">
        <f t="shared" si="3"/>
        <v>2030</v>
      </c>
      <c r="B8" s="49">
        <v>24938</v>
      </c>
      <c r="C8" s="50">
        <v>48256.5</v>
      </c>
      <c r="D8" s="50">
        <v>78861.5</v>
      </c>
      <c r="E8" s="50">
        <v>60694.5</v>
      </c>
      <c r="F8" s="50">
        <v>49330.5</v>
      </c>
      <c r="G8" s="17">
        <f t="shared" si="0"/>
        <v>237143</v>
      </c>
      <c r="H8" s="17">
        <f t="shared" si="1"/>
        <v>29042.398442445341</v>
      </c>
      <c r="I8" s="17">
        <f t="shared" si="2"/>
        <v>208100.60155755465</v>
      </c>
    </row>
    <row r="9" spans="1:9" ht="15.75" customHeight="1" x14ac:dyDescent="0.25">
      <c r="A9" s="5">
        <f t="shared" si="3"/>
        <v>2031</v>
      </c>
      <c r="B9" s="49">
        <v>25062</v>
      </c>
      <c r="C9" s="50">
        <v>49146</v>
      </c>
      <c r="D9" s="50">
        <v>80269</v>
      </c>
      <c r="E9" s="50">
        <v>61900.000000000007</v>
      </c>
      <c r="F9" s="50">
        <v>50433</v>
      </c>
      <c r="G9" s="17">
        <f t="shared" si="0"/>
        <v>241748</v>
      </c>
      <c r="H9" s="17">
        <f t="shared" si="1"/>
        <v>29186.806871624234</v>
      </c>
      <c r="I9" s="17">
        <f t="shared" si="2"/>
        <v>212561.19312837577</v>
      </c>
    </row>
    <row r="10" spans="1:9" ht="15.75" customHeight="1" x14ac:dyDescent="0.25">
      <c r="A10" s="5">
        <f t="shared" si="3"/>
        <v>2032</v>
      </c>
      <c r="B10" s="49">
        <v>25184</v>
      </c>
      <c r="C10" s="50">
        <v>49947.5</v>
      </c>
      <c r="D10" s="50">
        <v>81785</v>
      </c>
      <c r="E10" s="50">
        <v>63215</v>
      </c>
      <c r="F10" s="50">
        <v>51433</v>
      </c>
      <c r="G10" s="17">
        <f t="shared" si="0"/>
        <v>246380.5</v>
      </c>
      <c r="H10" s="17">
        <f t="shared" si="1"/>
        <v>29328.886132590564</v>
      </c>
      <c r="I10" s="17">
        <f t="shared" si="2"/>
        <v>217051.61386740944</v>
      </c>
    </row>
    <row r="11" spans="1:9" ht="15.75" customHeight="1" x14ac:dyDescent="0.25">
      <c r="A11" s="5">
        <f t="shared" si="3"/>
        <v>2033</v>
      </c>
      <c r="B11" s="49">
        <v>25346</v>
      </c>
      <c r="C11" s="50">
        <v>50708.5</v>
      </c>
      <c r="D11" s="50">
        <v>83452</v>
      </c>
      <c r="E11" s="50">
        <v>64619</v>
      </c>
      <c r="F11" s="50">
        <v>52313</v>
      </c>
      <c r="G11" s="17">
        <f t="shared" si="0"/>
        <v>251092.5</v>
      </c>
      <c r="H11" s="17">
        <f t="shared" si="1"/>
        <v>29517.548757808152</v>
      </c>
      <c r="I11" s="17">
        <f t="shared" si="2"/>
        <v>221574.95124219183</v>
      </c>
    </row>
    <row r="12" spans="1:9" ht="15.75" customHeight="1" x14ac:dyDescent="0.25">
      <c r="A12" s="5">
        <f t="shared" si="3"/>
        <v>2034</v>
      </c>
      <c r="B12" s="49">
        <v>25528</v>
      </c>
      <c r="C12" s="50">
        <v>51446</v>
      </c>
      <c r="D12" s="50">
        <v>85293</v>
      </c>
      <c r="E12" s="50">
        <v>66092.5</v>
      </c>
      <c r="F12" s="50">
        <v>53073.499999999993</v>
      </c>
      <c r="G12" s="17">
        <f t="shared" si="0"/>
        <v>255905</v>
      </c>
      <c r="H12" s="17">
        <f t="shared" si="1"/>
        <v>29729.503065151363</v>
      </c>
      <c r="I12" s="17">
        <f t="shared" si="2"/>
        <v>226175.49693484863</v>
      </c>
    </row>
    <row r="13" spans="1:9" ht="15.75" customHeight="1" x14ac:dyDescent="0.25">
      <c r="A13" s="5">
        <f t="shared" si="3"/>
        <v>2035</v>
      </c>
      <c r="B13" s="49">
        <v>25712</v>
      </c>
      <c r="C13" s="50">
        <v>52142</v>
      </c>
      <c r="D13" s="50">
        <v>87253.999999999985</v>
      </c>
      <c r="E13" s="50">
        <v>67603</v>
      </c>
      <c r="F13" s="50">
        <v>53747.5</v>
      </c>
      <c r="G13" s="17">
        <f t="shared" si="0"/>
        <v>260746.5</v>
      </c>
      <c r="H13" s="17">
        <f t="shared" si="1"/>
        <v>29943.78654070714</v>
      </c>
      <c r="I13" s="17">
        <f t="shared" si="2"/>
        <v>230802.71345929286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5U9hhZ4vbmMNVsYsyobcdFL0OBljqcvlGbAXDOfEapVar43ZBRxX473M40GMUrLWlJB/qk//TF2MHBURRkolA==" saltValue="taYV84cWWewx5DQllHyO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1.379560137956014E-2</v>
      </c>
    </row>
    <row r="4" spans="1:8" ht="15.75" customHeight="1" x14ac:dyDescent="0.25">
      <c r="B4" s="19" t="s">
        <v>116</v>
      </c>
      <c r="C4" s="99">
        <v>5.6293305629330617E-2</v>
      </c>
    </row>
    <row r="5" spans="1:8" ht="15.75" customHeight="1" x14ac:dyDescent="0.25">
      <c r="B5" s="19" t="s">
        <v>114</v>
      </c>
      <c r="C5" s="99">
        <v>7.5123207512320808E-2</v>
      </c>
    </row>
    <row r="6" spans="1:8" ht="15.75" customHeight="1" x14ac:dyDescent="0.25">
      <c r="B6" s="19" t="s">
        <v>110</v>
      </c>
      <c r="C6" s="99">
        <v>0.24197382419738189</v>
      </c>
    </row>
    <row r="7" spans="1:8" ht="15.75" customHeight="1" x14ac:dyDescent="0.25">
      <c r="B7" s="19" t="s">
        <v>115</v>
      </c>
      <c r="C7" s="99">
        <v>0.42879114287911452</v>
      </c>
    </row>
    <row r="8" spans="1:8" ht="15.75" customHeight="1" x14ac:dyDescent="0.25">
      <c r="B8" s="19" t="s">
        <v>117</v>
      </c>
      <c r="C8" s="99">
        <v>1.9423001942300211E-3</v>
      </c>
    </row>
    <row r="9" spans="1:8" ht="15.75" customHeight="1" x14ac:dyDescent="0.25">
      <c r="B9" s="19" t="s">
        <v>111</v>
      </c>
      <c r="C9" s="99">
        <v>7.2365807236580704E-2</v>
      </c>
    </row>
    <row r="10" spans="1:8" ht="15.75" customHeight="1" x14ac:dyDescent="0.25">
      <c r="B10" s="19" t="s">
        <v>113</v>
      </c>
      <c r="C10" s="99">
        <v>0.1097148109714812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121</v>
      </c>
      <c r="C15" s="99">
        <v>0.37530106932612661</v>
      </c>
      <c r="D15" s="99">
        <v>0.37530106932612661</v>
      </c>
      <c r="E15" s="99">
        <v>0.37530106932612661</v>
      </c>
      <c r="F15" s="99">
        <v>0.37530106932612661</v>
      </c>
    </row>
    <row r="16" spans="1:8" ht="15.75" customHeight="1" x14ac:dyDescent="0.25">
      <c r="B16" s="19" t="s">
        <v>2</v>
      </c>
      <c r="C16" s="99">
        <v>3.5821246778556692E-2</v>
      </c>
      <c r="D16" s="99">
        <v>3.5821246778556692E-2</v>
      </c>
      <c r="E16" s="99">
        <v>3.5821246778556692E-2</v>
      </c>
      <c r="F16" s="99">
        <v>3.5821246778556692E-2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1.432879411494694E-2</v>
      </c>
      <c r="D18" s="99">
        <v>1.432879411494694E-2</v>
      </c>
      <c r="E18" s="99">
        <v>1.432879411494694E-2</v>
      </c>
      <c r="F18" s="99">
        <v>1.432879411494694E-2</v>
      </c>
    </row>
    <row r="19" spans="1:8" ht="15.75" customHeight="1" x14ac:dyDescent="0.25">
      <c r="B19" s="19" t="s">
        <v>120</v>
      </c>
      <c r="C19" s="99">
        <v>3.5525720169471892E-2</v>
      </c>
      <c r="D19" s="99">
        <v>3.5525720169471892E-2</v>
      </c>
      <c r="E19" s="99">
        <v>3.5525720169471892E-2</v>
      </c>
      <c r="F19" s="99">
        <v>3.5525720169471892E-2</v>
      </c>
    </row>
    <row r="20" spans="1:8" ht="15.75" customHeight="1" x14ac:dyDescent="0.25">
      <c r="B20" s="19" t="s">
        <v>98</v>
      </c>
      <c r="C20" s="99">
        <v>1.150709409319264E-3</v>
      </c>
      <c r="D20" s="99">
        <v>1.150709409319264E-3</v>
      </c>
      <c r="E20" s="99">
        <v>1.150709409319264E-3</v>
      </c>
      <c r="F20" s="99">
        <v>1.150709409319264E-3</v>
      </c>
    </row>
    <row r="21" spans="1:8" ht="15.75" customHeight="1" x14ac:dyDescent="0.25">
      <c r="B21" s="19" t="s">
        <v>107</v>
      </c>
      <c r="C21" s="99">
        <v>0.12968903990910491</v>
      </c>
      <c r="D21" s="99">
        <v>0.12968903990910491</v>
      </c>
      <c r="E21" s="99">
        <v>0.12968903990910491</v>
      </c>
      <c r="F21" s="99">
        <v>0.12968903990910491</v>
      </c>
    </row>
    <row r="22" spans="1:8" ht="15.75" customHeight="1" x14ac:dyDescent="0.25">
      <c r="B22" s="19" t="s">
        <v>118</v>
      </c>
      <c r="C22" s="99">
        <v>0.19051484108539171</v>
      </c>
      <c r="D22" s="99">
        <v>0.19051484108539171</v>
      </c>
      <c r="E22" s="99">
        <v>0.19051484108539171</v>
      </c>
      <c r="F22" s="99">
        <v>0.19051484108539171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8.8581871999999992E-2</v>
      </c>
    </row>
    <row r="27" spans="1:8" ht="15.75" customHeight="1" x14ac:dyDescent="0.25">
      <c r="B27" s="19" t="s">
        <v>108</v>
      </c>
      <c r="C27" s="99">
        <v>8.8641740000000007E-3</v>
      </c>
    </row>
    <row r="28" spans="1:8" ht="15.75" customHeight="1" x14ac:dyDescent="0.25">
      <c r="B28" s="19" t="s">
        <v>122</v>
      </c>
      <c r="C28" s="99">
        <v>0.15728592299999999</v>
      </c>
    </row>
    <row r="29" spans="1:8" ht="15.75" customHeight="1" x14ac:dyDescent="0.25">
      <c r="B29" s="19" t="s">
        <v>105</v>
      </c>
      <c r="C29" s="99">
        <v>0.170055973</v>
      </c>
    </row>
    <row r="30" spans="1:8" ht="15.75" customHeight="1" x14ac:dyDescent="0.25">
      <c r="B30" s="19" t="s">
        <v>4</v>
      </c>
      <c r="C30" s="99">
        <v>0.105793744</v>
      </c>
    </row>
    <row r="31" spans="1:8" ht="15.75" customHeight="1" x14ac:dyDescent="0.25">
      <c r="B31" s="19" t="s">
        <v>99</v>
      </c>
      <c r="C31" s="99">
        <v>0.111206134</v>
      </c>
    </row>
    <row r="32" spans="1:8" ht="15.75" customHeight="1" x14ac:dyDescent="0.25">
      <c r="B32" s="19" t="s">
        <v>104</v>
      </c>
      <c r="C32" s="99">
        <v>1.8849359E-2</v>
      </c>
    </row>
    <row r="33" spans="2:3" ht="15.75" customHeight="1" x14ac:dyDescent="0.25">
      <c r="B33" s="19" t="s">
        <v>119</v>
      </c>
      <c r="C33" s="99">
        <v>8.5214494999999987E-2</v>
      </c>
    </row>
    <row r="34" spans="2:3" ht="15.75" customHeight="1" x14ac:dyDescent="0.25">
      <c r="B34" s="19" t="s">
        <v>106</v>
      </c>
      <c r="C34" s="99">
        <v>0.25414832700000001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QJfU5C8SZh0Y/NkmSve9AIEcqnDd9L69QmgDPw2I8JqvxViY1KLerzgBDQKaPkylh6oqVUgQaAq/G6cL2xBHw==" saltValue="/ASN34GifoWVctTD6Ndet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129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125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126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138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lUdwApy2wpcuOnjJ32iSCeThqtV4x6eNt+qb8l/cKRubM5ekHg4IT8WuPAzYNISQqCgac46u+S+SeAKeeoh3Q==" saltValue="y1hSVVQyIMCnjuMxN79v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5wV2wF3gpyj3SrxJJ6utobWz74xpmC+LwZZs+IcAuJslZkxga/LsFpaC3rwPZln0UHOGCLoMlwYdkscMklY57Q==" saltValue="GTQLi/xvxvonPFGa10pk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lOrdcGvcClzlK06g6Xha/YSh6utasN+E3N9lnsfVjxF4cCxnEvXkwy7uj+g31n0TH+RyOYee10rl1dWi+/WlA==" saltValue="7r5h4bBVEC/ZecBbIv1C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1484.89246472542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0.42185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0.34328999999999998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2.3254234572696694E-2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93426.008679999999</v>
      </c>
      <c r="C22" s="107">
        <v>92886.310400000002</v>
      </c>
      <c r="D22" s="107">
        <v>92630.517399999997</v>
      </c>
      <c r="E22" s="107">
        <v>92183.813639999993</v>
      </c>
      <c r="F22" s="107">
        <v>91537.191340000005</v>
      </c>
      <c r="G22" s="107">
        <v>90782.443859999999</v>
      </c>
      <c r="H22" s="107">
        <v>89859.403009999995</v>
      </c>
      <c r="I22" s="107">
        <v>88678.481050000002</v>
      </c>
      <c r="J22" s="107">
        <v>86993.360520000002</v>
      </c>
      <c r="K22" s="107">
        <v>84689.153760000001</v>
      </c>
      <c r="L22" s="107">
        <v>81236.659220000001</v>
      </c>
      <c r="M22" s="107">
        <v>76359.293820000006</v>
      </c>
      <c r="N22" s="107">
        <v>69169.567190000002</v>
      </c>
      <c r="O22" s="107">
        <v>59738.168949999999</v>
      </c>
    </row>
  </sheetData>
  <sheetProtection algorithmName="SHA-512" hashValue="t2K6Tjcno7ktHJaovjNbPMmT4uX2xGKPMg4jnXC3avOW2WyqoMUSZsTVv5ND9na0mgjDlW9u9VLa+p0IDnlWvw==" saltValue="ub/Yry5zWaZsg3GUvZre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urRGHBx7zavur9mc3gceRsCAru2IbkvckJqVK2rDXLHZlSO++1BDygCuxj8ygBWVe5JLp5GL4bKDBtAMv2q9Q==" saltValue="VxETljnwTT2thwe3EDEF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GF+twmRagC5WoBs3oy2IS6YMayGBb5TcN9VIRzlCONeYikXt81zvTihADcyEMX7YqlKFrVigv8Zt0I06IYMmg==" saltValue="phxKIUd7UL8P+j+zxctH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0.125552</v>
      </c>
      <c r="C10" s="96">
        <v>0.95</v>
      </c>
      <c r="D10" s="56">
        <v>15.06077994466111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15.06077994466111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15.06077994466111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15.06077994466111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15.06077994466111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0.41392640000000003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0.60599999999999998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0.10688060000000001</v>
      </c>
      <c r="C19" s="96">
        <v>0.95</v>
      </c>
      <c r="D19" s="56">
        <v>1.888235787121497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0.56810229999999995</v>
      </c>
      <c r="C23" s="96">
        <v>0.95</v>
      </c>
      <c r="D23" s="56">
        <v>4.9386229663401986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0.42426401169421402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0.37546259999999998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0.21526239999999999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0.25009999999999999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0.48499999999999999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0.15573529999999999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0.6041609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8.7560000000000003E-4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0.59496380000000004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2E-3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aYdVIJyd0QHtN76dxXMHi30y1n/tK6NQppQokxdPN1NHBdou+t97lUpKy6Ip9ezOnq++T/ID9bL3Wn5r7MwjQg==" saltValue="m1H3BERag6Y6Ib718VQI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+wy2ImARi+ABiakgGJuJ2fDxcvq32PbUrMON164v1NBbXMDWajjPgxmFsXuS6JpB4sc41r+ibnHVhO6FKcrjw==" saltValue="g5VYiWz443Wi7I3r8nvl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3zSK+cytu6q9tFE43JAZorHlvaUvQBRux0t6LmCZzUgJu7NJWYs1dLm82KX7JhCtkNFx9Bd8Oo//rxv3iCzxg==" saltValue="SiQLYGOmY4KGhfD9q8nZ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4.1340000000000003</v>
      </c>
      <c r="C2" s="21">
        <f>'Entradas de población-año base'!C52</f>
        <v>4.1340000000000003</v>
      </c>
      <c r="D2" s="21">
        <f>'Entradas de población-año base'!C53</f>
        <v>8.6319999999999997</v>
      </c>
      <c r="E2" s="21">
        <f>'Entradas de población-año base'!C54</f>
        <v>7.0460000000000003</v>
      </c>
      <c r="F2" s="21">
        <f>'Entradas de población-año base'!C55</f>
        <v>2.5219999999999998</v>
      </c>
    </row>
    <row r="3" spans="1:6" ht="15.75" customHeight="1" x14ac:dyDescent="0.25">
      <c r="A3" s="3" t="s">
        <v>6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236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LAjrrlM/uPSVRcRq/qBQW9E/C2xNTspxEblJiptVJgkzgrpWbrmTNFqo6uhcO2Hfr6xLxap6SdBsL36XXjVkdg==" saltValue="2GxCY9eA4tps9mlGVESw2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C73mOppVdEJCxbuWtTMu5YTNeXMTZ2yFAcVoKz7yT/GJ2kzLDiwQMtnOKqcB0u2LNifmrh/UU/uOpa/oGdzzA==" saltValue="MgeCZloD0UkalwC6Styf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cTL9GnuIg/YkRRZ/rC7qz/BFTsKiRan77Oao+KwW0PPJzZPj/0TCtDGjfRhXf+W6oC3O96WhjCN9mLpUrrGQw==" saltValue="mBfGqF6c0E8mi6wQyXY3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Cln5rV6P1VLcWK1y58SyMhrN/Tjlm8l/NRzZ/VC5Ou7yiHyLADeQGqFE8vpebsl8ZE5aJBbzO5Xb8YMUmz02g==" saltValue="WAJaOxwJL0jIJPxVNA8z+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66Q5mu742qHoAtTJ+BLtnk2s417VcuCErN0GnAgeaLuOPAl6Cuuc5/V76oZOI4JPx9LhSZToOFYXkqq+D6Kkw==" saltValue="0plQtw2xSmTtxICgHB3I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pllcJOOxxMbxCny6xT+CXNshr66vjTFdbkqWbatb+qqZNHEUqSaWFKSVTnGLUI3ReWRYrGQAUNJh3NtO3Y1iVA==" saltValue="VGuZrlFIyW2kmGUHeFo0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IGbcol5YP0/rzif9WeKNifCmT3h1pPckZQVLpUfupczHthacdwrPflo20h4e8XqnYOk6+psLGbglYUw6JEv5+w==" saltValue="myWKqF7pHGaV88iAG9a18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dTt5ZZcQPh/JUUwS6fAPMxE/fdV4I9qPiHDuOPt48NoyIVU76623Nc65RBQ5p+qFJ1DWW+pN8h1BAn8Orv5EA==" saltValue="n9EZZ/ETaYbsu6DCodITx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gUcfHfZLpZqZOa7D5uhfRT4ttaEbIL1wOK+9gC1tmrRr21EDNW5e3f7uqa/jPzpiDpIAoSeF97PSxZNGEhk5A==" saltValue="vl/jol+Fy/XGKNvs/Wy8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GqonxbgJvdnWA+n49y+eoJpXYdI/N9WEjESSONuZbkXf+yUFgTTNP7e/2bwWWF0texd2J0cAawiokikPph4JAQ==" saltValue="opsokwMfmhcyCoeRb0XJ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jn/m5glyEb8jlSkEEAy6pJ1Q9gG+3zri7TBqugcRnTUmom3nRQRujHSgPw/m06NuaH5EXlKGEVQLXKftZjBYw==" saltValue="QG52T4XRVrubLxYG4u1B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IXquh4qpgDjhbyQthlUNTAY42ebi1JJWd/H4LQKPw/mBbrGMGWy5fZddk1f4wG/V4NlK/GuX5ael2NH4u4cgQ==" saltValue="WVKsqk+xbx3hDjrcly38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JvYq2UGGp9X+SSrIoxQoE2O9iwA0mK/4OILKqreu5Z97Bo4gZrxMo2fNxoB8o0mYeeEbk7fxFOs9DmzafS/+A==" saltValue="ehRr6J92u2yzyGX63zys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Q7fHmn3VwZId0XAPY39BYqJ7bnV10SIgFG3FnZnXy++hyiS/BcUp0EXZcSZjcOZF+Yj6qLJT1W3jscqqz3fgg==" saltValue="iY+UgmzL5WicTOE0wnos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Kfppyna2fF/ShVsJ0djNPtJQiTTxoRCVx0pqwUELnX8gD4ZIDIKVybev1XSLvRpDBNMGYF/nuwRVBJXGoIbew==" saltValue="DqjU063NtK8XcIGiTLic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mYlby84qotJ3o+dmPC0CYlbAuYhfrNmeJqMXcsuLcbNbSVVhNnOD8viWSvIRDcjrzjbPO55IVPGvM3vWk4v9w==" saltValue="bvpFEvgb0+IpP7yd+u/+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