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EEA32C67-B9A8-433A-978D-B96C5CEAF132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39" i="2" l="1"/>
  <c r="A36" i="2"/>
  <c r="A37" i="2"/>
  <c r="I6" i="2"/>
  <c r="I12" i="2"/>
  <c r="A35" i="2"/>
  <c r="I2" i="2"/>
  <c r="I8" i="2"/>
  <c r="A19" i="2"/>
  <c r="A22" i="2"/>
  <c r="A23" i="2"/>
  <c r="A40" i="2"/>
  <c r="A24" i="2"/>
  <c r="I4" i="2"/>
  <c r="A25" i="2"/>
  <c r="A26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<sst xmlns="http://schemas.openxmlformats.org/spreadsheetml/2006/main" count="2169" uniqueCount="373">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</sst>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114859</v>
      </c>
    </row>
    <row r="8" spans="1:3" ht="15" customHeight="1" x14ac:dyDescent="0.25">
      <c r="B8" s="5" t="s">
        <v>63</v>
      </c>
      <c r="C8" s="44">
        <v>0.17899999999999999</v>
      </c>
    </row>
    <row r="9" spans="1:3" ht="15" customHeight="1" x14ac:dyDescent="0.25">
      <c r="B9" s="5" t="s">
        <v>62</v>
      </c>
      <c r="C9" s="45">
        <v>0.5</v>
      </c>
    </row>
    <row r="10" spans="1:3" ht="15" customHeight="1" x14ac:dyDescent="0.25">
      <c r="B10" s="5" t="s">
        <v>75</v>
      </c>
      <c r="C10" s="45">
        <v>0.51667209999999997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0.72199999999999998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8.2599999999999993E-2</v>
      </c>
    </row>
    <row r="24" spans="1:3" ht="15" customHeight="1" x14ac:dyDescent="0.25">
      <c r="B24" s="15" t="s">
        <v>65</v>
      </c>
      <c r="C24" s="45">
        <v>0.42909999999999998</v>
      </c>
    </row>
    <row r="25" spans="1:3" ht="15" customHeight="1" x14ac:dyDescent="0.25">
      <c r="B25" s="15" t="s">
        <v>66</v>
      </c>
      <c r="C25" s="45">
        <v>0.38800000000000001</v>
      </c>
    </row>
    <row r="26" spans="1:3" ht="15" customHeight="1" x14ac:dyDescent="0.25">
      <c r="B26" s="15" t="s">
        <v>67</v>
      </c>
      <c r="C26" s="45">
        <v>0.1003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0.22550533803534301</v>
      </c>
    </row>
    <row r="30" spans="1:3" ht="14.25" customHeight="1" x14ac:dyDescent="0.25">
      <c r="B30" s="25" t="s">
        <v>82</v>
      </c>
      <c r="C30" s="97">
        <v>9.9346175298700296E-2</v>
      </c>
    </row>
    <row r="31" spans="1:3" ht="14.25" customHeight="1" x14ac:dyDescent="0.25">
      <c r="B31" s="25" t="s">
        <v>29</v>
      </c>
      <c r="C31" s="97">
        <v>0.13120678480199499</v>
      </c>
    </row>
    <row r="32" spans="1:3" ht="14.25" customHeight="1" x14ac:dyDescent="0.25">
      <c r="B32" s="25" t="s">
        <v>30</v>
      </c>
      <c r="C32" s="97">
        <v>0.54394170186396207</v>
      </c>
    </row>
    <row r="33" spans="1:5" ht="13.25" customHeight="1" x14ac:dyDescent="0.25">
      <c r="B33" s="27" t="s">
        <v>79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25.751989999999999</v>
      </c>
    </row>
    <row r="38" spans="1:5" ht="15" customHeight="1" x14ac:dyDescent="0.25">
      <c r="B38" s="11" t="s">
        <v>54</v>
      </c>
      <c r="C38" s="43">
        <v>39.297609999999999</v>
      </c>
      <c r="D38" s="12"/>
      <c r="E38" s="13"/>
    </row>
    <row r="39" spans="1:5" ht="15" customHeight="1" x14ac:dyDescent="0.25">
      <c r="B39" s="11" t="s">
        <v>80</v>
      </c>
      <c r="C39" s="43">
        <v>49.716740000000001</v>
      </c>
      <c r="D39" s="12"/>
      <c r="E39" s="12"/>
    </row>
    <row r="40" spans="1:5" ht="15" customHeight="1" x14ac:dyDescent="0.25">
      <c r="B40" s="11" t="s">
        <v>55</v>
      </c>
      <c r="C40" s="98">
        <v>2.17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24.232230000000001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7.8993999999999991E-3</v>
      </c>
      <c r="D45" s="12"/>
    </row>
    <row r="46" spans="1:5" ht="15.75" customHeight="1" x14ac:dyDescent="0.25">
      <c r="B46" s="11" t="s">
        <v>70</v>
      </c>
      <c r="C46" s="45">
        <v>8.4877900000000006E-2</v>
      </c>
      <c r="D46" s="12"/>
    </row>
    <row r="47" spans="1:5" ht="15.75" customHeight="1" x14ac:dyDescent="0.25">
      <c r="B47" s="11" t="s">
        <v>78</v>
      </c>
      <c r="C47" s="45">
        <v>7.3488499999999998E-2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4.1340000000000003</v>
      </c>
      <c r="D51" s="12"/>
    </row>
    <row r="52" spans="1:4" ht="15" customHeight="1" x14ac:dyDescent="0.25">
      <c r="B52" s="11" t="s">
        <v>32</v>
      </c>
      <c r="C52" s="98">
        <v>4.1340000000000003</v>
      </c>
    </row>
    <row r="53" spans="1:4" ht="15.75" customHeight="1" x14ac:dyDescent="0.25">
      <c r="B53" s="11" t="s">
        <v>35</v>
      </c>
      <c r="C53" s="98">
        <v>8.6319999999999997</v>
      </c>
    </row>
    <row r="54" spans="1:4" ht="15.75" customHeight="1" x14ac:dyDescent="0.25">
      <c r="B54" s="11" t="s">
        <v>33</v>
      </c>
      <c r="C54" s="98">
        <v>7.0460000000000003</v>
      </c>
    </row>
    <row r="55" spans="1:4" ht="15.75" customHeight="1" x14ac:dyDescent="0.25">
      <c r="B55" s="11" t="s">
        <v>34</v>
      </c>
      <c r="C55" s="98">
        <v>2.5219999999999998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0.50987099999999996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0.23027240060000001</v>
      </c>
    </row>
    <row r="63" spans="1:4" ht="15.75" customHeight="1" x14ac:dyDescent="0.3">
      <c r="A63" s="4"/>
    </row>
  </sheetData>
  <sheetProtection algorithmName="SHA-512" hashValue="pRNn17h/XfB0Au6QnSV9IAQrv8FTU5uSvrTe5lAsiQgvuwBZasZ0VOZ1OzA+TwH79fzH424ZBsXmKaZtA0ajcQ==" saltValue="FgQS73qwlVtPetzcwkZg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24467</v>
      </c>
      <c r="C2" s="49">
        <v>42634</v>
      </c>
      <c r="D2" s="49">
        <v>71651</v>
      </c>
      <c r="E2" s="49">
        <v>56603</v>
      </c>
      <c r="F2" s="49">
        <v>43073.5</v>
      </c>
      <c r="G2" s="17">
        <f t="shared" ref="G2:G13" si="0">C2+D2+E2+F2</f>
        <v>213961.5</v>
      </c>
      <c r="H2" s="17">
        <f t="shared" ref="H2:H13" si="1">(B2 + stillbirth*B2/(1000-stillbirth))/(1-abortion)</f>
        <v>28493.879328386807</v>
      </c>
      <c r="I2" s="17">
        <f t="shared" ref="I2:I13" si="2">G2-H2</f>
        <v>185467.6206716132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24525</v>
      </c>
      <c r="C3" s="50">
        <v>43768</v>
      </c>
      <c r="D3" s="50">
        <v>73193</v>
      </c>
      <c r="E3" s="50">
        <v>57253.5</v>
      </c>
      <c r="F3" s="50">
        <v>44391.5</v>
      </c>
      <c r="G3" s="17">
        <f t="shared" si="0"/>
        <v>218606</v>
      </c>
      <c r="H3" s="17">
        <f t="shared" si="1"/>
        <v>28561.425206551125</v>
      </c>
      <c r="I3" s="17">
        <f t="shared" si="2"/>
        <v>190044.57479344888</v>
      </c>
    </row>
    <row r="4" spans="1:9" ht="15.75" customHeight="1" x14ac:dyDescent="0.25">
      <c r="A4" s="5">
        <f t="shared" si="3"/>
        <v>2026</v>
      </c>
      <c r="B4" s="49">
        <v>24599</v>
      </c>
      <c r="C4" s="50">
        <v>44969.5</v>
      </c>
      <c r="D4" s="50">
        <v>74696</v>
      </c>
      <c r="E4" s="50">
        <v>57931</v>
      </c>
      <c r="F4" s="50">
        <v>45672</v>
      </c>
      <c r="G4" s="17">
        <f t="shared" si="0"/>
        <v>223268.5</v>
      </c>
      <c r="H4" s="17">
        <f t="shared" si="1"/>
        <v>28647.604430415951</v>
      </c>
      <c r="I4" s="17">
        <f t="shared" si="2"/>
        <v>194620.89556958404</v>
      </c>
    </row>
    <row r="5" spans="1:9" ht="15.75" customHeight="1" x14ac:dyDescent="0.25">
      <c r="A5" s="5">
        <f t="shared" si="3"/>
        <v>2027</v>
      </c>
      <c r="B5" s="49">
        <v>24695</v>
      </c>
      <c r="C5" s="50">
        <v>46153.5</v>
      </c>
      <c r="D5" s="50">
        <v>76129.5</v>
      </c>
      <c r="E5" s="50">
        <v>58705</v>
      </c>
      <c r="F5" s="50">
        <v>46924.5</v>
      </c>
      <c r="G5" s="17">
        <f t="shared" si="0"/>
        <v>227912.5</v>
      </c>
      <c r="H5" s="17">
        <f t="shared" si="1"/>
        <v>28759.404504618964</v>
      </c>
      <c r="I5" s="17">
        <f t="shared" si="2"/>
        <v>199153.09549538104</v>
      </c>
    </row>
    <row r="6" spans="1:9" ht="15.75" customHeight="1" x14ac:dyDescent="0.25">
      <c r="A6" s="5">
        <f t="shared" si="3"/>
        <v>2028</v>
      </c>
      <c r="B6" s="49">
        <v>24823</v>
      </c>
      <c r="C6" s="50">
        <v>47258</v>
      </c>
      <c r="D6" s="50">
        <v>77502.000000000015</v>
      </c>
      <c r="E6" s="50">
        <v>59623.5</v>
      </c>
      <c r="F6" s="50">
        <v>48150.999999999993</v>
      </c>
      <c r="G6" s="17">
        <f t="shared" si="0"/>
        <v>232534.5</v>
      </c>
      <c r="H6" s="17">
        <f t="shared" si="1"/>
        <v>28908.471270222981</v>
      </c>
      <c r="I6" s="17">
        <f t="shared" si="2"/>
        <v>203626.02872977703</v>
      </c>
    </row>
    <row r="7" spans="1:9" ht="15.75" customHeight="1" x14ac:dyDescent="0.25">
      <c r="A7" s="5">
        <f t="shared" si="3"/>
        <v>2029</v>
      </c>
      <c r="B7" s="49">
        <v>24938</v>
      </c>
      <c r="C7" s="50">
        <v>48256.5</v>
      </c>
      <c r="D7" s="50">
        <v>78861.5</v>
      </c>
      <c r="E7" s="50">
        <v>60694.5</v>
      </c>
      <c r="F7" s="50">
        <v>49330.5</v>
      </c>
      <c r="G7" s="17">
        <f t="shared" si="0"/>
        <v>237143</v>
      </c>
      <c r="H7" s="17">
        <f t="shared" si="1"/>
        <v>29042.398442445341</v>
      </c>
      <c r="I7" s="17">
        <f t="shared" si="2"/>
        <v>208100.60155755465</v>
      </c>
    </row>
    <row r="8" spans="1:9" ht="15.75" customHeight="1" x14ac:dyDescent="0.25">
      <c r="A8" s="5">
        <f t="shared" si="3"/>
        <v>2030</v>
      </c>
      <c r="B8" s="49">
        <v>25062</v>
      </c>
      <c r="C8" s="50">
        <v>49146</v>
      </c>
      <c r="D8" s="50">
        <v>80269</v>
      </c>
      <c r="E8" s="50">
        <v>61900.000000000007</v>
      </c>
      <c r="F8" s="50">
        <v>50433</v>
      </c>
      <c r="G8" s="17">
        <f t="shared" si="0"/>
        <v>241748</v>
      </c>
      <c r="H8" s="17">
        <f t="shared" si="1"/>
        <v>29186.806871624234</v>
      </c>
      <c r="I8" s="17">
        <f t="shared" si="2"/>
        <v>212561.19312837577</v>
      </c>
    </row>
    <row r="9" spans="1:9" ht="15.75" customHeight="1" x14ac:dyDescent="0.25">
      <c r="A9" s="5">
        <f t="shared" si="3"/>
        <v>2031</v>
      </c>
      <c r="B9" s="49">
        <v>25184</v>
      </c>
      <c r="C9" s="50">
        <v>49947.5</v>
      </c>
      <c r="D9" s="50">
        <v>81785</v>
      </c>
      <c r="E9" s="50">
        <v>63215</v>
      </c>
      <c r="F9" s="50">
        <v>51433</v>
      </c>
      <c r="G9" s="17">
        <f t="shared" si="0"/>
        <v>246380.5</v>
      </c>
      <c r="H9" s="17">
        <f t="shared" si="1"/>
        <v>29328.886132590564</v>
      </c>
      <c r="I9" s="17">
        <f t="shared" si="2"/>
        <v>217051.61386740944</v>
      </c>
    </row>
    <row r="10" spans="1:9" ht="15.75" customHeight="1" x14ac:dyDescent="0.25">
      <c r="A10" s="5">
        <f t="shared" si="3"/>
        <v>2032</v>
      </c>
      <c r="B10" s="49">
        <v>25346</v>
      </c>
      <c r="C10" s="50">
        <v>50708.5</v>
      </c>
      <c r="D10" s="50">
        <v>83452</v>
      </c>
      <c r="E10" s="50">
        <v>64619</v>
      </c>
      <c r="F10" s="50">
        <v>52313</v>
      </c>
      <c r="G10" s="17">
        <f t="shared" si="0"/>
        <v>251092.5</v>
      </c>
      <c r="H10" s="17">
        <f t="shared" si="1"/>
        <v>29517.548757808152</v>
      </c>
      <c r="I10" s="17">
        <f t="shared" si="2"/>
        <v>221574.95124219183</v>
      </c>
    </row>
    <row r="11" spans="1:9" ht="15.75" customHeight="1" x14ac:dyDescent="0.25">
      <c r="A11" s="5">
        <f t="shared" si="3"/>
        <v>2033</v>
      </c>
      <c r="B11" s="49">
        <v>25528</v>
      </c>
      <c r="C11" s="50">
        <v>51446</v>
      </c>
      <c r="D11" s="50">
        <v>85293</v>
      </c>
      <c r="E11" s="50">
        <v>66092.5</v>
      </c>
      <c r="F11" s="50">
        <v>53073.499999999993</v>
      </c>
      <c r="G11" s="17">
        <f t="shared" si="0"/>
        <v>255905</v>
      </c>
      <c r="H11" s="17">
        <f t="shared" si="1"/>
        <v>29729.503065151363</v>
      </c>
      <c r="I11" s="17">
        <f t="shared" si="2"/>
        <v>226175.49693484863</v>
      </c>
    </row>
    <row r="12" spans="1:9" ht="15.75" customHeight="1" x14ac:dyDescent="0.25">
      <c r="A12" s="5">
        <f t="shared" si="3"/>
        <v>2034</v>
      </c>
      <c r="B12" s="49">
        <v>25712</v>
      </c>
      <c r="C12" s="50">
        <v>52142</v>
      </c>
      <c r="D12" s="50">
        <v>87253.999999999985</v>
      </c>
      <c r="E12" s="50">
        <v>67603</v>
      </c>
      <c r="F12" s="50">
        <v>53747.5</v>
      </c>
      <c r="G12" s="17">
        <f t="shared" si="0"/>
        <v>260746.5</v>
      </c>
      <c r="H12" s="17">
        <f t="shared" si="1"/>
        <v>29943.78654070714</v>
      </c>
      <c r="I12" s="17">
        <f t="shared" si="2"/>
        <v>230802.71345929286</v>
      </c>
    </row>
    <row r="13" spans="1:9" ht="15.75" customHeight="1" x14ac:dyDescent="0.25">
      <c r="A13" s="5">
        <f t="shared" si="3"/>
        <v>2035</v>
      </c>
      <c r="B13" s="49">
        <v>25889</v>
      </c>
      <c r="C13" s="50">
        <v>52802.5</v>
      </c>
      <c r="D13" s="50">
        <v>89253.999999999985</v>
      </c>
      <c r="E13" s="50">
        <v>69124</v>
      </c>
      <c r="F13" s="50">
        <v>54396</v>
      </c>
      <c r="G13" s="17">
        <f t="shared" si="0"/>
        <v>265576.5</v>
      </c>
      <c r="H13" s="17">
        <f t="shared" si="1"/>
        <v>30149.917927518945</v>
      </c>
      <c r="I13" s="17">
        <f t="shared" si="2"/>
        <v>235426.58207248105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Lj1LFOGlpTHNxxSsXZV4oknynRgEY7MQbg6g8DjlwDn2ResARvSv0iGZHyh2oWJ5al+dpV1dQn48sAkbvgP9Mg==" saltValue="CEBmtfvdAwdRThP5KA56k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1.379560137956014E-2</v>
      </c>
    </row>
    <row r="4" spans="1:8" ht="15.75" customHeight="1" x14ac:dyDescent="0.25">
      <c r="B4" s="19" t="s">
        <v>116</v>
      </c>
      <c r="C4" s="99">
        <v>5.6293305629330617E-2</v>
      </c>
    </row>
    <row r="5" spans="1:8" ht="15.75" customHeight="1" x14ac:dyDescent="0.25">
      <c r="B5" s="19" t="s">
        <v>114</v>
      </c>
      <c r="C5" s="99">
        <v>7.5123207512320808E-2</v>
      </c>
    </row>
    <row r="6" spans="1:8" ht="15.75" customHeight="1" x14ac:dyDescent="0.25">
      <c r="B6" s="19" t="s">
        <v>110</v>
      </c>
      <c r="C6" s="99">
        <v>0.24197382419738189</v>
      </c>
    </row>
    <row r="7" spans="1:8" ht="15.75" customHeight="1" x14ac:dyDescent="0.25">
      <c r="B7" s="19" t="s">
        <v>115</v>
      </c>
      <c r="C7" s="99">
        <v>0.42879114287911452</v>
      </c>
    </row>
    <row r="8" spans="1:8" ht="15.75" customHeight="1" x14ac:dyDescent="0.25">
      <c r="B8" s="19" t="s">
        <v>117</v>
      </c>
      <c r="C8" s="99">
        <v>1.9423001942300211E-3</v>
      </c>
    </row>
    <row r="9" spans="1:8" ht="15.75" customHeight="1" x14ac:dyDescent="0.25">
      <c r="B9" s="19" t="s">
        <v>111</v>
      </c>
      <c r="C9" s="99">
        <v>7.2365807236580704E-2</v>
      </c>
    </row>
    <row r="10" spans="1:8" ht="15.75" customHeight="1" x14ac:dyDescent="0.25">
      <c r="B10" s="19" t="s">
        <v>113</v>
      </c>
      <c r="C10" s="99">
        <v>0.1097148109714812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0.2176685792070821</v>
      </c>
      <c r="D14" s="55">
        <v>0.2176685792070821</v>
      </c>
      <c r="E14" s="55">
        <v>0.2176685792070821</v>
      </c>
      <c r="F14" s="55">
        <v>0.2176685792070821</v>
      </c>
    </row>
    <row r="15" spans="1:8" ht="15.75" customHeight="1" x14ac:dyDescent="0.25">
      <c r="B15" s="19" t="s">
        <v>121</v>
      </c>
      <c r="C15" s="99">
        <v>0.37530106932612661</v>
      </c>
      <c r="D15" s="99">
        <v>0.37530106932612661</v>
      </c>
      <c r="E15" s="99">
        <v>0.37530106932612661</v>
      </c>
      <c r="F15" s="99">
        <v>0.37530106932612661</v>
      </c>
    </row>
    <row r="16" spans="1:8" ht="15.75" customHeight="1" x14ac:dyDescent="0.25">
      <c r="B16" s="19" t="s">
        <v>2</v>
      </c>
      <c r="C16" s="99">
        <v>3.5821246778556692E-2</v>
      </c>
      <c r="D16" s="99">
        <v>3.5821246778556692E-2</v>
      </c>
      <c r="E16" s="99">
        <v>3.5821246778556692E-2</v>
      </c>
      <c r="F16" s="99">
        <v>3.5821246778556692E-2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1.432879411494694E-2</v>
      </c>
      <c r="D18" s="99">
        <v>1.432879411494694E-2</v>
      </c>
      <c r="E18" s="99">
        <v>1.432879411494694E-2</v>
      </c>
      <c r="F18" s="99">
        <v>1.432879411494694E-2</v>
      </c>
    </row>
    <row r="19" spans="1:8" ht="15.75" customHeight="1" x14ac:dyDescent="0.25">
      <c r="B19" s="19" t="s">
        <v>120</v>
      </c>
      <c r="C19" s="99">
        <v>3.5525720169471892E-2</v>
      </c>
      <c r="D19" s="99">
        <v>3.5525720169471892E-2</v>
      </c>
      <c r="E19" s="99">
        <v>3.5525720169471892E-2</v>
      </c>
      <c r="F19" s="99">
        <v>3.5525720169471892E-2</v>
      </c>
    </row>
    <row r="20" spans="1:8" ht="15.75" customHeight="1" x14ac:dyDescent="0.25">
      <c r="B20" s="19" t="s">
        <v>98</v>
      </c>
      <c r="C20" s="99">
        <v>1.150709409319264E-3</v>
      </c>
      <c r="D20" s="99">
        <v>1.150709409319264E-3</v>
      </c>
      <c r="E20" s="99">
        <v>1.150709409319264E-3</v>
      </c>
      <c r="F20" s="99">
        <v>1.150709409319264E-3</v>
      </c>
    </row>
    <row r="21" spans="1:8" ht="15.75" customHeight="1" x14ac:dyDescent="0.25">
      <c r="B21" s="19" t="s">
        <v>107</v>
      </c>
      <c r="C21" s="99">
        <v>0.12968903990910491</v>
      </c>
      <c r="D21" s="99">
        <v>0.12968903990910491</v>
      </c>
      <c r="E21" s="99">
        <v>0.12968903990910491</v>
      </c>
      <c r="F21" s="99">
        <v>0.12968903990910491</v>
      </c>
    </row>
    <row r="22" spans="1:8" ht="15.75" customHeight="1" x14ac:dyDescent="0.25">
      <c r="B22" s="19" t="s">
        <v>118</v>
      </c>
      <c r="C22" s="99">
        <v>0.19051484108539171</v>
      </c>
      <c r="D22" s="99">
        <v>0.19051484108539171</v>
      </c>
      <c r="E22" s="99">
        <v>0.19051484108539171</v>
      </c>
      <c r="F22" s="99">
        <v>0.19051484108539171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8.8581871999999992E-2</v>
      </c>
    </row>
    <row r="27" spans="1:8" ht="15.75" customHeight="1" x14ac:dyDescent="0.25">
      <c r="B27" s="19" t="s">
        <v>108</v>
      </c>
      <c r="C27" s="99">
        <v>8.8641740000000007E-3</v>
      </c>
    </row>
    <row r="28" spans="1:8" ht="15.75" customHeight="1" x14ac:dyDescent="0.25">
      <c r="B28" s="19" t="s">
        <v>122</v>
      </c>
      <c r="C28" s="99">
        <v>0.15728592299999999</v>
      </c>
    </row>
    <row r="29" spans="1:8" ht="15.75" customHeight="1" x14ac:dyDescent="0.25">
      <c r="B29" s="19" t="s">
        <v>105</v>
      </c>
      <c r="C29" s="99">
        <v>0.170055973</v>
      </c>
    </row>
    <row r="30" spans="1:8" ht="15.75" customHeight="1" x14ac:dyDescent="0.25">
      <c r="B30" s="19" t="s">
        <v>4</v>
      </c>
      <c r="C30" s="99">
        <v>0.105793744</v>
      </c>
    </row>
    <row r="31" spans="1:8" ht="15.75" customHeight="1" x14ac:dyDescent="0.25">
      <c r="B31" s="19" t="s">
        <v>99</v>
      </c>
      <c r="C31" s="99">
        <v>0.111206134</v>
      </c>
    </row>
    <row r="32" spans="1:8" ht="15.75" customHeight="1" x14ac:dyDescent="0.25">
      <c r="B32" s="19" t="s">
        <v>104</v>
      </c>
      <c r="C32" s="99">
        <v>1.8849359E-2</v>
      </c>
    </row>
    <row r="33" spans="2:3" ht="15.75" customHeight="1" x14ac:dyDescent="0.25">
      <c r="B33" s="19" t="s">
        <v>119</v>
      </c>
      <c r="C33" s="99">
        <v>8.5214494999999987E-2</v>
      </c>
    </row>
    <row r="34" spans="2:3" ht="15.75" customHeight="1" x14ac:dyDescent="0.25">
      <c r="B34" s="19" t="s">
        <v>106</v>
      </c>
      <c r="C34" s="99">
        <v>0.25414832700000001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2zkkbUwudB3luhwF7nbfgPMYMBQi2dCYQcIX2ukiIfuan+wkmlB1uRQvIV8lYWk4TsBxVmLswZQbC8eY+O4RIQ==" saltValue="7BO2Wwc/KsoeL2Aq9x77B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0.43950720799143184</v>
      </c>
      <c r="D2" s="52">
        <f>IFERROR(1-_xlfn.NORM.DIST(_xlfn.NORM.INV(SUM(D4:D5), 0, 1) + 1, 0, 1, TRUE), "")</f>
        <v>0.43950720799143184</v>
      </c>
      <c r="E2" s="52">
        <f>IFERROR(1-_xlfn.NORM.DIST(_xlfn.NORM.INV(SUM(E4:E5), 0, 1) + 1, 0, 1, TRUE), "")</f>
        <v>0.36279218724907158</v>
      </c>
      <c r="F2" s="52">
        <f>IFERROR(1-_xlfn.NORM.DIST(_xlfn.NORM.INV(SUM(F4:F5), 0, 1) + 1, 0, 1, TRUE), "")</f>
        <v>0.24646900939015914</v>
      </c>
      <c r="G2" s="52">
        <f>IFERROR(1-_xlfn.NORM.DIST(_xlfn.NORM.INV(SUM(G4:G5), 0, 1) + 1, 0, 1, TRUE), "")</f>
        <v>0.30134324492440423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0.36221289200856815</v>
      </c>
      <c r="D3" s="52">
        <f>IFERROR(_xlfn.NORM.DIST(_xlfn.NORM.INV(SUM(D4:D5), 0, 1) + 1, 0, 1, TRUE) - SUM(D4:D5), "")</f>
        <v>0.36221289200856815</v>
      </c>
      <c r="E3" s="52">
        <f>IFERROR(_xlfn.NORM.DIST(_xlfn.NORM.INV(SUM(E4:E5), 0, 1) + 1, 0, 1, TRUE) - SUM(E4:E5), "")</f>
        <v>0.37903691275092843</v>
      </c>
      <c r="F3" s="52">
        <f>IFERROR(_xlfn.NORM.DIST(_xlfn.NORM.INV(SUM(F4:F5), 0, 1) + 1, 0, 1, TRUE) - SUM(F4:F5), "")</f>
        <v>0.37690589060984081</v>
      </c>
      <c r="G3" s="52">
        <f>IFERROR(_xlfn.NORM.DIST(_xlfn.NORM.INV(SUM(G4:G5), 0, 1) + 1, 0, 1, TRUE) - SUM(G4:G5), "")</f>
        <v>0.38285065507559579</v>
      </c>
    </row>
    <row r="4" spans="1:15" ht="15.75" customHeight="1" x14ac:dyDescent="0.25">
      <c r="B4" s="5" t="s">
        <v>129</v>
      </c>
      <c r="C4" s="45">
        <v>0.12910369999999999</v>
      </c>
      <c r="D4" s="53">
        <v>0.12910369999999999</v>
      </c>
      <c r="E4" s="53">
        <v>0.13079950000000001</v>
      </c>
      <c r="F4" s="53">
        <v>0.16891010000000001</v>
      </c>
      <c r="G4" s="53">
        <v>0.1503497</v>
      </c>
    </row>
    <row r="5" spans="1:15" ht="15.75" customHeight="1" x14ac:dyDescent="0.25">
      <c r="B5" s="5" t="s">
        <v>125</v>
      </c>
      <c r="C5" s="45">
        <v>6.9176200000000007E-2</v>
      </c>
      <c r="D5" s="53">
        <v>6.9176200000000007E-2</v>
      </c>
      <c r="E5" s="53">
        <v>0.1273714</v>
      </c>
      <c r="F5" s="53">
        <v>0.20771500000000001</v>
      </c>
      <c r="G5" s="53">
        <v>0.1654564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0.46382904044899265</v>
      </c>
      <c r="D8" s="52">
        <f>IFERROR(1-_xlfn.NORM.DIST(_xlfn.NORM.INV(SUM(D10:D11), 0, 1) + 1, 0, 1, TRUE), "")</f>
        <v>0.46382904044899265</v>
      </c>
      <c r="E8" s="52">
        <f>IFERROR(1-_xlfn.NORM.DIST(_xlfn.NORM.INV(SUM(E10:E11), 0, 1) + 1, 0, 1, TRUE), "")</f>
        <v>0.45825878111230722</v>
      </c>
      <c r="F8" s="52">
        <f>IFERROR(1-_xlfn.NORM.DIST(_xlfn.NORM.INV(SUM(F10:F11), 0, 1) + 1, 0, 1, TRUE), "")</f>
        <v>0.56236268471227269</v>
      </c>
      <c r="G8" s="52">
        <f>IFERROR(1-_xlfn.NORM.DIST(_xlfn.NORM.INV(SUM(G10:G11), 0, 1) + 1, 0, 1, TRUE), "")</f>
        <v>0.64757413294160016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0.35455085955100735</v>
      </c>
      <c r="D9" s="52">
        <f>IFERROR(_xlfn.NORM.DIST(_xlfn.NORM.INV(SUM(D10:D11), 0, 1) + 1, 0, 1, TRUE) - SUM(D10:D11), "")</f>
        <v>0.35455085955100735</v>
      </c>
      <c r="E9" s="52">
        <f>IFERROR(_xlfn.NORM.DIST(_xlfn.NORM.INV(SUM(E10:E11), 0, 1) + 1, 0, 1, TRUE) - SUM(E10:E11), "")</f>
        <v>0.35639541888769277</v>
      </c>
      <c r="F9" s="52">
        <f>IFERROR(_xlfn.NORM.DIST(_xlfn.NORM.INV(SUM(F10:F11), 0, 1) + 1, 0, 1, TRUE) - SUM(F10:F11), "")</f>
        <v>0.3139934152877274</v>
      </c>
      <c r="G9" s="52">
        <f>IFERROR(_xlfn.NORM.DIST(_xlfn.NORM.INV(SUM(G10:G11), 0, 1) + 1, 0, 1, TRUE) - SUM(G10:G11), "")</f>
        <v>0.26844446705839986</v>
      </c>
    </row>
    <row r="10" spans="1:15" ht="15.75" customHeight="1" x14ac:dyDescent="0.25">
      <c r="B10" s="5" t="s">
        <v>126</v>
      </c>
      <c r="C10" s="45">
        <v>8.3225900000000005E-2</v>
      </c>
      <c r="D10" s="53">
        <v>8.3225900000000005E-2</v>
      </c>
      <c r="E10" s="53">
        <v>0.12705050000000001</v>
      </c>
      <c r="F10" s="53">
        <v>8.5907600000000001E-2</v>
      </c>
      <c r="G10" s="53">
        <v>4.8662900000000002E-2</v>
      </c>
    </row>
    <row r="11" spans="1:15" ht="15.75" customHeight="1" x14ac:dyDescent="0.25">
      <c r="B11" s="5" t="s">
        <v>138</v>
      </c>
      <c r="C11" s="45">
        <v>9.8394200000000001E-2</v>
      </c>
      <c r="D11" s="53">
        <v>9.8394200000000001E-2</v>
      </c>
      <c r="E11" s="53">
        <v>5.8295300000000001E-2</v>
      </c>
      <c r="F11" s="53">
        <v>3.77363E-2</v>
      </c>
      <c r="G11" s="53">
        <v>3.5318500000000003E-2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0.63803419224999991</v>
      </c>
      <c r="D14" s="54">
        <v>0.63816869495700002</v>
      </c>
      <c r="E14" s="54">
        <v>0.63816869495700002</v>
      </c>
      <c r="F14" s="54">
        <v>0.43302120201400002</v>
      </c>
      <c r="G14" s="54">
        <v>0.43302120201400002</v>
      </c>
      <c r="H14" s="45">
        <v>0.34200000000000003</v>
      </c>
      <c r="I14" s="55">
        <v>0.34200000000000003</v>
      </c>
      <c r="J14" s="55">
        <v>0.34200000000000003</v>
      </c>
      <c r="K14" s="55">
        <v>0.34200000000000003</v>
      </c>
      <c r="L14" s="45">
        <v>0.28799999999999998</v>
      </c>
      <c r="M14" s="55">
        <v>0.28799999999999998</v>
      </c>
      <c r="N14" s="55">
        <v>0.28799999999999998</v>
      </c>
      <c r="O14" s="55">
        <v>0.28799999999999998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0.32531513163669967</v>
      </c>
      <c r="D15" s="52">
        <f t="shared" si="0"/>
        <v>0.32538371066642052</v>
      </c>
      <c r="E15" s="52">
        <f t="shared" si="0"/>
        <v>0.32538371066642052</v>
      </c>
      <c r="F15" s="52">
        <f t="shared" si="0"/>
        <v>0.2207849532920802</v>
      </c>
      <c r="G15" s="52">
        <f t="shared" si="0"/>
        <v>0.2207849532920802</v>
      </c>
      <c r="H15" s="52">
        <f t="shared" si="0"/>
        <v>0.17437588200000001</v>
      </c>
      <c r="I15" s="52">
        <f t="shared" si="0"/>
        <v>0.17437588200000001</v>
      </c>
      <c r="J15" s="52">
        <f t="shared" si="0"/>
        <v>0.17437588200000001</v>
      </c>
      <c r="K15" s="52">
        <f t="shared" si="0"/>
        <v>0.17437588200000001</v>
      </c>
      <c r="L15" s="52">
        <f t="shared" si="0"/>
        <v>0.14684284799999997</v>
      </c>
      <c r="M15" s="52">
        <f t="shared" si="0"/>
        <v>0.14684284799999997</v>
      </c>
      <c r="N15" s="52">
        <f t="shared" si="0"/>
        <v>0.14684284799999997</v>
      </c>
      <c r="O15" s="52">
        <f t="shared" si="0"/>
        <v>0.14684284799999997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xBuZ9+1WykKKkmm2MF6KAR7MWNPpphqtKcWq/4GBq2ykmTyU49wfFjoVvuIW0SBOaYeo72D4Q22n52TOG/lMfQ==" saltValue="YdTkvxLDbZoyCNu/jCS0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0.21005280000000001</v>
      </c>
      <c r="D2" s="53">
        <v>0.10688060000000001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0.49141610000000002</v>
      </c>
      <c r="D3" s="53">
        <v>0.3412442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0.23050219999999999</v>
      </c>
      <c r="D4" s="53">
        <v>0.4981411</v>
      </c>
      <c r="E4" s="53">
        <v>0.87793460000000001</v>
      </c>
      <c r="F4" s="53">
        <v>0.65165729999999999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6.8028899999999948E-2</v>
      </c>
      <c r="D5" s="52">
        <f t="shared" si="0"/>
        <v>5.3734100000000007E-2</v>
      </c>
      <c r="E5" s="52">
        <f>1-SUM(E2:E4)</f>
        <v>0.12206539999999999</v>
      </c>
      <c r="F5" s="52">
        <f>1-SUM(F2:F4)</f>
        <v>0.34834270000000001</v>
      </c>
      <c r="G5" s="52">
        <f>1-SUM(G2:G4)</f>
        <v>1</v>
      </c>
    </row>
  </sheetData>
  <sheetProtection algorithmName="SHA-512" hashValue="R6ppX1KRzi1yyLSUN3N/9mX5phW4kTBvmoliwiMCP4BTGKAcsOfdXCdKSFW2UAtAaR9ROpNQ6OYxdxUEw0Tr7Q==" saltValue="AgCDLZ2ga+JVV6NmcGRfg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yUqQhJZ8iajV54IG09uKDyTewJyfAN3BTqr+JrDmILX5a9q227dZull2PfMP491SwNWx2ukAwbsVztYJn0m0Q==" saltValue="GpN81n23GICRrjSdB+aID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1484.89246472542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0.42185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0.34328999999999998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2.3254234572696694E-2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93426.008679999999</v>
      </c>
      <c r="C22" s="107">
        <v>92886.310400000002</v>
      </c>
      <c r="D22" s="107">
        <v>92630.517399999997</v>
      </c>
      <c r="E22" s="107">
        <v>92183.813639999993</v>
      </c>
      <c r="F22" s="107">
        <v>91537.191340000005</v>
      </c>
      <c r="G22" s="107">
        <v>90782.443859999999</v>
      </c>
      <c r="H22" s="107">
        <v>89859.403009999995</v>
      </c>
      <c r="I22" s="107">
        <v>88678.481050000002</v>
      </c>
      <c r="J22" s="107">
        <v>86993.360520000002</v>
      </c>
      <c r="K22" s="107">
        <v>84689.153760000001</v>
      </c>
      <c r="L22" s="107">
        <v>81236.659220000001</v>
      </c>
      <c r="M22" s="107">
        <v>76359.293820000006</v>
      </c>
      <c r="N22" s="107">
        <v>69169.567190000002</v>
      </c>
      <c r="O22" s="107">
        <v>59738.168949999999</v>
      </c>
    </row>
  </sheetData>
  <sheetProtection algorithmName="SHA-512" hashValue="EXaK3cMM8Li7i4k3ggsRlKp5vBx031Vez8VvqZYWKwtbtmvOogde5Nuhv3ZUIOOBwMFhzoVmNkvWzrmYqQb/Fw==" saltValue="jlhWBjTslfaMF3yRqMbFh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wcUbpokdFzT2kgvbZ6EcfOqpiaAI+vbu4V2GDZ3VolZgDG7kpymAspdVAOI8xI7quhRjJpvVISSdBqwCPJiSQg==" saltValue="K65uvt9gc4gHIfXZ72+p3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rPMid1sN/+UGFnKFEDMQ/UGcNASFT2p6VlZ0U0RAv+ttW/Aie/nTV8ckxvPUK1PJV6n6uX3Lv98XXANZSKXd6A==" saltValue="XbVyJ5BhUdF9NRvx6rQdI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6.8747382117628364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0.2139553248340432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0.78848199824391296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0.22197642864885933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0.125552</v>
      </c>
      <c r="C10" s="96">
        <v>0.95</v>
      </c>
      <c r="D10" s="56">
        <v>15.06077994466111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15.06077994466111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15.06077994466111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15.06077994466111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0.31330000000000002</v>
      </c>
      <c r="C14" s="96">
        <v>0.95</v>
      </c>
      <c r="D14" s="56">
        <v>2.7509100930955666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15.06077994466111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0.41392640000000003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0.60599999999999998</v>
      </c>
      <c r="C18" s="96">
        <v>0.95</v>
      </c>
      <c r="D18" s="56">
        <v>6.8747382117628364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0.10688060000000001</v>
      </c>
      <c r="C19" s="96">
        <v>0.95</v>
      </c>
      <c r="D19" s="56">
        <v>1.888235787121497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6.8747382117628364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0.56810229999999995</v>
      </c>
      <c r="C23" s="96">
        <v>0.95</v>
      </c>
      <c r="D23" s="56">
        <v>4.9386229663401986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0.42426401169421402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4.4432147531692987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0.37546259999999998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0.21526239999999999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0.25009999999999999</v>
      </c>
      <c r="C31" s="96">
        <v>0.95</v>
      </c>
      <c r="D31" s="56">
        <v>125.66324080233395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0.48499999999999999</v>
      </c>
      <c r="C32" s="96">
        <v>0.95</v>
      </c>
      <c r="D32" s="56">
        <v>0.65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0.15573529999999999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0.6041609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8.7560000000000003E-4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0.59496380000000004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2E-3</v>
      </c>
      <c r="C38" s="96">
        <v>0.95</v>
      </c>
      <c r="D38" s="56">
        <v>2.2145073762257557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lt4qb/gaUwV47uSjKdMDka5iHMbZ++CnUijTw3L2xOLr/TjEt0vtqPZRNNXwJXWhEXMyc7nafwHV190yDNcehw==" saltValue="66i5o0AhWg9ClkpWqU6P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tl6w1tjJi3lGyvkUIhdAEs3MNJ+nv709DFziElfyJXMfIRmUlCLenH2rZxZVGbUNsdYlI4yvY+QNDaXziOXo+Q==" saltValue="gdYrTnIHaGvUB2hnmnHUb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e0XifuyJ1SkodsQnEeKTiZ2uvO0yCwYvfC6qOmpsbbmNu/MAD4hACMCn+J/r7/HaJK/qXb05BHQp9wCeAbJgg==" saltValue="q6Ou0Xu4KoZd4mHWKLqvN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4.1340000000000003</v>
      </c>
      <c r="C2" s="21">
        <f>'Entradas de población-año base'!C52</f>
        <v>4.1340000000000003</v>
      </c>
      <c r="D2" s="21">
        <f>'Entradas de población-año base'!C53</f>
        <v>8.6319999999999997</v>
      </c>
      <c r="E2" s="21">
        <f>'Entradas de población-año base'!C54</f>
        <v>7.0460000000000003</v>
      </c>
      <c r="F2" s="21">
        <f>'Entradas de población-año base'!C55</f>
        <v>2.5219999999999998</v>
      </c>
    </row>
    <row r="3" spans="1:6" ht="15.75" customHeight="1" x14ac:dyDescent="0.25">
      <c r="A3" s="3" t="s">
        <v>6</v>
      </c>
      <c r="B3" s="21">
        <f>frac_mam_1month * 2.6</f>
        <v>0.21638734000000001</v>
      </c>
      <c r="C3" s="21">
        <f>frac_mam_1_5months * 2.6</f>
        <v>0.21638734000000001</v>
      </c>
      <c r="D3" s="21">
        <f>frac_mam_6_11months * 2.6</f>
        <v>0.33033130000000005</v>
      </c>
      <c r="E3" s="21">
        <f>frac_mam_12_23months * 2.6</f>
        <v>0.22335976000000002</v>
      </c>
      <c r="F3" s="21">
        <f>frac_mam_24_59months * 2.6</f>
        <v>0.12652354000000002</v>
      </c>
    </row>
    <row r="4" spans="1:6" ht="15.75" customHeight="1" x14ac:dyDescent="0.25">
      <c r="A4" s="3" t="s">
        <v>236</v>
      </c>
      <c r="B4" s="21">
        <f>frac_sam_1month * 2.6</f>
        <v>0.25582492000000001</v>
      </c>
      <c r="C4" s="21">
        <f>frac_sam_1_5months * 2.6</f>
        <v>0.25582492000000001</v>
      </c>
      <c r="D4" s="21">
        <f>frac_sam_6_11months * 2.6</f>
        <v>0.15156778000000001</v>
      </c>
      <c r="E4" s="21">
        <f>frac_sam_12_23months * 2.6</f>
        <v>9.8114380000000001E-2</v>
      </c>
      <c r="F4" s="21">
        <f>frac_sam_24_59months * 2.6</f>
        <v>9.182810000000001E-2</v>
      </c>
    </row>
  </sheetData>
  <sheetProtection algorithmName="SHA-512" hashValue="hlIxMHLBorRAnA3fXeObn/U0XrMMmCA51RTMNO98Nqfsy0SEErMnvYF8n0UCLnF15z7aH2RFezNZI1yZwKkDZQ==" saltValue="/C1c1xI4YGwIW/9zVxDFN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0.17899999999999999</v>
      </c>
      <c r="F2" s="60">
        <f>food_insecure</f>
        <v>0.17899999999999999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0.17899999999999999</v>
      </c>
      <c r="F5" s="60">
        <f>food_insecure</f>
        <v>0.17899999999999999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9.0196363636363658E-2</v>
      </c>
      <c r="D7" s="60">
        <f>diarrhoea_1_5mo*frac_diarrhea_severe</f>
        <v>9.0196363636363658E-2</v>
      </c>
      <c r="E7" s="60">
        <f>diarrhoea_6_11mo*frac_diarrhea_severe</f>
        <v>0.18833454545454545</v>
      </c>
      <c r="F7" s="60">
        <f>diarrhoea_12_23mo*frac_diarrhea_severe</f>
        <v>0.15373090909090911</v>
      </c>
      <c r="G7" s="60">
        <f>diarrhoea_24_59mo*frac_diarrhea_severe</f>
        <v>5.5025454545454544E-2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0.17899999999999999</v>
      </c>
      <c r="F8" s="60">
        <f>food_insecure</f>
        <v>0.17899999999999999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0.17899999999999999</v>
      </c>
      <c r="F9" s="60">
        <f>food_insecure</f>
        <v>0.17899999999999999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9.0196363636363658E-2</v>
      </c>
      <c r="D12" s="60">
        <f>diarrhoea_1_5mo*frac_diarrhea_severe</f>
        <v>9.0196363636363658E-2</v>
      </c>
      <c r="E12" s="60">
        <f>diarrhoea_6_11mo*frac_diarrhea_severe</f>
        <v>0.18833454545454545</v>
      </c>
      <c r="F12" s="60">
        <f>diarrhoea_12_23mo*frac_diarrhea_severe</f>
        <v>0.15373090909090911</v>
      </c>
      <c r="G12" s="60">
        <f>diarrhoea_24_59mo*frac_diarrhea_severe</f>
        <v>5.5025454545454544E-2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0.17899999999999999</v>
      </c>
      <c r="I15" s="60">
        <f t="shared" si="0"/>
        <v>0.17899999999999999</v>
      </c>
      <c r="J15" s="60">
        <f t="shared" si="0"/>
        <v>0.17899999999999999</v>
      </c>
      <c r="K15" s="60">
        <f t="shared" si="0"/>
        <v>0.17899999999999999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0.17899999999999999</v>
      </c>
      <c r="I16" s="60">
        <f t="shared" si="0"/>
        <v>0.17899999999999999</v>
      </c>
      <c r="J16" s="60">
        <f t="shared" si="0"/>
        <v>0.17899999999999999</v>
      </c>
      <c r="K16" s="60">
        <f t="shared" si="0"/>
        <v>0.17899999999999999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</v>
      </c>
      <c r="I19" s="60">
        <f>frac_malaria_risk</f>
        <v>0.5</v>
      </c>
      <c r="J19" s="60">
        <f>frac_malaria_risk</f>
        <v>0.5</v>
      </c>
      <c r="K19" s="60">
        <f>frac_malaria_risk</f>
        <v>0.5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0.72199999999999998</v>
      </c>
      <c r="M24" s="60">
        <f>famplan_unmet_need</f>
        <v>0.72199999999999998</v>
      </c>
      <c r="N24" s="60">
        <f>famplan_unmet_need</f>
        <v>0.72199999999999998</v>
      </c>
      <c r="O24" s="60">
        <f>famplan_unmet_need</f>
        <v>0.72199999999999998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0.25499896676099998</v>
      </c>
      <c r="M25" s="60">
        <f>(1-food_insecure)*(0.49)+food_insecure*(0.7)</f>
        <v>0.52759</v>
      </c>
      <c r="N25" s="60">
        <f>(1-food_insecure)*(0.49)+food_insecure*(0.7)</f>
        <v>0.52759</v>
      </c>
      <c r="O25" s="60">
        <f>(1-food_insecure)*(0.49)+food_insecure*(0.7)</f>
        <v>0.52759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0.10928527146899999</v>
      </c>
      <c r="M26" s="60">
        <f>(1-food_insecure)*(0.21)+food_insecure*(0.3)</f>
        <v>0.22610999999999998</v>
      </c>
      <c r="N26" s="60">
        <f>(1-food_insecure)*(0.21)+food_insecure*(0.3)</f>
        <v>0.22610999999999998</v>
      </c>
      <c r="O26" s="60">
        <f>(1-food_insecure)*(0.21)+food_insecure*(0.3)</f>
        <v>0.22610999999999998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0.11904366176999999</v>
      </c>
      <c r="M27" s="60">
        <f>(1-food_insecure)*(0.3)</f>
        <v>0.24629999999999996</v>
      </c>
      <c r="N27" s="60">
        <f>(1-food_insecure)*(0.3)</f>
        <v>0.24629999999999996</v>
      </c>
      <c r="O27" s="60">
        <f>(1-food_insecure)*(0.3)</f>
        <v>0.24629999999999996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0.51667209999999997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0.5</v>
      </c>
      <c r="D34" s="60">
        <f t="shared" si="4"/>
        <v>0.5</v>
      </c>
      <c r="E34" s="60">
        <f t="shared" si="4"/>
        <v>0.5</v>
      </c>
      <c r="F34" s="60">
        <f t="shared" si="4"/>
        <v>0.5</v>
      </c>
      <c r="G34" s="60">
        <f t="shared" si="4"/>
        <v>0.5</v>
      </c>
      <c r="H34" s="60">
        <f t="shared" si="4"/>
        <v>0.5</v>
      </c>
      <c r="I34" s="60">
        <f t="shared" si="4"/>
        <v>0.5</v>
      </c>
      <c r="J34" s="60">
        <f t="shared" si="4"/>
        <v>0.5</v>
      </c>
      <c r="K34" s="60">
        <f t="shared" si="4"/>
        <v>0.5</v>
      </c>
      <c r="L34" s="60">
        <f t="shared" si="4"/>
        <v>0.5</v>
      </c>
      <c r="M34" s="60">
        <f t="shared" si="4"/>
        <v>0.5</v>
      </c>
      <c r="N34" s="60">
        <f t="shared" si="4"/>
        <v>0.5</v>
      </c>
      <c r="O34" s="60">
        <f t="shared" si="4"/>
        <v>0.5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RQMlQdKvHQ55k7MelYOA+KM8FeCcDP8JW5pgex+CjgyTGsmPNplEAkkhUe458S6pEgH5mlWtNmCy+6PaSLpo/A==" saltValue="baRv17TSIuJF1vLHhnJ22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YdkQReADtobmP1SDHgwlOwoOlXwi8MPWSggSvWX//mCSg7Bm+KB/LKiLNXnDQRAW5habJtTQGhLr9AaFTb7HjA==" saltValue="a9TlLm8dMMLQp+DptD6Jr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sOocBBbSOv0zsbowMf7bcpiCD3TjOV1vmCkZg0OHjd/XcM6UuRXcxM36FN6lvPe/joqP3EDilZXH3Xhgokb9tQ==" saltValue="yRseV3dKOlOr1qQCYUtxL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VEvrN7ujdir/tTtcE/32UIuNn6ZbP3sg11aC/KpQVUECo+jrD0d9bBL/0etsBMoS2uCsC31XRl8ydvAkYq08eQ==" saltValue="hCT5LI/jkUfBDsPyjRCQ0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kPJWCQGfmZ2VbyVLBnI6NVbsiw+/N7tebons4xgMSOf8+7Bln59jV4nFr5pVFUXacoTMhRz6pKjwHPaFdoGOxw==" saltValue="gE5Bt2bj0yE9Kljdng/Eh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XQDvdtln46YYbvdljptbLp8wGmzxsNxxptNWSmKlwK9wS5Xvh6pzdGB4N7gKQXhye5WGvqbMIBeso6TJhZrEJQ==" saltValue="SwaWfIrk51UKMUS2grZM9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GxUwoyiqXgl1KZ9QO97rmR2iqn06Te1mGgs3pqfkbo1cUrMTZZexAmwkQUvtA+bmL3+vfAc6rp3HsRQdJB2A5A==" saltValue="ZduHRP4ccx8fenyd0+gku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9tkpbbJreNa9847HjE/e8ahHFA0cWUjtJym/4w8KbJuCJUEo27VxqZGvv3BKzAneNUTYZtpz5ky/70ebvZ4gig==" saltValue="dwZzIM3m/7SJiY9PCnqK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HmmtAnBBhyopYTNn90aCh/30FWsYn2G7/h2byis+8v3L8wLYL5aqAsLh6FLE85DdneIJ0mtViJx3vEq3IwPJfw==" saltValue="vUtuJR9oJmNTO9rheQr0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3VVqUWdW77WtmZdFlEEHEJFJcLLRjKgK9l+PijTbnFdl4oOvmIT2zkiIq7NonQUhUrwFYPQgW3ZFQI31mDtgA==" saltValue="sWowdbCdN6DvRpfrQe5B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/ybTL0ugoGfuyYz0a7F+UlkR1rptTqFPdkddg8KOL9DfBZZyGihR+sggcdH/P29x1tP2ig8ENc8kZpQ8NCgdg==" saltValue="Ch2VLbkKa++AI/e1mMQM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hzby+AGx6xFjjReMOaXz13ByR2NfM0H5uILbeDMKc757l9scxt4SEjXGxXPPvU9Am6AMUizf70zOIoEujCLsww==" saltValue="NrnscXGICvguauSqCFCr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GCTye9ve9vcoTEep3DnZXGtFgYB8ovma2l/zZPXdSomSMbgCjX5TQzhMYdkUNBER4j9kkOjnrNM52louwGLZg==" saltValue="Gk3Hk9wbfWrcSZfnia5QF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/zCY9usX5tYxCk2TLOSDNMkdXJLtvVR2WuAAgvqhre8imeF4eXw4b8i8GMYwWI4SlPHxON73jnzIC6yMnl/Dg==" saltValue="FEW1aHUxpIvMlkPgFV+S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KLSa9lTr88JWGyffVY9fbv4y9+4zhgnSrAa5AYk/7OXA8++fsu4vReFZZp6I3PZRLGUhhEBoUb+vza9yBxYiMw==" saltValue="fiogDGk0PnSb6TV7+gM4p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2026-04-29T01:51:39Z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