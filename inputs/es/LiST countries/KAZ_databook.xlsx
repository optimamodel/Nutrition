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A56B094C-6244-4209-8F37-8AA62EFAE5B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5" i="2"/>
  <c r="A31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40" i="2" l="1"/>
  <c r="A23" i="2"/>
  <c r="A22" i="2"/>
  <c r="A24" i="2"/>
  <c r="A26" i="2"/>
  <c r="A36" i="2"/>
  <c r="I2" i="2"/>
  <c r="I8" i="2"/>
  <c r="A19" i="2"/>
  <c r="I39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<sst xmlns="http://schemas.openxmlformats.org/spreadsheetml/2006/main" count="2169" uniqueCount="373">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</sst>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2083997.5</v>
      </c>
    </row>
    <row r="8" spans="1:3" ht="15" customHeight="1" x14ac:dyDescent="0.25">
      <c r="B8" s="5" t="s">
        <v>63</v>
      </c>
      <c r="C8" s="44">
        <v>0.5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8.2799999999999999E-2</v>
      </c>
    </row>
    <row r="24" spans="1:3" ht="15" customHeight="1" x14ac:dyDescent="0.25">
      <c r="B24" s="15" t="s">
        <v>65</v>
      </c>
      <c r="C24" s="45">
        <v>0.55079999999999996</v>
      </c>
    </row>
    <row r="25" spans="1:3" ht="15" customHeight="1" x14ac:dyDescent="0.25">
      <c r="B25" s="15" t="s">
        <v>66</v>
      </c>
      <c r="C25" s="45">
        <v>0.33279999999999998</v>
      </c>
    </row>
    <row r="26" spans="1:3" ht="15" customHeight="1" x14ac:dyDescent="0.25">
      <c r="B26" s="15" t="s">
        <v>67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0.36614845374562899</v>
      </c>
    </row>
    <row r="30" spans="1:3" ht="14.25" customHeight="1" x14ac:dyDescent="0.25">
      <c r="B30" s="25" t="s">
        <v>82</v>
      </c>
      <c r="C30" s="97">
        <v>8.5813228575563602E-2</v>
      </c>
    </row>
    <row r="31" spans="1:3" ht="14.25" customHeight="1" x14ac:dyDescent="0.25">
      <c r="B31" s="25" t="s">
        <v>29</v>
      </c>
      <c r="C31" s="97">
        <v>0.11932858239091</v>
      </c>
    </row>
    <row r="32" spans="1:3" ht="14.25" customHeight="1" x14ac:dyDescent="0.25">
      <c r="B32" s="25" t="s">
        <v>30</v>
      </c>
      <c r="C32" s="97">
        <v>0.42870973528789802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5.0274900000000002</v>
      </c>
    </row>
    <row r="38" spans="1:5" ht="15" customHeight="1" x14ac:dyDescent="0.25">
      <c r="B38" s="11" t="s">
        <v>54</v>
      </c>
      <c r="C38" s="43">
        <v>9.1445000000000007</v>
      </c>
      <c r="D38" s="12"/>
      <c r="E38" s="13"/>
    </row>
    <row r="39" spans="1:5" ht="15" customHeight="1" x14ac:dyDescent="0.25">
      <c r="B39" s="11" t="s">
        <v>80</v>
      </c>
      <c r="C39" s="43">
        <v>10.274290000000001</v>
      </c>
      <c r="D39" s="12"/>
      <c r="E39" s="12"/>
    </row>
    <row r="40" spans="1:5" ht="15" customHeight="1" x14ac:dyDescent="0.25">
      <c r="B40" s="11" t="s">
        <v>55</v>
      </c>
      <c r="C40" s="98">
        <v>0.13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4.6695E-3</v>
      </c>
      <c r="D45" s="12"/>
    </row>
    <row r="46" spans="1:5" ht="15.75" customHeight="1" x14ac:dyDescent="0.25">
      <c r="B46" s="11" t="s">
        <v>70</v>
      </c>
      <c r="C46" s="45">
        <v>5.0173500000000003E-2</v>
      </c>
      <c r="D46" s="12"/>
    </row>
    <row r="47" spans="1:5" ht="15.75" customHeight="1" x14ac:dyDescent="0.25">
      <c r="B47" s="11" t="s">
        <v>78</v>
      </c>
      <c r="C47" s="45">
        <v>7.6561299999999999E-2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0.6155790000000001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Lk1DE4eFJ3YZAaaVVSMgE81WklvijbeMMFixfb3Rb67XV2YSnn36bUz7RFkVR1s5bWqcFZAmx/DFJ6GD/NqJTg==" saltValue="fq3Ui9Rv5bNLjGQ5YBfV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401985</v>
      </c>
      <c r="C2" s="49">
        <v>780130.5</v>
      </c>
      <c r="D2" s="49">
        <v>1219511</v>
      </c>
      <c r="E2" s="49">
        <v>1550176</v>
      </c>
      <c r="F2" s="49">
        <v>1298914</v>
      </c>
      <c r="G2" s="17">
        <f t="shared" ref="G2:G13" si="0">C2+D2+E2+F2</f>
        <v>4848731.5</v>
      </c>
      <c r="H2" s="17">
        <f t="shared" ref="H2:H13" si="1">(B2 + stillbirth*B2/(1000-stillbirth))/(1-abortion)</f>
        <v>460539.62201005768</v>
      </c>
      <c r="I2" s="17">
        <f t="shared" ref="I2:I13" si="2">G2-H2</f>
        <v>4388191.8779899422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395033</v>
      </c>
      <c r="C3" s="50">
        <v>821649.5</v>
      </c>
      <c r="D3" s="50">
        <v>1217206.9999999998</v>
      </c>
      <c r="E3" s="50">
        <v>1535418.9999999998</v>
      </c>
      <c r="F3" s="50">
        <v>1324875.5</v>
      </c>
      <c r="G3" s="17">
        <f t="shared" si="0"/>
        <v>4899151</v>
      </c>
      <c r="H3" s="17">
        <f t="shared" si="1"/>
        <v>452574.96797517093</v>
      </c>
      <c r="I3" s="17">
        <f t="shared" si="2"/>
        <v>4446576.0320248287</v>
      </c>
    </row>
    <row r="4" spans="1:9" ht="15.75" customHeight="1" x14ac:dyDescent="0.25">
      <c r="A4" s="5">
        <f t="shared" si="3"/>
        <v>2026</v>
      </c>
      <c r="B4" s="49">
        <v>390247</v>
      </c>
      <c r="C4" s="50">
        <v>858704</v>
      </c>
      <c r="D4" s="50">
        <v>1230171</v>
      </c>
      <c r="E4" s="50">
        <v>1508920</v>
      </c>
      <c r="F4" s="50">
        <v>1354032.4999999998</v>
      </c>
      <c r="G4" s="17">
        <f t="shared" si="0"/>
        <v>4951827.5</v>
      </c>
      <c r="H4" s="17">
        <f t="shared" si="1"/>
        <v>447091.82151214342</v>
      </c>
      <c r="I4" s="17">
        <f t="shared" si="2"/>
        <v>4504735.6784878569</v>
      </c>
    </row>
    <row r="5" spans="1:9" ht="15.75" customHeight="1" x14ac:dyDescent="0.25">
      <c r="A5" s="5">
        <f t="shared" si="3"/>
        <v>2027</v>
      </c>
      <c r="B5" s="49">
        <v>387581</v>
      </c>
      <c r="C5" s="50">
        <v>889061.5</v>
      </c>
      <c r="D5" s="50">
        <v>1259603.5000000002</v>
      </c>
      <c r="E5" s="50">
        <v>1471905.0000000002</v>
      </c>
      <c r="F5" s="50">
        <v>1386016.5</v>
      </c>
      <c r="G5" s="17">
        <f t="shared" si="0"/>
        <v>5006586.5</v>
      </c>
      <c r="H5" s="17">
        <f t="shared" si="1"/>
        <v>444037.48209082463</v>
      </c>
      <c r="I5" s="17">
        <f t="shared" si="2"/>
        <v>4562549.0179091757</v>
      </c>
    </row>
    <row r="6" spans="1:9" ht="15.75" customHeight="1" x14ac:dyDescent="0.25">
      <c r="A6" s="5">
        <f t="shared" si="3"/>
        <v>2028</v>
      </c>
      <c r="B6" s="49">
        <v>385313</v>
      </c>
      <c r="C6" s="50">
        <v>912597.5</v>
      </c>
      <c r="D6" s="50">
        <v>1304638.5</v>
      </c>
      <c r="E6" s="50">
        <v>1427915</v>
      </c>
      <c r="F6" s="50">
        <v>1419539</v>
      </c>
      <c r="G6" s="17">
        <f t="shared" si="0"/>
        <v>5064690</v>
      </c>
      <c r="H6" s="17">
        <f t="shared" si="1"/>
        <v>441439.11682167579</v>
      </c>
      <c r="I6" s="17">
        <f t="shared" si="2"/>
        <v>4623250.8831783244</v>
      </c>
    </row>
    <row r="7" spans="1:9" ht="15.75" customHeight="1" x14ac:dyDescent="0.25">
      <c r="A7" s="5">
        <f t="shared" si="3"/>
        <v>2029</v>
      </c>
      <c r="B7" s="49">
        <v>385346</v>
      </c>
      <c r="C7" s="50">
        <v>931263.5</v>
      </c>
      <c r="D7" s="50">
        <v>1360878.5</v>
      </c>
      <c r="E7" s="50">
        <v>1380130.5</v>
      </c>
      <c r="F7" s="50">
        <v>1452463</v>
      </c>
      <c r="G7" s="17">
        <f t="shared" si="0"/>
        <v>5124735.5</v>
      </c>
      <c r="H7" s="17">
        <f t="shared" si="1"/>
        <v>441476.9237237401</v>
      </c>
      <c r="I7" s="17">
        <f t="shared" si="2"/>
        <v>4683258.5762762595</v>
      </c>
    </row>
    <row r="8" spans="1:9" ht="15.75" customHeight="1" x14ac:dyDescent="0.25">
      <c r="A8" s="5">
        <f t="shared" si="3"/>
        <v>2030</v>
      </c>
      <c r="B8" s="49">
        <v>387269</v>
      </c>
      <c r="C8" s="50">
        <v>946533</v>
      </c>
      <c r="D8" s="50">
        <v>1423886</v>
      </c>
      <c r="E8" s="50">
        <v>1331911.5</v>
      </c>
      <c r="F8" s="50">
        <v>1482088</v>
      </c>
      <c r="G8" s="17">
        <f t="shared" si="0"/>
        <v>5184418.5</v>
      </c>
      <c r="H8" s="17">
        <f t="shared" si="1"/>
        <v>443680.03501676186</v>
      </c>
      <c r="I8" s="17">
        <f t="shared" si="2"/>
        <v>4740738.4649832379</v>
      </c>
    </row>
    <row r="9" spans="1:9" ht="15.75" customHeight="1" x14ac:dyDescent="0.25">
      <c r="A9" s="5">
        <f t="shared" si="3"/>
        <v>2031</v>
      </c>
      <c r="B9" s="49">
        <v>389593</v>
      </c>
      <c r="C9" s="50">
        <v>959308</v>
      </c>
      <c r="D9" s="50">
        <v>1490380.9999999998</v>
      </c>
      <c r="E9" s="50">
        <v>1287269</v>
      </c>
      <c r="F9" s="50">
        <v>1505812</v>
      </c>
      <c r="G9" s="17">
        <f t="shared" si="0"/>
        <v>5242770</v>
      </c>
      <c r="H9" s="17">
        <f t="shared" si="1"/>
        <v>446342.55745305022</v>
      </c>
      <c r="I9" s="17">
        <f t="shared" si="2"/>
        <v>4796427.4425469497</v>
      </c>
    </row>
    <row r="10" spans="1:9" ht="15.75" customHeight="1" x14ac:dyDescent="0.25">
      <c r="A10" s="5">
        <f t="shared" si="3"/>
        <v>2032</v>
      </c>
      <c r="B10" s="49">
        <v>393220</v>
      </c>
      <c r="C10" s="50">
        <v>970573.5</v>
      </c>
      <c r="D10" s="50">
        <v>1557833</v>
      </c>
      <c r="E10" s="50">
        <v>1249891</v>
      </c>
      <c r="F10" s="50">
        <v>1521909.5</v>
      </c>
      <c r="G10" s="17">
        <f t="shared" si="0"/>
        <v>5300207</v>
      </c>
      <c r="H10" s="17">
        <f t="shared" si="1"/>
        <v>450497.87968903035</v>
      </c>
      <c r="I10" s="17">
        <f t="shared" si="2"/>
        <v>4849709.1203109697</v>
      </c>
    </row>
    <row r="11" spans="1:9" ht="15.75" customHeight="1" x14ac:dyDescent="0.25">
      <c r="A11" s="5">
        <f t="shared" si="3"/>
        <v>2033</v>
      </c>
      <c r="B11" s="49">
        <v>397614</v>
      </c>
      <c r="C11" s="50">
        <v>980853.5</v>
      </c>
      <c r="D11" s="50">
        <v>1623501</v>
      </c>
      <c r="E11" s="50">
        <v>1222502.5</v>
      </c>
      <c r="F11" s="50">
        <v>1528855</v>
      </c>
      <c r="G11" s="17">
        <f t="shared" si="0"/>
        <v>5355712</v>
      </c>
      <c r="H11" s="17">
        <f t="shared" si="1"/>
        <v>455531.92598208156</v>
      </c>
      <c r="I11" s="17">
        <f t="shared" si="2"/>
        <v>4900180.0740179187</v>
      </c>
    </row>
    <row r="12" spans="1:9" ht="15.75" customHeight="1" x14ac:dyDescent="0.25">
      <c r="A12" s="5">
        <f t="shared" si="3"/>
        <v>2034</v>
      </c>
      <c r="B12" s="49">
        <v>402338</v>
      </c>
      <c r="C12" s="50">
        <v>991314</v>
      </c>
      <c r="D12" s="50">
        <v>1684915</v>
      </c>
      <c r="E12" s="50">
        <v>1206775</v>
      </c>
      <c r="F12" s="50">
        <v>1525498</v>
      </c>
      <c r="G12" s="17">
        <f t="shared" si="0"/>
        <v>5408502</v>
      </c>
      <c r="H12" s="17">
        <f t="shared" si="1"/>
        <v>460944.04129577614</v>
      </c>
      <c r="I12" s="17">
        <f t="shared" si="2"/>
        <v>4947557.9587042239</v>
      </c>
    </row>
    <row r="13" spans="1:9" ht="15.75" customHeight="1" x14ac:dyDescent="0.25">
      <c r="A13" s="5">
        <f t="shared" si="3"/>
        <v>2035</v>
      </c>
      <c r="B13" s="49">
        <v>407445</v>
      </c>
      <c r="C13" s="50">
        <v>1002877.5</v>
      </c>
      <c r="D13" s="50">
        <v>1740804.5</v>
      </c>
      <c r="E13" s="50">
        <v>1204553</v>
      </c>
      <c r="F13" s="50">
        <v>1511109</v>
      </c>
      <c r="G13" s="17">
        <f t="shared" si="0"/>
        <v>5459344</v>
      </c>
      <c r="H13" s="17">
        <f t="shared" si="1"/>
        <v>466794.94580615679</v>
      </c>
      <c r="I13" s="17">
        <f t="shared" si="2"/>
        <v>4992549.0541938432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mMzRoQcE0TxYgzKHoG4RMTc21iyRhDIMxVnum4p26ao8JQoQxpMwppg+GxTfo+skkuDJhPYj5JO5jDzEWeAgA==" saltValue="hJJbzATtea6KfmJLKZur/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1.760868851984851E-3</v>
      </c>
    </row>
    <row r="4" spans="1:8" ht="15.75" customHeight="1" x14ac:dyDescent="0.25">
      <c r="B4" s="19" t="s">
        <v>116</v>
      </c>
      <c r="C4" s="99">
        <v>4.4030896216346517E-2</v>
      </c>
    </row>
    <row r="5" spans="1:8" ht="15.75" customHeight="1" x14ac:dyDescent="0.25">
      <c r="B5" s="19" t="s">
        <v>114</v>
      </c>
      <c r="C5" s="99">
        <v>1.6053023273165951E-2</v>
      </c>
    </row>
    <row r="6" spans="1:8" ht="15.75" customHeight="1" x14ac:dyDescent="0.25">
      <c r="B6" s="19" t="s">
        <v>110</v>
      </c>
      <c r="C6" s="99">
        <v>0.15322500827529759</v>
      </c>
    </row>
    <row r="7" spans="1:8" ht="15.75" customHeight="1" x14ac:dyDescent="0.25">
      <c r="B7" s="19" t="s">
        <v>115</v>
      </c>
      <c r="C7" s="99">
        <v>0.41398825647937221</v>
      </c>
    </row>
    <row r="8" spans="1:8" ht="15.75" customHeight="1" x14ac:dyDescent="0.25">
      <c r="B8" s="19" t="s">
        <v>117</v>
      </c>
      <c r="C8" s="99">
        <v>1.9861197931209979E-3</v>
      </c>
    </row>
    <row r="9" spans="1:8" ht="15.75" customHeight="1" x14ac:dyDescent="0.25">
      <c r="B9" s="19" t="s">
        <v>111</v>
      </c>
      <c r="C9" s="99">
        <v>0.26293527901943192</v>
      </c>
    </row>
    <row r="10" spans="1:8" ht="15.75" customHeight="1" x14ac:dyDescent="0.25">
      <c r="B10" s="19" t="s">
        <v>113</v>
      </c>
      <c r="C10" s="99">
        <v>0.10602054809128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121</v>
      </c>
      <c r="C15" s="99">
        <v>0.28035450442283127</v>
      </c>
      <c r="D15" s="99">
        <v>0.28035450442283127</v>
      </c>
      <c r="E15" s="99">
        <v>0.28035450442283127</v>
      </c>
      <c r="F15" s="99">
        <v>0.28035450442283127</v>
      </c>
    </row>
    <row r="16" spans="1:8" ht="15.75" customHeight="1" x14ac:dyDescent="0.25">
      <c r="B16" s="19" t="s">
        <v>2</v>
      </c>
      <c r="C16" s="99">
        <v>3.0985345785637389E-2</v>
      </c>
      <c r="D16" s="99">
        <v>3.0985345785637389E-2</v>
      </c>
      <c r="E16" s="99">
        <v>3.0985345785637389E-2</v>
      </c>
      <c r="F16" s="99">
        <v>3.0985345785637389E-2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1.89229873405855E-2</v>
      </c>
      <c r="D19" s="99">
        <v>1.89229873405855E-2</v>
      </c>
      <c r="E19" s="99">
        <v>1.89229873405855E-2</v>
      </c>
      <c r="F19" s="99">
        <v>1.89229873405855E-2</v>
      </c>
    </row>
    <row r="20" spans="1:8" ht="15.75" customHeight="1" x14ac:dyDescent="0.25">
      <c r="B20" s="19" t="s">
        <v>98</v>
      </c>
      <c r="C20" s="99">
        <v>8.0875784616822294E-2</v>
      </c>
      <c r="D20" s="99">
        <v>8.0875784616822294E-2</v>
      </c>
      <c r="E20" s="99">
        <v>8.0875784616822294E-2</v>
      </c>
      <c r="F20" s="99">
        <v>8.0875784616822294E-2</v>
      </c>
    </row>
    <row r="21" spans="1:8" ht="15.75" customHeight="1" x14ac:dyDescent="0.25">
      <c r="B21" s="19" t="s">
        <v>107</v>
      </c>
      <c r="C21" s="99">
        <v>0.4862858870445752</v>
      </c>
      <c r="D21" s="99">
        <v>0.4862858870445752</v>
      </c>
      <c r="E21" s="99">
        <v>0.4862858870445752</v>
      </c>
      <c r="F21" s="99">
        <v>0.4862858870445752</v>
      </c>
    </row>
    <row r="22" spans="1:8" ht="15.75" customHeight="1" x14ac:dyDescent="0.25">
      <c r="B22" s="19" t="s">
        <v>118</v>
      </c>
      <c r="C22" s="99">
        <v>7.0970407191423238E-2</v>
      </c>
      <c r="D22" s="99">
        <v>7.0970407191423238E-2</v>
      </c>
      <c r="E22" s="99">
        <v>7.0970407191423238E-2</v>
      </c>
      <c r="F22" s="99">
        <v>7.0970407191423238E-2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1.8716897E-2</v>
      </c>
    </row>
    <row r="27" spans="1:8" ht="15.75" customHeight="1" x14ac:dyDescent="0.25">
      <c r="B27" s="19" t="s">
        <v>108</v>
      </c>
      <c r="C27" s="99">
        <v>2.6342269999999998E-3</v>
      </c>
    </row>
    <row r="28" spans="1:8" ht="15.75" customHeight="1" x14ac:dyDescent="0.25">
      <c r="B28" s="19" t="s">
        <v>122</v>
      </c>
      <c r="C28" s="99">
        <v>0.29297385599999998</v>
      </c>
    </row>
    <row r="29" spans="1:8" ht="15.75" customHeight="1" x14ac:dyDescent="0.25">
      <c r="B29" s="19" t="s">
        <v>105</v>
      </c>
      <c r="C29" s="99">
        <v>7.1156342999999997E-2</v>
      </c>
    </row>
    <row r="30" spans="1:8" ht="15.75" customHeight="1" x14ac:dyDescent="0.25">
      <c r="B30" s="19" t="s">
        <v>4</v>
      </c>
      <c r="C30" s="99">
        <v>0.18743774999999999</v>
      </c>
    </row>
    <row r="31" spans="1:8" ht="15.75" customHeight="1" x14ac:dyDescent="0.25">
      <c r="B31" s="19" t="s">
        <v>99</v>
      </c>
      <c r="C31" s="99">
        <v>5.5795655999999999E-2</v>
      </c>
    </row>
    <row r="32" spans="1:8" ht="15.75" customHeight="1" x14ac:dyDescent="0.25">
      <c r="B32" s="19" t="s">
        <v>104</v>
      </c>
      <c r="C32" s="99">
        <v>3.8825242000000003E-2</v>
      </c>
    </row>
    <row r="33" spans="2:3" ht="15.75" customHeight="1" x14ac:dyDescent="0.25">
      <c r="B33" s="19" t="s">
        <v>119</v>
      </c>
      <c r="C33" s="99">
        <v>1.5145660999999999E-2</v>
      </c>
    </row>
    <row r="34" spans="2:3" ht="15.75" customHeight="1" x14ac:dyDescent="0.25">
      <c r="B34" s="19" t="s">
        <v>106</v>
      </c>
      <c r="C34" s="99">
        <v>0.31731436899999999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mE2OiYdPVo/3++OPZITxKZU3fpplGGEk4W7/M/K284ursXMIOOieV8QaUOVsMfi4fOTFRncY8upsoPAy1LhBAg==" saltValue="yjyhQaEXwTQKqWu+L0Als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129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125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126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138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cerXaMPoI8mi9JKb13gIOsmPZ17bwWF03K1AAStV7wZQ9MsHdE0SYn13JBjUAYKd7INwgFYm5QhvlAN2Ey84w==" saltValue="Gg/IQIizgQT9n4R06fo0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3.0894700000000053E-2</v>
      </c>
      <c r="D5" s="52">
        <f t="shared" si="0"/>
        <v>8.2892999999999994E-2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JgHbcu83Y6oCOsdswaK1HgxRylIhvoPSyyWk0Qw+vJcUlsw7mB74mfP0msfM3zg05npTP9C104s2TxHoxMetPA==" saltValue="dLEYrmD/Kk4GCNom5OIR5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LVGLz3CnSMNs/ZUtsNCtbFu0coKN9+1jQGXO0Ut5NMLHGWmopmX1hExPpZMg0sFLZysIMV8VKTngtSO9J0wWA==" saltValue="dEXBk5Y1B7/5ZphgQw6O3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11492.031938762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0.41551000000000005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0.73099999999999998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1.1892116385828258E-2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98928.810540000006</v>
      </c>
      <c r="C22" s="107">
        <v>98797.166840000005</v>
      </c>
      <c r="D22" s="107">
        <v>98656.874890000006</v>
      </c>
      <c r="E22" s="107">
        <v>98377.115919999997</v>
      </c>
      <c r="F22" s="107">
        <v>97985.902919999993</v>
      </c>
      <c r="G22" s="107">
        <v>97508.243499999997</v>
      </c>
      <c r="H22" s="107">
        <v>96796.500769999999</v>
      </c>
      <c r="I22" s="107">
        <v>95632.48517</v>
      </c>
      <c r="J22" s="107">
        <v>93953.827390000006</v>
      </c>
      <c r="K22" s="107">
        <v>91753.232029999999</v>
      </c>
      <c r="L22" s="107">
        <v>88876.282319999998</v>
      </c>
      <c r="M22" s="107">
        <v>84737.833010000002</v>
      </c>
      <c r="N22" s="107">
        <v>78433.555640000006</v>
      </c>
      <c r="O22" s="107">
        <v>68969.949890000004</v>
      </c>
    </row>
  </sheetData>
  <sheetProtection algorithmName="SHA-512" hashValue="6ba7f+5I5HG7d4+bxJh3McXtefiluRjdhSBQ/iAgmhntk8A815bEgSDLMrUU6nVIZsWIlhhI6sdbgwQ2pznexA==" saltValue="xbM2Ho9s0yH/+9YDDU1TF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hm9xMkbh7St50SOMyCpc5k/y0gq9tosJFc3xb8MvtcCP6Ed6VQoCDohg8+A4PCxPe4wooKLrSTmnvFFZN62JQ==" saltValue="JyamDaAJmvfvSPIY769ht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Qb1xjDtS5rDZ5uhBvJ8KNH/V/JK5lMK+tWmlSMzilRUqtmF3aAvKLFBGRupCNJg58KlUbNb5dXDAs/7tILGdQ==" saltValue="lWOwNzZnECn73kF75c7Y/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13.522915618642561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13.522915618642561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13.522915618642561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13.522915618642561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13.522915618642561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13.522915618642561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0.32737588888888902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0.35208210000000001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0.35208210000000001</v>
      </c>
      <c r="C19" s="96">
        <v>0.95</v>
      </c>
      <c r="D19" s="56">
        <v>17.67766297845575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4.5985477715053404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0.91476330971695807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0.61788880000000002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0.48980810000000002</v>
      </c>
      <c r="C29" s="96">
        <v>0.95</v>
      </c>
      <c r="D29" s="56">
        <v>165.62974913682319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0.66691699999999998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0.25818419999999997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0.83941149999999998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MXv8Qz86Fqs31kB1uCMjpQ8rP2cVk78NtqlQDfjmcVjvYsnrnhTRBbvvv3zP25Sq2GJvGz40mwVFWuVD0nuM/w==" saltValue="+HQYrQuIl+XuqLNxU7qV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n4bLBoxNQLJMvBYUuBwEvL4QbQr47brNgBRx/iTPEMux8xlnMXNb7Oem71AG8q+6rsZaa1UOCcWxs4YNSDfRA==" saltValue="pJl1ygNB3aC3Ia1vg7Ke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6GdVquEvDW8q+3YN5pOK6ZSzIfuq7P2NLF/bylz+7TyvFBgHviss9+huCQXQSNSn84Gw9rT7AyaknX+58fDCw==" saltValue="TbwWKKg87jG/M7D4ozjL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236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sheetProtection algorithmName="SHA-512" hashValue="XEHTqTjSMD5CToJA6GJRXPQItdXkDiPOhl07wO8OVliuLWhjPCcWrP8bxlcF1GxN9rD4noyU5yMTx73ScMigqQ==" saltValue="qRb0jFnkEXOdV8LzQp/4l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vqsOR+zVXdxBIc/Mh1c64CprtLamN4AedF7rFT8lNqWi5jAgG/7EccOEJkWQT8ltaA2OR94SQH3R3B/52WBtg==" saltValue="hNhexiyUH6atQ4EcQ/hf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cRH00ZLUQ3IzTblTBQkC9uy+tvWfgrZVcgDvawCAYyXTgAIEx0xfA814L4vn9QyovwLeqUeDj7S5eiLKjPKPtg==" saltValue="kNH+61R5XAuiOY3iD0GB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9Ztu/ZMkNeArm4c4XusZoQEGbTWpLhG1sab/ySHmEW0TKbLz8hXSikHXIHnmP/4/3Mnr1ZSnIypcCcakYN3NfA==" saltValue="4UGdQyRLSeb4UtMo/ycs0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CgGfYC0cm5mLdtWJRB0h6/J4Xsl9vCIW1aKzgmCIomRLyLI0IwxaW8Jf2NbBpx8dfFq4ZgJ4BoDW1KqywlxQQ==" saltValue="7seecuoFxmmcWnzNdTTdA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iTQfFCDN5qWSFYPb63ct0GfFUpqwiOKCCelel+Z6oDF2K8ttm6BLWkYWlhDOGSpGtR60GmesKyzZckefvmy8nA==" saltValue="6bF8OkLB+HBY1AGI9d1Lg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S1wsskGmoBsCx0HGVWnOJyqWtS4tBd0lsn6IpeF369u9bKySBs9enBOeFI4K/As27dVaO8HS5tkgOAOmkfDiEA==" saltValue="Lye+Qv3iVMWZUkGXY74D8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3Ijkzxx+jGr2Po0/DEhlUWuEm7jbkfMu8vGN9aoeTXJIc6FRGpumY2JIiAknvtcUI4iYgWpsPY6HnrAiAO8gA==" saltValue="ET2tOiy1tK0h51RyvY5fn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5Ntki/vxq87D6tN5Gjd+94sRKxiMVGrX5CMjAdbViUfDTWznHx+ZezmwgmmKMRO+5bWeWrfhcg2aOmvSx+jpXg==" saltValue="5+kL3zFcMfK1PG6Ac6jL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/bBMo45mXQMzILnG0ia1C4Wf2OMFSUld88390Jq8/tZsgTbW9X2i0CzyDo5+u4iyBSOEJ6UHXUQ+MKdAJXmYbg==" saltValue="hGZUp80VVOnKhMR3bp+n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T9IHFbbatM+WjzqIg8ApfXoxrByuuP61wyDHWoTB4FcEBvyvtaYjU/Xn01Pc2kaMLgRnTo6UGuNvAZc6IdLBA==" saltValue="r6pJ4IMpL4qgd7LyNcQ1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8EU6CrOqnqXg0JWX5j901TwgI0kyWRe1X+mpoKrI1W/VnhdNdMXk7vK1tmO06VryfRLqz2aNVDyCq9AU/CDfQ==" saltValue="fS2uXmrEjFZbejb3nVKK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PPtj5rNu2LqvfUihWiq5/+ngeNIcVqbOPsIsmi+nPS4nNKreoKVUrBoZB89GNw2OIZtLljabO3o0ORsoR0kng==" saltValue="DkSpNVTJWHOczDaHkUhK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2lgqeWJ6e3sr5wm3LTQdT9NT2QE9tad4HVBCDThCwdgUIGZTVncdtnG5/quZHylemxK3MGBPkaJFaT4MW1ehA==" saltValue="TtqKxRL3/i3PJrdP5kJR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86XiBzTXvSaDb+VIZ6i2l6ZCbKlpAL2bDvH7U4oQC+i8gzcK6J/ji/yWTkM5oTw52WubCsaBrDz6TCck1Mt7JA==" saltValue="csBhpqvosXEXbd6MnmRz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pEveFLLhDSTHKqF/uqlNIzLEnyWwiHf7NA/0UAKkMHi7GkWQL4vnSLHaCgJJzKlTLZagwZzJd9i99jHUs1E5Q==" saltValue="GMmz1aLxISy5SLHo+zaVb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2026-04-29T02:36:02Z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