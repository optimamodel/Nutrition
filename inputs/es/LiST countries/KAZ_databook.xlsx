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3E18C7A0-9881-4C6E-A6AF-6D443A483928}" xr6:coauthVersionLast="47" xr6:coauthVersionMax="47" xr10:uidLastSave="{00000000-0000-0000-0000-000000000000}"/>
  <bookViews>
    <workbookView xWindow="-110" yWindow="-110" windowWidth="19420" windowHeight="10420" tabRatio="961" firstSheet="4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H13" i="2"/>
  <c r="G13" i="2"/>
  <c r="H12" i="2"/>
  <c r="G12" i="2"/>
  <c r="I12" i="2" s="1"/>
  <c r="H11" i="2"/>
  <c r="G11" i="2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5" i="2" l="1"/>
  <c r="A26" i="2"/>
  <c r="I9" i="2"/>
  <c r="I13" i="2"/>
  <c r="A31" i="2"/>
  <c r="I2" i="2"/>
  <c r="I6" i="2"/>
  <c r="A19" i="2"/>
  <c r="A35" i="2"/>
  <c r="A22" i="2"/>
  <c r="A36" i="2"/>
  <c r="I3" i="2"/>
  <c r="I7" i="2"/>
  <c r="I11" i="2"/>
  <c r="A23" i="2"/>
  <c r="A37" i="2"/>
  <c r="A34" i="2"/>
  <c r="A40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<sst xmlns="http://schemas.openxmlformats.org/spreadsheetml/2006/main" count="2159" uniqueCount="372">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</sst>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2083997.5</v>
      </c>
    </row>
    <row r="8" spans="1:3" ht="15" customHeight="1" x14ac:dyDescent="0.25">
      <c r="B8" s="5" t="s">
        <v>63</v>
      </c>
      <c r="C8" s="44">
        <v>0.5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1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0.20399999999999999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8.2799999999999999E-2</v>
      </c>
    </row>
    <row r="24" spans="1:3" ht="15" customHeight="1" x14ac:dyDescent="0.25">
      <c r="B24" s="15" t="s">
        <v>65</v>
      </c>
      <c r="C24" s="45">
        <v>0.55079999999999996</v>
      </c>
    </row>
    <row r="25" spans="1:3" ht="15" customHeight="1" x14ac:dyDescent="0.25">
      <c r="B25" s="15" t="s">
        <v>66</v>
      </c>
      <c r="C25" s="45">
        <v>0.33279999999999998</v>
      </c>
    </row>
    <row r="26" spans="1:3" ht="15" customHeight="1" x14ac:dyDescent="0.25">
      <c r="B26" s="15" t="s">
        <v>67</v>
      </c>
      <c r="C26" s="45">
        <v>3.3599999999999998E-2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0.36614845374562899</v>
      </c>
    </row>
    <row r="30" spans="1:3" ht="14.25" customHeight="1" x14ac:dyDescent="0.25">
      <c r="B30" s="25" t="s">
        <v>82</v>
      </c>
      <c r="C30" s="99">
        <v>8.5813228575563602E-2</v>
      </c>
    </row>
    <row r="31" spans="1:3" ht="14.25" customHeight="1" x14ac:dyDescent="0.25">
      <c r="B31" s="25" t="s">
        <v>29</v>
      </c>
      <c r="C31" s="99">
        <v>0.11932858239091</v>
      </c>
    </row>
    <row r="32" spans="1:3" ht="14.25" customHeight="1" x14ac:dyDescent="0.25">
      <c r="B32" s="25" t="s">
        <v>30</v>
      </c>
      <c r="C32" s="99">
        <v>0.42870973528789802</v>
      </c>
    </row>
    <row r="33" spans="1:5" ht="13.25" customHeight="1" x14ac:dyDescent="0.25">
      <c r="B33" s="27" t="s">
        <v>79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5.0274900000000002</v>
      </c>
    </row>
    <row r="38" spans="1:5" ht="15" customHeight="1" x14ac:dyDescent="0.25">
      <c r="B38" s="11" t="s">
        <v>54</v>
      </c>
      <c r="C38" s="43">
        <v>9.1445000000000007</v>
      </c>
      <c r="D38" s="12"/>
      <c r="E38" s="13"/>
    </row>
    <row r="39" spans="1:5" ht="15" customHeight="1" x14ac:dyDescent="0.25">
      <c r="B39" s="11" t="s">
        <v>80</v>
      </c>
      <c r="C39" s="43">
        <v>10.274290000000001</v>
      </c>
      <c r="D39" s="12"/>
      <c r="E39" s="12"/>
    </row>
    <row r="40" spans="1:5" ht="15" customHeight="1" x14ac:dyDescent="0.25">
      <c r="B40" s="11" t="s">
        <v>55</v>
      </c>
      <c r="C40" s="100">
        <v>0.13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8.1176200000000005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4.6695E-3</v>
      </c>
      <c r="D45" s="12"/>
    </row>
    <row r="46" spans="1:5" ht="15.75" customHeight="1" x14ac:dyDescent="0.25">
      <c r="B46" s="11" t="s">
        <v>70</v>
      </c>
      <c r="C46" s="45">
        <v>5.0173500000000003E-2</v>
      </c>
      <c r="D46" s="12"/>
    </row>
    <row r="47" spans="1:5" ht="15.75" customHeight="1" x14ac:dyDescent="0.25">
      <c r="B47" s="11" t="s">
        <v>78</v>
      </c>
      <c r="C47" s="45">
        <v>7.6561299999999999E-2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2.8</v>
      </c>
      <c r="D51" s="12"/>
    </row>
    <row r="52" spans="1:4" ht="15" customHeight="1" x14ac:dyDescent="0.25">
      <c r="B52" s="11" t="s">
        <v>32</v>
      </c>
      <c r="C52" s="100">
        <v>2.8</v>
      </c>
    </row>
    <row r="53" spans="1:4" ht="15.75" customHeight="1" x14ac:dyDescent="0.25">
      <c r="B53" s="11" t="s">
        <v>35</v>
      </c>
      <c r="C53" s="100">
        <v>2.8</v>
      </c>
    </row>
    <row r="54" spans="1:4" ht="15.75" customHeight="1" x14ac:dyDescent="0.25">
      <c r="B54" s="11" t="s">
        <v>33</v>
      </c>
      <c r="C54" s="100">
        <v>2.8</v>
      </c>
    </row>
    <row r="55" spans="1:4" ht="15.75" customHeight="1" x14ac:dyDescent="0.25">
      <c r="B55" s="11" t="s">
        <v>34</v>
      </c>
      <c r="C55" s="100">
        <v>2.8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1.6428571428571431E-2</v>
      </c>
    </row>
    <row r="59" spans="1:4" ht="15.75" customHeight="1" x14ac:dyDescent="0.25">
      <c r="B59" s="11" t="s">
        <v>59</v>
      </c>
      <c r="C59" s="45">
        <v>0.6155790000000001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5.4285702999999901E-2</v>
      </c>
    </row>
    <row r="63" spans="1:4" ht="15.75" customHeight="1" x14ac:dyDescent="0.3">
      <c r="A63" s="4"/>
    </row>
  </sheetData>
  <sheetProtection algorithmName="SHA-512" hashValue="ekIwE6bXFxZ4Wkcg/MJBtIpOzxebdiZ4mTc9JyLURGcXYG3O9bs1QZLEn3gkPRNwE0XuswFyYwbO9nrqR6skHQ==" saltValue="+awvjB8KwwPqDFMlvcQ1k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401985</v>
      </c>
      <c r="C2" s="49">
        <v>780130.5</v>
      </c>
      <c r="D2" s="49">
        <v>1219511</v>
      </c>
      <c r="E2" s="49">
        <v>1550176</v>
      </c>
      <c r="F2" s="49">
        <v>1298914</v>
      </c>
      <c r="G2" s="17">
        <f t="shared" ref="G2:G13" si="0">C2+D2+E2+F2</f>
        <v>4848731.5</v>
      </c>
      <c r="H2" s="17">
        <f t="shared" ref="H2:H13" si="1">(B2 + stillbirth*B2/(1000-stillbirth))/(1-abortion)</f>
        <v>460539.62201005768</v>
      </c>
      <c r="I2" s="17">
        <f t="shared" ref="I2:I13" si="2">G2-H2</f>
        <v>4388191.8779899422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395033</v>
      </c>
      <c r="C3" s="50">
        <v>821649.5</v>
      </c>
      <c r="D3" s="50">
        <v>1217206.9999999998</v>
      </c>
      <c r="E3" s="50">
        <v>1535418.9999999998</v>
      </c>
      <c r="F3" s="50">
        <v>1324875.5</v>
      </c>
      <c r="G3" s="17">
        <f t="shared" si="0"/>
        <v>4899151</v>
      </c>
      <c r="H3" s="17">
        <f t="shared" si="1"/>
        <v>452574.96797517093</v>
      </c>
      <c r="I3" s="17">
        <f t="shared" si="2"/>
        <v>4446576.0320248287</v>
      </c>
    </row>
    <row r="4" spans="1:9" ht="15.75" customHeight="1" x14ac:dyDescent="0.25">
      <c r="A4" s="5">
        <f t="shared" si="3"/>
        <v>2026</v>
      </c>
      <c r="B4" s="49">
        <v>390247</v>
      </c>
      <c r="C4" s="50">
        <v>858704</v>
      </c>
      <c r="D4" s="50">
        <v>1230171</v>
      </c>
      <c r="E4" s="50">
        <v>1508920</v>
      </c>
      <c r="F4" s="50">
        <v>1354032.4999999998</v>
      </c>
      <c r="G4" s="17">
        <f t="shared" si="0"/>
        <v>4951827.5</v>
      </c>
      <c r="H4" s="17">
        <f t="shared" si="1"/>
        <v>447091.82151214342</v>
      </c>
      <c r="I4" s="17">
        <f t="shared" si="2"/>
        <v>4504735.6784878569</v>
      </c>
    </row>
    <row r="5" spans="1:9" ht="15.75" customHeight="1" x14ac:dyDescent="0.25">
      <c r="A5" s="5">
        <f t="shared" si="3"/>
        <v>2027</v>
      </c>
      <c r="B5" s="49">
        <v>387581</v>
      </c>
      <c r="C5" s="50">
        <v>889061.5</v>
      </c>
      <c r="D5" s="50">
        <v>1259603.5000000002</v>
      </c>
      <c r="E5" s="50">
        <v>1471905.0000000002</v>
      </c>
      <c r="F5" s="50">
        <v>1386016.5</v>
      </c>
      <c r="G5" s="17">
        <f t="shared" si="0"/>
        <v>5006586.5</v>
      </c>
      <c r="H5" s="17">
        <f t="shared" si="1"/>
        <v>444037.48209082463</v>
      </c>
      <c r="I5" s="17">
        <f t="shared" si="2"/>
        <v>4562549.0179091757</v>
      </c>
    </row>
    <row r="6" spans="1:9" ht="15.75" customHeight="1" x14ac:dyDescent="0.25">
      <c r="A6" s="5">
        <f t="shared" si="3"/>
        <v>2028</v>
      </c>
      <c r="B6" s="49">
        <v>385313</v>
      </c>
      <c r="C6" s="50">
        <v>912597.5</v>
      </c>
      <c r="D6" s="50">
        <v>1304638.5</v>
      </c>
      <c r="E6" s="50">
        <v>1427915</v>
      </c>
      <c r="F6" s="50">
        <v>1419539</v>
      </c>
      <c r="G6" s="17">
        <f t="shared" si="0"/>
        <v>5064690</v>
      </c>
      <c r="H6" s="17">
        <f t="shared" si="1"/>
        <v>441439.11682167579</v>
      </c>
      <c r="I6" s="17">
        <f t="shared" si="2"/>
        <v>4623250.8831783244</v>
      </c>
    </row>
    <row r="7" spans="1:9" ht="15.75" customHeight="1" x14ac:dyDescent="0.25">
      <c r="A7" s="5">
        <f t="shared" si="3"/>
        <v>2029</v>
      </c>
      <c r="B7" s="49">
        <v>385346</v>
      </c>
      <c r="C7" s="50">
        <v>931263.5</v>
      </c>
      <c r="D7" s="50">
        <v>1360878.5</v>
      </c>
      <c r="E7" s="50">
        <v>1380130.5</v>
      </c>
      <c r="F7" s="50">
        <v>1452463</v>
      </c>
      <c r="G7" s="17">
        <f t="shared" si="0"/>
        <v>5124735.5</v>
      </c>
      <c r="H7" s="17">
        <f t="shared" si="1"/>
        <v>441476.9237237401</v>
      </c>
      <c r="I7" s="17">
        <f t="shared" si="2"/>
        <v>4683258.5762762595</v>
      </c>
    </row>
    <row r="8" spans="1:9" ht="15.75" customHeight="1" x14ac:dyDescent="0.25">
      <c r="A8" s="5">
        <f t="shared" si="3"/>
        <v>2030</v>
      </c>
      <c r="B8" s="49">
        <v>387269</v>
      </c>
      <c r="C8" s="50">
        <v>946533</v>
      </c>
      <c r="D8" s="50">
        <v>1423886</v>
      </c>
      <c r="E8" s="50">
        <v>1331911.5</v>
      </c>
      <c r="F8" s="50">
        <v>1482088</v>
      </c>
      <c r="G8" s="17">
        <f t="shared" si="0"/>
        <v>5184418.5</v>
      </c>
      <c r="H8" s="17">
        <f t="shared" si="1"/>
        <v>443680.03501676186</v>
      </c>
      <c r="I8" s="17">
        <f t="shared" si="2"/>
        <v>4740738.4649832379</v>
      </c>
    </row>
    <row r="9" spans="1:9" ht="15.75" customHeight="1" x14ac:dyDescent="0.25">
      <c r="A9" s="5">
        <f t="shared" si="3"/>
        <v>2031</v>
      </c>
      <c r="B9" s="49">
        <v>389593</v>
      </c>
      <c r="C9" s="50">
        <v>959308</v>
      </c>
      <c r="D9" s="50">
        <v>1490380.9999999998</v>
      </c>
      <c r="E9" s="50">
        <v>1287269</v>
      </c>
      <c r="F9" s="50">
        <v>1505812</v>
      </c>
      <c r="G9" s="17">
        <f t="shared" si="0"/>
        <v>5242770</v>
      </c>
      <c r="H9" s="17">
        <f t="shared" si="1"/>
        <v>446342.55745305022</v>
      </c>
      <c r="I9" s="17">
        <f t="shared" si="2"/>
        <v>4796427.4425469497</v>
      </c>
    </row>
    <row r="10" spans="1:9" ht="15.75" customHeight="1" x14ac:dyDescent="0.25">
      <c r="A10" s="5">
        <f t="shared" si="3"/>
        <v>2032</v>
      </c>
      <c r="B10" s="49">
        <v>393220</v>
      </c>
      <c r="C10" s="50">
        <v>970573.5</v>
      </c>
      <c r="D10" s="50">
        <v>1557833</v>
      </c>
      <c r="E10" s="50">
        <v>1249891</v>
      </c>
      <c r="F10" s="50">
        <v>1521909.5</v>
      </c>
      <c r="G10" s="17">
        <f t="shared" si="0"/>
        <v>5300207</v>
      </c>
      <c r="H10" s="17">
        <f t="shared" si="1"/>
        <v>450497.87968903035</v>
      </c>
      <c r="I10" s="17">
        <f t="shared" si="2"/>
        <v>4849709.1203109697</v>
      </c>
    </row>
    <row r="11" spans="1:9" ht="15.75" customHeight="1" x14ac:dyDescent="0.25">
      <c r="A11" s="5">
        <f t="shared" si="3"/>
        <v>2033</v>
      </c>
      <c r="B11" s="49">
        <v>397614</v>
      </c>
      <c r="C11" s="50">
        <v>980853.5</v>
      </c>
      <c r="D11" s="50">
        <v>1623501</v>
      </c>
      <c r="E11" s="50">
        <v>1222502.5</v>
      </c>
      <c r="F11" s="50">
        <v>1528855</v>
      </c>
      <c r="G11" s="17">
        <f t="shared" si="0"/>
        <v>5355712</v>
      </c>
      <c r="H11" s="17">
        <f t="shared" si="1"/>
        <v>455531.92598208156</v>
      </c>
      <c r="I11" s="17">
        <f t="shared" si="2"/>
        <v>4900180.0740179187</v>
      </c>
    </row>
    <row r="12" spans="1:9" ht="15.75" customHeight="1" x14ac:dyDescent="0.25">
      <c r="A12" s="5">
        <f t="shared" si="3"/>
        <v>2034</v>
      </c>
      <c r="B12" s="49">
        <v>402338</v>
      </c>
      <c r="C12" s="50">
        <v>991314</v>
      </c>
      <c r="D12" s="50">
        <v>1684915</v>
      </c>
      <c r="E12" s="50">
        <v>1206775</v>
      </c>
      <c r="F12" s="50">
        <v>1525498</v>
      </c>
      <c r="G12" s="17">
        <f t="shared" si="0"/>
        <v>5408502</v>
      </c>
      <c r="H12" s="17">
        <f t="shared" si="1"/>
        <v>460944.04129577614</v>
      </c>
      <c r="I12" s="17">
        <f t="shared" si="2"/>
        <v>4947557.9587042239</v>
      </c>
    </row>
    <row r="13" spans="1:9" ht="15.75" customHeight="1" x14ac:dyDescent="0.25">
      <c r="A13" s="5">
        <f t="shared" si="3"/>
        <v>2035</v>
      </c>
      <c r="B13" s="49">
        <v>407445</v>
      </c>
      <c r="C13" s="50">
        <v>1002877.5</v>
      </c>
      <c r="D13" s="50">
        <v>1740804.5</v>
      </c>
      <c r="E13" s="50">
        <v>1204553</v>
      </c>
      <c r="F13" s="50">
        <v>1511109</v>
      </c>
      <c r="G13" s="17">
        <f t="shared" si="0"/>
        <v>5459344</v>
      </c>
      <c r="H13" s="17">
        <f t="shared" si="1"/>
        <v>466794.94580615679</v>
      </c>
      <c r="I13" s="17">
        <f t="shared" si="2"/>
        <v>4992549.0541938432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Ua8SArRzMMUniZgPzSDSHtQ6uPzIWU9mlar/PCu8E06B+q6GWBCHnEjluHcwjdow1QxYasyvLqJBbG7Cbmsy8A==" saltValue="nq51I1Vp2EMmhrKEYdOwR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1.760868851984851E-3</v>
      </c>
    </row>
    <row r="4" spans="1:8" ht="15.75" customHeight="1" x14ac:dyDescent="0.25">
      <c r="B4" s="19" t="s">
        <v>116</v>
      </c>
      <c r="C4" s="101">
        <v>4.4030896216346517E-2</v>
      </c>
    </row>
    <row r="5" spans="1:8" ht="15.75" customHeight="1" x14ac:dyDescent="0.25">
      <c r="B5" s="19" t="s">
        <v>114</v>
      </c>
      <c r="C5" s="101">
        <v>1.6053023273165951E-2</v>
      </c>
    </row>
    <row r="6" spans="1:8" ht="15.75" customHeight="1" x14ac:dyDescent="0.25">
      <c r="B6" s="19" t="s">
        <v>110</v>
      </c>
      <c r="C6" s="101">
        <v>0.15322500827529759</v>
      </c>
    </row>
    <row r="7" spans="1:8" ht="15.75" customHeight="1" x14ac:dyDescent="0.25">
      <c r="B7" s="19" t="s">
        <v>115</v>
      </c>
      <c r="C7" s="101">
        <v>0.41398825647937221</v>
      </c>
    </row>
    <row r="8" spans="1:8" ht="15.75" customHeight="1" x14ac:dyDescent="0.25">
      <c r="B8" s="19" t="s">
        <v>117</v>
      </c>
      <c r="C8" s="101">
        <v>1.9861197931209979E-3</v>
      </c>
    </row>
    <row r="9" spans="1:8" ht="15.75" customHeight="1" x14ac:dyDescent="0.25">
      <c r="B9" s="19" t="s">
        <v>111</v>
      </c>
      <c r="C9" s="101">
        <v>0.26293527901943192</v>
      </c>
    </row>
    <row r="10" spans="1:8" ht="15.75" customHeight="1" x14ac:dyDescent="0.25">
      <c r="B10" s="19" t="s">
        <v>113</v>
      </c>
      <c r="C10" s="101">
        <v>0.10602054809128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3.160508359812518E-2</v>
      </c>
      <c r="D14" s="55">
        <v>3.160508359812518E-2</v>
      </c>
      <c r="E14" s="55">
        <v>3.160508359812518E-2</v>
      </c>
      <c r="F14" s="55">
        <v>3.160508359812518E-2</v>
      </c>
    </row>
    <row r="15" spans="1:8" ht="15.75" customHeight="1" x14ac:dyDescent="0.25">
      <c r="B15" s="19" t="s">
        <v>121</v>
      </c>
      <c r="C15" s="101">
        <v>0.28035450442283127</v>
      </c>
      <c r="D15" s="101">
        <v>0.28035450442283127</v>
      </c>
      <c r="E15" s="101">
        <v>0.28035450442283127</v>
      </c>
      <c r="F15" s="101">
        <v>0.28035450442283127</v>
      </c>
    </row>
    <row r="16" spans="1:8" ht="15.75" customHeight="1" x14ac:dyDescent="0.25">
      <c r="B16" s="19" t="s">
        <v>2</v>
      </c>
      <c r="C16" s="101">
        <v>3.0985345785637389E-2</v>
      </c>
      <c r="D16" s="101">
        <v>3.0985345785637389E-2</v>
      </c>
      <c r="E16" s="101">
        <v>3.0985345785637389E-2</v>
      </c>
      <c r="F16" s="101">
        <v>3.0985345785637389E-2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1.89229873405855E-2</v>
      </c>
      <c r="D19" s="101">
        <v>1.89229873405855E-2</v>
      </c>
      <c r="E19" s="101">
        <v>1.89229873405855E-2</v>
      </c>
      <c r="F19" s="101">
        <v>1.89229873405855E-2</v>
      </c>
    </row>
    <row r="20" spans="1:8" ht="15.75" customHeight="1" x14ac:dyDescent="0.25">
      <c r="B20" s="19" t="s">
        <v>98</v>
      </c>
      <c r="C20" s="101">
        <v>8.0875784616822294E-2</v>
      </c>
      <c r="D20" s="101">
        <v>8.0875784616822294E-2</v>
      </c>
      <c r="E20" s="101">
        <v>8.0875784616822294E-2</v>
      </c>
      <c r="F20" s="101">
        <v>8.0875784616822294E-2</v>
      </c>
    </row>
    <row r="21" spans="1:8" ht="15.75" customHeight="1" x14ac:dyDescent="0.25">
      <c r="B21" s="19" t="s">
        <v>107</v>
      </c>
      <c r="C21" s="101">
        <v>0.4862858870445752</v>
      </c>
      <c r="D21" s="101">
        <v>0.4862858870445752</v>
      </c>
      <c r="E21" s="101">
        <v>0.4862858870445752</v>
      </c>
      <c r="F21" s="101">
        <v>0.4862858870445752</v>
      </c>
    </row>
    <row r="22" spans="1:8" ht="15.75" customHeight="1" x14ac:dyDescent="0.25">
      <c r="B22" s="19" t="s">
        <v>118</v>
      </c>
      <c r="C22" s="101">
        <v>7.0970407191423238E-2</v>
      </c>
      <c r="D22" s="101">
        <v>7.0970407191423238E-2</v>
      </c>
      <c r="E22" s="101">
        <v>7.0970407191423238E-2</v>
      </c>
      <c r="F22" s="101">
        <v>7.0970407191423238E-2</v>
      </c>
    </row>
    <row r="23" spans="1:8" ht="15.75" customHeight="1" x14ac:dyDescent="0.25">
      <c r="B23" s="27" t="s">
        <v>79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1.8716897E-2</v>
      </c>
    </row>
    <row r="27" spans="1:8" ht="15.75" customHeight="1" x14ac:dyDescent="0.25">
      <c r="B27" s="19" t="s">
        <v>108</v>
      </c>
      <c r="C27" s="101">
        <v>2.6342269999999998E-3</v>
      </c>
    </row>
    <row r="28" spans="1:8" ht="15.75" customHeight="1" x14ac:dyDescent="0.25">
      <c r="B28" s="19" t="s">
        <v>122</v>
      </c>
      <c r="C28" s="101">
        <v>0.29297385599999998</v>
      </c>
    </row>
    <row r="29" spans="1:8" ht="15.75" customHeight="1" x14ac:dyDescent="0.25">
      <c r="B29" s="19" t="s">
        <v>105</v>
      </c>
      <c r="C29" s="101">
        <v>7.1156342999999997E-2</v>
      </c>
    </row>
    <row r="30" spans="1:8" ht="15.75" customHeight="1" x14ac:dyDescent="0.25">
      <c r="B30" s="19" t="s">
        <v>4</v>
      </c>
      <c r="C30" s="101">
        <v>0.18743774999999999</v>
      </c>
    </row>
    <row r="31" spans="1:8" ht="15.75" customHeight="1" x14ac:dyDescent="0.25">
      <c r="B31" s="19" t="s">
        <v>99</v>
      </c>
      <c r="C31" s="101">
        <v>5.5795655999999999E-2</v>
      </c>
    </row>
    <row r="32" spans="1:8" ht="15.75" customHeight="1" x14ac:dyDescent="0.25">
      <c r="B32" s="19" t="s">
        <v>104</v>
      </c>
      <c r="C32" s="101">
        <v>3.8825242000000003E-2</v>
      </c>
    </row>
    <row r="33" spans="2:3" ht="15.75" customHeight="1" x14ac:dyDescent="0.25">
      <c r="B33" s="19" t="s">
        <v>119</v>
      </c>
      <c r="C33" s="101">
        <v>1.5145660999999999E-2</v>
      </c>
    </row>
    <row r="34" spans="2:3" ht="15.75" customHeight="1" x14ac:dyDescent="0.25">
      <c r="B34" s="19" t="s">
        <v>106</v>
      </c>
      <c r="C34" s="101">
        <v>0.31731436899999999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Fq7wkPtR1xDhCc2GchFVXjik1/2zHZKtt0FC/w8LRXTmTrd+Xc6HDp4kLSHs+HYxz3UtPQLhMWOOs2b15t7f3g==" saltValue="ekU0zjkuymbqNuwAiiK5Q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0.74204106046022589</v>
      </c>
      <c r="D2" s="52">
        <f>IFERROR(1-_xlfn.NORM.DIST(_xlfn.NORM.INV(SUM(D4:D5), 0, 1) + 1, 0, 1, TRUE), "")</f>
        <v>0.74204106046022589</v>
      </c>
      <c r="E2" s="52">
        <f>IFERROR(1-_xlfn.NORM.DIST(_xlfn.NORM.INV(SUM(E4:E5), 0, 1) + 1, 0, 1, TRUE), "")</f>
        <v>0.71612284041262764</v>
      </c>
      <c r="F2" s="52">
        <f>IFERROR(1-_xlfn.NORM.DIST(_xlfn.NORM.INV(SUM(F4:F5), 0, 1) + 1, 0, 1, TRUE), "")</f>
        <v>0.63590877348139452</v>
      </c>
      <c r="G2" s="52">
        <f>IFERROR(1-_xlfn.NORM.DIST(_xlfn.NORM.INV(SUM(G4:G5), 0, 1) + 1, 0, 1, TRUE), "")</f>
        <v>0.64403114313477339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0.20845173953977406</v>
      </c>
      <c r="D3" s="52">
        <f>IFERROR(_xlfn.NORM.DIST(_xlfn.NORM.INV(SUM(D4:D5), 0, 1) + 1, 0, 1, TRUE) - SUM(D4:D5), "")</f>
        <v>0.20845173953977406</v>
      </c>
      <c r="E3" s="52">
        <f>IFERROR(_xlfn.NORM.DIST(_xlfn.NORM.INV(SUM(E4:E5), 0, 1) + 1, 0, 1, TRUE) - SUM(E4:E5), "")</f>
        <v>0.22582785958737236</v>
      </c>
      <c r="F3" s="52">
        <f>IFERROR(_xlfn.NORM.DIST(_xlfn.NORM.INV(SUM(F4:F5), 0, 1) + 1, 0, 1, TRUE) - SUM(F4:F5), "")</f>
        <v>0.27518872651860549</v>
      </c>
      <c r="G3" s="52">
        <f>IFERROR(_xlfn.NORM.DIST(_xlfn.NORM.INV(SUM(G4:G5), 0, 1) + 1, 0, 1, TRUE) - SUM(G4:G5), "")</f>
        <v>0.27050905686522664</v>
      </c>
    </row>
    <row r="4" spans="1:15" ht="15.75" customHeight="1" x14ac:dyDescent="0.25">
      <c r="B4" s="5" t="s">
        <v>129</v>
      </c>
      <c r="C4" s="45">
        <v>3.0190000000000002E-2</v>
      </c>
      <c r="D4" s="53">
        <v>3.0190000000000002E-2</v>
      </c>
      <c r="E4" s="53">
        <v>4.1978399999999999E-2</v>
      </c>
      <c r="F4" s="53">
        <v>4.7891400000000001E-2</v>
      </c>
      <c r="G4" s="53">
        <v>6.4321699999999996E-2</v>
      </c>
    </row>
    <row r="5" spans="1:15" ht="15.75" customHeight="1" x14ac:dyDescent="0.25">
      <c r="B5" s="5" t="s">
        <v>125</v>
      </c>
      <c r="C5" s="45">
        <v>1.93172E-2</v>
      </c>
      <c r="D5" s="53">
        <v>1.93172E-2</v>
      </c>
      <c r="E5" s="53">
        <v>1.6070899999999999E-2</v>
      </c>
      <c r="F5" s="53">
        <v>4.1011100000000002E-2</v>
      </c>
      <c r="G5" s="53">
        <v>2.11381E-2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0.53828633480551757</v>
      </c>
      <c r="D8" s="52">
        <f>IFERROR(1-_xlfn.NORM.DIST(_xlfn.NORM.INV(SUM(D10:D11), 0, 1) + 1, 0, 1, TRUE), "")</f>
        <v>0.53828633480551757</v>
      </c>
      <c r="E8" s="52">
        <f>IFERROR(1-_xlfn.NORM.DIST(_xlfn.NORM.INV(SUM(E10:E11), 0, 1) + 1, 0, 1, TRUE), "")</f>
        <v>0.8176328707347944</v>
      </c>
      <c r="F8" s="52">
        <f>IFERROR(1-_xlfn.NORM.DIST(_xlfn.NORM.INV(SUM(F10:F11), 0, 1) + 1, 0, 1, TRUE), "")</f>
        <v>0.82813924671410355</v>
      </c>
      <c r="G8" s="52">
        <f>IFERROR(1-_xlfn.NORM.DIST(_xlfn.NORM.INV(SUM(G10:G11), 0, 1) + 1, 0, 1, TRUE), "")</f>
        <v>0.86291466626404778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0.32519996519448247</v>
      </c>
      <c r="D9" s="52">
        <f>IFERROR(_xlfn.NORM.DIST(_xlfn.NORM.INV(SUM(D10:D11), 0, 1) + 1, 0, 1, TRUE) - SUM(D10:D11), "")</f>
        <v>0.32519996519448247</v>
      </c>
      <c r="E9" s="52">
        <f>IFERROR(_xlfn.NORM.DIST(_xlfn.NORM.INV(SUM(E10:E11), 0, 1) + 1, 0, 1, TRUE) - SUM(E10:E11), "")</f>
        <v>0.15406672926520554</v>
      </c>
      <c r="F9" s="52">
        <f>IFERROR(_xlfn.NORM.DIST(_xlfn.NORM.INV(SUM(F10:F11), 0, 1) + 1, 0, 1, TRUE) - SUM(F10:F11), "")</f>
        <v>0.14608365328589648</v>
      </c>
      <c r="G9" s="52">
        <f>IFERROR(_xlfn.NORM.DIST(_xlfn.NORM.INV(SUM(G10:G11), 0, 1) + 1, 0, 1, TRUE) - SUM(G10:G11), "")</f>
        <v>0.11893343373595222</v>
      </c>
    </row>
    <row r="10" spans="1:15" ht="15.75" customHeight="1" x14ac:dyDescent="0.25">
      <c r="B10" s="5" t="s">
        <v>126</v>
      </c>
      <c r="C10" s="45">
        <v>8.769360000000001E-2</v>
      </c>
      <c r="D10" s="53">
        <v>8.769360000000001E-2</v>
      </c>
      <c r="E10" s="53">
        <v>1.8754099999999999E-2</v>
      </c>
      <c r="F10" s="53">
        <v>1.7150800000000001E-2</v>
      </c>
      <c r="G10" s="53">
        <v>1.22688E-2</v>
      </c>
    </row>
    <row r="11" spans="1:15" ht="15.75" customHeight="1" x14ac:dyDescent="0.25">
      <c r="B11" s="5" t="s">
        <v>138</v>
      </c>
      <c r="C11" s="45">
        <v>4.8820100000000012E-2</v>
      </c>
      <c r="D11" s="53">
        <v>4.8820100000000012E-2</v>
      </c>
      <c r="E11" s="53">
        <v>9.5463000000000006E-3</v>
      </c>
      <c r="F11" s="53">
        <v>8.6262999999999999E-3</v>
      </c>
      <c r="G11" s="53">
        <v>5.8830999999999996E-3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0.43544833799999999</v>
      </c>
      <c r="D14" s="54">
        <v>0.414763389195</v>
      </c>
      <c r="E14" s="54">
        <v>0.414763389195</v>
      </c>
      <c r="F14" s="54">
        <v>0.239306340073</v>
      </c>
      <c r="G14" s="54">
        <v>0.239306340073</v>
      </c>
      <c r="H14" s="45">
        <v>0.30399999999999999</v>
      </c>
      <c r="I14" s="55">
        <v>0.30399999999999999</v>
      </c>
      <c r="J14" s="55">
        <v>0.30399999999999999</v>
      </c>
      <c r="K14" s="55">
        <v>0.30399999999999999</v>
      </c>
      <c r="L14" s="45">
        <v>0.307</v>
      </c>
      <c r="M14" s="55">
        <v>0.307</v>
      </c>
      <c r="N14" s="55">
        <v>0.307</v>
      </c>
      <c r="O14" s="55">
        <v>0.307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0.26805285245770205</v>
      </c>
      <c r="D15" s="52">
        <f t="shared" si="0"/>
        <v>0.25531963235726896</v>
      </c>
      <c r="E15" s="52">
        <f t="shared" si="0"/>
        <v>0.25531963235726896</v>
      </c>
      <c r="F15" s="52">
        <f t="shared" si="0"/>
        <v>0.14731195751579729</v>
      </c>
      <c r="G15" s="52">
        <f t="shared" si="0"/>
        <v>0.14731195751579729</v>
      </c>
      <c r="H15" s="52">
        <f t="shared" si="0"/>
        <v>0.18713601600000002</v>
      </c>
      <c r="I15" s="52">
        <f t="shared" si="0"/>
        <v>0.18713601600000002</v>
      </c>
      <c r="J15" s="52">
        <f t="shared" si="0"/>
        <v>0.18713601600000002</v>
      </c>
      <c r="K15" s="52">
        <f t="shared" si="0"/>
        <v>0.18713601600000002</v>
      </c>
      <c r="L15" s="52">
        <f t="shared" si="0"/>
        <v>0.18898275300000003</v>
      </c>
      <c r="M15" s="52">
        <f t="shared" si="0"/>
        <v>0.18898275300000003</v>
      </c>
      <c r="N15" s="52">
        <f t="shared" si="0"/>
        <v>0.18898275300000003</v>
      </c>
      <c r="O15" s="52">
        <f t="shared" si="0"/>
        <v>0.18898275300000003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bXKP1iQ0eLbx8ZhyUB2T9KBQT+Xi8kw26FyNQQ8TEDDzEwjptD29xPsgatPsqdLbsEoLoG1qIhJ2Jhh9cPFupA==" saltValue="A23olXTQBlaLLSeOE9YwB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0.69721069999999996</v>
      </c>
      <c r="D2" s="53">
        <v>0.35208210000000001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0.24254590000000001</v>
      </c>
      <c r="D3" s="53">
        <v>0.36556179999999999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2.9348699999999998E-2</v>
      </c>
      <c r="D4" s="53">
        <v>0.1994631</v>
      </c>
      <c r="E4" s="53">
        <v>0.82141649999999999</v>
      </c>
      <c r="F4" s="53">
        <v>0.4078927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3.0894700000000053E-2</v>
      </c>
      <c r="D5" s="52">
        <f t="shared" si="0"/>
        <v>8.2892999999999994E-2</v>
      </c>
      <c r="E5" s="52">
        <f>1-SUM(E2:E4)</f>
        <v>0.17858350000000001</v>
      </c>
      <c r="F5" s="52">
        <f>1-SUM(F2:F4)</f>
        <v>0.5921073</v>
      </c>
      <c r="G5" s="52">
        <f>1-SUM(G2:G4)</f>
        <v>1</v>
      </c>
    </row>
  </sheetData>
  <sheetProtection algorithmName="SHA-512" hashValue="ilSFeo2c1RvcPPFuGAy7YVPnFFiRUXHhMU625K5gTUokj9Oa0O4w5xnM30IqQzVeX60scE8DxnI+86koNd74UA==" saltValue="AgNomy9rcEETdw7xdhvBV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lviE3/gS2HvOleU6uLp4r3Yho+eF6TZG5FMegjLRGeFvgIuN1aXFbvmd6o5mhYoulxRr4bVUY5184c38bZ8YaQ==" saltValue="4zGr46kLgQIy9nD3TTkMl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11492.031938762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0.41551000000000005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0.73099999999999998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1.1892116385828258E-2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98928.810540000006</v>
      </c>
      <c r="C22" s="109">
        <v>98797.166840000005</v>
      </c>
      <c r="D22" s="109">
        <v>98656.874890000006</v>
      </c>
      <c r="E22" s="109">
        <v>98377.115919999997</v>
      </c>
      <c r="F22" s="109">
        <v>97985.902919999993</v>
      </c>
      <c r="G22" s="109">
        <v>97508.243499999997</v>
      </c>
      <c r="H22" s="109">
        <v>96796.500769999999</v>
      </c>
      <c r="I22" s="109">
        <v>95632.48517</v>
      </c>
      <c r="J22" s="109">
        <v>93953.827390000006</v>
      </c>
      <c r="K22" s="109">
        <v>91753.232029999999</v>
      </c>
      <c r="L22" s="109">
        <v>88876.282319999998</v>
      </c>
      <c r="M22" s="109">
        <v>84737.833010000002</v>
      </c>
      <c r="N22" s="109">
        <v>78433.555640000006</v>
      </c>
      <c r="O22" s="109">
        <v>68969.949890000004</v>
      </c>
    </row>
  </sheetData>
  <sheetProtection algorithmName="SHA-512" hashValue="a8+dwPbZBTuyGnZjwieT9ibg8fvcmOeZ9epfEmPwcq+fAbLSJ3h1ZoeM5yB73R9JVNGrwBY7F2HuIWq+ylWk8w==" saltValue="pKPjfosDX7VJoiMm98iBV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CwZqi+c0uNNzyhilE6KEbOnqYCSS25lIzAwWpAVnw5IUc9gb9XMVBZEk71BKCSQoHkkxrLiYpopMFQtg8QaFJg==" saltValue="OElrnOvY4nh2LSx2BtksD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izFZRkVXvO+clhqyQ0YYh7EOJzrCCAku6tVznq5aVv09c00huEQrnppjCN6zWHphau4oggNvXCiVl46jSmb6eQ==" saltValue="ye5zIKOx+AgumiB7hUNAU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12.008526100307062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12.008526100307062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8.8894216990788131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0.40262538382804508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</v>
      </c>
      <c r="C10" s="98">
        <v>0.95</v>
      </c>
      <c r="D10" s="56">
        <v>13.522915618642561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13.522915618642561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13.522915618642561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13.522915618642561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</v>
      </c>
      <c r="C14" s="98">
        <v>0.95</v>
      </c>
      <c r="D14" s="56">
        <v>13.522915618642561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13.522915618642561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0.32737588888888902</v>
      </c>
      <c r="C17" s="98">
        <v>0.95</v>
      </c>
      <c r="D17" s="56">
        <v>0.14000000000000001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0.35208210000000001</v>
      </c>
      <c r="C18" s="98">
        <v>0.95</v>
      </c>
      <c r="D18" s="56">
        <v>8.8894216990788131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0.35208210000000001</v>
      </c>
      <c r="C19" s="98">
        <v>0.95</v>
      </c>
      <c r="D19" s="56">
        <v>17.67766297845575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8.8894216990788131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4.5985477715053404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0.91476330971695807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5.1498336745138182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11.470990276356194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0.61788880000000002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0.48980810000000002</v>
      </c>
      <c r="C29" s="98">
        <v>0.95</v>
      </c>
      <c r="D29" s="56">
        <v>165.62974913682319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170.92419651995908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</v>
      </c>
      <c r="C32" s="98">
        <v>0.95</v>
      </c>
      <c r="D32" s="56">
        <v>1.1057036847492325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0.99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0.66691699999999998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0.25818419999999997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0.83941149999999998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</v>
      </c>
      <c r="C38" s="98">
        <v>0.95</v>
      </c>
      <c r="D38" s="56">
        <v>2.6374181166837261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x/xEiTydhPkBLUUMYpup/+w/oAnik2BZNdT7UZrnLQ8CG6ygjAx1Mo634lQuzU4hCslvhnOOsFR8k7LWYUoURw==" saltValue="StkYIL4veZifLZnlL6Bnj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HK3LlFt24Wzx/lN2kn0/coTGCoDrq/i7KJnE99fUSWMc3Q3cHEAlK+gXxjBL0qydDRk2v1YuffXmkRdqABaTTw==" saltValue="QlWQECAnVfyUwS47a/B6d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KAVGPuaChjrFpUvoJ9+BHok1ZGFLAsYEXKt25n5ic0P/vb9f1TPsEOF07NVtCe/HOlb9aUwhSCtDJvckq4xtrw==" saltValue="zHnh12KcDpNH4cOYaNQ55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2.8</v>
      </c>
      <c r="C2" s="21">
        <f>'Entradas de población-año base'!C52</f>
        <v>2.8</v>
      </c>
      <c r="D2" s="21">
        <f>'Entradas de población-año base'!C53</f>
        <v>2.8</v>
      </c>
      <c r="E2" s="21">
        <f>'Entradas de población-año base'!C54</f>
        <v>2.8</v>
      </c>
      <c r="F2" s="21">
        <f>'Entradas de población-año base'!C55</f>
        <v>2.8</v>
      </c>
    </row>
    <row r="3" spans="1:6" ht="15.75" customHeight="1" x14ac:dyDescent="0.25">
      <c r="A3" s="3" t="s">
        <v>6</v>
      </c>
      <c r="B3" s="21">
        <f>frac_mam_1month * 2.6</f>
        <v>0.22800336000000004</v>
      </c>
      <c r="C3" s="21">
        <f>frac_mam_1_5months * 2.6</f>
        <v>0.22800336000000004</v>
      </c>
      <c r="D3" s="21">
        <f>frac_mam_6_11months * 2.6</f>
        <v>4.8760659999999997E-2</v>
      </c>
      <c r="E3" s="21">
        <f>frac_mam_12_23months * 2.6</f>
        <v>4.4592080000000006E-2</v>
      </c>
      <c r="F3" s="21">
        <f>frac_mam_24_59months * 2.6</f>
        <v>3.1898879999999998E-2</v>
      </c>
    </row>
    <row r="4" spans="1:6" ht="15.75" customHeight="1" x14ac:dyDescent="0.25">
      <c r="A4" s="3" t="s">
        <v>236</v>
      </c>
      <c r="B4" s="21">
        <f>frac_sam_1month * 2.6</f>
        <v>0.12693226000000005</v>
      </c>
      <c r="C4" s="21">
        <f>frac_sam_1_5months * 2.6</f>
        <v>0.12693226000000005</v>
      </c>
      <c r="D4" s="21">
        <f>frac_sam_6_11months * 2.6</f>
        <v>2.4820380000000003E-2</v>
      </c>
      <c r="E4" s="21">
        <f>frac_sam_12_23months * 2.6</f>
        <v>2.2428380000000001E-2</v>
      </c>
      <c r="F4" s="21">
        <f>frac_sam_24_59months * 2.6</f>
        <v>1.529606E-2</v>
      </c>
    </row>
  </sheetData>
  <sheetProtection algorithmName="SHA-512" hashValue="O7DKwGPHCSpyE9+VGsE9E8C3DABDaneRa0xoiAg2TPcWw6dQ2q0h1wsM92XPHxE/+wCO7Vp4j3a5IySFi9D8jQ==" saltValue="dgCcb33mjym9vIcbSNdrq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0.5</v>
      </c>
      <c r="F2" s="60">
        <f>food_insecure</f>
        <v>0.5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0.5</v>
      </c>
      <c r="F5" s="60">
        <f>food_insecure</f>
        <v>0.5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0.5</v>
      </c>
      <c r="F8" s="60">
        <f>food_insecure</f>
        <v>0.5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0.5</v>
      </c>
      <c r="F9" s="60">
        <f>food_insecure</f>
        <v>0.5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</v>
      </c>
      <c r="I15" s="60">
        <f t="shared" si="0"/>
        <v>0.5</v>
      </c>
      <c r="J15" s="60">
        <f t="shared" si="0"/>
        <v>0.5</v>
      </c>
      <c r="K15" s="60">
        <f t="shared" si="0"/>
        <v>0.5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</v>
      </c>
      <c r="I16" s="60">
        <f t="shared" si="0"/>
        <v>0.5</v>
      </c>
      <c r="J16" s="60">
        <f t="shared" si="0"/>
        <v>0.5</v>
      </c>
      <c r="K16" s="60">
        <f t="shared" si="0"/>
        <v>0.5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0.20399999999999999</v>
      </c>
      <c r="M24" s="60">
        <f>famplan_unmet_need</f>
        <v>0.20399999999999999</v>
      </c>
      <c r="N24" s="60">
        <f>famplan_unmet_need</f>
        <v>0.20399999999999999</v>
      </c>
      <c r="O24" s="60">
        <f>famplan_unmet_need</f>
        <v>0.20399999999999999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</v>
      </c>
      <c r="M25" s="60">
        <f>(1-food_insecure)*(0.49)+food_insecure*(0.7)</f>
        <v>0.59499999999999997</v>
      </c>
      <c r="N25" s="60">
        <f>(1-food_insecure)*(0.49)+food_insecure*(0.7)</f>
        <v>0.59499999999999997</v>
      </c>
      <c r="O25" s="60">
        <f>(1-food_insecure)*(0.49)+food_insecure*(0.7)</f>
        <v>0.59499999999999997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</v>
      </c>
      <c r="M26" s="60">
        <f>(1-food_insecure)*(0.21)+food_insecure*(0.3)</f>
        <v>0.255</v>
      </c>
      <c r="N26" s="60">
        <f>(1-food_insecure)*(0.21)+food_insecure*(0.3)</f>
        <v>0.255</v>
      </c>
      <c r="O26" s="60">
        <f>(1-food_insecure)*(0.21)+food_insecure*(0.3)</f>
        <v>0.255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</v>
      </c>
      <c r="M27" s="60">
        <f>(1-food_insecure)*(0.3)</f>
        <v>0.15</v>
      </c>
      <c r="N27" s="60">
        <f>(1-food_insecure)*(0.3)</f>
        <v>0.15</v>
      </c>
      <c r="O27" s="60">
        <f>(1-food_insecure)*(0.3)</f>
        <v>0.15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HVOMOdgW7rBGAb58aHQ+g3nP34MPJyU8kYbc7zRL331mtCGn8k+RBwAPBW3ysFvlO94/uC4TDijmGoofytA9rw==" saltValue="4XkA6q6GD0KzM1gzAyo9+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ngZyD6RnrRm6CXyIHJXhAnO3g6vl6OyDBN94qNV2kFN/NtMA9VjvoOly6uDPoYNHfWHBJ0lypNu7Mjbd/09J5g==" saltValue="qbboxKPN5wwj76PyiLc/6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cPLevcP9FUaC5FPx3WIF0fXlZr+TILqBrJhqybkGAuibELZ/vusPP4K20JL5YBWSJb5tbDWojn5bcmwAWWsMJQ==" saltValue="qp7wtJ24t2Ze2bKCdTHfL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bZaGPjitelGd89Z8r1WHgKdmmJ91pv4tFugDD18OuoCicHHWXDK6k81IIxI7cBuT/FIJkF783oRq6gYcOhH3+g==" saltValue="iAb9KKeLI8I8z/I9a4B5j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XksovnHLN2M6vRDtrmSrYuhgKF3HYonDbN1CO5m6GeHnqKN6ZuYqAVDGQl5e7mxXUkvmsAFZh1Ia1xNatmkaOg==" saltValue="//urfJ47OS911fu0ggz94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ACKqzDGqa9avK/WJ1kBVlmAiMBmuysGl2Yt1tarCHjnHW6lIUOqN+C0Fr8z8As0zbFw9I9+SLUakke7477mkdg==" saltValue="ehK2QizhvyDPCicJi5Dmj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AmEXWAmh5+i6oQ3p4xza0299w56C8ugEuvwmf/jzgojo3nVafVn9Db+iKhVdPl79gncGMkPoPfvnp5jxJKB18g==" saltValue="zEOv7vFK0rMEe3ptEYfwP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yDRaiYe4rL7rlRF8z4b7LNwZullnxEO1QULtHLB2T8N7cLklOyfwEA9mbh0PRa+/8TYH5Nby/usYBV/B111zlQ==" saltValue="gLSzxCT/mSHyUWlkghRQg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1iOWstnkdQNtzL1G/BE9ZEaz2fVNvP5rU/ZPQPmY3hvFyBz30I3TM/07C8Yzbi/awUox1QRrgy2sGri8gAH5yQ==" saltValue="khJWw6uXodXJt6TBJ6cf/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VMTdkwxxEarh5a6b1ls+YN+7BEDARqd7muSU5iF2ODqMk7wo6HQ3iXIM8g/K4n6RNK588JxyuHxYDt+JgPYfbA==" saltValue="Bqe/fSlwXIMRW7Fdi/GJ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OqripvoDm3Qfsx9VbKElPJVSGMr8xK91ub15goVfUNbJklvNE6NoSrCN38CuXyqkanD7s31DYokOig24u68mUw==" saltValue="n7uI1BnpmnedrJQobZA8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1mrlNozdRVUuQeeUllWbmfaqN6IJGBut5PdbS5zhJX2av2txbWP82fBl0wMedr/Sk9WzUhADp6qz70Ark615Ow==" saltValue="7O1cBNuaIXBnjyKK3L5O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h+8DYFBkjtuHzfiTJ9w3/2OdGXOSzpKI0/3Ih/plc4+tfBqWx9gXxxXafBERhfkZ4yf8GCkSBY1cFl53mEG0fQ==" saltValue="+mRIPe7DiSEMfOmwigjIj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E/z52ax+gYfTJjNsasSi9YmSkLTFTqtdN4zb2SxaxXhoRjRmISSk76wfMFT0P2AmCxxCyTqaED+s8LSlxEOUQg==" saltValue="530n2Qy9TUH45uuwWFow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ehd8l3TJqzWB5KyZSI8dDJFrMFdyff7LYhy+gJUFBc7jFLdC9IdTBmX592lDLOrofS21UInAi9DOUAOUu/IGJw==" saltValue="ryHgMikCaTjIhef9xz5lX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2025-07-08T03:23:10Z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