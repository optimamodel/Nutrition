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57C6E0E2-4066-4DDE-A1E4-12247F216116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5" i="2"/>
  <c r="A24" i="2"/>
  <c r="A23" i="2"/>
  <c r="A22" i="2"/>
  <c r="A19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26" i="2" l="1"/>
  <c r="I9" i="2"/>
  <c r="I13" i="2"/>
  <c r="A36" i="2"/>
  <c r="A37" i="2"/>
  <c r="I4" i="2"/>
  <c r="I8" i="2"/>
  <c r="I12" i="2"/>
  <c r="A25" i="2"/>
  <c r="A31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<sst xmlns="http://schemas.openxmlformats.org/spreadsheetml/2006/main" count="2159" uniqueCount="372">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</sst>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1172897</v>
      </c>
    </row>
    <row r="8" spans="1:3" ht="15" customHeight="1" x14ac:dyDescent="0.25">
      <c r="B8" s="5" t="s">
        <v>63</v>
      </c>
      <c r="C8" s="44">
        <v>0.75800000000000001</v>
      </c>
    </row>
    <row r="9" spans="1:3" ht="15" customHeight="1" x14ac:dyDescent="0.25">
      <c r="B9" s="5" t="s">
        <v>62</v>
      </c>
      <c r="C9" s="45">
        <v>0.99900000000000011</v>
      </c>
    </row>
    <row r="10" spans="1:3" ht="15" customHeight="1" x14ac:dyDescent="0.25">
      <c r="B10" s="5" t="s">
        <v>75</v>
      </c>
      <c r="C10" s="45">
        <v>0.3134342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0.625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0.13070000000000001</v>
      </c>
    </row>
    <row r="24" spans="1:3" ht="15" customHeight="1" x14ac:dyDescent="0.25">
      <c r="B24" s="15" t="s">
        <v>65</v>
      </c>
      <c r="C24" s="45">
        <v>0.4617</v>
      </c>
    </row>
    <row r="25" spans="1:3" ht="15" customHeight="1" x14ac:dyDescent="0.25">
      <c r="B25" s="15" t="s">
        <v>66</v>
      </c>
      <c r="C25" s="45">
        <v>0.31919999999999998</v>
      </c>
    </row>
    <row r="26" spans="1:3" ht="15" customHeight="1" x14ac:dyDescent="0.25">
      <c r="B26" s="15" t="s">
        <v>67</v>
      </c>
      <c r="C26" s="45">
        <v>8.8399999999999992E-2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0.24044101075302499</v>
      </c>
    </row>
    <row r="30" spans="1:3" ht="14.25" customHeight="1" x14ac:dyDescent="0.25">
      <c r="B30" s="25" t="s">
        <v>82</v>
      </c>
      <c r="C30" s="99">
        <v>3.7322814416453E-2</v>
      </c>
    </row>
    <row r="31" spans="1:3" ht="14.25" customHeight="1" x14ac:dyDescent="0.25">
      <c r="B31" s="25" t="s">
        <v>29</v>
      </c>
      <c r="C31" s="99">
        <v>7.2887930619641203E-2</v>
      </c>
    </row>
    <row r="32" spans="1:3" ht="14.25" customHeight="1" x14ac:dyDescent="0.25">
      <c r="B32" s="25" t="s">
        <v>30</v>
      </c>
      <c r="C32" s="99">
        <v>0.649348244210881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30.93599</v>
      </c>
    </row>
    <row r="38" spans="1:5" ht="15" customHeight="1" x14ac:dyDescent="0.25">
      <c r="B38" s="11" t="s">
        <v>54</v>
      </c>
      <c r="C38" s="43">
        <v>78.254159999999999</v>
      </c>
      <c r="D38" s="12"/>
      <c r="E38" s="13"/>
    </row>
    <row r="39" spans="1:5" ht="15" customHeight="1" x14ac:dyDescent="0.25">
      <c r="B39" s="11" t="s">
        <v>80</v>
      </c>
      <c r="C39" s="43">
        <v>104.68697</v>
      </c>
      <c r="D39" s="12"/>
      <c r="E39" s="12"/>
    </row>
    <row r="40" spans="1:5" ht="15" customHeight="1" x14ac:dyDescent="0.25">
      <c r="B40" s="11" t="s">
        <v>55</v>
      </c>
      <c r="C40" s="100">
        <v>4.43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23.13083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7.9579999999999998E-3</v>
      </c>
      <c r="D45" s="12"/>
    </row>
    <row r="46" spans="1:5" ht="15.75" customHeight="1" x14ac:dyDescent="0.25">
      <c r="B46" s="11" t="s">
        <v>70</v>
      </c>
      <c r="C46" s="45">
        <v>8.5507100000000003E-2</v>
      </c>
      <c r="D46" s="12"/>
    </row>
    <row r="47" spans="1:5" ht="15.75" customHeight="1" x14ac:dyDescent="0.25">
      <c r="B47" s="11" t="s">
        <v>78</v>
      </c>
      <c r="C47" s="45">
        <v>7.3432800000000006E-2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0.88400000000000012</v>
      </c>
      <c r="D51" s="12"/>
    </row>
    <row r="52" spans="1:4" ht="15" customHeight="1" x14ac:dyDescent="0.25">
      <c r="B52" s="11" t="s">
        <v>32</v>
      </c>
      <c r="C52" s="100">
        <v>0.88400000000000012</v>
      </c>
    </row>
    <row r="53" spans="1:4" ht="15.75" customHeight="1" x14ac:dyDescent="0.25">
      <c r="B53" s="11" t="s">
        <v>35</v>
      </c>
      <c r="C53" s="100">
        <v>2.3660000000000001</v>
      </c>
    </row>
    <row r="54" spans="1:4" ht="15.75" customHeight="1" x14ac:dyDescent="0.25">
      <c r="B54" s="11" t="s">
        <v>33</v>
      </c>
      <c r="C54" s="100">
        <v>2.6779999999999999</v>
      </c>
    </row>
    <row r="55" spans="1:4" ht="15.75" customHeight="1" x14ac:dyDescent="0.25">
      <c r="B55" s="11" t="s">
        <v>34</v>
      </c>
      <c r="C55" s="100">
        <v>1.6466666666666669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0.45287100000000008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0.144151</v>
      </c>
    </row>
    <row r="63" spans="1:4" ht="15.75" customHeight="1" x14ac:dyDescent="0.3">
      <c r="A63" s="4"/>
    </row>
  </sheetData>
  <sheetProtection algorithmName="SHA-512" hashValue="53CsIfSSnXwpMDKbwJ8ocy9wOvWGD8kkIkhiabQr08s3Ds0IYwasPNx9trzXFYwDEOcy3hHnrIVjWLDIbCngFg==" saltValue="1diGExIIZI1rnmWAvS83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260194.00000000003</v>
      </c>
      <c r="C2" s="49">
        <v>467957.5</v>
      </c>
      <c r="D2" s="49">
        <v>778865</v>
      </c>
      <c r="E2" s="49">
        <v>557475.5</v>
      </c>
      <c r="F2" s="49">
        <v>387890.5</v>
      </c>
      <c r="G2" s="17">
        <f t="shared" ref="G2:G13" si="0">C2+D2+E2+F2</f>
        <v>2192188.5</v>
      </c>
      <c r="H2" s="17">
        <f t="shared" ref="H2:H13" si="1">(B2 + stillbirth*B2/(1000-stillbirth))/(1-abortion)</f>
        <v>302676.15058421798</v>
      </c>
      <c r="I2" s="17">
        <f t="shared" ref="I2:I13" si="2">G2-H2</f>
        <v>1889512.3494157819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260288</v>
      </c>
      <c r="C3" s="50">
        <v>477787</v>
      </c>
      <c r="D3" s="50">
        <v>796849.5</v>
      </c>
      <c r="E3" s="50">
        <v>574766.5</v>
      </c>
      <c r="F3" s="50">
        <v>400411.50000000006</v>
      </c>
      <c r="G3" s="17">
        <f t="shared" si="0"/>
        <v>2249814.5</v>
      </c>
      <c r="H3" s="17">
        <f t="shared" si="1"/>
        <v>302785.49806400196</v>
      </c>
      <c r="I3" s="17">
        <f t="shared" si="2"/>
        <v>1947029.001935998</v>
      </c>
    </row>
    <row r="4" spans="1:9" ht="15.75" customHeight="1" x14ac:dyDescent="0.25">
      <c r="A4" s="5">
        <f t="shared" si="3"/>
        <v>2026</v>
      </c>
      <c r="B4" s="49">
        <v>261327.99999999997</v>
      </c>
      <c r="C4" s="50">
        <v>487171.5</v>
      </c>
      <c r="D4" s="50">
        <v>814623.5</v>
      </c>
      <c r="E4" s="50">
        <v>592562.5</v>
      </c>
      <c r="F4" s="50">
        <v>413379</v>
      </c>
      <c r="G4" s="17">
        <f t="shared" si="0"/>
        <v>2307736.5</v>
      </c>
      <c r="H4" s="17">
        <f t="shared" si="1"/>
        <v>303995.29996799503</v>
      </c>
      <c r="I4" s="17">
        <f t="shared" si="2"/>
        <v>2003741.2000320051</v>
      </c>
    </row>
    <row r="5" spans="1:9" ht="15.75" customHeight="1" x14ac:dyDescent="0.25">
      <c r="A5" s="5">
        <f t="shared" si="3"/>
        <v>2027</v>
      </c>
      <c r="B5" s="49">
        <v>262858</v>
      </c>
      <c r="C5" s="50">
        <v>495959</v>
      </c>
      <c r="D5" s="50">
        <v>832361</v>
      </c>
      <c r="E5" s="50">
        <v>610991.5</v>
      </c>
      <c r="F5" s="50">
        <v>426859.00000000006</v>
      </c>
      <c r="G5" s="17">
        <f t="shared" si="0"/>
        <v>2366170.5</v>
      </c>
      <c r="H5" s="17">
        <f t="shared" si="1"/>
        <v>305775.10469213879</v>
      </c>
      <c r="I5" s="17">
        <f t="shared" si="2"/>
        <v>2060395.3953078613</v>
      </c>
    </row>
    <row r="6" spans="1:9" ht="15.75" customHeight="1" x14ac:dyDescent="0.25">
      <c r="A6" s="5">
        <f t="shared" si="3"/>
        <v>2028</v>
      </c>
      <c r="B6" s="49">
        <v>262197</v>
      </c>
      <c r="C6" s="50">
        <v>503190</v>
      </c>
      <c r="D6" s="50">
        <v>849452.50000000012</v>
      </c>
      <c r="E6" s="50">
        <v>629699.00000000012</v>
      </c>
      <c r="F6" s="50">
        <v>440496.49999999994</v>
      </c>
      <c r="G6" s="17">
        <f t="shared" si="0"/>
        <v>2422838</v>
      </c>
      <c r="H6" s="17">
        <f t="shared" si="1"/>
        <v>305006.18252046622</v>
      </c>
      <c r="I6" s="17">
        <f t="shared" si="2"/>
        <v>2117831.8174795336</v>
      </c>
    </row>
    <row r="7" spans="1:9" ht="15.75" customHeight="1" x14ac:dyDescent="0.25">
      <c r="A7" s="5">
        <f t="shared" si="3"/>
        <v>2029</v>
      </c>
      <c r="B7" s="49">
        <v>262112.00000000003</v>
      </c>
      <c r="C7" s="50">
        <v>508476.5</v>
      </c>
      <c r="D7" s="50">
        <v>866208.00000000012</v>
      </c>
      <c r="E7" s="50">
        <v>648947.5</v>
      </c>
      <c r="F7" s="50">
        <v>454267</v>
      </c>
      <c r="G7" s="17">
        <f t="shared" si="0"/>
        <v>2477899</v>
      </c>
      <c r="H7" s="17">
        <f t="shared" si="1"/>
        <v>304907.30448023602</v>
      </c>
      <c r="I7" s="17">
        <f t="shared" si="2"/>
        <v>2172991.695519764</v>
      </c>
    </row>
    <row r="8" spans="1:9" ht="15.75" customHeight="1" x14ac:dyDescent="0.25">
      <c r="A8" s="5">
        <f t="shared" si="3"/>
        <v>2030</v>
      </c>
      <c r="B8" s="49">
        <v>262783</v>
      </c>
      <c r="C8" s="50">
        <v>512493.00000000006</v>
      </c>
      <c r="D8" s="50">
        <v>883101.5</v>
      </c>
      <c r="E8" s="50">
        <v>668781.5</v>
      </c>
      <c r="F8" s="50">
        <v>468548.5</v>
      </c>
      <c r="G8" s="17">
        <f t="shared" si="0"/>
        <v>2532924.5</v>
      </c>
      <c r="H8" s="17">
        <f t="shared" si="1"/>
        <v>305687.85936252389</v>
      </c>
      <c r="I8" s="17">
        <f t="shared" si="2"/>
        <v>2227236.640637476</v>
      </c>
    </row>
    <row r="9" spans="1:9" ht="15.75" customHeight="1" x14ac:dyDescent="0.25">
      <c r="A9" s="5">
        <f t="shared" si="3"/>
        <v>2031</v>
      </c>
      <c r="B9" s="49">
        <v>263544</v>
      </c>
      <c r="C9" s="50">
        <v>515836</v>
      </c>
      <c r="D9" s="50">
        <v>900168</v>
      </c>
      <c r="E9" s="50">
        <v>688684</v>
      </c>
      <c r="F9" s="50">
        <v>483404</v>
      </c>
      <c r="G9" s="17">
        <f t="shared" si="0"/>
        <v>2588092</v>
      </c>
      <c r="H9" s="17">
        <f t="shared" si="1"/>
        <v>306573.10864034964</v>
      </c>
      <c r="I9" s="17">
        <f t="shared" si="2"/>
        <v>2281518.8913596505</v>
      </c>
    </row>
    <row r="10" spans="1:9" ht="15.75" customHeight="1" x14ac:dyDescent="0.25">
      <c r="A10" s="5">
        <f t="shared" si="3"/>
        <v>2032</v>
      </c>
      <c r="B10" s="49">
        <v>264327</v>
      </c>
      <c r="C10" s="50">
        <v>519361.99999999994</v>
      </c>
      <c r="D10" s="50">
        <v>917090.5</v>
      </c>
      <c r="E10" s="50">
        <v>708803.00000000012</v>
      </c>
      <c r="F10" s="50">
        <v>498828</v>
      </c>
      <c r="G10" s="17">
        <f t="shared" si="0"/>
        <v>2644083.5</v>
      </c>
      <c r="H10" s="17">
        <f t="shared" si="1"/>
        <v>307483.94988152909</v>
      </c>
      <c r="I10" s="17">
        <f t="shared" si="2"/>
        <v>2336599.550118471</v>
      </c>
    </row>
    <row r="11" spans="1:9" ht="15.75" customHeight="1" x14ac:dyDescent="0.25">
      <c r="A11" s="5">
        <f t="shared" si="3"/>
        <v>2033</v>
      </c>
      <c r="B11" s="49">
        <v>264986</v>
      </c>
      <c r="C11" s="50">
        <v>523759</v>
      </c>
      <c r="D11" s="50">
        <v>932313.5</v>
      </c>
      <c r="E11" s="50">
        <v>728470</v>
      </c>
      <c r="F11" s="50">
        <v>514730.5</v>
      </c>
      <c r="G11" s="17">
        <f t="shared" si="0"/>
        <v>2699273</v>
      </c>
      <c r="H11" s="17">
        <f t="shared" si="1"/>
        <v>308250.54551107856</v>
      </c>
      <c r="I11" s="17">
        <f t="shared" si="2"/>
        <v>2391022.4544889214</v>
      </c>
    </row>
    <row r="12" spans="1:9" ht="15.75" customHeight="1" x14ac:dyDescent="0.25">
      <c r="A12" s="5">
        <f t="shared" si="3"/>
        <v>2034</v>
      </c>
      <c r="B12" s="49">
        <v>265313</v>
      </c>
      <c r="C12" s="50">
        <v>529285</v>
      </c>
      <c r="D12" s="50">
        <v>946295.5</v>
      </c>
      <c r="E12" s="50">
        <v>746735.5</v>
      </c>
      <c r="F12" s="50">
        <v>531027</v>
      </c>
      <c r="G12" s="17">
        <f t="shared" si="0"/>
        <v>2753343</v>
      </c>
      <c r="H12" s="17">
        <f t="shared" si="1"/>
        <v>308630.9351481995</v>
      </c>
      <c r="I12" s="17">
        <f t="shared" si="2"/>
        <v>2444712.0648518004</v>
      </c>
    </row>
    <row r="13" spans="1:9" ht="15.75" customHeight="1" x14ac:dyDescent="0.25">
      <c r="A13" s="5">
        <f t="shared" si="3"/>
        <v>2035</v>
      </c>
      <c r="B13" s="49">
        <v>265551</v>
      </c>
      <c r="C13" s="50">
        <v>535703.5</v>
      </c>
      <c r="D13" s="50">
        <v>959855.5</v>
      </c>
      <c r="E13" s="50">
        <v>764272.5</v>
      </c>
      <c r="F13" s="50">
        <v>547775</v>
      </c>
      <c r="G13" s="17">
        <f t="shared" si="0"/>
        <v>2807606.5</v>
      </c>
      <c r="H13" s="17">
        <f t="shared" si="1"/>
        <v>308907.79366084409</v>
      </c>
      <c r="I13" s="17">
        <f t="shared" si="2"/>
        <v>2498698.7063391558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oaLmPQJnXo9W97HlOnaCIjdk6tkGLX2yUHIDNJpJpchHKK/emouEsPETN85DGqv3Jp0aY8tSd/mfwTkf3vWDJg==" saltValue="ly0KwzaRNHqczbBqOdUZP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1.9270251420426689E-2</v>
      </c>
    </row>
    <row r="4" spans="1:8" ht="15.75" customHeight="1" x14ac:dyDescent="0.25">
      <c r="B4" s="19" t="s">
        <v>116</v>
      </c>
      <c r="C4" s="101">
        <v>5.5527335526750703E-2</v>
      </c>
    </row>
    <row r="5" spans="1:8" ht="15.75" customHeight="1" x14ac:dyDescent="0.25">
      <c r="B5" s="19" t="s">
        <v>114</v>
      </c>
      <c r="C5" s="101">
        <v>8.3290502540403655E-2</v>
      </c>
    </row>
    <row r="6" spans="1:8" ht="15.75" customHeight="1" x14ac:dyDescent="0.25">
      <c r="B6" s="19" t="s">
        <v>110</v>
      </c>
      <c r="C6" s="101">
        <v>0.247329601879935</v>
      </c>
    </row>
    <row r="7" spans="1:8" ht="15.75" customHeight="1" x14ac:dyDescent="0.25">
      <c r="B7" s="19" t="s">
        <v>115</v>
      </c>
      <c r="C7" s="101">
        <v>0.41542046752397621</v>
      </c>
    </row>
    <row r="8" spans="1:8" ht="15.75" customHeight="1" x14ac:dyDescent="0.25">
      <c r="B8" s="19" t="s">
        <v>117</v>
      </c>
      <c r="C8" s="101">
        <v>2.827032633258517E-3</v>
      </c>
    </row>
    <row r="9" spans="1:8" ht="15.75" customHeight="1" x14ac:dyDescent="0.25">
      <c r="B9" s="19" t="s">
        <v>111</v>
      </c>
      <c r="C9" s="101">
        <v>6.8686537483920895E-2</v>
      </c>
    </row>
    <row r="10" spans="1:8" ht="15.75" customHeight="1" x14ac:dyDescent="0.25">
      <c r="B10" s="19" t="s">
        <v>113</v>
      </c>
      <c r="C10" s="101">
        <v>0.1076482709913284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0.15521897653309941</v>
      </c>
      <c r="D14" s="55">
        <v>0.15521897653309941</v>
      </c>
      <c r="E14" s="55">
        <v>0.15521897653309941</v>
      </c>
      <c r="F14" s="55">
        <v>0.15521897653309941</v>
      </c>
    </row>
    <row r="15" spans="1:8" ht="15.75" customHeight="1" x14ac:dyDescent="0.25">
      <c r="B15" s="19" t="s">
        <v>121</v>
      </c>
      <c r="C15" s="101">
        <v>0.20898917462724789</v>
      </c>
      <c r="D15" s="101">
        <v>0.20898917462724789</v>
      </c>
      <c r="E15" s="101">
        <v>0.20898917462724789</v>
      </c>
      <c r="F15" s="101">
        <v>0.20898917462724789</v>
      </c>
    </row>
    <row r="16" spans="1:8" ht="15.75" customHeight="1" x14ac:dyDescent="0.25">
      <c r="B16" s="19" t="s">
        <v>2</v>
      </c>
      <c r="C16" s="101">
        <v>2.0453097249142231E-2</v>
      </c>
      <c r="D16" s="101">
        <v>2.0453097249142231E-2</v>
      </c>
      <c r="E16" s="101">
        <v>2.0453097249142231E-2</v>
      </c>
      <c r="F16" s="101">
        <v>2.0453097249142231E-2</v>
      </c>
    </row>
    <row r="17" spans="1:8" ht="15.75" customHeight="1" x14ac:dyDescent="0.25">
      <c r="B17" s="19" t="s">
        <v>109</v>
      </c>
      <c r="C17" s="101">
        <v>1.78518465199384E-3</v>
      </c>
      <c r="D17" s="101">
        <v>1.78518465199384E-3</v>
      </c>
      <c r="E17" s="101">
        <v>1.78518465199384E-3</v>
      </c>
      <c r="F17" s="101">
        <v>1.78518465199384E-3</v>
      </c>
    </row>
    <row r="18" spans="1:8" ht="15.75" customHeight="1" x14ac:dyDescent="0.25">
      <c r="B18" s="19" t="s">
        <v>3</v>
      </c>
      <c r="C18" s="101">
        <v>0.35346795150880239</v>
      </c>
      <c r="D18" s="101">
        <v>0.35346795150880239</v>
      </c>
      <c r="E18" s="101">
        <v>0.35346795150880239</v>
      </c>
      <c r="F18" s="101">
        <v>0.35346795150880239</v>
      </c>
    </row>
    <row r="19" spans="1:8" ht="15.75" customHeight="1" x14ac:dyDescent="0.25">
      <c r="B19" s="19" t="s">
        <v>120</v>
      </c>
      <c r="C19" s="101">
        <v>8.3972450660439787E-3</v>
      </c>
      <c r="D19" s="101">
        <v>8.3972450660439787E-3</v>
      </c>
      <c r="E19" s="101">
        <v>8.3972450660439787E-3</v>
      </c>
      <c r="F19" s="101">
        <v>8.3972450660439787E-3</v>
      </c>
    </row>
    <row r="20" spans="1:8" ht="15.75" customHeight="1" x14ac:dyDescent="0.25">
      <c r="B20" s="19" t="s">
        <v>98</v>
      </c>
      <c r="C20" s="101">
        <v>5.2756167327518533E-2</v>
      </c>
      <c r="D20" s="101">
        <v>5.2756167327518533E-2</v>
      </c>
      <c r="E20" s="101">
        <v>5.2756167327518533E-2</v>
      </c>
      <c r="F20" s="101">
        <v>5.2756167327518533E-2</v>
      </c>
    </row>
    <row r="21" spans="1:8" ht="15.75" customHeight="1" x14ac:dyDescent="0.25">
      <c r="B21" s="19" t="s">
        <v>107</v>
      </c>
      <c r="C21" s="101">
        <v>6.5268173388815381E-2</v>
      </c>
      <c r="D21" s="101">
        <v>6.5268173388815381E-2</v>
      </c>
      <c r="E21" s="101">
        <v>6.5268173388815381E-2</v>
      </c>
      <c r="F21" s="101">
        <v>6.5268173388815381E-2</v>
      </c>
    </row>
    <row r="22" spans="1:8" ht="15.75" customHeight="1" x14ac:dyDescent="0.25">
      <c r="B22" s="19" t="s">
        <v>118</v>
      </c>
      <c r="C22" s="101">
        <v>0.13366402964733631</v>
      </c>
      <c r="D22" s="101">
        <v>0.13366402964733631</v>
      </c>
      <c r="E22" s="101">
        <v>0.13366402964733631</v>
      </c>
      <c r="F22" s="101">
        <v>0.13366402964733631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8.8541960999999988E-2</v>
      </c>
    </row>
    <row r="27" spans="1:8" ht="15.75" customHeight="1" x14ac:dyDescent="0.25">
      <c r="B27" s="19" t="s">
        <v>108</v>
      </c>
      <c r="C27" s="101">
        <v>8.4139049999999993E-3</v>
      </c>
    </row>
    <row r="28" spans="1:8" ht="15.75" customHeight="1" x14ac:dyDescent="0.25">
      <c r="B28" s="19" t="s">
        <v>122</v>
      </c>
      <c r="C28" s="101">
        <v>0.15592515700000001</v>
      </c>
    </row>
    <row r="29" spans="1:8" ht="15.75" customHeight="1" x14ac:dyDescent="0.25">
      <c r="B29" s="19" t="s">
        <v>105</v>
      </c>
      <c r="C29" s="101">
        <v>0.16923094399999999</v>
      </c>
    </row>
    <row r="30" spans="1:8" ht="15.75" customHeight="1" x14ac:dyDescent="0.25">
      <c r="B30" s="19" t="s">
        <v>4</v>
      </c>
      <c r="C30" s="101">
        <v>0.105940403</v>
      </c>
    </row>
    <row r="31" spans="1:8" ht="15.75" customHeight="1" x14ac:dyDescent="0.25">
      <c r="B31" s="19" t="s">
        <v>99</v>
      </c>
      <c r="C31" s="101">
        <v>0.11097119599999999</v>
      </c>
    </row>
    <row r="32" spans="1:8" ht="15.75" customHeight="1" x14ac:dyDescent="0.25">
      <c r="B32" s="19" t="s">
        <v>104</v>
      </c>
      <c r="C32" s="101">
        <v>1.8550027E-2</v>
      </c>
    </row>
    <row r="33" spans="2:3" ht="15.75" customHeight="1" x14ac:dyDescent="0.25">
      <c r="B33" s="19" t="s">
        <v>119</v>
      </c>
      <c r="C33" s="101">
        <v>8.4407093999999988E-2</v>
      </c>
    </row>
    <row r="34" spans="2:3" ht="15.75" customHeight="1" x14ac:dyDescent="0.25">
      <c r="B34" s="19" t="s">
        <v>106</v>
      </c>
      <c r="C34" s="101">
        <v>0.258019314</v>
      </c>
    </row>
    <row r="35" spans="2:3" ht="15.75" customHeight="1" x14ac:dyDescent="0.25">
      <c r="B35" s="27" t="s">
        <v>79</v>
      </c>
      <c r="C35" s="48">
        <f>SUM(C26:C34)</f>
        <v>1.0000000009999999</v>
      </c>
    </row>
  </sheetData>
  <sheetProtection algorithmName="SHA-512" hashValue="ZaHvLI6rtbsmytPWAvhdfwbNWCxmjgsPzyC4GqAokAQsfthq07bPd7RE5jstpTRueEf/Qpe3n3zWZUs++k+7Aw==" saltValue="RLf+0XPI2kw9nCT8ch97j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0.44863980932331038</v>
      </c>
      <c r="D2" s="52">
        <f>IFERROR(1-_xlfn.NORM.DIST(_xlfn.NORM.INV(SUM(D4:D5), 0, 1) + 1, 0, 1, TRUE), "")</f>
        <v>0.44863980932331038</v>
      </c>
      <c r="E2" s="52">
        <f>IFERROR(1-_xlfn.NORM.DIST(_xlfn.NORM.INV(SUM(E4:E5), 0, 1) + 1, 0, 1, TRUE), "")</f>
        <v>0.4699543555463106</v>
      </c>
      <c r="F2" s="52">
        <f>IFERROR(1-_xlfn.NORM.DIST(_xlfn.NORM.INV(SUM(F4:F5), 0, 1) + 1, 0, 1, TRUE), "")</f>
        <v>0.3141720076106479</v>
      </c>
      <c r="G2" s="52">
        <f>IFERROR(1-_xlfn.NORM.DIST(_xlfn.NORM.INV(SUM(G4:G5), 0, 1) + 1, 0, 1, TRUE), "")</f>
        <v>0.28748709338451461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0.35945619067668966</v>
      </c>
      <c r="D3" s="52">
        <f>IFERROR(_xlfn.NORM.DIST(_xlfn.NORM.INV(SUM(D4:D5), 0, 1) + 1, 0, 1, TRUE) - SUM(D4:D5), "")</f>
        <v>0.35945619067668966</v>
      </c>
      <c r="E3" s="52">
        <f>IFERROR(_xlfn.NORM.DIST(_xlfn.NORM.INV(SUM(E4:E5), 0, 1) + 1, 0, 1, TRUE) - SUM(E4:E5), "")</f>
        <v>0.35246264445368941</v>
      </c>
      <c r="F3" s="52">
        <f>IFERROR(_xlfn.NORM.DIST(_xlfn.NORM.INV(SUM(F4:F5), 0, 1) + 1, 0, 1, TRUE) - SUM(F4:F5), "")</f>
        <v>0.38288019238935211</v>
      </c>
      <c r="G3" s="52">
        <f>IFERROR(_xlfn.NORM.DIST(_xlfn.NORM.INV(SUM(G4:G5), 0, 1) + 1, 0, 1, TRUE) - SUM(G4:G5), "")</f>
        <v>0.38227600661548539</v>
      </c>
    </row>
    <row r="4" spans="1:15" ht="15.75" customHeight="1" x14ac:dyDescent="0.25">
      <c r="B4" s="5" t="s">
        <v>129</v>
      </c>
      <c r="C4" s="45">
        <v>0.1133801</v>
      </c>
      <c r="D4" s="53">
        <v>0.1133801</v>
      </c>
      <c r="E4" s="53">
        <v>0.1031483</v>
      </c>
      <c r="F4" s="53">
        <v>0.2021889</v>
      </c>
      <c r="G4" s="53">
        <v>0.2106642</v>
      </c>
    </row>
    <row r="5" spans="1:15" ht="15.75" customHeight="1" x14ac:dyDescent="0.25">
      <c r="B5" s="5" t="s">
        <v>125</v>
      </c>
      <c r="C5" s="45">
        <v>7.8523899999999994E-2</v>
      </c>
      <c r="D5" s="53">
        <v>7.8523899999999994E-2</v>
      </c>
      <c r="E5" s="53">
        <v>7.4434699999999993E-2</v>
      </c>
      <c r="F5" s="53">
        <v>0.1007589</v>
      </c>
      <c r="G5" s="53">
        <v>0.1195727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0.76914882237139048</v>
      </c>
      <c r="D8" s="52">
        <f>IFERROR(1-_xlfn.NORM.DIST(_xlfn.NORM.INV(SUM(D10:D11), 0, 1) + 1, 0, 1, TRUE), "")</f>
        <v>0.76914882237139048</v>
      </c>
      <c r="E8" s="52">
        <f>IFERROR(1-_xlfn.NORM.DIST(_xlfn.NORM.INV(SUM(E10:E11), 0, 1) + 1, 0, 1, TRUE), "")</f>
        <v>0.58795261618574035</v>
      </c>
      <c r="F8" s="52">
        <f>IFERROR(1-_xlfn.NORM.DIST(_xlfn.NORM.INV(SUM(F10:F11), 0, 1) + 1, 0, 1, TRUE), "")</f>
        <v>0.63349464666587818</v>
      </c>
      <c r="G8" s="52">
        <f>IFERROR(1-_xlfn.NORM.DIST(_xlfn.NORM.INV(SUM(G10:G11), 0, 1) + 1, 0, 1, TRUE), "")</f>
        <v>0.79223767337338391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0.18957337762860954</v>
      </c>
      <c r="D9" s="52">
        <f>IFERROR(_xlfn.NORM.DIST(_xlfn.NORM.INV(SUM(D10:D11), 0, 1) + 1, 0, 1, TRUE) - SUM(D10:D11), "")</f>
        <v>0.18957337762860954</v>
      </c>
      <c r="E9" s="52">
        <f>IFERROR(_xlfn.NORM.DIST(_xlfn.NORM.INV(SUM(E10:E11), 0, 1) + 1, 0, 1, TRUE) - SUM(E10:E11), "")</f>
        <v>0.30124678381425962</v>
      </c>
      <c r="F9" s="52">
        <f>IFERROR(_xlfn.NORM.DIST(_xlfn.NORM.INV(SUM(F10:F11), 0, 1) + 1, 0, 1, TRUE) - SUM(F10:F11), "")</f>
        <v>0.27656515333412179</v>
      </c>
      <c r="G9" s="52">
        <f>IFERROR(_xlfn.NORM.DIST(_xlfn.NORM.INV(SUM(G10:G11), 0, 1) + 1, 0, 1, TRUE) - SUM(G10:G11), "")</f>
        <v>0.17293962662661605</v>
      </c>
    </row>
    <row r="10" spans="1:15" ht="15.75" customHeight="1" x14ac:dyDescent="0.25">
      <c r="B10" s="5" t="s">
        <v>126</v>
      </c>
      <c r="C10" s="45">
        <v>2.9913700000000001E-2</v>
      </c>
      <c r="D10" s="53">
        <v>2.9913700000000001E-2</v>
      </c>
      <c r="E10" s="53">
        <v>9.8630600000000013E-2</v>
      </c>
      <c r="F10" s="53">
        <v>7.0580699999999996E-2</v>
      </c>
      <c r="G10" s="53">
        <v>2.7266700000000001E-2</v>
      </c>
    </row>
    <row r="11" spans="1:15" ht="15.75" customHeight="1" x14ac:dyDescent="0.25">
      <c r="B11" s="5" t="s">
        <v>138</v>
      </c>
      <c r="C11" s="45">
        <v>1.13641E-2</v>
      </c>
      <c r="D11" s="53">
        <v>1.13641E-2</v>
      </c>
      <c r="E11" s="53">
        <v>1.217E-2</v>
      </c>
      <c r="F11" s="53">
        <v>1.9359500000000002E-2</v>
      </c>
      <c r="G11" s="53">
        <v>7.5560000000000002E-3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0.90340710200000007</v>
      </c>
      <c r="D14" s="54">
        <v>0.89947195748300002</v>
      </c>
      <c r="E14" s="54">
        <v>0.89947195748300002</v>
      </c>
      <c r="F14" s="54">
        <v>0.83211495658599999</v>
      </c>
      <c r="G14" s="54">
        <v>0.83211495658599999</v>
      </c>
      <c r="H14" s="45">
        <v>0.55900000000000016</v>
      </c>
      <c r="I14" s="55">
        <v>0.55900000000000016</v>
      </c>
      <c r="J14" s="55">
        <v>0.55900000000000016</v>
      </c>
      <c r="K14" s="55">
        <v>0.55900000000000016</v>
      </c>
      <c r="L14" s="45">
        <v>0.47299999999999998</v>
      </c>
      <c r="M14" s="55">
        <v>0.47299999999999998</v>
      </c>
      <c r="N14" s="55">
        <v>0.47299999999999998</v>
      </c>
      <c r="O14" s="55">
        <v>0.47299999999999998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0.40912687768984213</v>
      </c>
      <c r="D15" s="52">
        <f t="shared" si="0"/>
        <v>0.40734476485728377</v>
      </c>
      <c r="E15" s="52">
        <f t="shared" si="0"/>
        <v>0.40734476485728377</v>
      </c>
      <c r="F15" s="52">
        <f t="shared" si="0"/>
        <v>0.37684073250405847</v>
      </c>
      <c r="G15" s="52">
        <f t="shared" si="0"/>
        <v>0.37684073250405847</v>
      </c>
      <c r="H15" s="52">
        <f t="shared" si="0"/>
        <v>0.25315488900000011</v>
      </c>
      <c r="I15" s="52">
        <f t="shared" si="0"/>
        <v>0.25315488900000011</v>
      </c>
      <c r="J15" s="52">
        <f t="shared" si="0"/>
        <v>0.25315488900000011</v>
      </c>
      <c r="K15" s="52">
        <f t="shared" si="0"/>
        <v>0.25315488900000011</v>
      </c>
      <c r="L15" s="52">
        <f t="shared" si="0"/>
        <v>0.21420798300000002</v>
      </c>
      <c r="M15" s="52">
        <f t="shared" si="0"/>
        <v>0.21420798300000002</v>
      </c>
      <c r="N15" s="52">
        <f t="shared" si="0"/>
        <v>0.21420798300000002</v>
      </c>
      <c r="O15" s="52">
        <f t="shared" si="0"/>
        <v>0.21420798300000002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1v10NHxtFFPKac1yYA7aWWUgjpadn5ZtJQ1O3a8GlFtIMBy+saKNyxrO/9ZVFb8ANhYE4H0FGilvXhcxr7LXg==" saltValue="r17oVUjD9n+GcSsN23DD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0.77430790000000005</v>
      </c>
      <c r="D2" s="53">
        <v>0.4961622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0.15446280000000001</v>
      </c>
      <c r="D3" s="53">
        <v>0.24405350000000001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3.8687199999999998E-2</v>
      </c>
      <c r="D4" s="53">
        <v>0.24085190000000001</v>
      </c>
      <c r="E4" s="53">
        <v>0.95201559999999996</v>
      </c>
      <c r="F4" s="53">
        <v>0.64523189999999997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3.2542099999999907E-2</v>
      </c>
      <c r="D5" s="52">
        <f t="shared" si="0"/>
        <v>1.893239999999996E-2</v>
      </c>
      <c r="E5" s="52">
        <f>1-SUM(E2:E4)</f>
        <v>4.7984400000000038E-2</v>
      </c>
      <c r="F5" s="52">
        <f>1-SUM(F2:F4)</f>
        <v>0.35476810000000003</v>
      </c>
      <c r="G5" s="52">
        <f>1-SUM(G2:G4)</f>
        <v>1</v>
      </c>
    </row>
  </sheetData>
  <sheetProtection algorithmName="SHA-512" hashValue="D6MDGVxpwkRRuSbigbVF321D7KFYPRTBdDQKCtTimB8VSFFDzl9jcYxS8/G/3nrQU8Top/vTH1vwacXoECPgvg==" saltValue="4v+XY4GPy7ytRCCF6d7g+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68q4VSgoAN8O7aTwDB785I/s4ORbz6tn0NmeMhYiNJP+YOdQ5vmLczIIVNWnRmK389tm/bJTb8iHeehnJ+Go/Q==" saltValue="isKBmlP6PEB9HPZkki+bG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475.79572784462198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0.40393000000000001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0.52807999999999999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1.55311085E-2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89083.913109999994</v>
      </c>
      <c r="C22" s="109">
        <v>87868.854290000003</v>
      </c>
      <c r="D22" s="109">
        <v>87166.786850000004</v>
      </c>
      <c r="E22" s="109">
        <v>86542.439870000002</v>
      </c>
      <c r="F22" s="109">
        <v>85678.934659999999</v>
      </c>
      <c r="G22" s="109">
        <v>84574.450549999994</v>
      </c>
      <c r="H22" s="109">
        <v>83148.448199999999</v>
      </c>
      <c r="I22" s="109">
        <v>81302.881840000002</v>
      </c>
      <c r="J22" s="109">
        <v>78843.271429999993</v>
      </c>
      <c r="K22" s="109">
        <v>75760.692999999999</v>
      </c>
      <c r="L22" s="109">
        <v>71528.901450000005</v>
      </c>
      <c r="M22" s="109">
        <v>66041.043470000004</v>
      </c>
      <c r="N22" s="109">
        <v>58497.340550000001</v>
      </c>
      <c r="O22" s="109">
        <v>49179.331469999997</v>
      </c>
    </row>
  </sheetData>
  <sheetProtection algorithmName="SHA-512" hashValue="vTtOs3HfXMUcIIAKgrnhm6eN5msBli4DEMtWxGTqLT+SFGGGduzIG1azPgpwVgvutB16NIFmW/ZPj7zduLJ22A==" saltValue="dPuj6f+3HI9cbAAWx7Sm5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klyE73+xOY/LfbLPUTHSbZvfp4G08FFjC6qoUgAAg225C07TsSum2MddPK084+ekjkuLBHlmsmCQk95i8zxpLA==" saltValue="pCLmqLnuI0nqHs9o0DeOr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yx2/6YxbkDkJN3ItSy+ilNsEVhUL6jtzmpd9jUwjLGQyPj12l4MY8u9o9/2sP8KP3Cpw92nVJ0mUw7qphn6+sQ==" saltValue="NGDXqKFM13cLj9Cl/ShC6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20.202942681678611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20.202942681678611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5.053715455475948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0.77474411463664294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1.812651550310735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0.25</v>
      </c>
      <c r="C9" s="98">
        <v>0.95</v>
      </c>
      <c r="D9" s="56">
        <v>0.23003335421429147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0.27672940000000001</v>
      </c>
      <c r="C10" s="98">
        <v>0.95</v>
      </c>
      <c r="D10" s="56">
        <v>15.022196845122521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15.022196845122521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15.022196845122521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15.022196845122521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0.27672940000000001</v>
      </c>
      <c r="C14" s="98">
        <v>0.95</v>
      </c>
      <c r="D14" s="56">
        <v>15.022196845122521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15.022196845122521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0.73015299999999994</v>
      </c>
      <c r="C16" s="98">
        <v>0.95</v>
      </c>
      <c r="D16" s="56">
        <v>6.2098720573183224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0.103311</v>
      </c>
      <c r="C17" s="98">
        <v>0.95</v>
      </c>
      <c r="D17" s="56">
        <v>0.35500000000000004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0.49299999999999999</v>
      </c>
      <c r="C18" s="98">
        <v>0.95</v>
      </c>
      <c r="D18" s="56">
        <v>5.053715455475948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0.4961622</v>
      </c>
      <c r="C19" s="98">
        <v>0.95</v>
      </c>
      <c r="D19" s="56">
        <v>7.2861200073283072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0.65555271238485169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5.053715455475948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0.65059860000000003</v>
      </c>
      <c r="C23" s="98">
        <v>0.95</v>
      </c>
      <c r="D23" s="56">
        <v>4.9145085291285842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0.73707815445430003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0.27672940000000001</v>
      </c>
      <c r="C26" s="98">
        <v>0.95</v>
      </c>
      <c r="D26" s="56">
        <v>24.315046059365404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6.1979529170931436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0.85267629999999994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0.25069370000000002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45.495358239508711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126.62714253872848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0.69</v>
      </c>
      <c r="C32" s="98">
        <v>0.95</v>
      </c>
      <c r="D32" s="56">
        <v>0.75090583418628465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0.17836582242680299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0.62068789999999996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6.3924000000000003E-3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0.20684730000000001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0.53400000000000003</v>
      </c>
      <c r="C38" s="98">
        <v>0.95</v>
      </c>
      <c r="D38" s="56">
        <v>3.5280655066530198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7.4375435005117723</v>
      </c>
      <c r="E39" s="56" t="s">
        <v>212</v>
      </c>
      <c r="F39" s="98">
        <v>1</v>
      </c>
      <c r="G39" s="98">
        <v>1</v>
      </c>
    </row>
  </sheetData>
  <sheetProtection algorithmName="SHA-512" hashValue="CSX6EbNy42k4vk//H9/1SV6yCghNBJKeI1pBlnsPcRGvQ2reKpc4I9xV1rU7W4tLo3K51lsFBBSfWkXA6CNVgQ==" saltValue="fzC62wrdhHsHzdYhpfxp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gfdOuHfWtnp7zjTDNfcioc+35FafFHUwasbydWOA0irAZMi01oHJ3UZd7mXagsxLmBAppK2nTeeguDCXhI2Tg==" saltValue="gVjlt4lJlJuNEdhsZ1i4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+sMLNajED8L3C3ziZxP7L9qD/W8d/G0xnI9hvqsplO4ZO8HlrlI3/IWhP+QQDnFHSugzmsg0lP+nD4X94HI5g==" saltValue="5vTqCxbpVn+n2gCOpRps9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0.88400000000000012</v>
      </c>
      <c r="C2" s="21">
        <f>'Entradas de población-año base'!C52</f>
        <v>0.88400000000000012</v>
      </c>
      <c r="D2" s="21">
        <f>'Entradas de población-año base'!C53</f>
        <v>2.3660000000000001</v>
      </c>
      <c r="E2" s="21">
        <f>'Entradas de población-año base'!C54</f>
        <v>2.6779999999999999</v>
      </c>
      <c r="F2" s="21">
        <f>'Entradas de población-año base'!C55</f>
        <v>1.6466666666666669</v>
      </c>
    </row>
    <row r="3" spans="1:6" ht="15.75" customHeight="1" x14ac:dyDescent="0.25">
      <c r="A3" s="3" t="s">
        <v>6</v>
      </c>
      <c r="B3" s="21">
        <f>frac_mam_1month * 2.6</f>
        <v>7.7775620000000004E-2</v>
      </c>
      <c r="C3" s="21">
        <f>frac_mam_1_5months * 2.6</f>
        <v>7.7775620000000004E-2</v>
      </c>
      <c r="D3" s="21">
        <f>frac_mam_6_11months * 2.6</f>
        <v>0.25643956000000007</v>
      </c>
      <c r="E3" s="21">
        <f>frac_mam_12_23months * 2.6</f>
        <v>0.18350981999999999</v>
      </c>
      <c r="F3" s="21">
        <f>frac_mam_24_59months * 2.6</f>
        <v>7.0893420000000013E-2</v>
      </c>
    </row>
    <row r="4" spans="1:6" ht="15.75" customHeight="1" x14ac:dyDescent="0.25">
      <c r="A4" s="3" t="s">
        <v>236</v>
      </c>
      <c r="B4" s="21">
        <f>frac_sam_1month * 2.6</f>
        <v>2.9546660000000002E-2</v>
      </c>
      <c r="C4" s="21">
        <f>frac_sam_1_5months * 2.6</f>
        <v>2.9546660000000002E-2</v>
      </c>
      <c r="D4" s="21">
        <f>frac_sam_6_11months * 2.6</f>
        <v>3.1642000000000003E-2</v>
      </c>
      <c r="E4" s="21">
        <f>frac_sam_12_23months * 2.6</f>
        <v>5.0334700000000003E-2</v>
      </c>
      <c r="F4" s="21">
        <f>frac_sam_24_59months * 2.6</f>
        <v>1.9645600000000003E-2</v>
      </c>
    </row>
  </sheetData>
  <sheetProtection algorithmName="SHA-512" hashValue="gMcnEBX+05ppAloY7vu4DbIqsTsTVYhPSXWp99dZTQpzlX1AiIer1h6aHbNmc2DdYl89UqqwyRVDjbQJuHvcpw==" saltValue="oiFRaIAD0daXFSl84nna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0.75800000000000001</v>
      </c>
      <c r="F2" s="60">
        <f>food_insecure</f>
        <v>0.75800000000000001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0.75800000000000001</v>
      </c>
      <c r="F5" s="60">
        <f>food_insecure</f>
        <v>0.75800000000000001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1.9287272727272733E-2</v>
      </c>
      <c r="D7" s="60">
        <f>diarrhoea_1_5mo*frac_diarrhea_severe</f>
        <v>1.9287272727272733E-2</v>
      </c>
      <c r="E7" s="60">
        <f>diarrhoea_6_11mo*frac_diarrhea_severe</f>
        <v>5.1621818181818185E-2</v>
      </c>
      <c r="F7" s="60">
        <f>diarrhoea_12_23mo*frac_diarrhea_severe</f>
        <v>5.842909090909091E-2</v>
      </c>
      <c r="G7" s="60">
        <f>diarrhoea_24_59mo*frac_diarrhea_severe</f>
        <v>3.5927272727272738E-2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0.75800000000000001</v>
      </c>
      <c r="F8" s="60">
        <f>food_insecure</f>
        <v>0.75800000000000001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0.75800000000000001</v>
      </c>
      <c r="F9" s="60">
        <f>food_insecure</f>
        <v>0.75800000000000001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1.9287272727272733E-2</v>
      </c>
      <c r="D12" s="60">
        <f>diarrhoea_1_5mo*frac_diarrhea_severe</f>
        <v>1.9287272727272733E-2</v>
      </c>
      <c r="E12" s="60">
        <f>diarrhoea_6_11mo*frac_diarrhea_severe</f>
        <v>5.1621818181818185E-2</v>
      </c>
      <c r="F12" s="60">
        <f>diarrhoea_12_23mo*frac_diarrhea_severe</f>
        <v>5.842909090909091E-2</v>
      </c>
      <c r="G12" s="60">
        <f>diarrhoea_24_59mo*frac_diarrhea_severe</f>
        <v>3.5927272727272738E-2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0.75800000000000001</v>
      </c>
      <c r="I15" s="60">
        <f t="shared" si="0"/>
        <v>0.75800000000000001</v>
      </c>
      <c r="J15" s="60">
        <f t="shared" si="0"/>
        <v>0.75800000000000001</v>
      </c>
      <c r="K15" s="60">
        <f t="shared" si="0"/>
        <v>0.75800000000000001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0.75800000000000001</v>
      </c>
      <c r="I16" s="60">
        <f t="shared" si="0"/>
        <v>0.75800000000000001</v>
      </c>
      <c r="J16" s="60">
        <f t="shared" si="0"/>
        <v>0.75800000000000001</v>
      </c>
      <c r="K16" s="60">
        <f t="shared" si="0"/>
        <v>0.75800000000000001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0.99900000000000011</v>
      </c>
      <c r="I19" s="60">
        <f>frac_malaria_risk</f>
        <v>0.99900000000000011</v>
      </c>
      <c r="J19" s="60">
        <f>frac_malaria_risk</f>
        <v>0.99900000000000011</v>
      </c>
      <c r="K19" s="60">
        <f>frac_malaria_risk</f>
        <v>0.99900000000000011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0.625</v>
      </c>
      <c r="M24" s="60">
        <f>famplan_unmet_need</f>
        <v>0.625</v>
      </c>
      <c r="N24" s="60">
        <f>famplan_unmet_need</f>
        <v>0.625</v>
      </c>
      <c r="O24" s="60">
        <f>famplan_unmet_need</f>
        <v>0.625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0.44570478604399993</v>
      </c>
      <c r="M25" s="60">
        <f>(1-food_insecure)*(0.49)+food_insecure*(0.7)</f>
        <v>0.64917999999999998</v>
      </c>
      <c r="N25" s="60">
        <f>(1-food_insecure)*(0.49)+food_insecure*(0.7)</f>
        <v>0.64917999999999998</v>
      </c>
      <c r="O25" s="60">
        <f>(1-food_insecure)*(0.49)+food_insecure*(0.7)</f>
        <v>0.64917999999999998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0.191016336876</v>
      </c>
      <c r="M26" s="60">
        <f>(1-food_insecure)*(0.21)+food_insecure*(0.3)</f>
        <v>0.27821999999999997</v>
      </c>
      <c r="N26" s="60">
        <f>(1-food_insecure)*(0.21)+food_insecure*(0.3)</f>
        <v>0.27821999999999997</v>
      </c>
      <c r="O26" s="60">
        <f>(1-food_insecure)*(0.21)+food_insecure*(0.3)</f>
        <v>0.27821999999999997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4.9844677079999997E-2</v>
      </c>
      <c r="M27" s="60">
        <f>(1-food_insecure)*(0.3)</f>
        <v>7.2599999999999998E-2</v>
      </c>
      <c r="N27" s="60">
        <f>(1-food_insecure)*(0.3)</f>
        <v>7.2599999999999998E-2</v>
      </c>
      <c r="O27" s="60">
        <f>(1-food_insecure)*(0.3)</f>
        <v>7.2599999999999998E-2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0.3134342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0.99900000000000011</v>
      </c>
      <c r="D34" s="60">
        <f t="shared" si="4"/>
        <v>0.99900000000000011</v>
      </c>
      <c r="E34" s="60">
        <f t="shared" si="4"/>
        <v>0.99900000000000011</v>
      </c>
      <c r="F34" s="60">
        <f t="shared" si="4"/>
        <v>0.99900000000000011</v>
      </c>
      <c r="G34" s="60">
        <f t="shared" si="4"/>
        <v>0.99900000000000011</v>
      </c>
      <c r="H34" s="60">
        <f t="shared" si="4"/>
        <v>0.99900000000000011</v>
      </c>
      <c r="I34" s="60">
        <f t="shared" si="4"/>
        <v>0.99900000000000011</v>
      </c>
      <c r="J34" s="60">
        <f t="shared" si="4"/>
        <v>0.99900000000000011</v>
      </c>
      <c r="K34" s="60">
        <f t="shared" si="4"/>
        <v>0.99900000000000011</v>
      </c>
      <c r="L34" s="60">
        <f t="shared" si="4"/>
        <v>0.99900000000000011</v>
      </c>
      <c r="M34" s="60">
        <f t="shared" si="4"/>
        <v>0.99900000000000011</v>
      </c>
      <c r="N34" s="60">
        <f t="shared" si="4"/>
        <v>0.99900000000000011</v>
      </c>
      <c r="O34" s="60">
        <f t="shared" si="4"/>
        <v>0.99900000000000011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hkHz7OZiV5kDgX1W2ZkD/gjrDZS/y9pKN9dK3LuVA58Vd4CtsMfWl1bqcLLwK61MxaJkf2pXDawpEISkBRQvA==" saltValue="lmD9DawSNOKG6bgtqL/81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lbb66iYnirwgYKtVfREhNFsZL2Ejt2xJb9fMeTOIv+x/IN41XmNvpHxtBLgKk3uxd93gqq2Xgq5yLwKSLqiaAA==" saltValue="dsmUCFc+NXBelu1F5IWzi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oLIWfvFfUTA8p/xKY9McIWAGggeenzYZpa7tdfUl50mCTxBoxugKSsBUIfEZF3SuvQ4C/WMgmMpluJNGbiQeQ==" saltValue="anil/YpgOTkDMo6dhPd8p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miHcsQ6bfY9GdRIjTmJfrVNmzXV5fAGwpUbn0Ek0st5tdSVIPyr3aHeF9Q1aspZlFTg2XgGokAoX/g3krDJRw==" saltValue="5MxOtnG/tv58k/nCoQhw1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KJ0cVmM/MfP3DL+3dHA+xWuipR2vXBpj+nfvhBpfnf9IvEKq6Q2m4426urvHUBy/XEHWaHPUnomekloawZew1Q==" saltValue="3CH1d/azbvwad1dcq2UoJ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MVpInr+/bVlWFKUkQ+7JcySs1I1g3Ih/3vpFbFGJw+8b1kg4WZRHxZSiAjsaNuIsF98R6+Rgq+qO17dy1RIsEQ==" saltValue="QpDHnqUOLkLXyE9z3K0bb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otzUWCeZj25KCi+5uAi3zb6X3M8reZfYDOsoZlTC4rxsj+hoOoeE1A/sZBiGaSPKW2aGoD5baqkUM9OKAYSIw==" saltValue="nj0xOzEFtpNQkyQItq82/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Sl++aqCzGVilW34Y6LWSOAmToJXLwk27TIWpNZzsGKS28l1E2nWP+KE7mCU6BakLvRbObnn7jSQ72Rj1BYhfgA==" saltValue="Rtg3sAwI8zR7A9rbKgrb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xYU6/UQlwZSpu5foUiel2QJwKooXLojRa2LsL9k+uETlBtxK0sU+CKKCdVPOb+p6J1bpE2/6h+H4FK7pd6XaTg==" saltValue="MxDx4KIIL6ZjGRUsRFlG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Bre5ojUlVxaXLFPjX6f6nhx8m3gbCqARRkEo1D62DW9uNZPtPR6ALM1NJOV8bSRlTay6WFG0B/RizLeT6IG6A==" saltValue="/RbRBEA2xhdMxRblVndh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9U9GJf4vqT6rBmcu+/DTvEOIoEK/PmaIzPc7VUPmJMzHz58K3GoxJiyRGNXnsc/3UE3mQlXYDPx2qTMVS8lupw==" saltValue="URpBJTiQyWOgrn0BvHR1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No18zhIvOYVoE1MDHcKGpFgim8GQcUn5ScKNozJwWqdK7wqBcINtjaNGsYHDSGWCIYWUQBekCsy4vDzjBmbZg==" saltValue="LP1ghAg4EtFBhzD5/P9A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kykyZZDuSFmNc/1qx3vnfXWVm+GCopeIJpDalrRuyfPThNKg9qh5WdMbwBXbRnCSKaUI5qL3CQLrAekbWSA43A==" saltValue="VR3mohaMpeDx+pfKw7QCu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WonddlPXyOkJKuu/qsS6UQS85FZDexAYKvqaZHmTYMfCdJqkcQi6FsRgjtigopuu4InjMYu6ul1Bxp702u2KA==" saltValue="MDFu5QBWZc+Oa9DYTYm7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IjjCN1yMKHV4RC8XzM54iik7C94yjtQinrA3TJOXhFNw8na0O2QkDhFbfTwvzXlqMthweKN1k6DrGMPNNtlABw==" saltValue="tzHFKdRgDIuieailkW6Gs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