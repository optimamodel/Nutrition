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C7FB33E-6C48-4D96-94C7-A8998A57598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36" i="2"/>
  <c r="I39" i="2"/>
  <c r="I6" i="2"/>
  <c r="I12" i="2"/>
  <c r="A35" i="2"/>
  <c r="I7" i="2"/>
  <c r="I13" i="2"/>
  <c r="A37" i="2"/>
  <c r="I38" i="2"/>
  <c r="A22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<sst xmlns="http://schemas.openxmlformats.org/spreadsheetml/2006/main" count="2169" uniqueCount="373">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</sst>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1172897</v>
      </c>
    </row>
    <row r="8" spans="1:3" ht="15" customHeight="1" x14ac:dyDescent="0.25">
      <c r="B8" s="5" t="s">
        <v>63</v>
      </c>
      <c r="C8" s="44">
        <v>0.75800000000000001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0.3134342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0.13070000000000001</v>
      </c>
    </row>
    <row r="24" spans="1:3" ht="15" customHeight="1" x14ac:dyDescent="0.25">
      <c r="B24" s="15" t="s">
        <v>65</v>
      </c>
      <c r="C24" s="45">
        <v>0.4617</v>
      </c>
    </row>
    <row r="25" spans="1:3" ht="15" customHeight="1" x14ac:dyDescent="0.25">
      <c r="B25" s="15" t="s">
        <v>66</v>
      </c>
      <c r="C25" s="45">
        <v>0.31919999999999998</v>
      </c>
    </row>
    <row r="26" spans="1:3" ht="15" customHeight="1" x14ac:dyDescent="0.25">
      <c r="B26" s="15" t="s">
        <v>67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0.24044101075302499</v>
      </c>
    </row>
    <row r="30" spans="1:3" ht="14.25" customHeight="1" x14ac:dyDescent="0.25">
      <c r="B30" s="25" t="s">
        <v>82</v>
      </c>
      <c r="C30" s="97">
        <v>3.7322814416453E-2</v>
      </c>
    </row>
    <row r="31" spans="1:3" ht="14.25" customHeight="1" x14ac:dyDescent="0.25">
      <c r="B31" s="25" t="s">
        <v>29</v>
      </c>
      <c r="C31" s="97">
        <v>7.2887930619641203E-2</v>
      </c>
    </row>
    <row r="32" spans="1:3" ht="14.25" customHeight="1" x14ac:dyDescent="0.25">
      <c r="B32" s="25" t="s">
        <v>30</v>
      </c>
      <c r="C32" s="97">
        <v>0.649348244210881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30.93599</v>
      </c>
    </row>
    <row r="38" spans="1:5" ht="15" customHeight="1" x14ac:dyDescent="0.25">
      <c r="B38" s="11" t="s">
        <v>54</v>
      </c>
      <c r="C38" s="43">
        <v>78.254159999999999</v>
      </c>
      <c r="D38" s="12"/>
      <c r="E38" s="13"/>
    </row>
    <row r="39" spans="1:5" ht="15" customHeight="1" x14ac:dyDescent="0.25">
      <c r="B39" s="11" t="s">
        <v>80</v>
      </c>
      <c r="C39" s="43">
        <v>104.68697</v>
      </c>
      <c r="D39" s="12"/>
      <c r="E39" s="12"/>
    </row>
    <row r="40" spans="1:5" ht="15" customHeight="1" x14ac:dyDescent="0.25">
      <c r="B40" s="11" t="s">
        <v>55</v>
      </c>
      <c r="C40" s="98">
        <v>4.43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78</v>
      </c>
      <c r="C47" s="45">
        <v>7.3432800000000006E-2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0.88400000000000012</v>
      </c>
      <c r="D51" s="12"/>
    </row>
    <row r="52" spans="1:4" ht="15" customHeight="1" x14ac:dyDescent="0.25">
      <c r="B52" s="11" t="s">
        <v>32</v>
      </c>
      <c r="C52" s="98">
        <v>0.88400000000000012</v>
      </c>
    </row>
    <row r="53" spans="1:4" ht="15.75" customHeight="1" x14ac:dyDescent="0.25">
      <c r="B53" s="11" t="s">
        <v>35</v>
      </c>
      <c r="C53" s="98">
        <v>2.3660000000000001</v>
      </c>
    </row>
    <row r="54" spans="1:4" ht="15.75" customHeight="1" x14ac:dyDescent="0.25">
      <c r="B54" s="11" t="s">
        <v>33</v>
      </c>
      <c r="C54" s="98">
        <v>2.6779999999999999</v>
      </c>
    </row>
    <row r="55" spans="1:4" ht="15.75" customHeight="1" x14ac:dyDescent="0.25">
      <c r="B55" s="11" t="s">
        <v>34</v>
      </c>
      <c r="C55" s="98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0.45287100000000008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0.144151</v>
      </c>
    </row>
    <row r="63" spans="1:4" ht="15.75" customHeight="1" x14ac:dyDescent="0.3">
      <c r="A63" s="4"/>
    </row>
  </sheetData>
  <sheetProtection algorithmName="SHA-512" hashValue="IuHAf7RK1xSl09gFV8pLa6FT3f8kcHbswFBeOioNmhcCYu2t0iTzQT90FJbmZSwu1n3iVN9n6pp8iBjrHzE4YA==" saltValue="GoNAPIGdUozr4k4usXVT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v1r2tL3YNlpJt7CwniCKjm0QpzMEZ/CoSdNBFyqe/l05dRGb5Zio5MpPJ6Im+W3iAX7oKBADLAlJq1OY/X8hg==" saltValue="yGgLIfkt2NaG//3XqTLD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1.9270251420426689E-2</v>
      </c>
    </row>
    <row r="4" spans="1:8" ht="15.75" customHeight="1" x14ac:dyDescent="0.25">
      <c r="B4" s="19" t="s">
        <v>116</v>
      </c>
      <c r="C4" s="99">
        <v>5.5527335526750703E-2</v>
      </c>
    </row>
    <row r="5" spans="1:8" ht="15.75" customHeight="1" x14ac:dyDescent="0.25">
      <c r="B5" s="19" t="s">
        <v>114</v>
      </c>
      <c r="C5" s="99">
        <v>8.3290502540403655E-2</v>
      </c>
    </row>
    <row r="6" spans="1:8" ht="15.75" customHeight="1" x14ac:dyDescent="0.25">
      <c r="B6" s="19" t="s">
        <v>110</v>
      </c>
      <c r="C6" s="99">
        <v>0.247329601879935</v>
      </c>
    </row>
    <row r="7" spans="1:8" ht="15.75" customHeight="1" x14ac:dyDescent="0.25">
      <c r="B7" s="19" t="s">
        <v>115</v>
      </c>
      <c r="C7" s="99">
        <v>0.41542046752397621</v>
      </c>
    </row>
    <row r="8" spans="1:8" ht="15.75" customHeight="1" x14ac:dyDescent="0.25">
      <c r="B8" s="19" t="s">
        <v>117</v>
      </c>
      <c r="C8" s="99">
        <v>2.827032633258517E-3</v>
      </c>
    </row>
    <row r="9" spans="1:8" ht="15.75" customHeight="1" x14ac:dyDescent="0.25">
      <c r="B9" s="19" t="s">
        <v>111</v>
      </c>
      <c r="C9" s="99">
        <v>6.8686537483920895E-2</v>
      </c>
    </row>
    <row r="10" spans="1:8" ht="15.75" customHeight="1" x14ac:dyDescent="0.25">
      <c r="B10" s="19" t="s">
        <v>113</v>
      </c>
      <c r="C10" s="99">
        <v>0.1076482709913284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121</v>
      </c>
      <c r="C15" s="99">
        <v>0.20898917462724789</v>
      </c>
      <c r="D15" s="99">
        <v>0.20898917462724789</v>
      </c>
      <c r="E15" s="99">
        <v>0.20898917462724789</v>
      </c>
      <c r="F15" s="99">
        <v>0.20898917462724789</v>
      </c>
    </row>
    <row r="16" spans="1:8" ht="15.75" customHeight="1" x14ac:dyDescent="0.25">
      <c r="B16" s="19" t="s">
        <v>2</v>
      </c>
      <c r="C16" s="99">
        <v>2.0453097249142231E-2</v>
      </c>
      <c r="D16" s="99">
        <v>2.0453097249142231E-2</v>
      </c>
      <c r="E16" s="99">
        <v>2.0453097249142231E-2</v>
      </c>
      <c r="F16" s="99">
        <v>2.0453097249142231E-2</v>
      </c>
    </row>
    <row r="17" spans="1:8" ht="15.75" customHeight="1" x14ac:dyDescent="0.25">
      <c r="B17" s="19" t="s">
        <v>109</v>
      </c>
      <c r="C17" s="99">
        <v>1.78518465199384E-3</v>
      </c>
      <c r="D17" s="99">
        <v>1.78518465199384E-3</v>
      </c>
      <c r="E17" s="99">
        <v>1.78518465199384E-3</v>
      </c>
      <c r="F17" s="99">
        <v>1.78518465199384E-3</v>
      </c>
    </row>
    <row r="18" spans="1:8" ht="15.75" customHeight="1" x14ac:dyDescent="0.25">
      <c r="B18" s="19" t="s">
        <v>3</v>
      </c>
      <c r="C18" s="99">
        <v>0.35346795150880239</v>
      </c>
      <c r="D18" s="99">
        <v>0.35346795150880239</v>
      </c>
      <c r="E18" s="99">
        <v>0.35346795150880239</v>
      </c>
      <c r="F18" s="99">
        <v>0.35346795150880239</v>
      </c>
    </row>
    <row r="19" spans="1:8" ht="15.75" customHeight="1" x14ac:dyDescent="0.25">
      <c r="B19" s="19" t="s">
        <v>120</v>
      </c>
      <c r="C19" s="99">
        <v>8.3972450660439787E-3</v>
      </c>
      <c r="D19" s="99">
        <v>8.3972450660439787E-3</v>
      </c>
      <c r="E19" s="99">
        <v>8.3972450660439787E-3</v>
      </c>
      <c r="F19" s="99">
        <v>8.3972450660439787E-3</v>
      </c>
    </row>
    <row r="20" spans="1:8" ht="15.75" customHeight="1" x14ac:dyDescent="0.25">
      <c r="B20" s="19" t="s">
        <v>98</v>
      </c>
      <c r="C20" s="99">
        <v>5.2756167327518533E-2</v>
      </c>
      <c r="D20" s="99">
        <v>5.2756167327518533E-2</v>
      </c>
      <c r="E20" s="99">
        <v>5.2756167327518533E-2</v>
      </c>
      <c r="F20" s="99">
        <v>5.2756167327518533E-2</v>
      </c>
    </row>
    <row r="21" spans="1:8" ht="15.75" customHeight="1" x14ac:dyDescent="0.25">
      <c r="B21" s="19" t="s">
        <v>107</v>
      </c>
      <c r="C21" s="99">
        <v>6.5268173388815381E-2</v>
      </c>
      <c r="D21" s="99">
        <v>6.5268173388815381E-2</v>
      </c>
      <c r="E21" s="99">
        <v>6.5268173388815381E-2</v>
      </c>
      <c r="F21" s="99">
        <v>6.5268173388815381E-2</v>
      </c>
    </row>
    <row r="22" spans="1:8" ht="15.75" customHeight="1" x14ac:dyDescent="0.25">
      <c r="B22" s="19" t="s">
        <v>118</v>
      </c>
      <c r="C22" s="99">
        <v>0.13366402964733631</v>
      </c>
      <c r="D22" s="99">
        <v>0.13366402964733631</v>
      </c>
      <c r="E22" s="99">
        <v>0.13366402964733631</v>
      </c>
      <c r="F22" s="99">
        <v>0.13366402964733631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8.8541960999999988E-2</v>
      </c>
    </row>
    <row r="27" spans="1:8" ht="15.75" customHeight="1" x14ac:dyDescent="0.25">
      <c r="B27" s="19" t="s">
        <v>108</v>
      </c>
      <c r="C27" s="99">
        <v>8.4139049999999993E-3</v>
      </c>
    </row>
    <row r="28" spans="1:8" ht="15.75" customHeight="1" x14ac:dyDescent="0.25">
      <c r="B28" s="19" t="s">
        <v>122</v>
      </c>
      <c r="C28" s="99">
        <v>0.15592515700000001</v>
      </c>
    </row>
    <row r="29" spans="1:8" ht="15.75" customHeight="1" x14ac:dyDescent="0.25">
      <c r="B29" s="19" t="s">
        <v>105</v>
      </c>
      <c r="C29" s="99">
        <v>0.16923094399999999</v>
      </c>
    </row>
    <row r="30" spans="1:8" ht="15.75" customHeight="1" x14ac:dyDescent="0.25">
      <c r="B30" s="19" t="s">
        <v>4</v>
      </c>
      <c r="C30" s="99">
        <v>0.105940403</v>
      </c>
    </row>
    <row r="31" spans="1:8" ht="15.75" customHeight="1" x14ac:dyDescent="0.25">
      <c r="B31" s="19" t="s">
        <v>99</v>
      </c>
      <c r="C31" s="99">
        <v>0.11097119599999999</v>
      </c>
    </row>
    <row r="32" spans="1:8" ht="15.75" customHeight="1" x14ac:dyDescent="0.25">
      <c r="B32" s="19" t="s">
        <v>104</v>
      </c>
      <c r="C32" s="99">
        <v>1.8550027E-2</v>
      </c>
    </row>
    <row r="33" spans="2:3" ht="15.75" customHeight="1" x14ac:dyDescent="0.25">
      <c r="B33" s="19" t="s">
        <v>119</v>
      </c>
      <c r="C33" s="99">
        <v>8.4407093999999988E-2</v>
      </c>
    </row>
    <row r="34" spans="2:3" ht="15.75" customHeight="1" x14ac:dyDescent="0.25">
      <c r="B34" s="19" t="s">
        <v>106</v>
      </c>
      <c r="C34" s="99">
        <v>0.258019314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CW+mzkdhtLEUci90kWoh+KdoqMvOaqCvk6AvgRDRIJCOtSRAUu4RfTrNHxZ38Rylzz8Xqr3IW/qjZsB4CYIpQQ==" saltValue="5K0h6XyJePqT/N2e0BIp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129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125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126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wTHhdF/8OeMzS5WGpoID9V1HfHGV7+pWkoyQ+1QYWv8zAIEI4Zg28w1m8aY0gvvG3UwLJrUTvyRx/r/x5nO0w==" saltValue="lh0AevsPl5MGKGVR1mVQ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kJwH1HBHw4m1ucEl9HHI4CLlOpWoFrzaqKdqWAvS2tQa1zn+kgDeEEyd4yPykbKadAhIT129hBGElIJg7uzgqQ==" saltValue="OeMWZReQoq3D16m8c3eN6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pMocuOaWQjfVVLrDh+2NWBDOZQHqW/vqs6ZZagalkyR4vC4nuZplo3Mmg1ZEsIhWXpqwnACl++s07w9kvBNAA==" saltValue="SoG/d0u+snI9L6aJPD7J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475.79572784462198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0.40393000000000001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0.52807999999999999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1.55311085E-2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89083.913109999994</v>
      </c>
      <c r="C22" s="107">
        <v>87868.854290000003</v>
      </c>
      <c r="D22" s="107">
        <v>87166.786850000004</v>
      </c>
      <c r="E22" s="107">
        <v>86542.439870000002</v>
      </c>
      <c r="F22" s="107">
        <v>85678.934659999999</v>
      </c>
      <c r="G22" s="107">
        <v>84574.450549999994</v>
      </c>
      <c r="H22" s="107">
        <v>83148.448199999999</v>
      </c>
      <c r="I22" s="107">
        <v>81302.881840000002</v>
      </c>
      <c r="J22" s="107">
        <v>78843.271429999993</v>
      </c>
      <c r="K22" s="107">
        <v>75760.692999999999</v>
      </c>
      <c r="L22" s="107">
        <v>71528.901450000005</v>
      </c>
      <c r="M22" s="107">
        <v>66041.043470000004</v>
      </c>
      <c r="N22" s="107">
        <v>58497.340550000001</v>
      </c>
      <c r="O22" s="107">
        <v>49179.331469999997</v>
      </c>
    </row>
  </sheetData>
  <sheetProtection algorithmName="SHA-512" hashValue="WJ+f98XmHVFicreY8YveNPHt1CUM4PtfmUMQlh0QL0JhoufGdZRA/hlImlBSiU98ao+DnZApIAzfu59qr5OhNg==" saltValue="jQbfOvc+zvNzTTNREpZ9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MURuDOUyR10dWTEXEBNUeKd39EKzvbir/H2Gv5KG12bsO8z+F+wDbhb3ppozjz0bFRQuqoIyqpEOvyP+2X+YA==" saltValue="XZiioXssKJ9U+Cf4N2HY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SscUvNCY8xylo4DRASlGA6FL4lfosofh87AoiVqi6IEhkX7Z1bSpxh49tir6DYZv+LhXP2G1SJU4Rwtz/SWIg==" saltValue="9qw4V1J3i5jiwAb4fS/i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20.202942681678611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20.202942681678611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5.053715455475948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0.77474411463664294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0.27672940000000001</v>
      </c>
      <c r="C10" s="96">
        <v>0.95</v>
      </c>
      <c r="D10" s="56">
        <v>15.022196845122521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15.022196845122521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15.022196845122521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15.022196845122521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0.27672940000000001</v>
      </c>
      <c r="C14" s="96">
        <v>0.95</v>
      </c>
      <c r="D14" s="56">
        <v>15.022196845122521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15.022196845122521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0.73015299999999994</v>
      </c>
      <c r="C16" s="96">
        <v>0.95</v>
      </c>
      <c r="D16" s="56">
        <v>6.2098720573183224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0.103311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0.49299999999999999</v>
      </c>
      <c r="C18" s="96">
        <v>0.95</v>
      </c>
      <c r="D18" s="56">
        <v>5.053715455475948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0.4961622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0.65555271238485169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5.053715455475948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0.65059860000000003</v>
      </c>
      <c r="C23" s="96">
        <v>0.95</v>
      </c>
      <c r="D23" s="56">
        <v>4.9145085291285842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0.73707815445430003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0.27672940000000001</v>
      </c>
      <c r="C26" s="96">
        <v>0.95</v>
      </c>
      <c r="D26" s="56">
        <v>24.315046059365404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6.1979529170931436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0.85267629999999994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0.25069370000000002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45.495358239508711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</v>
      </c>
      <c r="C32" s="96">
        <v>0.95</v>
      </c>
      <c r="D32" s="56">
        <v>0.75090583418628465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0.17836582242680299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0.62068789999999996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6.3924000000000003E-3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0.20684730000000001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0.53400000000000003</v>
      </c>
      <c r="C38" s="96">
        <v>0.95</v>
      </c>
      <c r="D38" s="56">
        <v>3.5280655066530198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7.4375435005117723</v>
      </c>
      <c r="E39" s="56" t="s">
        <v>212</v>
      </c>
      <c r="F39" s="96">
        <v>1</v>
      </c>
      <c r="G39" s="96">
        <v>1</v>
      </c>
    </row>
  </sheetData>
  <sheetProtection algorithmName="SHA-512" hashValue="Nbsek4qO7g1uxtBecbqfb+eVj1p8FsrtsYXy/HW1PzsClnD44w7b4wptrm6JkmABlYIHJfWKae2U4TWemnP0ZA==" saltValue="he1MxsaY0EJtOmH0TNJ0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ZQ5CMmCGtW8gW2+tREHOFHG6IdhBwozl9+Tk04hze09BU3+OKnttORl3BjuFvqCelYfxgJs/VNWon3A+mjQKQ==" saltValue="msJxoVaBMf3pA5xiyLmO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etOzP/0HwWLUpz3bVfuLLT6txlZvLwXvGuGcn1J5oxDJu+oWxMOisrbR5EhS6XPu1TIdEbRQHX2VrlAkhiMJg==" saltValue="zknkxxvCGDJSUwCM66ou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0.88400000000000012</v>
      </c>
      <c r="C2" s="21">
        <f>'Entradas de población-año base'!C52</f>
        <v>0.88400000000000012</v>
      </c>
      <c r="D2" s="21">
        <f>'Entradas de población-año base'!C53</f>
        <v>2.3660000000000001</v>
      </c>
      <c r="E2" s="21">
        <f>'Entradas de población-año base'!C54</f>
        <v>2.6779999999999999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236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Eok7qbjj9UniTKvAI8EZYjblNxR8IkzkFWuNm9K9OgMLqq9p8Vt/MDtZ/eS+Hg/nrLm2BbjWodK8IEAKng+WGQ==" saltValue="Zjc763vsXg458EGhgp1I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upMR3yqce7N0LuPacUOFti8K/juQYExTm7eBkTAYYjTbLN9HWLwXEOQQiY605PVv4TppaWsiksz67ovXDXLIQ==" saltValue="gEDLp0/Qj7DLguCZiXQs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vDI8wYR/f9cGQ+gBiJi5f8yF6sHZvnMVikh9D7Y/mWPYYNxG5JPCQbpwXWkthTGZFIcsZBDmkrboPhqP0SGYg==" saltValue="Lj0QTY2iVAFUxLqEMWoj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5oqf3o0nh7nd6bm5lORR+Lt2BKB2veDtpKUjlyT22rdC4yDPSSRwt8y+c2T/nrtYL+rNQ4fOi7PAE0QUKL1Kw==" saltValue="pbDx1ue3DEuc7ykY90FC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ntey2pHMTpuHqA1QNYwhg7r0SZSxwsttdvj9E+7r8HYdXQc1udZyHJGTL71IP0LU1UBFHK9qtaFdEaGPJp3GQ==" saltValue="8Lgg1Jfy05FJmeRMBmA3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sZ0Nt9OikbDS8zAij17fOufnYuQTC00VxH5HHDMRZVGf/Jhh7iU40RfCzLBN6iAS4qtyg7jn4fNtWQUXqc0WKQ==" saltValue="uiQZ+7PvLMCixVKqD1Wa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LUopwdsDSduy8S5W/75jmotWpgBt7UTopbdkp3z6OnWZsEnT1//KKDokqIrvWqzzLmpWONB/oIK9mDYtIsw7iQ==" saltValue="JZ7YPPbkEnqOFDK0mVoi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gqnrt9bzGZD8drOF+U5B1nDg2gS0zBAP7axnFCbXLYIm313JttmCfT4gYAH7g5ykH2nkCLHnzYqXcG7NvAcsw==" saltValue="ZhkHxscblgZC8/rAtrst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ggxTtLE3uL+iEMnbgujYqCMnUs4+v/52uVWsco2Ah77Ji+JzJjIBcYZyAKk+wCzgeGrgmu4iPgob/SkU8rU/A==" saltValue="LGF3Tn+fPqYlGK7bPKSd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gOKh4E7i0reqcExBBmh7ZrLDZrEF8hFuCgGqEEF0DNH3me/KSrZISUb6qZzkndd+HiBtG3KfBbtUWo9Ji+UUg==" saltValue="WCKBN/AOZbLHEP3oX5KK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pD2/StAPFpYmeTS+wz9E2BwoWJYH8q/DEEv2Sznbqw3aEb0WXCPqtNgkEWl2JJiY8+HuSl/cVuOsmWXlKWNMw==" saltValue="pKof1h2yXlX5Su7E/xsh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zYoB/y6f8PN5VwihDJRJhUJesDZ4OS5028A3TAtMP6i6JFwu3fW7y0jAHf8Enr9gCZdPpa/7CRWen9t9datXg==" saltValue="4OBASwmq6ZT7+7HyFIsw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ws0qWS6ryx7QQZQuSXyggoVy8MwLv9FcZC9VSKqvL2a5p88i8xdzTlJ+M2Swo4+dj84vCpFd077KmLUXCc7bA==" saltValue="utMaWcy23nj2nOprVTwK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iefSfJlf0JiePccQ48ZcWMi+SQs/msQA0YH98EPWsFcLo+XoqiEibFME1+tSCMkgY44z72C4M454ckTJNH0w==" saltValue="npAZnSrTkM9kdhDeWg+1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jd+V1+azkzkTitXbOZTEBV7UHOwCjYDr/rSTA7Iu2BpQDMXEsV+6+EWaE/sbcav4GFIEX5zK4HoEJIlmZOEEA==" saltValue="7NFs9I0/fE7yU2HHIj/l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UPvReOqVwBH3P74vGBXljEWx4LmH8zy7xYaAhWH8W5O8K2NXCjDRdwPt/MSRdKOrfIOLyA6Oe4SP0pgTYA6JA==" saltValue="mF/Ez8CUHjI4BHFMWEOL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