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es\LiST countries\"/>
    </mc:Choice>
  </mc:AlternateContent>
  <xr:revisionPtr revIDLastSave="0" documentId="8_{5AA28D5F-516E-4635-90F7-97BAFA81CE5C}" xr6:coauthVersionLast="47" xr6:coauthVersionMax="47" xr10:uidLastSave="{00000000-0000-0000-0000-000000000000}"/>
  <bookViews>
    <workbookView xWindow="0" yWindow="3670" windowWidth="19200" windowHeight="653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Pérdida económica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iesgos desenlace de nacimiento" sheetId="21" state="hidden" r:id="rId21"/>
    <sheet name="Riesgos relativos" sheetId="22" state="hidden" r:id="rId22"/>
    <sheet name="Razón de momios" sheetId="23" state="hidden" r:id="rId23"/>
    <sheet name="Resultados de nacimiento- prog" sheetId="24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<sst xmlns="http://schemas.openxmlformats.org/spreadsheetml/2006/main" count="2102" uniqueCount="341">
  <si>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</si>
  <si>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</si>
  <si>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</si>
  <si>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</si>
  <si>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</si>
  <si>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</si>
  <si>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</si>
  <si>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</si>
  <si>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</si>
  <si>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</si>
  <si>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</si>
  <si>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</si>
  <si>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</si>
  <si>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</si>
  <si>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</si>
  <si>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</si>
  <si>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</si>
  <si>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</si>
  <si>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</si>
  <si>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</si>
  <si>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</si>
  <si>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</si>
  <si>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</si>
  <si>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</si>
  <si>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</si>
  <si>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</si>
  <si>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</si>
  <si>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</si>
  <si>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</si>
  <si>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</si>
  <si>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</si>
  <si>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</si>
  <si>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</si>
  <si>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</si>
  <si>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</si>
  <si>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</si>
  <si>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</si>
  <si>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</si>
  <si>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</si>
  <si>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</si>
  <si>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</si>
  <si>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</si>
  <si>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</si>
  <si>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</si>
  <si>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</si>
  <si>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</si>
  <si>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</si>
  <si>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</si>
  <si>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</si>
  <si>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</si>
  <si>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</si>
  <si>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</si>
  <si>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</si>
  <si>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</si>
  <si>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</si>
  <si>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</si>
  <si>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</si>
  <si>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</si>
  <si>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</si>
  <si>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</si>
  <si>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</si>
  <si>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</si>
  <si>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</si>
  <si>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</si>
  <si>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</si>
  <si>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</si>
  <si>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</si>
  <si>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</si>
  <si>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</si>
  <si>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</si>
  <si>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</si>
  <si>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</si>
  <si>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</si>
  <si>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</si>
  <si>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</si>
  <si>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</si>
  <si>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</si>
  <si>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</si>
  <si>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</si>
  <si>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</si>
  <si>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</si>
  <si>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</si>
  <si>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</si>
  <si>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</si>
  <si>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</si>
  <si>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</si>
  <si>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</si>
  <si>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</si>
  <si>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</si>
  <si>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</si>
  <si>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</si>
  <si>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</si>
  <si>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</si>
  <si>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</si>
  <si>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</si>
  <si>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</si>
  <si>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</si>
  <si>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</si>
  <si>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</si>
  <si>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</si>
  <si>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</si>
  <si>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</si>
  <si>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</si>
  <si>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</si>
  <si>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</si>
  <si>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</si>
  <si>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</si>
  <si>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</si>
  <si>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</si>
  <si>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</si>
  <si>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</si>
  <si>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</si>
  <si>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</si>
  <si>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</si>
  <si>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</si>
  <si>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</si>
  <si>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</si>
  <si>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</si>
  <si>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</si>
  <si>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</si>
  <si>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</si>
  <si>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</si>
  <si>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</si>
  <si>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</si>
  <si>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</si>
  <si>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</si>
  <si>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</si>
  <si>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</si>
  <si>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</si>
  <si>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</si>
  <si>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</si>
  <si>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</si>
  <si>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</si>
  <si>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</si>
  <si>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</si>
  <si>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</si>
  <si>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</si>
  <si>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</si>
  <si>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</si>
  <si>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</si>
  <si>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Niño anémico (por año)</t>
  </si>
  <si>
    <t>Mujer embarazada anémica (por embarazo)</t>
  </si>
  <si>
    <t>Muerte del niño</t>
  </si>
  <si>
    <t>Niño que cumple 5 años con retraso en el crecimiento (a lo largo de su vida)</t>
  </si>
  <si>
    <t>Episodio de emaciación infantil</t>
  </si>
  <si>
    <t>Costo</t>
  </si>
  <si>
    <t>Muerte materna</t>
  </si>
  <si>
    <t>Tipo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</si>
  <si>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</si>
  <si>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</si>
  <si>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</si>
  <si>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</si>
  <si>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</si>
  <si>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</si>
  <si>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</si>
  <si>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</si>
  <si>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</si>
  <si>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</si>
  <si>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</si>
  <si>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</si>
  <si>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</si>
  <si>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</si>
  <si>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</si>
  <si>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</si>
  <si>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</si>
  <si>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</si>
  <si>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</si>
  <si>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</si>
  <si>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</si>
  <si>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</si>
  <si>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</si>
  <si>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</si>
  <si>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</si>
  <si>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</si>
  <si>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</si>
  <si>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</si>
  <si>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</si>
  <si>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</si>
  <si>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</si>
  <si>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</si>
  <si>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</si>
  <si>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</si>
  <si>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</si>
  <si>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</si>
  <si>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</si>
  <si>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</si>
  <si>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</si>
  <si>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</si>
  <si>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</si>
  <si>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</si>
  <si>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</si>
  <si>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</si>
  <si>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</si>
  <si>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</si>
  <si>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</si>
  <si>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</si>
  <si>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</si>
  <si>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</si>
  <si>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</si>
  <si>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</si>
  <si>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</si>
  <si>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</si>
  <si>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</si>
  <si>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</si>
  <si>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</si>
  <si>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</si>
  <si>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</si>
  <si>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</si>
  <si>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</si>
  <si>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</si>
  <si>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</si>
  <si>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</si>
  <si>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</si>
  <si>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</si>
  <si>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</si>
  <si>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</si>
  <si>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</si>
  <si>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</si>
  <si>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</si>
  <si>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</si>
  <si>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</si>
  <si>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</si>
  <si>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</si>
  <si>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</si>
  <si>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</si>
  <si>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</si>
  <si>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</si>
  <si>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</si>
  <si>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</si>
  <si>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</si>
  <si>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</si>
  <si>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</si>
  <si>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</si>
  <si>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</si>
  <si>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</si>
  <si>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</si>
  <si>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</si>
  <si>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</si>
  <si>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</si>
  <si>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</si>
  <si>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</si>
  <si>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</si>
  <si>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</si>
  <si>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</si>
  <si>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</si>
  <si>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</si>
  <si>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</si>
  <si>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</si>
  <si>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</si>
  <si>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</si>
  <si>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</si>
  <si>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</si>
  <si>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</si>
  <si>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</si>
  <si>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</si>
  <si>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</si>
  <si>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</si>
  <si>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</si>
  <si>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</si>
  <si>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</si>
  <si>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</si>
  <si>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</si>
  <si>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</si>
  <si>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</si>
  <si>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</si>
  <si>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</si>
  <si>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</si>
  <si>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</si>
  <si>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</si>
  <si>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</si>
  <si>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</si>
  <si>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</si>
  <si>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</si>
  <si>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</si>
  <si>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</si>
  <si>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</si>
  <si>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</si>
  <si>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</si>
  <si>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</si>
  <si>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</si>
  <si>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</si>
  <si>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</si>
  <si>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Emaciación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</si>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</sst>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19</v>
      </c>
      <c r="B1" s="29" t="s">
        <v>0</v>
      </c>
      <c r="C1" s="29" t="s">
        <v>24</v>
      </c>
    </row>
    <row r="2" spans="1:3" ht="15.9" customHeight="1" x14ac:dyDescent="0.3">
      <c r="A2" s="8" t="s">
        <v>55</v>
      </c>
      <c r="B2" s="29"/>
      <c r="C2" s="29"/>
    </row>
    <row r="3" spans="1:3" ht="15.9" customHeight="1" x14ac:dyDescent="0.3">
      <c r="A3" s="1"/>
      <c r="B3" s="5" t="s">
        <v>18</v>
      </c>
      <c r="C3" s="41">
        <v>2024</v>
      </c>
    </row>
    <row r="4" spans="1:3" ht="15.9" customHeight="1" x14ac:dyDescent="0.3">
      <c r="A4" s="1"/>
      <c r="B4" s="5" t="s">
        <v>26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50</v>
      </c>
    </row>
    <row r="7" spans="1:3" ht="15" customHeight="1" x14ac:dyDescent="0.25">
      <c r="B7" s="11" t="s">
        <v>23</v>
      </c>
      <c r="C7" s="43">
        <v>1197240.3984375</v>
      </c>
    </row>
    <row r="8" spans="1:3" ht="15" customHeight="1" x14ac:dyDescent="0.25">
      <c r="B8" s="5" t="s">
        <v>44</v>
      </c>
      <c r="C8" s="44">
        <v>0.40100000000000002</v>
      </c>
    </row>
    <row r="9" spans="1:3" ht="15" customHeight="1" x14ac:dyDescent="0.25">
      <c r="B9" s="5" t="s">
        <v>43</v>
      </c>
      <c r="C9" s="45">
        <v>0.99900000000000011</v>
      </c>
    </row>
    <row r="10" spans="1:3" ht="15" customHeight="1" x14ac:dyDescent="0.25">
      <c r="B10" s="5" t="s">
        <v>56</v>
      </c>
      <c r="C10" s="45">
        <v>0.369639015197754</v>
      </c>
    </row>
    <row r="11" spans="1:3" ht="15" customHeight="1" x14ac:dyDescent="0.25">
      <c r="B11" s="5" t="s">
        <v>49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62</v>
      </c>
      <c r="C13" s="45">
        <v>0.625</v>
      </c>
    </row>
    <row r="14" spans="1:3" ht="15" customHeight="1" x14ac:dyDescent="0.25">
      <c r="B14" s="8"/>
    </row>
    <row r="15" spans="1:3" ht="15" customHeight="1" x14ac:dyDescent="0.3">
      <c r="A15" s="8" t="s">
        <v>28</v>
      </c>
      <c r="B15" s="14"/>
      <c r="C15" s="3"/>
    </row>
    <row r="16" spans="1:3" ht="15" customHeight="1" x14ac:dyDescent="0.25">
      <c r="B16" s="5" t="s">
        <v>33</v>
      </c>
      <c r="C16" s="45">
        <v>0.1</v>
      </c>
    </row>
    <row r="17" spans="1:3" ht="15" customHeight="1" x14ac:dyDescent="0.25">
      <c r="B17" s="5" t="s">
        <v>30</v>
      </c>
      <c r="C17" s="45">
        <v>0.01</v>
      </c>
    </row>
    <row r="18" spans="1:3" ht="15" customHeight="1" x14ac:dyDescent="0.25">
      <c r="B18" s="5" t="s">
        <v>31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34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12</v>
      </c>
    </row>
    <row r="23" spans="1:3" ht="15" customHeight="1" x14ac:dyDescent="0.25">
      <c r="B23" s="15" t="s">
        <v>45</v>
      </c>
      <c r="C23" s="45">
        <v>0.13070000000000001</v>
      </c>
    </row>
    <row r="24" spans="1:3" ht="15" customHeight="1" x14ac:dyDescent="0.25">
      <c r="B24" s="15" t="s">
        <v>46</v>
      </c>
      <c r="C24" s="45">
        <v>0.4617</v>
      </c>
    </row>
    <row r="25" spans="1:3" ht="15" customHeight="1" x14ac:dyDescent="0.25">
      <c r="B25" s="15" t="s">
        <v>47</v>
      </c>
      <c r="C25" s="45">
        <v>0.31919999999999998</v>
      </c>
    </row>
    <row r="26" spans="1:3" ht="15" customHeight="1" x14ac:dyDescent="0.25">
      <c r="B26" s="15" t="s">
        <v>48</v>
      </c>
      <c r="C26" s="45">
        <v>8.8399999999999992E-2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22</v>
      </c>
      <c r="B28" s="15"/>
      <c r="C28" s="15"/>
    </row>
    <row r="29" spans="1:3" ht="14.25" customHeight="1" x14ac:dyDescent="0.25">
      <c r="B29" s="25" t="s">
        <v>27</v>
      </c>
      <c r="C29" s="45">
        <v>0.24044101075302499</v>
      </c>
    </row>
    <row r="30" spans="1:3" ht="14.25" customHeight="1" x14ac:dyDescent="0.25">
      <c r="B30" s="25" t="s">
        <v>63</v>
      </c>
      <c r="C30" s="99">
        <v>3.7322814416453E-2</v>
      </c>
    </row>
    <row r="31" spans="1:3" ht="14.25" customHeight="1" x14ac:dyDescent="0.25">
      <c r="B31" s="25" t="s">
        <v>10</v>
      </c>
      <c r="C31" s="99">
        <v>7.2887930619641203E-2</v>
      </c>
    </row>
    <row r="32" spans="1:3" ht="14.25" customHeight="1" x14ac:dyDescent="0.25">
      <c r="B32" s="25" t="s">
        <v>11</v>
      </c>
      <c r="C32" s="99">
        <v>0.649348244210881</v>
      </c>
    </row>
    <row r="33" spans="1:5" ht="13" customHeight="1" x14ac:dyDescent="0.25">
      <c r="B33" s="27" t="s">
        <v>60</v>
      </c>
      <c r="C33" s="48">
        <f>SUM(C29:C32)</f>
        <v>1.0000000000000002</v>
      </c>
    </row>
    <row r="34" spans="1:5" ht="15" customHeight="1" x14ac:dyDescent="0.25"/>
    <row r="35" spans="1:5" ht="15" customHeight="1" x14ac:dyDescent="0.3">
      <c r="A35" s="4" t="s">
        <v>20</v>
      </c>
    </row>
    <row r="36" spans="1:5" ht="15" customHeight="1" x14ac:dyDescent="0.25">
      <c r="A36" s="8" t="s">
        <v>37</v>
      </c>
      <c r="B36" s="5"/>
    </row>
    <row r="37" spans="1:5" ht="15" customHeight="1" x14ac:dyDescent="0.25">
      <c r="B37" s="11" t="s">
        <v>38</v>
      </c>
      <c r="C37" s="43">
        <v>30.93599</v>
      </c>
    </row>
    <row r="38" spans="1:5" ht="15" customHeight="1" x14ac:dyDescent="0.25">
      <c r="B38" s="11" t="s">
        <v>35</v>
      </c>
      <c r="C38" s="43">
        <v>78.254159999999999</v>
      </c>
      <c r="D38" s="12"/>
      <c r="E38" s="13"/>
    </row>
    <row r="39" spans="1:5" ht="15" customHeight="1" x14ac:dyDescent="0.25">
      <c r="B39" s="11" t="s">
        <v>61</v>
      </c>
      <c r="C39" s="43">
        <v>104.68697</v>
      </c>
      <c r="D39" s="12"/>
      <c r="E39" s="12"/>
    </row>
    <row r="40" spans="1:5" ht="15" customHeight="1" x14ac:dyDescent="0.25">
      <c r="B40" s="11" t="s">
        <v>36</v>
      </c>
      <c r="C40" s="100">
        <v>4.43</v>
      </c>
    </row>
    <row r="41" spans="1:5" ht="15" customHeight="1" x14ac:dyDescent="0.25">
      <c r="B41" s="11" t="s">
        <v>32</v>
      </c>
      <c r="C41" s="45">
        <v>0.12</v>
      </c>
    </row>
    <row r="42" spans="1:5" ht="15" customHeight="1" x14ac:dyDescent="0.25">
      <c r="B42" s="11" t="s">
        <v>57</v>
      </c>
      <c r="C42" s="43">
        <v>23.13083</v>
      </c>
    </row>
    <row r="43" spans="1:5" ht="15.75" customHeight="1" x14ac:dyDescent="0.25">
      <c r="D43" s="12"/>
    </row>
    <row r="44" spans="1:5" ht="15.75" customHeight="1" x14ac:dyDescent="0.25">
      <c r="A44" s="8" t="s">
        <v>21</v>
      </c>
      <c r="D44" s="12"/>
    </row>
    <row r="45" spans="1:5" ht="15.75" customHeight="1" x14ac:dyDescent="0.25">
      <c r="B45" s="11" t="s">
        <v>52</v>
      </c>
      <c r="C45" s="45">
        <v>7.9579999999999998E-3</v>
      </c>
      <c r="D45" s="12"/>
    </row>
    <row r="46" spans="1:5" ht="15.75" customHeight="1" x14ac:dyDescent="0.25">
      <c r="B46" s="11" t="s">
        <v>51</v>
      </c>
      <c r="C46" s="45">
        <v>8.5507100000000003E-2</v>
      </c>
      <c r="D46" s="12"/>
    </row>
    <row r="47" spans="1:5" ht="15.75" customHeight="1" x14ac:dyDescent="0.25">
      <c r="B47" s="11" t="s">
        <v>59</v>
      </c>
      <c r="C47" s="45">
        <v>7.3432800000000006E-2</v>
      </c>
      <c r="D47" s="12"/>
      <c r="E47" s="13"/>
    </row>
    <row r="48" spans="1:5" ht="15" customHeight="1" x14ac:dyDescent="0.25">
      <c r="B48" s="11" t="s">
        <v>58</v>
      </c>
      <c r="C48" s="46">
        <v>0.83310209999999996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25</v>
      </c>
      <c r="D50" s="12"/>
    </row>
    <row r="51" spans="1:4" ht="15.75" customHeight="1" x14ac:dyDescent="0.25">
      <c r="B51" s="11" t="s">
        <v>17</v>
      </c>
      <c r="C51" s="100">
        <v>3.3</v>
      </c>
      <c r="D51" s="12"/>
    </row>
    <row r="52" spans="1:4" ht="15" customHeight="1" x14ac:dyDescent="0.25">
      <c r="B52" s="11" t="s">
        <v>13</v>
      </c>
      <c r="C52" s="100">
        <v>3.3</v>
      </c>
    </row>
    <row r="53" spans="1:4" ht="15.75" customHeight="1" x14ac:dyDescent="0.25">
      <c r="B53" s="11" t="s">
        <v>16</v>
      </c>
      <c r="C53" s="100">
        <v>3.3</v>
      </c>
    </row>
    <row r="54" spans="1:4" ht="15.75" customHeight="1" x14ac:dyDescent="0.25">
      <c r="B54" s="11" t="s">
        <v>14</v>
      </c>
      <c r="C54" s="100">
        <v>3.3</v>
      </c>
    </row>
    <row r="55" spans="1:4" ht="15.75" customHeight="1" x14ac:dyDescent="0.25">
      <c r="B55" s="11" t="s">
        <v>15</v>
      </c>
      <c r="C55" s="100">
        <v>3.3</v>
      </c>
    </row>
    <row r="57" spans="1:4" ht="15.75" customHeight="1" x14ac:dyDescent="0.25">
      <c r="A57" s="8" t="s">
        <v>39</v>
      </c>
    </row>
    <row r="58" spans="1:4" ht="15.75" customHeight="1" x14ac:dyDescent="0.25">
      <c r="B58" s="5" t="s">
        <v>42</v>
      </c>
      <c r="C58" s="45">
        <v>2.181818181818182E-2</v>
      </c>
    </row>
    <row r="59" spans="1:4" ht="15.75" customHeight="1" x14ac:dyDescent="0.25">
      <c r="B59" s="11" t="s">
        <v>40</v>
      </c>
      <c r="C59" s="45">
        <v>0.45287100000000008</v>
      </c>
    </row>
    <row r="60" spans="1:4" ht="15.75" customHeight="1" x14ac:dyDescent="0.25">
      <c r="B60" s="11" t="s">
        <v>54</v>
      </c>
      <c r="C60" s="45">
        <v>4.5999999999999999E-2</v>
      </c>
    </row>
    <row r="61" spans="1:4" ht="15.75" customHeight="1" x14ac:dyDescent="0.25">
      <c r="B61" s="11" t="s">
        <v>53</v>
      </c>
      <c r="C61" s="45">
        <v>1.4E-2</v>
      </c>
    </row>
    <row r="62" spans="1:4" ht="15.75" customHeight="1" x14ac:dyDescent="0.25">
      <c r="B62" s="11" t="s">
        <v>64</v>
      </c>
      <c r="C62" s="44">
        <v>0.144151</v>
      </c>
    </row>
    <row r="63" spans="1:4" ht="15.75" customHeight="1" x14ac:dyDescent="0.3">
      <c r="A63" s="4"/>
    </row>
  </sheetData>
  <sheetProtection algorithmName="SHA-512" hashValue="r0ncAu/GSKkm5Vh7gQHv2Qok5DzbP7qOspT1BuDDxlnscAD6NeqfnUhOy+tVTztOdpafKUX6dvgxYQvkO0I6RQ==" saltValue="ks0J1Yy7BeTosIxURmlMP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73</v>
      </c>
      <c r="B1" s="20" t="s">
        <v>66</v>
      </c>
      <c r="C1" s="18" t="s">
        <v>68</v>
      </c>
      <c r="D1" s="18" t="s">
        <v>69</v>
      </c>
      <c r="E1" s="18" t="s">
        <v>70</v>
      </c>
      <c r="F1" s="18" t="s">
        <v>71</v>
      </c>
      <c r="G1" s="18" t="s">
        <v>67</v>
      </c>
      <c r="H1" s="18" t="s">
        <v>65</v>
      </c>
      <c r="I1" s="18" t="s">
        <v>72</v>
      </c>
    </row>
    <row r="2" spans="1:9" ht="15.75" customHeight="1" x14ac:dyDescent="0.25">
      <c r="A2" s="5">
        <f>start_year</f>
        <v>2024</v>
      </c>
      <c r="B2" s="49">
        <v>267219</v>
      </c>
      <c r="C2" s="49">
        <v>586868.49999999988</v>
      </c>
      <c r="D2" s="49">
        <v>804283.5</v>
      </c>
      <c r="E2" s="49">
        <v>575430.5</v>
      </c>
      <c r="F2" s="49">
        <v>354070</v>
      </c>
      <c r="G2" s="17">
        <f t="shared" ref="G2:G13" si="0">C2+D2+E2+F2</f>
        <v>2320652.5</v>
      </c>
      <c r="H2" s="17">
        <f t="shared" ref="H2:H13" si="1">(B2 + stillbirth*B2/(1000-stillbirth))/(1-abortion)</f>
        <v>310848.12979147921</v>
      </c>
      <c r="I2" s="17">
        <f t="shared" ref="I2:I13" si="2">G2-H2</f>
        <v>2009804.3702085209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268121</v>
      </c>
      <c r="C3" s="50">
        <v>598841</v>
      </c>
      <c r="D3" s="50">
        <v>824883</v>
      </c>
      <c r="E3" s="50">
        <v>593397.5</v>
      </c>
      <c r="F3" s="50">
        <v>365392.5</v>
      </c>
      <c r="G3" s="17">
        <f t="shared" si="0"/>
        <v>2382514</v>
      </c>
      <c r="H3" s="17">
        <f t="shared" si="1"/>
        <v>311897.40028898092</v>
      </c>
      <c r="I3" s="17">
        <f t="shared" si="2"/>
        <v>2070616.5997110191</v>
      </c>
    </row>
    <row r="4" spans="1:9" ht="15.75" customHeight="1" x14ac:dyDescent="0.25">
      <c r="A4" s="5">
        <f t="shared" si="3"/>
        <v>2026</v>
      </c>
      <c r="B4" s="49">
        <v>269644</v>
      </c>
      <c r="C4" s="50">
        <v>610233.5</v>
      </c>
      <c r="D4" s="50">
        <v>845488</v>
      </c>
      <c r="E4" s="50">
        <v>611938.49999999988</v>
      </c>
      <c r="F4" s="50">
        <v>377212</v>
      </c>
      <c r="G4" s="17">
        <f t="shared" si="0"/>
        <v>2444872</v>
      </c>
      <c r="H4" s="17">
        <f t="shared" si="1"/>
        <v>313669.06211569393</v>
      </c>
      <c r="I4" s="17">
        <f t="shared" si="2"/>
        <v>2131202.9378843061</v>
      </c>
    </row>
    <row r="5" spans="1:9" ht="15.75" customHeight="1" x14ac:dyDescent="0.25">
      <c r="A5" s="5">
        <f t="shared" si="3"/>
        <v>2027</v>
      </c>
      <c r="B5" s="49">
        <v>270048</v>
      </c>
      <c r="C5" s="50">
        <v>620247</v>
      </c>
      <c r="D5" s="50">
        <v>865951.00000000012</v>
      </c>
      <c r="E5" s="50">
        <v>631117</v>
      </c>
      <c r="F5" s="50">
        <v>389498.5</v>
      </c>
      <c r="G5" s="17">
        <f t="shared" si="0"/>
        <v>2506813.5</v>
      </c>
      <c r="H5" s="17">
        <f t="shared" si="1"/>
        <v>314139.02362455276</v>
      </c>
      <c r="I5" s="17">
        <f t="shared" si="2"/>
        <v>2192674.4763754471</v>
      </c>
    </row>
    <row r="6" spans="1:9" ht="15.75" customHeight="1" x14ac:dyDescent="0.25">
      <c r="A6" s="5">
        <f t="shared" si="3"/>
        <v>2028</v>
      </c>
      <c r="B6" s="49">
        <v>271566</v>
      </c>
      <c r="C6" s="50">
        <v>628531</v>
      </c>
      <c r="D6" s="50">
        <v>886199.5</v>
      </c>
      <c r="E6" s="50">
        <v>650998.5</v>
      </c>
      <c r="F6" s="50">
        <v>402226</v>
      </c>
      <c r="G6" s="17">
        <f t="shared" si="0"/>
        <v>2567955</v>
      </c>
      <c r="H6" s="17">
        <f t="shared" si="1"/>
        <v>315904.86909595813</v>
      </c>
      <c r="I6" s="17">
        <f t="shared" si="2"/>
        <v>2252050.1309040417</v>
      </c>
    </row>
    <row r="7" spans="1:9" ht="15.75" customHeight="1" x14ac:dyDescent="0.25">
      <c r="A7" s="5">
        <f t="shared" si="3"/>
        <v>2029</v>
      </c>
      <c r="B7" s="49">
        <v>272836</v>
      </c>
      <c r="C7" s="50">
        <v>635095</v>
      </c>
      <c r="D7" s="50">
        <v>906121.5</v>
      </c>
      <c r="E7" s="50">
        <v>671794.5</v>
      </c>
      <c r="F7" s="50">
        <v>415280.5</v>
      </c>
      <c r="G7" s="17">
        <f t="shared" si="0"/>
        <v>2628291.5</v>
      </c>
      <c r="H7" s="17">
        <f t="shared" si="1"/>
        <v>317382.22334410355</v>
      </c>
      <c r="I7" s="17">
        <f t="shared" si="2"/>
        <v>2310909.2766558966</v>
      </c>
    </row>
    <row r="8" spans="1:9" ht="15.75" customHeight="1" x14ac:dyDescent="0.25">
      <c r="A8" s="5">
        <f t="shared" si="3"/>
        <v>2030</v>
      </c>
      <c r="B8" s="49">
        <v>273274</v>
      </c>
      <c r="C8" s="50">
        <v>640786.5</v>
      </c>
      <c r="D8" s="50">
        <v>925313.5</v>
      </c>
      <c r="E8" s="50">
        <v>693341.5</v>
      </c>
      <c r="F8" s="50">
        <v>428576</v>
      </c>
      <c r="G8" s="17">
        <f t="shared" si="0"/>
        <v>2688017.5</v>
      </c>
      <c r="H8" s="17">
        <f t="shared" si="1"/>
        <v>317891.73606905452</v>
      </c>
      <c r="I8" s="17">
        <f t="shared" si="2"/>
        <v>2370125.7639309457</v>
      </c>
    </row>
    <row r="9" spans="1:9" ht="15.75" customHeight="1" x14ac:dyDescent="0.25">
      <c r="A9" s="5">
        <f t="shared" si="3"/>
        <v>2031</v>
      </c>
      <c r="B9" s="49">
        <v>273322</v>
      </c>
      <c r="C9" s="50">
        <v>646292</v>
      </c>
      <c r="D9" s="50">
        <v>943742.5</v>
      </c>
      <c r="E9" s="50">
        <v>715458</v>
      </c>
      <c r="F9" s="50">
        <v>442180</v>
      </c>
      <c r="G9" s="17">
        <f t="shared" si="0"/>
        <v>2747672.5</v>
      </c>
      <c r="H9" s="17">
        <f t="shared" si="1"/>
        <v>317947.57308000803</v>
      </c>
      <c r="I9" s="17">
        <f t="shared" si="2"/>
        <v>2429724.9269199921</v>
      </c>
    </row>
    <row r="10" spans="1:9" ht="15.75" customHeight="1" x14ac:dyDescent="0.25">
      <c r="A10" s="5">
        <f t="shared" si="3"/>
        <v>2032</v>
      </c>
      <c r="B10" s="49">
        <v>274550</v>
      </c>
      <c r="C10" s="50">
        <v>651701</v>
      </c>
      <c r="D10" s="50">
        <v>961421.5</v>
      </c>
      <c r="E10" s="50">
        <v>737959.5</v>
      </c>
      <c r="F10" s="50">
        <v>456195</v>
      </c>
      <c r="G10" s="17">
        <f t="shared" si="0"/>
        <v>2807277</v>
      </c>
      <c r="H10" s="17">
        <f t="shared" si="1"/>
        <v>319376.06994356913</v>
      </c>
      <c r="I10" s="17">
        <f t="shared" si="2"/>
        <v>2487900.9300564309</v>
      </c>
    </row>
    <row r="11" spans="1:9" ht="15.75" customHeight="1" x14ac:dyDescent="0.25">
      <c r="A11" s="5">
        <f t="shared" si="3"/>
        <v>2033</v>
      </c>
      <c r="B11" s="49">
        <v>275718</v>
      </c>
      <c r="C11" s="50">
        <v>657588.50000000012</v>
      </c>
      <c r="D11" s="50">
        <v>978066.5</v>
      </c>
      <c r="E11" s="50">
        <v>760194</v>
      </c>
      <c r="F11" s="50">
        <v>470696.5</v>
      </c>
      <c r="G11" s="17">
        <f t="shared" si="0"/>
        <v>2866545.5</v>
      </c>
      <c r="H11" s="17">
        <f t="shared" si="1"/>
        <v>320734.77054343832</v>
      </c>
      <c r="I11" s="17">
        <f t="shared" si="2"/>
        <v>2545810.7294565616</v>
      </c>
    </row>
    <row r="12" spans="1:9" ht="15.75" customHeight="1" x14ac:dyDescent="0.25">
      <c r="A12" s="5">
        <f t="shared" si="3"/>
        <v>2034</v>
      </c>
      <c r="B12" s="49">
        <v>275979</v>
      </c>
      <c r="C12" s="50">
        <v>664033</v>
      </c>
      <c r="D12" s="50">
        <v>994091.49999999977</v>
      </c>
      <c r="E12" s="50">
        <v>781284.5</v>
      </c>
      <c r="F12" s="50">
        <v>485756</v>
      </c>
      <c r="G12" s="17">
        <f t="shared" si="0"/>
        <v>2925165</v>
      </c>
      <c r="H12" s="17">
        <f t="shared" si="1"/>
        <v>321038.38429049822</v>
      </c>
      <c r="I12" s="17">
        <f t="shared" si="2"/>
        <v>2604126.6157095018</v>
      </c>
    </row>
    <row r="13" spans="1:9" ht="15.75" customHeight="1" x14ac:dyDescent="0.25">
      <c r="A13" s="5">
        <f t="shared" si="3"/>
        <v>2035</v>
      </c>
      <c r="B13" s="49">
        <v>275102</v>
      </c>
      <c r="C13" s="50">
        <v>670866.00000000012</v>
      </c>
      <c r="D13" s="50">
        <v>1009241</v>
      </c>
      <c r="E13" s="50">
        <v>801619.5</v>
      </c>
      <c r="F13" s="50">
        <v>501334</v>
      </c>
      <c r="G13" s="17">
        <f t="shared" si="0"/>
        <v>2983060.5</v>
      </c>
      <c r="H13" s="17">
        <f t="shared" si="1"/>
        <v>320018.19556953473</v>
      </c>
      <c r="I13" s="17">
        <f t="shared" si="2"/>
        <v>2663042.3044304652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jlcVZ3hPoXeBvUNb6PKtzX7a3E5HvBR4GIqduuvNbJrpZWu8Qfp5Iuoh5mLG7aPQ7BnfwV0Wvdqt3vmJ7y2hSw==" saltValue="6MM6NmCiF4srkcOaa7kq/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82</v>
      </c>
      <c r="C2" s="29" t="s">
        <v>78</v>
      </c>
      <c r="D2" s="29"/>
      <c r="E2" s="29"/>
      <c r="F2" s="29"/>
      <c r="G2" s="29"/>
    </row>
    <row r="3" spans="1:8" ht="15.75" customHeight="1" x14ac:dyDescent="0.25">
      <c r="B3" s="19" t="s">
        <v>93</v>
      </c>
      <c r="C3" s="55">
        <v>1.9270251420426689E-2</v>
      </c>
    </row>
    <row r="4" spans="1:8" ht="15.75" customHeight="1" x14ac:dyDescent="0.25">
      <c r="B4" s="19" t="s">
        <v>97</v>
      </c>
      <c r="C4" s="101">
        <v>5.5527335526750703E-2</v>
      </c>
    </row>
    <row r="5" spans="1:8" ht="15.75" customHeight="1" x14ac:dyDescent="0.25">
      <c r="B5" s="19" t="s">
        <v>95</v>
      </c>
      <c r="C5" s="101">
        <v>8.3290502540403655E-2</v>
      </c>
    </row>
    <row r="6" spans="1:8" ht="15.75" customHeight="1" x14ac:dyDescent="0.25">
      <c r="B6" s="19" t="s">
        <v>91</v>
      </c>
      <c r="C6" s="101">
        <v>0.247329601879935</v>
      </c>
    </row>
    <row r="7" spans="1:8" ht="15.75" customHeight="1" x14ac:dyDescent="0.25">
      <c r="B7" s="19" t="s">
        <v>96</v>
      </c>
      <c r="C7" s="101">
        <v>0.41542046752397621</v>
      </c>
    </row>
    <row r="8" spans="1:8" ht="15.75" customHeight="1" x14ac:dyDescent="0.25">
      <c r="B8" s="19" t="s">
        <v>98</v>
      </c>
      <c r="C8" s="101">
        <v>2.827032633258517E-3</v>
      </c>
    </row>
    <row r="9" spans="1:8" ht="15.75" customHeight="1" x14ac:dyDescent="0.25">
      <c r="B9" s="19" t="s">
        <v>92</v>
      </c>
      <c r="C9" s="101">
        <v>6.8686537483920895E-2</v>
      </c>
    </row>
    <row r="10" spans="1:8" ht="15.75" customHeight="1" x14ac:dyDescent="0.25">
      <c r="B10" s="19" t="s">
        <v>94</v>
      </c>
      <c r="C10" s="101">
        <v>0.1076482709913284</v>
      </c>
    </row>
    <row r="11" spans="1:8" ht="15.75" customHeight="1" x14ac:dyDescent="0.25">
      <c r="B11" s="27" t="s">
        <v>60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83</v>
      </c>
      <c r="B13" s="29" t="s">
        <v>82</v>
      </c>
      <c r="C13" s="102" t="s">
        <v>74</v>
      </c>
      <c r="D13" s="102" t="s">
        <v>77</v>
      </c>
      <c r="E13" s="102" t="s">
        <v>75</v>
      </c>
      <c r="F13" s="102" t="s">
        <v>76</v>
      </c>
      <c r="G13" s="19"/>
    </row>
    <row r="14" spans="1:8" ht="15.75" customHeight="1" x14ac:dyDescent="0.25">
      <c r="B14" s="19" t="s">
        <v>84</v>
      </c>
      <c r="C14" s="55">
        <v>0.15521897653309941</v>
      </c>
      <c r="D14" s="55">
        <v>0.15521897653309941</v>
      </c>
      <c r="E14" s="55">
        <v>0.15521897653309941</v>
      </c>
      <c r="F14" s="55">
        <v>0.15521897653309941</v>
      </c>
    </row>
    <row r="15" spans="1:8" ht="15.75" customHeight="1" x14ac:dyDescent="0.25">
      <c r="B15" s="19" t="s">
        <v>102</v>
      </c>
      <c r="C15" s="101">
        <v>0.20898917462724789</v>
      </c>
      <c r="D15" s="101">
        <v>0.20898917462724789</v>
      </c>
      <c r="E15" s="101">
        <v>0.20898917462724789</v>
      </c>
      <c r="F15" s="101">
        <v>0.20898917462724789</v>
      </c>
    </row>
    <row r="16" spans="1:8" ht="15.75" customHeight="1" x14ac:dyDescent="0.25">
      <c r="B16" s="19" t="s">
        <v>2</v>
      </c>
      <c r="C16" s="101">
        <v>2.0453097249142231E-2</v>
      </c>
      <c r="D16" s="101">
        <v>2.0453097249142231E-2</v>
      </c>
      <c r="E16" s="101">
        <v>2.0453097249142231E-2</v>
      </c>
      <c r="F16" s="101">
        <v>2.0453097249142231E-2</v>
      </c>
    </row>
    <row r="17" spans="1:8" ht="15.75" customHeight="1" x14ac:dyDescent="0.25">
      <c r="B17" s="19" t="s">
        <v>90</v>
      </c>
      <c r="C17" s="101">
        <v>1.78518465199384E-3</v>
      </c>
      <c r="D17" s="101">
        <v>1.78518465199384E-3</v>
      </c>
      <c r="E17" s="101">
        <v>1.78518465199384E-3</v>
      </c>
      <c r="F17" s="101">
        <v>1.78518465199384E-3</v>
      </c>
    </row>
    <row r="18" spans="1:8" ht="15.75" customHeight="1" x14ac:dyDescent="0.25">
      <c r="B18" s="19" t="s">
        <v>3</v>
      </c>
      <c r="C18" s="101">
        <v>0.35346795150880239</v>
      </c>
      <c r="D18" s="101">
        <v>0.35346795150880239</v>
      </c>
      <c r="E18" s="101">
        <v>0.35346795150880239</v>
      </c>
      <c r="F18" s="101">
        <v>0.35346795150880239</v>
      </c>
    </row>
    <row r="19" spans="1:8" ht="15.75" customHeight="1" x14ac:dyDescent="0.25">
      <c r="B19" s="19" t="s">
        <v>101</v>
      </c>
      <c r="C19" s="101">
        <v>8.3972450660439787E-3</v>
      </c>
      <c r="D19" s="101">
        <v>8.3972450660439787E-3</v>
      </c>
      <c r="E19" s="101">
        <v>8.3972450660439787E-3</v>
      </c>
      <c r="F19" s="101">
        <v>8.3972450660439787E-3</v>
      </c>
    </row>
    <row r="20" spans="1:8" ht="15.75" customHeight="1" x14ac:dyDescent="0.25">
      <c r="B20" s="19" t="s">
        <v>79</v>
      </c>
      <c r="C20" s="101">
        <v>5.2756167327518533E-2</v>
      </c>
      <c r="D20" s="101">
        <v>5.2756167327518533E-2</v>
      </c>
      <c r="E20" s="101">
        <v>5.2756167327518533E-2</v>
      </c>
      <c r="F20" s="101">
        <v>5.2756167327518533E-2</v>
      </c>
    </row>
    <row r="21" spans="1:8" ht="15.75" customHeight="1" x14ac:dyDescent="0.25">
      <c r="B21" s="19" t="s">
        <v>88</v>
      </c>
      <c r="C21" s="101">
        <v>6.5268173388815381E-2</v>
      </c>
      <c r="D21" s="101">
        <v>6.5268173388815381E-2</v>
      </c>
      <c r="E21" s="101">
        <v>6.5268173388815381E-2</v>
      </c>
      <c r="F21" s="101">
        <v>6.5268173388815381E-2</v>
      </c>
    </row>
    <row r="22" spans="1:8" ht="15.75" customHeight="1" x14ac:dyDescent="0.25">
      <c r="B22" s="19" t="s">
        <v>99</v>
      </c>
      <c r="C22" s="101">
        <v>0.13366402964733631</v>
      </c>
      <c r="D22" s="101">
        <v>0.13366402964733631</v>
      </c>
      <c r="E22" s="101">
        <v>0.13366402964733631</v>
      </c>
      <c r="F22" s="101">
        <v>0.13366402964733631</v>
      </c>
    </row>
    <row r="23" spans="1:8" ht="15.75" customHeight="1" x14ac:dyDescent="0.25">
      <c r="B23" s="27" t="s">
        <v>60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104</v>
      </c>
      <c r="B25" s="29" t="s">
        <v>82</v>
      </c>
      <c r="C25" s="29" t="s">
        <v>104</v>
      </c>
      <c r="D25" s="19"/>
      <c r="E25" s="19"/>
      <c r="F25" s="19"/>
      <c r="G25" s="19"/>
      <c r="H25" s="19"/>
    </row>
    <row r="26" spans="1:8" ht="15.75" customHeight="1" x14ac:dyDescent="0.25">
      <c r="B26" s="19" t="s">
        <v>81</v>
      </c>
      <c r="C26" s="55">
        <v>8.8541960999999988E-2</v>
      </c>
    </row>
    <row r="27" spans="1:8" ht="15.75" customHeight="1" x14ac:dyDescent="0.25">
      <c r="B27" s="19" t="s">
        <v>89</v>
      </c>
      <c r="C27" s="101">
        <v>8.4139049999999993E-3</v>
      </c>
    </row>
    <row r="28" spans="1:8" ht="15.75" customHeight="1" x14ac:dyDescent="0.25">
      <c r="B28" s="19" t="s">
        <v>103</v>
      </c>
      <c r="C28" s="101">
        <v>0.15592515700000001</v>
      </c>
    </row>
    <row r="29" spans="1:8" ht="15.75" customHeight="1" x14ac:dyDescent="0.25">
      <c r="B29" s="19" t="s">
        <v>86</v>
      </c>
      <c r="C29" s="101">
        <v>0.16923094399999999</v>
      </c>
    </row>
    <row r="30" spans="1:8" ht="15.75" customHeight="1" x14ac:dyDescent="0.25">
      <c r="B30" s="19" t="s">
        <v>4</v>
      </c>
      <c r="C30" s="101">
        <v>0.105940403</v>
      </c>
    </row>
    <row r="31" spans="1:8" ht="15.75" customHeight="1" x14ac:dyDescent="0.25">
      <c r="B31" s="19" t="s">
        <v>80</v>
      </c>
      <c r="C31" s="101">
        <v>0.11097119599999999</v>
      </c>
    </row>
    <row r="32" spans="1:8" ht="15.75" customHeight="1" x14ac:dyDescent="0.25">
      <c r="B32" s="19" t="s">
        <v>85</v>
      </c>
      <c r="C32" s="101">
        <v>1.8550027E-2</v>
      </c>
    </row>
    <row r="33" spans="2:3" ht="15.75" customHeight="1" x14ac:dyDescent="0.25">
      <c r="B33" s="19" t="s">
        <v>100</v>
      </c>
      <c r="C33" s="101">
        <v>8.4407093999999988E-2</v>
      </c>
    </row>
    <row r="34" spans="2:3" ht="15.75" customHeight="1" x14ac:dyDescent="0.25">
      <c r="B34" s="19" t="s">
        <v>87</v>
      </c>
      <c r="C34" s="101">
        <v>0.258019314</v>
      </c>
    </row>
    <row r="35" spans="2:3" ht="15.75" customHeight="1" x14ac:dyDescent="0.25">
      <c r="B35" s="27" t="s">
        <v>60</v>
      </c>
      <c r="C35" s="48">
        <f>SUM(C26:C34)</f>
        <v>1.0000000009999999</v>
      </c>
    </row>
  </sheetData>
  <sheetProtection algorithmName="SHA-512" hashValue="sfn52pTp26cZ0NAjCF78AuNJNWWvq5/s6dsOz3LqCwaC0Fi4ULtAqzTsD0fSUeV0ABbV47TqVXkvUno7VI9yVQ==" saltValue="bPVamZxGGlfxPqqyHWXKx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120</v>
      </c>
      <c r="C1" s="11" t="s">
        <v>78</v>
      </c>
      <c r="D1" s="11" t="s">
        <v>74</v>
      </c>
      <c r="E1" s="11" t="s">
        <v>77</v>
      </c>
      <c r="F1" s="11" t="s">
        <v>75</v>
      </c>
      <c r="G1" s="11" t="s">
        <v>76</v>
      </c>
    </row>
    <row r="2" spans="1:15" ht="15.75" customHeight="1" x14ac:dyDescent="0.25">
      <c r="A2" s="3" t="s">
        <v>121</v>
      </c>
      <c r="B2" s="5" t="s">
        <v>111</v>
      </c>
      <c r="C2" s="52">
        <f>IFERROR(1-_xlfn.NORM.DIST(_xlfn.NORM.INV(SUM(C4:C5), 0, 1) + 1, 0, 1, TRUE), "")</f>
        <v>0.44863980932331038</v>
      </c>
      <c r="D2" s="52">
        <f>IFERROR(1-_xlfn.NORM.DIST(_xlfn.NORM.INV(SUM(D4:D5), 0, 1) + 1, 0, 1, TRUE), "")</f>
        <v>0.44863980932331038</v>
      </c>
      <c r="E2" s="52">
        <f>IFERROR(1-_xlfn.NORM.DIST(_xlfn.NORM.INV(SUM(E4:E5), 0, 1) + 1, 0, 1, TRUE), "")</f>
        <v>0.4699543555463106</v>
      </c>
      <c r="F2" s="52">
        <f>IFERROR(1-_xlfn.NORM.DIST(_xlfn.NORM.INV(SUM(F4:F5), 0, 1) + 1, 0, 1, TRUE), "")</f>
        <v>0.3141720076106479</v>
      </c>
      <c r="G2" s="52">
        <f>IFERROR(1-_xlfn.NORM.DIST(_xlfn.NORM.INV(SUM(G4:G5), 0, 1) + 1, 0, 1, TRUE), "")</f>
        <v>0.28748709338451461</v>
      </c>
    </row>
    <row r="3" spans="1:15" ht="15.75" customHeight="1" x14ac:dyDescent="0.25">
      <c r="B3" s="5" t="s">
        <v>108</v>
      </c>
      <c r="C3" s="52">
        <f>IFERROR(_xlfn.NORM.DIST(_xlfn.NORM.INV(SUM(C4:C5), 0, 1) + 1, 0, 1, TRUE) - SUM(C4:C5), "")</f>
        <v>0.35945619067668966</v>
      </c>
      <c r="D3" s="52">
        <f>IFERROR(_xlfn.NORM.DIST(_xlfn.NORM.INV(SUM(D4:D5), 0, 1) + 1, 0, 1, TRUE) - SUM(D4:D5), "")</f>
        <v>0.35945619067668966</v>
      </c>
      <c r="E3" s="52">
        <f>IFERROR(_xlfn.NORM.DIST(_xlfn.NORM.INV(SUM(E4:E5), 0, 1) + 1, 0, 1, TRUE) - SUM(E4:E5), "")</f>
        <v>0.35246264445368941</v>
      </c>
      <c r="F3" s="52">
        <f>IFERROR(_xlfn.NORM.DIST(_xlfn.NORM.INV(SUM(F4:F5), 0, 1) + 1, 0, 1, TRUE) - SUM(F4:F5), "")</f>
        <v>0.38288019238935211</v>
      </c>
      <c r="G3" s="52">
        <f>IFERROR(_xlfn.NORM.DIST(_xlfn.NORM.INV(SUM(G4:G5), 0, 1) + 1, 0, 1, TRUE) - SUM(G4:G5), "")</f>
        <v>0.38227600661548539</v>
      </c>
    </row>
    <row r="4" spans="1:15" ht="15.75" customHeight="1" x14ac:dyDescent="0.25">
      <c r="B4" s="5" t="s">
        <v>110</v>
      </c>
      <c r="C4" s="45">
        <v>0.1133801</v>
      </c>
      <c r="D4" s="53">
        <v>0.1133801</v>
      </c>
      <c r="E4" s="53">
        <v>0.1031483</v>
      </c>
      <c r="F4" s="53">
        <v>0.2021889</v>
      </c>
      <c r="G4" s="53">
        <v>0.2106642</v>
      </c>
    </row>
    <row r="5" spans="1:15" ht="15.75" customHeight="1" x14ac:dyDescent="0.25">
      <c r="B5" s="5" t="s">
        <v>106</v>
      </c>
      <c r="C5" s="45">
        <v>7.8523899999999994E-2</v>
      </c>
      <c r="D5" s="53">
        <v>7.8523899999999994E-2</v>
      </c>
      <c r="E5" s="53">
        <v>7.4434699999999993E-2</v>
      </c>
      <c r="F5" s="53">
        <v>0.1007589</v>
      </c>
      <c r="G5" s="53">
        <v>0.1195727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122</v>
      </c>
      <c r="B8" s="5" t="s">
        <v>112</v>
      </c>
      <c r="C8" s="52">
        <f>IFERROR(1-_xlfn.NORM.DIST(_xlfn.NORM.INV(SUM(C10:C11), 0, 1) + 1, 0, 1, TRUE), "")</f>
        <v>0.76914882237139048</v>
      </c>
      <c r="D8" s="52">
        <f>IFERROR(1-_xlfn.NORM.DIST(_xlfn.NORM.INV(SUM(D10:D11), 0, 1) + 1, 0, 1, TRUE), "")</f>
        <v>0.76914882237139048</v>
      </c>
      <c r="E8" s="52">
        <f>IFERROR(1-_xlfn.NORM.DIST(_xlfn.NORM.INV(SUM(E10:E11), 0, 1) + 1, 0, 1, TRUE), "")</f>
        <v>0.58795261618574035</v>
      </c>
      <c r="F8" s="52">
        <f>IFERROR(1-_xlfn.NORM.DIST(_xlfn.NORM.INV(SUM(F10:F11), 0, 1) + 1, 0, 1, TRUE), "")</f>
        <v>0.63349464666587818</v>
      </c>
      <c r="G8" s="52">
        <f>IFERROR(1-_xlfn.NORM.DIST(_xlfn.NORM.INV(SUM(G10:G11), 0, 1) + 1, 0, 1, TRUE), "")</f>
        <v>0.79223767337338391</v>
      </c>
    </row>
    <row r="9" spans="1:15" ht="15.75" customHeight="1" x14ac:dyDescent="0.25">
      <c r="B9" s="5" t="s">
        <v>109</v>
      </c>
      <c r="C9" s="52">
        <f>IFERROR(_xlfn.NORM.DIST(_xlfn.NORM.INV(SUM(C10:C11), 0, 1) + 1, 0, 1, TRUE) - SUM(C10:C11), "")</f>
        <v>0.18957337762860954</v>
      </c>
      <c r="D9" s="52">
        <f>IFERROR(_xlfn.NORM.DIST(_xlfn.NORM.INV(SUM(D10:D11), 0, 1) + 1, 0, 1, TRUE) - SUM(D10:D11), "")</f>
        <v>0.18957337762860954</v>
      </c>
      <c r="E9" s="52">
        <f>IFERROR(_xlfn.NORM.DIST(_xlfn.NORM.INV(SUM(E10:E11), 0, 1) + 1, 0, 1, TRUE) - SUM(E10:E11), "")</f>
        <v>0.30124678381425962</v>
      </c>
      <c r="F9" s="52">
        <f>IFERROR(_xlfn.NORM.DIST(_xlfn.NORM.INV(SUM(F10:F11), 0, 1) + 1, 0, 1, TRUE) - SUM(F10:F11), "")</f>
        <v>0.27656515333412179</v>
      </c>
      <c r="G9" s="52">
        <f>IFERROR(_xlfn.NORM.DIST(_xlfn.NORM.INV(SUM(G10:G11), 0, 1) + 1, 0, 1, TRUE) - SUM(G10:G11), "")</f>
        <v>0.17293962662661605</v>
      </c>
    </row>
    <row r="10" spans="1:15" ht="15.75" customHeight="1" x14ac:dyDescent="0.25">
      <c r="B10" s="5" t="s">
        <v>107</v>
      </c>
      <c r="C10" s="45">
        <v>2.9913700000000001E-2</v>
      </c>
      <c r="D10" s="53">
        <v>2.9913700000000001E-2</v>
      </c>
      <c r="E10" s="53">
        <v>9.8630600000000013E-2</v>
      </c>
      <c r="F10" s="53">
        <v>7.0580699999999996E-2</v>
      </c>
      <c r="G10" s="53">
        <v>2.7266700000000001E-2</v>
      </c>
    </row>
    <row r="11" spans="1:15" ht="15.75" customHeight="1" x14ac:dyDescent="0.25">
      <c r="B11" s="5" t="s">
        <v>119</v>
      </c>
      <c r="C11" s="45">
        <v>1.13641E-2</v>
      </c>
      <c r="D11" s="53">
        <v>1.13641E-2</v>
      </c>
      <c r="E11" s="53">
        <v>1.217E-2</v>
      </c>
      <c r="F11" s="53">
        <v>1.9359500000000002E-2</v>
      </c>
      <c r="G11" s="53">
        <v>7.5560000000000002E-3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105</v>
      </c>
      <c r="C13" s="11" t="s">
        <v>78</v>
      </c>
      <c r="D13" s="11" t="s">
        <v>74</v>
      </c>
      <c r="E13" s="11" t="s">
        <v>77</v>
      </c>
      <c r="F13" s="11" t="s">
        <v>75</v>
      </c>
      <c r="G13" s="11" t="s">
        <v>76</v>
      </c>
      <c r="H13" s="18" t="s">
        <v>113</v>
      </c>
      <c r="I13" s="18" t="s">
        <v>114</v>
      </c>
      <c r="J13" s="18" t="s">
        <v>115</v>
      </c>
      <c r="K13" s="18" t="s">
        <v>116</v>
      </c>
      <c r="L13" s="18" t="s">
        <v>68</v>
      </c>
      <c r="M13" s="18" t="s">
        <v>69</v>
      </c>
      <c r="N13" s="18" t="s">
        <v>70</v>
      </c>
      <c r="O13" s="18" t="s">
        <v>71</v>
      </c>
    </row>
    <row r="14" spans="1:15" ht="15.75" customHeight="1" x14ac:dyDescent="0.25">
      <c r="B14" s="11" t="s">
        <v>117</v>
      </c>
      <c r="C14" s="51">
        <v>0.90340710200000007</v>
      </c>
      <c r="D14" s="54">
        <v>0.89947195748300002</v>
      </c>
      <c r="E14" s="54">
        <v>0.89947195748300002</v>
      </c>
      <c r="F14" s="54">
        <v>0.83211495658599999</v>
      </c>
      <c r="G14" s="54">
        <v>0.83211495658599999</v>
      </c>
      <c r="H14" s="45">
        <v>0.55900000000000016</v>
      </c>
      <c r="I14" s="55">
        <v>0.55900000000000016</v>
      </c>
      <c r="J14" s="55">
        <v>0.55900000000000016</v>
      </c>
      <c r="K14" s="55">
        <v>0.55900000000000016</v>
      </c>
      <c r="L14" s="45">
        <v>0.47299999999999998</v>
      </c>
      <c r="M14" s="55">
        <v>0.47299999999999998</v>
      </c>
      <c r="N14" s="55">
        <v>0.47299999999999998</v>
      </c>
      <c r="O14" s="55">
        <v>0.47299999999999998</v>
      </c>
    </row>
    <row r="15" spans="1:15" ht="15.75" customHeight="1" x14ac:dyDescent="0.25">
      <c r="B15" s="11" t="s">
        <v>118</v>
      </c>
      <c r="C15" s="52">
        <f t="shared" ref="C15:O15" si="0">iron_deficiency_anaemia*C14</f>
        <v>0.40912687768984213</v>
      </c>
      <c r="D15" s="52">
        <f t="shared" si="0"/>
        <v>0.40734476485728377</v>
      </c>
      <c r="E15" s="52">
        <f t="shared" si="0"/>
        <v>0.40734476485728377</v>
      </c>
      <c r="F15" s="52">
        <f t="shared" si="0"/>
        <v>0.37684073250405847</v>
      </c>
      <c r="G15" s="52">
        <f t="shared" si="0"/>
        <v>0.37684073250405847</v>
      </c>
      <c r="H15" s="52">
        <f t="shared" si="0"/>
        <v>0.25315488900000011</v>
      </c>
      <c r="I15" s="52">
        <f t="shared" si="0"/>
        <v>0.25315488900000011</v>
      </c>
      <c r="J15" s="52">
        <f t="shared" si="0"/>
        <v>0.25315488900000011</v>
      </c>
      <c r="K15" s="52">
        <f t="shared" si="0"/>
        <v>0.25315488900000011</v>
      </c>
      <c r="L15" s="52">
        <f t="shared" si="0"/>
        <v>0.21420798300000002</v>
      </c>
      <c r="M15" s="52">
        <f t="shared" si="0"/>
        <v>0.21420798300000002</v>
      </c>
      <c r="N15" s="52">
        <f t="shared" si="0"/>
        <v>0.21420798300000002</v>
      </c>
      <c r="O15" s="52">
        <f t="shared" si="0"/>
        <v>0.21420798300000002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8wJWrVLRbirUE4oEOTdJRXboIpsu92IPJSaM3ivDrWsFv1HQ2aetkp1MMHyPy7c0Ce9loJon2VpEB6SJtTLMsw==" saltValue="9LgZvIcStMO9NQoxjexEz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120</v>
      </c>
      <c r="C1" s="8" t="s">
        <v>78</v>
      </c>
      <c r="D1" s="8" t="s">
        <v>74</v>
      </c>
      <c r="E1" s="8" t="s">
        <v>77</v>
      </c>
      <c r="F1" s="8" t="s">
        <v>75</v>
      </c>
      <c r="G1" s="8" t="s">
        <v>76</v>
      </c>
    </row>
    <row r="2" spans="1:7" x14ac:dyDescent="0.25">
      <c r="A2" s="3" t="s">
        <v>123</v>
      </c>
      <c r="B2" s="3" t="s">
        <v>124</v>
      </c>
      <c r="C2" s="45">
        <v>0.77430790000000005</v>
      </c>
      <c r="D2" s="53">
        <v>0.4961622</v>
      </c>
      <c r="E2" s="53">
        <v>0</v>
      </c>
      <c r="F2" s="53">
        <v>0</v>
      </c>
      <c r="G2" s="53">
        <v>0</v>
      </c>
    </row>
    <row r="3" spans="1:7" x14ac:dyDescent="0.25">
      <c r="B3" s="3" t="s">
        <v>127</v>
      </c>
      <c r="C3" s="53">
        <v>0.15446280000000001</v>
      </c>
      <c r="D3" s="53">
        <v>0.24405350000000001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126</v>
      </c>
      <c r="C4" s="53">
        <v>3.8687199999999998E-2</v>
      </c>
      <c r="D4" s="53">
        <v>0.24085190000000001</v>
      </c>
      <c r="E4" s="53">
        <v>0.95201559999999996</v>
      </c>
      <c r="F4" s="53">
        <v>0.64523189999999997</v>
      </c>
      <c r="G4" s="53">
        <v>0</v>
      </c>
    </row>
    <row r="5" spans="1:7" x14ac:dyDescent="0.25">
      <c r="B5" s="3" t="s">
        <v>125</v>
      </c>
      <c r="C5" s="52">
        <v>3.2542099999999997E-2</v>
      </c>
      <c r="D5" s="52">
        <v>1.8932399999999999E-2</v>
      </c>
      <c r="E5" s="52">
        <f>1-SUM(E2:E4)</f>
        <v>4.7984400000000038E-2</v>
      </c>
      <c r="F5" s="52">
        <f>1-SUM(F2:F4)</f>
        <v>0.35476810000000003</v>
      </c>
      <c r="G5" s="52">
        <f>1-SUM(G2:G4)</f>
        <v>1</v>
      </c>
    </row>
  </sheetData>
  <sheetProtection algorithmName="SHA-512" hashValue="NuEzSjTUUw8qk/4aYHLrO4O61P+JW29xIA862uWzArq+gQeSax9GbKKeSTJg8YSN0HK1cinTlnkodVIW+toxxQ==" saltValue="J+6f8moWrlXNbGM30/iZQ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135</v>
      </c>
      <c r="B1" s="4" t="s">
        <v>133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136</v>
      </c>
      <c r="B2" s="9" t="s">
        <v>130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138</v>
      </c>
      <c r="B4" s="9" t="s">
        <v>130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130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104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139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134</v>
      </c>
      <c r="B10" s="11" t="s">
        <v>129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131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37</v>
      </c>
      <c r="B13" s="11" t="s">
        <v>137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QvDb9Vs6g8GfUSjigzIIPvn+IEnU54UBOJVvB4WArEJIm14ZcFgnLFhMSh7mMUdNkXMX4/RdkweD2cBHFIbWig==" saltValue="RNERKXxWTTxQS1TzyPdKI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147</v>
      </c>
      <c r="B1" s="4" t="s">
        <v>145</v>
      </c>
    </row>
    <row r="2" spans="1:2" x14ac:dyDescent="0.25">
      <c r="A2" s="8" t="s">
        <v>144</v>
      </c>
      <c r="B2" s="41">
        <v>10</v>
      </c>
    </row>
    <row r="3" spans="1:2" x14ac:dyDescent="0.25">
      <c r="A3" s="8" t="s">
        <v>143</v>
      </c>
      <c r="B3" s="41">
        <v>10</v>
      </c>
    </row>
    <row r="4" spans="1:2" x14ac:dyDescent="0.25">
      <c r="A4" s="8" t="s">
        <v>142</v>
      </c>
      <c r="B4" s="41">
        <v>10</v>
      </c>
    </row>
    <row r="5" spans="1:2" x14ac:dyDescent="0.25">
      <c r="A5" s="8" t="s">
        <v>146</v>
      </c>
      <c r="B5" s="41">
        <v>10</v>
      </c>
    </row>
    <row r="6" spans="1:2" x14ac:dyDescent="0.25">
      <c r="A6" s="8" t="s">
        <v>140</v>
      </c>
      <c r="B6" s="41">
        <v>10</v>
      </c>
    </row>
    <row r="7" spans="1:2" x14ac:dyDescent="0.25">
      <c r="A7" s="8" t="s">
        <v>141</v>
      </c>
      <c r="B7" s="41">
        <v>10</v>
      </c>
    </row>
  </sheetData>
  <sheetProtection algorithmName="SHA-512" hashValue="lr3wG2evtPFMq0RmZx9AZAR+hbeqeFrhP6LErzzgNx2X618HVSsF+1T6+W1QwXdqt2d+Y9lc7vTvpCCNElLiIQ==" saltValue="c6Cgjg8oOoiy37d3mcwem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154</v>
      </c>
      <c r="B1" s="36" t="s">
        <v>156</v>
      </c>
      <c r="C1" s="36" t="s">
        <v>150</v>
      </c>
      <c r="D1" s="36" t="s">
        <v>149</v>
      </c>
      <c r="E1" s="36" t="s">
        <v>155</v>
      </c>
    </row>
    <row r="2" spans="1:5" ht="13" customHeight="1" x14ac:dyDescent="0.3">
      <c r="A2" s="34" t="s">
        <v>151</v>
      </c>
      <c r="B2" s="32" t="s">
        <v>104</v>
      </c>
      <c r="C2" s="47"/>
      <c r="D2" s="47"/>
      <c r="E2" s="38" t="str">
        <f>IF(E$7="","",E$7)</f>
        <v/>
      </c>
    </row>
    <row r="3" spans="1:5" x14ac:dyDescent="0.25">
      <c r="B3" s="32" t="s">
        <v>78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74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77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75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148</v>
      </c>
      <c r="C7" s="31"/>
      <c r="D7" s="30"/>
      <c r="E7" s="47"/>
    </row>
    <row r="9" spans="1:5" ht="13" customHeight="1" x14ac:dyDescent="0.3">
      <c r="A9" s="34" t="s">
        <v>152</v>
      </c>
      <c r="B9" s="32" t="s">
        <v>104</v>
      </c>
      <c r="C9" s="47"/>
      <c r="D9" s="47"/>
      <c r="E9" s="38" t="str">
        <f>IF(E$7="","",E$7)</f>
        <v/>
      </c>
    </row>
    <row r="10" spans="1:5" x14ac:dyDescent="0.25">
      <c r="B10" s="32" t="s">
        <v>78</v>
      </c>
      <c r="C10" s="47"/>
      <c r="D10" s="47"/>
      <c r="E10" s="38" t="str">
        <f>IF(E$7="","",E$7)</f>
        <v/>
      </c>
    </row>
    <row r="11" spans="1:5" x14ac:dyDescent="0.25">
      <c r="B11" s="32" t="s">
        <v>74</v>
      </c>
      <c r="C11" s="47"/>
      <c r="D11" s="47"/>
      <c r="E11" s="38" t="str">
        <f>IF(E$7="","",E$7)</f>
        <v/>
      </c>
    </row>
    <row r="12" spans="1:5" x14ac:dyDescent="0.25">
      <c r="B12" s="32" t="s">
        <v>77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75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148</v>
      </c>
      <c r="C14" s="31"/>
      <c r="D14" s="30"/>
      <c r="E14" s="47"/>
    </row>
    <row r="16" spans="1:5" ht="13" customHeight="1" x14ac:dyDescent="0.3">
      <c r="A16" s="34" t="s">
        <v>153</v>
      </c>
      <c r="B16" s="32" t="s">
        <v>104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78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74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77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75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148</v>
      </c>
      <c r="C21" s="31"/>
      <c r="D21" s="30"/>
      <c r="E21" s="47"/>
    </row>
  </sheetData>
  <sheetProtection algorithmName="SHA-512" hashValue="WMvO5iY7jXvAh9zpVzN1CYCYRQl9uwmVUiMr3FXdvjaO/XokP2SQ8NtGFA9BIFc1ay7RWvvdLLf7i1mvGNf3xw==" saltValue="Z8DX37KS1APSwCGH3rWzZ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159</v>
      </c>
      <c r="C1" s="40" t="s">
        <v>161</v>
      </c>
      <c r="D1" s="40" t="s">
        <v>157</v>
      </c>
    </row>
    <row r="2" spans="1:4" ht="13" customHeight="1" x14ac:dyDescent="0.3">
      <c r="A2" s="40" t="s">
        <v>163</v>
      </c>
      <c r="B2" s="32" t="s">
        <v>164</v>
      </c>
      <c r="C2" s="32" t="s">
        <v>162</v>
      </c>
      <c r="D2" s="47"/>
    </row>
    <row r="3" spans="1:4" ht="13" customHeight="1" x14ac:dyDescent="0.3">
      <c r="A3" s="40" t="s">
        <v>160</v>
      </c>
      <c r="B3" s="32" t="s">
        <v>150</v>
      </c>
      <c r="C3" s="32" t="s">
        <v>158</v>
      </c>
      <c r="D3" s="47"/>
    </row>
  </sheetData>
  <sheetProtection algorithmName="SHA-512" hashValue="QwRzSbXtY9LfYTNE8MeWzscQw+fpVYl0gQ4KVqs2g/2spw8DAis/cEOInJvnuihsBzJJvc+5mIT4dQfBfx6XvQ==" saltValue="tSux1WIqSjfS7lpuCnqLC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163</v>
      </c>
      <c r="B1" s="22" t="str">
        <f>"Cobertura de referencia ("&amp;start_year&amp;")"</f>
        <v>Cobertura de referencia (2024)</v>
      </c>
      <c r="C1" s="22" t="s">
        <v>194</v>
      </c>
      <c r="D1" s="22" t="s">
        <v>195</v>
      </c>
      <c r="E1" s="22" t="s">
        <v>168</v>
      </c>
      <c r="F1" s="22" t="s">
        <v>187</v>
      </c>
      <c r="G1" s="22" t="s">
        <v>186</v>
      </c>
    </row>
    <row r="2" spans="1:7" ht="15.75" customHeight="1" x14ac:dyDescent="0.25">
      <c r="A2" s="5" t="s">
        <v>165</v>
      </c>
      <c r="B2" s="45">
        <v>0</v>
      </c>
      <c r="C2" s="98">
        <v>0.95</v>
      </c>
      <c r="D2" s="56">
        <v>34.819261433026043</v>
      </c>
      <c r="E2" s="56" t="s">
        <v>183</v>
      </c>
      <c r="F2" s="98">
        <v>1</v>
      </c>
      <c r="G2" s="98">
        <v>1</v>
      </c>
    </row>
    <row r="3" spans="1:7" ht="15.75" customHeight="1" x14ac:dyDescent="0.25">
      <c r="A3" s="5" t="s">
        <v>166</v>
      </c>
      <c r="B3" s="45">
        <v>0.20012086891485001</v>
      </c>
      <c r="C3" s="98">
        <v>0.95</v>
      </c>
      <c r="D3" s="56">
        <v>47.362947514627443</v>
      </c>
      <c r="E3" s="56" t="s">
        <v>183</v>
      </c>
      <c r="F3" s="98">
        <v>1</v>
      </c>
      <c r="G3" s="98">
        <v>1</v>
      </c>
    </row>
    <row r="4" spans="1:7" ht="15.75" customHeight="1" x14ac:dyDescent="0.25">
      <c r="A4" s="5" t="s">
        <v>167</v>
      </c>
      <c r="B4" s="98">
        <v>0</v>
      </c>
      <c r="C4" s="98">
        <v>0.95</v>
      </c>
      <c r="D4" s="56">
        <v>50.52045111826412</v>
      </c>
      <c r="E4" s="56" t="s">
        <v>183</v>
      </c>
      <c r="F4" s="98">
        <v>1</v>
      </c>
      <c r="G4" s="98">
        <v>1</v>
      </c>
    </row>
    <row r="5" spans="1:7" ht="15.75" customHeight="1" x14ac:dyDescent="0.25">
      <c r="A5" s="5" t="s">
        <v>169</v>
      </c>
      <c r="B5" s="98">
        <v>0</v>
      </c>
      <c r="C5" s="98">
        <v>0.95</v>
      </c>
      <c r="D5" s="56">
        <v>0.1621532183204808</v>
      </c>
      <c r="E5" s="56" t="s">
        <v>183</v>
      </c>
      <c r="F5" s="98">
        <v>1</v>
      </c>
      <c r="G5" s="98">
        <v>1</v>
      </c>
    </row>
    <row r="6" spans="1:7" ht="15.75" customHeight="1" x14ac:dyDescent="0.25">
      <c r="A6" s="5" t="s">
        <v>170</v>
      </c>
      <c r="B6" s="98">
        <v>0</v>
      </c>
      <c r="C6" s="98">
        <v>0.95</v>
      </c>
      <c r="D6" s="56">
        <v>99.99</v>
      </c>
      <c r="E6" s="56" t="s">
        <v>183</v>
      </c>
      <c r="F6" s="98">
        <v>1</v>
      </c>
      <c r="G6" s="98">
        <v>1</v>
      </c>
    </row>
    <row r="7" spans="1:7" ht="15.75" customHeight="1" x14ac:dyDescent="0.25">
      <c r="A7" s="5" t="s">
        <v>171</v>
      </c>
      <c r="B7" s="98">
        <v>0</v>
      </c>
      <c r="C7" s="98">
        <v>0.95</v>
      </c>
      <c r="D7" s="56">
        <v>99.99</v>
      </c>
      <c r="E7" s="56" t="s">
        <v>183</v>
      </c>
      <c r="F7" s="98">
        <v>1</v>
      </c>
      <c r="G7" s="98">
        <v>1</v>
      </c>
    </row>
    <row r="8" spans="1:7" ht="15.75" customHeight="1" x14ac:dyDescent="0.25">
      <c r="A8" s="5" t="s">
        <v>172</v>
      </c>
      <c r="B8" s="98">
        <v>0</v>
      </c>
      <c r="C8" s="98">
        <v>0.95</v>
      </c>
      <c r="D8" s="56">
        <v>99.99</v>
      </c>
      <c r="E8" s="56" t="s">
        <v>183</v>
      </c>
      <c r="F8" s="98">
        <v>1</v>
      </c>
      <c r="G8" s="98">
        <v>1</v>
      </c>
    </row>
    <row r="9" spans="1:7" ht="15.75" customHeight="1" x14ac:dyDescent="0.25">
      <c r="A9" s="5" t="s">
        <v>173</v>
      </c>
      <c r="B9" s="98">
        <v>0</v>
      </c>
      <c r="C9" s="98">
        <v>0.95</v>
      </c>
      <c r="D9" s="56">
        <v>99.99</v>
      </c>
      <c r="E9" s="56" t="s">
        <v>183</v>
      </c>
      <c r="F9" s="98">
        <v>1</v>
      </c>
      <c r="G9" s="98">
        <v>1</v>
      </c>
    </row>
    <row r="10" spans="1:7" ht="15.75" customHeight="1" x14ac:dyDescent="0.25">
      <c r="A10" s="11" t="s">
        <v>174</v>
      </c>
      <c r="B10" s="45">
        <v>0.27672940000000001</v>
      </c>
      <c r="C10" s="98">
        <v>0.95</v>
      </c>
      <c r="D10" s="56">
        <v>15.022196845122521</v>
      </c>
      <c r="E10" s="56" t="s">
        <v>183</v>
      </c>
      <c r="F10" s="98">
        <v>1</v>
      </c>
      <c r="G10" s="98">
        <v>1</v>
      </c>
    </row>
    <row r="11" spans="1:7" ht="15.75" customHeight="1" x14ac:dyDescent="0.25">
      <c r="A11" s="11" t="s">
        <v>175</v>
      </c>
      <c r="B11" s="98">
        <v>0.27672940000000001</v>
      </c>
      <c r="C11" s="98">
        <v>0.95</v>
      </c>
      <c r="D11" s="56">
        <v>15.022196845122521</v>
      </c>
      <c r="E11" s="56" t="s">
        <v>183</v>
      </c>
      <c r="F11" s="98">
        <v>1</v>
      </c>
      <c r="G11" s="98">
        <v>1</v>
      </c>
    </row>
    <row r="12" spans="1:7" ht="15.75" customHeight="1" x14ac:dyDescent="0.25">
      <c r="A12" s="11" t="s">
        <v>176</v>
      </c>
      <c r="B12" s="98">
        <v>0.27672940000000001</v>
      </c>
      <c r="C12" s="98">
        <v>0.95</v>
      </c>
      <c r="D12" s="56">
        <v>15.022196845122521</v>
      </c>
      <c r="E12" s="56" t="s">
        <v>183</v>
      </c>
      <c r="F12" s="98">
        <v>1</v>
      </c>
      <c r="G12" s="98">
        <v>1</v>
      </c>
    </row>
    <row r="13" spans="1:7" ht="15.75" customHeight="1" x14ac:dyDescent="0.25">
      <c r="A13" s="11" t="s">
        <v>177</v>
      </c>
      <c r="B13" s="98">
        <v>0.27672940000000001</v>
      </c>
      <c r="C13" s="98">
        <v>0.95</v>
      </c>
      <c r="D13" s="56">
        <v>15.022196845122521</v>
      </c>
      <c r="E13" s="56" t="s">
        <v>183</v>
      </c>
      <c r="F13" s="98">
        <v>1</v>
      </c>
      <c r="G13" s="98">
        <v>1</v>
      </c>
    </row>
    <row r="14" spans="1:7" ht="15.75" customHeight="1" x14ac:dyDescent="0.25">
      <c r="A14" s="5" t="s">
        <v>178</v>
      </c>
      <c r="B14" s="45">
        <v>0.27672940000000001</v>
      </c>
      <c r="C14" s="98">
        <v>0.95</v>
      </c>
      <c r="D14" s="56">
        <v>15.022196845122521</v>
      </c>
      <c r="E14" s="56" t="s">
        <v>183</v>
      </c>
      <c r="F14" s="98">
        <v>1</v>
      </c>
      <c r="G14" s="98">
        <v>1</v>
      </c>
    </row>
    <row r="15" spans="1:7" ht="15.75" customHeight="1" x14ac:dyDescent="0.25">
      <c r="A15" s="5" t="s">
        <v>179</v>
      </c>
      <c r="B15" s="98">
        <v>0.27672940000000001</v>
      </c>
      <c r="C15" s="98">
        <v>0.95</v>
      </c>
      <c r="D15" s="56">
        <v>15.022196845122521</v>
      </c>
      <c r="E15" s="56" t="s">
        <v>183</v>
      </c>
      <c r="F15" s="98">
        <v>1</v>
      </c>
      <c r="G15" s="98">
        <v>1</v>
      </c>
    </row>
    <row r="16" spans="1:7" ht="15.75" customHeight="1" x14ac:dyDescent="0.25">
      <c r="A16" s="5" t="s">
        <v>180</v>
      </c>
      <c r="B16" s="45">
        <v>0.93</v>
      </c>
      <c r="C16" s="98">
        <v>0.95</v>
      </c>
      <c r="D16" s="56">
        <v>0.22477769467930861</v>
      </c>
      <c r="E16" s="56" t="s">
        <v>183</v>
      </c>
      <c r="F16" s="98">
        <v>1</v>
      </c>
      <c r="G16" s="98">
        <v>1</v>
      </c>
    </row>
    <row r="17" spans="1:7" ht="15.75" customHeight="1" x14ac:dyDescent="0.25">
      <c r="A17" s="5" t="s">
        <v>181</v>
      </c>
      <c r="B17" s="98">
        <v>0.103311</v>
      </c>
      <c r="C17" s="98">
        <v>0.95</v>
      </c>
      <c r="D17" s="56">
        <v>0.1369044839662158</v>
      </c>
      <c r="E17" s="56" t="s">
        <v>183</v>
      </c>
      <c r="F17" s="98">
        <v>1</v>
      </c>
      <c r="G17" s="98">
        <v>1</v>
      </c>
    </row>
    <row r="18" spans="1:7" ht="15.9" customHeight="1" x14ac:dyDescent="0.25">
      <c r="A18" s="5" t="s">
        <v>151</v>
      </c>
      <c r="B18" s="98">
        <v>0.12785598252374</v>
      </c>
      <c r="C18" s="98">
        <v>0.95</v>
      </c>
      <c r="D18" s="56">
        <v>1.2741986036609081</v>
      </c>
      <c r="E18" s="56" t="s">
        <v>183</v>
      </c>
      <c r="F18" s="98">
        <v>1</v>
      </c>
      <c r="G18" s="98">
        <v>1</v>
      </c>
    </row>
    <row r="19" spans="1:7" ht="15.75" customHeight="1" x14ac:dyDescent="0.25">
      <c r="A19" s="5" t="s">
        <v>152</v>
      </c>
      <c r="B19" s="98">
        <v>0.2291919</v>
      </c>
      <c r="C19" s="98">
        <v>0.95</v>
      </c>
      <c r="D19" s="56">
        <v>1.2741986036609081</v>
      </c>
      <c r="E19" s="56" t="s">
        <v>183</v>
      </c>
      <c r="F19" s="98">
        <v>1</v>
      </c>
      <c r="G19" s="98">
        <v>1</v>
      </c>
    </row>
    <row r="20" spans="1:7" ht="15.75" customHeight="1" x14ac:dyDescent="0.25">
      <c r="A20" s="5" t="s">
        <v>153</v>
      </c>
      <c r="B20" s="98">
        <v>0</v>
      </c>
      <c r="C20" s="98">
        <v>0.95</v>
      </c>
      <c r="D20" s="56">
        <v>99.99</v>
      </c>
      <c r="E20" s="56" t="s">
        <v>183</v>
      </c>
      <c r="F20" s="98">
        <v>1</v>
      </c>
      <c r="G20" s="98">
        <v>1</v>
      </c>
    </row>
    <row r="21" spans="1:7" ht="15.75" customHeight="1" x14ac:dyDescent="0.25">
      <c r="A21" s="5" t="s">
        <v>182</v>
      </c>
      <c r="B21" s="45">
        <v>0.20684730000000001</v>
      </c>
      <c r="C21" s="98">
        <v>0.95</v>
      </c>
      <c r="D21" s="56">
        <v>1.617657643758611</v>
      </c>
      <c r="E21" s="56" t="s">
        <v>183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25.587629641895109</v>
      </c>
      <c r="E22" s="56" t="s">
        <v>183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4.9145085291285842</v>
      </c>
      <c r="E23" s="56" t="s">
        <v>183</v>
      </c>
      <c r="F23" s="98">
        <v>1</v>
      </c>
      <c r="G23" s="98">
        <v>1</v>
      </c>
    </row>
    <row r="24" spans="1:7" ht="15.75" customHeight="1" x14ac:dyDescent="0.25">
      <c r="A24" s="5" t="s">
        <v>188</v>
      </c>
      <c r="B24" s="45">
        <v>0.76009326395977994</v>
      </c>
      <c r="C24" s="98">
        <v>0.95</v>
      </c>
      <c r="D24" s="56">
        <v>99.99</v>
      </c>
      <c r="E24" s="56" t="s">
        <v>183</v>
      </c>
      <c r="F24" s="98">
        <v>1</v>
      </c>
      <c r="G24" s="98">
        <v>1</v>
      </c>
    </row>
    <row r="25" spans="1:7" ht="15.75" customHeight="1" x14ac:dyDescent="0.25">
      <c r="A25" s="5" t="s">
        <v>189</v>
      </c>
      <c r="B25" s="98">
        <v>0</v>
      </c>
      <c r="C25" s="98">
        <v>0.95</v>
      </c>
      <c r="D25" s="56">
        <v>99.99</v>
      </c>
      <c r="E25" s="56" t="s">
        <v>183</v>
      </c>
      <c r="F25" s="98">
        <v>1</v>
      </c>
      <c r="G25" s="98">
        <v>1</v>
      </c>
    </row>
    <row r="26" spans="1:7" ht="15.75" customHeight="1" x14ac:dyDescent="0.25">
      <c r="A26" s="5" t="s">
        <v>190</v>
      </c>
      <c r="B26" s="45">
        <v>0.27672940000000001</v>
      </c>
      <c r="C26" s="98">
        <v>0.95</v>
      </c>
      <c r="D26" s="56">
        <v>99.99</v>
      </c>
      <c r="E26" s="56" t="s">
        <v>183</v>
      </c>
      <c r="F26" s="98">
        <v>1</v>
      </c>
      <c r="G26" s="98">
        <v>1</v>
      </c>
    </row>
    <row r="27" spans="1:7" ht="15.75" customHeight="1" x14ac:dyDescent="0.25">
      <c r="A27" s="5" t="s">
        <v>191</v>
      </c>
      <c r="B27" s="45">
        <v>0</v>
      </c>
      <c r="C27" s="98">
        <v>0.95</v>
      </c>
      <c r="D27" s="56">
        <v>21.711791130794801</v>
      </c>
      <c r="E27" s="56" t="s">
        <v>183</v>
      </c>
      <c r="F27" s="98">
        <v>1</v>
      </c>
      <c r="G27" s="98">
        <v>1</v>
      </c>
    </row>
    <row r="28" spans="1:7" ht="15.75" customHeight="1" x14ac:dyDescent="0.25">
      <c r="A28" s="5" t="s">
        <v>192</v>
      </c>
      <c r="B28" s="45">
        <v>0.72089656009145997</v>
      </c>
      <c r="C28" s="98">
        <v>0.95</v>
      </c>
      <c r="D28" s="56">
        <v>99.99</v>
      </c>
      <c r="E28" s="56" t="s">
        <v>183</v>
      </c>
      <c r="F28" s="98">
        <v>1</v>
      </c>
      <c r="G28" s="98">
        <v>1</v>
      </c>
    </row>
    <row r="29" spans="1:7" ht="15.75" customHeight="1" x14ac:dyDescent="0.25">
      <c r="A29" s="5" t="s">
        <v>193</v>
      </c>
      <c r="B29" s="45">
        <v>0</v>
      </c>
      <c r="C29" s="98">
        <v>0.95</v>
      </c>
      <c r="D29" s="56">
        <v>60.674348370795308</v>
      </c>
      <c r="E29" s="56" t="s">
        <v>183</v>
      </c>
      <c r="F29" s="98">
        <v>1</v>
      </c>
      <c r="G29" s="98">
        <v>1</v>
      </c>
    </row>
    <row r="30" spans="1:7" ht="15.75" customHeight="1" x14ac:dyDescent="0.25">
      <c r="A30" s="5" t="s">
        <v>204</v>
      </c>
      <c r="B30" s="98">
        <v>0</v>
      </c>
      <c r="C30" s="98">
        <v>0.95</v>
      </c>
      <c r="D30" s="56">
        <v>99</v>
      </c>
      <c r="E30" s="56" t="s">
        <v>183</v>
      </c>
      <c r="F30" s="98">
        <v>1</v>
      </c>
      <c r="G30" s="98">
        <v>1</v>
      </c>
    </row>
    <row r="31" spans="1:7" ht="15.75" customHeight="1" x14ac:dyDescent="0.25">
      <c r="A31" s="5" t="s">
        <v>164</v>
      </c>
      <c r="B31" s="45">
        <v>0.66</v>
      </c>
      <c r="C31" s="98">
        <v>0.95</v>
      </c>
      <c r="D31" s="56">
        <v>2.935143539368509</v>
      </c>
      <c r="E31" s="56" t="s">
        <v>183</v>
      </c>
      <c r="F31" s="98">
        <v>1</v>
      </c>
      <c r="G31" s="98">
        <v>1</v>
      </c>
    </row>
    <row r="32" spans="1:7" ht="15.75" customHeight="1" x14ac:dyDescent="0.25">
      <c r="A32" s="5" t="s">
        <v>196</v>
      </c>
      <c r="B32" s="45">
        <v>0</v>
      </c>
      <c r="C32" s="98">
        <v>0.95</v>
      </c>
      <c r="D32" s="56">
        <v>0.41676337027171728</v>
      </c>
      <c r="E32" s="56" t="s">
        <v>183</v>
      </c>
      <c r="F32" s="98">
        <v>1</v>
      </c>
      <c r="G32" s="98">
        <v>1</v>
      </c>
    </row>
    <row r="33" spans="1:7" ht="15.75" customHeight="1" x14ac:dyDescent="0.25">
      <c r="A33" s="5" t="s">
        <v>197</v>
      </c>
      <c r="B33" s="45">
        <v>0</v>
      </c>
      <c r="C33" s="98">
        <v>0.95</v>
      </c>
      <c r="D33" s="56">
        <v>99.99</v>
      </c>
      <c r="E33" s="56" t="s">
        <v>183</v>
      </c>
      <c r="F33" s="98">
        <v>1</v>
      </c>
      <c r="G33" s="98">
        <v>1</v>
      </c>
    </row>
    <row r="34" spans="1:7" ht="15.75" customHeight="1" x14ac:dyDescent="0.25">
      <c r="A34" s="5" t="s">
        <v>198</v>
      </c>
      <c r="B34" s="45">
        <v>0.66</v>
      </c>
      <c r="C34" s="98">
        <v>0.95</v>
      </c>
      <c r="D34" s="56">
        <v>99.99</v>
      </c>
      <c r="E34" s="56" t="s">
        <v>183</v>
      </c>
      <c r="F34" s="98">
        <v>1</v>
      </c>
      <c r="G34" s="98">
        <v>1</v>
      </c>
    </row>
    <row r="35" spans="1:7" ht="15.75" customHeight="1" x14ac:dyDescent="0.25">
      <c r="A35" s="5" t="s">
        <v>199</v>
      </c>
      <c r="B35" s="98">
        <v>0</v>
      </c>
      <c r="C35" s="98">
        <v>0.95</v>
      </c>
      <c r="D35" s="56">
        <v>99.99</v>
      </c>
      <c r="E35" s="56" t="s">
        <v>183</v>
      </c>
      <c r="F35" s="98">
        <v>1</v>
      </c>
      <c r="G35" s="98">
        <v>1</v>
      </c>
    </row>
    <row r="36" spans="1:7" ht="15.75" customHeight="1" x14ac:dyDescent="0.25">
      <c r="A36" s="5" t="s">
        <v>200</v>
      </c>
      <c r="B36" s="45">
        <v>0.25069370000000002</v>
      </c>
      <c r="C36" s="98">
        <v>0.95</v>
      </c>
      <c r="D36" s="56">
        <v>99.99</v>
      </c>
      <c r="E36" s="56" t="s">
        <v>183</v>
      </c>
      <c r="F36" s="98">
        <v>1</v>
      </c>
      <c r="G36" s="98">
        <v>1</v>
      </c>
    </row>
    <row r="37" spans="1:7" ht="15.75" customHeight="1" x14ac:dyDescent="0.25">
      <c r="A37" s="5" t="s">
        <v>201</v>
      </c>
      <c r="B37" s="45">
        <v>0</v>
      </c>
      <c r="C37" s="98">
        <v>0.95</v>
      </c>
      <c r="D37" s="56">
        <v>99.99</v>
      </c>
      <c r="E37" s="56" t="s">
        <v>183</v>
      </c>
      <c r="F37" s="98">
        <v>1</v>
      </c>
      <c r="G37" s="98">
        <v>1</v>
      </c>
    </row>
    <row r="38" spans="1:7" ht="15.75" customHeight="1" x14ac:dyDescent="0.25">
      <c r="A38" s="5" t="s">
        <v>202</v>
      </c>
      <c r="B38" s="45">
        <v>0.85267629999999994</v>
      </c>
      <c r="C38" s="98">
        <v>0.95</v>
      </c>
      <c r="D38" s="56">
        <v>3.9579419154138891</v>
      </c>
      <c r="E38" s="56" t="s">
        <v>183</v>
      </c>
      <c r="F38" s="98">
        <v>1</v>
      </c>
      <c r="G38" s="98">
        <v>1</v>
      </c>
    </row>
    <row r="39" spans="1:7" ht="15.75" customHeight="1" x14ac:dyDescent="0.25">
      <c r="A39" s="5" t="s">
        <v>203</v>
      </c>
      <c r="B39" s="45">
        <v>0</v>
      </c>
      <c r="C39" s="98">
        <v>0.95</v>
      </c>
      <c r="D39" s="56">
        <v>99.99</v>
      </c>
      <c r="E39" s="56" t="s">
        <v>183</v>
      </c>
      <c r="F39" s="98">
        <v>1</v>
      </c>
      <c r="G39" s="98">
        <v>1</v>
      </c>
    </row>
  </sheetData>
  <sheetProtection algorithmName="SHA-512" hashValue="yv4gbRoYsReIZK8NlxQZa1a7vCGLsd95a1EZCk5DxGYFudZfWFVBaGlbk4Y+h8gx5DT3LluE24En4NPGit1hkA==" saltValue="RoQmk2094LeHAi33IlawY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163</v>
      </c>
      <c r="B1" s="4" t="s">
        <v>205</v>
      </c>
      <c r="C1" s="4" t="s">
        <v>206</v>
      </c>
    </row>
    <row r="2" spans="1:3" x14ac:dyDescent="0.25">
      <c r="A2" s="57" t="s">
        <v>178</v>
      </c>
      <c r="B2" s="47" t="s">
        <v>191</v>
      </c>
      <c r="C2" s="47"/>
    </row>
    <row r="3" spans="1:3" x14ac:dyDescent="0.25">
      <c r="A3" s="57" t="s">
        <v>179</v>
      </c>
      <c r="B3" s="47" t="s">
        <v>191</v>
      </c>
      <c r="C3" s="47"/>
    </row>
    <row r="4" spans="1:3" x14ac:dyDescent="0.25">
      <c r="A4" s="57" t="s">
        <v>193</v>
      </c>
      <c r="B4" s="47" t="s">
        <v>184</v>
      </c>
      <c r="C4" s="47"/>
    </row>
    <row r="5" spans="1:3" x14ac:dyDescent="0.25">
      <c r="A5" s="57" t="s">
        <v>190</v>
      </c>
      <c r="B5" s="47" t="s">
        <v>184</v>
      </c>
      <c r="C5" s="47"/>
    </row>
    <row r="6" spans="1:3" x14ac:dyDescent="0.25">
      <c r="A6" s="57" t="s">
        <v>193</v>
      </c>
      <c r="B6" s="58" t="s">
        <v>204</v>
      </c>
      <c r="C6" s="58"/>
    </row>
    <row r="7" spans="1:3" x14ac:dyDescent="0.25">
      <c r="A7" s="57" t="s">
        <v>190</v>
      </c>
      <c r="B7" s="58" t="s">
        <v>204</v>
      </c>
      <c r="C7" s="58"/>
    </row>
    <row r="8" spans="1:3" x14ac:dyDescent="0.25">
      <c r="A8" s="57" t="s">
        <v>203</v>
      </c>
      <c r="B8" s="58" t="s">
        <v>204</v>
      </c>
      <c r="C8" s="58"/>
    </row>
    <row r="9" spans="1:3" x14ac:dyDescent="0.25">
      <c r="A9" s="57" t="s">
        <v>196</v>
      </c>
      <c r="B9" s="58" t="s">
        <v>204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K7u1CcA7nLMj73lPA22EGgFvNYnLlXyv5Cf3p2u40cu8NzW5AubogZpoIC6dZ5aY+e0F9nI5n07dhNHijmfQEg==" saltValue="lr100ABfnWD/UizjpWTEE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163</v>
      </c>
    </row>
    <row r="2" spans="1:1" x14ac:dyDescent="0.25">
      <c r="A2" s="33" t="s">
        <v>170</v>
      </c>
    </row>
    <row r="3" spans="1:1" x14ac:dyDescent="0.25">
      <c r="A3" s="33" t="s">
        <v>180</v>
      </c>
    </row>
    <row r="4" spans="1:1" x14ac:dyDescent="0.25">
      <c r="A4" s="33" t="s">
        <v>185</v>
      </c>
    </row>
    <row r="5" spans="1:1" x14ac:dyDescent="0.25">
      <c r="A5" s="33" t="s">
        <v>197</v>
      </c>
    </row>
    <row r="6" spans="1:1" x14ac:dyDescent="0.25">
      <c r="A6" s="33" t="s">
        <v>198</v>
      </c>
    </row>
    <row r="7" spans="1:1" x14ac:dyDescent="0.25">
      <c r="A7" s="33" t="s">
        <v>199</v>
      </c>
    </row>
    <row r="8" spans="1:1" x14ac:dyDescent="0.25">
      <c r="A8" s="33" t="s">
        <v>200</v>
      </c>
    </row>
    <row r="9" spans="1:1" x14ac:dyDescent="0.25">
      <c r="A9" s="33" t="s">
        <v>201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J1eI/FB94ai+VKaTiN39pmzFo80tcxntPyw8291QbxL6S2+HsGyneOoU+OiGVndSSNbmN9iy+Y/6OqUmkL7sEg==" saltValue="vbw/r9AkQXpHCflz5bRGD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208</v>
      </c>
      <c r="B1" t="s">
        <v>78</v>
      </c>
      <c r="C1" t="s">
        <v>74</v>
      </c>
      <c r="D1" t="s">
        <v>77</v>
      </c>
      <c r="E1" t="s">
        <v>75</v>
      </c>
      <c r="F1" t="s">
        <v>76</v>
      </c>
    </row>
    <row r="2" spans="1:6" ht="15.75" customHeight="1" x14ac:dyDescent="0.25">
      <c r="A2" s="3" t="s">
        <v>84</v>
      </c>
      <c r="B2" s="21">
        <f>'Entradas de población-año base'!C51</f>
        <v>3.3</v>
      </c>
      <c r="C2" s="21">
        <f>'Entradas de población-año base'!C52</f>
        <v>3.3</v>
      </c>
      <c r="D2" s="21">
        <f>'Entradas de población-año base'!C53</f>
        <v>3.3</v>
      </c>
      <c r="E2" s="21">
        <f>'Entradas de población-año base'!C54</f>
        <v>3.3</v>
      </c>
      <c r="F2" s="21">
        <f>'Entradas de población-año base'!C55</f>
        <v>3.3</v>
      </c>
    </row>
    <row r="3" spans="1:6" ht="15.75" customHeight="1" x14ac:dyDescent="0.25">
      <c r="A3" s="3" t="s">
        <v>6</v>
      </c>
      <c r="B3" s="21">
        <f>frac_mam_1month * 2.6</f>
        <v>7.7775620000000004E-2</v>
      </c>
      <c r="C3" s="21">
        <f>frac_mam_1_5months * 2.6</f>
        <v>7.7775620000000004E-2</v>
      </c>
      <c r="D3" s="21">
        <f>frac_mam_6_11months * 2.6</f>
        <v>0.25643956000000007</v>
      </c>
      <c r="E3" s="21">
        <f>frac_mam_12_23months * 2.6</f>
        <v>0.18350981999999999</v>
      </c>
      <c r="F3" s="21">
        <f>frac_mam_24_59months * 2.6</f>
        <v>7.0893420000000013E-2</v>
      </c>
    </row>
    <row r="4" spans="1:6" ht="15.75" customHeight="1" x14ac:dyDescent="0.25">
      <c r="A4" s="3" t="s">
        <v>207</v>
      </c>
      <c r="B4" s="21">
        <f>frac_sam_1month * 2.6</f>
        <v>2.9546660000000002E-2</v>
      </c>
      <c r="C4" s="21">
        <f>frac_sam_1_5months * 2.6</f>
        <v>2.9546660000000002E-2</v>
      </c>
      <c r="D4" s="21">
        <f>frac_sam_6_11months * 2.6</f>
        <v>3.1642000000000003E-2</v>
      </c>
      <c r="E4" s="21">
        <f>frac_sam_12_23months * 2.6</f>
        <v>5.0334700000000003E-2</v>
      </c>
      <c r="F4" s="21">
        <f>frac_sam_24_59months * 2.6</f>
        <v>1.9645600000000003E-2</v>
      </c>
    </row>
  </sheetData>
  <sheetProtection algorithmName="SHA-512" hashValue="HI4ezk9gDwsdgrarQWJDEo/NZ0Wcq8SWgmRkuJc3dj3gWLI9QdjGfW8wiMukaz0FECjQIC0SnPc10nkbdqc2XQ==" saltValue="NgJPXjxjEOQefGMGK9yrPQ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">
      <c r="A2" s="4" t="s">
        <v>83</v>
      </c>
      <c r="B2" s="5" t="s">
        <v>167</v>
      </c>
      <c r="C2" s="60">
        <v>0</v>
      </c>
      <c r="D2" s="60">
        <f>food_insecure</f>
        <v>0.40100000000000002</v>
      </c>
      <c r="E2" s="60">
        <f>food_insecure</f>
        <v>0.40100000000000002</v>
      </c>
      <c r="F2" s="60">
        <f>food_insecure</f>
        <v>0.40100000000000002</v>
      </c>
      <c r="G2" s="60">
        <f>food_insecure</f>
        <v>0.40100000000000002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169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182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0.40100000000000002</v>
      </c>
      <c r="F5" s="60">
        <f>food_insecure</f>
        <v>0.40100000000000002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190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192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193</v>
      </c>
      <c r="C8" s="60">
        <v>0</v>
      </c>
      <c r="D8" s="60">
        <v>0</v>
      </c>
      <c r="E8" s="60">
        <f>food_insecure</f>
        <v>0.40100000000000002</v>
      </c>
      <c r="F8" s="60">
        <f>food_insecure</f>
        <v>0.40100000000000002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204</v>
      </c>
      <c r="C9" s="60">
        <v>0</v>
      </c>
      <c r="D9" s="60">
        <v>0</v>
      </c>
      <c r="E9" s="60">
        <f>food_insecure</f>
        <v>0.40100000000000002</v>
      </c>
      <c r="F9" s="60">
        <f>food_insecure</f>
        <v>0.40100000000000002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164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202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104</v>
      </c>
      <c r="B15" s="9" t="s">
        <v>165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0.40100000000000002</v>
      </c>
      <c r="I15" s="60">
        <f>food_insecure</f>
        <v>0.40100000000000002</v>
      </c>
      <c r="J15" s="60">
        <f>food_insecure</f>
        <v>0.40100000000000002</v>
      </c>
      <c r="K15" s="60">
        <f>food_insecure</f>
        <v>0.40100000000000002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166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178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179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180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0.99900000000000011</v>
      </c>
      <c r="I19" s="60">
        <f>frac_malaria_risk</f>
        <v>0.99900000000000011</v>
      </c>
      <c r="J19" s="60">
        <f>frac_malaria_risk</f>
        <v>0.99900000000000011</v>
      </c>
      <c r="K19" s="60">
        <f>frac_malaria_risk</f>
        <v>0.99900000000000011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188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189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191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211</v>
      </c>
      <c r="B24" s="11" t="s">
        <v>170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0.625</v>
      </c>
      <c r="M24" s="60">
        <f>famplan_unmet_need</f>
        <v>0.625</v>
      </c>
      <c r="N24" s="60">
        <f>famplan_unmet_need</f>
        <v>0.625</v>
      </c>
      <c r="O24" s="60">
        <f>famplan_unmet_need</f>
        <v>0.625</v>
      </c>
    </row>
    <row r="25" spans="1:15" ht="15.75" customHeight="1" x14ac:dyDescent="0.25">
      <c r="B25" s="11" t="s">
        <v>174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0.36195958108329768</v>
      </c>
      <c r="M25" s="60">
        <f>(1-food_insecure)*(0.49)+food_insecure*(0.7)</f>
        <v>0.57421</v>
      </c>
      <c r="N25" s="60">
        <f>(1-food_insecure)*(0.49)+food_insecure*(0.7)</f>
        <v>0.57421</v>
      </c>
      <c r="O25" s="60">
        <f>(1-food_insecure)*(0.49)+food_insecure*(0.7)</f>
        <v>0.57421</v>
      </c>
    </row>
    <row r="26" spans="1:15" ht="15.75" customHeight="1" x14ac:dyDescent="0.25">
      <c r="B26" s="11" t="s">
        <v>175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0.15512553474998469</v>
      </c>
      <c r="M26" s="60">
        <f>(1-food_insecure)*(0.21)+food_insecure*(0.3)</f>
        <v>0.24608999999999998</v>
      </c>
      <c r="N26" s="60">
        <f>(1-food_insecure)*(0.21)+food_insecure*(0.3)</f>
        <v>0.24608999999999998</v>
      </c>
      <c r="O26" s="60">
        <f>(1-food_insecure)*(0.21)+food_insecure*(0.3)</f>
        <v>0.24608999999999998</v>
      </c>
    </row>
    <row r="27" spans="1:15" ht="15.75" customHeight="1" x14ac:dyDescent="0.25">
      <c r="B27" s="11" t="s">
        <v>176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0.11327586896896361</v>
      </c>
      <c r="M27" s="60">
        <f>(1-food_insecure)*(0.3)</f>
        <v>0.1797</v>
      </c>
      <c r="N27" s="60">
        <f>(1-food_insecure)*(0.3)</f>
        <v>0.1797</v>
      </c>
      <c r="O27" s="60">
        <f>(1-food_insecure)*(0.3)</f>
        <v>0.1797</v>
      </c>
    </row>
    <row r="28" spans="1:15" ht="15.75" customHeight="1" x14ac:dyDescent="0.25">
      <c r="B28" s="11" t="s">
        <v>177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0.369639015197754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171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172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173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181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0.99900000000000011</v>
      </c>
      <c r="D34" s="60">
        <f t="shared" si="3"/>
        <v>0.99900000000000011</v>
      </c>
      <c r="E34" s="60">
        <f t="shared" si="3"/>
        <v>0.99900000000000011</v>
      </c>
      <c r="F34" s="60">
        <f t="shared" si="3"/>
        <v>0.99900000000000011</v>
      </c>
      <c r="G34" s="60">
        <f t="shared" si="3"/>
        <v>0.99900000000000011</v>
      </c>
      <c r="H34" s="60">
        <f t="shared" si="3"/>
        <v>0.99900000000000011</v>
      </c>
      <c r="I34" s="60">
        <f t="shared" si="3"/>
        <v>0.99900000000000011</v>
      </c>
      <c r="J34" s="60">
        <f t="shared" si="3"/>
        <v>0.99900000000000011</v>
      </c>
      <c r="K34" s="60">
        <f t="shared" si="3"/>
        <v>0.99900000000000011</v>
      </c>
      <c r="L34" s="60">
        <f t="shared" si="3"/>
        <v>0.99900000000000011</v>
      </c>
      <c r="M34" s="60">
        <f t="shared" si="3"/>
        <v>0.99900000000000011</v>
      </c>
      <c r="N34" s="60">
        <f t="shared" si="3"/>
        <v>0.99900000000000011</v>
      </c>
      <c r="O34" s="60">
        <f t="shared" si="3"/>
        <v>0.99900000000000011</v>
      </c>
    </row>
    <row r="35" spans="2:15" ht="15.75" customHeight="1" x14ac:dyDescent="0.25">
      <c r="B35" s="9" t="s">
        <v>197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200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201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u2VCP36wVIq2YJ65LTaFcli9RR7/KNN/O2VZS4TcEPAfzgCeh8tT+7HOW3XUpVOfuGAH2HHLf6PbXwzOytaOiQ==" saltValue="AL0gGr/S0kuzFteF1RWNk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183</v>
      </c>
    </row>
    <row r="2" spans="1:1" x14ac:dyDescent="0.25">
      <c r="A2" s="8" t="s">
        <v>213</v>
      </c>
    </row>
    <row r="3" spans="1:1" x14ac:dyDescent="0.25">
      <c r="A3" s="8" t="s">
        <v>212</v>
      </c>
    </row>
    <row r="4" spans="1:1" x14ac:dyDescent="0.25">
      <c r="A4" s="8" t="s">
        <v>214</v>
      </c>
    </row>
  </sheetData>
  <sheetProtection algorithmName="SHA-512" hashValue="zytsvGBAKdDuvCsPRalgIZfx2ypzhUr0VuXt9M19hcRZnO/mXYKHZ29uddvZVUyl7ZjGz/YKa205wthBzFXvew==" saltValue="vt3JCKJZaC4F2EOaZepN8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223</v>
      </c>
      <c r="B1" s="4" t="s">
        <v>216</v>
      </c>
      <c r="C1" s="4" t="s">
        <v>227</v>
      </c>
      <c r="D1" s="4" t="s">
        <v>145</v>
      </c>
      <c r="E1" s="4" t="s">
        <v>225</v>
      </c>
    </row>
    <row r="2" spans="1:5" ht="14" customHeight="1" x14ac:dyDescent="0.3">
      <c r="A2" s="28" t="s">
        <v>215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222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o8K1FJ24YBRNyymlg2poyalyUPj9ZbDqsPqMea6elI5BHxW8zMFEy/srwdSE6qXBBfx40tMWWUul7cMmV1tWfQ==" saltValue="A6fWQWF90nxHsqyIb8aGu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5">
      <c r="A2" s="4" t="s">
        <v>83</v>
      </c>
      <c r="B2" s="5" t="s">
        <v>167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169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152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153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182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190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192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193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164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202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104</v>
      </c>
      <c r="B18" s="5" t="s">
        <v>165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166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178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179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180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188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189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191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211</v>
      </c>
      <c r="B27" s="5" t="s">
        <v>170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174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175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176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177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171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172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173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181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200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201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qQxVG/cTWPy4em9gzW15hvMC/47Rcq2gj+M+DJj8wzot9OylHyBunfF0CunKfnV6dBsYJ4Kfkr4xG2otU/eECA==" saltValue="PQCTD/fRXtVQ/sLL+5043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x14ac:dyDescent="0.25">
      <c r="A2" s="5" t="s">
        <v>165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x14ac:dyDescent="0.25">
      <c r="A3" s="5" t="s">
        <v>166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x14ac:dyDescent="0.25">
      <c r="A4" s="5" t="s">
        <v>167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169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170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x14ac:dyDescent="0.25">
      <c r="A7" s="5" t="s">
        <v>171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x14ac:dyDescent="0.25">
      <c r="A8" s="5" t="s">
        <v>172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x14ac:dyDescent="0.25">
      <c r="A9" s="5" t="s">
        <v>173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x14ac:dyDescent="0.25">
      <c r="A10" s="11" t="s">
        <v>174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175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176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177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178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x14ac:dyDescent="0.25">
      <c r="A15" s="5" t="s">
        <v>179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x14ac:dyDescent="0.25">
      <c r="A16" s="5" t="s">
        <v>180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x14ac:dyDescent="0.25">
      <c r="A17" s="5" t="s">
        <v>181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151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x14ac:dyDescent="0.25">
      <c r="A19" s="5" t="s">
        <v>152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x14ac:dyDescent="0.25">
      <c r="A20" s="5" t="s">
        <v>153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x14ac:dyDescent="0.25">
      <c r="A21" s="5" t="s">
        <v>182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184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188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189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190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191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192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193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204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164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196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197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198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199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200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201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202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203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mNSj8ZWPriZH/FkfP6sE0qD8LzGshJMJgXyawzQDj1et/+gQsoAvgjPu33l8jz0C0ot+O5eHPrH+Dd4oQjutgQ==" saltValue="IjT0dhRTN+4Q8oeyNVrSn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x14ac:dyDescent="0.25">
      <c r="A2" s="8" t="s">
        <v>78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x14ac:dyDescent="0.25">
      <c r="A3" s="8" t="s">
        <v>74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x14ac:dyDescent="0.25">
      <c r="A4" s="8" t="s">
        <v>77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x14ac:dyDescent="0.25">
      <c r="A5" s="8" t="s">
        <v>75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x14ac:dyDescent="0.25">
      <c r="A6" s="8" t="s">
        <v>76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x14ac:dyDescent="0.25">
      <c r="A7" s="8" t="s">
        <v>113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x14ac:dyDescent="0.25">
      <c r="A8" s="8" t="s">
        <v>114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x14ac:dyDescent="0.25">
      <c r="A9" s="8" t="s">
        <v>115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x14ac:dyDescent="0.25">
      <c r="A10" s="8" t="s">
        <v>116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x14ac:dyDescent="0.25">
      <c r="A11" s="8" t="s">
        <v>68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x14ac:dyDescent="0.25">
      <c r="A12" s="8" t="s">
        <v>69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x14ac:dyDescent="0.25">
      <c r="A13" s="8" t="s">
        <v>70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x14ac:dyDescent="0.25">
      <c r="A14" s="8" t="s">
        <v>71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3ikV5N+d/ZbGyoR59xgCdQ3vDzD0XJQIfPQ2+uZWeo+j1h+1qo8JA1zmYIZ3DpyadoFw1wd0ZzpJmjV7w7JpVQ==" saltValue="A9AMPcOUFN3UeMvuMj/3Z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234</v>
      </c>
      <c r="B1" s="4" t="s">
        <v>156</v>
      </c>
      <c r="C1" s="4" t="s">
        <v>160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10" ht="13" customHeight="1" x14ac:dyDescent="0.3">
      <c r="A2" s="4" t="s">
        <v>236</v>
      </c>
      <c r="B2" s="103" t="s">
        <v>104</v>
      </c>
      <c r="C2" s="8" t="s">
        <v>150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78</v>
      </c>
      <c r="C5" s="8" t="s">
        <v>150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149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74</v>
      </c>
      <c r="C8" s="8" t="s">
        <v>150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149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77</v>
      </c>
      <c r="C11" s="8" t="s">
        <v>150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149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75</v>
      </c>
      <c r="C14" s="8" t="s">
        <v>150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149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148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242</v>
      </c>
      <c r="B19" s="103" t="s">
        <v>104</v>
      </c>
      <c r="C19" s="8" t="s">
        <v>150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78</v>
      </c>
      <c r="C22" s="8" t="s">
        <v>150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74</v>
      </c>
      <c r="C25" s="8" t="s">
        <v>150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77</v>
      </c>
      <c r="C28" s="8" t="s">
        <v>150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75</v>
      </c>
      <c r="C31" s="8" t="s">
        <v>150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148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239</v>
      </c>
      <c r="B36" s="103" t="s">
        <v>104</v>
      </c>
      <c r="C36" s="8" t="s">
        <v>150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78</v>
      </c>
      <c r="C39" s="8" t="s">
        <v>150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74</v>
      </c>
      <c r="C42" s="8" t="s">
        <v>150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77</v>
      </c>
      <c r="C45" s="8" t="s">
        <v>150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75</v>
      </c>
      <c r="C48" s="8" t="s">
        <v>150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148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234</v>
      </c>
      <c r="B54" s="4" t="s">
        <v>156</v>
      </c>
      <c r="C54" s="4" t="s">
        <v>160</v>
      </c>
      <c r="D54" s="4" t="s">
        <v>78</v>
      </c>
      <c r="E54" s="4" t="s">
        <v>74</v>
      </c>
      <c r="F54" s="4" t="s">
        <v>77</v>
      </c>
      <c r="G54" s="4" t="s">
        <v>75</v>
      </c>
      <c r="H54" s="4" t="s">
        <v>76</v>
      </c>
    </row>
    <row r="55" spans="1:8" ht="13" customHeight="1" x14ac:dyDescent="0.3">
      <c r="A55" s="4" t="s">
        <v>237</v>
      </c>
      <c r="B55" s="103" t="s">
        <v>104</v>
      </c>
      <c r="C55" s="8" t="s">
        <v>150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78</v>
      </c>
      <c r="C58" s="8" t="s">
        <v>150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149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74</v>
      </c>
      <c r="C61" s="8" t="s">
        <v>150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149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77</v>
      </c>
      <c r="C64" s="8" t="s">
        <v>150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149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75</v>
      </c>
      <c r="C67" s="8" t="s">
        <v>150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148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243</v>
      </c>
      <c r="B72" s="103" t="s">
        <v>104</v>
      </c>
      <c r="C72" s="8" t="s">
        <v>150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78</v>
      </c>
      <c r="C75" s="8" t="s">
        <v>150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74</v>
      </c>
      <c r="C78" s="8" t="s">
        <v>150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77</v>
      </c>
      <c r="C81" s="8" t="s">
        <v>150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75</v>
      </c>
      <c r="C84" s="8" t="s">
        <v>150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148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240</v>
      </c>
      <c r="B89" s="103" t="s">
        <v>104</v>
      </c>
      <c r="C89" s="8" t="s">
        <v>150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78</v>
      </c>
      <c r="C92" s="8" t="s">
        <v>150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74</v>
      </c>
      <c r="C95" s="8" t="s">
        <v>150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77</v>
      </c>
      <c r="C98" s="8" t="s">
        <v>150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75</v>
      </c>
      <c r="C101" s="8" t="s">
        <v>150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148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245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234</v>
      </c>
      <c r="B107" s="4" t="s">
        <v>156</v>
      </c>
      <c r="C107" s="4" t="s">
        <v>160</v>
      </c>
      <c r="D107" s="4" t="s">
        <v>78</v>
      </c>
      <c r="E107" s="4" t="s">
        <v>74</v>
      </c>
      <c r="F107" s="4" t="s">
        <v>77</v>
      </c>
      <c r="G107" s="4" t="s">
        <v>75</v>
      </c>
      <c r="H107" s="4" t="s">
        <v>76</v>
      </c>
    </row>
    <row r="108" spans="1:8" ht="13" customHeight="1" x14ac:dyDescent="0.3">
      <c r="A108" s="4" t="s">
        <v>238</v>
      </c>
      <c r="B108" s="103" t="s">
        <v>104</v>
      </c>
      <c r="C108" s="8" t="s">
        <v>150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78</v>
      </c>
      <c r="C111" s="8" t="s">
        <v>150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149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155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74</v>
      </c>
      <c r="C114" s="8" t="s">
        <v>150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149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155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77</v>
      </c>
      <c r="C117" s="8" t="s">
        <v>150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149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155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75</v>
      </c>
      <c r="C120" s="8" t="s">
        <v>150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149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155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148</v>
      </c>
      <c r="C123" s="8" t="s">
        <v>155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244</v>
      </c>
      <c r="B125" s="103" t="s">
        <v>104</v>
      </c>
      <c r="C125" s="8" t="s">
        <v>150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149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155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78</v>
      </c>
      <c r="C128" s="8" t="s">
        <v>150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149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155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74</v>
      </c>
      <c r="C131" s="8" t="s">
        <v>150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149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155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77</v>
      </c>
      <c r="C134" s="8" t="s">
        <v>150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149</v>
      </c>
      <c r="D135" s="88">
        <f t="shared" ref="D135:H140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155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75</v>
      </c>
      <c r="C137" s="8" t="s">
        <v>150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149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155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148</v>
      </c>
      <c r="C140" s="8" t="s">
        <v>155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241</v>
      </c>
      <c r="B142" s="103" t="s">
        <v>104</v>
      </c>
      <c r="C142" s="8" t="s">
        <v>150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149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155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78</v>
      </c>
      <c r="C145" s="8" t="s">
        <v>150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149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155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74</v>
      </c>
      <c r="C148" s="8" t="s">
        <v>150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149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155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77</v>
      </c>
      <c r="C151" s="8" t="s">
        <v>150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149</v>
      </c>
      <c r="D152" s="88">
        <f t="shared" ref="D152:H157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155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75</v>
      </c>
      <c r="C154" s="8" t="s">
        <v>150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149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155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148</v>
      </c>
      <c r="C157" s="8" t="s">
        <v>155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Nfi0XzND3iXTjVffYEcZA1+JkZEmoGla0VndprgRxau22Kb2w7KdqTcEnoYaV3N1jJfjL+IeeSOa07aclagmJA==" saltValue="0vofpQvwbYmOPqQSQdMqRQ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248</v>
      </c>
    </row>
    <row r="2" spans="1:6" ht="15.75" customHeight="1" x14ac:dyDescent="0.3">
      <c r="B2" s="69"/>
      <c r="C2" s="26" t="s">
        <v>58</v>
      </c>
      <c r="D2" s="70" t="s">
        <v>59</v>
      </c>
      <c r="E2" s="70" t="s">
        <v>51</v>
      </c>
      <c r="F2" s="70" t="s">
        <v>52</v>
      </c>
    </row>
    <row r="3" spans="1:6" ht="15.75" customHeight="1" x14ac:dyDescent="0.3">
      <c r="A3" s="4" t="s">
        <v>255</v>
      </c>
      <c r="B3" s="14"/>
      <c r="C3" s="71"/>
      <c r="D3" s="72"/>
      <c r="E3" s="72"/>
      <c r="F3" s="72"/>
    </row>
    <row r="4" spans="1:6" ht="15.75" customHeight="1" x14ac:dyDescent="0.25">
      <c r="B4" s="5" t="s">
        <v>27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63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10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11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252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261</v>
      </c>
      <c r="C11" s="74"/>
      <c r="D11" s="75"/>
      <c r="E11" s="75"/>
      <c r="F11" s="75"/>
    </row>
    <row r="12" spans="1:6" ht="15.75" customHeight="1" x14ac:dyDescent="0.3">
      <c r="A12" s="4" t="s">
        <v>249</v>
      </c>
      <c r="C12" s="73"/>
      <c r="D12" s="64"/>
      <c r="E12" s="64"/>
      <c r="F12" s="64"/>
    </row>
    <row r="13" spans="1:6" ht="15.75" customHeight="1" x14ac:dyDescent="0.25">
      <c r="B13" s="11" t="s">
        <v>264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119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258</v>
      </c>
      <c r="B17" s="14"/>
      <c r="C17" s="77"/>
      <c r="D17" s="78"/>
      <c r="E17" s="78"/>
      <c r="F17" s="78"/>
    </row>
    <row r="18" spans="1:6" ht="15.75" customHeight="1" x14ac:dyDescent="0.25">
      <c r="B18" s="5" t="s">
        <v>93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95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96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98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92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94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248</v>
      </c>
    </row>
    <row r="29" spans="1:6" ht="15.75" customHeight="1" x14ac:dyDescent="0.3">
      <c r="B29" s="69"/>
      <c r="C29" s="26" t="s">
        <v>58</v>
      </c>
      <c r="D29" s="70" t="s">
        <v>59</v>
      </c>
      <c r="E29" s="70" t="s">
        <v>51</v>
      </c>
      <c r="F29" s="70" t="s">
        <v>52</v>
      </c>
    </row>
    <row r="30" spans="1:6" ht="15.75" customHeight="1" x14ac:dyDescent="0.3">
      <c r="A30" s="4" t="s">
        <v>256</v>
      </c>
      <c r="B30" s="14"/>
      <c r="C30" s="71"/>
      <c r="D30" s="72"/>
      <c r="E30" s="72"/>
      <c r="F30" s="72"/>
    </row>
    <row r="31" spans="1:6" ht="15.75" customHeight="1" x14ac:dyDescent="0.25">
      <c r="B31" s="5" t="s">
        <v>27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63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10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11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261</v>
      </c>
      <c r="B38" s="68"/>
      <c r="C38" s="74"/>
      <c r="D38" s="75"/>
      <c r="E38" s="75"/>
      <c r="F38" s="75"/>
    </row>
    <row r="39" spans="1:6" ht="15.75" customHeight="1" x14ac:dyDescent="0.3">
      <c r="A39" s="4" t="s">
        <v>250</v>
      </c>
      <c r="C39" s="73"/>
      <c r="D39" s="64"/>
      <c r="E39" s="64"/>
      <c r="F39" s="64"/>
    </row>
    <row r="40" spans="1:6" ht="15.75" customHeight="1" x14ac:dyDescent="0.25">
      <c r="B40" s="11" t="s">
        <v>265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246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262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259</v>
      </c>
      <c r="B44" s="14"/>
      <c r="C44" s="77"/>
      <c r="D44" s="78"/>
      <c r="E44" s="78"/>
      <c r="F44" s="78"/>
    </row>
    <row r="45" spans="1:6" ht="15.75" customHeight="1" x14ac:dyDescent="0.25">
      <c r="B45" s="5" t="s">
        <v>93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95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96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98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92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94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245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248</v>
      </c>
    </row>
    <row r="56" spans="1:6" ht="15.75" customHeight="1" x14ac:dyDescent="0.3">
      <c r="B56" s="69"/>
      <c r="C56" s="26" t="s">
        <v>58</v>
      </c>
      <c r="D56" s="70" t="s">
        <v>59</v>
      </c>
      <c r="E56" s="70" t="s">
        <v>51</v>
      </c>
      <c r="F56" s="70" t="s">
        <v>52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63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10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11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261</v>
      </c>
      <c r="B65" s="68"/>
      <c r="C65" s="74"/>
      <c r="D65" s="75"/>
      <c r="E65" s="75"/>
      <c r="F65" s="75"/>
    </row>
    <row r="66" spans="1:6" ht="15.75" customHeight="1" x14ac:dyDescent="0.3">
      <c r="A66" s="4" t="s">
        <v>251</v>
      </c>
      <c r="C66" s="73"/>
      <c r="D66" s="64"/>
      <c r="E66" s="64"/>
      <c r="F66" s="64"/>
    </row>
    <row r="67" spans="1:6" ht="15.75" customHeight="1" x14ac:dyDescent="0.25">
      <c r="B67" s="11" t="s">
        <v>266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247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263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260</v>
      </c>
      <c r="B71" s="14"/>
      <c r="C71" s="77"/>
      <c r="D71" s="78"/>
      <c r="E71" s="78"/>
      <c r="F71" s="78"/>
    </row>
    <row r="72" spans="1:6" ht="15.75" customHeight="1" x14ac:dyDescent="0.25">
      <c r="B72" s="5" t="s">
        <v>93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95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96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98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92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94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lcfz6+2YPHr8YluusdA32B8+XrOFxS9oMikisoyWVzUvSVALqnWvevcn6W3px6GkEJEP8lhSJgSCbt5shy/v8A==" saltValue="nea40EiH+5ioIVvamdgss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30" sqref="D30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278</v>
      </c>
    </row>
    <row r="2" spans="1:16" ht="13" customHeight="1" x14ac:dyDescent="0.3">
      <c r="A2" s="39" t="s">
        <v>230</v>
      </c>
      <c r="B2" s="1" t="s">
        <v>270</v>
      </c>
      <c r="C2" s="1" t="s">
        <v>271</v>
      </c>
      <c r="D2" s="70" t="s">
        <v>78</v>
      </c>
      <c r="E2" s="70" t="s">
        <v>74</v>
      </c>
      <c r="F2" s="70" t="s">
        <v>77</v>
      </c>
      <c r="G2" s="70" t="s">
        <v>75</v>
      </c>
      <c r="H2" s="70" t="s">
        <v>76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84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273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274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272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102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273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274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272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273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274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272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273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274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272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273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274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272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99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273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274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272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279</v>
      </c>
    </row>
    <row r="29" spans="1:16" ht="13" customHeight="1" x14ac:dyDescent="0.3">
      <c r="A29" s="39" t="s">
        <v>282</v>
      </c>
      <c r="B29" s="4" t="s">
        <v>270</v>
      </c>
      <c r="C29" s="4" t="s">
        <v>281</v>
      </c>
      <c r="D29" s="70" t="s">
        <v>78</v>
      </c>
      <c r="E29" s="70" t="s">
        <v>74</v>
      </c>
      <c r="F29" s="70" t="s">
        <v>77</v>
      </c>
      <c r="G29" s="70" t="s">
        <v>75</v>
      </c>
      <c r="H29" s="70" t="s">
        <v>76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84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273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102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273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273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273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273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99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273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276</v>
      </c>
    </row>
    <row r="56" spans="1:16" ht="26" customHeight="1" x14ac:dyDescent="0.3">
      <c r="A56" s="39" t="s">
        <v>105</v>
      </c>
      <c r="B56" s="4" t="s">
        <v>270</v>
      </c>
      <c r="C56" s="69" t="s">
        <v>267</v>
      </c>
      <c r="D56" s="70" t="s">
        <v>113</v>
      </c>
      <c r="E56" s="70" t="s">
        <v>114</v>
      </c>
      <c r="F56" s="70" t="s">
        <v>115</v>
      </c>
      <c r="G56" s="70" t="s">
        <v>116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81</v>
      </c>
      <c r="C57" s="3" t="s">
        <v>275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268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89</v>
      </c>
      <c r="C59" s="3" t="s">
        <v>275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268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275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268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277</v>
      </c>
    </row>
    <row r="65" spans="1:16" ht="26" customHeight="1" x14ac:dyDescent="0.3">
      <c r="A65" s="39" t="s">
        <v>123</v>
      </c>
      <c r="B65" s="4" t="s">
        <v>270</v>
      </c>
      <c r="C65" s="69" t="s">
        <v>269</v>
      </c>
      <c r="D65" s="70" t="s">
        <v>78</v>
      </c>
      <c r="E65" s="70" t="s">
        <v>74</v>
      </c>
      <c r="F65" s="70" t="s">
        <v>77</v>
      </c>
      <c r="G65" s="70" t="s">
        <v>75</v>
      </c>
      <c r="H65" s="81" t="s">
        <v>76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93</v>
      </c>
      <c r="C66" s="3" t="s">
        <v>124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127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126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125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124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127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126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125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95</v>
      </c>
      <c r="C74" s="3" t="s">
        <v>124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127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126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125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96</v>
      </c>
      <c r="C78" s="3" t="s">
        <v>124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127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126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125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84</v>
      </c>
      <c r="C82" s="3" t="s">
        <v>124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127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126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125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102</v>
      </c>
      <c r="C86" s="3" t="s">
        <v>124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127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126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125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124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127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126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125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124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127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126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125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101</v>
      </c>
      <c r="C98" s="3" t="s">
        <v>124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127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126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125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84</v>
      </c>
      <c r="B104" s="82" t="s">
        <v>125</v>
      </c>
      <c r="C104" s="69" t="s">
        <v>269</v>
      </c>
      <c r="D104" s="70" t="s">
        <v>78</v>
      </c>
      <c r="E104" s="70" t="s">
        <v>74</v>
      </c>
      <c r="F104" s="70" t="s">
        <v>77</v>
      </c>
      <c r="G104" s="70" t="s">
        <v>75</v>
      </c>
      <c r="H104" s="81" t="s">
        <v>76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124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127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126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125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278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230</v>
      </c>
      <c r="B112" s="1" t="s">
        <v>270</v>
      </c>
      <c r="C112" s="1" t="s">
        <v>271</v>
      </c>
      <c r="D112" s="70" t="s">
        <v>78</v>
      </c>
      <c r="E112" s="70" t="s">
        <v>74</v>
      </c>
      <c r="F112" s="70" t="s">
        <v>77</v>
      </c>
      <c r="G112" s="70" t="s">
        <v>75</v>
      </c>
      <c r="H112" s="70" t="s">
        <v>76</v>
      </c>
    </row>
    <row r="113" spans="1:8" ht="13" customHeight="1" x14ac:dyDescent="0.3">
      <c r="A113" s="4"/>
      <c r="B113" s="8" t="s">
        <v>84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273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274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272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102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273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274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272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273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274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272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273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274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272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273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274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272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99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273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274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272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279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282</v>
      </c>
      <c r="B139" s="4" t="s">
        <v>270</v>
      </c>
      <c r="C139" s="4" t="s">
        <v>281</v>
      </c>
      <c r="D139" s="70" t="s">
        <v>78</v>
      </c>
      <c r="E139" s="70" t="s">
        <v>74</v>
      </c>
      <c r="F139" s="70" t="s">
        <v>77</v>
      </c>
      <c r="G139" s="70" t="s">
        <v>75</v>
      </c>
      <c r="H139" s="70" t="s">
        <v>76</v>
      </c>
    </row>
    <row r="140" spans="1:8" ht="13" customHeight="1" x14ac:dyDescent="0.3">
      <c r="A140" s="4"/>
      <c r="B140" s="8" t="s">
        <v>84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273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102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273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273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273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273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99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273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276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105</v>
      </c>
      <c r="B166" s="4" t="s">
        <v>270</v>
      </c>
      <c r="C166" s="69" t="s">
        <v>267</v>
      </c>
      <c r="D166" s="70" t="s">
        <v>113</v>
      </c>
      <c r="E166" s="70" t="s">
        <v>114</v>
      </c>
      <c r="F166" s="70" t="s">
        <v>115</v>
      </c>
      <c r="G166" s="70" t="s">
        <v>116</v>
      </c>
      <c r="H166" s="79"/>
    </row>
    <row r="167" spans="1:8" ht="13" customHeight="1" x14ac:dyDescent="0.3">
      <c r="A167" s="4"/>
      <c r="B167" s="8" t="s">
        <v>81</v>
      </c>
      <c r="C167" s="3" t="s">
        <v>275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268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89</v>
      </c>
      <c r="C169" s="3" t="s">
        <v>275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268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275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268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277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123</v>
      </c>
      <c r="B175" s="4" t="s">
        <v>270</v>
      </c>
      <c r="C175" s="69" t="s">
        <v>269</v>
      </c>
      <c r="D175" s="70" t="s">
        <v>78</v>
      </c>
      <c r="E175" s="70" t="s">
        <v>74</v>
      </c>
      <c r="F175" s="70" t="s">
        <v>77</v>
      </c>
      <c r="G175" s="70" t="s">
        <v>75</v>
      </c>
      <c r="H175" s="81" t="s">
        <v>76</v>
      </c>
    </row>
    <row r="176" spans="1:8" ht="13" customHeight="1" x14ac:dyDescent="0.3">
      <c r="A176" s="82"/>
      <c r="B176" s="8" t="s">
        <v>93</v>
      </c>
      <c r="C176" s="3" t="s">
        <v>124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127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126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125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124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127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126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125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95</v>
      </c>
      <c r="C184" s="3" t="s">
        <v>124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127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126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125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96</v>
      </c>
      <c r="C188" s="3" t="s">
        <v>124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127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126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125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84</v>
      </c>
      <c r="C192" s="3" t="s">
        <v>124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127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126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125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102</v>
      </c>
      <c r="C196" s="3" t="s">
        <v>124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127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126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125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124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127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126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125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124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127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126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125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101</v>
      </c>
      <c r="C208" s="3" t="s">
        <v>124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127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126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125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84</v>
      </c>
      <c r="B214" s="82" t="s">
        <v>125</v>
      </c>
      <c r="C214" s="69" t="s">
        <v>269</v>
      </c>
      <c r="D214" s="70" t="s">
        <v>78</v>
      </c>
      <c r="E214" s="70" t="s">
        <v>74</v>
      </c>
      <c r="F214" s="70" t="s">
        <v>77</v>
      </c>
      <c r="G214" s="70" t="s">
        <v>75</v>
      </c>
      <c r="H214" s="81" t="s">
        <v>76</v>
      </c>
    </row>
    <row r="215" spans="1:9" ht="13" customHeight="1" x14ac:dyDescent="0.3">
      <c r="A215" s="4"/>
      <c r="C215" s="3" t="s">
        <v>124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127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126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125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245</v>
      </c>
      <c r="H220" s="92"/>
    </row>
    <row r="221" spans="1:9" ht="13" customHeight="1" x14ac:dyDescent="0.3">
      <c r="A221" s="67" t="s">
        <v>278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230</v>
      </c>
      <c r="B222" s="1" t="s">
        <v>270</v>
      </c>
      <c r="C222" s="1" t="s">
        <v>271</v>
      </c>
      <c r="D222" s="70" t="s">
        <v>78</v>
      </c>
      <c r="E222" s="70" t="s">
        <v>74</v>
      </c>
      <c r="F222" s="70" t="s">
        <v>77</v>
      </c>
      <c r="G222" s="70" t="s">
        <v>75</v>
      </c>
      <c r="H222" s="70" t="s">
        <v>76</v>
      </c>
      <c r="I222" s="79"/>
    </row>
    <row r="223" spans="1:9" ht="13" customHeight="1" x14ac:dyDescent="0.3">
      <c r="A223" s="4"/>
      <c r="B223" s="8" t="s">
        <v>84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273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274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272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102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273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274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272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273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274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272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273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274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272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273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274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272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99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273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274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272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282</v>
      </c>
      <c r="B249" s="4" t="s">
        <v>270</v>
      </c>
      <c r="C249" s="4" t="s">
        <v>281</v>
      </c>
      <c r="D249" s="70" t="s">
        <v>78</v>
      </c>
      <c r="E249" s="70" t="s">
        <v>74</v>
      </c>
      <c r="F249" s="70" t="s">
        <v>77</v>
      </c>
      <c r="G249" s="70" t="s">
        <v>75</v>
      </c>
      <c r="H249" s="70" t="s">
        <v>76</v>
      </c>
      <c r="I249" s="79"/>
    </row>
    <row r="250" spans="1:9" ht="13" customHeight="1" x14ac:dyDescent="0.3">
      <c r="A250" s="4"/>
      <c r="B250" s="8" t="s">
        <v>84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273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102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273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273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273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273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99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273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276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105</v>
      </c>
      <c r="B276" s="4" t="s">
        <v>270</v>
      </c>
      <c r="C276" s="69" t="s">
        <v>267</v>
      </c>
      <c r="D276" s="70" t="s">
        <v>113</v>
      </c>
      <c r="E276" s="70" t="s">
        <v>114</v>
      </c>
      <c r="F276" s="70" t="s">
        <v>115</v>
      </c>
      <c r="G276" s="70" t="s">
        <v>116</v>
      </c>
      <c r="H276" s="79"/>
    </row>
    <row r="277" spans="1:9" ht="13" customHeight="1" x14ac:dyDescent="0.3">
      <c r="A277" s="4"/>
      <c r="B277" s="8" t="s">
        <v>81</v>
      </c>
      <c r="C277" s="3" t="s">
        <v>275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268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89</v>
      </c>
      <c r="C279" s="3" t="s">
        <v>275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268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275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268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277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123</v>
      </c>
      <c r="B285" s="4" t="s">
        <v>270</v>
      </c>
      <c r="C285" s="69" t="s">
        <v>269</v>
      </c>
      <c r="D285" s="70" t="s">
        <v>78</v>
      </c>
      <c r="E285" s="70" t="s">
        <v>74</v>
      </c>
      <c r="F285" s="70" t="s">
        <v>77</v>
      </c>
      <c r="G285" s="70" t="s">
        <v>75</v>
      </c>
      <c r="H285" s="81" t="s">
        <v>76</v>
      </c>
      <c r="I285" s="79"/>
    </row>
    <row r="286" spans="1:9" ht="13" customHeight="1" x14ac:dyDescent="0.3">
      <c r="A286" s="82"/>
      <c r="B286" s="8" t="s">
        <v>93</v>
      </c>
      <c r="C286" s="3" t="s">
        <v>124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127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126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125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124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127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126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125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95</v>
      </c>
      <c r="C294" s="3" t="s">
        <v>124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127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126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125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96</v>
      </c>
      <c r="C298" s="3" t="s">
        <v>124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127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126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125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84</v>
      </c>
      <c r="C302" s="3" t="s">
        <v>124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127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126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125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102</v>
      </c>
      <c r="C306" s="3" t="s">
        <v>124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127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126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125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124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127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126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125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124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127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126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125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101</v>
      </c>
      <c r="C318" s="3" t="s">
        <v>124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127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126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125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84</v>
      </c>
      <c r="B324" s="82" t="s">
        <v>125</v>
      </c>
      <c r="C324" s="69" t="s">
        <v>269</v>
      </c>
      <c r="D324" s="70" t="s">
        <v>78</v>
      </c>
      <c r="E324" s="70" t="s">
        <v>74</v>
      </c>
      <c r="F324" s="70" t="s">
        <v>77</v>
      </c>
      <c r="G324" s="70" t="s">
        <v>75</v>
      </c>
      <c r="H324" s="81" t="s">
        <v>76</v>
      </c>
      <c r="I324" s="79"/>
    </row>
    <row r="325" spans="1:9" ht="13" customHeight="1" x14ac:dyDescent="0.3">
      <c r="A325" s="4"/>
      <c r="C325" s="3" t="s">
        <v>124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127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126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125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behKi+0VGrh9cftrJJ4ORw6sMDmV4ftLq/hKku4/u8nk+mNP8SRww8s7iRQBiaizDcVmir9p5AUBnFAFj4lRPQ==" saltValue="lZrs3uM9i+/YDIwA0lAdo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313</v>
      </c>
    </row>
    <row r="2" spans="1:7" ht="14.25" customHeight="1" x14ac:dyDescent="0.3">
      <c r="A2" s="82" t="s">
        <v>208</v>
      </c>
      <c r="B2" s="1"/>
      <c r="C2" s="4" t="s">
        <v>78</v>
      </c>
      <c r="D2" s="4" t="s">
        <v>74</v>
      </c>
      <c r="E2" s="4" t="s">
        <v>77</v>
      </c>
      <c r="F2" s="4" t="s">
        <v>75</v>
      </c>
      <c r="G2" s="4" t="s">
        <v>76</v>
      </c>
    </row>
    <row r="3" spans="1:7" ht="14.25" customHeight="1" x14ac:dyDescent="0.25">
      <c r="B3" s="11" t="s">
        <v>300</v>
      </c>
      <c r="C3" s="90" t="s">
        <v>8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286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283</v>
      </c>
    </row>
    <row r="6" spans="1:7" ht="14.25" customHeight="1" x14ac:dyDescent="0.25">
      <c r="B6" s="5" t="s">
        <v>193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204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307</v>
      </c>
    </row>
    <row r="12" spans="1:7" ht="14.25" customHeight="1" x14ac:dyDescent="0.3">
      <c r="A12" s="14"/>
      <c r="B12" s="11" t="s">
        <v>182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314</v>
      </c>
    </row>
    <row r="15" spans="1:7" ht="14.25" customHeight="1" x14ac:dyDescent="0.3">
      <c r="A15" s="82" t="s">
        <v>282</v>
      </c>
      <c r="B15" s="5" t="s">
        <v>294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291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105</v>
      </c>
      <c r="B17" s="11" t="s">
        <v>297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310</v>
      </c>
    </row>
    <row r="20" spans="1:7" s="14" customFormat="1" ht="14.25" customHeight="1" x14ac:dyDescent="0.3">
      <c r="C20" s="4" t="s">
        <v>68</v>
      </c>
      <c r="D20" s="4" t="s">
        <v>69</v>
      </c>
      <c r="E20" s="4" t="s">
        <v>70</v>
      </c>
      <c r="F20" s="4" t="s">
        <v>71</v>
      </c>
    </row>
    <row r="21" spans="1:7" x14ac:dyDescent="0.25">
      <c r="B21" s="11" t="s">
        <v>170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313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208</v>
      </c>
      <c r="B25" s="1"/>
      <c r="C25" s="4" t="s">
        <v>78</v>
      </c>
      <c r="D25" s="4" t="s">
        <v>74</v>
      </c>
      <c r="E25" s="4" t="s">
        <v>77</v>
      </c>
      <c r="F25" s="4" t="s">
        <v>75</v>
      </c>
      <c r="G25" s="4" t="s">
        <v>76</v>
      </c>
    </row>
    <row r="26" spans="1:7" x14ac:dyDescent="0.25">
      <c r="B26" s="11" t="s">
        <v>301</v>
      </c>
      <c r="C26" s="90" t="s">
        <v>8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287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284</v>
      </c>
    </row>
    <row r="29" spans="1:7" x14ac:dyDescent="0.25">
      <c r="B29" s="5" t="s">
        <v>315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305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319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317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308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303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314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282</v>
      </c>
      <c r="B38" s="5" t="s">
        <v>295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292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105</v>
      </c>
      <c r="B40" s="11" t="s">
        <v>298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311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68</v>
      </c>
      <c r="D43" s="4" t="s">
        <v>69</v>
      </c>
      <c r="E43" s="4" t="s">
        <v>70</v>
      </c>
      <c r="F43" s="4" t="s">
        <v>71</v>
      </c>
      <c r="G43" s="14"/>
    </row>
    <row r="44" spans="1:7" x14ac:dyDescent="0.25">
      <c r="B44" s="11" t="s">
        <v>289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245</v>
      </c>
    </row>
    <row r="47" spans="1:7" ht="13" customHeight="1" x14ac:dyDescent="0.3">
      <c r="A47" s="67" t="s">
        <v>313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208</v>
      </c>
      <c r="B48" s="1"/>
      <c r="C48" s="4" t="s">
        <v>78</v>
      </c>
      <c r="D48" s="4" t="s">
        <v>74</v>
      </c>
      <c r="E48" s="4" t="s">
        <v>77</v>
      </c>
      <c r="F48" s="4" t="s">
        <v>75</v>
      </c>
      <c r="G48" s="4" t="s">
        <v>76</v>
      </c>
    </row>
    <row r="49" spans="1:7" x14ac:dyDescent="0.25">
      <c r="B49" s="11" t="s">
        <v>302</v>
      </c>
      <c r="C49" s="90" t="s">
        <v>8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288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285</v>
      </c>
    </row>
    <row r="52" spans="1:7" x14ac:dyDescent="0.25">
      <c r="B52" s="5" t="s">
        <v>316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320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318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309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314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282</v>
      </c>
      <c r="B61" s="5" t="s">
        <v>296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293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105</v>
      </c>
      <c r="B63" s="11" t="s">
        <v>299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312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68</v>
      </c>
      <c r="D66" s="4" t="s">
        <v>69</v>
      </c>
      <c r="E66" s="4" t="s">
        <v>70</v>
      </c>
      <c r="F66" s="4" t="s">
        <v>71</v>
      </c>
      <c r="G66" s="14"/>
    </row>
    <row r="67" spans="1:7" x14ac:dyDescent="0.25">
      <c r="B67" s="11" t="s">
        <v>290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PrRLGC2msHm0MTICTu0Ivh6Mg/39CVaPlzahXpYyPREiojyjhstTpwZIifAIfc7GxuTZWbSrrIpNN3ptyzVDgA==" saltValue="Sgl2+CyD74JoAlmw8VqYh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163</v>
      </c>
      <c r="B1" s="4"/>
      <c r="C1" s="4" t="s">
        <v>52</v>
      </c>
      <c r="D1" s="4" t="s">
        <v>59</v>
      </c>
      <c r="E1" s="4" t="s">
        <v>51</v>
      </c>
      <c r="F1" s="1" t="s">
        <v>58</v>
      </c>
    </row>
    <row r="2" spans="1:6" ht="15.75" customHeight="1" x14ac:dyDescent="0.25">
      <c r="A2" s="5" t="s">
        <v>165</v>
      </c>
      <c r="B2" s="5" t="s">
        <v>322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178</v>
      </c>
      <c r="B4" s="5" t="s">
        <v>322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179</v>
      </c>
      <c r="B6" s="5" t="s">
        <v>322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180</v>
      </c>
      <c r="B8" s="5" t="s">
        <v>322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322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191</v>
      </c>
      <c r="B12" s="5" t="s">
        <v>322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163</v>
      </c>
      <c r="B16" s="4"/>
      <c r="C16" s="4" t="s">
        <v>52</v>
      </c>
      <c r="D16" s="4" t="s">
        <v>59</v>
      </c>
      <c r="E16" s="4" t="s">
        <v>51</v>
      </c>
      <c r="F16" s="1" t="s">
        <v>58</v>
      </c>
    </row>
    <row r="17" spans="1:6" ht="15.75" customHeight="1" x14ac:dyDescent="0.25">
      <c r="A17" s="5" t="s">
        <v>165</v>
      </c>
      <c r="B17" s="5" t="s">
        <v>322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178</v>
      </c>
      <c r="B19" s="5" t="s">
        <v>322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179</v>
      </c>
      <c r="B21" s="5" t="s">
        <v>322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180</v>
      </c>
      <c r="B23" s="5" t="s">
        <v>322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322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191</v>
      </c>
      <c r="B27" s="5" t="s">
        <v>322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245</v>
      </c>
    </row>
    <row r="31" spans="1:6" ht="15.75" customHeight="1" x14ac:dyDescent="0.3">
      <c r="A31" s="1" t="s">
        <v>163</v>
      </c>
      <c r="B31" s="4"/>
      <c r="C31" s="4" t="s">
        <v>52</v>
      </c>
      <c r="D31" s="4" t="s">
        <v>59</v>
      </c>
      <c r="E31" s="4" t="s">
        <v>51</v>
      </c>
      <c r="F31" s="1" t="s">
        <v>58</v>
      </c>
    </row>
    <row r="32" spans="1:6" ht="15.75" customHeight="1" x14ac:dyDescent="0.25">
      <c r="A32" s="5" t="s">
        <v>165</v>
      </c>
      <c r="B32" s="5" t="s">
        <v>322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178</v>
      </c>
      <c r="B34" s="5" t="s">
        <v>322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179</v>
      </c>
      <c r="B36" s="5" t="s">
        <v>322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180</v>
      </c>
      <c r="B38" s="5" t="s">
        <v>322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322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191</v>
      </c>
      <c r="B42" s="5" t="s">
        <v>322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kl+hXJJfwtkX9kVjwo884j1uMeMaGo4KxuYAtUGD6gD/OzPKq2h/yU60ophXqWTOw+wYaTeXoCHiqDb4pR57Kg==" saltValue="9EczavfBUh06/MhIk3d8o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78</v>
      </c>
      <c r="D1" s="70" t="s">
        <v>74</v>
      </c>
      <c r="E1" s="70" t="s">
        <v>77</v>
      </c>
      <c r="F1" s="70" t="s">
        <v>75</v>
      </c>
      <c r="G1" s="70" t="s">
        <v>76</v>
      </c>
      <c r="H1" s="70" t="s">
        <v>68</v>
      </c>
      <c r="I1" s="70" t="s">
        <v>69</v>
      </c>
      <c r="J1" s="70" t="s">
        <v>70</v>
      </c>
      <c r="K1" s="70" t="s">
        <v>71</v>
      </c>
      <c r="L1" s="70" t="s">
        <v>113</v>
      </c>
      <c r="M1" s="70" t="s">
        <v>114</v>
      </c>
      <c r="N1" s="70" t="s">
        <v>115</v>
      </c>
      <c r="O1" s="70" t="s">
        <v>116</v>
      </c>
    </row>
    <row r="2" spans="1:15" ht="13" customHeight="1" x14ac:dyDescent="0.3">
      <c r="A2" s="4" t="s">
        <v>326</v>
      </c>
    </row>
    <row r="3" spans="1:15" x14ac:dyDescent="0.25">
      <c r="B3" s="11" t="s">
        <v>169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174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175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176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177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178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179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180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190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191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171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172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173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181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78</v>
      </c>
      <c r="D24" s="70" t="s">
        <v>74</v>
      </c>
      <c r="E24" s="70" t="s">
        <v>77</v>
      </c>
      <c r="F24" s="70" t="s">
        <v>75</v>
      </c>
      <c r="G24" s="70" t="s">
        <v>76</v>
      </c>
      <c r="H24" s="70" t="s">
        <v>68</v>
      </c>
      <c r="I24" s="70" t="s">
        <v>69</v>
      </c>
      <c r="J24" s="70" t="s">
        <v>70</v>
      </c>
      <c r="K24" s="70" t="s">
        <v>71</v>
      </c>
      <c r="L24" s="70" t="s">
        <v>113</v>
      </c>
      <c r="M24" s="70" t="s">
        <v>114</v>
      </c>
      <c r="N24" s="70" t="s">
        <v>115</v>
      </c>
      <c r="O24" s="70" t="s">
        <v>116</v>
      </c>
    </row>
    <row r="25" spans="1:15" ht="13" customHeight="1" x14ac:dyDescent="0.3">
      <c r="A25" s="4" t="s">
        <v>327</v>
      </c>
    </row>
    <row r="26" spans="1:15" x14ac:dyDescent="0.25">
      <c r="B26" s="11" t="s">
        <v>169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174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175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176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177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178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179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180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190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191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204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324</v>
      </c>
      <c r="B40" s="11"/>
    </row>
    <row r="41" spans="1:15" x14ac:dyDescent="0.25">
      <c r="B41" s="5" t="s">
        <v>171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172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173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181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245</v>
      </c>
    </row>
    <row r="47" spans="1:15" ht="26" customHeight="1" x14ac:dyDescent="0.3">
      <c r="A47" s="4"/>
      <c r="B47" s="4"/>
      <c r="C47" s="70" t="s">
        <v>78</v>
      </c>
      <c r="D47" s="70" t="s">
        <v>74</v>
      </c>
      <c r="E47" s="70" t="s">
        <v>77</v>
      </c>
      <c r="F47" s="70" t="s">
        <v>75</v>
      </c>
      <c r="G47" s="70" t="s">
        <v>76</v>
      </c>
      <c r="H47" s="70" t="s">
        <v>68</v>
      </c>
      <c r="I47" s="70" t="s">
        <v>69</v>
      </c>
      <c r="J47" s="70" t="s">
        <v>70</v>
      </c>
      <c r="K47" s="70" t="s">
        <v>71</v>
      </c>
      <c r="L47" s="70" t="s">
        <v>113</v>
      </c>
      <c r="M47" s="70" t="s">
        <v>114</v>
      </c>
      <c r="N47" s="70" t="s">
        <v>115</v>
      </c>
      <c r="O47" s="70" t="s">
        <v>116</v>
      </c>
    </row>
    <row r="48" spans="1:15" ht="13" customHeight="1" x14ac:dyDescent="0.3">
      <c r="A48" s="4" t="s">
        <v>328</v>
      </c>
    </row>
    <row r="49" spans="1:15" x14ac:dyDescent="0.25">
      <c r="B49" s="11" t="s">
        <v>169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174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175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176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177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178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179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180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190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191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204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325</v>
      </c>
      <c r="B63" s="11"/>
    </row>
    <row r="64" spans="1:15" x14ac:dyDescent="0.25">
      <c r="B64" s="5" t="s">
        <v>171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172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173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181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WaMBcF9cyv7MeyyHLNJPJNJfIQMyDq30Po20lVtA2n3xm/bT70ZDhUVjqkyxMKIRdo6rPNGIfefGOAdEOizm7w==" saltValue="2K5uPmMvCyBgzvm+KTj2+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</row>
    <row r="2" spans="1:7" ht="13" customHeight="1" x14ac:dyDescent="0.3">
      <c r="A2" s="4" t="s">
        <v>333</v>
      </c>
    </row>
    <row r="3" spans="1:7" x14ac:dyDescent="0.25">
      <c r="B3" s="11" t="s">
        <v>164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330</v>
      </c>
      <c r="B4" s="11"/>
      <c r="C4" s="83"/>
      <c r="D4" s="83"/>
      <c r="E4" s="83"/>
      <c r="F4" s="83"/>
      <c r="G4" s="83"/>
    </row>
    <row r="5" spans="1:7" x14ac:dyDescent="0.25">
      <c r="B5" s="5" t="s">
        <v>162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329</v>
      </c>
    </row>
    <row r="8" spans="1:7" ht="13" customHeight="1" x14ac:dyDescent="0.3">
      <c r="A8" s="4"/>
      <c r="B8" s="1"/>
      <c r="C8" s="4" t="s">
        <v>78</v>
      </c>
      <c r="D8" s="4" t="s">
        <v>74</v>
      </c>
      <c r="E8" s="4" t="s">
        <v>77</v>
      </c>
      <c r="F8" s="4" t="s">
        <v>75</v>
      </c>
      <c r="G8" s="4" t="s">
        <v>76</v>
      </c>
    </row>
    <row r="9" spans="1:7" ht="13" customHeight="1" x14ac:dyDescent="0.3">
      <c r="A9" s="4" t="s">
        <v>334</v>
      </c>
    </row>
    <row r="10" spans="1:7" x14ac:dyDescent="0.25">
      <c r="B10" s="11" t="s">
        <v>164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331</v>
      </c>
      <c r="B11" s="11"/>
      <c r="C11" s="83"/>
      <c r="D11" s="83"/>
      <c r="E11" s="83"/>
      <c r="F11" s="83"/>
      <c r="G11" s="83"/>
    </row>
    <row r="12" spans="1:7" x14ac:dyDescent="0.25">
      <c r="B12" s="5" t="s">
        <v>162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336</v>
      </c>
    </row>
    <row r="15" spans="1:7" ht="13" customHeight="1" x14ac:dyDescent="0.3">
      <c r="A15" s="4"/>
      <c r="B15" s="1"/>
      <c r="C15" s="4" t="s">
        <v>78</v>
      </c>
      <c r="D15" s="4" t="s">
        <v>74</v>
      </c>
      <c r="E15" s="4" t="s">
        <v>77</v>
      </c>
      <c r="F15" s="4" t="s">
        <v>75</v>
      </c>
      <c r="G15" s="4" t="s">
        <v>76</v>
      </c>
    </row>
    <row r="16" spans="1:7" ht="13" customHeight="1" x14ac:dyDescent="0.3">
      <c r="A16" s="4" t="s">
        <v>335</v>
      </c>
    </row>
    <row r="17" spans="1:7" x14ac:dyDescent="0.25">
      <c r="B17" s="11" t="s">
        <v>164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332</v>
      </c>
      <c r="B18" s="11"/>
      <c r="C18" s="83"/>
      <c r="D18" s="83"/>
      <c r="E18" s="83"/>
      <c r="F18" s="83"/>
      <c r="G18" s="83"/>
    </row>
    <row r="19" spans="1:7" x14ac:dyDescent="0.25">
      <c r="B19" s="5" t="s">
        <v>162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45rnscQnVplhsXH7zznxMJHYhcGGYnoxV2Vqo15dsmmKCel9hC3odAEer4N8ZrkpxLEB6NHuiwVfjAj3x7P+gg==" saltValue="Ru7AcUwv+30jQurmos5Ht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163</v>
      </c>
      <c r="B1" s="4" t="s">
        <v>340</v>
      </c>
      <c r="C1" s="82" t="s">
        <v>9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8" x14ac:dyDescent="0.25">
      <c r="A2" s="5" t="s">
        <v>196</v>
      </c>
      <c r="B2" s="5" t="s">
        <v>84</v>
      </c>
      <c r="C2" s="5" t="s">
        <v>337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338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193</v>
      </c>
      <c r="B5" s="5" t="s">
        <v>207</v>
      </c>
      <c r="C5" s="5" t="s">
        <v>337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338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337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338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207</v>
      </c>
      <c r="C9" s="5" t="s">
        <v>337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338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337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338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204</v>
      </c>
      <c r="B13" s="5" t="s">
        <v>207</v>
      </c>
      <c r="C13" s="5" t="s">
        <v>337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338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337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338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167</v>
      </c>
      <c r="B17" s="5" t="s">
        <v>207</v>
      </c>
      <c r="C17" s="5" t="s">
        <v>337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338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6</v>
      </c>
      <c r="C19" s="5" t="s">
        <v>337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338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173</v>
      </c>
      <c r="B21" s="5" t="s">
        <v>92</v>
      </c>
      <c r="C21" s="5" t="s">
        <v>337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171</v>
      </c>
      <c r="B23" s="5" t="s">
        <v>92</v>
      </c>
      <c r="C23" s="5" t="s">
        <v>337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172</v>
      </c>
      <c r="B25" s="5" t="s">
        <v>92</v>
      </c>
      <c r="C25" s="5" t="s">
        <v>337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200</v>
      </c>
      <c r="B27" s="5" t="s">
        <v>84</v>
      </c>
      <c r="C27" s="5" t="s">
        <v>337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338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201</v>
      </c>
      <c r="B30" s="5" t="s">
        <v>84</v>
      </c>
      <c r="C30" s="5" t="s">
        <v>337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338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199</v>
      </c>
      <c r="B33" s="5" t="s">
        <v>84</v>
      </c>
      <c r="C33" s="5" t="s">
        <v>337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338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198</v>
      </c>
      <c r="B36" s="5" t="s">
        <v>84</v>
      </c>
      <c r="C36" s="5" t="s">
        <v>337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338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197</v>
      </c>
      <c r="B39" s="5" t="s">
        <v>84</v>
      </c>
      <c r="C39" s="5" t="s">
        <v>337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338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203</v>
      </c>
      <c r="B42" s="5" t="s">
        <v>84</v>
      </c>
      <c r="C42" s="5" t="s">
        <v>337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338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102</v>
      </c>
      <c r="C45" s="5" t="s">
        <v>337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338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192</v>
      </c>
      <c r="B48" s="5" t="s">
        <v>84</v>
      </c>
      <c r="C48" s="5" t="s">
        <v>337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202</v>
      </c>
      <c r="B50" s="5" t="s">
        <v>84</v>
      </c>
      <c r="C50" s="5" t="s">
        <v>337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182</v>
      </c>
      <c r="B52" s="5" t="s">
        <v>96</v>
      </c>
      <c r="C52" s="5" t="s">
        <v>337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329</v>
      </c>
      <c r="B55" s="97"/>
      <c r="C55" s="97"/>
    </row>
    <row r="56" spans="1:8" ht="13" customHeight="1" x14ac:dyDescent="0.3">
      <c r="A56" s="4" t="s">
        <v>163</v>
      </c>
      <c r="B56" s="4" t="s">
        <v>340</v>
      </c>
      <c r="C56" s="82" t="s">
        <v>9</v>
      </c>
      <c r="D56" s="4" t="s">
        <v>78</v>
      </c>
      <c r="E56" s="4" t="s">
        <v>74</v>
      </c>
      <c r="F56" s="4" t="s">
        <v>77</v>
      </c>
      <c r="G56" s="4" t="s">
        <v>75</v>
      </c>
      <c r="H56" s="4" t="s">
        <v>76</v>
      </c>
    </row>
    <row r="57" spans="1:8" x14ac:dyDescent="0.25">
      <c r="A57" s="5" t="s">
        <v>196</v>
      </c>
      <c r="B57" s="5" t="s">
        <v>84</v>
      </c>
      <c r="C57" s="5" t="s">
        <v>337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338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193</v>
      </c>
      <c r="B60" s="5" t="s">
        <v>207</v>
      </c>
      <c r="C60" s="5" t="s">
        <v>337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338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337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338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207</v>
      </c>
      <c r="C64" s="5" t="s">
        <v>337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338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337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338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204</v>
      </c>
      <c r="B68" s="5" t="s">
        <v>207</v>
      </c>
      <c r="C68" s="5" t="s">
        <v>337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338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337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338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167</v>
      </c>
      <c r="B72" s="5" t="s">
        <v>207</v>
      </c>
      <c r="C72" s="5" t="s">
        <v>337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338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6</v>
      </c>
      <c r="C74" s="5" t="s">
        <v>337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338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173</v>
      </c>
      <c r="B76" s="5" t="s">
        <v>92</v>
      </c>
      <c r="C76" s="5" t="s">
        <v>337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171</v>
      </c>
      <c r="B78" s="5" t="s">
        <v>92</v>
      </c>
      <c r="C78" s="5" t="s">
        <v>337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172</v>
      </c>
      <c r="B80" s="5" t="s">
        <v>92</v>
      </c>
      <c r="C80" s="5" t="s">
        <v>337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200</v>
      </c>
      <c r="B82" s="5" t="s">
        <v>84</v>
      </c>
      <c r="C82" s="5" t="s">
        <v>337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338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201</v>
      </c>
      <c r="B85" s="5" t="s">
        <v>84</v>
      </c>
      <c r="C85" s="5" t="s">
        <v>337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338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199</v>
      </c>
      <c r="B88" s="5" t="s">
        <v>84</v>
      </c>
      <c r="C88" s="5" t="s">
        <v>337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338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198</v>
      </c>
      <c r="B91" s="5" t="s">
        <v>84</v>
      </c>
      <c r="C91" s="5" t="s">
        <v>337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338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197</v>
      </c>
      <c r="B94" s="5" t="s">
        <v>84</v>
      </c>
      <c r="C94" s="5" t="s">
        <v>337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338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203</v>
      </c>
      <c r="B97" s="5" t="s">
        <v>84</v>
      </c>
      <c r="C97" s="5" t="s">
        <v>337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338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102</v>
      </c>
      <c r="C100" s="5" t="s">
        <v>337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338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192</v>
      </c>
      <c r="B103" s="5" t="s">
        <v>84</v>
      </c>
      <c r="C103" s="5" t="s">
        <v>337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202</v>
      </c>
      <c r="B105" s="5" t="s">
        <v>84</v>
      </c>
      <c r="C105" s="5" t="s">
        <v>337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182</v>
      </c>
      <c r="B107" s="5" t="s">
        <v>96</v>
      </c>
      <c r="C107" s="5" t="s">
        <v>337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336</v>
      </c>
      <c r="B110" s="97"/>
      <c r="C110" s="97"/>
    </row>
    <row r="111" spans="1:8" ht="13" customHeight="1" x14ac:dyDescent="0.3">
      <c r="A111" s="4" t="s">
        <v>163</v>
      </c>
      <c r="B111" s="4" t="s">
        <v>340</v>
      </c>
      <c r="C111" s="82" t="s">
        <v>9</v>
      </c>
      <c r="D111" s="4" t="s">
        <v>78</v>
      </c>
      <c r="E111" s="4" t="s">
        <v>74</v>
      </c>
      <c r="F111" s="4" t="s">
        <v>77</v>
      </c>
      <c r="G111" s="4" t="s">
        <v>75</v>
      </c>
      <c r="H111" s="4" t="s">
        <v>76</v>
      </c>
    </row>
    <row r="112" spans="1:8" x14ac:dyDescent="0.25">
      <c r="A112" s="5" t="s">
        <v>196</v>
      </c>
      <c r="B112" s="5" t="s">
        <v>84</v>
      </c>
      <c r="C112" s="5" t="s">
        <v>337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338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193</v>
      </c>
      <c r="B115" s="5" t="s">
        <v>207</v>
      </c>
      <c r="C115" s="5" t="s">
        <v>337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338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337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338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207</v>
      </c>
      <c r="C119" s="5" t="s">
        <v>337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338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337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338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204</v>
      </c>
      <c r="B123" s="5" t="s">
        <v>207</v>
      </c>
      <c r="C123" s="5" t="s">
        <v>337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338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337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338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167</v>
      </c>
      <c r="B127" s="5" t="s">
        <v>207</v>
      </c>
      <c r="C127" s="5" t="s">
        <v>337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338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6</v>
      </c>
      <c r="C129" s="5" t="s">
        <v>337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338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173</v>
      </c>
      <c r="B131" s="5" t="s">
        <v>92</v>
      </c>
      <c r="C131" s="5" t="s">
        <v>337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171</v>
      </c>
      <c r="B133" s="5" t="s">
        <v>92</v>
      </c>
      <c r="C133" s="5" t="s">
        <v>337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172</v>
      </c>
      <c r="B135" s="5" t="s">
        <v>92</v>
      </c>
      <c r="C135" s="5" t="s">
        <v>337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200</v>
      </c>
      <c r="B137" s="5" t="s">
        <v>84</v>
      </c>
      <c r="C137" s="5" t="s">
        <v>337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338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201</v>
      </c>
      <c r="B140" s="5" t="s">
        <v>84</v>
      </c>
      <c r="C140" s="5" t="s">
        <v>337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338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199</v>
      </c>
      <c r="B143" s="5" t="s">
        <v>84</v>
      </c>
      <c r="C143" s="5" t="s">
        <v>337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338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198</v>
      </c>
      <c r="B146" s="5" t="s">
        <v>84</v>
      </c>
      <c r="C146" s="5" t="s">
        <v>337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338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197</v>
      </c>
      <c r="B149" s="5" t="s">
        <v>84</v>
      </c>
      <c r="C149" s="5" t="s">
        <v>337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338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203</v>
      </c>
      <c r="B152" s="5" t="s">
        <v>84</v>
      </c>
      <c r="C152" s="5" t="s">
        <v>337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338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102</v>
      </c>
      <c r="C155" s="5" t="s">
        <v>337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338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192</v>
      </c>
      <c r="B158" s="5" t="s">
        <v>84</v>
      </c>
      <c r="C158" s="5" t="s">
        <v>337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202</v>
      </c>
      <c r="B160" s="5" t="s">
        <v>84</v>
      </c>
      <c r="C160" s="5" t="s">
        <v>337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182</v>
      </c>
      <c r="B162" s="5" t="s">
        <v>96</v>
      </c>
      <c r="C162" s="5" t="s">
        <v>337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WovTMMI9FMewvbK1cS+7FQkiOXXO6kFMkJG+3EDVd5labxGsi34vEY9PHxhTEn0sH0GWdhfj36zPD8ZrxEgNPw==" saltValue="AbGtelF6nKGJzeF9ctuq2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163</v>
      </c>
      <c r="B1" s="1" t="s">
        <v>340</v>
      </c>
      <c r="C1" s="1"/>
      <c r="D1" s="4" t="s">
        <v>113</v>
      </c>
      <c r="E1" s="4" t="s">
        <v>114</v>
      </c>
      <c r="F1" s="4" t="s">
        <v>115</v>
      </c>
      <c r="G1" s="4" t="s">
        <v>116</v>
      </c>
      <c r="H1" s="4"/>
    </row>
    <row r="2" spans="1:8" x14ac:dyDescent="0.25">
      <c r="A2" s="3" t="s">
        <v>166</v>
      </c>
      <c r="B2" s="8" t="s">
        <v>86</v>
      </c>
      <c r="C2" s="3" t="s">
        <v>337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189</v>
      </c>
      <c r="B4" s="8" t="s">
        <v>86</v>
      </c>
      <c r="C4" s="3" t="s">
        <v>337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188</v>
      </c>
      <c r="B6" s="8" t="s">
        <v>86</v>
      </c>
      <c r="C6" s="3" t="s">
        <v>337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329</v>
      </c>
    </row>
    <row r="10" spans="1:8" ht="13" customHeight="1" x14ac:dyDescent="0.3">
      <c r="A10" s="1" t="s">
        <v>163</v>
      </c>
      <c r="B10" s="1" t="s">
        <v>340</v>
      </c>
      <c r="C10" s="1"/>
      <c r="D10" s="4" t="s">
        <v>113</v>
      </c>
      <c r="E10" s="4" t="s">
        <v>114</v>
      </c>
      <c r="F10" s="4" t="s">
        <v>115</v>
      </c>
      <c r="G10" s="4" t="s">
        <v>116</v>
      </c>
    </row>
    <row r="11" spans="1:8" x14ac:dyDescent="0.25">
      <c r="A11" s="3" t="s">
        <v>166</v>
      </c>
      <c r="B11" s="8" t="s">
        <v>86</v>
      </c>
      <c r="C11" s="3" t="s">
        <v>337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189</v>
      </c>
      <c r="B13" s="8" t="s">
        <v>86</v>
      </c>
      <c r="C13" s="3" t="s">
        <v>337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188</v>
      </c>
      <c r="B15" s="8" t="s">
        <v>86</v>
      </c>
      <c r="C15" s="3" t="s">
        <v>337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336</v>
      </c>
    </row>
    <row r="19" spans="1:7" ht="13" customHeight="1" x14ac:dyDescent="0.3">
      <c r="A19" s="1" t="s">
        <v>163</v>
      </c>
      <c r="B19" s="1" t="s">
        <v>340</v>
      </c>
      <c r="C19" s="1"/>
      <c r="D19" s="4" t="s">
        <v>113</v>
      </c>
      <c r="E19" s="4" t="s">
        <v>114</v>
      </c>
      <c r="F19" s="4" t="s">
        <v>115</v>
      </c>
      <c r="G19" s="4" t="s">
        <v>116</v>
      </c>
    </row>
    <row r="20" spans="1:7" x14ac:dyDescent="0.25">
      <c r="A20" s="3" t="s">
        <v>166</v>
      </c>
      <c r="B20" s="8" t="s">
        <v>86</v>
      </c>
      <c r="C20" s="3" t="s">
        <v>337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189</v>
      </c>
      <c r="B22" s="8" t="s">
        <v>86</v>
      </c>
      <c r="C22" s="3" t="s">
        <v>337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188</v>
      </c>
      <c r="B24" s="8" t="s">
        <v>86</v>
      </c>
      <c r="C24" s="3" t="s">
        <v>337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qJYiugT/+f6kbdO0Y92+4Jy9R0ufrvHiQzzbAt+Xo8YILx/FQplTB1mzxJngFFYwrOJfzVYbg4w8GYTtJYHkXQ==" saltValue="yuUKP1F81Rse+q0r0pgLtQ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Pérdida económica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Riesgos desenlace de nacimiento</vt:lpstr>
      <vt:lpstr>Riesgos relativos</vt:lpstr>
      <vt:lpstr>Razón de momios</vt:lpstr>
      <vt:lpstr>Resultados de nacimiento- prog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lang=es</cp:keywords>
  <cp:lastModifiedBy>Tharindu Wickramaarachchi</cp:lastModifiedBy>
  <dcterms:created xsi:type="dcterms:W3CDTF">2017-08-01T10:42:13Z</dcterms:created>
  <dcterms:modified xsi:type="dcterms:W3CDTF">2024-05-16T23:58:18Z</dcterms:modified>
</cp:coreProperties>
</file>