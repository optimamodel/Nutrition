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64EF4FA-4ECE-45B5-A55B-BE0798EC18B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15" i="2" l="1"/>
  <c r="I3" i="2"/>
  <c r="I7" i="2"/>
  <c r="I11" i="2"/>
  <c r="A23" i="2"/>
  <c r="I40" i="2"/>
  <c r="A19" i="2"/>
  <c r="A27" i="2"/>
  <c r="A17" i="2"/>
  <c r="A25" i="2"/>
  <c r="A33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<sst xmlns="http://schemas.openxmlformats.org/spreadsheetml/2006/main" count="2101" uniqueCount="341">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</sst>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1197240.3984375</v>
      </c>
    </row>
    <row r="8" spans="1:3" ht="15" customHeight="1" x14ac:dyDescent="0.25">
      <c r="B8" s="5" t="s">
        <v>44</v>
      </c>
      <c r="C8" s="44">
        <v>0.40100000000000002</v>
      </c>
    </row>
    <row r="9" spans="1:3" ht="15" customHeight="1" x14ac:dyDescent="0.25">
      <c r="B9" s="5" t="s">
        <v>43</v>
      </c>
      <c r="C9" s="45">
        <v>0.99900000000000011</v>
      </c>
    </row>
    <row r="10" spans="1:3" ht="15" customHeight="1" x14ac:dyDescent="0.25">
      <c r="B10" s="5" t="s">
        <v>56</v>
      </c>
      <c r="C10" s="45">
        <v>0.369639015197754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0.13070000000000001</v>
      </c>
    </row>
    <row r="24" spans="1:3" ht="15" customHeight="1" x14ac:dyDescent="0.25">
      <c r="B24" s="15" t="s">
        <v>46</v>
      </c>
      <c r="C24" s="45">
        <v>0.4617</v>
      </c>
    </row>
    <row r="25" spans="1:3" ht="15" customHeight="1" x14ac:dyDescent="0.25">
      <c r="B25" s="15" t="s">
        <v>47</v>
      </c>
      <c r="C25" s="45">
        <v>0.31919999999999998</v>
      </c>
    </row>
    <row r="26" spans="1:3" ht="15" customHeight="1" x14ac:dyDescent="0.25">
      <c r="B26" s="15" t="s">
        <v>48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0.24044101075302499</v>
      </c>
    </row>
    <row r="30" spans="1:3" ht="14.25" customHeight="1" x14ac:dyDescent="0.25">
      <c r="B30" s="25" t="s">
        <v>63</v>
      </c>
      <c r="C30" s="99">
        <v>3.7322814416453E-2</v>
      </c>
    </row>
    <row r="31" spans="1:3" ht="14.25" customHeight="1" x14ac:dyDescent="0.25">
      <c r="B31" s="25" t="s">
        <v>10</v>
      </c>
      <c r="C31" s="99">
        <v>7.2887930619641203E-2</v>
      </c>
    </row>
    <row r="32" spans="1:3" ht="14.25" customHeight="1" x14ac:dyDescent="0.25">
      <c r="B32" s="25" t="s">
        <v>11</v>
      </c>
      <c r="C32" s="99">
        <v>0.649348244210881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30.93599</v>
      </c>
    </row>
    <row r="38" spans="1:5" ht="15" customHeight="1" x14ac:dyDescent="0.25">
      <c r="B38" s="11" t="s">
        <v>35</v>
      </c>
      <c r="C38" s="43">
        <v>78.254159999999999</v>
      </c>
      <c r="D38" s="12"/>
      <c r="E38" s="13"/>
    </row>
    <row r="39" spans="1:5" ht="15" customHeight="1" x14ac:dyDescent="0.25">
      <c r="B39" s="11" t="s">
        <v>61</v>
      </c>
      <c r="C39" s="43">
        <v>104.68697</v>
      </c>
      <c r="D39" s="12"/>
      <c r="E39" s="12"/>
    </row>
    <row r="40" spans="1:5" ht="15" customHeight="1" x14ac:dyDescent="0.25">
      <c r="B40" s="11" t="s">
        <v>36</v>
      </c>
      <c r="C40" s="100">
        <v>4.43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7.9579999999999998E-3</v>
      </c>
      <c r="D45" s="12"/>
    </row>
    <row r="46" spans="1:5" ht="15.75" customHeight="1" x14ac:dyDescent="0.25">
      <c r="B46" s="11" t="s">
        <v>51</v>
      </c>
      <c r="C46" s="45">
        <v>8.5507100000000003E-2</v>
      </c>
      <c r="D46" s="12"/>
    </row>
    <row r="47" spans="1:5" ht="15.75" customHeight="1" x14ac:dyDescent="0.25">
      <c r="B47" s="11" t="s">
        <v>59</v>
      </c>
      <c r="C47" s="45">
        <v>7.3432800000000006E-2</v>
      </c>
      <c r="D47" s="12"/>
      <c r="E47" s="13"/>
    </row>
    <row r="48" spans="1:5" ht="15" customHeight="1" x14ac:dyDescent="0.25">
      <c r="B48" s="11" t="s">
        <v>58</v>
      </c>
      <c r="C48" s="46">
        <v>0.83310209999999996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0.45287100000000008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0.144151</v>
      </c>
    </row>
    <row r="63" spans="1:4" ht="15.75" customHeight="1" x14ac:dyDescent="0.3">
      <c r="A63" s="4"/>
    </row>
  </sheetData>
  <sheetProtection algorithmName="SHA-512" hashValue="vljQbI4o6ze1ZSbkAKPdBjZF+buBoRid1gugP3pzU1Ql1e+blsv360KNcFhYs5z/2v0eqV4TGttW33giSUqyFA==" saltValue="k8sGbseT4oDJcVK0DUrB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267219</v>
      </c>
      <c r="C2" s="49">
        <v>586868.49999999988</v>
      </c>
      <c r="D2" s="49">
        <v>804283.5</v>
      </c>
      <c r="E2" s="49">
        <v>575430.5</v>
      </c>
      <c r="F2" s="49">
        <v>354070</v>
      </c>
      <c r="G2" s="17">
        <f t="shared" ref="G2:G13" si="0">C2+D2+E2+F2</f>
        <v>2320652.5</v>
      </c>
      <c r="H2" s="17">
        <f t="shared" ref="H2:H13" si="1">(B2 + stillbirth*B2/(1000-stillbirth))/(1-abortion)</f>
        <v>310848.12979147921</v>
      </c>
      <c r="I2" s="17">
        <f t="shared" ref="I2:I13" si="2">G2-H2</f>
        <v>2009804.3702085209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268121</v>
      </c>
      <c r="C3" s="50">
        <v>598841</v>
      </c>
      <c r="D3" s="50">
        <v>824883</v>
      </c>
      <c r="E3" s="50">
        <v>593397.5</v>
      </c>
      <c r="F3" s="50">
        <v>365392.5</v>
      </c>
      <c r="G3" s="17">
        <f t="shared" si="0"/>
        <v>2382514</v>
      </c>
      <c r="H3" s="17">
        <f t="shared" si="1"/>
        <v>311897.40028898092</v>
      </c>
      <c r="I3" s="17">
        <f t="shared" si="2"/>
        <v>2070616.5997110191</v>
      </c>
    </row>
    <row r="4" spans="1:9" ht="15.75" customHeight="1" x14ac:dyDescent="0.25">
      <c r="A4" s="5">
        <f t="shared" si="3"/>
        <v>2026</v>
      </c>
      <c r="B4" s="49">
        <v>269644</v>
      </c>
      <c r="C4" s="50">
        <v>610233.5</v>
      </c>
      <c r="D4" s="50">
        <v>845488</v>
      </c>
      <c r="E4" s="50">
        <v>611938.49999999988</v>
      </c>
      <c r="F4" s="50">
        <v>377212</v>
      </c>
      <c r="G4" s="17">
        <f t="shared" si="0"/>
        <v>2444872</v>
      </c>
      <c r="H4" s="17">
        <f t="shared" si="1"/>
        <v>313669.06211569393</v>
      </c>
      <c r="I4" s="17">
        <f t="shared" si="2"/>
        <v>2131202.9378843061</v>
      </c>
    </row>
    <row r="5" spans="1:9" ht="15.75" customHeight="1" x14ac:dyDescent="0.25">
      <c r="A5" s="5">
        <f t="shared" si="3"/>
        <v>2027</v>
      </c>
      <c r="B5" s="49">
        <v>270048</v>
      </c>
      <c r="C5" s="50">
        <v>620247</v>
      </c>
      <c r="D5" s="50">
        <v>865951.00000000012</v>
      </c>
      <c r="E5" s="50">
        <v>631117</v>
      </c>
      <c r="F5" s="50">
        <v>389498.5</v>
      </c>
      <c r="G5" s="17">
        <f t="shared" si="0"/>
        <v>2506813.5</v>
      </c>
      <c r="H5" s="17">
        <f t="shared" si="1"/>
        <v>314139.02362455276</v>
      </c>
      <c r="I5" s="17">
        <f t="shared" si="2"/>
        <v>2192674.4763754471</v>
      </c>
    </row>
    <row r="6" spans="1:9" ht="15.75" customHeight="1" x14ac:dyDescent="0.25">
      <c r="A6" s="5">
        <f t="shared" si="3"/>
        <v>2028</v>
      </c>
      <c r="B6" s="49">
        <v>271566</v>
      </c>
      <c r="C6" s="50">
        <v>628531</v>
      </c>
      <c r="D6" s="50">
        <v>886199.5</v>
      </c>
      <c r="E6" s="50">
        <v>650998.5</v>
      </c>
      <c r="F6" s="50">
        <v>402226</v>
      </c>
      <c r="G6" s="17">
        <f t="shared" si="0"/>
        <v>2567955</v>
      </c>
      <c r="H6" s="17">
        <f t="shared" si="1"/>
        <v>315904.86909595813</v>
      </c>
      <c r="I6" s="17">
        <f t="shared" si="2"/>
        <v>2252050.1309040417</v>
      </c>
    </row>
    <row r="7" spans="1:9" ht="15.75" customHeight="1" x14ac:dyDescent="0.25">
      <c r="A7" s="5">
        <f t="shared" si="3"/>
        <v>2029</v>
      </c>
      <c r="B7" s="49">
        <v>272836</v>
      </c>
      <c r="C7" s="50">
        <v>635095</v>
      </c>
      <c r="D7" s="50">
        <v>906121.5</v>
      </c>
      <c r="E7" s="50">
        <v>671794.5</v>
      </c>
      <c r="F7" s="50">
        <v>415280.5</v>
      </c>
      <c r="G7" s="17">
        <f t="shared" si="0"/>
        <v>2628291.5</v>
      </c>
      <c r="H7" s="17">
        <f t="shared" si="1"/>
        <v>317382.22334410355</v>
      </c>
      <c r="I7" s="17">
        <f t="shared" si="2"/>
        <v>2310909.2766558966</v>
      </c>
    </row>
    <row r="8" spans="1:9" ht="15.75" customHeight="1" x14ac:dyDescent="0.25">
      <c r="A8" s="5">
        <f t="shared" si="3"/>
        <v>2030</v>
      </c>
      <c r="B8" s="49">
        <v>273274</v>
      </c>
      <c r="C8" s="50">
        <v>640786.5</v>
      </c>
      <c r="D8" s="50">
        <v>925313.5</v>
      </c>
      <c r="E8" s="50">
        <v>693341.5</v>
      </c>
      <c r="F8" s="50">
        <v>428576</v>
      </c>
      <c r="G8" s="17">
        <f t="shared" si="0"/>
        <v>2688017.5</v>
      </c>
      <c r="H8" s="17">
        <f t="shared" si="1"/>
        <v>317891.73606905452</v>
      </c>
      <c r="I8" s="17">
        <f t="shared" si="2"/>
        <v>2370125.7639309457</v>
      </c>
    </row>
    <row r="9" spans="1:9" ht="15.75" customHeight="1" x14ac:dyDescent="0.25">
      <c r="A9" s="5">
        <f t="shared" si="3"/>
        <v>2031</v>
      </c>
      <c r="B9" s="49">
        <v>273322</v>
      </c>
      <c r="C9" s="50">
        <v>646292</v>
      </c>
      <c r="D9" s="50">
        <v>943742.5</v>
      </c>
      <c r="E9" s="50">
        <v>715458</v>
      </c>
      <c r="F9" s="50">
        <v>442180</v>
      </c>
      <c r="G9" s="17">
        <f t="shared" si="0"/>
        <v>2747672.5</v>
      </c>
      <c r="H9" s="17">
        <f t="shared" si="1"/>
        <v>317947.57308000803</v>
      </c>
      <c r="I9" s="17">
        <f t="shared" si="2"/>
        <v>2429724.9269199921</v>
      </c>
    </row>
    <row r="10" spans="1:9" ht="15.75" customHeight="1" x14ac:dyDescent="0.25">
      <c r="A10" s="5">
        <f t="shared" si="3"/>
        <v>2032</v>
      </c>
      <c r="B10" s="49">
        <v>274550</v>
      </c>
      <c r="C10" s="50">
        <v>651701</v>
      </c>
      <c r="D10" s="50">
        <v>961421.5</v>
      </c>
      <c r="E10" s="50">
        <v>737959.5</v>
      </c>
      <c r="F10" s="50">
        <v>456195</v>
      </c>
      <c r="G10" s="17">
        <f t="shared" si="0"/>
        <v>2807277</v>
      </c>
      <c r="H10" s="17">
        <f t="shared" si="1"/>
        <v>319376.06994356913</v>
      </c>
      <c r="I10" s="17">
        <f t="shared" si="2"/>
        <v>2487900.9300564309</v>
      </c>
    </row>
    <row r="11" spans="1:9" ht="15.75" customHeight="1" x14ac:dyDescent="0.25">
      <c r="A11" s="5">
        <f t="shared" si="3"/>
        <v>2033</v>
      </c>
      <c r="B11" s="49">
        <v>275718</v>
      </c>
      <c r="C11" s="50">
        <v>657588.50000000012</v>
      </c>
      <c r="D11" s="50">
        <v>978066.5</v>
      </c>
      <c r="E11" s="50">
        <v>760194</v>
      </c>
      <c r="F11" s="50">
        <v>470696.5</v>
      </c>
      <c r="G11" s="17">
        <f t="shared" si="0"/>
        <v>2866545.5</v>
      </c>
      <c r="H11" s="17">
        <f t="shared" si="1"/>
        <v>320734.77054343832</v>
      </c>
      <c r="I11" s="17">
        <f t="shared" si="2"/>
        <v>2545810.7294565616</v>
      </c>
    </row>
    <row r="12" spans="1:9" ht="15.75" customHeight="1" x14ac:dyDescent="0.25">
      <c r="A12" s="5">
        <f t="shared" si="3"/>
        <v>2034</v>
      </c>
      <c r="B12" s="49">
        <v>275979</v>
      </c>
      <c r="C12" s="50">
        <v>664033</v>
      </c>
      <c r="D12" s="50">
        <v>994091.49999999977</v>
      </c>
      <c r="E12" s="50">
        <v>781284.5</v>
      </c>
      <c r="F12" s="50">
        <v>485756</v>
      </c>
      <c r="G12" s="17">
        <f t="shared" si="0"/>
        <v>2925165</v>
      </c>
      <c r="H12" s="17">
        <f t="shared" si="1"/>
        <v>321038.38429049822</v>
      </c>
      <c r="I12" s="17">
        <f t="shared" si="2"/>
        <v>2604126.6157095018</v>
      </c>
    </row>
    <row r="13" spans="1:9" ht="15.75" customHeight="1" x14ac:dyDescent="0.25">
      <c r="A13" s="5">
        <f t="shared" si="3"/>
        <v>2035</v>
      </c>
      <c r="B13" s="49">
        <v>275102</v>
      </c>
      <c r="C13" s="50">
        <v>670866.00000000012</v>
      </c>
      <c r="D13" s="50">
        <v>1009241</v>
      </c>
      <c r="E13" s="50">
        <v>801619.5</v>
      </c>
      <c r="F13" s="50">
        <v>501334</v>
      </c>
      <c r="G13" s="17">
        <f t="shared" si="0"/>
        <v>2983060.5</v>
      </c>
      <c r="H13" s="17">
        <f t="shared" si="1"/>
        <v>320018.19556953473</v>
      </c>
      <c r="I13" s="17">
        <f t="shared" si="2"/>
        <v>2663042.3044304652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a81a6E8REgN3AD1P5+ojRlsseIQnQAEG+OGqNImGtrNvBlGV1+KiuW2zCczCJ9n+OeyTWMpKdoUHFUK4Y073w==" saltValue="M0UbyIz4eGHFJTgcLTfUn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1.9270251420426689E-2</v>
      </c>
    </row>
    <row r="4" spans="1:8" ht="15.75" customHeight="1" x14ac:dyDescent="0.25">
      <c r="B4" s="19" t="s">
        <v>97</v>
      </c>
      <c r="C4" s="101">
        <v>5.5527335526750703E-2</v>
      </c>
    </row>
    <row r="5" spans="1:8" ht="15.75" customHeight="1" x14ac:dyDescent="0.25">
      <c r="B5" s="19" t="s">
        <v>95</v>
      </c>
      <c r="C5" s="101">
        <v>8.3290502540403655E-2</v>
      </c>
    </row>
    <row r="6" spans="1:8" ht="15.75" customHeight="1" x14ac:dyDescent="0.25">
      <c r="B6" s="19" t="s">
        <v>91</v>
      </c>
      <c r="C6" s="101">
        <v>0.247329601879935</v>
      </c>
    </row>
    <row r="7" spans="1:8" ht="15.75" customHeight="1" x14ac:dyDescent="0.25">
      <c r="B7" s="19" t="s">
        <v>96</v>
      </c>
      <c r="C7" s="101">
        <v>0.41542046752397621</v>
      </c>
    </row>
    <row r="8" spans="1:8" ht="15.75" customHeight="1" x14ac:dyDescent="0.25">
      <c r="B8" s="19" t="s">
        <v>98</v>
      </c>
      <c r="C8" s="101">
        <v>2.827032633258517E-3</v>
      </c>
    </row>
    <row r="9" spans="1:8" ht="15.75" customHeight="1" x14ac:dyDescent="0.25">
      <c r="B9" s="19" t="s">
        <v>92</v>
      </c>
      <c r="C9" s="101">
        <v>6.8686537483920895E-2</v>
      </c>
    </row>
    <row r="10" spans="1:8" ht="15.75" customHeight="1" x14ac:dyDescent="0.25">
      <c r="B10" s="19" t="s">
        <v>94</v>
      </c>
      <c r="C10" s="101">
        <v>0.1076482709913284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102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2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90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3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101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79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88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99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8.8541960999999988E-2</v>
      </c>
    </row>
    <row r="27" spans="1:8" ht="15.75" customHeight="1" x14ac:dyDescent="0.25">
      <c r="B27" s="19" t="s">
        <v>89</v>
      </c>
      <c r="C27" s="101">
        <v>8.4139049999999993E-3</v>
      </c>
    </row>
    <row r="28" spans="1:8" ht="15.75" customHeight="1" x14ac:dyDescent="0.25">
      <c r="B28" s="19" t="s">
        <v>103</v>
      </c>
      <c r="C28" s="101">
        <v>0.15592515700000001</v>
      </c>
    </row>
    <row r="29" spans="1:8" ht="15.75" customHeight="1" x14ac:dyDescent="0.25">
      <c r="B29" s="19" t="s">
        <v>86</v>
      </c>
      <c r="C29" s="101">
        <v>0.16923094399999999</v>
      </c>
    </row>
    <row r="30" spans="1:8" ht="15.75" customHeight="1" x14ac:dyDescent="0.25">
      <c r="B30" s="19" t="s">
        <v>4</v>
      </c>
      <c r="C30" s="101">
        <v>0.105940403</v>
      </c>
    </row>
    <row r="31" spans="1:8" ht="15.75" customHeight="1" x14ac:dyDescent="0.25">
      <c r="B31" s="19" t="s">
        <v>80</v>
      </c>
      <c r="C31" s="101">
        <v>0.11097119599999999</v>
      </c>
    </row>
    <row r="32" spans="1:8" ht="15.75" customHeight="1" x14ac:dyDescent="0.25">
      <c r="B32" s="19" t="s">
        <v>85</v>
      </c>
      <c r="C32" s="101">
        <v>1.8550027E-2</v>
      </c>
    </row>
    <row r="33" spans="2:3" ht="15.75" customHeight="1" x14ac:dyDescent="0.25">
      <c r="B33" s="19" t="s">
        <v>100</v>
      </c>
      <c r="C33" s="101">
        <v>8.4407093999999988E-2</v>
      </c>
    </row>
    <row r="34" spans="2:3" ht="15.75" customHeight="1" x14ac:dyDescent="0.25">
      <c r="B34" s="19" t="s">
        <v>87</v>
      </c>
      <c r="C34" s="101">
        <v>0.258019314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saI5QHDO0a7USAa6Ou6VM4r/v+M+J4IWDY+WR+vq7exc3amvMAmxYKZy3irtY1cO+eao3ZywBEeF6O/Dzbe8tA==" saltValue="HJKNsyg/kSv6NH1JekSP1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110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106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107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119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3X6QPzKTB/0SVrIerboe0TjdzghRIPwjzV2Bb9tHCROEdXVPIi25RICrHR7keKjvMpidpZ4ZcZZuGqi/ioa4Q==" saltValue="9UQwHeQattUX/1d4fqwg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125</v>
      </c>
      <c r="C5" s="52">
        <v>3.2542099999999997E-2</v>
      </c>
      <c r="D5" s="52">
        <v>1.8932399999999999E-2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NrSGW3iNyukZK8DhVt1cJl6DpGkhykctJVdN7LJ2NbjLWVvIv1HE7IIQNwo8Jb9C6gsRA8NnNeDbsNE+AYlXPw==" saltValue="LNxHQmjKdwHh2Q12oGAJx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360n7e81JuBiIjLvlaAjF5SgLrdbFLSoojWmwsTP642QoJKLOHjPrsI2KoBIazXx56C8urDHWiAR5djfvvH0A==" saltValue="e2xiVUMx4qA2rwIlx+eEU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rLm049mKEQ6qQzZ+rhoU9DpKp3b8f6vQ/oYDYdJ01XgPRlu8sPjXys0BN3dIEiXhRC/1KmhzA1qjGXuAtZPnDA==" saltValue="Mvk22bWXaeCstTfrVP/WX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epWHSRvplGKga54LERO1S4yCQX2r3LQrXwZs+aQh6JWB2sk04xyOCZsr7MaZNBbCwfZ0up6kEXohtA6Dd4yqBw==" saltValue="m51vTto9R5WPEEdzOud7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RHujkSwjAlpLY2MDgKWtUo3pwa6Is7VTS4K1ABi1EI0uZp/CbEkBT3/M7qpMKOHJKMJP1bKBbLtVSDoQT+ucaw==" saltValue="gCAUGt6R4MGoU7/pp4yo+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156.72636738161069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0.1621532183204808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1.812651550310735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0.25</v>
      </c>
      <c r="C9" s="98">
        <v>0.95</v>
      </c>
      <c r="D9" s="56">
        <v>0.73277403097668004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0.27672940000000001</v>
      </c>
      <c r="C10" s="98">
        <v>0.95</v>
      </c>
      <c r="D10" s="56">
        <v>15.022196845122521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15.022196845122521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15.022196845122521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15.022196845122521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0.27672940000000001</v>
      </c>
      <c r="C14" s="98">
        <v>0.95</v>
      </c>
      <c r="D14" s="56">
        <v>15.022196845122521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15.022196845122521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0.73015299999999994</v>
      </c>
      <c r="C16" s="98">
        <v>0.95</v>
      </c>
      <c r="D16" s="56">
        <v>5.434769849887032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0.103311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0.49299999999999999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0.4961622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25.587629641895109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0.65059860000000003</v>
      </c>
      <c r="C23" s="98">
        <v>0.95</v>
      </c>
      <c r="D23" s="56">
        <v>4.9145085291285842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0.73707815445430003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0.27672940000000001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6.1975445656606514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0.85267629999999994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0.25069370000000002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0.66</v>
      </c>
      <c r="C32" s="98">
        <v>0.95</v>
      </c>
      <c r="D32" s="56">
        <v>0.7508563608396559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0.17836579999999999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0.62068789999999996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6.3924000000000003E-3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0.20684730000000001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0.53400000000000003</v>
      </c>
      <c r="C38" s="98">
        <v>0.95</v>
      </c>
      <c r="D38" s="56">
        <v>2.5266912460001119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wIH/9lRo1GFyPGWi17rkExPq0Zv8kmEywEfweJdzJMI6ec9o3iKrqX64XZkXFlbsUudKOZaht8l0EMynOr5ktA==" saltValue="bQBQMTR7eJjMuz44CxB9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jABDJmFj6zlws+B7djxF5nnzxqrhUb1jhv0Tg0taB0UcaKfCCcK84klraLe+vAKqjdnKLKM5SkkUxQLw/j428g==" saltValue="2mDJvzO2JNqdhQd9/UpG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HtnqX4vlz++Kr9XbEbTmYyOqJbcEewCUL9fh1tdZTBH1vPlNMvMQaF5tI4ENPZ6cyKJ5R3GVamkrG364JIbGKw==" saltValue="9muCACy9lk8c8U5F0afC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207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sheetProtection algorithmName="SHA-512" hashValue="V/qQRGqh79S2ZrYiTWz/9qtsQ5HVCu3ndR78PNqNUDW1VFyF4e8JKE3owO9PF9JQAIPCOmv6ikWRxxu4qN057g==" saltValue="xskohw31dPvNTFsUKHSPM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0.40100000000000002</v>
      </c>
      <c r="E2" s="60">
        <f>food_insecure</f>
        <v>0.40100000000000002</v>
      </c>
      <c r="F2" s="60">
        <f>food_insecure</f>
        <v>0.40100000000000002</v>
      </c>
      <c r="G2" s="60">
        <f>food_insecure</f>
        <v>0.40100000000000002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0.40100000000000002</v>
      </c>
      <c r="F5" s="60">
        <f>food_insecure</f>
        <v>0.40100000000000002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0.40100000000000002</v>
      </c>
      <c r="F8" s="60">
        <f>food_insecure</f>
        <v>0.40100000000000002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0.40100000000000002</v>
      </c>
      <c r="F9" s="60">
        <f>food_insecure</f>
        <v>0.40100000000000002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0.40100000000000002</v>
      </c>
      <c r="I15" s="60">
        <f>food_insecure</f>
        <v>0.40100000000000002</v>
      </c>
      <c r="J15" s="60">
        <f>food_insecure</f>
        <v>0.40100000000000002</v>
      </c>
      <c r="K15" s="60">
        <f>food_insecure</f>
        <v>0.40100000000000002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0.36195958108329768</v>
      </c>
      <c r="M25" s="60">
        <f>(1-food_insecure)*(0.49)+food_insecure*(0.7)</f>
        <v>0.57421</v>
      </c>
      <c r="N25" s="60">
        <f>(1-food_insecure)*(0.49)+food_insecure*(0.7)</f>
        <v>0.57421</v>
      </c>
      <c r="O25" s="60">
        <f>(1-food_insecure)*(0.49)+food_insecure*(0.7)</f>
        <v>0.57421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0.15512553474998469</v>
      </c>
      <c r="M26" s="60">
        <f>(1-food_insecure)*(0.21)+food_insecure*(0.3)</f>
        <v>0.24608999999999998</v>
      </c>
      <c r="N26" s="60">
        <f>(1-food_insecure)*(0.21)+food_insecure*(0.3)</f>
        <v>0.24608999999999998</v>
      </c>
      <c r="O26" s="60">
        <f>(1-food_insecure)*(0.21)+food_insecure*(0.3)</f>
        <v>0.24608999999999998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0.11327586896896361</v>
      </c>
      <c r="M27" s="60">
        <f>(1-food_insecure)*(0.3)</f>
        <v>0.1797</v>
      </c>
      <c r="N27" s="60">
        <f>(1-food_insecure)*(0.3)</f>
        <v>0.1797</v>
      </c>
      <c r="O27" s="60">
        <f>(1-food_insecure)*(0.3)</f>
        <v>0.1797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0.369639015197754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0be/sFfwtyUUTbkVl0NLCuIoQHz1iRN2x5tFc6/v5PxaeXyC40ATwlxy1kqZtX0sVKMf5jNPtynx0Z2tAp/gA==" saltValue="lMfouAZLv5IL79Vj9JHWc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QKWNtjZRX50XKCfrzRpu5oQdCekUIuL3vPP1c0f0yIWpLNgM/g7h5JMCY8ewQvUYyREW4RMb/M4IQ8tXghoSAA==" saltValue="Pc//nJyvEWGi/WSdS81n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Mzi5duuOPp0hrwBJpUUvdDpnz1nUpvPwfETCgYmT5RfYMru8ceSI3+BFc98Xh/NaOoPsn+sXYxakN92Lzm1ww==" saltValue="Qd1oEM6Qja2VkCx4oUs0w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LatEtoYupG+7cjlW3zp3wKUyrKIUQz9hLModw+/DR10zCdoaVovYy8c1+MPx8I6plNYWqMMyTXDOKVSFpdm6w==" saltValue="1X/SGebyNbGLYvJT7pGes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zfhh1yqlxIpVDsIHdyKk1tacebfZP39EwZRjOomsVqi0r6BsCobSbtOUj6dOacmYojN+PAjLZasd0pfVs26jjQ==" saltValue="u83FeWolFWkxRj70QFmf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YmmIYaNTnaBi0fD0IhWXN6/DVFT9Pc2BOmvqckUbl0fQpzqyJMj4SfjvIhisM8SXbxdatDtxS/s77auXgIE4A==" saltValue="gnI+cb3HQt0t0/NJ6FNmt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nocMM8igfSec0SrOtD4UQeEM8r/Zkh0Ovb7MS8l+9A45s7cyEVu0oPzFOjgzcxyQvA/IShkcuhLW4WwP6GKQw==" saltValue="IOxCEClSDdRRwp5+18wwz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lxxVoFnBDULGRnzJ7gryWoQlQJod4S936hTqUKYXeTjrBOV+ZcUL5hKh8U4VEO+uSMElOqOM2yxSx9m/O+qeg==" saltValue="8sYJ1QqQ+fGMvrK5M/VH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E8AyIuvFzLW1iR4keCoBiWCSt91rAhjVR9lVhEWLsPjiLC10Y//6Jc+IBt1NuxS/PTkDDC4QN8MifCphbZ3Uw==" saltValue="FVc6Nt71S97lKSGsppOY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23MpfJsPRH2Ve5Wk1qaz3Y3/wrNvxeXtaSMLu9lMWa+HZB0D9HPdC4BFl0//oyJpSmM+feTytQd6iwLl8gi0g==" saltValue="WltYQW/PuIKnQghJGxEC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d6U+HYzl9RIl0aFBaLo93WqyvNrA3a9UhUBUWa+B/hjfUFYY1I2ihGsYaIZL9jShfv6gQkT06yE3f7vcdP9/A==" saltValue="BAv4qzvjAVmzIhYsE20Q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WHvbwqtC0o4hNR7udEdRWPEbEhAqH0z0U7DlVIhwxpt65kJFuAZF7xTcK3G97MOWbvmSNmhk+QXix815yF9SA==" saltValue="ajw3Ydmm6uUrrGwAOr/w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NvitSlHQKpsMdhnietPyQtv+kwggGw3WGAGb8NoxbhaI3FEVX5fFwVyMjdIIOkC6KLmVzCm7ZdtE7JjeoB3kg==" saltValue="v+XFqIU+T5CN8rPAHLwG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0.10880695987718758</v>
      </c>
      <c r="G18" s="90">
        <f>MIN(MAX(1-0.89/(1-frac_sam_12_23months+(frac_sam_12_23months*0.89)),0),1)</f>
        <v>0.10810066022046927</v>
      </c>
      <c r="H18" s="90">
        <f>MIN(MAX(1-0.89/(1-frac_sam_24_59months+(frac_sam_24_59months*0.89)),0),1)</f>
        <v>0.10925965225256618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0.10023815442451611</v>
      </c>
      <c r="G20" s="90">
        <f>MIN(MAX(1-0.89/(1-frac_mam_12_23months+(frac_mam_12_23months*0.89)),0),1)</f>
        <v>0.1030360824708656</v>
      </c>
      <c r="H20" s="90">
        <f>MIN(MAX(1-0.89/(1-frac_mam_24_59months+(frac_mam_24_59months*0.89)),0),1)</f>
        <v>0.10732255952371417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9.8795023354342204E-3</v>
      </c>
      <c r="G73" s="90">
        <f>MIN(MAX(1-0.99/(1-frac_sam_12_23months+(frac_sam_12_23months*0.99)),0),1)</f>
        <v>9.8083038385816668E-3</v>
      </c>
      <c r="H73" s="90">
        <f>MIN(MAX(1-0.99/(1-frac_sam_24_59months+(frac_sam_24_59months*0.99)),0),1)</f>
        <v>9.9251899473524752E-3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9.0225930376485186E-3</v>
      </c>
      <c r="G75" s="90">
        <f>MIN(MAX(1-0.99/(1-frac_mam_12_23months+(frac_mam_12_23months*0.99)),0),1)</f>
        <v>9.3007575397767717E-3</v>
      </c>
      <c r="H75" s="90">
        <f>MIN(MAX(1-0.99/(1-frac_mam_24_59months+(frac_mam_24_59months*0.99)),0),1)</f>
        <v>9.72998604610531E-3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0.19804804895114703</v>
      </c>
      <c r="G128" s="90">
        <f>MIN(MAX(1-0.8/(1-frac_sam_12_23months+(frac_sam_12_23months*0.8)),0),1)</f>
        <v>0.19689044009500389</v>
      </c>
      <c r="H128" s="90">
        <f>MIN(MAX(1-0.8/(1-frac_sam_24_59months+(frac_sam_24_59months*0.8)),0),1)</f>
        <v>0.19878921025453655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0.18390154392362268</v>
      </c>
      <c r="G130" s="90">
        <f>MIN(MAX(1-0.8/(1-frac_mam_12_23months+(frac_mam_12_23months*0.8)),0),1)</f>
        <v>0.18854539316629026</v>
      </c>
      <c r="H130" s="90">
        <f>MIN(MAX(1-0.8/(1-frac_mam_24_59months+(frac_mam_24_59months*0.8)),0),1)</f>
        <v>0.19561340641373226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QFra2hwCu71bFHRZ6y2pDHeGJakLoRYHnQP5220td2vj6foYeqaq+WtqdC0rC4OXyoVrzw249iOvjnIHggZaA==" saltValue="4WWPUM7cnFUoZVUiYmdd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7K3V6tXAEf+IJ71+SPNYhghpqw4ISmupj6wHquTzL4Dvz9pgJmadELqXaNJCaKemef3wys9xg2fN+0RIkKOyPQ==" saltValue="7xnKAKw7+TsN04EGOmNa/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2024-08-06T08:16:51Z</dcterms:modified>
</cp:coreProperties>
</file>