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D432FE7-2470-4707-BDB8-2174C7FFF0C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26" i="2"/>
  <c r="A22" i="2"/>
  <c r="A36" i="2"/>
  <c r="I4" i="2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<sst xmlns="http://schemas.openxmlformats.org/spreadsheetml/2006/main" count="2159" uniqueCount="372">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</sst>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31132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0.68835669999999993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0.11550000000000001</v>
      </c>
    </row>
    <row r="24" spans="1:3" ht="15" customHeight="1" x14ac:dyDescent="0.25">
      <c r="B24" s="15" t="s">
        <v>65</v>
      </c>
      <c r="C24" s="45">
        <v>0.47460000000000002</v>
      </c>
    </row>
    <row r="25" spans="1:3" ht="15" customHeight="1" x14ac:dyDescent="0.25">
      <c r="B25" s="15" t="s">
        <v>66</v>
      </c>
      <c r="C25" s="45">
        <v>0.32340000000000002</v>
      </c>
    </row>
    <row r="26" spans="1:3" ht="15" customHeight="1" x14ac:dyDescent="0.25">
      <c r="B26" s="15" t="s">
        <v>67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1.95</v>
      </c>
      <c r="D51" s="12"/>
    </row>
    <row r="52" spans="1:4" ht="15" customHeight="1" x14ac:dyDescent="0.25">
      <c r="B52" s="11" t="s">
        <v>32</v>
      </c>
      <c r="C52" s="100">
        <v>1.95</v>
      </c>
    </row>
    <row r="53" spans="1:4" ht="15.75" customHeight="1" x14ac:dyDescent="0.25">
      <c r="B53" s="11" t="s">
        <v>35</v>
      </c>
      <c r="C53" s="100">
        <v>5.4340000000000002</v>
      </c>
    </row>
    <row r="54" spans="1:4" ht="15.75" customHeight="1" x14ac:dyDescent="0.25">
      <c r="B54" s="11" t="s">
        <v>33</v>
      </c>
      <c r="C54" s="100">
        <v>6.1880000000000006</v>
      </c>
    </row>
    <row r="55" spans="1:4" ht="15.75" customHeight="1" x14ac:dyDescent="0.25">
      <c r="B55" s="11" t="s">
        <v>34</v>
      </c>
      <c r="C55" s="100">
        <v>3.5446666666666662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0.1111475279</v>
      </c>
    </row>
    <row r="63" spans="1:4" ht="15.75" customHeight="1" x14ac:dyDescent="0.3">
      <c r="A63" s="4"/>
    </row>
  </sheetData>
  <sheetProtection algorithmName="SHA-512" hashValue="aROqOat/UGNf0rdr3pIPBbrQY3zQn1P9+TPsDcZebcolE1jw3PYxU0/htVREgGphqvnZd0rEpQRXLvBr5PIM3A==" saltValue="QlsX9bDvLXmlFocanKT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dfNZPqIEu6k5xRMo7KekQ9ABMBoLF3m/6BapiAyIMAr+GXkfjVdAVBL2ttYlH5k71CsS1/HVd0rLFCa7A90Ng==" saltValue="TvleimCmdM3gfVMtmVGCx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7.2663600000000161E-2</v>
      </c>
    </row>
    <row r="5" spans="1:8" ht="15.75" customHeight="1" x14ac:dyDescent="0.25">
      <c r="B5" s="19" t="s">
        <v>114</v>
      </c>
      <c r="C5" s="101">
        <v>3.2022400000000013E-2</v>
      </c>
    </row>
    <row r="6" spans="1:8" ht="15.75" customHeight="1" x14ac:dyDescent="0.25">
      <c r="B6" s="19" t="s">
        <v>110</v>
      </c>
      <c r="C6" s="101">
        <v>0.18112940000000011</v>
      </c>
    </row>
    <row r="7" spans="1:8" ht="15.75" customHeight="1" x14ac:dyDescent="0.25">
      <c r="B7" s="19" t="s">
        <v>115</v>
      </c>
      <c r="C7" s="101">
        <v>0.43143469999999928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0.18141010000000021</v>
      </c>
    </row>
    <row r="10" spans="1:8" ht="15.75" customHeight="1" x14ac:dyDescent="0.25">
      <c r="B10" s="19" t="s">
        <v>113</v>
      </c>
      <c r="C10" s="101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2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109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118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101">
        <v>1.836863E-2</v>
      </c>
    </row>
    <row r="28" spans="1:8" ht="15.75" customHeight="1" x14ac:dyDescent="0.25">
      <c r="B28" s="19" t="s">
        <v>122</v>
      </c>
      <c r="C28" s="101">
        <v>0.231175139</v>
      </c>
    </row>
    <row r="29" spans="1:8" ht="15.75" customHeight="1" x14ac:dyDescent="0.25">
      <c r="B29" s="19" t="s">
        <v>105</v>
      </c>
      <c r="C29" s="101">
        <v>0.138527135</v>
      </c>
    </row>
    <row r="30" spans="1:8" ht="15.75" customHeight="1" x14ac:dyDescent="0.25">
      <c r="B30" s="19" t="s">
        <v>4</v>
      </c>
      <c r="C30" s="101">
        <v>4.9111505E-2</v>
      </c>
    </row>
    <row r="31" spans="1:8" ht="15.75" customHeight="1" x14ac:dyDescent="0.25">
      <c r="B31" s="19" t="s">
        <v>99</v>
      </c>
      <c r="C31" s="101">
        <v>6.9658183999999998E-2</v>
      </c>
    </row>
    <row r="32" spans="1:8" ht="15.75" customHeight="1" x14ac:dyDescent="0.25">
      <c r="B32" s="19" t="s">
        <v>104</v>
      </c>
      <c r="C32" s="101">
        <v>0.14941447299999999</v>
      </c>
    </row>
    <row r="33" spans="2:3" ht="15.75" customHeight="1" x14ac:dyDescent="0.25">
      <c r="B33" s="19" t="s">
        <v>119</v>
      </c>
      <c r="C33" s="101">
        <v>0.122223571</v>
      </c>
    </row>
    <row r="34" spans="2:3" ht="15.75" customHeight="1" x14ac:dyDescent="0.25">
      <c r="B34" s="19" t="s">
        <v>106</v>
      </c>
      <c r="C34" s="101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7lxq/MUtWAEP1I3XnYdCy/O4TiOt5bCsJ3FRj2YDMkHSB9IrknMzrvoRj2oBw3ZiVoSR26EgV6CwByTKqm+CEg==" saltValue="sx7MMmoH24jLSNUGqaWj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bcBp3s+Tr3RI73Yqe337JOMfQvhnTxBs6pym3WVhw8/GyCK+QDLrVOJjwFgRDbncEm033P7N7reomyW1uNu0w==" saltValue="wZdon+Pd+p6rAlunNm5B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bU1rkeP6uLCokHU4WhDsZLqA3lE+O0UFkKp3y7kxW3ac8zv7E9HY3woXYMOicRs95I8jbl5zaPFyzSXifTMNOw==" saltValue="b1MAQFnoKUmfluCZVXVz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qPClJ8u9iZyGJEBgUcIePk8afaNq1mfdlZ2dL6p4jwmFj9wqf2v8bXL/HiboECUXvdMMzi4G7LuldO9V1V2vQ==" saltValue="mNtPfO8qCGS17iSCR3Ht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2386.6961758184002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0.43436000000000002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0.39685999999999999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1.718917778663958E-2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96933.289739999993</v>
      </c>
      <c r="C22" s="109">
        <v>96637.338749999995</v>
      </c>
      <c r="D22" s="109">
        <v>96347.932560000001</v>
      </c>
      <c r="E22" s="109">
        <v>95957.418810000003</v>
      </c>
      <c r="F22" s="109">
        <v>95445.618130000003</v>
      </c>
      <c r="G22" s="109">
        <v>94905.706950000007</v>
      </c>
      <c r="H22" s="109">
        <v>94246.119479999994</v>
      </c>
      <c r="I22" s="109">
        <v>93301.41476</v>
      </c>
      <c r="J22" s="109">
        <v>91857.557180000003</v>
      </c>
      <c r="K22" s="109">
        <v>89621.092300000004</v>
      </c>
      <c r="L22" s="109">
        <v>86160.015780000002</v>
      </c>
      <c r="M22" s="109">
        <v>81045.916119999994</v>
      </c>
      <c r="N22" s="109">
        <v>73544.375180000003</v>
      </c>
      <c r="O22" s="109">
        <v>63225.913849999997</v>
      </c>
    </row>
  </sheetData>
  <sheetProtection algorithmName="SHA-512" hashValue="35/khXw3d5Xx+a+WTcZ4NXeo0mqRPrmFVgbr6cqDv6N7ntvQKivik0Le7y6N/zwtPU3sG6tWHK5MI6bmJfckUw==" saltValue="FKILfBvEugwY/rlhewgW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m3ooaAPAoZdaMHqQmmI8oAa5IMX68bgvqQJr58BmpsmxuLzwtsk/dBTUyyJE5Km4TFDaT+Y1wSoTuKWlpTwpw==" saltValue="Lk+jUV4yq6Ox2RLyQq0U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hkaEGA6ED7ApEz42UTW6LlIFyhH7BrwBWNLUvd6gc0+/tkbbmCtb/dOnIqp77teS81rygtX+CSDVX/e2COEDw==" saltValue="ofNX8lX75TW9385vgVYA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1.1113E-2</v>
      </c>
      <c r="C10" s="98">
        <v>0.95</v>
      </c>
      <c r="D10" s="56">
        <v>14.332612801245681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14.332612801245681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14.332612801245681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14.332612801245681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14.332612801245681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0.74299999999999999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0.50451279999999998</v>
      </c>
      <c r="C19" s="98">
        <v>0.95</v>
      </c>
      <c r="D19" s="56">
        <v>4.0260706086583404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4.7482493984987979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0.62744799530607998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0.58558969999999999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0.2004783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0.7196437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0.1203943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1.57512E-2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0.88436999999999999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0.33004980000000012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bktffMj+DzeCBSTn9mvBkJqBj7DuRPG6onvAzfmp9xljAg3BBi4FgT2CjXz3ihfmgD527+JG+A3urOb04bEH/A==" saltValue="fYcThu7TbB5oC1GBA06g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9jUGndg0ZJO8as/wQUQmyDzUWAkhO91ux9+iYxi4UPLwL1iiacSVkiMj6aWQU/kepqzn8Cyja/f5+PJ+wBZsA==" saltValue="XrqheKlIS807f0vT6j0g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Pk9ry6thuf+Mvqr6eZp5bG4RIjspV4XRTWclUeNp1gU+h98dRohxde9N7GFhVfQ+rYJsxOy9x5POdvcefOREg==" saltValue="xB/H42q5z+9dY/PZVZVr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5.4340000000000002</v>
      </c>
      <c r="E2" s="21">
        <f>'Entradas de población-año base'!C54</f>
        <v>6.1880000000000006</v>
      </c>
      <c r="F2" s="21">
        <f>'Entradas de población-año base'!C55</f>
        <v>3.5446666666666662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v5QF+fuKkr6iLO0mnkc50HsjsIHM+u+ufCmBTJ+CBVRdWx0BRIKtwYoJxTjcyXV6MssStPQdXA/7iaqugrL3ig==" saltValue="RSKyCASzXVdD/LJxOkN9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vHjCmvR7RkgCz5iZmQdEYpO16qVJfXnEeWiieJKhshPpq78SSxnRdkru1Dl5lK0TfcK1No38CTPbu2J4R1OVg==" saltValue="gPr4V2F00al+2sX3hRRN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16vFdbtK6LN7UYlC8DPLSkEMdbSqRtHPVQmObyqkrPutdcqU5y2zlJwe7OJdU/wwAoCAP+WD01EQkH/rMfn2A==" saltValue="55RocM79Rek/oX527EUMt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vKmZfjy3Fsmh1BqpDaG7ZowpL1JhbJ80TmNCaJUDYx2NCM859/pOEipcQ27lvx3YIWBvvXavcEzmNW+G5uF2A==" saltValue="SQdA7SBAicdWgVTMYMUZ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FCNnGj/GQ0FWDeHKfpcydVfFyOyW+rYiXUg4yIAJpuYgCFyoCz1ISEAJgWYSJr/9g9vYDyrGV3Kt/lYFEj3yw==" saltValue="fuV8bHHheI7qBxAkIoY0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0rYgUD/iwtDnwiD/n4LBFD/XB/o1dlBLsB43CPku/afYoSRHAK8LNjENNBgHIT1vD9T47mFIZG3qV7t3Cv5pvA==" saltValue="6L8OpE05vAPjQbi2BFkR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WMnJYpyUDlLxHd/sQVMtbwpswzSpIWaskkvs3KkRDxmLPOyuRRmAu+TMNBeYb2hBYZ3Md2uGpvOTwdjT1hVIuw==" saltValue="dhMRz/Fd4w65fyDfPI1b8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uG0POwuEfvYPhjzG7WR34Ui9tRC8GkklNjJ0yPs9R2/5D5pFUypp6eQTHR2lKIPFIONV75EnsgOydvkdbcG2w==" saltValue="FhfK3NwStCYpzNGAA15Jw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gsjzO1XZbk42kbFk7RuRN/XK46M3w2/9wL8m8WBD9qOiju1VKl2tTS1ubH4n7EL0R0/scmLerAFn3XyJwTVjw==" saltValue="H28vgsvj3ejftyDXoJfg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OWF54mR/nawmFQLhjQo489jSc/EqGx9ByGtZbQDle2oOHOgsNlLvO/ZHYBmgyip2gyVAj2Wcjfx4NC72OfmYA==" saltValue="QajneADPf7NV0PnCfDR3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ri65ulXYBx1Ls0uuKHXwr8W2q8nuv4Clu53IVKgHKSJ0svYBL5pqK/1EEtdOwT4OYO75Tou79kkP76wMMeXMA==" saltValue="wjOsJahk2uSFHRgIj0dQ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I19uuXDmm9U/qgZdNQJ8WYRiHx94gO8DQQzG8X8nqKdATGrl7uNHVD7yqZJ4QqTkcSRRGmt1t998k9ScKAxRg==" saltValue="Z3kjvYD+P3fZewr+JwcW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FdyuA7HGoZYbAn89DFl2UssV9kf1iFEXPBr3rt+VgAFqk48tGxjdjn06Sqd+N/VDMdXuhcfhoBHyVB7HIk6Rg==" saltValue="+PV0eAJgNhM9RcH7bh2T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YHoV8tMHDUbfcERJsWmuCNvFLbJDR+G5xdXiHxMcjxA3k4bW6cF/pmltAQO0m/hD2N/FYwv/DfOnZPFSwdY0g==" saltValue="B/hSoRPyLg6CA2akZwkM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kEIKuzm5KXwO4feMqfXBhTnTyhmlK+DfBtXO6I00uzsCzXVr5fL3lTqx3RlKqHfBxVUm3jtB0HMkoO9IJW4uw==" saltValue="0E5s3nMNwfT24OTPOucG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F11LZ8t0qEkNP1HLaULHIpd7SD5Y30P5g+gPeJyTRcWEw14+erFFPWeW6gqaLVojFpNxKglZ/sjDNR2ikLZcw==" saltValue="D8iFX1BAJAEBP4W8b2yr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2025-07-04T02:34:49Z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