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07820473-48D5-4CF0-9D2B-CD07E832B6B6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<sst xmlns="http://schemas.openxmlformats.org/spreadsheetml/2006/main" count="2102" uniqueCount="341">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</sst>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29873.677734375029</v>
      </c>
    </row>
    <row r="8" spans="1:3" ht="15" customHeight="1" x14ac:dyDescent="0.25">
      <c r="B8" s="5" t="s">
        <v>44</v>
      </c>
      <c r="C8" s="44">
        <v>1.0999999999999999E-2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0.68290496826171898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0.49700000000000011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0.11550000000000001</v>
      </c>
    </row>
    <row r="24" spans="1:3" ht="15" customHeight="1" x14ac:dyDescent="0.25">
      <c r="B24" s="15" t="s">
        <v>46</v>
      </c>
      <c r="C24" s="45">
        <v>0.47460000000000002</v>
      </c>
    </row>
    <row r="25" spans="1:3" ht="15" customHeight="1" x14ac:dyDescent="0.25">
      <c r="B25" s="15" t="s">
        <v>47</v>
      </c>
      <c r="C25" s="45">
        <v>0.32340000000000002</v>
      </c>
    </row>
    <row r="26" spans="1:3" ht="15" customHeight="1" x14ac:dyDescent="0.25">
      <c r="B26" s="15" t="s">
        <v>48</v>
      </c>
      <c r="C26" s="45">
        <v>8.6500000000000007E-2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0.35185775257007201</v>
      </c>
    </row>
    <row r="30" spans="1:3" ht="14.25" customHeight="1" x14ac:dyDescent="0.25">
      <c r="B30" s="25" t="s">
        <v>63</v>
      </c>
      <c r="C30" s="99">
        <v>2.3858720907234902E-2</v>
      </c>
    </row>
    <row r="31" spans="1:3" ht="14.25" customHeight="1" x14ac:dyDescent="0.25">
      <c r="B31" s="25" t="s">
        <v>10</v>
      </c>
      <c r="C31" s="99">
        <v>3.4342930038455802E-2</v>
      </c>
    </row>
    <row r="32" spans="1:3" ht="14.25" customHeight="1" x14ac:dyDescent="0.25">
      <c r="B32" s="25" t="s">
        <v>11</v>
      </c>
      <c r="C32" s="99">
        <v>0.58994059648423802</v>
      </c>
    </row>
    <row r="33" spans="1:5" ht="13" customHeight="1" x14ac:dyDescent="0.25">
      <c r="B33" s="27" t="s">
        <v>60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6.5631199999999996</v>
      </c>
    </row>
    <row r="38" spans="1:5" ht="15" customHeight="1" x14ac:dyDescent="0.25">
      <c r="B38" s="11" t="s">
        <v>35</v>
      </c>
      <c r="C38" s="43">
        <v>14.3725</v>
      </c>
      <c r="D38" s="12"/>
      <c r="E38" s="13"/>
    </row>
    <row r="39" spans="1:5" ht="15" customHeight="1" x14ac:dyDescent="0.25">
      <c r="B39" s="11" t="s">
        <v>61</v>
      </c>
      <c r="C39" s="43">
        <v>16.718489999999999</v>
      </c>
      <c r="D39" s="12"/>
      <c r="E39" s="12"/>
    </row>
    <row r="40" spans="1:5" ht="15" customHeight="1" x14ac:dyDescent="0.25">
      <c r="B40" s="11" t="s">
        <v>36</v>
      </c>
      <c r="C40" s="100">
        <v>0.59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7.6169099999999998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6.1190999999999997E-3</v>
      </c>
      <c r="D45" s="12"/>
    </row>
    <row r="46" spans="1:5" ht="15.75" customHeight="1" x14ac:dyDescent="0.25">
      <c r="B46" s="11" t="s">
        <v>51</v>
      </c>
      <c r="C46" s="45">
        <v>6.5748799999999996E-2</v>
      </c>
      <c r="D46" s="12"/>
    </row>
    <row r="47" spans="1:5" ht="15.75" customHeight="1" x14ac:dyDescent="0.25">
      <c r="B47" s="11" t="s">
        <v>59</v>
      </c>
      <c r="C47" s="45">
        <v>7.5182200000000005E-2</v>
      </c>
      <c r="D47" s="12"/>
      <c r="E47" s="13"/>
    </row>
    <row r="48" spans="1:5" ht="15" customHeight="1" x14ac:dyDescent="0.25">
      <c r="B48" s="11" t="s">
        <v>58</v>
      </c>
      <c r="C48" s="46">
        <v>0.85294990000000004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2.2000000000000002</v>
      </c>
      <c r="D51" s="12"/>
    </row>
    <row r="52" spans="1:4" ht="15" customHeight="1" x14ac:dyDescent="0.25">
      <c r="B52" s="11" t="s">
        <v>13</v>
      </c>
      <c r="C52" s="100">
        <v>2.2000000000000002</v>
      </c>
    </row>
    <row r="53" spans="1:4" ht="15.75" customHeight="1" x14ac:dyDescent="0.25">
      <c r="B53" s="11" t="s">
        <v>16</v>
      </c>
      <c r="C53" s="100">
        <v>2.2000000000000002</v>
      </c>
    </row>
    <row r="54" spans="1:4" ht="15.75" customHeight="1" x14ac:dyDescent="0.25">
      <c r="B54" s="11" t="s">
        <v>14</v>
      </c>
      <c r="C54" s="100">
        <v>2.2000000000000002</v>
      </c>
    </row>
    <row r="55" spans="1:4" ht="15.75" customHeight="1" x14ac:dyDescent="0.25">
      <c r="B55" s="11" t="s">
        <v>15</v>
      </c>
      <c r="C55" s="100">
        <v>2.2000000000000002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2.1363636363636359E-2</v>
      </c>
    </row>
    <row r="59" spans="1:4" ht="15.75" customHeight="1" x14ac:dyDescent="0.25">
      <c r="B59" s="11" t="s">
        <v>40</v>
      </c>
      <c r="C59" s="45">
        <v>0.57259000000000004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6.5984119999999896E-2</v>
      </c>
    </row>
    <row r="63" spans="1:4" ht="15.75" customHeight="1" x14ac:dyDescent="0.3">
      <c r="A63" s="4"/>
    </row>
  </sheetData>
  <sheetProtection algorithmName="SHA-512" hashValue="raoPThnhScJr5hoCMFeUI87D3yTZwx2EpVbNSivgVMNjsixwbVokZgO7geajBAArAYT4+lI3aaLfvbU6t4niug==" saltValue="PqdMJxVIxXKYVSV0QpXo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6538</v>
      </c>
      <c r="C2" s="49">
        <v>16652.5</v>
      </c>
      <c r="D2" s="49">
        <v>19748.5</v>
      </c>
      <c r="E2" s="49">
        <v>13500.5</v>
      </c>
      <c r="F2" s="49">
        <v>10361</v>
      </c>
      <c r="G2" s="17">
        <f t="shared" ref="G2:G13" si="0">C2+D2+E2+F2</f>
        <v>60262.5</v>
      </c>
      <c r="H2" s="17">
        <f t="shared" ref="H2:H13" si="1">(B2 + stillbirth*B2/(1000-stillbirth))/(1-abortion)</f>
        <v>7486.5699843247576</v>
      </c>
      <c r="I2" s="17">
        <f t="shared" ref="I2:I13" si="2">G2-H2</f>
        <v>52775.930015675243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6632</v>
      </c>
      <c r="C3" s="50">
        <v>16747.5</v>
      </c>
      <c r="D3" s="50">
        <v>20695</v>
      </c>
      <c r="E3" s="50">
        <v>13571.5</v>
      </c>
      <c r="F3" s="50">
        <v>10716</v>
      </c>
      <c r="G3" s="17">
        <f t="shared" si="0"/>
        <v>61730</v>
      </c>
      <c r="H3" s="17">
        <f t="shared" si="1"/>
        <v>7594.2080354912505</v>
      </c>
      <c r="I3" s="17">
        <f t="shared" si="2"/>
        <v>54135.791964508753</v>
      </c>
    </row>
    <row r="4" spans="1:9" ht="15.75" customHeight="1" x14ac:dyDescent="0.25">
      <c r="A4" s="5">
        <f t="shared" si="3"/>
        <v>2026</v>
      </c>
      <c r="B4" s="49">
        <v>6745</v>
      </c>
      <c r="C4" s="50">
        <v>16923.5</v>
      </c>
      <c r="D4" s="50">
        <v>21676.5</v>
      </c>
      <c r="E4" s="50">
        <v>13727.5</v>
      </c>
      <c r="F4" s="50">
        <v>10989.5</v>
      </c>
      <c r="G4" s="17">
        <f t="shared" si="0"/>
        <v>63317</v>
      </c>
      <c r="H4" s="17">
        <f t="shared" si="1"/>
        <v>7723.6027140211818</v>
      </c>
      <c r="I4" s="17">
        <f t="shared" si="2"/>
        <v>55593.397285978819</v>
      </c>
    </row>
    <row r="5" spans="1:9" ht="15.75" customHeight="1" x14ac:dyDescent="0.25">
      <c r="A5" s="5">
        <f t="shared" si="3"/>
        <v>2027</v>
      </c>
      <c r="B5" s="49">
        <v>6822</v>
      </c>
      <c r="C5" s="50">
        <v>17196</v>
      </c>
      <c r="D5" s="50">
        <v>22669.5</v>
      </c>
      <c r="E5" s="50">
        <v>13979</v>
      </c>
      <c r="F5" s="50">
        <v>11187</v>
      </c>
      <c r="G5" s="17">
        <f t="shared" si="0"/>
        <v>65031.5</v>
      </c>
      <c r="H5" s="17">
        <f t="shared" si="1"/>
        <v>7811.7743091256498</v>
      </c>
      <c r="I5" s="17">
        <f t="shared" si="2"/>
        <v>57219.725690874351</v>
      </c>
    </row>
    <row r="6" spans="1:9" ht="15.75" customHeight="1" x14ac:dyDescent="0.25">
      <c r="A6" s="5">
        <f t="shared" si="3"/>
        <v>2028</v>
      </c>
      <c r="B6" s="49">
        <v>6921</v>
      </c>
      <c r="C6" s="50">
        <v>17411.5</v>
      </c>
      <c r="D6" s="50">
        <v>23615</v>
      </c>
      <c r="E6" s="50">
        <v>14324.5</v>
      </c>
      <c r="F6" s="50">
        <v>11313</v>
      </c>
      <c r="G6" s="17">
        <f t="shared" si="0"/>
        <v>66664</v>
      </c>
      <c r="H6" s="17">
        <f t="shared" si="1"/>
        <v>7925.1377885456786</v>
      </c>
      <c r="I6" s="17">
        <f t="shared" si="2"/>
        <v>58738.862211454325</v>
      </c>
    </row>
    <row r="7" spans="1:9" ht="15.75" customHeight="1" x14ac:dyDescent="0.25">
      <c r="A7" s="5">
        <f t="shared" si="3"/>
        <v>2029</v>
      </c>
      <c r="B7" s="49">
        <v>7009</v>
      </c>
      <c r="C7" s="50">
        <v>17605</v>
      </c>
      <c r="D7" s="50">
        <v>24444.5</v>
      </c>
      <c r="E7" s="50">
        <v>14767</v>
      </c>
      <c r="F7" s="50">
        <v>11382</v>
      </c>
      <c r="G7" s="17">
        <f t="shared" si="0"/>
        <v>68198.5</v>
      </c>
      <c r="H7" s="17">
        <f t="shared" si="1"/>
        <v>8025.9053258079266</v>
      </c>
      <c r="I7" s="17">
        <f t="shared" si="2"/>
        <v>60172.594674192071</v>
      </c>
    </row>
    <row r="8" spans="1:9" ht="15.75" customHeight="1" x14ac:dyDescent="0.25">
      <c r="A8" s="5">
        <f t="shared" si="3"/>
        <v>2030</v>
      </c>
      <c r="B8" s="49">
        <v>7080</v>
      </c>
      <c r="C8" s="50">
        <v>17809.5</v>
      </c>
      <c r="D8" s="50">
        <v>25107.5</v>
      </c>
      <c r="E8" s="50">
        <v>15314.5</v>
      </c>
      <c r="F8" s="50">
        <v>11404</v>
      </c>
      <c r="G8" s="17">
        <f t="shared" si="0"/>
        <v>69635.5</v>
      </c>
      <c r="H8" s="17">
        <f t="shared" si="1"/>
        <v>8107.2064070081506</v>
      </c>
      <c r="I8" s="17">
        <f t="shared" si="2"/>
        <v>61528.293592991846</v>
      </c>
    </row>
    <row r="9" spans="1:9" ht="15.75" customHeight="1" x14ac:dyDescent="0.25">
      <c r="A9" s="5">
        <f t="shared" si="3"/>
        <v>2031</v>
      </c>
      <c r="B9" s="49">
        <v>7183</v>
      </c>
      <c r="C9" s="50">
        <v>18008.5</v>
      </c>
      <c r="D9" s="50">
        <v>25604.5</v>
      </c>
      <c r="E9" s="50">
        <v>15971.5</v>
      </c>
      <c r="F9" s="50">
        <v>11391</v>
      </c>
      <c r="G9" s="17">
        <f t="shared" si="0"/>
        <v>70975.5</v>
      </c>
      <c r="H9" s="17">
        <f t="shared" si="1"/>
        <v>8225.1502290310091</v>
      </c>
      <c r="I9" s="17">
        <f t="shared" si="2"/>
        <v>62750.349770968991</v>
      </c>
    </row>
    <row r="10" spans="1:9" ht="15.75" customHeight="1" x14ac:dyDescent="0.25">
      <c r="A10" s="5">
        <f t="shared" si="3"/>
        <v>2032</v>
      </c>
      <c r="B10" s="49">
        <v>7281</v>
      </c>
      <c r="C10" s="50">
        <v>18004</v>
      </c>
      <c r="D10" s="50">
        <v>26159.5</v>
      </c>
      <c r="E10" s="50">
        <v>16732.5</v>
      </c>
      <c r="F10" s="50">
        <v>11355.5</v>
      </c>
      <c r="G10" s="17">
        <f t="shared" si="0"/>
        <v>72251.5</v>
      </c>
      <c r="H10" s="17">
        <f t="shared" si="1"/>
        <v>8337.3686228003298</v>
      </c>
      <c r="I10" s="17">
        <f t="shared" si="2"/>
        <v>63914.131377199672</v>
      </c>
    </row>
    <row r="11" spans="1:9" ht="15.75" customHeight="1" x14ac:dyDescent="0.25">
      <c r="A11" s="5">
        <f t="shared" si="3"/>
        <v>2033</v>
      </c>
      <c r="B11" s="49">
        <v>7365</v>
      </c>
      <c r="C11" s="50">
        <v>17840.5</v>
      </c>
      <c r="D11" s="50">
        <v>26791</v>
      </c>
      <c r="E11" s="50">
        <v>17570.5</v>
      </c>
      <c r="F11" s="50">
        <v>11310.5</v>
      </c>
      <c r="G11" s="17">
        <f t="shared" si="0"/>
        <v>73512.5</v>
      </c>
      <c r="H11" s="17">
        <f t="shared" si="1"/>
        <v>8433.5558174597481</v>
      </c>
      <c r="I11" s="17">
        <f t="shared" si="2"/>
        <v>65078.944182540254</v>
      </c>
    </row>
    <row r="12" spans="1:9" ht="15.75" customHeight="1" x14ac:dyDescent="0.25">
      <c r="A12" s="5">
        <f t="shared" si="3"/>
        <v>2034</v>
      </c>
      <c r="B12" s="49">
        <v>7431</v>
      </c>
      <c r="C12" s="50">
        <v>17720</v>
      </c>
      <c r="D12" s="50">
        <v>27305</v>
      </c>
      <c r="E12" s="50">
        <v>18463</v>
      </c>
      <c r="F12" s="50">
        <v>11286</v>
      </c>
      <c r="G12" s="17">
        <f t="shared" si="0"/>
        <v>74774</v>
      </c>
      <c r="H12" s="17">
        <f t="shared" si="1"/>
        <v>8509.1314704064353</v>
      </c>
      <c r="I12" s="17">
        <f t="shared" si="2"/>
        <v>66264.868529593572</v>
      </c>
    </row>
    <row r="13" spans="1:9" ht="15.75" customHeight="1" x14ac:dyDescent="0.25">
      <c r="A13" s="5">
        <f t="shared" si="3"/>
        <v>2035</v>
      </c>
      <c r="B13" s="49">
        <v>7492</v>
      </c>
      <c r="C13" s="50">
        <v>17670.5</v>
      </c>
      <c r="D13" s="50">
        <v>27681</v>
      </c>
      <c r="E13" s="50">
        <v>19397</v>
      </c>
      <c r="F13" s="50">
        <v>11308</v>
      </c>
      <c r="G13" s="17">
        <f t="shared" si="0"/>
        <v>76056.5</v>
      </c>
      <c r="H13" s="17">
        <f t="shared" si="1"/>
        <v>8578.9816950995846</v>
      </c>
      <c r="I13" s="17">
        <f t="shared" si="2"/>
        <v>67477.518304900412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C8E6wSp8rjCHb/5rEYgQn7ifAstNdKy83p4XdO5L+FD3uyw0h8ibnqAWbbZU7UBPgxCalR5zKcYcZfnKUxD0jw==" saltValue="SP92AS2/lpoHR4DN+gvXQ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7.2663600000000161E-2</v>
      </c>
    </row>
    <row r="5" spans="1:8" ht="15.75" customHeight="1" x14ac:dyDescent="0.25">
      <c r="B5" s="19" t="s">
        <v>95</v>
      </c>
      <c r="C5" s="101">
        <v>3.2022400000000013E-2</v>
      </c>
    </row>
    <row r="6" spans="1:8" ht="15.75" customHeight="1" x14ac:dyDescent="0.25">
      <c r="B6" s="19" t="s">
        <v>91</v>
      </c>
      <c r="C6" s="101">
        <v>0.18112940000000011</v>
      </c>
    </row>
    <row r="7" spans="1:8" ht="15.75" customHeight="1" x14ac:dyDescent="0.25">
      <c r="B7" s="19" t="s">
        <v>96</v>
      </c>
      <c r="C7" s="101">
        <v>0.43143469999999928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0.18141010000000021</v>
      </c>
    </row>
    <row r="10" spans="1:8" ht="15.75" customHeight="1" x14ac:dyDescent="0.25">
      <c r="B10" s="19" t="s">
        <v>94</v>
      </c>
      <c r="C10" s="101">
        <v>0.1013398000000002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5.9773070306148287E-3</v>
      </c>
      <c r="D14" s="55">
        <v>5.9773070306148287E-3</v>
      </c>
      <c r="E14" s="55">
        <v>5.9773070306148287E-3</v>
      </c>
      <c r="F14" s="55">
        <v>5.9773070306148287E-3</v>
      </c>
    </row>
    <row r="15" spans="1:8" ht="15.75" customHeight="1" x14ac:dyDescent="0.25">
      <c r="B15" s="19" t="s">
        <v>102</v>
      </c>
      <c r="C15" s="101">
        <v>0.14201342044077259</v>
      </c>
      <c r="D15" s="101">
        <v>0.14201342044077259</v>
      </c>
      <c r="E15" s="101">
        <v>0.14201342044077259</v>
      </c>
      <c r="F15" s="101">
        <v>0.14201342044077259</v>
      </c>
    </row>
    <row r="16" spans="1:8" ht="15.75" customHeight="1" x14ac:dyDescent="0.25">
      <c r="B16" s="19" t="s">
        <v>2</v>
      </c>
      <c r="C16" s="101">
        <v>1.5148673316420749E-3</v>
      </c>
      <c r="D16" s="101">
        <v>1.5148673316420749E-3</v>
      </c>
      <c r="E16" s="101">
        <v>1.5148673316420749E-3</v>
      </c>
      <c r="F16" s="101">
        <v>1.5148673316420749E-3</v>
      </c>
    </row>
    <row r="17" spans="1:8" ht="15.75" customHeight="1" x14ac:dyDescent="0.25">
      <c r="B17" s="19" t="s">
        <v>90</v>
      </c>
      <c r="C17" s="101">
        <v>0.79207380330936872</v>
      </c>
      <c r="D17" s="101">
        <v>0.79207380330936872</v>
      </c>
      <c r="E17" s="101">
        <v>0.79207380330936872</v>
      </c>
      <c r="F17" s="101">
        <v>0.79207380330936872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7.4143769382759572E-3</v>
      </c>
      <c r="D19" s="101">
        <v>7.4143769382759572E-3</v>
      </c>
      <c r="E19" s="101">
        <v>7.4143769382759572E-3</v>
      </c>
      <c r="F19" s="101">
        <v>7.4143769382759572E-3</v>
      </c>
    </row>
    <row r="20" spans="1:8" ht="15.75" customHeight="1" x14ac:dyDescent="0.25">
      <c r="B20" s="19" t="s">
        <v>79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2.638911729579237E-2</v>
      </c>
      <c r="D21" s="101">
        <v>2.638911729579237E-2</v>
      </c>
      <c r="E21" s="101">
        <v>2.638911729579237E-2</v>
      </c>
      <c r="F21" s="101">
        <v>2.638911729579237E-2</v>
      </c>
    </row>
    <row r="22" spans="1:8" ht="15.75" customHeight="1" x14ac:dyDescent="0.25">
      <c r="B22" s="19" t="s">
        <v>99</v>
      </c>
      <c r="C22" s="101">
        <v>2.4617107653533501E-2</v>
      </c>
      <c r="D22" s="101">
        <v>2.4617107653533501E-2</v>
      </c>
      <c r="E22" s="101">
        <v>2.4617107653533501E-2</v>
      </c>
      <c r="F22" s="101">
        <v>2.4617107653533501E-2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4.7837044999999988E-2</v>
      </c>
    </row>
    <row r="27" spans="1:8" ht="15.75" customHeight="1" x14ac:dyDescent="0.25">
      <c r="B27" s="19" t="s">
        <v>89</v>
      </c>
      <c r="C27" s="101">
        <v>1.836863E-2</v>
      </c>
    </row>
    <row r="28" spans="1:8" ht="15.75" customHeight="1" x14ac:dyDescent="0.25">
      <c r="B28" s="19" t="s">
        <v>103</v>
      </c>
      <c r="C28" s="101">
        <v>0.231175139</v>
      </c>
    </row>
    <row r="29" spans="1:8" ht="15.75" customHeight="1" x14ac:dyDescent="0.25">
      <c r="B29" s="19" t="s">
        <v>86</v>
      </c>
      <c r="C29" s="101">
        <v>0.138527135</v>
      </c>
    </row>
    <row r="30" spans="1:8" ht="15.75" customHeight="1" x14ac:dyDescent="0.25">
      <c r="B30" s="19" t="s">
        <v>4</v>
      </c>
      <c r="C30" s="101">
        <v>4.9111505E-2</v>
      </c>
    </row>
    <row r="31" spans="1:8" ht="15.75" customHeight="1" x14ac:dyDescent="0.25">
      <c r="B31" s="19" t="s">
        <v>80</v>
      </c>
      <c r="C31" s="101">
        <v>6.9658183999999998E-2</v>
      </c>
    </row>
    <row r="32" spans="1:8" ht="15.75" customHeight="1" x14ac:dyDescent="0.25">
      <c r="B32" s="19" t="s">
        <v>85</v>
      </c>
      <c r="C32" s="101">
        <v>0.14941447299999999</v>
      </c>
    </row>
    <row r="33" spans="2:3" ht="15.75" customHeight="1" x14ac:dyDescent="0.25">
      <c r="B33" s="19" t="s">
        <v>100</v>
      </c>
      <c r="C33" s="101">
        <v>0.122223571</v>
      </c>
    </row>
    <row r="34" spans="2:3" ht="15.75" customHeight="1" x14ac:dyDescent="0.25">
      <c r="B34" s="19" t="s">
        <v>87</v>
      </c>
      <c r="C34" s="101">
        <v>0.173684317</v>
      </c>
    </row>
    <row r="35" spans="2:3" ht="15.75" customHeight="1" x14ac:dyDescent="0.25">
      <c r="B35" s="27" t="s">
        <v>60</v>
      </c>
      <c r="C35" s="48">
        <f>SUM(C26:C34)</f>
        <v>0.99999999899999992</v>
      </c>
    </row>
  </sheetData>
  <sheetProtection algorithmName="SHA-512" hashValue="u0WDbDXz1iVF6Vz8fLIIuBY3rAt2nj7HALgeRsXMbT6I/ahkovYgsLrNFqeEcnNnSgUDxC6khvtLNbcvleDbNA==" saltValue="ugWAZ/gFdznt8nq7PYPeQ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0.82676394554305221</v>
      </c>
      <c r="D2" s="52">
        <f>IFERROR(1-_xlfn.NORM.DIST(_xlfn.NORM.INV(SUM(D4:D5), 0, 1) + 1, 0, 1, TRUE), "")</f>
        <v>0.82676394554305221</v>
      </c>
      <c r="E2" s="52">
        <f>IFERROR(1-_xlfn.NORM.DIST(_xlfn.NORM.INV(SUM(E4:E5), 0, 1) + 1, 0, 1, TRUE), "")</f>
        <v>0.65915750323456745</v>
      </c>
      <c r="F2" s="52">
        <f>IFERROR(1-_xlfn.NORM.DIST(_xlfn.NORM.INV(SUM(F4:F5), 0, 1) + 1, 0, 1, TRUE), "")</f>
        <v>0.62498946478788864</v>
      </c>
      <c r="G2" s="52">
        <f>IFERROR(1-_xlfn.NORM.DIST(_xlfn.NORM.INV(SUM(G4:G5), 0, 1) + 1, 0, 1, TRUE), "")</f>
        <v>0.67909768924145342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0.14713445445694781</v>
      </c>
      <c r="D3" s="52">
        <f>IFERROR(_xlfn.NORM.DIST(_xlfn.NORM.INV(SUM(D4:D5), 0, 1) + 1, 0, 1, TRUE) - SUM(D4:D5), "")</f>
        <v>0.14713445445694781</v>
      </c>
      <c r="E3" s="52">
        <f>IFERROR(_xlfn.NORM.DIST(_xlfn.NORM.INV(SUM(E4:E5), 0, 1) + 1, 0, 1, TRUE) - SUM(E4:E5), "")</f>
        <v>0.26159699676543252</v>
      </c>
      <c r="F3" s="52">
        <f>IFERROR(_xlfn.NORM.DIST(_xlfn.NORM.INV(SUM(F4:F5), 0, 1) + 1, 0, 1, TRUE) - SUM(F4:F5), "")</f>
        <v>0.28136103521211137</v>
      </c>
      <c r="G3" s="52">
        <f>IFERROR(_xlfn.NORM.DIST(_xlfn.NORM.INV(SUM(G4:G5), 0, 1) + 1, 0, 1, TRUE) - SUM(G4:G5), "")</f>
        <v>0.24946601075854657</v>
      </c>
    </row>
    <row r="4" spans="1:15" ht="15.75" customHeight="1" x14ac:dyDescent="0.25">
      <c r="B4" s="5" t="s">
        <v>110</v>
      </c>
      <c r="C4" s="45">
        <v>1.8525300000000001E-2</v>
      </c>
      <c r="D4" s="53">
        <v>1.8525300000000001E-2</v>
      </c>
      <c r="E4" s="53">
        <v>1.41817E-2</v>
      </c>
      <c r="F4" s="53">
        <v>5.7010900000000003E-2</v>
      </c>
      <c r="G4" s="53">
        <v>3.7941599999999999E-2</v>
      </c>
    </row>
    <row r="5" spans="1:15" ht="15.75" customHeight="1" x14ac:dyDescent="0.25">
      <c r="B5" s="5" t="s">
        <v>106</v>
      </c>
      <c r="C5" s="45">
        <v>7.5763000000000002E-3</v>
      </c>
      <c r="D5" s="53">
        <v>7.5763000000000002E-3</v>
      </c>
      <c r="E5" s="53">
        <v>6.5063800000000005E-2</v>
      </c>
      <c r="F5" s="53">
        <v>3.66386E-2</v>
      </c>
      <c r="G5" s="53">
        <v>3.3494700000000002E-2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0.62961648186943653</v>
      </c>
      <c r="D8" s="52">
        <f>IFERROR(1-_xlfn.NORM.DIST(_xlfn.NORM.INV(SUM(D10:D11), 0, 1) + 1, 0, 1, TRUE), "")</f>
        <v>0.62961648186943653</v>
      </c>
      <c r="E8" s="52">
        <f>IFERROR(1-_xlfn.NORM.DIST(_xlfn.NORM.INV(SUM(E10:E11), 0, 1) + 1, 0, 1, TRUE), "")</f>
        <v>0.78987108124984162</v>
      </c>
      <c r="F8" s="52">
        <f>IFERROR(1-_xlfn.NORM.DIST(_xlfn.NORM.INV(SUM(F10:F11), 0, 1) + 1, 0, 1, TRUE), "")</f>
        <v>0.79331829205928583</v>
      </c>
      <c r="G8" s="52">
        <f>IFERROR(1-_xlfn.NORM.DIST(_xlfn.NORM.INV(SUM(G10:G11), 0, 1) + 1, 0, 1, TRUE), "")</f>
        <v>0.86184988827977049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0.27876231813056351</v>
      </c>
      <c r="D9" s="52">
        <f>IFERROR(_xlfn.NORM.DIST(_xlfn.NORM.INV(SUM(D10:D11), 0, 1) + 1, 0, 1, TRUE) - SUM(D10:D11), "")</f>
        <v>0.27876231813056351</v>
      </c>
      <c r="E9" s="52">
        <f>IFERROR(_xlfn.NORM.DIST(_xlfn.NORM.INV(SUM(E10:E11), 0, 1) + 1, 0, 1, TRUE) - SUM(E10:E11), "")</f>
        <v>0.17466771875015838</v>
      </c>
      <c r="F9" s="52">
        <f>IFERROR(_xlfn.NORM.DIST(_xlfn.NORM.INV(SUM(F10:F11), 0, 1) + 1, 0, 1, TRUE) - SUM(F10:F11), "")</f>
        <v>0.17214880794071416</v>
      </c>
      <c r="G9" s="52">
        <f>IFERROR(_xlfn.NORM.DIST(_xlfn.NORM.INV(SUM(G10:G11), 0, 1) + 1, 0, 1, TRUE) - SUM(G10:G11), "")</f>
        <v>0.11978131172022953</v>
      </c>
    </row>
    <row r="10" spans="1:15" ht="15.75" customHeight="1" x14ac:dyDescent="0.25">
      <c r="B10" s="5" t="s">
        <v>107</v>
      </c>
      <c r="C10" s="45">
        <v>4.0578700000000002E-2</v>
      </c>
      <c r="D10" s="53">
        <v>4.0578700000000002E-2</v>
      </c>
      <c r="E10" s="53">
        <v>3.1065300000000001E-2</v>
      </c>
      <c r="F10" s="53">
        <v>2.3253699999999999E-2</v>
      </c>
      <c r="G10" s="53">
        <v>1.16712E-2</v>
      </c>
    </row>
    <row r="11" spans="1:15" ht="15.75" customHeight="1" x14ac:dyDescent="0.25">
      <c r="B11" s="5" t="s">
        <v>119</v>
      </c>
      <c r="C11" s="45">
        <v>5.1042499999999998E-2</v>
      </c>
      <c r="D11" s="53">
        <v>5.1042499999999998E-2</v>
      </c>
      <c r="E11" s="53">
        <v>4.3958999999999986E-3</v>
      </c>
      <c r="F11" s="53">
        <v>1.12792E-2</v>
      </c>
      <c r="G11" s="53">
        <v>6.6976000000000006E-3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0.73811573149999998</v>
      </c>
      <c r="D14" s="54">
        <v>0.73101439726399997</v>
      </c>
      <c r="E14" s="54">
        <v>0.73101439726399997</v>
      </c>
      <c r="F14" s="54">
        <v>0.46123497697700011</v>
      </c>
      <c r="G14" s="54">
        <v>0.46123497697700011</v>
      </c>
      <c r="H14" s="45">
        <v>0.42499999999999999</v>
      </c>
      <c r="I14" s="55">
        <v>0.42499999999999999</v>
      </c>
      <c r="J14" s="55">
        <v>0.42499999999999999</v>
      </c>
      <c r="K14" s="55">
        <v>0.42499999999999999</v>
      </c>
      <c r="L14" s="45">
        <v>0.30499999999999999</v>
      </c>
      <c r="M14" s="55">
        <v>0.30499999999999999</v>
      </c>
      <c r="N14" s="55">
        <v>0.30499999999999999</v>
      </c>
      <c r="O14" s="55">
        <v>0.30499999999999999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0.42263768669958501</v>
      </c>
      <c r="D15" s="52">
        <f t="shared" si="0"/>
        <v>0.41857153372939376</v>
      </c>
      <c r="E15" s="52">
        <f t="shared" si="0"/>
        <v>0.41857153372939376</v>
      </c>
      <c r="F15" s="52">
        <f t="shared" si="0"/>
        <v>0.26409853546726053</v>
      </c>
      <c r="G15" s="52">
        <f t="shared" si="0"/>
        <v>0.26409853546726053</v>
      </c>
      <c r="H15" s="52">
        <f t="shared" si="0"/>
        <v>0.24335075</v>
      </c>
      <c r="I15" s="52">
        <f t="shared" si="0"/>
        <v>0.24335075</v>
      </c>
      <c r="J15" s="52">
        <f t="shared" si="0"/>
        <v>0.24335075</v>
      </c>
      <c r="K15" s="52">
        <f t="shared" si="0"/>
        <v>0.24335075</v>
      </c>
      <c r="L15" s="52">
        <f t="shared" si="0"/>
        <v>0.17463995000000002</v>
      </c>
      <c r="M15" s="52">
        <f t="shared" si="0"/>
        <v>0.17463995000000002</v>
      </c>
      <c r="N15" s="52">
        <f t="shared" si="0"/>
        <v>0.17463995000000002</v>
      </c>
      <c r="O15" s="52">
        <f t="shared" si="0"/>
        <v>0.17463995000000002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KeY4ZydphrR3wmhx4mgzygWktfLTiECSJxR1f/33v8ChVfYm4WTLyfMQKpy0Vr+8IOIl/nQb/1jUas6sCShsLA==" saltValue="dem0lXgdleSRH5npCv70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0.71186269999999996</v>
      </c>
      <c r="D2" s="53">
        <v>0.50451279999999998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</v>
      </c>
      <c r="D3" s="53">
        <v>8.512829999999999E-2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0.13968539999999999</v>
      </c>
      <c r="D4" s="53">
        <v>0.21177399999999999</v>
      </c>
      <c r="E4" s="53">
        <v>0.6588117</v>
      </c>
      <c r="F4" s="53">
        <v>0.4976312</v>
      </c>
      <c r="G4" s="53">
        <v>0</v>
      </c>
    </row>
    <row r="5" spans="1:7" x14ac:dyDescent="0.25">
      <c r="B5" s="3" t="s">
        <v>125</v>
      </c>
      <c r="C5" s="52">
        <v>0.1484519</v>
      </c>
      <c r="D5" s="52">
        <v>0.19858490000000001</v>
      </c>
      <c r="E5" s="52">
        <f>1-SUM(E2:E4)</f>
        <v>0.3411883</v>
      </c>
      <c r="F5" s="52">
        <f>1-SUM(F2:F4)</f>
        <v>0.50236879999999995</v>
      </c>
      <c r="G5" s="52">
        <f>1-SUM(G2:G4)</f>
        <v>1</v>
      </c>
    </row>
  </sheetData>
  <sheetProtection algorithmName="SHA-512" hashValue="ZoYxBw6ouk2ianCpWkdOhHDbOM0VITxVYwlcCpMMQbP7iSEf1im7Kpe7I18ZN9ES5ca+4PRa2gS4efRylfE38g==" saltValue="3iNVS3IYSjVTYHpsZ7/rQ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o94ZYfNi4qk4b/f+tCnp7oFwZ91njF+vUCVKgCkXpgIPMRVidmk5Ed/vJCBQk24PChaygAaRrDnahT1eCkGQAA==" saltValue="gUCZV+AeYmoH1EVhYFQz5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7ZAy1corkZHR+B+HB1XVyaRsMR/jzm7s9G477sgrAYaXbNbdhM5Vm8gP+6WhRxxakiIcDKf1xM7L1PhiS/Felw==" saltValue="1z2YFm8Zu986MiZy8dbYO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B6yzR1awiJIs3BXDQOdqU5Wr17EXfl/cvbjDvQhH9x0KAyu7hx+qasdArW0ju3/1a1Oee/EyDt7/m0rKevwbDQ==" saltValue="0cdSfK6eHNpPIKWakNZM4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0+jM27b7aNy6UGpc4onYilxwiGtJdCw5s+NYMaY7zF4gEsmzpS8LdgI1xTyJvoPPz2zK/oMlFpBaOf8Sf2u9gg==" saltValue="q/iHVpoVhWjlI+JPovCXO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42.533893708163482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0.23264639054719999</v>
      </c>
      <c r="C3" s="98">
        <v>0.95</v>
      </c>
      <c r="D3" s="56">
        <v>44.807550932125316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171.46801836850591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0.94053016777428589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1.1113E-2</v>
      </c>
      <c r="C10" s="98">
        <v>0.95</v>
      </c>
      <c r="D10" s="56">
        <v>14.332612801245681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1.1113E-2</v>
      </c>
      <c r="C11" s="98">
        <v>0.95</v>
      </c>
      <c r="D11" s="56">
        <v>14.332612801245681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1.1113E-2</v>
      </c>
      <c r="C12" s="98">
        <v>0.95</v>
      </c>
      <c r="D12" s="56">
        <v>14.332612801245681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1.1113E-2</v>
      </c>
      <c r="C13" s="98">
        <v>0.95</v>
      </c>
      <c r="D13" s="56">
        <v>14.332612801245681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1.1113E-2</v>
      </c>
      <c r="C14" s="98">
        <v>0.95</v>
      </c>
      <c r="D14" s="56">
        <v>14.332612801245681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1.1113E-2</v>
      </c>
      <c r="C15" s="98">
        <v>0.95</v>
      </c>
      <c r="D15" s="56">
        <v>14.332612801245681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0.38901621782286311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0.11050016592472001</v>
      </c>
      <c r="C18" s="98">
        <v>0.95</v>
      </c>
      <c r="D18" s="56">
        <v>4.0260706086583404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0.9792786</v>
      </c>
      <c r="C19" s="98">
        <v>0.95</v>
      </c>
      <c r="D19" s="56">
        <v>4.0260706086583404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0.88436999999999999</v>
      </c>
      <c r="C21" s="98">
        <v>0.95</v>
      </c>
      <c r="D21" s="56">
        <v>8.8560391003737333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24.509852846612429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4.7482493984987979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0.83733382461663997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1.1113E-2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20.698417778852551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0.65663532269192004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78.281838017014053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0.5324638758293635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0.79117266352621562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0.2004783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0.58558969999999999</v>
      </c>
      <c r="C38" s="98">
        <v>0.95</v>
      </c>
      <c r="D38" s="56">
        <v>4.645638405644835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h/5qlbDNnpl/gkgMe1TND+2N62xhfwOe8Vk/cblp4A+4Mq/3pl2hteUcgnMeJyNV8QnKMVBYg723+uIFfYw1rg==" saltValue="RvEQIb6M3PycaiSzsJw3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ywEJSruG4DAsuDm1sZv9/lf3NZhE8RvaETkbTNRUS50ETUzI0kxVXKlL5HGazq7d7GHBVI8JjiplBUjpPU9R8w==" saltValue="X6QepxK26NBJEnZRlbOro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6ekmRxQiFvks7GqxTmGDatbd5j+RMv1StvY/3mJ//RIvK+dlDxLm4DTb87/CSZe3FbTxfNmHXSeDnZLCUTD2+g==" saltValue="sR/3mJ4whybSM9vKWsdDJ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0.10550462000000001</v>
      </c>
      <c r="C3" s="21">
        <f>frac_mam_1_5months * 2.6</f>
        <v>0.10550462000000001</v>
      </c>
      <c r="D3" s="21">
        <f>frac_mam_6_11months * 2.6</f>
        <v>8.0769779999999999E-2</v>
      </c>
      <c r="E3" s="21">
        <f>frac_mam_12_23months * 2.6</f>
        <v>6.0459619999999999E-2</v>
      </c>
      <c r="F3" s="21">
        <f>frac_mam_24_59months * 2.6</f>
        <v>3.034512E-2</v>
      </c>
    </row>
    <row r="4" spans="1:6" ht="15.75" customHeight="1" x14ac:dyDescent="0.25">
      <c r="A4" s="3" t="s">
        <v>207</v>
      </c>
      <c r="B4" s="21">
        <f>frac_sam_1month * 2.6</f>
        <v>0.13271050000000001</v>
      </c>
      <c r="C4" s="21">
        <f>frac_sam_1_5months * 2.6</f>
        <v>0.13271050000000001</v>
      </c>
      <c r="D4" s="21">
        <f>frac_sam_6_11months * 2.6</f>
        <v>1.1429339999999996E-2</v>
      </c>
      <c r="E4" s="21">
        <f>frac_sam_12_23months * 2.6</f>
        <v>2.9325919999999998E-2</v>
      </c>
      <c r="F4" s="21">
        <f>frac_sam_24_59months * 2.6</f>
        <v>1.7413760000000004E-2</v>
      </c>
    </row>
  </sheetData>
  <sheetProtection algorithmName="SHA-512" hashValue="HVrbubgmg5vF6RQpizjCklaJkn5f2qD3NHRBbLHMUNVj/xHaHZiCDlSvnoV3M9Iz3FDFmA1nBwozr8gWpiG9gA==" saltValue="ro/OohjLvpYjD2swUTZUS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1.0999999999999999E-2</v>
      </c>
      <c r="E2" s="60">
        <f>food_insecure</f>
        <v>1.0999999999999999E-2</v>
      </c>
      <c r="F2" s="60">
        <f>food_insecure</f>
        <v>1.0999999999999999E-2</v>
      </c>
      <c r="G2" s="60">
        <f>food_insecure</f>
        <v>1.0999999999999999E-2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1.0999999999999999E-2</v>
      </c>
      <c r="F5" s="60">
        <f>food_insecure</f>
        <v>1.0999999999999999E-2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1.0999999999999999E-2</v>
      </c>
      <c r="F8" s="60">
        <f>food_insecure</f>
        <v>1.0999999999999999E-2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1.0999999999999999E-2</v>
      </c>
      <c r="F9" s="60">
        <f>food_insecure</f>
        <v>1.0999999999999999E-2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1.0999999999999999E-2</v>
      </c>
      <c r="I15" s="60">
        <f>food_insecure</f>
        <v>1.0999999999999999E-2</v>
      </c>
      <c r="J15" s="60">
        <f>food_insecure</f>
        <v>1.0999999999999999E-2</v>
      </c>
      <c r="K15" s="60">
        <f>food_insecure</f>
        <v>1.0999999999999999E-2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0.49700000000000011</v>
      </c>
      <c r="M24" s="60">
        <f>famplan_unmet_need</f>
        <v>0.49700000000000011</v>
      </c>
      <c r="N24" s="60">
        <f>famplan_unmet_need</f>
        <v>0.49700000000000011</v>
      </c>
      <c r="O24" s="60">
        <f>famplan_unmet_need</f>
        <v>0.49700000000000011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0.15610905507507314</v>
      </c>
      <c r="M25" s="60">
        <f>(1-food_insecure)*(0.49)+food_insecure*(0.7)</f>
        <v>0.49230999999999997</v>
      </c>
      <c r="N25" s="60">
        <f>(1-food_insecure)*(0.49)+food_insecure*(0.7)</f>
        <v>0.49230999999999997</v>
      </c>
      <c r="O25" s="60">
        <f>(1-food_insecure)*(0.49)+food_insecure*(0.7)</f>
        <v>0.49230999999999997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6.6903880746459907E-2</v>
      </c>
      <c r="M26" s="60">
        <f>(1-food_insecure)*(0.21)+food_insecure*(0.3)</f>
        <v>0.21098999999999998</v>
      </c>
      <c r="N26" s="60">
        <f>(1-food_insecure)*(0.21)+food_insecure*(0.3)</f>
        <v>0.21098999999999998</v>
      </c>
      <c r="O26" s="60">
        <f>(1-food_insecure)*(0.21)+food_insecure*(0.3)</f>
        <v>0.21098999999999998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9.4082095916747974E-2</v>
      </c>
      <c r="M27" s="60">
        <f>(1-food_insecure)*(0.3)</f>
        <v>0.29669999999999996</v>
      </c>
      <c r="N27" s="60">
        <f>(1-food_insecure)*(0.3)</f>
        <v>0.29669999999999996</v>
      </c>
      <c r="O27" s="60">
        <f>(1-food_insecure)*(0.3)</f>
        <v>0.29669999999999996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0.68290496826171898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nxlKNCsZ7GOtKI050d7bWaHlOFrYD/xtGZRRzzSLbvyC0Wuuyzm4IjFIljb78LhYr8FgRP2/pFWyXZKodgwt9w==" saltValue="i6Xb3MFVbx0cyb4ICpWBE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zcs6ULibb2K3ib+RLOKmFm/NxVqsVFdALp/5h2F7qTux859rpjbgMj3LckWI6KAUcCuZ0yYTu4Z8h841svKBsg==" saltValue="qDKO5cvI1zrnURz5g+6Nb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45Be3vk9Z3JUYgkxjqiE1El5LyBU2rWySKafojwjZd5v6sAZSmEcYOE57HJSgMJs0MsCcsnOouEOArgXa8OzQ==" saltValue="8scfagibYmLZ1Pel7ORZz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Vf0vQSrKV48CAsqM20dADCkzNYIGr3NPq3XKoWGjp8zbSkxgVzz669RV0J3QBFq3ipJnGky2yKT04cQ8GY9KeA==" saltValue="D28k12u1jxZE62nvIkCul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SOQ2OKrvUgKEsbS6AXM3m9HLWfX93sUhVJcUPydG+WqUj+NqUsuq1yhW0nRuuJf8AgtE45dyyPRw0XQcvlxdug==" saltValue="HU+a1vN27vdthIu58H1bE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OQO/t2Qq3HC67LzPYMequpkZ5cbreoXSt9WjH/q3jLhRWxtEFxi1GVtMaD2AXdb4L/gbtze8hFtIYlm9lJzZqQ==" saltValue="IluMW/XfNsGWnvH+G61kx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+JQIRUbJeHdxTX3YyGQDhAT5222myI0z7hVCzSS7xCX+NEPe/oUbJkLjzMXrLTiiU5I1SbwHFzuys2tvsSBsXA==" saltValue="uxqDD0lW5r/uYZ9+djh9i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cT1y+Qabx59nFlgXib6Pdcd79ls84FexN0pAHCVCLPALI55jy464To9OHEXV82bSCtd/gGqJcOiHBkpteuQNg==" saltValue="8i/sHbxmF60Bfg/YiNtI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xNs0mdZHDg9fQFW4BNAnsGyhtP8xm7hWgwOauGhsDjeSCOY1kwL80xgloZcUNEfRpi/bRc/pFxNSUxlqxwmZw==" saltValue="ip8aklAeW6cKO4cRrUyK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7C91a/U2pigcrJSLLK3Y/0MShZxbLlrRXs0GgKA0FGs3KFnryg3x120u4znl/ls88kwuFu/MSVUjB9YDaM69YA==" saltValue="r8xFITx76cwZjJhAVJub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9DlnuZ5AHFCPpmqe07xrJT5prbcnSALmBPG0ReJgmNnCz7jOAUqjCZ4R8JVz7Vx2OZpBhqtH9ScwsNEZQRRfsg==" saltValue="R5J3Ykkt903yKukXCDn6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HuAzX0dJgVxKIuZEsHoo9TxGpEvLpQnSa8YS40Vx4IP7eQorEf+zYbbrd+PyvcgeUyMTWviubH87T9Z7UF/RA==" saltValue="c8vPE7PUE5DEShterlRG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DsJunx3l8zgT90xkwwJXMCvDGT8+0dCTw6EVfSwm76ti+CK33uX9uzh8R+ic7n5Ey8wyF3osthMDQ0qqNTzPA==" saltValue="i3jxxTTgzezcU7dkPkkMx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ySiCJy+6OsWwRQUff+4myFqWJeF2fdwB/ozkhhV7S43+zRV7cxRlY3uHu/JrZ82BWxUhlJHi8wIUYTCRIK2w==" saltValue="zIyA938raV5jH3wUlj5I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Q7xHWMMQYc2sk82Ht5dktsC0Wpt8OCaVbEN96fdtuMkt8HUMp346LYlU/0rmUUKZGHlj+dp+CH9J1hKagsMotA==" saltValue="GZLHnwsJELZ048fA5g1iJ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2024-05-17T00:00:10Z</dcterms:modified>
</cp:coreProperties>
</file>