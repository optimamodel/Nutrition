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CDB8B8FA-CE65-4B1E-B4F5-A33D8AA27CE7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9" i="2" l="1"/>
  <c r="A26" i="2"/>
  <c r="A22" i="2"/>
  <c r="A36" i="2"/>
  <c r="I4" i="2"/>
  <c r="I8" i="2"/>
  <c r="I12" i="2"/>
  <c r="A25" i="2"/>
  <c r="A31" i="2"/>
  <c r="A34" i="2"/>
  <c r="A40" i="2"/>
  <c r="I2" i="2"/>
  <c r="I6" i="2"/>
  <c r="A19" i="2"/>
  <c r="A35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<sst xmlns="http://schemas.openxmlformats.org/spreadsheetml/2006/main" count="2159" uniqueCount="372">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</sst>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31132</v>
      </c>
    </row>
    <row r="8" spans="1:3" ht="15" customHeight="1" x14ac:dyDescent="0.25">
      <c r="B8" s="5" t="s">
        <v>63</v>
      </c>
      <c r="C8" s="44">
        <v>0.55500000000000005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0.68835669999999993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0.27079180898833899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0.11550000000000001</v>
      </c>
    </row>
    <row r="24" spans="1:3" ht="15" customHeight="1" x14ac:dyDescent="0.25">
      <c r="B24" s="15" t="s">
        <v>65</v>
      </c>
      <c r="C24" s="45">
        <v>0.47460000000000002</v>
      </c>
    </row>
    <row r="25" spans="1:3" ht="15" customHeight="1" x14ac:dyDescent="0.25">
      <c r="B25" s="15" t="s">
        <v>66</v>
      </c>
      <c r="C25" s="45">
        <v>0.32340000000000002</v>
      </c>
    </row>
    <row r="26" spans="1:3" ht="15" customHeight="1" x14ac:dyDescent="0.25">
      <c r="B26" s="15" t="s">
        <v>67</v>
      </c>
      <c r="C26" s="45">
        <v>8.6500000000000007E-2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9">
        <v>2.3858720907234902E-2</v>
      </c>
    </row>
    <row r="31" spans="1:3" ht="14.25" customHeight="1" x14ac:dyDescent="0.25">
      <c r="B31" s="25" t="s">
        <v>29</v>
      </c>
      <c r="C31" s="99">
        <v>3.4342930038455802E-2</v>
      </c>
    </row>
    <row r="32" spans="1:3" ht="14.25" customHeight="1" x14ac:dyDescent="0.25">
      <c r="B32" s="25" t="s">
        <v>30</v>
      </c>
      <c r="C32" s="99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6.5631199999999996</v>
      </c>
    </row>
    <row r="38" spans="1:5" ht="15" customHeight="1" x14ac:dyDescent="0.25">
      <c r="B38" s="11" t="s">
        <v>54</v>
      </c>
      <c r="C38" s="43">
        <v>14.3725</v>
      </c>
      <c r="D38" s="12"/>
      <c r="E38" s="13"/>
    </row>
    <row r="39" spans="1:5" ht="15" customHeight="1" x14ac:dyDescent="0.25">
      <c r="B39" s="11" t="s">
        <v>80</v>
      </c>
      <c r="C39" s="43">
        <v>16.718489999999999</v>
      </c>
      <c r="D39" s="12"/>
      <c r="E39" s="12"/>
    </row>
    <row r="40" spans="1:5" ht="15" customHeight="1" x14ac:dyDescent="0.25">
      <c r="B40" s="11" t="s">
        <v>55</v>
      </c>
      <c r="C40" s="100">
        <v>0.59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6.1190999999999997E-3</v>
      </c>
      <c r="D45" s="12"/>
    </row>
    <row r="46" spans="1:5" ht="15.75" customHeight="1" x14ac:dyDescent="0.25">
      <c r="B46" s="11" t="s">
        <v>70</v>
      </c>
      <c r="C46" s="45">
        <v>6.5748799999999996E-2</v>
      </c>
      <c r="D46" s="12"/>
    </row>
    <row r="47" spans="1:5" ht="15.75" customHeight="1" x14ac:dyDescent="0.25">
      <c r="B47" s="11" t="s">
        <v>78</v>
      </c>
      <c r="C47" s="45">
        <v>7.5182200000000005E-2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1.95</v>
      </c>
      <c r="D51" s="12"/>
    </row>
    <row r="52" spans="1:4" ht="15" customHeight="1" x14ac:dyDescent="0.25">
      <c r="B52" s="11" t="s">
        <v>32</v>
      </c>
      <c r="C52" s="100">
        <v>1.95</v>
      </c>
    </row>
    <row r="53" spans="1:4" ht="15.75" customHeight="1" x14ac:dyDescent="0.25">
      <c r="B53" s="11" t="s">
        <v>35</v>
      </c>
      <c r="C53" s="100">
        <v>5.4340000000000002</v>
      </c>
    </row>
    <row r="54" spans="1:4" ht="15.75" customHeight="1" x14ac:dyDescent="0.25">
      <c r="B54" s="11" t="s">
        <v>33</v>
      </c>
      <c r="C54" s="100">
        <v>6.1880000000000006</v>
      </c>
    </row>
    <row r="55" spans="1:4" ht="15.75" customHeight="1" x14ac:dyDescent="0.25">
      <c r="B55" s="11" t="s">
        <v>34</v>
      </c>
      <c r="C55" s="100">
        <v>3.5446666666666662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0.57259000000000004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0.1111475279</v>
      </c>
    </row>
    <row r="63" spans="1:4" ht="15.75" customHeight="1" x14ac:dyDescent="0.3">
      <c r="A63" s="4"/>
    </row>
  </sheetData>
  <sheetProtection algorithmName="SHA-512" hashValue="aROqOat/UGNf0rdr3pIPBbrQY3zQn1P9+TPsDcZebcolE1jw3PYxU0/htVREgGphqvnZd0rEpQRXLvBr5PIM3A==" saltValue="QlsX9bDvLXmlFocanKTS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31678.5</v>
      </c>
      <c r="C2" s="49">
        <v>7425</v>
      </c>
      <c r="D2" s="49">
        <v>14249</v>
      </c>
      <c r="E2" s="49">
        <v>27160.5</v>
      </c>
      <c r="F2" s="49">
        <v>19708</v>
      </c>
      <c r="G2" s="17">
        <f t="shared" ref="G2:G13" si="0">C2+D2+E2+F2</f>
        <v>68542.5</v>
      </c>
      <c r="H2" s="17">
        <f t="shared" ref="H2:H13" si="1">(B2 + stillbirth*B2/(1000-stillbirth))/(1-abortion)</f>
        <v>36274.595785933292</v>
      </c>
      <c r="I2" s="17">
        <f t="shared" ref="I2:I13" si="2">G2-H2</f>
        <v>32267.904214066708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6617</v>
      </c>
      <c r="C3" s="50">
        <v>13763</v>
      </c>
      <c r="D3" s="50">
        <v>19984</v>
      </c>
      <c r="E3" s="50">
        <v>13853.5</v>
      </c>
      <c r="F3" s="50">
        <v>11759</v>
      </c>
      <c r="G3" s="17">
        <f t="shared" si="0"/>
        <v>59359.5</v>
      </c>
      <c r="H3" s="17">
        <f t="shared" si="1"/>
        <v>7577.0317507306399</v>
      </c>
      <c r="I3" s="17">
        <f t="shared" si="2"/>
        <v>51782.468249269361</v>
      </c>
    </row>
    <row r="4" spans="1:9" ht="15.75" customHeight="1" x14ac:dyDescent="0.25">
      <c r="A4" s="5">
        <f t="shared" si="3"/>
        <v>2026</v>
      </c>
      <c r="B4" s="49">
        <v>6688</v>
      </c>
      <c r="C4" s="50">
        <v>13881.5</v>
      </c>
      <c r="D4" s="50">
        <v>20894</v>
      </c>
      <c r="E4" s="50">
        <v>13970.500000000002</v>
      </c>
      <c r="F4" s="50">
        <v>12129</v>
      </c>
      <c r="G4" s="17">
        <f t="shared" si="0"/>
        <v>60875</v>
      </c>
      <c r="H4" s="17">
        <f t="shared" si="1"/>
        <v>7658.3328319308621</v>
      </c>
      <c r="I4" s="17">
        <f t="shared" si="2"/>
        <v>53216.667168069136</v>
      </c>
    </row>
    <row r="5" spans="1:9" ht="15.75" customHeight="1" x14ac:dyDescent="0.25">
      <c r="A5" s="5">
        <f t="shared" si="3"/>
        <v>2027</v>
      </c>
      <c r="B5" s="49">
        <v>6777</v>
      </c>
      <c r="C5" s="50">
        <v>13838.5</v>
      </c>
      <c r="D5" s="50">
        <v>21828.000000000004</v>
      </c>
      <c r="E5" s="50">
        <v>14165.500000000002</v>
      </c>
      <c r="F5" s="50">
        <v>12411.999999999998</v>
      </c>
      <c r="G5" s="17">
        <f t="shared" si="0"/>
        <v>62244</v>
      </c>
      <c r="H5" s="17">
        <f t="shared" si="1"/>
        <v>7760.2454548438182</v>
      </c>
      <c r="I5" s="17">
        <f t="shared" si="2"/>
        <v>54483.754545156182</v>
      </c>
    </row>
    <row r="6" spans="1:9" ht="15.75" customHeight="1" x14ac:dyDescent="0.25">
      <c r="A6" s="5">
        <f t="shared" si="3"/>
        <v>2028</v>
      </c>
      <c r="B6" s="49">
        <v>6866</v>
      </c>
      <c r="C6" s="50">
        <v>13866</v>
      </c>
      <c r="D6" s="50">
        <v>22769.5</v>
      </c>
      <c r="E6" s="50">
        <v>14437.999999999998</v>
      </c>
      <c r="F6" s="50">
        <v>12615</v>
      </c>
      <c r="G6" s="17">
        <f t="shared" si="0"/>
        <v>63688.5</v>
      </c>
      <c r="H6" s="17">
        <f t="shared" si="1"/>
        <v>7862.1580777567733</v>
      </c>
      <c r="I6" s="17">
        <f t="shared" si="2"/>
        <v>55826.341922243228</v>
      </c>
    </row>
    <row r="7" spans="1:9" ht="15.75" customHeight="1" x14ac:dyDescent="0.25">
      <c r="A7" s="5">
        <f t="shared" si="3"/>
        <v>2029</v>
      </c>
      <c r="B7" s="49">
        <v>6937</v>
      </c>
      <c r="C7" s="50">
        <v>14027</v>
      </c>
      <c r="D7" s="50">
        <v>23669</v>
      </c>
      <c r="E7" s="50">
        <v>14794.5</v>
      </c>
      <c r="F7" s="50">
        <v>12768</v>
      </c>
      <c r="G7" s="17">
        <f t="shared" si="0"/>
        <v>65258.5</v>
      </c>
      <c r="H7" s="17">
        <f t="shared" si="1"/>
        <v>7943.4591589569964</v>
      </c>
      <c r="I7" s="17">
        <f t="shared" si="2"/>
        <v>57315.040841043003</v>
      </c>
    </row>
    <row r="8" spans="1:9" ht="15.75" customHeight="1" x14ac:dyDescent="0.25">
      <c r="A8" s="5">
        <f t="shared" si="3"/>
        <v>2030</v>
      </c>
      <c r="B8" s="49">
        <v>7038</v>
      </c>
      <c r="C8" s="50">
        <v>14183.5</v>
      </c>
      <c r="D8" s="50">
        <v>24456.5</v>
      </c>
      <c r="E8" s="50">
        <v>15241.499999999998</v>
      </c>
      <c r="F8" s="50">
        <v>12882</v>
      </c>
      <c r="G8" s="17">
        <f t="shared" si="0"/>
        <v>66763.5</v>
      </c>
      <c r="H8" s="17">
        <f t="shared" si="1"/>
        <v>8059.1128096784405</v>
      </c>
      <c r="I8" s="17">
        <f t="shared" si="2"/>
        <v>58704.387190321562</v>
      </c>
    </row>
    <row r="9" spans="1:9" ht="15.75" customHeight="1" x14ac:dyDescent="0.25">
      <c r="A9" s="5">
        <f t="shared" si="3"/>
        <v>2031</v>
      </c>
      <c r="B9" s="49">
        <v>7102</v>
      </c>
      <c r="C9" s="50">
        <v>14359</v>
      </c>
      <c r="D9" s="50">
        <v>25071.5</v>
      </c>
      <c r="E9" s="50">
        <v>15779</v>
      </c>
      <c r="F9" s="50">
        <v>12963.5</v>
      </c>
      <c r="G9" s="17">
        <f t="shared" si="0"/>
        <v>68173</v>
      </c>
      <c r="H9" s="17">
        <f t="shared" si="1"/>
        <v>8132.3982913237114</v>
      </c>
      <c r="I9" s="17">
        <f t="shared" si="2"/>
        <v>60040.601708676288</v>
      </c>
    </row>
    <row r="10" spans="1:9" ht="15.75" customHeight="1" x14ac:dyDescent="0.25">
      <c r="A10" s="5">
        <f t="shared" si="3"/>
        <v>2032</v>
      </c>
      <c r="B10" s="49">
        <v>7182</v>
      </c>
      <c r="C10" s="50">
        <v>14548.5</v>
      </c>
      <c r="D10" s="50">
        <v>25491</v>
      </c>
      <c r="E10" s="50">
        <v>16419.5</v>
      </c>
      <c r="F10" s="50">
        <v>13020.5</v>
      </c>
      <c r="G10" s="17">
        <f t="shared" si="0"/>
        <v>69479.5</v>
      </c>
      <c r="H10" s="17">
        <f t="shared" si="1"/>
        <v>8224.0051433803019</v>
      </c>
      <c r="I10" s="17">
        <f t="shared" si="2"/>
        <v>61255.494856619698</v>
      </c>
    </row>
    <row r="11" spans="1:9" ht="15.75" customHeight="1" x14ac:dyDescent="0.25">
      <c r="A11" s="5">
        <f t="shared" si="3"/>
        <v>2033</v>
      </c>
      <c r="B11" s="49">
        <v>7259</v>
      </c>
      <c r="C11" s="50">
        <v>14550.5</v>
      </c>
      <c r="D11" s="50">
        <v>25939.500000000004</v>
      </c>
      <c r="E11" s="50">
        <v>17158</v>
      </c>
      <c r="F11" s="50">
        <v>13050.999999999998</v>
      </c>
      <c r="G11" s="17">
        <f t="shared" si="0"/>
        <v>70699</v>
      </c>
      <c r="H11" s="17">
        <f t="shared" si="1"/>
        <v>8312.1767384847681</v>
      </c>
      <c r="I11" s="17">
        <f t="shared" si="2"/>
        <v>62386.82326151523</v>
      </c>
    </row>
    <row r="12" spans="1:9" ht="15.75" customHeight="1" x14ac:dyDescent="0.25">
      <c r="A12" s="5">
        <f t="shared" si="3"/>
        <v>2034</v>
      </c>
      <c r="B12" s="49">
        <v>7332</v>
      </c>
      <c r="C12" s="50">
        <v>14378.5</v>
      </c>
      <c r="D12" s="50">
        <v>26462</v>
      </c>
      <c r="E12" s="50">
        <v>17965</v>
      </c>
      <c r="F12" s="50">
        <v>13074</v>
      </c>
      <c r="G12" s="17">
        <f t="shared" si="0"/>
        <v>71879.5</v>
      </c>
      <c r="H12" s="17">
        <f t="shared" si="1"/>
        <v>8395.7679909864073</v>
      </c>
      <c r="I12" s="17">
        <f t="shared" si="2"/>
        <v>63483.732009013591</v>
      </c>
    </row>
    <row r="13" spans="1:9" ht="15.75" customHeight="1" x14ac:dyDescent="0.25">
      <c r="A13" s="5">
        <f t="shared" si="3"/>
        <v>2035</v>
      </c>
      <c r="B13" s="49">
        <v>7397</v>
      </c>
      <c r="C13" s="50">
        <v>14275</v>
      </c>
      <c r="D13" s="50">
        <v>26875.999999999996</v>
      </c>
      <c r="E13" s="50">
        <v>18818.5</v>
      </c>
      <c r="F13" s="50">
        <v>13126.5</v>
      </c>
      <c r="G13" s="17">
        <f t="shared" si="0"/>
        <v>73096</v>
      </c>
      <c r="H13" s="17">
        <f t="shared" si="1"/>
        <v>8470.1985582823854</v>
      </c>
      <c r="I13" s="17">
        <f t="shared" si="2"/>
        <v>64625.801441717616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dfNZPqIEu6k5xRMo7KekQ9ABMBoLF3m/6BapiAyIMAr+GXkfjVdAVBL2ttYlH5k71CsS1/HVd0rLFCa7A90Ng==" saltValue="TvleimCmdM3gfVMtmVGCx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7.2663600000000161E-2</v>
      </c>
    </row>
    <row r="5" spans="1:8" ht="15.75" customHeight="1" x14ac:dyDescent="0.25">
      <c r="B5" s="19" t="s">
        <v>114</v>
      </c>
      <c r="C5" s="101">
        <v>3.2022400000000013E-2</v>
      </c>
    </row>
    <row r="6" spans="1:8" ht="15.75" customHeight="1" x14ac:dyDescent="0.25">
      <c r="B6" s="19" t="s">
        <v>110</v>
      </c>
      <c r="C6" s="101">
        <v>0.18112940000000011</v>
      </c>
    </row>
    <row r="7" spans="1:8" ht="15.75" customHeight="1" x14ac:dyDescent="0.25">
      <c r="B7" s="19" t="s">
        <v>115</v>
      </c>
      <c r="C7" s="101">
        <v>0.43143469999999928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0.18141010000000021</v>
      </c>
    </row>
    <row r="10" spans="1:8" ht="15.75" customHeight="1" x14ac:dyDescent="0.25">
      <c r="B10" s="19" t="s">
        <v>113</v>
      </c>
      <c r="C10" s="101">
        <v>0.1013398000000002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121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2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109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118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4.7837044999999988E-2</v>
      </c>
    </row>
    <row r="27" spans="1:8" ht="15.75" customHeight="1" x14ac:dyDescent="0.25">
      <c r="B27" s="19" t="s">
        <v>108</v>
      </c>
      <c r="C27" s="101">
        <v>1.836863E-2</v>
      </c>
    </row>
    <row r="28" spans="1:8" ht="15.75" customHeight="1" x14ac:dyDescent="0.25">
      <c r="B28" s="19" t="s">
        <v>122</v>
      </c>
      <c r="C28" s="101">
        <v>0.231175139</v>
      </c>
    </row>
    <row r="29" spans="1:8" ht="15.75" customHeight="1" x14ac:dyDescent="0.25">
      <c r="B29" s="19" t="s">
        <v>105</v>
      </c>
      <c r="C29" s="101">
        <v>0.138527135</v>
      </c>
    </row>
    <row r="30" spans="1:8" ht="15.75" customHeight="1" x14ac:dyDescent="0.25">
      <c r="B30" s="19" t="s">
        <v>4</v>
      </c>
      <c r="C30" s="101">
        <v>4.9111505E-2</v>
      </c>
    </row>
    <row r="31" spans="1:8" ht="15.75" customHeight="1" x14ac:dyDescent="0.25">
      <c r="B31" s="19" t="s">
        <v>99</v>
      </c>
      <c r="C31" s="101">
        <v>6.9658183999999998E-2</v>
      </c>
    </row>
    <row r="32" spans="1:8" ht="15.75" customHeight="1" x14ac:dyDescent="0.25">
      <c r="B32" s="19" t="s">
        <v>104</v>
      </c>
      <c r="C32" s="101">
        <v>0.14941447299999999</v>
      </c>
    </row>
    <row r="33" spans="2:3" ht="15.75" customHeight="1" x14ac:dyDescent="0.25">
      <c r="B33" s="19" t="s">
        <v>119</v>
      </c>
      <c r="C33" s="101">
        <v>0.122223571</v>
      </c>
    </row>
    <row r="34" spans="2:3" ht="15.75" customHeight="1" x14ac:dyDescent="0.25">
      <c r="B34" s="19" t="s">
        <v>106</v>
      </c>
      <c r="C34" s="101">
        <v>0.173684317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7lxq/MUtWAEP1I3XnYdCy/O4TiOt5bCsJ3FRj2YDMkHSB9IrknMzrvoRj2oBw3ZiVoSR26EgV6CwByTKqm+CEg==" saltValue="sx7MMmoH24jLSNUGqaWjx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129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125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126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138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0.73811573149999998</v>
      </c>
      <c r="D14" s="54">
        <v>0.73101439726399997</v>
      </c>
      <c r="E14" s="54">
        <v>0.73101439726399997</v>
      </c>
      <c r="F14" s="54">
        <v>0.46123497697700011</v>
      </c>
      <c r="G14" s="54">
        <v>0.46123497697700011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0.42263768669958501</v>
      </c>
      <c r="D15" s="52">
        <f t="shared" si="0"/>
        <v>0.41857153372939376</v>
      </c>
      <c r="E15" s="52">
        <f t="shared" si="0"/>
        <v>0.41857153372939376</v>
      </c>
      <c r="F15" s="52">
        <f t="shared" si="0"/>
        <v>0.26409853546726053</v>
      </c>
      <c r="G15" s="52">
        <f t="shared" si="0"/>
        <v>0.26409853546726053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bcBp3s+Tr3RI73Yqe337JOMfQvhnTxBs6pym3WVhw8/GyCK+QDLrVOJjwFgRDbncEm033P7N7reomyW1uNu0w==" saltValue="wZdon+Pd+p6rAlunNm5B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bU1rkeP6uLCokHU4WhDsZLqA3lE+O0UFkKp3y7kxW3ac8zv7E9HY3woXYMOicRs95I8jbl5zaPFyzSXifTMNOw==" saltValue="b1MAQFnoKUmfluCZVXVzW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qPClJ8u9iZyGJEBgUcIePk8afaNq1mfdlZ2dL6p4jwmFj9wqf2v8bXL/HiboECUXvdMMzi4G7LuldO9V1V2vQ==" saltValue="mNtPfO8qCGS17iSCR3Ht+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2386.6961758184002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0.43436000000000002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0.39685999999999999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1.718917778663958E-2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96933.289739999993</v>
      </c>
      <c r="C22" s="109">
        <v>96637.338749999995</v>
      </c>
      <c r="D22" s="109">
        <v>96347.932560000001</v>
      </c>
      <c r="E22" s="109">
        <v>95957.418810000003</v>
      </c>
      <c r="F22" s="109">
        <v>95445.618130000003</v>
      </c>
      <c r="G22" s="109">
        <v>94905.706950000007</v>
      </c>
      <c r="H22" s="109">
        <v>94246.119479999994</v>
      </c>
      <c r="I22" s="109">
        <v>93301.41476</v>
      </c>
      <c r="J22" s="109">
        <v>91857.557180000003</v>
      </c>
      <c r="K22" s="109">
        <v>89621.092300000004</v>
      </c>
      <c r="L22" s="109">
        <v>86160.015780000002</v>
      </c>
      <c r="M22" s="109">
        <v>81045.916119999994</v>
      </c>
      <c r="N22" s="109">
        <v>73544.375180000003</v>
      </c>
      <c r="O22" s="109">
        <v>63225.913849999997</v>
      </c>
    </row>
  </sheetData>
  <sheetProtection algorithmName="SHA-512" hashValue="35/khXw3d5Xx+a+WTcZ4NXeo0mqRPrmFVgbr6cqDv6N7ntvQKivik0Le7y6N/zwtPU3sG6tWHK5MI6bmJfckUw==" saltValue="FKILfBvEugwY/rlhewgWk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m3ooaAPAoZdaMHqQmmI8oAa5IMX68bgvqQJr58BmpsmxuLzwtsk/dBTUyyJE5Km4TFDaT+Y1wSoTuKWlpTwpw==" saltValue="Lk+jUV4yq6Ox2RLyQq0Uf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KhkaEGA6ED7ApEz42UTW6LlIFyhH7BrwBWNLUvd6gc0+/tkbbmCtb/dOnIqp77teS81rygtX+CSDVX/e2COEDw==" saltValue="ofNX8lX75TW9385vgVYAp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1.1113E-2</v>
      </c>
      <c r="C10" s="98">
        <v>0.95</v>
      </c>
      <c r="D10" s="56">
        <v>14.332612801245681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14.332612801245681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14.332612801245681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14.332612801245681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14.332612801245681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0.74299999999999999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0.50451279999999998</v>
      </c>
      <c r="C19" s="98">
        <v>0.95</v>
      </c>
      <c r="D19" s="56">
        <v>4.0260706086583404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4.7482493984987979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0.62744799530607998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0.58558969999999999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0.2004783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0.7196437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0.1203943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1.57512E-2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0.88436999999999999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0.33004980000000012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bktffMj+DzeCBSTn9mvBkJqBj7DuRPG6onvAzfmp9xljAg3BBi4FgT2CjXz3ihfmgD527+JG+A3urOb04bEH/A==" saltValue="fYcThu7TbB5oC1GBA06g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9jUGndg0ZJO8as/wQUQmyDzUWAkhO91ux9+iYxi4UPLwL1iiacSVkiMj6aWQU/kepqzn8Cyja/f5+PJ+wBZsA==" saltValue="XrqheKlIS807f0vT6j0gc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Pk9ry6thuf+Mvqr6eZp5bG4RIjspV4XRTWclUeNp1gU+h98dRohxde9N7GFhVfQ+rYJsxOy9x5POdvcefOREg==" saltValue="xB/H42q5z+9dY/PZVZVrQ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1.95</v>
      </c>
      <c r="C2" s="21">
        <f>'Entradas de población-año base'!C52</f>
        <v>1.95</v>
      </c>
      <c r="D2" s="21">
        <f>'Entradas de población-año base'!C53</f>
        <v>5.4340000000000002</v>
      </c>
      <c r="E2" s="21">
        <f>'Entradas de población-año base'!C54</f>
        <v>6.1880000000000006</v>
      </c>
      <c r="F2" s="21">
        <f>'Entradas de población-año base'!C55</f>
        <v>3.5446666666666662</v>
      </c>
    </row>
    <row r="3" spans="1:6" ht="15.75" customHeight="1" x14ac:dyDescent="0.25">
      <c r="A3" s="3" t="s">
        <v>6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236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sheetProtection algorithmName="SHA-512" hashValue="v5QF+fuKkr6iLO0mnkc50HsjsIHM+u+ufCmBTJ+CBVRdWx0BRIKtwYoJxTjcyXV6MssStPQdXA/7iaqugrL3ig==" saltValue="RSKyCASzXVdD/LJxOkN9c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4.1659090909090896E-2</v>
      </c>
      <c r="D7" s="60">
        <f>diarrhoea_1_5mo*frac_diarrhea_severe</f>
        <v>4.1659090909090896E-2</v>
      </c>
      <c r="E7" s="60">
        <f>diarrhoea_6_11mo*frac_diarrhea_severe</f>
        <v>0.11608999999999998</v>
      </c>
      <c r="F7" s="60">
        <f>diarrhoea_12_23mo*frac_diarrhea_severe</f>
        <v>0.1321981818181818</v>
      </c>
      <c r="G7" s="60">
        <f>diarrhoea_24_59mo*frac_diarrhea_severe</f>
        <v>7.5726969696969668E-2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4.1659090909090896E-2</v>
      </c>
      <c r="D12" s="60">
        <f>diarrhoea_1_5mo*frac_diarrhea_severe</f>
        <v>4.1659090909090896E-2</v>
      </c>
      <c r="E12" s="60">
        <f>diarrhoea_6_11mo*frac_diarrhea_severe</f>
        <v>0.11608999999999998</v>
      </c>
      <c r="F12" s="60">
        <f>diarrhoea_12_23mo*frac_diarrhea_severe</f>
        <v>0.1321981818181818</v>
      </c>
      <c r="G12" s="60">
        <f>diarrhoea_24_59mo*frac_diarrhea_severe</f>
        <v>7.5726969696969668E-2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0.27079180898833899</v>
      </c>
      <c r="M24" s="60">
        <f>famplan_unmet_need</f>
        <v>0.27079180898833899</v>
      </c>
      <c r="N24" s="60">
        <f>famplan_unmet_need</f>
        <v>0.27079180898833899</v>
      </c>
      <c r="O24" s="60">
        <f>famplan_unmet_need</f>
        <v>0.27079180898833899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0.18902724361500003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8.1011675835000019E-2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4.160438055E-2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0.68835669999999993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vHjCmvR7RkgCz5iZmQdEYpO16qVJfXnEeWiieJKhshPpq78SSxnRdkru1Dl5lK0TfcK1No38CTPbu2J4R1OVg==" saltValue="gPr4V2F00al+2sX3hRRNP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W16vFdbtK6LN7UYlC8DPLSkEMdbSqRtHPVQmObyqkrPutdcqU5y2zlJwe7OJdU/wwAoCAP+WD01EQkH/rMfn2A==" saltValue="55RocM79Rek/oX527EUMt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vKmZfjy3Fsmh1BqpDaG7ZowpL1JhbJ80TmNCaJUDYx2NCM859/pOEipcQ27lvx3YIWBvvXavcEzmNW+G5uF2A==" saltValue="SQdA7SBAicdWgVTMYMUZQ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FCNnGj/GQ0FWDeHKfpcydVfFyOyW+rYiXUg4yIAJpuYgCFyoCz1ISEAJgWYSJr/9g9vYDyrGV3Kt/lYFEj3yw==" saltValue="fuV8bHHheI7qBxAkIoY0W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0rYgUD/iwtDnwiD/n4LBFD/XB/o1dlBLsB43CPku/afYoSRHAK8LNjENNBgHIT1vD9T47mFIZG3qV7t3Cv5pvA==" saltValue="6L8OpE05vAPjQbi2BFkRp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WMnJYpyUDlLxHd/sQVMtbwpswzSpIWaskkvs3KkRDxmLPOyuRRmAu+TMNBeYb2hBYZ3Md2uGpvOTwdjT1hVIuw==" saltValue="dhMRz/Fd4w65fyDfPI1b8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uG0POwuEfvYPhjzG7WR34Ui9tRC8GkklNjJ0yPs9R2/5D5pFUypp6eQTHR2lKIPFIONV75EnsgOydvkdbcG2w==" saltValue="FhfK3NwStCYpzNGAA15Jw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agsjzO1XZbk42kbFk7RuRN/XK46M3w2/9wL8m8WBD9qOiju1VKl2tTS1ubH4n7EL0R0/scmLerAFn3XyJwTVjw==" saltValue="H28vgsvj3ejftyDXoJfg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UOWF54mR/nawmFQLhjQo489jSc/EqGx9ByGtZbQDle2oOHOgsNlLvO/ZHYBmgyip2gyVAj2Wcjfx4NC72OfmYA==" saltValue="QajneADPf7NV0PnCfDR3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ri65ulXYBx1Ls0uuKHXwr8W2q8nuv4Clu53IVKgHKSJ0svYBL5pqK/1EEtdOwT4OYO75Tou79kkP76wMMeXMA==" saltValue="wjOsJahk2uSFHRgIj0dQ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I19uuXDmm9U/qgZdNQJ8WYRiHx94gO8DQQzG8X8nqKdATGrl7uNHVD7yqZJ4QqTkcSRRGmt1t998k9ScKAxRg==" saltValue="Z3kjvYD+P3fZewr+JwcW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FdyuA7HGoZYbAn89DFl2UssV9kf1iFEXPBr3rt+VgAFqk48tGxjdjn06Sqd+N/VDMdXuhcfhoBHyVB7HIk6Rg==" saltValue="+PV0eAJgNhM9RcH7bh2T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YHoV8tMHDUbfcERJsWmuCNvFLbJDR+G5xdXiHxMcjxA3k4bW6cF/pmltAQO0m/hD2N/FYwv/DfOnZPFSwdY0g==" saltValue="B/hSoRPyLg6CA2akZwkMf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kEIKuzm5KXwO4feMqfXBhTnTyhmlK+DfBtXO6I00uzsCzXVr5fL3lTqx3RlKqHfBxVUm3jtB0HMkoO9IJW4uw==" saltValue="0E5s3nMNwfT24OTPOucG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YF11LZ8t0qEkNP1HLaULHIpd7SD5Y30P5g+gPeJyTRcWEw14+erFFPWeW6gqaLVojFpNxKglZ/sjDNR2ikLZcw==" saltValue="D8iFX1BAJAEBP4W8b2yrm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