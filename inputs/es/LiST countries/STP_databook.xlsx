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036C156A-6844-4135-8BC7-AF4FECA778C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24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6" i="2" l="1"/>
  <c r="A26" i="2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<sst xmlns="http://schemas.openxmlformats.org/spreadsheetml/2006/main" count="2169" uniqueCount="373">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</sst>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31132</v>
      </c>
    </row>
    <row r="8" spans="1:3" ht="15" customHeight="1" x14ac:dyDescent="0.25">
      <c r="B8" s="5" t="s">
        <v>63</v>
      </c>
      <c r="C8" s="44">
        <v>0.55500000000000005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0.68835669999999993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0.27079180898833899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0.11550000000000001</v>
      </c>
    </row>
    <row r="24" spans="1:3" ht="15" customHeight="1" x14ac:dyDescent="0.25">
      <c r="B24" s="15" t="s">
        <v>65</v>
      </c>
      <c r="C24" s="45">
        <v>0.47460000000000002</v>
      </c>
    </row>
    <row r="25" spans="1:3" ht="15" customHeight="1" x14ac:dyDescent="0.25">
      <c r="B25" s="15" t="s">
        <v>66</v>
      </c>
      <c r="C25" s="45">
        <v>0.32340000000000002</v>
      </c>
    </row>
    <row r="26" spans="1:3" ht="15" customHeight="1" x14ac:dyDescent="0.25">
      <c r="B26" s="15" t="s">
        <v>67</v>
      </c>
      <c r="C26" s="45">
        <v>8.6500000000000007E-2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7">
        <v>2.3858720907234902E-2</v>
      </c>
    </row>
    <row r="31" spans="1:3" ht="14.25" customHeight="1" x14ac:dyDescent="0.25">
      <c r="B31" s="25" t="s">
        <v>29</v>
      </c>
      <c r="C31" s="97">
        <v>3.4342930038455802E-2</v>
      </c>
    </row>
    <row r="32" spans="1:3" ht="14.25" customHeight="1" x14ac:dyDescent="0.25">
      <c r="B32" s="25" t="s">
        <v>30</v>
      </c>
      <c r="C32" s="97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6.5631199999999996</v>
      </c>
    </row>
    <row r="38" spans="1:5" ht="15" customHeight="1" x14ac:dyDescent="0.25">
      <c r="B38" s="11" t="s">
        <v>54</v>
      </c>
      <c r="C38" s="43">
        <v>14.3725</v>
      </c>
      <c r="D38" s="12"/>
      <c r="E38" s="13"/>
    </row>
    <row r="39" spans="1:5" ht="15" customHeight="1" x14ac:dyDescent="0.25">
      <c r="B39" s="11" t="s">
        <v>80</v>
      </c>
      <c r="C39" s="43">
        <v>16.718489999999999</v>
      </c>
      <c r="D39" s="12"/>
      <c r="E39" s="12"/>
    </row>
    <row r="40" spans="1:5" ht="15" customHeight="1" x14ac:dyDescent="0.25">
      <c r="B40" s="11" t="s">
        <v>55</v>
      </c>
      <c r="C40" s="98">
        <v>0.59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6.1190999999999997E-3</v>
      </c>
      <c r="D45" s="12"/>
    </row>
    <row r="46" spans="1:5" ht="15.75" customHeight="1" x14ac:dyDescent="0.25">
      <c r="B46" s="11" t="s">
        <v>70</v>
      </c>
      <c r="C46" s="45">
        <v>6.5748799999999996E-2</v>
      </c>
      <c r="D46" s="12"/>
    </row>
    <row r="47" spans="1:5" ht="15.75" customHeight="1" x14ac:dyDescent="0.25">
      <c r="B47" s="11" t="s">
        <v>78</v>
      </c>
      <c r="C47" s="45">
        <v>7.5182200000000005E-2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1.95</v>
      </c>
      <c r="D51" s="12"/>
    </row>
    <row r="52" spans="1:4" ht="15" customHeight="1" x14ac:dyDescent="0.25">
      <c r="B52" s="11" t="s">
        <v>32</v>
      </c>
      <c r="C52" s="98">
        <v>1.95</v>
      </c>
    </row>
    <row r="53" spans="1:4" ht="15.75" customHeight="1" x14ac:dyDescent="0.25">
      <c r="B53" s="11" t="s">
        <v>35</v>
      </c>
      <c r="C53" s="98">
        <v>5.4340000000000002</v>
      </c>
    </row>
    <row r="54" spans="1:4" ht="15.75" customHeight="1" x14ac:dyDescent="0.25">
      <c r="B54" s="11" t="s">
        <v>33</v>
      </c>
      <c r="C54" s="98">
        <v>6.1880000000000006</v>
      </c>
    </row>
    <row r="55" spans="1:4" ht="15.75" customHeight="1" x14ac:dyDescent="0.25">
      <c r="B55" s="11" t="s">
        <v>34</v>
      </c>
      <c r="C55" s="98">
        <v>3.5446666666666662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0.57259000000000004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0.1111475279</v>
      </c>
    </row>
    <row r="63" spans="1:4" ht="15.75" customHeight="1" x14ac:dyDescent="0.3">
      <c r="A63" s="4"/>
    </row>
  </sheetData>
  <sheetProtection algorithmName="SHA-512" hashValue="M9fPExI2AU4N2GGCAjcNqWlwZmKUek+cKviAXnWbtHPLp8BfCHMEEu9rVubF8PuRJKV3/fO7Ygz5GeTGOGRnBw==" saltValue="lBYbOUnuUxdyqqn4yRv6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31678.5</v>
      </c>
      <c r="C2" s="49">
        <v>7425</v>
      </c>
      <c r="D2" s="49">
        <v>14249</v>
      </c>
      <c r="E2" s="49">
        <v>27160.5</v>
      </c>
      <c r="F2" s="49">
        <v>19708</v>
      </c>
      <c r="G2" s="17">
        <f t="shared" ref="G2:G13" si="0">C2+D2+E2+F2</f>
        <v>68542.5</v>
      </c>
      <c r="H2" s="17">
        <f t="shared" ref="H2:H13" si="1">(B2 + stillbirth*B2/(1000-stillbirth))/(1-abortion)</f>
        <v>36274.595785933292</v>
      </c>
      <c r="I2" s="17">
        <f t="shared" ref="I2:I13" si="2">G2-H2</f>
        <v>32267.904214066708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6617</v>
      </c>
      <c r="C3" s="50">
        <v>13763</v>
      </c>
      <c r="D3" s="50">
        <v>19984</v>
      </c>
      <c r="E3" s="50">
        <v>13853.5</v>
      </c>
      <c r="F3" s="50">
        <v>11759</v>
      </c>
      <c r="G3" s="17">
        <f t="shared" si="0"/>
        <v>59359.5</v>
      </c>
      <c r="H3" s="17">
        <f t="shared" si="1"/>
        <v>7577.0317507306399</v>
      </c>
      <c r="I3" s="17">
        <f t="shared" si="2"/>
        <v>51782.468249269361</v>
      </c>
    </row>
    <row r="4" spans="1:9" ht="15.75" customHeight="1" x14ac:dyDescent="0.25">
      <c r="A4" s="5">
        <f t="shared" si="3"/>
        <v>2026</v>
      </c>
      <c r="B4" s="49">
        <v>6688</v>
      </c>
      <c r="C4" s="50">
        <v>13881.5</v>
      </c>
      <c r="D4" s="50">
        <v>20894</v>
      </c>
      <c r="E4" s="50">
        <v>13970.500000000002</v>
      </c>
      <c r="F4" s="50">
        <v>12129</v>
      </c>
      <c r="G4" s="17">
        <f t="shared" si="0"/>
        <v>60875</v>
      </c>
      <c r="H4" s="17">
        <f t="shared" si="1"/>
        <v>7658.3328319308621</v>
      </c>
      <c r="I4" s="17">
        <f t="shared" si="2"/>
        <v>53216.667168069136</v>
      </c>
    </row>
    <row r="5" spans="1:9" ht="15.75" customHeight="1" x14ac:dyDescent="0.25">
      <c r="A5" s="5">
        <f t="shared" si="3"/>
        <v>2027</v>
      </c>
      <c r="B5" s="49">
        <v>6777</v>
      </c>
      <c r="C5" s="50">
        <v>13838.5</v>
      </c>
      <c r="D5" s="50">
        <v>21828.000000000004</v>
      </c>
      <c r="E5" s="50">
        <v>14165.500000000002</v>
      </c>
      <c r="F5" s="50">
        <v>12411.999999999998</v>
      </c>
      <c r="G5" s="17">
        <f t="shared" si="0"/>
        <v>62244</v>
      </c>
      <c r="H5" s="17">
        <f t="shared" si="1"/>
        <v>7760.2454548438182</v>
      </c>
      <c r="I5" s="17">
        <f t="shared" si="2"/>
        <v>54483.754545156182</v>
      </c>
    </row>
    <row r="6" spans="1:9" ht="15.75" customHeight="1" x14ac:dyDescent="0.25">
      <c r="A6" s="5">
        <f t="shared" si="3"/>
        <v>2028</v>
      </c>
      <c r="B6" s="49">
        <v>6866</v>
      </c>
      <c r="C6" s="50">
        <v>13866</v>
      </c>
      <c r="D6" s="50">
        <v>22769.5</v>
      </c>
      <c r="E6" s="50">
        <v>14437.999999999998</v>
      </c>
      <c r="F6" s="50">
        <v>12615</v>
      </c>
      <c r="G6" s="17">
        <f t="shared" si="0"/>
        <v>63688.5</v>
      </c>
      <c r="H6" s="17">
        <f t="shared" si="1"/>
        <v>7862.1580777567733</v>
      </c>
      <c r="I6" s="17">
        <f t="shared" si="2"/>
        <v>55826.341922243228</v>
      </c>
    </row>
    <row r="7" spans="1:9" ht="15.75" customHeight="1" x14ac:dyDescent="0.25">
      <c r="A7" s="5">
        <f t="shared" si="3"/>
        <v>2029</v>
      </c>
      <c r="B7" s="49">
        <v>6937</v>
      </c>
      <c r="C7" s="50">
        <v>14027</v>
      </c>
      <c r="D7" s="50">
        <v>23669</v>
      </c>
      <c r="E7" s="50">
        <v>14794.5</v>
      </c>
      <c r="F7" s="50">
        <v>12768</v>
      </c>
      <c r="G7" s="17">
        <f t="shared" si="0"/>
        <v>65258.5</v>
      </c>
      <c r="H7" s="17">
        <f t="shared" si="1"/>
        <v>7943.4591589569964</v>
      </c>
      <c r="I7" s="17">
        <f t="shared" si="2"/>
        <v>57315.040841043003</v>
      </c>
    </row>
    <row r="8" spans="1:9" ht="15.75" customHeight="1" x14ac:dyDescent="0.25">
      <c r="A8" s="5">
        <f t="shared" si="3"/>
        <v>2030</v>
      </c>
      <c r="B8" s="49">
        <v>7038</v>
      </c>
      <c r="C8" s="50">
        <v>14183.5</v>
      </c>
      <c r="D8" s="50">
        <v>24456.5</v>
      </c>
      <c r="E8" s="50">
        <v>15241.499999999998</v>
      </c>
      <c r="F8" s="50">
        <v>12882</v>
      </c>
      <c r="G8" s="17">
        <f t="shared" si="0"/>
        <v>66763.5</v>
      </c>
      <c r="H8" s="17">
        <f t="shared" si="1"/>
        <v>8059.1128096784405</v>
      </c>
      <c r="I8" s="17">
        <f t="shared" si="2"/>
        <v>58704.387190321562</v>
      </c>
    </row>
    <row r="9" spans="1:9" ht="15.75" customHeight="1" x14ac:dyDescent="0.25">
      <c r="A9" s="5">
        <f t="shared" si="3"/>
        <v>2031</v>
      </c>
      <c r="B9" s="49">
        <v>7102</v>
      </c>
      <c r="C9" s="50">
        <v>14359</v>
      </c>
      <c r="D9" s="50">
        <v>25071.5</v>
      </c>
      <c r="E9" s="50">
        <v>15779</v>
      </c>
      <c r="F9" s="50">
        <v>12963.5</v>
      </c>
      <c r="G9" s="17">
        <f t="shared" si="0"/>
        <v>68173</v>
      </c>
      <c r="H9" s="17">
        <f t="shared" si="1"/>
        <v>8132.3982913237114</v>
      </c>
      <c r="I9" s="17">
        <f t="shared" si="2"/>
        <v>60040.601708676288</v>
      </c>
    </row>
    <row r="10" spans="1:9" ht="15.75" customHeight="1" x14ac:dyDescent="0.25">
      <c r="A10" s="5">
        <f t="shared" si="3"/>
        <v>2032</v>
      </c>
      <c r="B10" s="49">
        <v>7182</v>
      </c>
      <c r="C10" s="50">
        <v>14548.5</v>
      </c>
      <c r="D10" s="50">
        <v>25491</v>
      </c>
      <c r="E10" s="50">
        <v>16419.5</v>
      </c>
      <c r="F10" s="50">
        <v>13020.5</v>
      </c>
      <c r="G10" s="17">
        <f t="shared" si="0"/>
        <v>69479.5</v>
      </c>
      <c r="H10" s="17">
        <f t="shared" si="1"/>
        <v>8224.0051433803019</v>
      </c>
      <c r="I10" s="17">
        <f t="shared" si="2"/>
        <v>61255.494856619698</v>
      </c>
    </row>
    <row r="11" spans="1:9" ht="15.75" customHeight="1" x14ac:dyDescent="0.25">
      <c r="A11" s="5">
        <f t="shared" si="3"/>
        <v>2033</v>
      </c>
      <c r="B11" s="49">
        <v>7259</v>
      </c>
      <c r="C11" s="50">
        <v>14550.5</v>
      </c>
      <c r="D11" s="50">
        <v>25939.500000000004</v>
      </c>
      <c r="E11" s="50">
        <v>17158</v>
      </c>
      <c r="F11" s="50">
        <v>13050.999999999998</v>
      </c>
      <c r="G11" s="17">
        <f t="shared" si="0"/>
        <v>70699</v>
      </c>
      <c r="H11" s="17">
        <f t="shared" si="1"/>
        <v>8312.1767384847681</v>
      </c>
      <c r="I11" s="17">
        <f t="shared" si="2"/>
        <v>62386.82326151523</v>
      </c>
    </row>
    <row r="12" spans="1:9" ht="15.75" customHeight="1" x14ac:dyDescent="0.25">
      <c r="A12" s="5">
        <f t="shared" si="3"/>
        <v>2034</v>
      </c>
      <c r="B12" s="49">
        <v>7332</v>
      </c>
      <c r="C12" s="50">
        <v>14378.5</v>
      </c>
      <c r="D12" s="50">
        <v>26462</v>
      </c>
      <c r="E12" s="50">
        <v>17965</v>
      </c>
      <c r="F12" s="50">
        <v>13074</v>
      </c>
      <c r="G12" s="17">
        <f t="shared" si="0"/>
        <v>71879.5</v>
      </c>
      <c r="H12" s="17">
        <f t="shared" si="1"/>
        <v>8395.7679909864073</v>
      </c>
      <c r="I12" s="17">
        <f t="shared" si="2"/>
        <v>63483.732009013591</v>
      </c>
    </row>
    <row r="13" spans="1:9" ht="15.75" customHeight="1" x14ac:dyDescent="0.25">
      <c r="A13" s="5">
        <f t="shared" si="3"/>
        <v>2035</v>
      </c>
      <c r="B13" s="49">
        <v>7397</v>
      </c>
      <c r="C13" s="50">
        <v>14275</v>
      </c>
      <c r="D13" s="50">
        <v>26875.999999999996</v>
      </c>
      <c r="E13" s="50">
        <v>18818.5</v>
      </c>
      <c r="F13" s="50">
        <v>13126.5</v>
      </c>
      <c r="G13" s="17">
        <f t="shared" si="0"/>
        <v>73096</v>
      </c>
      <c r="H13" s="17">
        <f t="shared" si="1"/>
        <v>8470.1985582823854</v>
      </c>
      <c r="I13" s="17">
        <f t="shared" si="2"/>
        <v>64625.801441717616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1ZNEQsuC5MuLQzVRNZwoZXsUJ/yCydg+SlvXDGfXa7OjQynDDaGs803mfgeDJX9zadtj+0/VEYQ9N2kvTTF7A==" saltValue="wAjbjMq3kRoYaQYLTmxjO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7.2663600000000161E-2</v>
      </c>
    </row>
    <row r="5" spans="1:8" ht="15.75" customHeight="1" x14ac:dyDescent="0.25">
      <c r="B5" s="19" t="s">
        <v>114</v>
      </c>
      <c r="C5" s="99">
        <v>3.2022400000000013E-2</v>
      </c>
    </row>
    <row r="6" spans="1:8" ht="15.75" customHeight="1" x14ac:dyDescent="0.25">
      <c r="B6" s="19" t="s">
        <v>110</v>
      </c>
      <c r="C6" s="99">
        <v>0.18112940000000011</v>
      </c>
    </row>
    <row r="7" spans="1:8" ht="15.75" customHeight="1" x14ac:dyDescent="0.25">
      <c r="B7" s="19" t="s">
        <v>115</v>
      </c>
      <c r="C7" s="99">
        <v>0.43143469999999928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0.18141010000000021</v>
      </c>
    </row>
    <row r="10" spans="1:8" ht="15.75" customHeight="1" x14ac:dyDescent="0.25">
      <c r="B10" s="19" t="s">
        <v>113</v>
      </c>
      <c r="C10" s="99">
        <v>0.1013398000000002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121</v>
      </c>
      <c r="C15" s="99">
        <v>0.14201342044077259</v>
      </c>
      <c r="D15" s="99">
        <v>0.14201342044077259</v>
      </c>
      <c r="E15" s="99">
        <v>0.14201342044077259</v>
      </c>
      <c r="F15" s="99">
        <v>0.14201342044077259</v>
      </c>
    </row>
    <row r="16" spans="1:8" ht="15.75" customHeight="1" x14ac:dyDescent="0.25">
      <c r="B16" s="19" t="s">
        <v>2</v>
      </c>
      <c r="C16" s="99">
        <v>1.5148673316420749E-3</v>
      </c>
      <c r="D16" s="99">
        <v>1.5148673316420749E-3</v>
      </c>
      <c r="E16" s="99">
        <v>1.5148673316420749E-3</v>
      </c>
      <c r="F16" s="99">
        <v>1.5148673316420749E-3</v>
      </c>
    </row>
    <row r="17" spans="1:8" ht="15.75" customHeight="1" x14ac:dyDescent="0.25">
      <c r="B17" s="19" t="s">
        <v>109</v>
      </c>
      <c r="C17" s="99">
        <v>0.79207380330936872</v>
      </c>
      <c r="D17" s="99">
        <v>0.79207380330936872</v>
      </c>
      <c r="E17" s="99">
        <v>0.79207380330936872</v>
      </c>
      <c r="F17" s="99">
        <v>0.79207380330936872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7.4143769382759572E-3</v>
      </c>
      <c r="D19" s="99">
        <v>7.4143769382759572E-3</v>
      </c>
      <c r="E19" s="99">
        <v>7.4143769382759572E-3</v>
      </c>
      <c r="F19" s="99">
        <v>7.4143769382759572E-3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2.638911729579237E-2</v>
      </c>
      <c r="D21" s="99">
        <v>2.638911729579237E-2</v>
      </c>
      <c r="E21" s="99">
        <v>2.638911729579237E-2</v>
      </c>
      <c r="F21" s="99">
        <v>2.638911729579237E-2</v>
      </c>
    </row>
    <row r="22" spans="1:8" ht="15.75" customHeight="1" x14ac:dyDescent="0.25">
      <c r="B22" s="19" t="s">
        <v>118</v>
      </c>
      <c r="C22" s="99">
        <v>2.4617107653533501E-2</v>
      </c>
      <c r="D22" s="99">
        <v>2.4617107653533501E-2</v>
      </c>
      <c r="E22" s="99">
        <v>2.4617107653533501E-2</v>
      </c>
      <c r="F22" s="99">
        <v>2.4617107653533501E-2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4.7837044999999988E-2</v>
      </c>
    </row>
    <row r="27" spans="1:8" ht="15.75" customHeight="1" x14ac:dyDescent="0.25">
      <c r="B27" s="19" t="s">
        <v>108</v>
      </c>
      <c r="C27" s="99">
        <v>1.836863E-2</v>
      </c>
    </row>
    <row r="28" spans="1:8" ht="15.75" customHeight="1" x14ac:dyDescent="0.25">
      <c r="B28" s="19" t="s">
        <v>122</v>
      </c>
      <c r="C28" s="99">
        <v>0.231175139</v>
      </c>
    </row>
    <row r="29" spans="1:8" ht="15.75" customHeight="1" x14ac:dyDescent="0.25">
      <c r="B29" s="19" t="s">
        <v>105</v>
      </c>
      <c r="C29" s="99">
        <v>0.138527135</v>
      </c>
    </row>
    <row r="30" spans="1:8" ht="15.75" customHeight="1" x14ac:dyDescent="0.25">
      <c r="B30" s="19" t="s">
        <v>4</v>
      </c>
      <c r="C30" s="99">
        <v>4.9111505E-2</v>
      </c>
    </row>
    <row r="31" spans="1:8" ht="15.75" customHeight="1" x14ac:dyDescent="0.25">
      <c r="B31" s="19" t="s">
        <v>99</v>
      </c>
      <c r="C31" s="99">
        <v>6.9658183999999998E-2</v>
      </c>
    </row>
    <row r="32" spans="1:8" ht="15.75" customHeight="1" x14ac:dyDescent="0.25">
      <c r="B32" s="19" t="s">
        <v>104</v>
      </c>
      <c r="C32" s="99">
        <v>0.14941447299999999</v>
      </c>
    </row>
    <row r="33" spans="2:3" ht="15.75" customHeight="1" x14ac:dyDescent="0.25">
      <c r="B33" s="19" t="s">
        <v>119</v>
      </c>
      <c r="C33" s="99">
        <v>0.122223571</v>
      </c>
    </row>
    <row r="34" spans="2:3" ht="15.75" customHeight="1" x14ac:dyDescent="0.25">
      <c r="B34" s="19" t="s">
        <v>106</v>
      </c>
      <c r="C34" s="99">
        <v>0.173684317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nY7kTopM5ZCNs71IhhNx0HMDEyE01px7BejTARIpXhm8slBVsksm5n4ZGdzwom/py53Fiz8d+6av2ZcSFyBA6g==" saltValue="5siX7PjXQTXHvrOS9zuC5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129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125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126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138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0.73811573149999998</v>
      </c>
      <c r="D14" s="54">
        <v>0.73101439726399997</v>
      </c>
      <c r="E14" s="54">
        <v>0.73101439726399997</v>
      </c>
      <c r="F14" s="54">
        <v>0.46123497697700011</v>
      </c>
      <c r="G14" s="54">
        <v>0.46123497697700011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0.42263768669958501</v>
      </c>
      <c r="D15" s="52">
        <f t="shared" si="0"/>
        <v>0.41857153372939376</v>
      </c>
      <c r="E15" s="52">
        <f t="shared" si="0"/>
        <v>0.41857153372939376</v>
      </c>
      <c r="F15" s="52">
        <f t="shared" si="0"/>
        <v>0.26409853546726053</v>
      </c>
      <c r="G15" s="52">
        <f t="shared" si="0"/>
        <v>0.26409853546726053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wSzLPRFCwRWIma6JNMmv9LzvtsgITC+/uEm2IKMAgcepSparsgT0Uoi8CvwYQK4UMzkCZNNmKUCNz8fQswpvw==" saltValue="g9x0znlI82EdWL51Brfw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mRVl3mmrWuCCViI5jcrZ+L8F6HqXXGMuY1S9VnD4i3Jf9HisJQSPmxejAkPit8EdG5GtbdyKZJ5CxB8KZ1z4jQ==" saltValue="YboiQeXwD0m66zQz1V67K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vanrzulzfZAp0ieQ4gPaRxF/8ko3uUH8AtB8CkraD/NU0G5+739V/8uE2VSYcBGAMGyaObkL8TGFgTa4/Yoaw==" saltValue="B28s0uH9rDxK1yZI1zcud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2386.6961758184002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0.43436000000000002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0.39685999999999999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1.718917778663958E-2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96933.289739999993</v>
      </c>
      <c r="C22" s="107">
        <v>96637.338749999995</v>
      </c>
      <c r="D22" s="107">
        <v>96347.932560000001</v>
      </c>
      <c r="E22" s="107">
        <v>95957.418810000003</v>
      </c>
      <c r="F22" s="107">
        <v>95445.618130000003</v>
      </c>
      <c r="G22" s="107">
        <v>94905.706950000007</v>
      </c>
      <c r="H22" s="107">
        <v>94246.119479999994</v>
      </c>
      <c r="I22" s="107">
        <v>93301.41476</v>
      </c>
      <c r="J22" s="107">
        <v>91857.557180000003</v>
      </c>
      <c r="K22" s="107">
        <v>89621.092300000004</v>
      </c>
      <c r="L22" s="107">
        <v>86160.015780000002</v>
      </c>
      <c r="M22" s="107">
        <v>81045.916119999994</v>
      </c>
      <c r="N22" s="107">
        <v>73544.375180000003</v>
      </c>
      <c r="O22" s="107">
        <v>63225.913849999997</v>
      </c>
    </row>
  </sheetData>
  <sheetProtection algorithmName="SHA-512" hashValue="4aZPUYpqQa/W5DzWqQXj2bHsHs98lH5kWQCq04mgEq8nO1zWML3Fu0X8AclyMkuHs0b2DdJBRV5q6OBeWUEEaA==" saltValue="Lo3Mk+xfCrSLi04QWRMMX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Kkwpj6I3TOv6FqPt+M2/txPzWNvDzy4ghFR4M7tZkiDaFnDaD1Ztd+WV7KFubBk+OxEi4kpJ3Ruy0RjyHivAIw==" saltValue="TUnLBxF07l4zZtwyqRC3/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1YKdh/Sv7FzecLMujyl7gXQ7K9vR9MCDuuiQ6YMjyLhKLBvSWObD0s8YG2pusmD/LKbEh1n2Brq4pbE53ffCGw==" saltValue="bdF/OPm0vtNfkANoBdE2i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1.1113E-2</v>
      </c>
      <c r="C10" s="96">
        <v>0.95</v>
      </c>
      <c r="D10" s="56">
        <v>14.332612801245681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14.332612801245681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14.332612801245681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14.332612801245681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14.332612801245681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0.74299999999999999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0.50451279999999998</v>
      </c>
      <c r="C19" s="96">
        <v>0.95</v>
      </c>
      <c r="D19" s="56">
        <v>4.0260706086583404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4.7482493984987979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0.62744799530607998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0.58558969999999999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0.2004783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0.7196437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0.1203943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1.57512E-2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0.88436999999999999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0.33004980000000012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x+piWhlbGoji7j01GePas+n422QF5iqMCcO6FtaXwL9igQsYOSmvtAUUW5Ki2CbwjQAxbqA8ggwyckLkmnMPeQ==" saltValue="LIc7bbOM3xBe/BJcguet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dy9r59RJXNGmNYPBHOwGmrXAA6EzWH4ziGjy2amy+wSkcS0KWAw3Lx8Zbet55bByXm/UDwKzew3Xqy0cLlSpw==" saltValue="kEOKNa7zPqpfYY2kFFM8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030pwObZBaWR9yf0wTwJLscPw9q+OJAUM+vtbDPQn3g3ukiwwV9AiPo6NBTFH/xKuJ9YPQk+R/rHIYi2jIjCSA==" saltValue="4VG6sD7Et2C5QXfnIbZjp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1.95</v>
      </c>
      <c r="C2" s="21">
        <f>'Entradas de población-año base'!C52</f>
        <v>1.95</v>
      </c>
      <c r="D2" s="21">
        <f>'Entradas de población-año base'!C53</f>
        <v>5.4340000000000002</v>
      </c>
      <c r="E2" s="21">
        <f>'Entradas de población-año base'!C54</f>
        <v>6.1880000000000006</v>
      </c>
      <c r="F2" s="21">
        <f>'Entradas de población-año base'!C55</f>
        <v>3.5446666666666662</v>
      </c>
    </row>
    <row r="3" spans="1:6" ht="15.75" customHeight="1" x14ac:dyDescent="0.25">
      <c r="A3" s="3" t="s">
        <v>6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236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Z5CXObQ48qSzAzp5r7jyA2pIoNLdBElU3BgToyaZS9Y69aw3N0FCqBMVhFvBvYJKFjMGA+m0gP983ANUjPtT6w==" saltValue="vxmMVHnAT1UpQmi0+fMH+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4.1659090909090896E-2</v>
      </c>
      <c r="D7" s="60">
        <f>diarrhoea_1_5mo*frac_diarrhea_severe</f>
        <v>4.1659090909090896E-2</v>
      </c>
      <c r="E7" s="60">
        <f>diarrhoea_6_11mo*frac_diarrhea_severe</f>
        <v>0.11608999999999998</v>
      </c>
      <c r="F7" s="60">
        <f>diarrhoea_12_23mo*frac_diarrhea_severe</f>
        <v>0.1321981818181818</v>
      </c>
      <c r="G7" s="60">
        <f>diarrhoea_24_59mo*frac_diarrhea_severe</f>
        <v>7.5726969696969668E-2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4.1659090909090896E-2</v>
      </c>
      <c r="D12" s="60">
        <f>diarrhoea_1_5mo*frac_diarrhea_severe</f>
        <v>4.1659090909090896E-2</v>
      </c>
      <c r="E12" s="60">
        <f>diarrhoea_6_11mo*frac_diarrhea_severe</f>
        <v>0.11608999999999998</v>
      </c>
      <c r="F12" s="60">
        <f>diarrhoea_12_23mo*frac_diarrhea_severe</f>
        <v>0.1321981818181818</v>
      </c>
      <c r="G12" s="60">
        <f>diarrhoea_24_59mo*frac_diarrhea_severe</f>
        <v>7.5726969696969668E-2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0.27079180898833899</v>
      </c>
      <c r="M24" s="60">
        <f>famplan_unmet_need</f>
        <v>0.27079180898833899</v>
      </c>
      <c r="N24" s="60">
        <f>famplan_unmet_need</f>
        <v>0.27079180898833899</v>
      </c>
      <c r="O24" s="60">
        <f>famplan_unmet_need</f>
        <v>0.27079180898833899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0.18902724361500003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8.1011675835000019E-2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4.160438055E-2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0.68835669999999993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n/tgA6FdK2WkMdfzYRCaWYcwzbXpoPZXOWlTtFUzTzkd1ZBDHQdLRAp+je2SLnNl1/hqqCrjo+cEIVh+TjVSA==" saltValue="+dGmiUeJ71BRwqhLbjiwK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XbcWW6QAhx3vErVb3+va8JdQtKMF5cYHJC+DIrJqLNQSLoBYDviH0JwlsRtN91gDnCM6GoW6EposLc1Ew5FYlg==" saltValue="GcesW3Q67JyORa74jjFzO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3uIpVay8IYJNyCYGmiU8R5lpLvqNB2B5UQ2PRsPmAWGG+rUFIyYZi2hH1zhoVIzZ47ji1Vv4eNXvhb9zRAvSgg==" saltValue="ZKZHoTCplNOs3PLPOlhVU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gtuQfhrYo0+qwoYWoztqkDWHNqjPjS/rLhuPCjZMpiUebOQcDIr3Ury9PnlEJzvd6kCSIv1XeS7NjYGy/F5kQ==" saltValue="TEMm54X3WyIBW+OFNrUZr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17LK4lxFzfSde0hdEyje6lpvFdBDY15GU8EnGBoeuYaZnwJcrbaA/17QqYfChO3z1sj5tNt2BV6suNp4qhE5CA==" saltValue="iQv+HjqF0EO/9w2h9A+L0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nDxBlWil9EPvbQMuB5Ckc8IkQbaTJpFNeMLyb8sypEhDq8rkUdYXwAaGBz7/e/P7jJ8s+l3xkQijZgXthqKZ9w==" saltValue="rI58I8b0g8s/SaL8mmzC7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lYyWwVjAMifj46aJxgbnFs+R9nrAi7bQZI0gXjxHIwwTDIP1YJbvZhe/XXtmKPpvgkXQDmIjQ26NEdKryoH4w==" saltValue="uEiyttcOia6zYjecJ7+zW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UFEGLtgRuIMCSV0Od5rHlLozhQeYo4G363QosO/WNfM/XshBWgv+LSUENUXDJBifgSyzcDsamK4+zYM81xH+Dw==" saltValue="Rc6bKu3w3ueWMArHeBx/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obOHYcfyMX3fLZ/ttADdqCeoJi0tcjFJE3yNFBqZSdXiM373mG0PddWuc2QD9guab3SFAjd24mPIPaalgTx1Rw==" saltValue="l1kc3p0OwJ6PSCzxuRM2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gcVCYR3+RL4BNnuz8Bd5cPQn34kIWIZVZZ+CFb4P+Ya78krOB9eIv8eAOH/+DPxpFwhLv3xtzs2Wu16NjQvtg==" saltValue="g3ibWJfTLHtzGKlqQYcI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/20p1J7T+wWn1mKPkBIVDCNcESA02Aagz4mzuIIc2qfY1VJz/VHL9Kvjt39VzxxhJRoQv7bhoDNkkN73z2RWw==" saltValue="k15B3BoP+f5KCDkfSw7z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4sQ7cdtkTUiUT+R6VD8mRGa7v1NdoI6juIulTnAZh7oYngLkEqdIpathiTqveLS+n2bpkNUqk0LcTwCxZ7L4AA==" saltValue="kIb8loP4u3vKde+zOuGg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nR2tfRvHHpuXfFPGxfI/WC9/n3G1qPX2RvDx+d06eGts/P7u2sk0aDd1LUjkHkEfqhRt0BFshzdD4S11yRjvA==" saltValue="qfQmmUoGzSrkfKb/zoj+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on06jQnxAKqPlSrcelm1Gjy1AXE0tsyx4AVCFWvvaKSzzh0kFz32nfUC9pV48/SzaaOQq4cDBLVgalH41L9xIw==" saltValue="8ZT0FF8PgAlMaBjHKq2d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XS/n6FeIOBfK8eOxINEs/Hu7salKob1m1BOF2ctGEN17PDPRcBxW9BebD0RsSWf/tSSAWQFyAHk6AxCE2Ox5g==" saltValue="4PiCRSp60fBR8+cWZM3RW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2025-07-30T01:08:55Z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