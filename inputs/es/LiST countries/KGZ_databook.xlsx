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es\LiST countries\"/>
    </mc:Choice>
  </mc:AlternateContent>
  <xr:revisionPtr revIDLastSave="0" documentId="8_{E00DE51C-C516-48E2-AAC9-34DD7E01E7D8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G116" i="27"/>
  <c r="E116" i="27"/>
  <c r="D116" i="27"/>
  <c r="H101" i="27"/>
  <c r="H158" i="27" s="1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F59" i="27"/>
  <c r="F116" i="27" s="1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I38" i="2" s="1"/>
  <c r="H13" i="2"/>
  <c r="G13" i="2"/>
  <c r="H12" i="2"/>
  <c r="G12" i="2"/>
  <c r="H11" i="2"/>
  <c r="G11" i="2"/>
  <c r="I11" i="2" s="1"/>
  <c r="H10" i="2"/>
  <c r="G10" i="2"/>
  <c r="H9" i="2"/>
  <c r="G9" i="2"/>
  <c r="H8" i="2"/>
  <c r="G8" i="2"/>
  <c r="I8" i="2" s="1"/>
  <c r="H7" i="2"/>
  <c r="G7" i="2"/>
  <c r="H6" i="2"/>
  <c r="G6" i="2"/>
  <c r="I6" i="2" s="1"/>
  <c r="H5" i="2"/>
  <c r="G5" i="2"/>
  <c r="H4" i="2"/>
  <c r="G4" i="2"/>
  <c r="H3" i="2"/>
  <c r="G3" i="2"/>
  <c r="H2" i="2"/>
  <c r="G2" i="2"/>
  <c r="A2" i="2"/>
  <c r="A39" i="2" s="1"/>
  <c r="C33" i="1"/>
  <c r="C20" i="1"/>
  <c r="I12" i="2" l="1"/>
  <c r="A35" i="2"/>
  <c r="I7" i="2"/>
  <c r="I13" i="2"/>
  <c r="A37" i="2"/>
  <c r="A19" i="2"/>
  <c r="I3" i="2"/>
  <c r="I9" i="2"/>
  <c r="A23" i="2"/>
  <c r="A24" i="2"/>
  <c r="I4" i="2"/>
  <c r="A25" i="2"/>
  <c r="I2" i="2"/>
  <c r="A26" i="2"/>
  <c r="A40" i="2"/>
  <c r="A31" i="2"/>
  <c r="A36" i="2"/>
  <c r="A22" i="2"/>
  <c r="A34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<sst xmlns="http://schemas.openxmlformats.org/spreadsheetml/2006/main" count="2169" uniqueCount="373">
  <si>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</si>
  <si>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</si>
  <si>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</si>
  <si>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</si>
  <si>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</si>
  <si>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</si>
  <si>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</si>
  <si>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</si>
  <si>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</si>
  <si>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</si>
  <si>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</si>
  <si>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</si>
  <si>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</si>
  <si>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</si>
  <si>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</si>
  <si>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</si>
  <si>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</si>
  <si>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</si>
  <si>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</si>
  <si>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</si>
  <si>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</si>
  <si>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</si>
  <si>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</si>
  <si>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</si>
  <si>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</si>
  <si>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</si>
  <si>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</si>
  <si>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</si>
  <si>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</si>
  <si>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</si>
  <si>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</si>
  <si>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</si>
  <si>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</si>
  <si>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</si>
  <si>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</si>
  <si>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</si>
  <si>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</si>
  <si>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</si>
  <si>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</si>
  <si>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</si>
  <si>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</si>
  <si>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</si>
  <si>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</si>
  <si>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</si>
  <si>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</si>
  <si>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</si>
  <si>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</si>
  <si>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</si>
  <si>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</si>
  <si>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</si>
  <si>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</si>
  <si>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</si>
  <si>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</si>
  <si>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</si>
  <si>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</si>
  <si>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</si>
  <si>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</si>
  <si>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</si>
  <si>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</si>
  <si>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</si>
  <si>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</si>
  <si>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</si>
  <si>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</si>
  <si>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</si>
  <si>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</si>
  <si>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</si>
  <si>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</si>
  <si>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</si>
  <si>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</si>
  <si>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</si>
  <si>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</si>
  <si>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</si>
  <si>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</si>
  <si>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</si>
  <si>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</si>
  <si>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</si>
  <si>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</si>
  <si>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</si>
  <si>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</si>
  <si>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</si>
  <si>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</si>
  <si>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</si>
  <si>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</si>
  <si>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</si>
  <si>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</si>
  <si>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</si>
  <si>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</si>
  <si>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</si>
  <si>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</si>
  <si>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</si>
  <si>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</si>
  <si>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</si>
  <si>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</si>
  <si>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</si>
  <si>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</si>
  <si>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</si>
  <si>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</si>
  <si>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</si>
  <si>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</si>
  <si>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</si>
  <si>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</si>
  <si>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</si>
  <si>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</si>
  <si>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</si>
  <si>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</si>
  <si>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</si>
  <si>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</si>
  <si>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</si>
  <si>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</si>
  <si>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</si>
  <si>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</si>
  <si>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</si>
  <si>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</si>
  <si>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</si>
  <si>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</si>
  <si>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</si>
  <si>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</si>
  <si>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</si>
  <si>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</si>
  <si>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</si>
  <si>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</si>
  <si>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</si>
  <si>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</si>
  <si>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</si>
  <si>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</si>
  <si>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</si>
  <si>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</si>
  <si>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</si>
  <si>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</si>
  <si>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</si>
  <si>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</si>
  <si>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</si>
  <si>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</si>
  <si>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</si>
  <si>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</si>
  <si>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</si>
  <si>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</si>
  <si>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</si>
  <si>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</si>
  <si>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</si>
  <si>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</si>
  <si>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</si>
  <si>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</si>
  <si>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</si>
  <si>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</si>
  <si>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</si>
  <si>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</si>
  <si>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</si>
  <si>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</si>
  <si>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</si>
  <si>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</si>
  <si>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</si>
  <si>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</si>
  <si>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</si>
  <si>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</si>
  <si>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</si>
  <si>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</si>
  <si>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</si>
  <si>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</si>
  <si>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</si>
  <si>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</si>
  <si>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</si>
  <si>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</si>
  <si>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</si>
  <si>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</si>
  <si>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</si>
  <si>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</si>
  <si>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</si>
  <si>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</si>
  <si>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</si>
  <si>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</si>
  <si>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</si>
  <si>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</si>
  <si>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</si>
  <si>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</si>
  <si>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</si>
  <si>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</si>
  <si>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</si>
  <si>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</si>
  <si>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</si>
  <si>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</si>
  <si>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</si>
  <si>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</si>
  <si>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</si>
  <si>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</si>
  <si>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</si>
  <si>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</si>
  <si>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</si>
  <si>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</si>
  <si>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</si>
  <si>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</si>
  <si>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</si>
  <si>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</si>
  <si>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</si>
  <si>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</si>
  <si>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</si>
  <si>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</si>
  <si>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</si>
  <si>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</si>
  <si>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</si>
  <si>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</si>
  <si>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</si>
  <si>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</si>
  <si>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</si>
  <si>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</si>
  <si>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</si>
  <si>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</si>
  <si>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</si>
  <si>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</si>
  <si>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</si>
  <si>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</si>
  <si>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</si>
  <si>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</si>
  <si>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</si>
  <si>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</si>
  <si>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</si>
  <si>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</si>
  <si>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</si>
  <si>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</si>
  <si>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</si>
  <si>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</si>
  <si>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</si>
  <si>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</si>
  <si>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</si>
  <si>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</si>
  <si>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</si>
  <si>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</si>
  <si>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</si>
  <si>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</si>
  <si>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</si>
  <si>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</si>
  <si>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</si>
  <si>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</si>
  <si>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</si>
  <si>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</si>
  <si>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</si>
  <si>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</si>
  <si>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</si>
  <si>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</si>
  <si>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</si>
  <si>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</si>
  <si>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</si>
  <si>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</si>
  <si>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</si>
  <si>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</si>
  <si>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</si>
  <si>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</si>
  <si>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</si>
  <si>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</si>
  <si>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</si>
  <si>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</si>
  <si>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</si>
  <si>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</si>
  <si>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</si>
  <si>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</si>
  <si>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</si>
  <si>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</si>
  <si>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</si>
  <si>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</si>
  <si>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</si>
  <si>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</si>
  <si>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</si>
  <si>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</si>
  <si>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</si>
  <si>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</si>
  <si>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</si>
  <si>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</si>
  <si>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</si>
  <si>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</si>
  <si>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</si>
  <si>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</si>
  <si>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</si>
  <si>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</si>
  <si>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</si>
  <si>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</si>
  <si>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</si>
  <si>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</si>
  <si>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</si>
  <si>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</si>
  <si>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</si>
  <si>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</si>
  <si>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</si>
  <si>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</si>
  <si>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</si>
  <si>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</si>
  <si>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</si>
  <si>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</si>
  <si>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</si>
  <si>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</si>
  <si>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</si>
  <si>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</si>
  <si>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</si>
  <si>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</si>
  <si>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</si>
  <si>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</si>
  <si>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</si>
  <si>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</si>
  <si>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</si>
  <si>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</si>
  <si>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</si>
  <si>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</si>
  <si>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</si>
  <si>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</si>
  <si>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</si>
  <si>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</si>
  <si>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</si>
  <si>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</si>
  <si>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</si>
  <si>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</si>
  <si>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</si>
  <si>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</si>
  <si>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</si>
  <si>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</si>
  <si>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</si>
  <si>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</si>
  <si>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</si>
  <si>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</si>
  <si>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</si>
  <si>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</si>
  <si>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</si>
  <si>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</si>
  <si>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</si>
  <si>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</si>
  <si>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</si>
  <si>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</si>
  <si>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</si>
  <si>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</si>
  <si>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</si>
  <si>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</si>
  <si>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</si>
  <si>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</si>
  <si>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</si>
  <si>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</si>
  <si>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</si>
  <si>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</si>
  <si>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</si>
  <si>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</si>
  <si>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</si>
  <si>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</si>
  <si>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</si>
  <si>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</si>
  <si>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</si>
  <si>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</si>
  <si>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</si>
  <si>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</si>
  <si>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</si>
  <si>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</si>
  <si>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</si>
  <si>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</si>
  <si>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</si>
  <si>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</si>
  <si>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</si>
  <si>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</si>
  <si>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</si>
  <si>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</si>
  <si>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</si>
  <si>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</si>
  <si>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</si>
  <si>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</si>
  <si>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</si>
  <si>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</si>
  <si>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</si>
  <si>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</si>
  <si>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</si>
  <si>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</si>
  <si>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</si>
  <si>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</si>
  <si>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</si>
  <si>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</si>
  <si>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</si>
  <si>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</si>
  <si>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</si>
  <si>
    <t>Todas las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</si>
</sst>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751867.5</v>
      </c>
    </row>
    <row r="8" spans="1:3" ht="15" customHeight="1" x14ac:dyDescent="0.25">
      <c r="B8" s="5" t="s">
        <v>63</v>
      </c>
      <c r="C8" s="44">
        <v>9.0000000000000011E-3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0.8706096649169921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0.379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9.9700000000000011E-2</v>
      </c>
    </row>
    <row r="24" spans="1:3" ht="15" customHeight="1" x14ac:dyDescent="0.25">
      <c r="B24" s="15" t="s">
        <v>65</v>
      </c>
      <c r="C24" s="45">
        <v>0.55500000000000005</v>
      </c>
    </row>
    <row r="25" spans="1:3" ht="15" customHeight="1" x14ac:dyDescent="0.25">
      <c r="B25" s="15" t="s">
        <v>66</v>
      </c>
      <c r="C25" s="45">
        <v>0.30480000000000002</v>
      </c>
    </row>
    <row r="26" spans="1:3" ht="15" customHeight="1" x14ac:dyDescent="0.25">
      <c r="B26" s="15" t="s">
        <v>67</v>
      </c>
      <c r="C26" s="45">
        <v>4.0500000000000001E-2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0.33982819653213803</v>
      </c>
    </row>
    <row r="30" spans="1:3" ht="14.25" customHeight="1" x14ac:dyDescent="0.25">
      <c r="B30" s="25" t="s">
        <v>82</v>
      </c>
      <c r="C30" s="97">
        <v>6.2561187920877309E-2</v>
      </c>
    </row>
    <row r="31" spans="1:3" ht="14.25" customHeight="1" x14ac:dyDescent="0.25">
      <c r="B31" s="25" t="s">
        <v>29</v>
      </c>
      <c r="C31" s="97">
        <v>0.10830365564404</v>
      </c>
    </row>
    <row r="32" spans="1:3" ht="14.25" customHeight="1" x14ac:dyDescent="0.25">
      <c r="B32" s="25" t="s">
        <v>30</v>
      </c>
      <c r="C32" s="97">
        <v>0.48930695990294498</v>
      </c>
    </row>
    <row r="33" spans="1:5" ht="13.25" customHeight="1" x14ac:dyDescent="0.25">
      <c r="B33" s="27" t="s">
        <v>79</v>
      </c>
      <c r="C33" s="48">
        <f>SUM(C29:C32)</f>
        <v>1.0000000000000002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11.92366</v>
      </c>
    </row>
    <row r="38" spans="1:5" ht="15" customHeight="1" x14ac:dyDescent="0.25">
      <c r="B38" s="11" t="s">
        <v>54</v>
      </c>
      <c r="C38" s="43">
        <v>15.550739999999999</v>
      </c>
      <c r="D38" s="12"/>
      <c r="E38" s="13"/>
    </row>
    <row r="39" spans="1:5" ht="15" customHeight="1" x14ac:dyDescent="0.25">
      <c r="B39" s="11" t="s">
        <v>80</v>
      </c>
      <c r="C39" s="43">
        <v>17.399979999999999</v>
      </c>
      <c r="D39" s="12"/>
      <c r="E39" s="12"/>
    </row>
    <row r="40" spans="1:5" ht="15" customHeight="1" x14ac:dyDescent="0.25">
      <c r="B40" s="11" t="s">
        <v>55</v>
      </c>
      <c r="C40" s="98">
        <v>0.5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6.4134599999999997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5.9365999999999993E-3</v>
      </c>
      <c r="D45" s="12"/>
    </row>
    <row r="46" spans="1:5" ht="15.75" customHeight="1" x14ac:dyDescent="0.25">
      <c r="B46" s="11" t="s">
        <v>70</v>
      </c>
      <c r="C46" s="45">
        <v>6.3787999999999997E-2</v>
      </c>
      <c r="D46" s="12"/>
    </row>
    <row r="47" spans="1:5" ht="15.75" customHeight="1" x14ac:dyDescent="0.25">
      <c r="B47" s="11" t="s">
        <v>78</v>
      </c>
      <c r="C47" s="45">
        <v>7.5355800000000001E-2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98">
        <v>2.8</v>
      </c>
      <c r="D51" s="12"/>
    </row>
    <row r="52" spans="1:4" ht="15" customHeight="1" x14ac:dyDescent="0.25">
      <c r="B52" s="11" t="s">
        <v>32</v>
      </c>
      <c r="C52" s="98">
        <v>2.8</v>
      </c>
    </row>
    <row r="53" spans="1:4" ht="15.75" customHeight="1" x14ac:dyDescent="0.25">
      <c r="B53" s="11" t="s">
        <v>35</v>
      </c>
      <c r="C53" s="98">
        <v>2.8</v>
      </c>
    </row>
    <row r="54" spans="1:4" ht="15.75" customHeight="1" x14ac:dyDescent="0.25">
      <c r="B54" s="11" t="s">
        <v>33</v>
      </c>
      <c r="C54" s="98">
        <v>2.8</v>
      </c>
    </row>
    <row r="55" spans="1:4" ht="15.75" customHeight="1" x14ac:dyDescent="0.25">
      <c r="B55" s="11" t="s">
        <v>34</v>
      </c>
      <c r="C55" s="98">
        <v>2.8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1.6428571428571431E-2</v>
      </c>
    </row>
    <row r="59" spans="1:4" ht="15.75" customHeight="1" x14ac:dyDescent="0.25">
      <c r="B59" s="11" t="s">
        <v>59</v>
      </c>
      <c r="C59" s="45">
        <v>0.58899100000000004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5.5305958000000002E-2</v>
      </c>
    </row>
    <row r="63" spans="1:4" ht="15.75" customHeight="1" x14ac:dyDescent="0.3">
      <c r="A63" s="4"/>
    </row>
  </sheetData>
  <sheetProtection algorithmName="SHA-512" hashValue="3rLADDrxwZHXyBo+/jwM59voW0sulri9oACm5OIwYitiSjK74dGdX0xtmSPw3xTMnzQrstCmWTP6VFoITP8oVw==" saltValue="IMU9lch2e/4U1baJprisg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150335</v>
      </c>
      <c r="C2" s="49">
        <v>296027</v>
      </c>
      <c r="D2" s="49">
        <v>540735.5</v>
      </c>
      <c r="E2" s="49">
        <v>545356</v>
      </c>
      <c r="F2" s="49">
        <v>402690.5</v>
      </c>
      <c r="G2" s="17">
        <f t="shared" ref="G2:G13" si="0">C2+D2+E2+F2</f>
        <v>1784809</v>
      </c>
      <c r="H2" s="17">
        <f t="shared" ref="H2:H13" si="1">(B2 + stillbirth*B2/(1000-stillbirth))/(1-abortion)</f>
        <v>171937.94440162936</v>
      </c>
      <c r="I2" s="17">
        <f t="shared" ref="I2:I13" si="2">G2-H2</f>
        <v>1612871.0555983707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149483</v>
      </c>
      <c r="C3" s="50">
        <v>310987.5</v>
      </c>
      <c r="D3" s="50">
        <v>538145.5</v>
      </c>
      <c r="E3" s="50">
        <v>553833.00000000012</v>
      </c>
      <c r="F3" s="50">
        <v>414979.00000000006</v>
      </c>
      <c r="G3" s="17">
        <f t="shared" si="0"/>
        <v>1817945</v>
      </c>
      <c r="H3" s="17">
        <f t="shared" si="1"/>
        <v>170963.51310731872</v>
      </c>
      <c r="I3" s="17">
        <f t="shared" si="2"/>
        <v>1646981.4868926813</v>
      </c>
    </row>
    <row r="4" spans="1:9" ht="15.75" customHeight="1" x14ac:dyDescent="0.25">
      <c r="A4" s="5">
        <f t="shared" si="3"/>
        <v>2026</v>
      </c>
      <c r="B4" s="49">
        <v>148668</v>
      </c>
      <c r="C4" s="50">
        <v>327039.5</v>
      </c>
      <c r="D4" s="50">
        <v>536492.99999999988</v>
      </c>
      <c r="E4" s="50">
        <v>559402</v>
      </c>
      <c r="F4" s="50">
        <v>428397.50000000006</v>
      </c>
      <c r="G4" s="17">
        <f t="shared" si="0"/>
        <v>1851332</v>
      </c>
      <c r="H4" s="17">
        <f t="shared" si="1"/>
        <v>170031.39866499108</v>
      </c>
      <c r="I4" s="17">
        <f t="shared" si="2"/>
        <v>1681300.6013350089</v>
      </c>
    </row>
    <row r="5" spans="1:9" ht="15.75" customHeight="1" x14ac:dyDescent="0.25">
      <c r="A5" s="5">
        <f t="shared" si="3"/>
        <v>2027</v>
      </c>
      <c r="B5" s="49">
        <v>148267</v>
      </c>
      <c r="C5" s="50">
        <v>340812.5</v>
      </c>
      <c r="D5" s="50">
        <v>539191</v>
      </c>
      <c r="E5" s="50">
        <v>561262.99999999988</v>
      </c>
      <c r="F5" s="50">
        <v>442918</v>
      </c>
      <c r="G5" s="17">
        <f t="shared" si="0"/>
        <v>1884184.5</v>
      </c>
      <c r="H5" s="17">
        <f t="shared" si="1"/>
        <v>169572.77548539182</v>
      </c>
      <c r="I5" s="17">
        <f t="shared" si="2"/>
        <v>1714611.7245146083</v>
      </c>
    </row>
    <row r="6" spans="1:9" ht="15.75" customHeight="1" x14ac:dyDescent="0.25">
      <c r="A6" s="5">
        <f t="shared" si="3"/>
        <v>2028</v>
      </c>
      <c r="B6" s="49">
        <v>148207</v>
      </c>
      <c r="C6" s="50">
        <v>351986</v>
      </c>
      <c r="D6" s="50">
        <v>546937</v>
      </c>
      <c r="E6" s="50">
        <v>560208</v>
      </c>
      <c r="F6" s="50">
        <v>458320</v>
      </c>
      <c r="G6" s="17">
        <f t="shared" si="0"/>
        <v>1917451</v>
      </c>
      <c r="H6" s="17">
        <f t="shared" si="1"/>
        <v>169504.15356325728</v>
      </c>
      <c r="I6" s="17">
        <f t="shared" si="2"/>
        <v>1747946.8464367427</v>
      </c>
    </row>
    <row r="7" spans="1:9" ht="15.75" customHeight="1" x14ac:dyDescent="0.25">
      <c r="A7" s="5">
        <f t="shared" si="3"/>
        <v>2029</v>
      </c>
      <c r="B7" s="49">
        <v>148645</v>
      </c>
      <c r="C7" s="50">
        <v>361269.5</v>
      </c>
      <c r="D7" s="50">
        <v>558527</v>
      </c>
      <c r="E7" s="50">
        <v>557851.5</v>
      </c>
      <c r="F7" s="50">
        <v>473937.5</v>
      </c>
      <c r="G7" s="17">
        <f t="shared" si="0"/>
        <v>1951585.5</v>
      </c>
      <c r="H7" s="17">
        <f t="shared" si="1"/>
        <v>170005.09359483948</v>
      </c>
      <c r="I7" s="17">
        <f t="shared" si="2"/>
        <v>1781580.4064051604</v>
      </c>
    </row>
    <row r="8" spans="1:9" ht="15.75" customHeight="1" x14ac:dyDescent="0.25">
      <c r="A8" s="5">
        <f t="shared" si="3"/>
        <v>2030</v>
      </c>
      <c r="B8" s="49">
        <v>149392</v>
      </c>
      <c r="C8" s="50">
        <v>368658</v>
      </c>
      <c r="D8" s="50">
        <v>573977.5</v>
      </c>
      <c r="E8" s="50">
        <v>554585</v>
      </c>
      <c r="F8" s="50">
        <v>489184.5</v>
      </c>
      <c r="G8" s="17">
        <f t="shared" si="0"/>
        <v>1986405</v>
      </c>
      <c r="H8" s="17">
        <f t="shared" si="1"/>
        <v>170859.43652541464</v>
      </c>
      <c r="I8" s="17">
        <f t="shared" si="2"/>
        <v>1815545.5634745853</v>
      </c>
    </row>
    <row r="9" spans="1:9" ht="15.75" customHeight="1" x14ac:dyDescent="0.25">
      <c r="A9" s="5">
        <f t="shared" si="3"/>
        <v>2031</v>
      </c>
      <c r="B9" s="49">
        <v>150421</v>
      </c>
      <c r="C9" s="50">
        <v>374676.5</v>
      </c>
      <c r="D9" s="50">
        <v>591496.00000000012</v>
      </c>
      <c r="E9" s="50">
        <v>550661.49999999988</v>
      </c>
      <c r="F9" s="50">
        <v>503435</v>
      </c>
      <c r="G9" s="17">
        <f t="shared" si="0"/>
        <v>2020269</v>
      </c>
      <c r="H9" s="17">
        <f t="shared" si="1"/>
        <v>172036.30249002218</v>
      </c>
      <c r="I9" s="17">
        <f t="shared" si="2"/>
        <v>1848232.6975099777</v>
      </c>
    </row>
    <row r="10" spans="1:9" ht="15.75" customHeight="1" x14ac:dyDescent="0.25">
      <c r="A10" s="5">
        <f t="shared" si="3"/>
        <v>2032</v>
      </c>
      <c r="B10" s="49">
        <v>151395</v>
      </c>
      <c r="C10" s="50">
        <v>380137</v>
      </c>
      <c r="D10" s="50">
        <v>609725</v>
      </c>
      <c r="E10" s="50">
        <v>546171</v>
      </c>
      <c r="F10" s="50">
        <v>516621.49999999994</v>
      </c>
      <c r="G10" s="17">
        <f t="shared" si="0"/>
        <v>2052654.5</v>
      </c>
      <c r="H10" s="17">
        <f t="shared" si="1"/>
        <v>173150.26502600641</v>
      </c>
      <c r="I10" s="17">
        <f t="shared" si="2"/>
        <v>1879504.2349739936</v>
      </c>
    </row>
    <row r="11" spans="1:9" ht="15.75" customHeight="1" x14ac:dyDescent="0.25">
      <c r="A11" s="5">
        <f t="shared" si="3"/>
        <v>2033</v>
      </c>
      <c r="B11" s="49">
        <v>152829</v>
      </c>
      <c r="C11" s="50">
        <v>386706</v>
      </c>
      <c r="D11" s="50">
        <v>628415</v>
      </c>
      <c r="E11" s="50">
        <v>542123.49999999988</v>
      </c>
      <c r="F11" s="50">
        <v>528350</v>
      </c>
      <c r="G11" s="17">
        <f t="shared" si="0"/>
        <v>2085594.5</v>
      </c>
      <c r="H11" s="17">
        <f t="shared" si="1"/>
        <v>174790.3289650222</v>
      </c>
      <c r="I11" s="17">
        <f t="shared" si="2"/>
        <v>1910804.1710349778</v>
      </c>
    </row>
    <row r="12" spans="1:9" ht="15.75" customHeight="1" x14ac:dyDescent="0.25">
      <c r="A12" s="5">
        <f t="shared" si="3"/>
        <v>2034</v>
      </c>
      <c r="B12" s="49">
        <v>154449</v>
      </c>
      <c r="C12" s="50">
        <v>393270.5</v>
      </c>
      <c r="D12" s="50">
        <v>648161</v>
      </c>
      <c r="E12" s="50">
        <v>538556.5</v>
      </c>
      <c r="F12" s="50">
        <v>538239.49999999988</v>
      </c>
      <c r="G12" s="17">
        <f t="shared" si="0"/>
        <v>2118227.5</v>
      </c>
      <c r="H12" s="17">
        <f t="shared" si="1"/>
        <v>176643.12086265508</v>
      </c>
      <c r="I12" s="17">
        <f t="shared" si="2"/>
        <v>1941584.3791373449</v>
      </c>
    </row>
    <row r="13" spans="1:9" ht="15.75" customHeight="1" x14ac:dyDescent="0.25">
      <c r="A13" s="5">
        <f t="shared" si="3"/>
        <v>2035</v>
      </c>
      <c r="B13" s="49">
        <v>155850</v>
      </c>
      <c r="C13" s="50">
        <v>395648.5</v>
      </c>
      <c r="D13" s="50">
        <v>669603.00000000012</v>
      </c>
      <c r="E13" s="50">
        <v>534877.99999999988</v>
      </c>
      <c r="F13" s="50">
        <v>546140</v>
      </c>
      <c r="G13" s="17">
        <f t="shared" si="0"/>
        <v>2146269.5</v>
      </c>
      <c r="H13" s="17">
        <f t="shared" si="1"/>
        <v>178245.44274449683</v>
      </c>
      <c r="I13" s="17">
        <f t="shared" si="2"/>
        <v>1968024.0572555033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83jRCV8ENdeUJXV09iJjWunVMVe7h/2M0z/Js/mbsCxO1rvV7mRaC1zZDJjsWilBEeZY9B9aQ8VjgErdIHo1RQ==" saltValue="jNexjeqHWTCOOcKQGBc34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1.5407999999999991E-3</v>
      </c>
    </row>
    <row r="4" spans="1:8" ht="15.75" customHeight="1" x14ac:dyDescent="0.25">
      <c r="B4" s="19" t="s">
        <v>116</v>
      </c>
      <c r="C4" s="99">
        <v>5.5218899999999987E-2</v>
      </c>
    </row>
    <row r="5" spans="1:8" ht="15.75" customHeight="1" x14ac:dyDescent="0.25">
      <c r="B5" s="19" t="s">
        <v>114</v>
      </c>
      <c r="C5" s="99">
        <v>4.9336599999999987E-2</v>
      </c>
    </row>
    <row r="6" spans="1:8" ht="15.75" customHeight="1" x14ac:dyDescent="0.25">
      <c r="B6" s="19" t="s">
        <v>110</v>
      </c>
      <c r="C6" s="99">
        <v>0.19651040000000031</v>
      </c>
    </row>
    <row r="7" spans="1:8" ht="15.75" customHeight="1" x14ac:dyDescent="0.25">
      <c r="B7" s="19" t="s">
        <v>115</v>
      </c>
      <c r="C7" s="99">
        <v>0.41559819999999958</v>
      </c>
    </row>
    <row r="8" spans="1:8" ht="15.75" customHeight="1" x14ac:dyDescent="0.25">
      <c r="B8" s="19" t="s">
        <v>117</v>
      </c>
      <c r="C8" s="99">
        <v>1.9750000000000041E-4</v>
      </c>
    </row>
    <row r="9" spans="1:8" ht="15.75" customHeight="1" x14ac:dyDescent="0.25">
      <c r="B9" s="19" t="s">
        <v>111</v>
      </c>
      <c r="C9" s="99">
        <v>0.19013440000000001</v>
      </c>
    </row>
    <row r="10" spans="1:8" ht="15.75" customHeight="1" x14ac:dyDescent="0.25">
      <c r="B10" s="19" t="s">
        <v>113</v>
      </c>
      <c r="C10" s="99">
        <v>9.1463199999999953E-2</v>
      </c>
    </row>
    <row r="11" spans="1:8" ht="15.75" customHeight="1" x14ac:dyDescent="0.25">
      <c r="B11" s="27" t="s">
        <v>79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0" t="s">
        <v>93</v>
      </c>
      <c r="D13" s="100" t="s">
        <v>96</v>
      </c>
      <c r="E13" s="100" t="s">
        <v>94</v>
      </c>
      <c r="F13" s="100" t="s">
        <v>95</v>
      </c>
      <c r="G13" s="19"/>
    </row>
    <row r="14" spans="1:8" ht="15.75" customHeight="1" x14ac:dyDescent="0.25">
      <c r="B14" s="19" t="s">
        <v>103</v>
      </c>
      <c r="C14" s="55">
        <v>0.11521433516938739</v>
      </c>
      <c r="D14" s="55">
        <v>0.11521433516938739</v>
      </c>
      <c r="E14" s="55">
        <v>0.11521433516938739</v>
      </c>
      <c r="F14" s="55">
        <v>0.11521433516938739</v>
      </c>
    </row>
    <row r="15" spans="1:8" ht="15.75" customHeight="1" x14ac:dyDescent="0.25">
      <c r="B15" s="19" t="s">
        <v>121</v>
      </c>
      <c r="C15" s="99">
        <v>0.54966072134015409</v>
      </c>
      <c r="D15" s="99">
        <v>0.54966072134015409</v>
      </c>
      <c r="E15" s="99">
        <v>0.54966072134015409</v>
      </c>
      <c r="F15" s="99">
        <v>0.54966072134015409</v>
      </c>
    </row>
    <row r="16" spans="1:8" ht="15.75" customHeight="1" x14ac:dyDescent="0.25">
      <c r="B16" s="19" t="s">
        <v>2</v>
      </c>
      <c r="C16" s="99">
        <v>4.0830961878845301E-2</v>
      </c>
      <c r="D16" s="99">
        <v>4.0830961878845301E-2</v>
      </c>
      <c r="E16" s="99">
        <v>4.0830961878845301E-2</v>
      </c>
      <c r="F16" s="99">
        <v>4.0830961878845301E-2</v>
      </c>
    </row>
    <row r="17" spans="1:8" ht="15.75" customHeight="1" x14ac:dyDescent="0.25">
      <c r="B17" s="19" t="s">
        <v>109</v>
      </c>
      <c r="C17" s="99">
        <v>1.353392173711137E-3</v>
      </c>
      <c r="D17" s="99">
        <v>1.353392173711137E-3</v>
      </c>
      <c r="E17" s="99">
        <v>1.353392173711137E-3</v>
      </c>
      <c r="F17" s="99">
        <v>1.353392173711137E-3</v>
      </c>
    </row>
    <row r="18" spans="1:8" ht="15.75" customHeight="1" x14ac:dyDescent="0.25">
      <c r="B18" s="19" t="s">
        <v>3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120</v>
      </c>
      <c r="C19" s="99">
        <v>6.0295701086369472E-3</v>
      </c>
      <c r="D19" s="99">
        <v>6.0295701086369472E-3</v>
      </c>
      <c r="E19" s="99">
        <v>6.0295701086369472E-3</v>
      </c>
      <c r="F19" s="99">
        <v>6.0295701086369472E-3</v>
      </c>
    </row>
    <row r="20" spans="1:8" ht="15.75" customHeight="1" x14ac:dyDescent="0.25">
      <c r="B20" s="19" t="s">
        <v>98</v>
      </c>
      <c r="C20" s="99">
        <v>2.2324405642405711E-2</v>
      </c>
      <c r="D20" s="99">
        <v>2.2324405642405711E-2</v>
      </c>
      <c r="E20" s="99">
        <v>2.2324405642405711E-2</v>
      </c>
      <c r="F20" s="99">
        <v>2.2324405642405711E-2</v>
      </c>
    </row>
    <row r="21" spans="1:8" ht="15.75" customHeight="1" x14ac:dyDescent="0.25">
      <c r="B21" s="19" t="s">
        <v>107</v>
      </c>
      <c r="C21" s="99">
        <v>0.2122611559734788</v>
      </c>
      <c r="D21" s="99">
        <v>0.2122611559734788</v>
      </c>
      <c r="E21" s="99">
        <v>0.2122611559734788</v>
      </c>
      <c r="F21" s="99">
        <v>0.2122611559734788</v>
      </c>
    </row>
    <row r="22" spans="1:8" ht="15.75" customHeight="1" x14ac:dyDescent="0.25">
      <c r="B22" s="19" t="s">
        <v>118</v>
      </c>
      <c r="C22" s="99">
        <v>5.2325457713380492E-2</v>
      </c>
      <c r="D22" s="99">
        <v>5.2325457713380492E-2</v>
      </c>
      <c r="E22" s="99">
        <v>5.2325457713380492E-2</v>
      </c>
      <c r="F22" s="99">
        <v>5.2325457713380492E-2</v>
      </c>
    </row>
    <row r="23" spans="1:8" ht="15.75" customHeight="1" x14ac:dyDescent="0.25">
      <c r="B23" s="27" t="s">
        <v>79</v>
      </c>
      <c r="C23" s="48">
        <f>SUM(C14:C22)</f>
        <v>0.99999999999999978</v>
      </c>
      <c r="D23" s="48">
        <f>SUM(D14:D22)</f>
        <v>0.99999999999999978</v>
      </c>
      <c r="E23" s="48">
        <f>SUM(E14:E22)</f>
        <v>0.99999999999999978</v>
      </c>
      <c r="F23" s="48">
        <f>SUM(F14:F22)</f>
        <v>0.99999999999999978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8.6989028999999995E-2</v>
      </c>
    </row>
    <row r="27" spans="1:8" ht="15.75" customHeight="1" x14ac:dyDescent="0.25">
      <c r="B27" s="19" t="s">
        <v>108</v>
      </c>
      <c r="C27" s="99">
        <v>5.4674084999999983E-2</v>
      </c>
    </row>
    <row r="28" spans="1:8" ht="15.75" customHeight="1" x14ac:dyDescent="0.25">
      <c r="B28" s="19" t="s">
        <v>122</v>
      </c>
      <c r="C28" s="99">
        <v>7.8007822000000004E-2</v>
      </c>
    </row>
    <row r="29" spans="1:8" ht="15.75" customHeight="1" x14ac:dyDescent="0.25">
      <c r="B29" s="19" t="s">
        <v>105</v>
      </c>
      <c r="C29" s="99">
        <v>0.25304623700000001</v>
      </c>
    </row>
    <row r="30" spans="1:8" ht="15.75" customHeight="1" x14ac:dyDescent="0.25">
      <c r="B30" s="19" t="s">
        <v>4</v>
      </c>
      <c r="C30" s="99">
        <v>6.4168437999999994E-2</v>
      </c>
    </row>
    <row r="31" spans="1:8" ht="15.75" customHeight="1" x14ac:dyDescent="0.25">
      <c r="B31" s="19" t="s">
        <v>99</v>
      </c>
      <c r="C31" s="99">
        <v>3.8459681000000003E-2</v>
      </c>
    </row>
    <row r="32" spans="1:8" ht="15.75" customHeight="1" x14ac:dyDescent="0.25">
      <c r="B32" s="19" t="s">
        <v>104</v>
      </c>
      <c r="C32" s="99">
        <v>7.8795084000000001E-2</v>
      </c>
    </row>
    <row r="33" spans="2:3" ht="15.75" customHeight="1" x14ac:dyDescent="0.25">
      <c r="B33" s="19" t="s">
        <v>119</v>
      </c>
      <c r="C33" s="99">
        <v>6.8855599000000017E-2</v>
      </c>
    </row>
    <row r="34" spans="2:3" ht="15.75" customHeight="1" x14ac:dyDescent="0.25">
      <c r="B34" s="19" t="s">
        <v>106</v>
      </c>
      <c r="C34" s="99">
        <v>0.27700402600000001</v>
      </c>
    </row>
    <row r="35" spans="2:3" ht="15.75" customHeight="1" x14ac:dyDescent="0.25">
      <c r="B35" s="27" t="s">
        <v>79</v>
      </c>
      <c r="C35" s="48">
        <f>SUM(C26:C34)</f>
        <v>1.0000000010000001</v>
      </c>
    </row>
  </sheetData>
  <sheetProtection algorithmName="SHA-512" hashValue="hhkWlqPExqc1UfZmh6fdcmB2aVlRMZ/EpBld9jxtQh/myEPvk7pUjO4s7yeIC+BF3YyK8r4cMCPxRn2CvkheLw==" saltValue="q69/6pOMe+E8rQn3U/HS2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0.72671771537825036</v>
      </c>
      <c r="D2" s="52">
        <f>IFERROR(1-_xlfn.NORM.DIST(_xlfn.NORM.INV(SUM(D4:D5), 0, 1) + 1, 0, 1, TRUE), "")</f>
        <v>0.72671771537825036</v>
      </c>
      <c r="E2" s="52">
        <f>IFERROR(1-_xlfn.NORM.DIST(_xlfn.NORM.INV(SUM(E4:E5), 0, 1) + 1, 0, 1, TRUE), "")</f>
        <v>0.62659155412491141</v>
      </c>
      <c r="F2" s="52">
        <f>IFERROR(1-_xlfn.NORM.DIST(_xlfn.NORM.INV(SUM(F4:F5), 0, 1) + 1, 0, 1, TRUE), "")</f>
        <v>0.51965388532462375</v>
      </c>
      <c r="G2" s="52">
        <f>IFERROR(1-_xlfn.NORM.DIST(_xlfn.NORM.INV(SUM(G4:G5), 0, 1) + 1, 0, 1, TRUE), "")</f>
        <v>0.56275773337121771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0.21880568462174965</v>
      </c>
      <c r="D3" s="52">
        <f>IFERROR(_xlfn.NORM.DIST(_xlfn.NORM.INV(SUM(D4:D5), 0, 1) + 1, 0, 1, TRUE) - SUM(D4:D5), "")</f>
        <v>0.21880568462174965</v>
      </c>
      <c r="E3" s="52">
        <f>IFERROR(_xlfn.NORM.DIST(_xlfn.NORM.INV(SUM(E4:E5), 0, 1) + 1, 0, 1, TRUE) - SUM(E4:E5), "")</f>
        <v>0.28046404587508861</v>
      </c>
      <c r="F3" s="52">
        <f>IFERROR(_xlfn.NORM.DIST(_xlfn.NORM.INV(SUM(F4:F5), 0, 1) + 1, 0, 1, TRUE) - SUM(F4:F5), "")</f>
        <v>0.33332261467537627</v>
      </c>
      <c r="G3" s="52">
        <f>IFERROR(_xlfn.NORM.DIST(_xlfn.NORM.INV(SUM(G4:G5), 0, 1) + 1, 0, 1, TRUE) - SUM(G4:G5), "")</f>
        <v>0.31380306662878238</v>
      </c>
    </row>
    <row r="4" spans="1:15" ht="15.75" customHeight="1" x14ac:dyDescent="0.25">
      <c r="B4" s="5" t="s">
        <v>129</v>
      </c>
      <c r="C4" s="45">
        <v>3.57805E-2</v>
      </c>
      <c r="D4" s="53">
        <v>3.57805E-2</v>
      </c>
      <c r="E4" s="53">
        <v>3.1043899999999999E-2</v>
      </c>
      <c r="F4" s="53">
        <v>0.11139780000000001</v>
      </c>
      <c r="G4" s="53">
        <v>9.3345199999999989E-2</v>
      </c>
    </row>
    <row r="5" spans="1:15" ht="15.75" customHeight="1" x14ac:dyDescent="0.25">
      <c r="B5" s="5" t="s">
        <v>125</v>
      </c>
      <c r="C5" s="45">
        <v>1.86961E-2</v>
      </c>
      <c r="D5" s="53">
        <v>1.86961E-2</v>
      </c>
      <c r="E5" s="53">
        <v>6.1900499999999997E-2</v>
      </c>
      <c r="F5" s="53">
        <v>3.5625700000000003E-2</v>
      </c>
      <c r="G5" s="53">
        <v>3.0093999999999999E-2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0.73878735174891208</v>
      </c>
      <c r="D8" s="52">
        <f>IFERROR(1-_xlfn.NORM.DIST(_xlfn.NORM.INV(SUM(D10:D11), 0, 1) + 1, 0, 1, TRUE), "")</f>
        <v>0.73878735174891208</v>
      </c>
      <c r="E8" s="52">
        <f>IFERROR(1-_xlfn.NORM.DIST(_xlfn.NORM.INV(SUM(E10:E11), 0, 1) + 1, 0, 1, TRUE), "")</f>
        <v>0.81092131378354604</v>
      </c>
      <c r="F8" s="52">
        <f>IFERROR(1-_xlfn.NORM.DIST(_xlfn.NORM.INV(SUM(F10:F11), 0, 1) + 1, 0, 1, TRUE), "")</f>
        <v>0.85378692413781465</v>
      </c>
      <c r="G8" s="52">
        <f>IFERROR(1-_xlfn.NORM.DIST(_xlfn.NORM.INV(SUM(G10:G11), 0, 1) + 1, 0, 1, TRUE), "")</f>
        <v>0.88685105031614997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0.21066964825108792</v>
      </c>
      <c r="D9" s="52">
        <f>IFERROR(_xlfn.NORM.DIST(_xlfn.NORM.INV(SUM(D10:D11), 0, 1) + 1, 0, 1, TRUE) - SUM(D10:D11), "")</f>
        <v>0.21066964825108792</v>
      </c>
      <c r="E9" s="52">
        <f>IFERROR(_xlfn.NORM.DIST(_xlfn.NORM.INV(SUM(E10:E11), 0, 1) + 1, 0, 1, TRUE) - SUM(E10:E11), "")</f>
        <v>0.15911288621645392</v>
      </c>
      <c r="F9" s="52">
        <f>IFERROR(_xlfn.NORM.DIST(_xlfn.NORM.INV(SUM(F10:F11), 0, 1) + 1, 0, 1, TRUE) - SUM(F10:F11), "")</f>
        <v>0.12616777586218536</v>
      </c>
      <c r="G9" s="52">
        <f>IFERROR(_xlfn.NORM.DIST(_xlfn.NORM.INV(SUM(G10:G11), 0, 1) + 1, 0, 1, TRUE) - SUM(G10:G11), "")</f>
        <v>9.9594649683850053E-2</v>
      </c>
    </row>
    <row r="10" spans="1:15" ht="15.75" customHeight="1" x14ac:dyDescent="0.25">
      <c r="B10" s="5" t="s">
        <v>126</v>
      </c>
      <c r="C10" s="45">
        <v>3.4095800000000002E-2</v>
      </c>
      <c r="D10" s="53">
        <v>3.4095800000000002E-2</v>
      </c>
      <c r="E10" s="53">
        <v>2.0798899999999999E-2</v>
      </c>
      <c r="F10" s="53">
        <v>1.07309E-2</v>
      </c>
      <c r="G10" s="53">
        <v>9.4171000000000012E-3</v>
      </c>
    </row>
    <row r="11" spans="1:15" ht="15.75" customHeight="1" x14ac:dyDescent="0.25">
      <c r="B11" s="5" t="s">
        <v>138</v>
      </c>
      <c r="C11" s="45">
        <v>1.6447199999999999E-2</v>
      </c>
      <c r="D11" s="53">
        <v>1.6447199999999999E-2</v>
      </c>
      <c r="E11" s="53">
        <v>9.1669000000000004E-3</v>
      </c>
      <c r="F11" s="53">
        <v>9.3144000000000005E-3</v>
      </c>
      <c r="G11" s="53">
        <v>4.1371999999999997E-3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0.66876521474999995</v>
      </c>
      <c r="D14" s="54">
        <v>0.63119051921299996</v>
      </c>
      <c r="E14" s="54">
        <v>0.63119051921299996</v>
      </c>
      <c r="F14" s="54">
        <v>0.45397782957600002</v>
      </c>
      <c r="G14" s="54">
        <v>0.45397782957600002</v>
      </c>
      <c r="H14" s="45">
        <v>0.39800000000000002</v>
      </c>
      <c r="I14" s="55">
        <v>0.39800000000000002</v>
      </c>
      <c r="J14" s="55">
        <v>0.39800000000000002</v>
      </c>
      <c r="K14" s="55">
        <v>0.39800000000000002</v>
      </c>
      <c r="L14" s="45">
        <v>0.35899999999999999</v>
      </c>
      <c r="M14" s="55">
        <v>0.35899999999999999</v>
      </c>
      <c r="N14" s="55">
        <v>0.35899999999999999</v>
      </c>
      <c r="O14" s="55">
        <v>0.35899999999999999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0.39389669260081722</v>
      </c>
      <c r="D15" s="52">
        <f t="shared" si="0"/>
        <v>0.37176553510178406</v>
      </c>
      <c r="E15" s="52">
        <f t="shared" si="0"/>
        <v>0.37176553510178406</v>
      </c>
      <c r="F15" s="52">
        <f t="shared" si="0"/>
        <v>0.26738885581979788</v>
      </c>
      <c r="G15" s="52">
        <f t="shared" si="0"/>
        <v>0.26738885581979788</v>
      </c>
      <c r="H15" s="52">
        <f t="shared" si="0"/>
        <v>0.23441841800000002</v>
      </c>
      <c r="I15" s="52">
        <f t="shared" si="0"/>
        <v>0.23441841800000002</v>
      </c>
      <c r="J15" s="52">
        <f t="shared" si="0"/>
        <v>0.23441841800000002</v>
      </c>
      <c r="K15" s="52">
        <f t="shared" si="0"/>
        <v>0.23441841800000002</v>
      </c>
      <c r="L15" s="52">
        <f t="shared" si="0"/>
        <v>0.21144776900000001</v>
      </c>
      <c r="M15" s="52">
        <f t="shared" si="0"/>
        <v>0.21144776900000001</v>
      </c>
      <c r="N15" s="52">
        <f t="shared" si="0"/>
        <v>0.21144776900000001</v>
      </c>
      <c r="O15" s="52">
        <f t="shared" si="0"/>
        <v>0.21144776900000001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cNg4c3dSl82agulNeKOH6o223GPWTBSxdXX5Boy8SU5FWvQRBj+kfyWXBZ4G0dM05BilL7sPBs3IfL4IwqnC6g==" saltValue="Hk9NsPC+VbzxcWxEUVVJW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0.70550790000000008</v>
      </c>
      <c r="D2" s="53">
        <v>0.41442689999999999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0.14739630000000001</v>
      </c>
      <c r="D3" s="53">
        <v>0.24610799999999999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0.1441006</v>
      </c>
      <c r="D4" s="53">
        <v>0.319693</v>
      </c>
      <c r="E4" s="53">
        <v>0.90135670000000001</v>
      </c>
      <c r="F4" s="53">
        <v>0.47346310000000003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2.9951999999998646E-3</v>
      </c>
      <c r="D5" s="52">
        <f t="shared" si="0"/>
        <v>1.9772099999999959E-2</v>
      </c>
      <c r="E5" s="52">
        <f>1-SUM(E2:E4)</f>
        <v>9.8643299999999989E-2</v>
      </c>
      <c r="F5" s="52">
        <f>1-SUM(F2:F4)</f>
        <v>0.52653689999999997</v>
      </c>
      <c r="G5" s="52">
        <f>1-SUM(G2:G4)</f>
        <v>1</v>
      </c>
    </row>
  </sheetData>
  <sheetProtection algorithmName="SHA-512" hashValue="6qfXlEzPLMaYxvFpkUdQmploEvQTB/Y+dcswSYi6Cdq/xb9zPZHtLhy/05ztUDmCCMHLHFoYHM4NZEhAxFIv/g==" saltValue="99WGw18D4Jnu2qY09cqkO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L1X6bJCK/51XGg+yAjN4jE7va87k660XPv1eZJRfltjgD9bGKNwR5Pb0ohrel0iRPJSFkW8ATdrfOlUTYOAd1Q==" saltValue="JWucCR7nOvs8YolpPILFL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10</v>
      </c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160</v>
      </c>
      <c r="B2" s="107">
        <v>1655.07269765044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159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170</v>
      </c>
      <c r="B4" s="108">
        <v>0.33655000000000002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161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162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165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164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166</v>
      </c>
      <c r="B9" s="108">
        <v>0.56600000000000006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163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171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172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173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174</v>
      </c>
      <c r="B14" s="110">
        <v>1.2636041052752059E-2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167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168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169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175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12</v>
      </c>
      <c r="B21" s="106" t="s">
        <v>13</v>
      </c>
      <c r="C21" s="106" t="s">
        <v>14</v>
      </c>
      <c r="D21" s="106" t="s">
        <v>15</v>
      </c>
      <c r="E21" s="106" t="s">
        <v>16</v>
      </c>
      <c r="F21" s="106" t="s">
        <v>17</v>
      </c>
      <c r="G21" s="106" t="s">
        <v>18</v>
      </c>
      <c r="H21" s="106" t="s">
        <v>19</v>
      </c>
      <c r="I21" s="106" t="s">
        <v>20</v>
      </c>
      <c r="J21" s="106" t="s">
        <v>21</v>
      </c>
      <c r="K21" s="106" t="s">
        <v>22</v>
      </c>
      <c r="L21" s="106" t="s">
        <v>23</v>
      </c>
      <c r="M21" s="106" t="s">
        <v>24</v>
      </c>
      <c r="N21" s="106" t="s">
        <v>25</v>
      </c>
      <c r="O21" s="106" t="s">
        <v>26</v>
      </c>
    </row>
    <row r="22" spans="1:15" x14ac:dyDescent="0.25">
      <c r="A22" s="106" t="s">
        <v>176</v>
      </c>
      <c r="B22" s="107">
        <v>98042.033899999995</v>
      </c>
      <c r="C22" s="107">
        <v>97912.659759999995</v>
      </c>
      <c r="D22" s="107">
        <v>97749.127779999995</v>
      </c>
      <c r="E22" s="107">
        <v>97479.829180000001</v>
      </c>
      <c r="F22" s="107">
        <v>97136.501770000003</v>
      </c>
      <c r="G22" s="107">
        <v>96707.586909999998</v>
      </c>
      <c r="H22" s="107">
        <v>96198.437900000004</v>
      </c>
      <c r="I22" s="107">
        <v>95237.58829</v>
      </c>
      <c r="J22" s="107">
        <v>93551.134969999999</v>
      </c>
      <c r="K22" s="107">
        <v>91657.480989999996</v>
      </c>
      <c r="L22" s="107">
        <v>89148.463789999994</v>
      </c>
      <c r="M22" s="107">
        <v>85234.066699999996</v>
      </c>
      <c r="N22" s="107">
        <v>79899.282659999997</v>
      </c>
      <c r="O22" s="107">
        <v>71025.679950000005</v>
      </c>
    </row>
  </sheetData>
  <sheetProtection algorithmName="SHA-512" hashValue="Bh1al0KAayEJ7e97ve0/bHPVzmUW3p1sgZ3x95xF6kVATNQTHxbuxjhF1ZVPhj7rog4XR0xJUBGZns5qQnDoIw==" saltValue="L4ylSgz/h25SuaE3jc2//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2pZXz6JoJiu8HwWDCJAaplLInBFkhG4oAfW/OOkVITwhzknC5GcrXr0j9hz5UnbCz0CCaMKQODu5UnC7eNpmbA==" saltValue="TiY6AM9b7McgzXZm36Bui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CgeYgjsv1QKFmc5IVNnN389dS3aSjDq01dmg31j98rRLnfekKcAkCQi7kDztlazIRhZPnvr7MP7W2jDKo2lySQ==" saltValue="u2MLK5JMrph8KDEsTQou5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6">
        <v>0.95</v>
      </c>
      <c r="D2" s="56">
        <v>12.008526100307062</v>
      </c>
      <c r="E2" s="56" t="s">
        <v>212</v>
      </c>
      <c r="F2" s="96">
        <v>1</v>
      </c>
      <c r="G2" s="96">
        <v>1</v>
      </c>
    </row>
    <row r="3" spans="1:7" ht="15.75" customHeight="1" x14ac:dyDescent="0.25">
      <c r="A3" s="5" t="s">
        <v>195</v>
      </c>
      <c r="B3" s="45">
        <v>0</v>
      </c>
      <c r="C3" s="96">
        <v>0.95</v>
      </c>
      <c r="D3" s="56">
        <v>12.008526100307062</v>
      </c>
      <c r="E3" s="56" t="s">
        <v>212</v>
      </c>
      <c r="F3" s="96">
        <v>1</v>
      </c>
      <c r="G3" s="96">
        <v>1</v>
      </c>
    </row>
    <row r="4" spans="1:7" ht="15.75" customHeight="1" x14ac:dyDescent="0.25">
      <c r="A4" s="5" t="s">
        <v>196</v>
      </c>
      <c r="B4" s="96">
        <v>0</v>
      </c>
      <c r="C4" s="96">
        <v>0.95</v>
      </c>
      <c r="D4" s="56">
        <v>8.8894216990788131</v>
      </c>
      <c r="E4" s="56" t="s">
        <v>212</v>
      </c>
      <c r="F4" s="96">
        <v>1</v>
      </c>
      <c r="G4" s="96">
        <v>1</v>
      </c>
    </row>
    <row r="5" spans="1:7" ht="15.75" customHeight="1" x14ac:dyDescent="0.25">
      <c r="A5" s="5" t="s">
        <v>198</v>
      </c>
      <c r="B5" s="96">
        <v>0</v>
      </c>
      <c r="C5" s="96">
        <v>0.95</v>
      </c>
      <c r="D5" s="56">
        <v>0.48</v>
      </c>
      <c r="E5" s="56" t="s">
        <v>212</v>
      </c>
      <c r="F5" s="96">
        <v>1</v>
      </c>
      <c r="G5" s="96">
        <v>1</v>
      </c>
    </row>
    <row r="6" spans="1:7" ht="15.75" customHeight="1" x14ac:dyDescent="0.25">
      <c r="A6" s="5" t="s">
        <v>199</v>
      </c>
      <c r="B6" s="96">
        <v>0</v>
      </c>
      <c r="C6" s="96">
        <v>0.95</v>
      </c>
      <c r="D6" s="56">
        <v>99.99</v>
      </c>
      <c r="E6" s="56" t="s">
        <v>212</v>
      </c>
      <c r="F6" s="96">
        <v>1</v>
      </c>
      <c r="G6" s="96">
        <v>1</v>
      </c>
    </row>
    <row r="7" spans="1:7" ht="15.75" customHeight="1" x14ac:dyDescent="0.25">
      <c r="A7" s="5" t="s">
        <v>200</v>
      </c>
      <c r="B7" s="96">
        <v>0</v>
      </c>
      <c r="C7" s="96">
        <v>0.95</v>
      </c>
      <c r="D7" s="56">
        <v>0.19</v>
      </c>
      <c r="E7" s="56" t="s">
        <v>212</v>
      </c>
      <c r="F7" s="96">
        <v>1</v>
      </c>
      <c r="G7" s="96">
        <v>1</v>
      </c>
    </row>
    <row r="8" spans="1:7" ht="15.75" customHeight="1" x14ac:dyDescent="0.25">
      <c r="A8" s="5" t="s">
        <v>201</v>
      </c>
      <c r="B8" s="96">
        <v>0</v>
      </c>
      <c r="C8" s="96">
        <v>0.95</v>
      </c>
      <c r="D8" s="56">
        <v>0.79</v>
      </c>
      <c r="E8" s="56" t="s">
        <v>212</v>
      </c>
      <c r="F8" s="96">
        <v>1</v>
      </c>
      <c r="G8" s="96">
        <v>1</v>
      </c>
    </row>
    <row r="9" spans="1:7" ht="15.75" customHeight="1" x14ac:dyDescent="0.25">
      <c r="A9" s="5" t="s">
        <v>202</v>
      </c>
      <c r="B9" s="96">
        <v>0.5</v>
      </c>
      <c r="C9" s="96">
        <v>0.95</v>
      </c>
      <c r="D9" s="56">
        <v>0.40262538382804508</v>
      </c>
      <c r="E9" s="56" t="s">
        <v>212</v>
      </c>
      <c r="F9" s="96">
        <v>1</v>
      </c>
      <c r="G9" s="96">
        <v>1</v>
      </c>
    </row>
    <row r="10" spans="1:7" ht="15.75" customHeight="1" x14ac:dyDescent="0.25">
      <c r="A10" s="11" t="s">
        <v>203</v>
      </c>
      <c r="B10" s="45">
        <v>2.3195500000000001E-2</v>
      </c>
      <c r="C10" s="96">
        <v>0.95</v>
      </c>
      <c r="D10" s="56">
        <v>13.55153367590807</v>
      </c>
      <c r="E10" s="56" t="s">
        <v>212</v>
      </c>
      <c r="F10" s="96">
        <v>1</v>
      </c>
      <c r="G10" s="96">
        <v>1</v>
      </c>
    </row>
    <row r="11" spans="1:7" ht="15.75" customHeight="1" x14ac:dyDescent="0.25">
      <c r="A11" s="11" t="s">
        <v>204</v>
      </c>
      <c r="B11" s="96">
        <v>0</v>
      </c>
      <c r="C11" s="96">
        <v>0.95</v>
      </c>
      <c r="D11" s="56">
        <v>13.55153367590807</v>
      </c>
      <c r="E11" s="56" t="s">
        <v>212</v>
      </c>
      <c r="F11" s="96">
        <v>1</v>
      </c>
      <c r="G11" s="96">
        <v>1</v>
      </c>
    </row>
    <row r="12" spans="1:7" ht="15.75" customHeight="1" x14ac:dyDescent="0.25">
      <c r="A12" s="11" t="s">
        <v>205</v>
      </c>
      <c r="B12" s="96">
        <v>0</v>
      </c>
      <c r="C12" s="96">
        <v>0.95</v>
      </c>
      <c r="D12" s="56">
        <v>13.55153367590807</v>
      </c>
      <c r="E12" s="56" t="s">
        <v>212</v>
      </c>
      <c r="F12" s="96">
        <v>1</v>
      </c>
      <c r="G12" s="96">
        <v>1</v>
      </c>
    </row>
    <row r="13" spans="1:7" ht="15.75" customHeight="1" x14ac:dyDescent="0.25">
      <c r="A13" s="11" t="s">
        <v>206</v>
      </c>
      <c r="B13" s="96">
        <v>0</v>
      </c>
      <c r="C13" s="96">
        <v>0.95</v>
      </c>
      <c r="D13" s="56">
        <v>13.55153367590807</v>
      </c>
      <c r="E13" s="56" t="s">
        <v>212</v>
      </c>
      <c r="F13" s="96">
        <v>1</v>
      </c>
      <c r="G13" s="96">
        <v>1</v>
      </c>
    </row>
    <row r="14" spans="1:7" ht="15.75" customHeight="1" x14ac:dyDescent="0.25">
      <c r="A14" s="5" t="s">
        <v>207</v>
      </c>
      <c r="B14" s="45">
        <v>2.3195500000000001E-2</v>
      </c>
      <c r="C14" s="96">
        <v>0.95</v>
      </c>
      <c r="D14" s="56">
        <v>13.55153367590807</v>
      </c>
      <c r="E14" s="56" t="s">
        <v>212</v>
      </c>
      <c r="F14" s="96">
        <v>1</v>
      </c>
      <c r="G14" s="96">
        <v>1</v>
      </c>
    </row>
    <row r="15" spans="1:7" ht="15.75" customHeight="1" x14ac:dyDescent="0.25">
      <c r="A15" s="5" t="s">
        <v>208</v>
      </c>
      <c r="B15" s="96">
        <v>0</v>
      </c>
      <c r="C15" s="96">
        <v>0.95</v>
      </c>
      <c r="D15" s="56">
        <v>13.55153367590807</v>
      </c>
      <c r="E15" s="56" t="s">
        <v>212</v>
      </c>
      <c r="F15" s="96">
        <v>1</v>
      </c>
      <c r="G15" s="96">
        <v>1</v>
      </c>
    </row>
    <row r="16" spans="1:7" ht="15.75" customHeight="1" x14ac:dyDescent="0.25">
      <c r="A16" s="5" t="s">
        <v>209</v>
      </c>
      <c r="B16" s="45">
        <v>0</v>
      </c>
      <c r="C16" s="96">
        <v>0.95</v>
      </c>
      <c r="D16" s="56">
        <v>2.5</v>
      </c>
      <c r="E16" s="56" t="s">
        <v>212</v>
      </c>
      <c r="F16" s="96">
        <v>1</v>
      </c>
      <c r="G16" s="96">
        <v>1</v>
      </c>
    </row>
    <row r="17" spans="1:7" ht="15.75" customHeight="1" x14ac:dyDescent="0.25">
      <c r="A17" s="5" t="s">
        <v>210</v>
      </c>
      <c r="B17" s="96">
        <v>0</v>
      </c>
      <c r="C17" s="96">
        <v>0.95</v>
      </c>
      <c r="D17" s="56">
        <v>0.14000000000000001</v>
      </c>
      <c r="E17" s="56" t="s">
        <v>212</v>
      </c>
      <c r="F17" s="96">
        <v>1</v>
      </c>
      <c r="G17" s="96">
        <v>1</v>
      </c>
    </row>
    <row r="18" spans="1:7" ht="15.9" customHeight="1" x14ac:dyDescent="0.25">
      <c r="A18" s="5" t="s">
        <v>180</v>
      </c>
      <c r="B18" s="96">
        <v>0.41442689999999999</v>
      </c>
      <c r="C18" s="96">
        <v>0.95</v>
      </c>
      <c r="D18" s="56">
        <v>8.8894216990788131</v>
      </c>
      <c r="E18" s="56" t="s">
        <v>212</v>
      </c>
      <c r="F18" s="96">
        <v>1</v>
      </c>
      <c r="G18" s="96">
        <v>1</v>
      </c>
    </row>
    <row r="19" spans="1:7" ht="15.75" customHeight="1" x14ac:dyDescent="0.25">
      <c r="A19" s="5" t="s">
        <v>181</v>
      </c>
      <c r="B19" s="96">
        <v>0.41442689999999999</v>
      </c>
      <c r="C19" s="96">
        <v>0.95</v>
      </c>
      <c r="D19" s="56">
        <v>2.5765543589847759</v>
      </c>
      <c r="E19" s="56" t="s">
        <v>212</v>
      </c>
      <c r="F19" s="96">
        <v>1</v>
      </c>
      <c r="G19" s="96">
        <v>1</v>
      </c>
    </row>
    <row r="20" spans="1:7" ht="15.75" customHeight="1" x14ac:dyDescent="0.25">
      <c r="A20" s="5" t="s">
        <v>182</v>
      </c>
      <c r="B20" s="96">
        <v>0</v>
      </c>
      <c r="C20" s="96">
        <v>0.95</v>
      </c>
      <c r="D20" s="56">
        <v>99.99</v>
      </c>
      <c r="E20" s="56" t="s">
        <v>212</v>
      </c>
      <c r="F20" s="96">
        <v>1</v>
      </c>
      <c r="G20" s="96">
        <v>1</v>
      </c>
    </row>
    <row r="21" spans="1:7" ht="15.75" customHeight="1" x14ac:dyDescent="0.25">
      <c r="A21" s="5" t="s">
        <v>211</v>
      </c>
      <c r="B21" s="45">
        <v>0</v>
      </c>
      <c r="C21" s="96">
        <v>0.95</v>
      </c>
      <c r="D21" s="56">
        <v>7.48</v>
      </c>
      <c r="E21" s="56" t="s">
        <v>212</v>
      </c>
      <c r="F21" s="96">
        <v>1</v>
      </c>
      <c r="G21" s="96">
        <v>1</v>
      </c>
    </row>
    <row r="22" spans="1:7" ht="15.75" customHeight="1" x14ac:dyDescent="0.25">
      <c r="A22" s="5" t="s">
        <v>213</v>
      </c>
      <c r="B22" s="96">
        <v>0</v>
      </c>
      <c r="C22" s="96">
        <v>0.95</v>
      </c>
      <c r="D22" s="56">
        <v>8.8894216990788131</v>
      </c>
      <c r="E22" s="56" t="s">
        <v>212</v>
      </c>
      <c r="F22" s="96">
        <v>1</v>
      </c>
      <c r="G22" s="96">
        <v>1</v>
      </c>
    </row>
    <row r="23" spans="1:7" ht="15.75" customHeight="1" x14ac:dyDescent="0.25">
      <c r="A23" s="5" t="s">
        <v>214</v>
      </c>
      <c r="B23" s="96">
        <v>0</v>
      </c>
      <c r="C23" s="96">
        <v>0.95</v>
      </c>
      <c r="D23" s="56">
        <v>4.4684305312370904</v>
      </c>
      <c r="E23" s="56" t="s">
        <v>212</v>
      </c>
      <c r="F23" s="96">
        <v>1</v>
      </c>
      <c r="G23" s="96">
        <v>1</v>
      </c>
    </row>
    <row r="24" spans="1:7" ht="15.75" customHeight="1" x14ac:dyDescent="0.25">
      <c r="A24" s="5" t="s">
        <v>217</v>
      </c>
      <c r="B24" s="45">
        <v>0.71204221746141994</v>
      </c>
      <c r="C24" s="96">
        <v>0.95</v>
      </c>
      <c r="D24" s="56">
        <v>99.99</v>
      </c>
      <c r="E24" s="56" t="s">
        <v>212</v>
      </c>
      <c r="F24" s="96">
        <v>1</v>
      </c>
      <c r="G24" s="96">
        <v>1</v>
      </c>
    </row>
    <row r="25" spans="1:7" ht="15.75" customHeight="1" x14ac:dyDescent="0.25">
      <c r="A25" s="5" t="s">
        <v>218</v>
      </c>
      <c r="B25" s="96">
        <v>0</v>
      </c>
      <c r="C25" s="96">
        <v>0.95</v>
      </c>
      <c r="D25" s="56">
        <v>99.99</v>
      </c>
      <c r="E25" s="56" t="s">
        <v>212</v>
      </c>
      <c r="F25" s="96">
        <v>1</v>
      </c>
      <c r="G25" s="96">
        <v>1</v>
      </c>
    </row>
    <row r="26" spans="1:7" ht="15.75" customHeight="1" x14ac:dyDescent="0.25">
      <c r="A26" s="5" t="s">
        <v>219</v>
      </c>
      <c r="B26" s="45">
        <v>2.3195500000000001E-2</v>
      </c>
      <c r="C26" s="96">
        <v>0.95</v>
      </c>
      <c r="D26" s="56">
        <v>5.1498336745138182</v>
      </c>
      <c r="E26" s="56" t="s">
        <v>212</v>
      </c>
      <c r="F26" s="96">
        <v>1</v>
      </c>
      <c r="G26" s="96">
        <v>1</v>
      </c>
    </row>
    <row r="27" spans="1:7" ht="15.75" customHeight="1" x14ac:dyDescent="0.25">
      <c r="A27" s="5" t="s">
        <v>220</v>
      </c>
      <c r="B27" s="45">
        <v>0</v>
      </c>
      <c r="C27" s="96">
        <v>0.95</v>
      </c>
      <c r="D27" s="56">
        <v>11.470990276356194</v>
      </c>
      <c r="E27" s="56" t="s">
        <v>212</v>
      </c>
      <c r="F27" s="96">
        <v>1</v>
      </c>
      <c r="G27" s="96">
        <v>1</v>
      </c>
    </row>
    <row r="28" spans="1:7" ht="15.75" customHeight="1" x14ac:dyDescent="0.25">
      <c r="A28" s="5" t="s">
        <v>221</v>
      </c>
      <c r="B28" s="45">
        <v>0.36409789999999997</v>
      </c>
      <c r="C28" s="96">
        <v>0.95</v>
      </c>
      <c r="D28" s="56">
        <v>99.99</v>
      </c>
      <c r="E28" s="56" t="s">
        <v>212</v>
      </c>
      <c r="F28" s="96">
        <v>1</v>
      </c>
      <c r="G28" s="96">
        <v>1</v>
      </c>
    </row>
    <row r="29" spans="1:7" ht="15.75" customHeight="1" x14ac:dyDescent="0.25">
      <c r="A29" s="5" t="s">
        <v>222</v>
      </c>
      <c r="B29" s="45">
        <v>0.59765410000000008</v>
      </c>
      <c r="C29" s="96">
        <v>0.95</v>
      </c>
      <c r="D29" s="56">
        <v>69.007299698442466</v>
      </c>
      <c r="E29" s="56" t="s">
        <v>212</v>
      </c>
      <c r="F29" s="96">
        <v>1</v>
      </c>
      <c r="G29" s="96">
        <v>1</v>
      </c>
    </row>
    <row r="30" spans="1:7" ht="15.75" customHeight="1" x14ac:dyDescent="0.25">
      <c r="A30" s="5" t="s">
        <v>233</v>
      </c>
      <c r="B30" s="96">
        <v>0</v>
      </c>
      <c r="C30" s="96">
        <v>0.95</v>
      </c>
      <c r="D30" s="56">
        <v>53.05</v>
      </c>
      <c r="E30" s="56" t="s">
        <v>212</v>
      </c>
      <c r="F30" s="96">
        <v>1</v>
      </c>
      <c r="G30" s="96">
        <v>1</v>
      </c>
    </row>
    <row r="31" spans="1:7" ht="15.75" customHeight="1" x14ac:dyDescent="0.25">
      <c r="A31" s="5" t="s">
        <v>193</v>
      </c>
      <c r="B31" s="45">
        <v>0</v>
      </c>
      <c r="C31" s="96">
        <v>0.95</v>
      </c>
      <c r="D31" s="56">
        <v>170.92419651995908</v>
      </c>
      <c r="E31" s="56" t="s">
        <v>212</v>
      </c>
      <c r="F31" s="96">
        <v>1</v>
      </c>
      <c r="G31" s="96">
        <v>1</v>
      </c>
    </row>
    <row r="32" spans="1:7" ht="15.75" customHeight="1" x14ac:dyDescent="0.25">
      <c r="A32" s="5" t="s">
        <v>225</v>
      </c>
      <c r="B32" s="45">
        <v>0.97</v>
      </c>
      <c r="C32" s="96">
        <v>0.95</v>
      </c>
      <c r="D32" s="56">
        <v>1.1057036847492325</v>
      </c>
      <c r="E32" s="56" t="s">
        <v>212</v>
      </c>
      <c r="F32" s="96">
        <v>1</v>
      </c>
      <c r="G32" s="96">
        <v>1</v>
      </c>
    </row>
    <row r="33" spans="1:7" ht="15.75" customHeight="1" x14ac:dyDescent="0.25">
      <c r="A33" s="5" t="s">
        <v>226</v>
      </c>
      <c r="B33" s="45">
        <v>0.99</v>
      </c>
      <c r="C33" s="96">
        <v>0.95</v>
      </c>
      <c r="D33" s="56">
        <v>99.99</v>
      </c>
      <c r="E33" s="56" t="s">
        <v>212</v>
      </c>
      <c r="F33" s="96">
        <v>1</v>
      </c>
      <c r="G33" s="96">
        <v>1</v>
      </c>
    </row>
    <row r="34" spans="1:7" ht="15.75" customHeight="1" x14ac:dyDescent="0.25">
      <c r="A34" s="5" t="s">
        <v>227</v>
      </c>
      <c r="B34" s="45">
        <v>0.61718569999999995</v>
      </c>
      <c r="C34" s="96">
        <v>0.95</v>
      </c>
      <c r="D34" s="56">
        <v>99.99</v>
      </c>
      <c r="E34" s="56" t="s">
        <v>212</v>
      </c>
      <c r="F34" s="96">
        <v>1</v>
      </c>
      <c r="G34" s="96">
        <v>1</v>
      </c>
    </row>
    <row r="35" spans="1:7" ht="15.75" customHeight="1" x14ac:dyDescent="0.25">
      <c r="A35" s="5" t="s">
        <v>228</v>
      </c>
      <c r="B35" s="96">
        <v>0</v>
      </c>
      <c r="C35" s="96">
        <v>0.95</v>
      </c>
      <c r="D35" s="56">
        <v>99.99</v>
      </c>
      <c r="E35" s="56" t="s">
        <v>212</v>
      </c>
      <c r="F35" s="96">
        <v>1</v>
      </c>
      <c r="G35" s="96">
        <v>1</v>
      </c>
    </row>
    <row r="36" spans="1:7" ht="15.75" customHeight="1" x14ac:dyDescent="0.25">
      <c r="A36" s="5" t="s">
        <v>229</v>
      </c>
      <c r="B36" s="45">
        <v>7.1143999999999999E-2</v>
      </c>
      <c r="C36" s="96">
        <v>0.95</v>
      </c>
      <c r="D36" s="56">
        <v>99.99</v>
      </c>
      <c r="E36" s="56" t="s">
        <v>212</v>
      </c>
      <c r="F36" s="96">
        <v>1</v>
      </c>
      <c r="G36" s="96">
        <v>1</v>
      </c>
    </row>
    <row r="37" spans="1:7" ht="15.75" customHeight="1" x14ac:dyDescent="0.25">
      <c r="A37" s="5" t="s">
        <v>230</v>
      </c>
      <c r="B37" s="45">
        <v>0.93661349999999999</v>
      </c>
      <c r="C37" s="96">
        <v>0.95</v>
      </c>
      <c r="D37" s="56">
        <v>99.99</v>
      </c>
      <c r="E37" s="56" t="s">
        <v>212</v>
      </c>
      <c r="F37" s="96">
        <v>1</v>
      </c>
      <c r="G37" s="96">
        <v>1</v>
      </c>
    </row>
    <row r="38" spans="1:7" ht="15.75" customHeight="1" x14ac:dyDescent="0.25">
      <c r="A38" s="5" t="s">
        <v>231</v>
      </c>
      <c r="B38" s="45">
        <v>0.21817230000000001</v>
      </c>
      <c r="C38" s="96">
        <v>0.95</v>
      </c>
      <c r="D38" s="56">
        <v>2.6374181166837261</v>
      </c>
      <c r="E38" s="56" t="s">
        <v>212</v>
      </c>
      <c r="F38" s="96">
        <v>1</v>
      </c>
      <c r="G38" s="96">
        <v>1</v>
      </c>
    </row>
    <row r="39" spans="1:7" ht="15.75" customHeight="1" x14ac:dyDescent="0.25">
      <c r="A39" s="5" t="s">
        <v>232</v>
      </c>
      <c r="B39" s="45">
        <v>0</v>
      </c>
      <c r="C39" s="96">
        <v>0.95</v>
      </c>
      <c r="D39" s="56">
        <v>3.43</v>
      </c>
      <c r="E39" s="56" t="s">
        <v>212</v>
      </c>
      <c r="F39" s="96">
        <v>1</v>
      </c>
      <c r="G39" s="96">
        <v>1</v>
      </c>
    </row>
  </sheetData>
  <sheetProtection algorithmName="SHA-512" hashValue="SPm1d+6AFT5Lotx24K6d26q62+CPe9hREmCsC1Bb/MQAVQHs+LtzpZxZkoy0ck86iyJTBCCzynpGLFeQgE1lXg==" saltValue="yKr1bNjP3enHFGVZlaUDh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a8CDrDyZdHz7OTNpyVmP07bI0WLr+1LnxSuWbKKUCMaAErU72ld/ZYpK8/s5o7eijicLLdmY5ASb1Vx1xfly5w==" saltValue="bFQu57PWeabLd1fGHlmKh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qg66fXHdbZSQRN0M6bjEhU8nFtazRJfs1OjWo6uhn9cydgo5AEHhyxZRYh66sjPPca1kghukkE10of+DG+WE2A==" saltValue="DmphJnFqzbRbq4EZ0saaH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2.8</v>
      </c>
      <c r="C2" s="21">
        <f>'Entradas de población-año base'!C52</f>
        <v>2.8</v>
      </c>
      <c r="D2" s="21">
        <f>'Entradas de población-año base'!C53</f>
        <v>2.8</v>
      </c>
      <c r="E2" s="21">
        <f>'Entradas de población-año base'!C54</f>
        <v>2.8</v>
      </c>
      <c r="F2" s="21">
        <f>'Entradas de población-año base'!C55</f>
        <v>2.8</v>
      </c>
    </row>
    <row r="3" spans="1:6" ht="15.75" customHeight="1" x14ac:dyDescent="0.25">
      <c r="A3" s="3" t="s">
        <v>6</v>
      </c>
      <c r="B3" s="21">
        <f>frac_mam_1month * 2.6</f>
        <v>8.8649080000000005E-2</v>
      </c>
      <c r="C3" s="21">
        <f>frac_mam_1_5months * 2.6</f>
        <v>8.8649080000000005E-2</v>
      </c>
      <c r="D3" s="21">
        <f>frac_mam_6_11months * 2.6</f>
        <v>5.4077139999999996E-2</v>
      </c>
      <c r="E3" s="21">
        <f>frac_mam_12_23months * 2.6</f>
        <v>2.7900339999999999E-2</v>
      </c>
      <c r="F3" s="21">
        <f>frac_mam_24_59months * 2.6</f>
        <v>2.4484460000000003E-2</v>
      </c>
    </row>
    <row r="4" spans="1:6" ht="15.75" customHeight="1" x14ac:dyDescent="0.25">
      <c r="A4" s="3" t="s">
        <v>236</v>
      </c>
      <c r="B4" s="21">
        <f>frac_sam_1month * 2.6</f>
        <v>4.2762719999999997E-2</v>
      </c>
      <c r="C4" s="21">
        <f>frac_sam_1_5months * 2.6</f>
        <v>4.2762719999999997E-2</v>
      </c>
      <c r="D4" s="21">
        <f>frac_sam_6_11months * 2.6</f>
        <v>2.3833940000000001E-2</v>
      </c>
      <c r="E4" s="21">
        <f>frac_sam_12_23months * 2.6</f>
        <v>2.4217440000000003E-2</v>
      </c>
      <c r="F4" s="21">
        <f>frac_sam_24_59months * 2.6</f>
        <v>1.0756719999999999E-2</v>
      </c>
    </row>
  </sheetData>
  <sheetProtection algorithmName="SHA-512" hashValue="ING7Z9tXocIv07sbJgxwi/keHsaDRyw+vynM8ELUlvZRH5DrOO3pmqovEzkyK+xEFwUEaodxInOVvgLHl7zGCg==" saltValue="MqENT3yhu8wFxCoWJp7BP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9.0000000000000011E-3</v>
      </c>
      <c r="F2" s="60">
        <f>food_insecure</f>
        <v>9.0000000000000011E-3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9.0000000000000011E-3</v>
      </c>
      <c r="F5" s="60">
        <f>food_insecure</f>
        <v>9.0000000000000011E-3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9.0000000000000011E-3</v>
      </c>
      <c r="F8" s="60">
        <f>food_insecure</f>
        <v>9.0000000000000011E-3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9.0000000000000011E-3</v>
      </c>
      <c r="F9" s="60">
        <f>food_insecure</f>
        <v>9.0000000000000011E-3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9.0000000000000011E-3</v>
      </c>
      <c r="I15" s="60">
        <f t="shared" si="0"/>
        <v>9.0000000000000011E-3</v>
      </c>
      <c r="J15" s="60">
        <f t="shared" si="0"/>
        <v>9.0000000000000011E-3</v>
      </c>
      <c r="K15" s="60">
        <f t="shared" si="0"/>
        <v>9.0000000000000011E-3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9.0000000000000011E-3</v>
      </c>
      <c r="I16" s="60">
        <f t="shared" si="0"/>
        <v>9.0000000000000011E-3</v>
      </c>
      <c r="J16" s="60">
        <f t="shared" si="0"/>
        <v>9.0000000000000011E-3</v>
      </c>
      <c r="K16" s="60">
        <f t="shared" si="0"/>
        <v>9.0000000000000011E-3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0.379</v>
      </c>
      <c r="M24" s="60">
        <f>famplan_unmet_need</f>
        <v>0.379</v>
      </c>
      <c r="N24" s="60">
        <f>famplan_unmet_need</f>
        <v>0.379</v>
      </c>
      <c r="O24" s="60">
        <f>famplan_unmet_need</f>
        <v>0.379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6.364581192398075E-2</v>
      </c>
      <c r="M25" s="60">
        <f>(1-food_insecure)*(0.49)+food_insecure*(0.7)</f>
        <v>0.49188999999999994</v>
      </c>
      <c r="N25" s="60">
        <f>(1-food_insecure)*(0.49)+food_insecure*(0.7)</f>
        <v>0.49188999999999994</v>
      </c>
      <c r="O25" s="60">
        <f>(1-food_insecure)*(0.49)+food_insecure*(0.7)</f>
        <v>0.49188999999999994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2.7276776538848895E-2</v>
      </c>
      <c r="M26" s="60">
        <f>(1-food_insecure)*(0.21)+food_insecure*(0.3)</f>
        <v>0.21081</v>
      </c>
      <c r="N26" s="60">
        <f>(1-food_insecure)*(0.21)+food_insecure*(0.3)</f>
        <v>0.21081</v>
      </c>
      <c r="O26" s="60">
        <f>(1-food_insecure)*(0.21)+food_insecure*(0.3)</f>
        <v>0.21081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3.8467746620178253E-2</v>
      </c>
      <c r="M27" s="60">
        <f>(1-food_insecure)*(0.3)</f>
        <v>0.29730000000000001</v>
      </c>
      <c r="N27" s="60">
        <f>(1-food_insecure)*(0.3)</f>
        <v>0.29730000000000001</v>
      </c>
      <c r="O27" s="60">
        <f>(1-food_insecure)*(0.3)</f>
        <v>0.29730000000000001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0.8706096649169921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9GcJbvkPamYNRy8lMWrFU3TrdJoydK2cSARa9a0F3BXd0vOghdTAnB8Uk9oQmJPhVlNVhj/gU2E8efXaBelBWg==" saltValue="q8RvZccpUDSx+jR/kT2uR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jp9JNLMUBIzwgwt5CwUsyRzuTH3Ua9m7JpskRcBFfCVCYsMx/I2R+MW4dExBkEuIqjYJoUov/+JALxx6DyEVRA==" saltValue="eKZykIY4Uj6sMeiwAfxKk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ZWpZOnRHVZidhohOlhzHE9lla+dsRDyihtX2MokEF7hzc3IEhwa+6KoI6BIzpcFg6tKHrhZ8ktPjw9ZHQwZqyw==" saltValue="/h9iMBNr+0BShx/Tjqwse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E1cuARDKgLp0vZCz9e79t5KLRIssGB20s3VjNeqjsjfRgoDeYFpR4uQRurMyV65cwsEua2WTzKlC21N/w/tw+Q==" saltValue="cNrO3Lcu6MzhhmtCWI0aP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192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13" t="s">
        <v>194</v>
      </c>
      <c r="B2" s="114"/>
      <c r="C2" s="114"/>
      <c r="D2" s="114"/>
      <c r="E2" s="114"/>
      <c r="F2" s="114"/>
      <c r="G2" s="114"/>
      <c r="H2" s="114"/>
      <c r="I2" s="114" t="s">
        <v>5</v>
      </c>
      <c r="J2" s="114"/>
      <c r="K2" s="114"/>
      <c r="L2" s="114"/>
    </row>
    <row r="3" spans="1:12" x14ac:dyDescent="0.25">
      <c r="A3" s="113" t="s">
        <v>195</v>
      </c>
      <c r="B3" s="114"/>
      <c r="C3" s="114"/>
      <c r="D3" s="114"/>
      <c r="E3" s="114"/>
      <c r="F3" s="114"/>
      <c r="G3" s="114"/>
      <c r="H3" s="114" t="s">
        <v>5</v>
      </c>
      <c r="I3" s="114" t="s">
        <v>5</v>
      </c>
      <c r="J3" s="114"/>
      <c r="K3" s="114"/>
      <c r="L3" s="114"/>
    </row>
    <row r="4" spans="1:12" x14ac:dyDescent="0.25">
      <c r="A4" s="113" t="s">
        <v>196</v>
      </c>
      <c r="B4" s="114" t="s">
        <v>5</v>
      </c>
      <c r="C4" s="114"/>
      <c r="D4" s="114" t="s">
        <v>5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198</v>
      </c>
      <c r="B5" s="114"/>
      <c r="C5" s="114" t="s">
        <v>5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199</v>
      </c>
      <c r="B6" s="114"/>
      <c r="C6" s="114"/>
      <c r="D6" s="114"/>
      <c r="E6" s="114"/>
      <c r="F6" s="114"/>
      <c r="G6" s="114"/>
      <c r="H6" s="114"/>
      <c r="I6" s="114"/>
      <c r="J6" s="114" t="s">
        <v>5</v>
      </c>
      <c r="K6" s="114" t="s">
        <v>5</v>
      </c>
      <c r="L6" s="114"/>
    </row>
    <row r="7" spans="1:12" x14ac:dyDescent="0.25">
      <c r="A7" s="113" t="s">
        <v>200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/>
      <c r="J7" s="114"/>
      <c r="K7" s="114"/>
      <c r="L7" s="114"/>
    </row>
    <row r="8" spans="1:12" x14ac:dyDescent="0.25">
      <c r="A8" s="113" t="s">
        <v>201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/>
      <c r="J8" s="114"/>
      <c r="K8" s="114"/>
      <c r="L8" s="114"/>
    </row>
    <row r="9" spans="1:12" x14ac:dyDescent="0.25">
      <c r="A9" s="113" t="s">
        <v>202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/>
      <c r="J9" s="114"/>
      <c r="K9" s="114"/>
      <c r="L9" s="114"/>
    </row>
    <row r="10" spans="1:12" x14ac:dyDescent="0.25">
      <c r="A10" s="113" t="s">
        <v>203</v>
      </c>
      <c r="B10" s="114"/>
      <c r="C10" s="114" t="s">
        <v>5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204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205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206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207</v>
      </c>
      <c r="B14" s="114"/>
      <c r="C14" s="114" t="s">
        <v>5</v>
      </c>
      <c r="D14" s="114"/>
      <c r="E14" s="114"/>
      <c r="F14" s="114"/>
      <c r="G14" s="114"/>
      <c r="H14" s="114"/>
      <c r="I14" s="114" t="s">
        <v>5</v>
      </c>
      <c r="J14" s="114"/>
      <c r="K14" s="114"/>
      <c r="L14" s="114"/>
    </row>
    <row r="15" spans="1:12" x14ac:dyDescent="0.25">
      <c r="A15" s="115" t="s">
        <v>208</v>
      </c>
      <c r="B15" s="114"/>
      <c r="C15" s="114" t="s">
        <v>5</v>
      </c>
      <c r="D15" s="114"/>
      <c r="E15" s="114"/>
      <c r="F15" s="114"/>
      <c r="G15" s="114"/>
      <c r="H15" s="114"/>
      <c r="I15" s="114" t="s">
        <v>5</v>
      </c>
      <c r="J15" s="114"/>
      <c r="K15" s="114"/>
      <c r="L15" s="114"/>
    </row>
    <row r="16" spans="1:12" x14ac:dyDescent="0.25">
      <c r="A16" s="113" t="s">
        <v>209</v>
      </c>
      <c r="B16" s="114"/>
      <c r="C16" s="114" t="s">
        <v>5</v>
      </c>
      <c r="D16" s="114"/>
      <c r="E16" s="114"/>
      <c r="F16" s="114"/>
      <c r="G16" s="114"/>
      <c r="H16" s="114" t="s">
        <v>5</v>
      </c>
      <c r="I16" s="114" t="s">
        <v>5</v>
      </c>
      <c r="J16" s="114"/>
      <c r="K16" s="114"/>
      <c r="L16" s="114"/>
    </row>
    <row r="17" spans="1:12" x14ac:dyDescent="0.25">
      <c r="A17" s="113" t="s">
        <v>210</v>
      </c>
      <c r="B17" s="114"/>
      <c r="C17" s="114" t="s">
        <v>5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180</v>
      </c>
      <c r="B18" s="114" t="s">
        <v>5</v>
      </c>
      <c r="C18" s="114"/>
      <c r="D18" s="114"/>
      <c r="E18" s="114"/>
      <c r="F18" s="114" t="s">
        <v>5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181</v>
      </c>
      <c r="B19" s="114" t="s">
        <v>5</v>
      </c>
      <c r="C19" s="114"/>
      <c r="D19" s="114"/>
      <c r="E19" s="114"/>
      <c r="F19" s="114" t="s">
        <v>5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182</v>
      </c>
      <c r="B20" s="114" t="s">
        <v>5</v>
      </c>
      <c r="C20" s="114"/>
      <c r="D20" s="114"/>
      <c r="E20" s="114"/>
      <c r="F20" s="114" t="s">
        <v>5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211</v>
      </c>
      <c r="B21" s="114"/>
      <c r="C21" s="114"/>
      <c r="D21" s="114"/>
      <c r="E21" s="114"/>
      <c r="F21" s="114"/>
      <c r="G21" s="114"/>
      <c r="H21" s="114" t="s">
        <v>5</v>
      </c>
      <c r="I21" s="114" t="s">
        <v>5</v>
      </c>
      <c r="J21" s="114"/>
      <c r="K21" s="114"/>
      <c r="L21" s="114"/>
    </row>
    <row r="22" spans="1:12" x14ac:dyDescent="0.25">
      <c r="A22" s="113" t="s">
        <v>213</v>
      </c>
      <c r="B22" s="114" t="s">
        <v>5</v>
      </c>
      <c r="C22" s="114" t="s">
        <v>5</v>
      </c>
      <c r="D22" s="114" t="s">
        <v>5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214</v>
      </c>
      <c r="B23" s="114"/>
      <c r="C23" s="114" t="s">
        <v>5</v>
      </c>
      <c r="D23" s="114"/>
      <c r="E23" s="114"/>
      <c r="F23" s="114"/>
      <c r="G23" s="114"/>
      <c r="H23" s="114"/>
      <c r="I23" s="114" t="s">
        <v>5</v>
      </c>
      <c r="J23" s="114"/>
      <c r="K23" s="114"/>
      <c r="L23" s="114"/>
    </row>
    <row r="24" spans="1:12" x14ac:dyDescent="0.25">
      <c r="A24" s="113" t="s">
        <v>217</v>
      </c>
      <c r="B24" s="114"/>
      <c r="C24" s="114"/>
      <c r="D24" s="114"/>
      <c r="E24" s="114"/>
      <c r="F24" s="114"/>
      <c r="G24" s="114"/>
      <c r="H24" s="114" t="s">
        <v>5</v>
      </c>
      <c r="I24" s="114"/>
      <c r="J24" s="114"/>
      <c r="K24" s="114"/>
      <c r="L24" s="114"/>
    </row>
    <row r="25" spans="1:12" x14ac:dyDescent="0.25">
      <c r="A25" s="113" t="s">
        <v>218</v>
      </c>
      <c r="B25" s="114"/>
      <c r="C25" s="114"/>
      <c r="D25" s="114"/>
      <c r="E25" s="114"/>
      <c r="F25" s="114"/>
      <c r="G25" s="114"/>
      <c r="H25" s="114" t="s">
        <v>5</v>
      </c>
      <c r="I25" s="114"/>
      <c r="J25" s="114"/>
      <c r="K25" s="114"/>
      <c r="L25" s="114"/>
    </row>
    <row r="26" spans="1:12" x14ac:dyDescent="0.25">
      <c r="A26" s="113" t="s">
        <v>219</v>
      </c>
      <c r="B26" s="114"/>
      <c r="C26" s="114" t="s">
        <v>5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220</v>
      </c>
      <c r="B27" s="114"/>
      <c r="C27" s="114" t="s">
        <v>5</v>
      </c>
      <c r="D27" s="114"/>
      <c r="E27" s="114"/>
      <c r="F27" s="114"/>
      <c r="G27" s="114"/>
      <c r="H27" s="114"/>
      <c r="I27" s="114" t="s">
        <v>5</v>
      </c>
      <c r="J27" s="114"/>
      <c r="K27" s="114"/>
      <c r="L27" s="114" t="s">
        <v>5</v>
      </c>
    </row>
    <row r="28" spans="1:12" x14ac:dyDescent="0.25">
      <c r="A28" s="113" t="s">
        <v>221</v>
      </c>
      <c r="B28" s="114"/>
      <c r="C28" s="114"/>
      <c r="D28" s="114"/>
      <c r="E28" s="114"/>
      <c r="F28" s="114"/>
      <c r="G28" s="114"/>
      <c r="H28" s="114" t="s">
        <v>5</v>
      </c>
      <c r="I28" s="114"/>
      <c r="J28" s="114"/>
      <c r="K28" s="114"/>
      <c r="L28" s="114"/>
    </row>
    <row r="29" spans="1:12" x14ac:dyDescent="0.25">
      <c r="A29" s="113" t="s">
        <v>222</v>
      </c>
      <c r="B29" s="114" t="s">
        <v>5</v>
      </c>
      <c r="C29" s="114"/>
      <c r="D29" s="114" t="s">
        <v>5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233</v>
      </c>
      <c r="B30" s="114" t="s">
        <v>5</v>
      </c>
      <c r="C30" s="114" t="s">
        <v>5</v>
      </c>
      <c r="D30" s="114" t="s">
        <v>5</v>
      </c>
      <c r="E30" s="114"/>
      <c r="F30" s="114"/>
      <c r="G30" s="114"/>
      <c r="H30" s="114" t="s">
        <v>5</v>
      </c>
      <c r="I30" s="114"/>
      <c r="J30" s="114"/>
      <c r="K30" s="114"/>
      <c r="L30" s="114"/>
    </row>
    <row r="31" spans="1:12" x14ac:dyDescent="0.25">
      <c r="A31" s="113" t="s">
        <v>193</v>
      </c>
      <c r="B31" s="114"/>
      <c r="C31" s="114"/>
      <c r="D31" s="114"/>
      <c r="E31" s="114" t="s">
        <v>5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225</v>
      </c>
      <c r="B32" s="114"/>
      <c r="C32" s="114"/>
      <c r="D32" s="114"/>
      <c r="E32" s="114"/>
      <c r="F32" s="114"/>
      <c r="G32" s="114" t="s">
        <v>5</v>
      </c>
      <c r="H32" s="114" t="s">
        <v>5</v>
      </c>
      <c r="I32" s="114"/>
      <c r="J32" s="114"/>
      <c r="K32" s="114"/>
      <c r="L32" s="114"/>
    </row>
    <row r="33" spans="1:12" x14ac:dyDescent="0.25">
      <c r="A33" s="113" t="s">
        <v>226</v>
      </c>
      <c r="B33" s="114"/>
      <c r="C33" s="114"/>
      <c r="D33" s="114"/>
      <c r="E33" s="114"/>
      <c r="F33" s="114"/>
      <c r="G33" s="114" t="s">
        <v>5</v>
      </c>
      <c r="H33" s="114" t="s">
        <v>5</v>
      </c>
      <c r="I33" s="114"/>
      <c r="J33" s="114"/>
      <c r="K33" s="114"/>
      <c r="L33" s="114"/>
    </row>
    <row r="34" spans="1:12" x14ac:dyDescent="0.25">
      <c r="A34" s="113" t="s">
        <v>227</v>
      </c>
      <c r="B34" s="114"/>
      <c r="C34" s="114"/>
      <c r="D34" s="114"/>
      <c r="E34" s="114"/>
      <c r="F34" s="114"/>
      <c r="G34" s="114" t="s">
        <v>5</v>
      </c>
      <c r="H34" s="114" t="s">
        <v>5</v>
      </c>
      <c r="I34" s="114"/>
      <c r="J34" s="114"/>
      <c r="K34" s="114"/>
      <c r="L34" s="114"/>
    </row>
    <row r="35" spans="1:12" x14ac:dyDescent="0.25">
      <c r="A35" s="113" t="s">
        <v>228</v>
      </c>
      <c r="B35" s="114"/>
      <c r="C35" s="114"/>
      <c r="D35" s="114"/>
      <c r="E35" s="114"/>
      <c r="F35" s="114"/>
      <c r="G35" s="114" t="s">
        <v>5</v>
      </c>
      <c r="H35" s="114" t="s">
        <v>5</v>
      </c>
      <c r="I35" s="114"/>
      <c r="J35" s="114"/>
      <c r="K35" s="114"/>
      <c r="L35" s="114"/>
    </row>
    <row r="36" spans="1:12" x14ac:dyDescent="0.25">
      <c r="A36" s="113" t="s">
        <v>229</v>
      </c>
      <c r="B36" s="114"/>
      <c r="C36" s="114"/>
      <c r="D36" s="114"/>
      <c r="E36" s="114"/>
      <c r="F36" s="114"/>
      <c r="G36" s="114" t="s">
        <v>5</v>
      </c>
      <c r="H36" s="114" t="s">
        <v>5</v>
      </c>
      <c r="I36" s="114"/>
      <c r="J36" s="114"/>
      <c r="K36" s="114"/>
      <c r="L36" s="114"/>
    </row>
    <row r="37" spans="1:12" x14ac:dyDescent="0.25">
      <c r="A37" s="113" t="s">
        <v>230</v>
      </c>
      <c r="B37" s="114"/>
      <c r="C37" s="114"/>
      <c r="D37" s="114"/>
      <c r="E37" s="114"/>
      <c r="F37" s="114"/>
      <c r="G37" s="114" t="s">
        <v>5</v>
      </c>
      <c r="H37" s="114" t="s">
        <v>5</v>
      </c>
      <c r="I37" s="114"/>
      <c r="J37" s="114"/>
      <c r="K37" s="114"/>
      <c r="L37" s="114"/>
    </row>
    <row r="38" spans="1:12" x14ac:dyDescent="0.25">
      <c r="A38" s="113" t="s">
        <v>231</v>
      </c>
      <c r="B38" s="114"/>
      <c r="C38" s="114"/>
      <c r="D38" s="114"/>
      <c r="E38" s="114"/>
      <c r="F38" s="114"/>
      <c r="G38" s="114"/>
      <c r="H38" s="114" t="s">
        <v>5</v>
      </c>
      <c r="I38" s="114"/>
      <c r="J38" s="114"/>
      <c r="K38" s="114"/>
      <c r="L38" s="114"/>
    </row>
    <row r="39" spans="1:12" x14ac:dyDescent="0.25">
      <c r="A39" s="113" t="s">
        <v>232</v>
      </c>
      <c r="B39" s="114" t="s">
        <v>5</v>
      </c>
      <c r="C39" s="114"/>
      <c r="D39" s="114"/>
      <c r="E39" s="114"/>
      <c r="F39" s="114"/>
      <c r="G39" s="114" t="s">
        <v>5</v>
      </c>
      <c r="H39" s="114" t="s">
        <v>5</v>
      </c>
      <c r="I39" s="114"/>
      <c r="J39" s="114"/>
      <c r="K39" s="114"/>
      <c r="L39" s="114"/>
    </row>
  </sheetData>
  <sheetProtection algorithmName="SHA-512" hashValue="zSZBTxlNhMQEGQX3+HnJW6gcrjzfB4MqWWQyIwe466qepywVkeu3ZY08bFt7lJ+3riLhLISz4CvTz5Qx5Ed7pQ==" saltValue="d73XYDHR3NjSmS43cRpUx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264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06" t="s">
        <v>97</v>
      </c>
      <c r="B2" s="114" t="s">
        <v>5</v>
      </c>
      <c r="C2" s="114" t="s">
        <v>5</v>
      </c>
      <c r="D2" s="114" t="s">
        <v>5</v>
      </c>
      <c r="E2" s="114" t="s">
        <v>5</v>
      </c>
      <c r="F2" s="114" t="s">
        <v>5</v>
      </c>
      <c r="G2" s="114" t="s">
        <v>5</v>
      </c>
      <c r="H2" s="114" t="s">
        <v>5</v>
      </c>
      <c r="I2" s="114"/>
      <c r="J2" s="114"/>
      <c r="K2" s="114"/>
      <c r="L2" s="114"/>
    </row>
    <row r="3" spans="1:12" x14ac:dyDescent="0.25">
      <c r="A3" s="106" t="s">
        <v>93</v>
      </c>
      <c r="B3" s="114" t="s">
        <v>5</v>
      </c>
      <c r="C3" s="114" t="s">
        <v>5</v>
      </c>
      <c r="D3" s="114" t="s">
        <v>5</v>
      </c>
      <c r="E3" s="114" t="s">
        <v>5</v>
      </c>
      <c r="F3" s="114" t="s">
        <v>5</v>
      </c>
      <c r="G3" s="114" t="s">
        <v>5</v>
      </c>
      <c r="H3" s="114" t="s">
        <v>5</v>
      </c>
      <c r="I3" s="114"/>
      <c r="J3" s="114"/>
      <c r="K3" s="114"/>
      <c r="L3" s="114"/>
    </row>
    <row r="4" spans="1:12" x14ac:dyDescent="0.25">
      <c r="A4" s="106" t="s">
        <v>96</v>
      </c>
      <c r="B4" s="114" t="s">
        <v>5</v>
      </c>
      <c r="C4" s="114" t="s">
        <v>5</v>
      </c>
      <c r="D4" s="114" t="s">
        <v>5</v>
      </c>
      <c r="E4" s="114" t="s">
        <v>5</v>
      </c>
      <c r="F4" s="114" t="s">
        <v>5</v>
      </c>
      <c r="G4" s="114" t="s">
        <v>5</v>
      </c>
      <c r="H4" s="114" t="s">
        <v>5</v>
      </c>
      <c r="I4" s="114"/>
      <c r="J4" s="114"/>
      <c r="K4" s="114"/>
      <c r="L4" s="114"/>
    </row>
    <row r="5" spans="1:12" x14ac:dyDescent="0.25">
      <c r="A5" s="106" t="s">
        <v>94</v>
      </c>
      <c r="B5" s="114" t="s">
        <v>5</v>
      </c>
      <c r="C5" s="114" t="s">
        <v>5</v>
      </c>
      <c r="D5" s="114" t="s">
        <v>5</v>
      </c>
      <c r="E5" s="114" t="s">
        <v>5</v>
      </c>
      <c r="F5" s="114" t="s">
        <v>5</v>
      </c>
      <c r="G5" s="114" t="s">
        <v>5</v>
      </c>
      <c r="H5" s="114" t="s">
        <v>5</v>
      </c>
      <c r="I5" s="114"/>
      <c r="J5" s="114"/>
      <c r="K5" s="114"/>
      <c r="L5" s="114"/>
    </row>
    <row r="6" spans="1:12" x14ac:dyDescent="0.25">
      <c r="A6" s="106" t="s">
        <v>95</v>
      </c>
      <c r="B6" s="114" t="s">
        <v>5</v>
      </c>
      <c r="C6" s="114" t="s">
        <v>5</v>
      </c>
      <c r="D6" s="114" t="s">
        <v>5</v>
      </c>
      <c r="E6" s="114" t="s">
        <v>5</v>
      </c>
      <c r="F6" s="114" t="s">
        <v>5</v>
      </c>
      <c r="G6" s="114" t="s">
        <v>5</v>
      </c>
      <c r="H6" s="114" t="s">
        <v>5</v>
      </c>
      <c r="I6" s="114"/>
      <c r="J6" s="114"/>
      <c r="K6" s="114"/>
      <c r="L6" s="114"/>
    </row>
    <row r="7" spans="1:12" x14ac:dyDescent="0.25">
      <c r="A7" s="106" t="s">
        <v>132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 t="s">
        <v>5</v>
      </c>
      <c r="J7" s="114"/>
      <c r="K7" s="114"/>
      <c r="L7" s="114" t="s">
        <v>5</v>
      </c>
    </row>
    <row r="8" spans="1:12" x14ac:dyDescent="0.25">
      <c r="A8" s="106" t="s">
        <v>133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 t="s">
        <v>5</v>
      </c>
      <c r="J8" s="114"/>
      <c r="K8" s="114"/>
      <c r="L8" s="114" t="s">
        <v>5</v>
      </c>
    </row>
    <row r="9" spans="1:12" x14ac:dyDescent="0.25">
      <c r="A9" s="106" t="s">
        <v>134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 t="s">
        <v>5</v>
      </c>
      <c r="J9" s="114"/>
      <c r="K9" s="114"/>
      <c r="L9" s="114" t="s">
        <v>5</v>
      </c>
    </row>
    <row r="10" spans="1:12" x14ac:dyDescent="0.25">
      <c r="A10" s="106" t="s">
        <v>135</v>
      </c>
      <c r="B10" s="114"/>
      <c r="C10" s="114" t="s">
        <v>5</v>
      </c>
      <c r="D10" s="114"/>
      <c r="E10" s="114"/>
      <c r="F10" s="114"/>
      <c r="G10" s="114"/>
      <c r="H10" s="114" t="s">
        <v>5</v>
      </c>
      <c r="I10" s="114" t="s">
        <v>5</v>
      </c>
      <c r="J10" s="114"/>
      <c r="K10" s="114"/>
      <c r="L10" s="114" t="s">
        <v>5</v>
      </c>
    </row>
    <row r="11" spans="1:12" x14ac:dyDescent="0.25">
      <c r="A11" s="106" t="s">
        <v>87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 t="s">
        <v>5</v>
      </c>
      <c r="K11" s="114" t="s">
        <v>5</v>
      </c>
      <c r="L11" s="114"/>
    </row>
    <row r="12" spans="1:12" x14ac:dyDescent="0.25">
      <c r="A12" s="106" t="s">
        <v>88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 t="s">
        <v>5</v>
      </c>
      <c r="L12" s="114"/>
    </row>
    <row r="13" spans="1:12" x14ac:dyDescent="0.25">
      <c r="A13" s="106" t="s">
        <v>89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 t="s">
        <v>5</v>
      </c>
      <c r="L13" s="114"/>
    </row>
    <row r="14" spans="1:12" x14ac:dyDescent="0.25">
      <c r="A14" s="106" t="s">
        <v>90</v>
      </c>
      <c r="B14" s="114"/>
      <c r="C14" s="114" t="s">
        <v>5</v>
      </c>
      <c r="D14" s="114"/>
      <c r="E14" s="114"/>
      <c r="F14" s="114"/>
      <c r="G14" s="114"/>
      <c r="H14" s="114"/>
      <c r="I14" s="114"/>
      <c r="J14" s="114"/>
      <c r="K14" s="114" t="s">
        <v>5</v>
      </c>
      <c r="L14" s="114"/>
    </row>
  </sheetData>
  <sheetProtection algorithmName="SHA-512" hashValue="gRcLVZwrqw4oQ87k7yGp1jiagNMl6in4hhVrdxXJJbmQU/Yug7w7KS3dN8EuIqy0EiS8UZmeHI9//F2gxSWaGQ==" saltValue="Ls+PJm41TK/z9WRQACwAA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6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6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6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6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6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6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6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6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6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lzzuYImCmFxXkkq2m4eus08mYVNzKvdw5MqZgDlsbiM/2c9QetWaV0qedXJG9DsRZjGDBE96gbnlbfgcBsKPug==" saltValue="sZNnoJxz4VZjtOwUpT+nwg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307</v>
      </c>
    </row>
    <row r="2" spans="1:7" ht="14.25" customHeight="1" x14ac:dyDescent="0.3">
      <c r="A2" s="120" t="s">
        <v>237</v>
      </c>
      <c r="B2" s="105"/>
      <c r="C2" s="103" t="s">
        <v>97</v>
      </c>
      <c r="D2" s="103" t="s">
        <v>93</v>
      </c>
      <c r="E2" s="103" t="s">
        <v>96</v>
      </c>
      <c r="F2" s="103" t="s">
        <v>94</v>
      </c>
      <c r="G2" s="103" t="s">
        <v>95</v>
      </c>
    </row>
    <row r="3" spans="1:7" ht="14.25" customHeight="1" x14ac:dyDescent="0.25">
      <c r="B3" s="115" t="s">
        <v>294</v>
      </c>
      <c r="C3" s="116" t="s">
        <v>8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280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277</v>
      </c>
    </row>
    <row r="6" spans="1:7" ht="14.25" customHeight="1" x14ac:dyDescent="0.25">
      <c r="B6" s="115" t="s">
        <v>222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213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196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233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232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301</v>
      </c>
    </row>
    <row r="13" spans="1:7" ht="14.25" customHeight="1" x14ac:dyDescent="0.3">
      <c r="A13" s="121"/>
      <c r="B13" s="115" t="s">
        <v>211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308</v>
      </c>
    </row>
    <row r="16" spans="1:7" ht="14.25" customHeight="1" x14ac:dyDescent="0.3">
      <c r="A16" s="120" t="s">
        <v>311</v>
      </c>
      <c r="B16" s="115" t="s">
        <v>288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285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124</v>
      </c>
      <c r="B18" s="115" t="s">
        <v>291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304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199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307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237</v>
      </c>
      <c r="B26" s="105"/>
      <c r="C26" s="103" t="s">
        <v>97</v>
      </c>
      <c r="D26" s="103" t="s">
        <v>93</v>
      </c>
      <c r="E26" s="103" t="s">
        <v>96</v>
      </c>
      <c r="F26" s="103" t="s">
        <v>94</v>
      </c>
      <c r="G26" s="103" t="s">
        <v>95</v>
      </c>
    </row>
    <row r="27" spans="1:7" x14ac:dyDescent="0.25">
      <c r="B27" s="115" t="s">
        <v>295</v>
      </c>
      <c r="C27" s="116" t="s">
        <v>8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281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278</v>
      </c>
    </row>
    <row r="30" spans="1:7" x14ac:dyDescent="0.25">
      <c r="B30" s="115" t="s">
        <v>309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299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27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314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312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302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297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308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311</v>
      </c>
      <c r="B40" s="115" t="s">
        <v>289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286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124</v>
      </c>
      <c r="B42" s="115" t="s">
        <v>292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305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283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276</v>
      </c>
    </row>
    <row r="49" spans="1:7" ht="13" x14ac:dyDescent="0.3">
      <c r="A49" s="118" t="s">
        <v>307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237</v>
      </c>
      <c r="B50" s="105"/>
      <c r="C50" s="103" t="s">
        <v>97</v>
      </c>
      <c r="D50" s="103" t="s">
        <v>93</v>
      </c>
      <c r="E50" s="103" t="s">
        <v>96</v>
      </c>
      <c r="F50" s="103" t="s">
        <v>94</v>
      </c>
      <c r="G50" s="103" t="s">
        <v>95</v>
      </c>
    </row>
    <row r="51" spans="1:7" x14ac:dyDescent="0.25">
      <c r="B51" s="115" t="s">
        <v>296</v>
      </c>
      <c r="C51" s="116" t="s">
        <v>8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282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279</v>
      </c>
    </row>
    <row r="54" spans="1:7" x14ac:dyDescent="0.25">
      <c r="B54" s="115" t="s">
        <v>310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300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28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315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313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298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308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311</v>
      </c>
      <c r="B64" s="115" t="s">
        <v>290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287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124</v>
      </c>
      <c r="B66" s="115" t="s">
        <v>293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306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284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KabBwkaGGKfbbxZ7XH6mMkDK3VUR/fylbNM3vVxb1367n6Y74RygT9YSg/aQiQ/a4npPxr7Ve5A6xqhN3OXKsA==" saltValue="bESBsfwQPkjlB7w5EvRQw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192</v>
      </c>
      <c r="B1" s="103"/>
      <c r="C1" s="103" t="s">
        <v>71</v>
      </c>
      <c r="D1" s="103" t="s">
        <v>78</v>
      </c>
      <c r="E1" s="103" t="s">
        <v>70</v>
      </c>
      <c r="F1" s="105" t="s">
        <v>77</v>
      </c>
    </row>
    <row r="2" spans="1:6" ht="15.75" customHeight="1" x14ac:dyDescent="0.25">
      <c r="A2" s="115" t="s">
        <v>194</v>
      </c>
      <c r="B2" s="115" t="s">
        <v>317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316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195</v>
      </c>
      <c r="B4" s="115" t="s">
        <v>317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207</v>
      </c>
      <c r="B6" s="115" t="s">
        <v>317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316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208</v>
      </c>
      <c r="B8" s="115" t="s">
        <v>317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316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209</v>
      </c>
      <c r="B10" s="115" t="s">
        <v>317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316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214</v>
      </c>
      <c r="B12" s="115" t="s">
        <v>317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316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220</v>
      </c>
      <c r="B14" s="115" t="s">
        <v>317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316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192</v>
      </c>
      <c r="B18" s="103"/>
      <c r="C18" s="103" t="s">
        <v>71</v>
      </c>
      <c r="D18" s="103" t="s">
        <v>78</v>
      </c>
      <c r="E18" s="103" t="s">
        <v>70</v>
      </c>
      <c r="F18" s="105" t="s">
        <v>77</v>
      </c>
    </row>
    <row r="19" spans="1:6" ht="15.75" customHeight="1" x14ac:dyDescent="0.25">
      <c r="A19" s="115" t="s">
        <v>194</v>
      </c>
      <c r="B19" s="115" t="s">
        <v>317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316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195</v>
      </c>
      <c r="B21" s="115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207</v>
      </c>
      <c r="B23" s="115" t="s">
        <v>317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316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208</v>
      </c>
      <c r="B25" s="115" t="s">
        <v>317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316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209</v>
      </c>
      <c r="B27" s="115" t="s">
        <v>317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316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214</v>
      </c>
      <c r="B29" s="115" t="s">
        <v>317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316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220</v>
      </c>
      <c r="B31" s="115" t="s">
        <v>317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316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276</v>
      </c>
    </row>
    <row r="35" spans="1:6" ht="15.75" customHeight="1" x14ac:dyDescent="0.3">
      <c r="A35" s="105" t="s">
        <v>192</v>
      </c>
      <c r="B35" s="103"/>
      <c r="C35" s="103" t="s">
        <v>71</v>
      </c>
      <c r="D35" s="103" t="s">
        <v>78</v>
      </c>
      <c r="E35" s="103" t="s">
        <v>70</v>
      </c>
      <c r="F35" s="105" t="s">
        <v>77</v>
      </c>
    </row>
    <row r="36" spans="1:6" ht="15.75" customHeight="1" x14ac:dyDescent="0.25">
      <c r="A36" s="115" t="s">
        <v>194</v>
      </c>
      <c r="B36" s="115" t="s">
        <v>317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316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195</v>
      </c>
      <c r="B38" s="115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207</v>
      </c>
      <c r="B40" s="115" t="s">
        <v>317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316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208</v>
      </c>
      <c r="B42" s="115" t="s">
        <v>317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316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209</v>
      </c>
      <c r="B44" s="115" t="s">
        <v>317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316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214</v>
      </c>
      <c r="B46" s="115" t="s">
        <v>317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316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220</v>
      </c>
      <c r="B48" s="115" t="s">
        <v>317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316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xEdTimww1ZFWLmiRWUbbh+/CHdIR9USljf3qqFVMf+NH6FrZmatyh53Ud9L39iAxwqMpvDPttRww5bZM0FEzxA==" saltValue="MV7b9KiSnm4OtpLvCSg+U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Y5ir5xxE+l5rA0kdKNHpWmMZyG+bdBU1MSAqF0r+XVWHlcrN85UFDjG+sCTuwmrnKbVTeq14phNnPot82jP5Rw==" saltValue="Cy9xjMocpkKzhHLXYwACq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X6W0L7HjDO9N4Ei26uINjNhyuP4MpMyGiasC7u5kHUnYjgcN6Ka1RV7xQLaZ0uuT6EmHk+LxAOPn//kZUD+Tsg==" saltValue="PvTujM5BHaJZ/HeruuYmZ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213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V1jzJKEN19VqoYwPFWEhoRjSyVcjqxiMPmZfTv/Fmh1SmSzHYgvHaSNwEFIlYOsIUIhy7/Bt4+ngb3SIGoRtHg==" saltValue="3niptIxw2Z13pTErauoCQ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oMvCvgPEeaFqD9jI2RmVvZ54SsYotRT6U0n/RFkptETHsZaQSkyfgnH8PJr1Aox7pD0gV5Xl3loCMdviw4yUCw==" saltValue="TwB+40i+3BN/ihAU0WAXx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192</v>
      </c>
      <c r="B1" s="103" t="s">
        <v>371</v>
      </c>
      <c r="C1" s="120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113" t="s">
        <v>225</v>
      </c>
      <c r="B2" s="113" t="s">
        <v>103</v>
      </c>
      <c r="C2" s="113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222</v>
      </c>
      <c r="B5" s="113" t="s">
        <v>236</v>
      </c>
      <c r="C5" s="113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6</v>
      </c>
      <c r="C7" s="113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213</v>
      </c>
      <c r="B9" s="113" t="s">
        <v>236</v>
      </c>
      <c r="C9" s="113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6</v>
      </c>
      <c r="C11" s="113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233</v>
      </c>
      <c r="B13" s="113" t="s">
        <v>236</v>
      </c>
      <c r="C13" s="113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6</v>
      </c>
      <c r="C15" s="113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370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196</v>
      </c>
      <c r="B19" s="113" t="s">
        <v>236</v>
      </c>
      <c r="C19" s="113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6</v>
      </c>
      <c r="C21" s="113" t="s">
        <v>368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369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202</v>
      </c>
      <c r="B23" s="113" t="s">
        <v>111</v>
      </c>
      <c r="C23" s="113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200</v>
      </c>
      <c r="B25" s="113" t="s">
        <v>111</v>
      </c>
      <c r="C25" s="113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201</v>
      </c>
      <c r="B27" s="113" t="s">
        <v>111</v>
      </c>
      <c r="C27" s="113" t="s">
        <v>368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370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229</v>
      </c>
      <c r="B29" s="113" t="s">
        <v>103</v>
      </c>
      <c r="C29" s="113" t="s">
        <v>368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370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230</v>
      </c>
      <c r="B32" s="113" t="s">
        <v>103</v>
      </c>
      <c r="C32" s="113" t="s">
        <v>368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370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228</v>
      </c>
      <c r="B35" s="113" t="s">
        <v>103</v>
      </c>
      <c r="C35" s="113" t="s">
        <v>368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370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227</v>
      </c>
      <c r="B38" s="113" t="s">
        <v>103</v>
      </c>
      <c r="C38" s="113" t="s">
        <v>368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370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226</v>
      </c>
      <c r="B41" s="113" t="s">
        <v>103</v>
      </c>
      <c r="C41" s="113" t="s">
        <v>368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370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232</v>
      </c>
      <c r="B44" s="113" t="s">
        <v>103</v>
      </c>
      <c r="C44" s="113" t="s">
        <v>368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370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369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121</v>
      </c>
      <c r="C47" s="113" t="s">
        <v>368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370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369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221</v>
      </c>
      <c r="B50" s="113" t="s">
        <v>103</v>
      </c>
      <c r="C50" s="113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370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231</v>
      </c>
      <c r="B52" s="113" t="s">
        <v>103</v>
      </c>
      <c r="C52" s="113" t="s">
        <v>368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370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211</v>
      </c>
      <c r="B54" s="113" t="s">
        <v>115</v>
      </c>
      <c r="C54" s="113" t="s">
        <v>368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370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360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192</v>
      </c>
      <c r="B58" s="103" t="s">
        <v>371</v>
      </c>
      <c r="C58" s="120" t="s">
        <v>9</v>
      </c>
      <c r="D58" s="4" t="s">
        <v>97</v>
      </c>
      <c r="E58" s="4" t="s">
        <v>93</v>
      </c>
      <c r="F58" s="4" t="s">
        <v>96</v>
      </c>
      <c r="G58" s="4" t="s">
        <v>94</v>
      </c>
      <c r="H58" s="4" t="s">
        <v>95</v>
      </c>
    </row>
    <row r="59" spans="1:8" x14ac:dyDescent="0.25">
      <c r="A59" s="113" t="s">
        <v>225</v>
      </c>
      <c r="B59" s="113" t="s">
        <v>103</v>
      </c>
      <c r="C59" s="113" t="s">
        <v>368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370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369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222</v>
      </c>
      <c r="B62" s="113" t="s">
        <v>236</v>
      </c>
      <c r="C62" s="113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6</v>
      </c>
      <c r="C64" s="113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213</v>
      </c>
      <c r="B66" s="113" t="s">
        <v>236</v>
      </c>
      <c r="C66" s="113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6</v>
      </c>
      <c r="C68" s="113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369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233</v>
      </c>
      <c r="B70" s="113" t="s">
        <v>236</v>
      </c>
      <c r="C70" s="113" t="s">
        <v>368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369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6</v>
      </c>
      <c r="C72" s="113" t="s">
        <v>368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368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370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196</v>
      </c>
      <c r="B76" s="113" t="s">
        <v>236</v>
      </c>
      <c r="C76" s="113" t="s">
        <v>368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369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6</v>
      </c>
      <c r="C78" s="113" t="s">
        <v>368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369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202</v>
      </c>
      <c r="B80" s="113" t="s">
        <v>111</v>
      </c>
      <c r="C80" s="113" t="s">
        <v>368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370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200</v>
      </c>
      <c r="B82" s="113" t="s">
        <v>111</v>
      </c>
      <c r="C82" s="113" t="s">
        <v>368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370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201</v>
      </c>
      <c r="B84" s="113" t="s">
        <v>111</v>
      </c>
      <c r="C84" s="113" t="s">
        <v>368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370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229</v>
      </c>
      <c r="B86" s="113" t="s">
        <v>103</v>
      </c>
      <c r="C86" s="113" t="s">
        <v>368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370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369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230</v>
      </c>
      <c r="B89" s="113" t="s">
        <v>103</v>
      </c>
      <c r="C89" s="113" t="s">
        <v>368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370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369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228</v>
      </c>
      <c r="B92" s="113" t="s">
        <v>103</v>
      </c>
      <c r="C92" s="113" t="s">
        <v>368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370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227</v>
      </c>
      <c r="B95" s="113" t="s">
        <v>103</v>
      </c>
      <c r="C95" s="113" t="s">
        <v>368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370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369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226</v>
      </c>
      <c r="B98" s="113" t="s">
        <v>103</v>
      </c>
      <c r="C98" s="113" t="s">
        <v>368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370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232</v>
      </c>
      <c r="B101" s="113" t="s">
        <v>103</v>
      </c>
      <c r="C101" s="113" t="s">
        <v>368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370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369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121</v>
      </c>
      <c r="C104" s="113" t="s">
        <v>368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370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221</v>
      </c>
      <c r="B107" s="113" t="s">
        <v>103</v>
      </c>
      <c r="C107" s="113" t="s">
        <v>368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370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231</v>
      </c>
      <c r="B109" s="113" t="s">
        <v>103</v>
      </c>
      <c r="C109" s="113" t="s">
        <v>368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370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211</v>
      </c>
      <c r="B111" s="113" t="s">
        <v>115</v>
      </c>
      <c r="C111" s="113" t="s">
        <v>368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370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367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192</v>
      </c>
      <c r="B115" s="103" t="s">
        <v>371</v>
      </c>
      <c r="C115" s="120" t="s">
        <v>9</v>
      </c>
      <c r="D115" s="4" t="s">
        <v>97</v>
      </c>
      <c r="E115" s="4" t="s">
        <v>93</v>
      </c>
      <c r="F115" s="4" t="s">
        <v>96</v>
      </c>
      <c r="G115" s="4" t="s">
        <v>94</v>
      </c>
      <c r="H115" s="4" t="s">
        <v>95</v>
      </c>
    </row>
    <row r="116" spans="1:8" x14ac:dyDescent="0.25">
      <c r="A116" s="113" t="s">
        <v>225</v>
      </c>
      <c r="B116" s="113" t="s">
        <v>103</v>
      </c>
      <c r="C116" s="113" t="s">
        <v>368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370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369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222</v>
      </c>
      <c r="B119" s="113" t="s">
        <v>236</v>
      </c>
      <c r="C119" s="113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6</v>
      </c>
      <c r="C121" s="113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213</v>
      </c>
      <c r="B123" s="113" t="s">
        <v>236</v>
      </c>
      <c r="C123" s="113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369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6</v>
      </c>
      <c r="C125" s="113" t="s">
        <v>368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369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233</v>
      </c>
      <c r="B127" s="113" t="s">
        <v>236</v>
      </c>
      <c r="C127" s="113" t="s">
        <v>368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369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6</v>
      </c>
      <c r="C129" s="113" t="s">
        <v>368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369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368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370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196</v>
      </c>
      <c r="B133" s="113" t="s">
        <v>236</v>
      </c>
      <c r="C133" s="113" t="s">
        <v>368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369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6</v>
      </c>
      <c r="C135" s="113" t="s">
        <v>368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369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202</v>
      </c>
      <c r="B137" s="113" t="s">
        <v>111</v>
      </c>
      <c r="C137" s="113" t="s">
        <v>368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370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200</v>
      </c>
      <c r="B139" s="113" t="s">
        <v>111</v>
      </c>
      <c r="C139" s="113" t="s">
        <v>368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370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201</v>
      </c>
      <c r="B141" s="113" t="s">
        <v>111</v>
      </c>
      <c r="C141" s="113" t="s">
        <v>368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370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229</v>
      </c>
      <c r="B143" s="113" t="s">
        <v>103</v>
      </c>
      <c r="C143" s="113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370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230</v>
      </c>
      <c r="B146" s="113" t="s">
        <v>103</v>
      </c>
      <c r="C146" s="113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228</v>
      </c>
      <c r="B149" s="113" t="s">
        <v>103</v>
      </c>
      <c r="C149" s="113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227</v>
      </c>
      <c r="B152" s="113" t="s">
        <v>103</v>
      </c>
      <c r="C152" s="113" t="s">
        <v>368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370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369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226</v>
      </c>
      <c r="B155" s="113" t="s">
        <v>103</v>
      </c>
      <c r="C155" s="113" t="s">
        <v>368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232</v>
      </c>
      <c r="B158" s="113" t="s">
        <v>103</v>
      </c>
      <c r="C158" s="113" t="s">
        <v>368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370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369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121</v>
      </c>
      <c r="C161" s="113" t="s">
        <v>368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370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221</v>
      </c>
      <c r="B164" s="113" t="s">
        <v>103</v>
      </c>
      <c r="C164" s="113" t="s">
        <v>368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370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231</v>
      </c>
      <c r="B166" s="113" t="s">
        <v>103</v>
      </c>
      <c r="C166" s="113" t="s">
        <v>368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370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211</v>
      </c>
      <c r="B168" s="113" t="s">
        <v>115</v>
      </c>
      <c r="C168" s="113" t="s">
        <v>368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370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oLqMGSH2OPlSvdGr2apNdRAsajhs+pMb7BWd2+mSVAHqzZychNrslT3vhE5pB0jD+WEof6+17fXtSeUj51gSvQ==" saltValue="rusWIt0nvwehhuln8i9kV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fQcS3kpX0QWJyvwfkOH+NrN/bs/aJumbsXd+LWSazB0izGeOylKhA7gDIIzbNHvCXaGUlru5+mzTvefsOG6X3w==" saltValue="pFBMnmy8eHmaEIrePPByT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2026-04-29T02:36:08Z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