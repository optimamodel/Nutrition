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793D51FB-BE3E-4480-88B9-F65EAE1BCA3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8" i="2"/>
  <c r="A26" i="2"/>
  <c r="A23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29" i="2" l="1"/>
  <c r="A15" i="2"/>
  <c r="A31" i="2"/>
  <c r="A3" i="2"/>
  <c r="A18" i="2"/>
  <c r="A34" i="2"/>
  <c r="A20" i="2"/>
  <c r="A36" i="2"/>
  <c r="A21" i="2"/>
  <c r="A37" i="2"/>
  <c r="A16" i="2"/>
  <c r="A24" i="2"/>
  <c r="A32" i="2"/>
  <c r="A17" i="2"/>
  <c r="A25" i="2"/>
  <c r="A33" i="2"/>
  <c r="A39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<sst xmlns="http://schemas.openxmlformats.org/spreadsheetml/2006/main" count="2101" uniqueCount="341">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</sst>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765421.328125</v>
      </c>
    </row>
    <row r="8" spans="1:3" ht="15" customHeight="1" x14ac:dyDescent="0.25">
      <c r="B8" s="5" t="s">
        <v>44</v>
      </c>
      <c r="C8" s="44">
        <v>9.0000000000000011E-3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0.8706096649169921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0.379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9.9700000000000011E-2</v>
      </c>
    </row>
    <row r="24" spans="1:3" ht="15" customHeight="1" x14ac:dyDescent="0.25">
      <c r="B24" s="15" t="s">
        <v>46</v>
      </c>
      <c r="C24" s="45">
        <v>0.55500000000000005</v>
      </c>
    </row>
    <row r="25" spans="1:3" ht="15" customHeight="1" x14ac:dyDescent="0.25">
      <c r="B25" s="15" t="s">
        <v>47</v>
      </c>
      <c r="C25" s="45">
        <v>0.30480000000000002</v>
      </c>
    </row>
    <row r="26" spans="1:3" ht="15" customHeight="1" x14ac:dyDescent="0.25">
      <c r="B26" s="15" t="s">
        <v>48</v>
      </c>
      <c r="C26" s="45">
        <v>4.0500000000000001E-2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0.33982819653213803</v>
      </c>
    </row>
    <row r="30" spans="1:3" ht="14.25" customHeight="1" x14ac:dyDescent="0.25">
      <c r="B30" s="25" t="s">
        <v>63</v>
      </c>
      <c r="C30" s="99">
        <v>6.2561187920877309E-2</v>
      </c>
    </row>
    <row r="31" spans="1:3" ht="14.25" customHeight="1" x14ac:dyDescent="0.25">
      <c r="B31" s="25" t="s">
        <v>10</v>
      </c>
      <c r="C31" s="99">
        <v>0.10830365564404</v>
      </c>
    </row>
    <row r="32" spans="1:3" ht="14.25" customHeight="1" x14ac:dyDescent="0.25">
      <c r="B32" s="25" t="s">
        <v>11</v>
      </c>
      <c r="C32" s="99">
        <v>0.48930695990294498</v>
      </c>
    </row>
    <row r="33" spans="1:5" ht="13" customHeight="1" x14ac:dyDescent="0.25">
      <c r="B33" s="27" t="s">
        <v>60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11.92366</v>
      </c>
    </row>
    <row r="38" spans="1:5" ht="15" customHeight="1" x14ac:dyDescent="0.25">
      <c r="B38" s="11" t="s">
        <v>35</v>
      </c>
      <c r="C38" s="43">
        <v>15.550739999999999</v>
      </c>
      <c r="D38" s="12"/>
      <c r="E38" s="13"/>
    </row>
    <row r="39" spans="1:5" ht="15" customHeight="1" x14ac:dyDescent="0.25">
      <c r="B39" s="11" t="s">
        <v>61</v>
      </c>
      <c r="C39" s="43">
        <v>17.399979999999999</v>
      </c>
      <c r="D39" s="12"/>
      <c r="E39" s="12"/>
    </row>
    <row r="40" spans="1:5" ht="15" customHeight="1" x14ac:dyDescent="0.25">
      <c r="B40" s="11" t="s">
        <v>36</v>
      </c>
      <c r="C40" s="100">
        <v>0.5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5.9365999999999993E-3</v>
      </c>
      <c r="D45" s="12"/>
    </row>
    <row r="46" spans="1:5" ht="15.75" customHeight="1" x14ac:dyDescent="0.25">
      <c r="B46" s="11" t="s">
        <v>51</v>
      </c>
      <c r="C46" s="45">
        <v>6.3787999999999997E-2</v>
      </c>
      <c r="D46" s="12"/>
    </row>
    <row r="47" spans="1:5" ht="15.75" customHeight="1" x14ac:dyDescent="0.25">
      <c r="B47" s="11" t="s">
        <v>59</v>
      </c>
      <c r="C47" s="45">
        <v>7.5355800000000001E-2</v>
      </c>
      <c r="D47" s="12"/>
      <c r="E47" s="13"/>
    </row>
    <row r="48" spans="1:5" ht="15" customHeight="1" x14ac:dyDescent="0.25">
      <c r="B48" s="11" t="s">
        <v>58</v>
      </c>
      <c r="C48" s="46">
        <v>0.85491960000000011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0.58899100000000004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5.5305958000000002E-2</v>
      </c>
    </row>
    <row r="63" spans="1:4" ht="15.75" customHeight="1" x14ac:dyDescent="0.3">
      <c r="A63" s="4"/>
    </row>
  </sheetData>
  <sheetProtection algorithmName="SHA-512" hashValue="JhKIrTdy+UQ1T8Rxqu7svjlE8BggYMgyWoBKsNHyHTrVmbuivbWTI/bR7ROw6fGzvEjZIdZEwc6dlBvmaNcSWQ==" saltValue="PgRqKsdPR45II3UXOUOU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150624</v>
      </c>
      <c r="C2" s="49">
        <v>360380.00000000012</v>
      </c>
      <c r="D2" s="49">
        <v>512246.5</v>
      </c>
      <c r="E2" s="49">
        <v>549783.5</v>
      </c>
      <c r="F2" s="49">
        <v>320180</v>
      </c>
      <c r="G2" s="17">
        <f t="shared" ref="G2:G13" si="0">C2+D2+E2+F2</f>
        <v>1742590</v>
      </c>
      <c r="H2" s="17">
        <f t="shared" ref="H2:H13" si="1">(B2 + stillbirth*B2/(1000-stillbirth))/(1-abortion)</f>
        <v>172268.47332657743</v>
      </c>
      <c r="I2" s="17">
        <f t="shared" ref="I2:I13" si="2">G2-H2</f>
        <v>1570321.5266734227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149214</v>
      </c>
      <c r="C3" s="50">
        <v>378594</v>
      </c>
      <c r="D3" s="50">
        <v>508348.5</v>
      </c>
      <c r="E3" s="50">
        <v>554364.5</v>
      </c>
      <c r="F3" s="50">
        <v>332360.5</v>
      </c>
      <c r="G3" s="17">
        <f t="shared" si="0"/>
        <v>1773667.5</v>
      </c>
      <c r="H3" s="17">
        <f t="shared" si="1"/>
        <v>170655.85815641549</v>
      </c>
      <c r="I3" s="17">
        <f t="shared" si="2"/>
        <v>1603011.6418435846</v>
      </c>
    </row>
    <row r="4" spans="1:9" ht="15.75" customHeight="1" x14ac:dyDescent="0.25">
      <c r="A4" s="5">
        <f t="shared" si="3"/>
        <v>2026</v>
      </c>
      <c r="B4" s="49">
        <v>148152</v>
      </c>
      <c r="C4" s="50">
        <v>397519</v>
      </c>
      <c r="D4" s="50">
        <v>507045.5</v>
      </c>
      <c r="E4" s="50">
        <v>555494</v>
      </c>
      <c r="F4" s="50">
        <v>346646.5</v>
      </c>
      <c r="G4" s="17">
        <f t="shared" si="0"/>
        <v>1806705</v>
      </c>
      <c r="H4" s="17">
        <f t="shared" si="1"/>
        <v>169441.25013463391</v>
      </c>
      <c r="I4" s="17">
        <f t="shared" si="2"/>
        <v>1637263.7498653661</v>
      </c>
    </row>
    <row r="5" spans="1:9" ht="15.75" customHeight="1" x14ac:dyDescent="0.25">
      <c r="A5" s="5">
        <f t="shared" si="3"/>
        <v>2027</v>
      </c>
      <c r="B5" s="49">
        <v>147606</v>
      </c>
      <c r="C5" s="50">
        <v>415273</v>
      </c>
      <c r="D5" s="50">
        <v>510834.5</v>
      </c>
      <c r="E5" s="50">
        <v>551346</v>
      </c>
      <c r="F5" s="50">
        <v>363447.5</v>
      </c>
      <c r="G5" s="17">
        <f t="shared" si="0"/>
        <v>1840901</v>
      </c>
      <c r="H5" s="17">
        <f t="shared" si="1"/>
        <v>168816.7906432095</v>
      </c>
      <c r="I5" s="17">
        <f t="shared" si="2"/>
        <v>1672084.2093567904</v>
      </c>
    </row>
    <row r="6" spans="1:9" ht="15.75" customHeight="1" x14ac:dyDescent="0.25">
      <c r="A6" s="5">
        <f t="shared" si="3"/>
        <v>2028</v>
      </c>
      <c r="B6" s="49">
        <v>147585</v>
      </c>
      <c r="C6" s="50">
        <v>431528.5</v>
      </c>
      <c r="D6" s="50">
        <v>518980.5</v>
      </c>
      <c r="E6" s="50">
        <v>544269</v>
      </c>
      <c r="F6" s="50">
        <v>383275</v>
      </c>
      <c r="G6" s="17">
        <f t="shared" si="0"/>
        <v>1878053</v>
      </c>
      <c r="H6" s="17">
        <f t="shared" si="1"/>
        <v>168792.77297046239</v>
      </c>
      <c r="I6" s="17">
        <f t="shared" si="2"/>
        <v>1709260.2270295375</v>
      </c>
    </row>
    <row r="7" spans="1:9" ht="15.75" customHeight="1" x14ac:dyDescent="0.25">
      <c r="A7" s="5">
        <f t="shared" si="3"/>
        <v>2029</v>
      </c>
      <c r="B7" s="49">
        <v>148026</v>
      </c>
      <c r="C7" s="50">
        <v>445164</v>
      </c>
      <c r="D7" s="50">
        <v>531334</v>
      </c>
      <c r="E7" s="50">
        <v>536101</v>
      </c>
      <c r="F7" s="50">
        <v>403728.5</v>
      </c>
      <c r="G7" s="17">
        <f t="shared" si="0"/>
        <v>1916327.5</v>
      </c>
      <c r="H7" s="17">
        <f t="shared" si="1"/>
        <v>169297.14409815136</v>
      </c>
      <c r="I7" s="17">
        <f t="shared" si="2"/>
        <v>1747030.3559018485</v>
      </c>
    </row>
    <row r="8" spans="1:9" ht="15.75" customHeight="1" x14ac:dyDescent="0.25">
      <c r="A8" s="5">
        <f t="shared" si="3"/>
        <v>2030</v>
      </c>
      <c r="B8" s="49">
        <v>148902</v>
      </c>
      <c r="C8" s="50">
        <v>454578.99999999988</v>
      </c>
      <c r="D8" s="50">
        <v>548649.5</v>
      </c>
      <c r="E8" s="50">
        <v>526612.5</v>
      </c>
      <c r="F8" s="50">
        <v>423602</v>
      </c>
      <c r="G8" s="17">
        <f t="shared" si="0"/>
        <v>1953443</v>
      </c>
      <c r="H8" s="17">
        <f t="shared" si="1"/>
        <v>170299.02416131581</v>
      </c>
      <c r="I8" s="17">
        <f t="shared" si="2"/>
        <v>1783143.9758386842</v>
      </c>
    </row>
    <row r="9" spans="1:9" ht="15.75" customHeight="1" x14ac:dyDescent="0.25">
      <c r="A9" s="5">
        <f t="shared" si="3"/>
        <v>2031</v>
      </c>
      <c r="B9" s="49">
        <v>150695</v>
      </c>
      <c r="C9" s="50">
        <v>460047</v>
      </c>
      <c r="D9" s="50">
        <v>570192</v>
      </c>
      <c r="E9" s="50">
        <v>516308</v>
      </c>
      <c r="F9" s="50">
        <v>441966</v>
      </c>
      <c r="G9" s="17">
        <f t="shared" si="0"/>
        <v>1988513</v>
      </c>
      <c r="H9" s="17">
        <f t="shared" si="1"/>
        <v>172349.67593443667</v>
      </c>
      <c r="I9" s="17">
        <f t="shared" si="2"/>
        <v>1816163.3240655633</v>
      </c>
    </row>
    <row r="10" spans="1:9" ht="15.75" customHeight="1" x14ac:dyDescent="0.25">
      <c r="A10" s="5">
        <f t="shared" si="3"/>
        <v>2032</v>
      </c>
      <c r="B10" s="49">
        <v>152303</v>
      </c>
      <c r="C10" s="50">
        <v>464304.99999999988</v>
      </c>
      <c r="D10" s="50">
        <v>594033</v>
      </c>
      <c r="E10" s="50">
        <v>506524</v>
      </c>
      <c r="F10" s="50">
        <v>458011</v>
      </c>
      <c r="G10" s="17">
        <f t="shared" si="0"/>
        <v>2022873</v>
      </c>
      <c r="H10" s="17">
        <f t="shared" si="1"/>
        <v>174188.74344764263</v>
      </c>
      <c r="I10" s="17">
        <f t="shared" si="2"/>
        <v>1848684.2565523575</v>
      </c>
    </row>
    <row r="11" spans="1:9" ht="15.75" customHeight="1" x14ac:dyDescent="0.25">
      <c r="A11" s="5">
        <f t="shared" si="3"/>
        <v>2033</v>
      </c>
      <c r="B11" s="49">
        <v>154795</v>
      </c>
      <c r="C11" s="50">
        <v>467833.49999999988</v>
      </c>
      <c r="D11" s="50">
        <v>618813.50000000012</v>
      </c>
      <c r="E11" s="50">
        <v>498579.5</v>
      </c>
      <c r="F11" s="50">
        <v>471585</v>
      </c>
      <c r="G11" s="17">
        <f t="shared" si="0"/>
        <v>2056811.5</v>
      </c>
      <c r="H11" s="17">
        <f t="shared" si="1"/>
        <v>177038.84061363101</v>
      </c>
      <c r="I11" s="17">
        <f t="shared" si="2"/>
        <v>1879772.6593863689</v>
      </c>
    </row>
    <row r="12" spans="1:9" ht="15.75" customHeight="1" x14ac:dyDescent="0.25">
      <c r="A12" s="5">
        <f t="shared" si="3"/>
        <v>2034</v>
      </c>
      <c r="B12" s="49">
        <v>156752</v>
      </c>
      <c r="C12" s="50">
        <v>468206.49999999988</v>
      </c>
      <c r="D12" s="50">
        <v>643693.5</v>
      </c>
      <c r="E12" s="50">
        <v>493337</v>
      </c>
      <c r="F12" s="50">
        <v>480871.5</v>
      </c>
      <c r="G12" s="17">
        <f t="shared" si="0"/>
        <v>2086108.5</v>
      </c>
      <c r="H12" s="17">
        <f t="shared" si="1"/>
        <v>179277.0589739196</v>
      </c>
      <c r="I12" s="17">
        <f t="shared" si="2"/>
        <v>1906831.4410260804</v>
      </c>
    </row>
    <row r="13" spans="1:9" ht="15.75" customHeight="1" x14ac:dyDescent="0.25">
      <c r="A13" s="5">
        <f t="shared" si="3"/>
        <v>2035</v>
      </c>
      <c r="B13" s="49">
        <v>159181</v>
      </c>
      <c r="C13" s="50">
        <v>465727</v>
      </c>
      <c r="D13" s="50">
        <v>667980</v>
      </c>
      <c r="E13" s="50">
        <v>489537</v>
      </c>
      <c r="F13" s="50">
        <v>485528.5</v>
      </c>
      <c r="G13" s="17">
        <f t="shared" si="0"/>
        <v>2108772.5</v>
      </c>
      <c r="H13" s="17">
        <f t="shared" si="1"/>
        <v>182055.10312166667</v>
      </c>
      <c r="I13" s="17">
        <f t="shared" si="2"/>
        <v>1926717.3968783333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SD13Jc/6hfd6VnTvVECb2uLSloeAiAfEqmPJM5Y5aezXxLOTAE2CCrQkWgwRVJ4UBaR9loDxHxsaGNUpBm3Lg==" saltValue="yZQ1iWSoIuRFrrOZIZYiw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1.5407999999999991E-3</v>
      </c>
    </row>
    <row r="4" spans="1:8" ht="15.75" customHeight="1" x14ac:dyDescent="0.25">
      <c r="B4" s="19" t="s">
        <v>97</v>
      </c>
      <c r="C4" s="101">
        <v>5.5218899999999987E-2</v>
      </c>
    </row>
    <row r="5" spans="1:8" ht="15.75" customHeight="1" x14ac:dyDescent="0.25">
      <c r="B5" s="19" t="s">
        <v>95</v>
      </c>
      <c r="C5" s="101">
        <v>4.9336599999999987E-2</v>
      </c>
    </row>
    <row r="6" spans="1:8" ht="15.75" customHeight="1" x14ac:dyDescent="0.25">
      <c r="B6" s="19" t="s">
        <v>91</v>
      </c>
      <c r="C6" s="101">
        <v>0.19651040000000031</v>
      </c>
    </row>
    <row r="7" spans="1:8" ht="15.75" customHeight="1" x14ac:dyDescent="0.25">
      <c r="B7" s="19" t="s">
        <v>96</v>
      </c>
      <c r="C7" s="101">
        <v>0.41559819999999958</v>
      </c>
    </row>
    <row r="8" spans="1:8" ht="15.75" customHeight="1" x14ac:dyDescent="0.25">
      <c r="B8" s="19" t="s">
        <v>98</v>
      </c>
      <c r="C8" s="101">
        <v>1.9750000000000041E-4</v>
      </c>
    </row>
    <row r="9" spans="1:8" ht="15.75" customHeight="1" x14ac:dyDescent="0.25">
      <c r="B9" s="19" t="s">
        <v>92</v>
      </c>
      <c r="C9" s="101">
        <v>0.19013440000000001</v>
      </c>
    </row>
    <row r="10" spans="1:8" ht="15.75" customHeight="1" x14ac:dyDescent="0.25">
      <c r="B10" s="19" t="s">
        <v>94</v>
      </c>
      <c r="C10" s="101">
        <v>9.1463199999999953E-2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102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2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90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79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88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99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8.6989028999999995E-2</v>
      </c>
    </row>
    <row r="27" spans="1:8" ht="15.75" customHeight="1" x14ac:dyDescent="0.25">
      <c r="B27" s="19" t="s">
        <v>89</v>
      </c>
      <c r="C27" s="101">
        <v>5.4674084999999983E-2</v>
      </c>
    </row>
    <row r="28" spans="1:8" ht="15.75" customHeight="1" x14ac:dyDescent="0.25">
      <c r="B28" s="19" t="s">
        <v>103</v>
      </c>
      <c r="C28" s="101">
        <v>7.8007822000000004E-2</v>
      </c>
    </row>
    <row r="29" spans="1:8" ht="15.75" customHeight="1" x14ac:dyDescent="0.25">
      <c r="B29" s="19" t="s">
        <v>86</v>
      </c>
      <c r="C29" s="101">
        <v>0.25304623700000001</v>
      </c>
    </row>
    <row r="30" spans="1:8" ht="15.75" customHeight="1" x14ac:dyDescent="0.25">
      <c r="B30" s="19" t="s">
        <v>4</v>
      </c>
      <c r="C30" s="101">
        <v>6.4168437999999994E-2</v>
      </c>
    </row>
    <row r="31" spans="1:8" ht="15.75" customHeight="1" x14ac:dyDescent="0.25">
      <c r="B31" s="19" t="s">
        <v>80</v>
      </c>
      <c r="C31" s="101">
        <v>3.8459681000000003E-2</v>
      </c>
    </row>
    <row r="32" spans="1:8" ht="15.75" customHeight="1" x14ac:dyDescent="0.25">
      <c r="B32" s="19" t="s">
        <v>85</v>
      </c>
      <c r="C32" s="101">
        <v>7.8795084000000001E-2</v>
      </c>
    </row>
    <row r="33" spans="2:3" ht="15.75" customHeight="1" x14ac:dyDescent="0.25">
      <c r="B33" s="19" t="s">
        <v>100</v>
      </c>
      <c r="C33" s="101">
        <v>6.8855599000000017E-2</v>
      </c>
    </row>
    <row r="34" spans="2:3" ht="15.75" customHeight="1" x14ac:dyDescent="0.25">
      <c r="B34" s="19" t="s">
        <v>87</v>
      </c>
      <c r="C34" s="101">
        <v>0.27700402600000001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3BEGMGcWE7Z3cot+u3WT62qUqDzc/baiGK7Q0iMbuKsM48pvuO2jDB7puhlQU5d8hx+3QGQQTYfR/CiHAEfwnw==" saltValue="u480mIEVQrCbAzLPcdh7A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110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106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107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119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0.66876521474999995</v>
      </c>
      <c r="D14" s="54">
        <v>0.63119051921299996</v>
      </c>
      <c r="E14" s="54">
        <v>0.63119051921299996</v>
      </c>
      <c r="F14" s="54">
        <v>0.45397782957600002</v>
      </c>
      <c r="G14" s="54">
        <v>0.45397782957600002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0.39389669260081722</v>
      </c>
      <c r="D15" s="52">
        <f t="shared" si="0"/>
        <v>0.37176553510178406</v>
      </c>
      <c r="E15" s="52">
        <f t="shared" si="0"/>
        <v>0.37176553510178406</v>
      </c>
      <c r="F15" s="52">
        <f t="shared" si="0"/>
        <v>0.26738885581979788</v>
      </c>
      <c r="G15" s="52">
        <f t="shared" si="0"/>
        <v>0.26738885581979788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OooqNvvzsZwFhsOBTkaVuv/G57ub/LybQ2vAzV4TVX5xzTUrIHYfSWcLEGopPwbjilYVEkLcGcxjhpYthWEfA==" saltValue="e/x5oZa/wBKaSxQ344Kj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125</v>
      </c>
      <c r="C5" s="52">
        <v>2.9951999999999999E-3</v>
      </c>
      <c r="D5" s="52">
        <v>1.9772100000000001E-2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oovVjldk/Y/zc7dd5J2JsjzXBHQWicJFt3wAlwESbXOIZytpiCtaprhuoASMkoneb8JoiQhebjNA0vsqZ5zNrg==" saltValue="vimCAYDiNMucmqTgb9hcQ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vcM54SxctdhW2Bp59oYAMLuQiX6P6AQvwx7gRrtjg9ySPYH8lQzvkKKrA6f0hkupc6OvlCATp6EVyBf9MYReg==" saltValue="uRi6bcor5vlXGtPMbwxIA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hg6Hi3VCyWMQ4fQOFObk0I1ht+d9G1SPUD7i0RiIt9AVFu+rI/OsPbEEX5j63HVg4WLURkD+Q1/msSzprv1gHQ==" saltValue="glethfeGTXdzT4dSITADy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He+XfZBVz4wF0ke/xRUMOJVMWlo73wXD41K0x4dsMvH4kqqgJpBlWyo0cT0TLFxTVQo0DL5ORG63HlrLxIOt4g==" saltValue="TupizE9GE86m0mvOK36r/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bgNQ107Ci+zZdq3sECDazdpggkh54CnaPOh/ci6NFkQXJKMfFE7a/3qUFcudcEtyB2gHbeHg9JXnGuHOzFgwFQ==" saltValue="/HUM9i2KpF5GuncJWHNIF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38.470301788640938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42.533821775887482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107.7603082099896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3.2952999808707668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2.3195500000000001E-2</v>
      </c>
      <c r="C10" s="98">
        <v>0.95</v>
      </c>
      <c r="D10" s="56">
        <v>13.55153367590807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13.55153367590807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13.55153367590807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13.55153367590807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2.3195500000000001E-2</v>
      </c>
      <c r="C14" s="98">
        <v>0.95</v>
      </c>
      <c r="D14" s="56">
        <v>13.55153367590807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13.55153367590807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0.29077641375814661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0.41442689999999999</v>
      </c>
      <c r="C18" s="98">
        <v>0.95</v>
      </c>
      <c r="D18" s="56">
        <v>2.5765543589847759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0.41442689999999999</v>
      </c>
      <c r="C19" s="98">
        <v>0.95</v>
      </c>
      <c r="D19" s="56">
        <v>2.5765543589847759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29.985420494092399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23.13145465735499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4.4684305312370904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0.71204221746141994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2.3195500000000001E-2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19.554423814166139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0.36409789999999997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0.59765410000000008</v>
      </c>
      <c r="C29" s="98">
        <v>0.95</v>
      </c>
      <c r="D29" s="56">
        <v>69.007299698442466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0.90872808870784549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0.97</v>
      </c>
      <c r="C32" s="98">
        <v>0.95</v>
      </c>
      <c r="D32" s="56">
        <v>0.57448447746283704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0.61718569999999995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7.1143999999999999E-2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0.93661349999999999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0.21817230000000001</v>
      </c>
      <c r="C38" s="98">
        <v>0.95</v>
      </c>
      <c r="D38" s="56">
        <v>1.4631854953882599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8oklF7jfsfvizM/CnUkkUIWcAIw+tUfABuEv2DP6w2mo5Ncye++bhp6GFSWrLKGspLBb2IBI0+YTH1tR+fPHDw==" saltValue="TyaFMWxrmfixINGynJ7m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08J5asIOwtYqdHxTBEXE2vG32Vn2ZDxmKwrHJQiRcPQ3OE4rl16ba1z/5RXHKkGafyhvcBgXc8OuMQiO1zAUnQ==" saltValue="iKzX2sffdLhllREDjD0h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6MiK3tmJfTsD/W72GJk9ReGVFprVWiH3874R+C09ogiYnUqH2ZUuy65N+HoiGF6L9OB0nShERgp2epXEq+ZNog==" saltValue="8Xr2J84qqBsxj1LUpdkBv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207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sheetProtection algorithmName="SHA-512" hashValue="rV8rw9MDuCsIdt6YSxjGKqLIL057tunlYPHioVhifywGHqUxZMu4haitxrZ/+Mv2OdAEQTa7s+DaYVXo6owD6Q==" saltValue="oqf3w301Hb9UDJ4F03/Lz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9.0000000000000011E-3</v>
      </c>
      <c r="E2" s="60">
        <f>food_insecure</f>
        <v>9.0000000000000011E-3</v>
      </c>
      <c r="F2" s="60">
        <f>food_insecure</f>
        <v>9.0000000000000011E-3</v>
      </c>
      <c r="G2" s="60">
        <f>food_insecure</f>
        <v>9.0000000000000011E-3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9.0000000000000011E-3</v>
      </c>
      <c r="I15" s="60">
        <f>food_insecure</f>
        <v>9.0000000000000011E-3</v>
      </c>
      <c r="J15" s="60">
        <f>food_insecure</f>
        <v>9.0000000000000011E-3</v>
      </c>
      <c r="K15" s="60">
        <f>food_insecure</f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0.379</v>
      </c>
      <c r="M24" s="60">
        <f>famplan_unmet_need</f>
        <v>0.379</v>
      </c>
      <c r="N24" s="60">
        <f>famplan_unmet_need</f>
        <v>0.379</v>
      </c>
      <c r="O24" s="60">
        <f>famplan_unmet_need</f>
        <v>0.379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6.364581192398075E-2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2.7276776538848895E-2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3.8467746620178253E-2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0.8706096649169921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xMQH/dlhYJvSkjgUiR/T/qkQsqoJAIALGNC2cjwJY3b9BfefTMkVyWafuSSp9p76/YQS95R2j0M8RiNMAD/FQ==" saltValue="hl5dvVyfDdiFDmr8mMG4k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FAdab9Vio91UlzWffgGgsGIWmVm9XlBnLRM12srI6uIQ/vmGZKTc0Q0ZfmdsGTA0qFzXc5DrQyGatbfPq2QhGQ==" saltValue="fTBfYD7WqDTbij2qsCwXo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BJz2N6L8ZpZhIztBYCob44SkZJ/yEkr9pCVKMPGbTvjgObgv93dtu2Li7CNLolbGlJu2IXTjdzHRHgSpd7RWA==" saltValue="0yUa2OHG1evsTvBegCBsX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301iIdaccNurAqDY4+GyR9SQTusj9en06ex2N/BH17VaotMUifVEhM5K7FvRMuAMPFQT5jrSW2D2cEQqNnhVA==" saltValue="bSOfg9t5yaR3v2NfFqqfR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/Y8RlwyNR4h13EprDehtMKrOP4GBBhB08FlWcM8lmDeYlqT1cKM+GVtf3zO6sA+Z5egfQiMcj2nIHNHsgukNOg==" saltValue="NXtdSUW6s6uC42P/5vGA7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i8dYa+xhfC1fx0dTlqF+fOlCoXanCN0WBgeEBB4ADRR83kE055iR7UaBl9YwjSrI+B5juOEGKxv8Ega1fromPg==" saltValue="n7UbIGWLB5soUVRGZzORX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ZW2LtbZ7NCOByQGRtERvkuTvLubgAN8Dtw1jIftEf4NeB6XvCPeqbBzuu+KJoQ2qlHK845F+7VeUByYqfG+pOQ==" saltValue="GnHT2jELyC4Nb7NBT68nA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qjss7qLvFltVLzhZagpiSDjyO+KCNsO3+WjdoiJOeKoMcYj2L3bBv1THgkgCEVzEU1lgVy2pU9cwOmZO/XlOQ==" saltValue="w1LzL5OueFB0y/6vfWqn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7v1k9dctEgGwS5HrDZGIuHXk9pkatmdvuOHOA00bttGYKFBKrOZVZzxamhf4GRAqB557F82KL5l/VNbI55n1QQ==" saltValue="KGmj3DjoTJ+Kta4AcVkY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bC6Mfwgo1Ijy05lDb2OOKQzMH9li+giGn3GXX57IBXqZo2wBIoDE2wbuVP2o6S48pjRBlrUlhkowidyGrAnsew==" saltValue="m+kDr5PoVpV//bM7R/5c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mM/hWMJ8edOrnODXUyUUKHPLh8YBOXTNbPXhgpjoj1Wc7jYiPsZ3M1PD+eGbTOnJby+dR6lUzRe79ldsoYUAeQ==" saltValue="61dP1gMWdQdF/jU3Rjm9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s2MA2RqaOP/TZyYf8f8kpkEaUA6wlLHHLsALTx9AOFxyCdJeOSIa1ZRP23FLhMdR67u7msumSdFGorPpUwOdg==" saltValue="kwT7+TnvlidUvt7pvEiy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7U2aJjfVMZoEy4NFJCK8rRi05roF2z9Iof0FpuM4F3sjxt727C8EGWIapdjHbD7XoE/RlM9CiKPMw9ih1mInuw==" saltValue="pr6t/O8Q5IQuftGa/TOH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0.10910165463536647</v>
      </c>
      <c r="G18" s="90">
        <f>MIN(MAX(1-0.89/(1-frac_sam_12_23months+(frac_sam_12_23months*0.89)),0),1)</f>
        <v>0.10908718498433989</v>
      </c>
      <c r="H18" s="90">
        <f>MIN(MAX(1-0.89/(1-frac_sam_24_59months+(frac_sam_24_59months*0.89)),0),1)</f>
        <v>0.10959478370930786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0.10795911839984551</v>
      </c>
      <c r="G20" s="90">
        <f>MIN(MAX(1-0.89/(1-frac_mam_12_23months+(frac_mam_12_23months*0.89)),0),1)</f>
        <v>0.10894820335028643</v>
      </c>
      <c r="H20" s="90">
        <f>MIN(MAX(1-0.89/(1-frac_mam_24_59months+(frac_mam_24_59months*0.89)),0),1)</f>
        <v>0.1090771099056862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9.909239370063827E-3</v>
      </c>
      <c r="G73" s="90">
        <f>MIN(MAX(1-0.99/(1-frac_sam_12_23months+(frac_sam_12_23months*0.99)),0),1)</f>
        <v>9.9077788501531483E-3</v>
      </c>
      <c r="H73" s="90">
        <f>MIN(MAX(1-0.99/(1-frac_sam_24_59months+(frac_sam_24_59months*0.99)),0),1)</f>
        <v>9.9590400254039313E-3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9.7940480542607622E-3</v>
      </c>
      <c r="G75" s="90">
        <f>MIN(MAX(1-0.99/(1-frac_mam_12_23months+(frac_mam_12_23months*0.99)),0),1)</f>
        <v>9.8937526887072913E-3</v>
      </c>
      <c r="H75" s="90">
        <f>MIN(MAX(1-0.99/(1-frac_mam_24_59months+(frac_mam_24_59months*0.99)),0),1)</f>
        <v>9.9067619296777654E-3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0.19853060203515915</v>
      </c>
      <c r="G128" s="90">
        <f>MIN(MAX(1-0.8/(1-frac_sam_12_23months+(frac_sam_12_23months*0.8)),0),1)</f>
        <v>0.19850691456099734</v>
      </c>
      <c r="H128" s="90">
        <f>MIN(MAX(1-0.8/(1-frac_sam_24_59months+(frac_sam_24_59months*0.8)),0),1)</f>
        <v>0.1993374998208518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0.19665827515984446</v>
      </c>
      <c r="G130" s="90">
        <f>MIN(MAX(1-0.8/(1-frac_mam_12_23months+(frac_mam_12_23months*0.8)),0),1)</f>
        <v>0.19827936320372053</v>
      </c>
      <c r="H130" s="90">
        <f>MIN(MAX(1-0.8/(1-frac_mam_24_59months+(frac_mam_24_59months*0.8)),0),1)</f>
        <v>0.19849042082839663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bl6G3lrmxT9lF57Yn0wLAslVQGfGxDKE/9AvMN6cJtdPDHaD2A05UIuxr2mzgk7VGG9JGgc60lNyym5D5tqng==" saltValue="6T2rKdjgckGrV4qkwnXz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7zsIxtkjYOoPn+coyRU5NIxETEKcR8yOu+YGJA9uZCvggJPGJW9OqHpyuK9QXzXUCFWKdWEy/roEwbM1JhzWQ==" saltValue="ntkG/NskbG7RyovrOfQ8U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2024-08-06T07:50:01Z</dcterms:modified>
</cp:coreProperties>
</file>