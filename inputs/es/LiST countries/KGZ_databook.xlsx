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FF4CFE4-C139-43A2-BD11-48C77AF2FA4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<sst xmlns="http://schemas.openxmlformats.org/spreadsheetml/2006/main" count="2102" uniqueCount="341">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</sst>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765421.328125</v>
      </c>
    </row>
    <row r="8" spans="1:3" ht="15" customHeight="1" x14ac:dyDescent="0.25">
      <c r="B8" s="5" t="s">
        <v>44</v>
      </c>
      <c r="C8" s="44">
        <v>9.0000000000000011E-3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0.8706096649169921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9.9700000000000011E-2</v>
      </c>
    </row>
    <row r="24" spans="1:3" ht="15" customHeight="1" x14ac:dyDescent="0.25">
      <c r="B24" s="15" t="s">
        <v>46</v>
      </c>
      <c r="C24" s="45">
        <v>0.55500000000000005</v>
      </c>
    </row>
    <row r="25" spans="1:3" ht="15" customHeight="1" x14ac:dyDescent="0.25">
      <c r="B25" s="15" t="s">
        <v>47</v>
      </c>
      <c r="C25" s="45">
        <v>0.30480000000000002</v>
      </c>
    </row>
    <row r="26" spans="1:3" ht="15" customHeight="1" x14ac:dyDescent="0.25">
      <c r="B26" s="15" t="s">
        <v>48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0.33982819653213803</v>
      </c>
    </row>
    <row r="30" spans="1:3" ht="14.25" customHeight="1" x14ac:dyDescent="0.25">
      <c r="B30" s="25" t="s">
        <v>63</v>
      </c>
      <c r="C30" s="99">
        <v>6.2561187920877309E-2</v>
      </c>
    </row>
    <row r="31" spans="1:3" ht="14.25" customHeight="1" x14ac:dyDescent="0.25">
      <c r="B31" s="25" t="s">
        <v>10</v>
      </c>
      <c r="C31" s="99">
        <v>0.10830365564404</v>
      </c>
    </row>
    <row r="32" spans="1:3" ht="14.25" customHeight="1" x14ac:dyDescent="0.25">
      <c r="B32" s="25" t="s">
        <v>11</v>
      </c>
      <c r="C32" s="99">
        <v>0.48930695990294498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11.92366</v>
      </c>
    </row>
    <row r="38" spans="1:5" ht="15" customHeight="1" x14ac:dyDescent="0.25">
      <c r="B38" s="11" t="s">
        <v>35</v>
      </c>
      <c r="C38" s="43">
        <v>15.550739999999999</v>
      </c>
      <c r="D38" s="12"/>
      <c r="E38" s="13"/>
    </row>
    <row r="39" spans="1:5" ht="15" customHeight="1" x14ac:dyDescent="0.25">
      <c r="B39" s="11" t="s">
        <v>61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5.9365999999999993E-3</v>
      </c>
      <c r="D45" s="12"/>
    </row>
    <row r="46" spans="1:5" ht="15.75" customHeight="1" x14ac:dyDescent="0.25">
      <c r="B46" s="11" t="s">
        <v>51</v>
      </c>
      <c r="C46" s="45">
        <v>6.3787999999999997E-2</v>
      </c>
      <c r="D46" s="12"/>
    </row>
    <row r="47" spans="1:5" ht="15.75" customHeight="1" x14ac:dyDescent="0.25">
      <c r="B47" s="11" t="s">
        <v>59</v>
      </c>
      <c r="C47" s="45">
        <v>7.5355800000000001E-2</v>
      </c>
      <c r="D47" s="12"/>
      <c r="E47" s="13"/>
    </row>
    <row r="48" spans="1:5" ht="15" customHeight="1" x14ac:dyDescent="0.25">
      <c r="B48" s="11" t="s">
        <v>58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0.58899100000000004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KYqKevP1KEYMAvjNrNswVMmRUfxWdd5LJ2ZTAo3IvVRdNAYRuQSFNJKbPchmPv5jtaSxA5g3+t0hLbN8HzsYww==" saltValue="Lf3uKowkhA+x+dbjtWbd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150624</v>
      </c>
      <c r="C2" s="49">
        <v>360380.00000000012</v>
      </c>
      <c r="D2" s="49">
        <v>512246.5</v>
      </c>
      <c r="E2" s="49">
        <v>549783.5</v>
      </c>
      <c r="F2" s="49">
        <v>320180</v>
      </c>
      <c r="G2" s="17">
        <f t="shared" ref="G2:G13" si="0">C2+D2+E2+F2</f>
        <v>1742590</v>
      </c>
      <c r="H2" s="17">
        <f t="shared" ref="H2:H13" si="1">(B2 + stillbirth*B2/(1000-stillbirth))/(1-abortion)</f>
        <v>172268.47332657743</v>
      </c>
      <c r="I2" s="17">
        <f t="shared" ref="I2:I13" si="2">G2-H2</f>
        <v>1570321.5266734227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149214</v>
      </c>
      <c r="C3" s="50">
        <v>378594</v>
      </c>
      <c r="D3" s="50">
        <v>508348.5</v>
      </c>
      <c r="E3" s="50">
        <v>554364.5</v>
      </c>
      <c r="F3" s="50">
        <v>332360.5</v>
      </c>
      <c r="G3" s="17">
        <f t="shared" si="0"/>
        <v>1773667.5</v>
      </c>
      <c r="H3" s="17">
        <f t="shared" si="1"/>
        <v>170655.85815641549</v>
      </c>
      <c r="I3" s="17">
        <f t="shared" si="2"/>
        <v>1603011.6418435846</v>
      </c>
    </row>
    <row r="4" spans="1:9" ht="15.75" customHeight="1" x14ac:dyDescent="0.25">
      <c r="A4" s="5">
        <f t="shared" si="3"/>
        <v>2026</v>
      </c>
      <c r="B4" s="49">
        <v>148152</v>
      </c>
      <c r="C4" s="50">
        <v>397519</v>
      </c>
      <c r="D4" s="50">
        <v>507045.5</v>
      </c>
      <c r="E4" s="50">
        <v>555494</v>
      </c>
      <c r="F4" s="50">
        <v>346646.5</v>
      </c>
      <c r="G4" s="17">
        <f t="shared" si="0"/>
        <v>1806705</v>
      </c>
      <c r="H4" s="17">
        <f t="shared" si="1"/>
        <v>169441.25013463391</v>
      </c>
      <c r="I4" s="17">
        <f t="shared" si="2"/>
        <v>1637263.7498653661</v>
      </c>
    </row>
    <row r="5" spans="1:9" ht="15.75" customHeight="1" x14ac:dyDescent="0.25">
      <c r="A5" s="5">
        <f t="shared" si="3"/>
        <v>2027</v>
      </c>
      <c r="B5" s="49">
        <v>147606</v>
      </c>
      <c r="C5" s="50">
        <v>415273</v>
      </c>
      <c r="D5" s="50">
        <v>510834.5</v>
      </c>
      <c r="E5" s="50">
        <v>551346</v>
      </c>
      <c r="F5" s="50">
        <v>363447.5</v>
      </c>
      <c r="G5" s="17">
        <f t="shared" si="0"/>
        <v>1840901</v>
      </c>
      <c r="H5" s="17">
        <f t="shared" si="1"/>
        <v>168816.7906432095</v>
      </c>
      <c r="I5" s="17">
        <f t="shared" si="2"/>
        <v>1672084.2093567904</v>
      </c>
    </row>
    <row r="6" spans="1:9" ht="15.75" customHeight="1" x14ac:dyDescent="0.25">
      <c r="A6" s="5">
        <f t="shared" si="3"/>
        <v>2028</v>
      </c>
      <c r="B6" s="49">
        <v>147585</v>
      </c>
      <c r="C6" s="50">
        <v>431528.5</v>
      </c>
      <c r="D6" s="50">
        <v>518980.5</v>
      </c>
      <c r="E6" s="50">
        <v>544269</v>
      </c>
      <c r="F6" s="50">
        <v>383275</v>
      </c>
      <c r="G6" s="17">
        <f t="shared" si="0"/>
        <v>1878053</v>
      </c>
      <c r="H6" s="17">
        <f t="shared" si="1"/>
        <v>168792.77297046239</v>
      </c>
      <c r="I6" s="17">
        <f t="shared" si="2"/>
        <v>1709260.2270295375</v>
      </c>
    </row>
    <row r="7" spans="1:9" ht="15.75" customHeight="1" x14ac:dyDescent="0.25">
      <c r="A7" s="5">
        <f t="shared" si="3"/>
        <v>2029</v>
      </c>
      <c r="B7" s="49">
        <v>148026</v>
      </c>
      <c r="C7" s="50">
        <v>445164</v>
      </c>
      <c r="D7" s="50">
        <v>531334</v>
      </c>
      <c r="E7" s="50">
        <v>536101</v>
      </c>
      <c r="F7" s="50">
        <v>403728.5</v>
      </c>
      <c r="G7" s="17">
        <f t="shared" si="0"/>
        <v>1916327.5</v>
      </c>
      <c r="H7" s="17">
        <f t="shared" si="1"/>
        <v>169297.14409815136</v>
      </c>
      <c r="I7" s="17">
        <f t="shared" si="2"/>
        <v>1747030.3559018485</v>
      </c>
    </row>
    <row r="8" spans="1:9" ht="15.75" customHeight="1" x14ac:dyDescent="0.25">
      <c r="A8" s="5">
        <f t="shared" si="3"/>
        <v>2030</v>
      </c>
      <c r="B8" s="49">
        <v>148902</v>
      </c>
      <c r="C8" s="50">
        <v>454578.99999999988</v>
      </c>
      <c r="D8" s="50">
        <v>548649.5</v>
      </c>
      <c r="E8" s="50">
        <v>526612.5</v>
      </c>
      <c r="F8" s="50">
        <v>423602</v>
      </c>
      <c r="G8" s="17">
        <f t="shared" si="0"/>
        <v>1953443</v>
      </c>
      <c r="H8" s="17">
        <f t="shared" si="1"/>
        <v>170299.02416131581</v>
      </c>
      <c r="I8" s="17">
        <f t="shared" si="2"/>
        <v>1783143.9758386842</v>
      </c>
    </row>
    <row r="9" spans="1:9" ht="15.75" customHeight="1" x14ac:dyDescent="0.25">
      <c r="A9" s="5">
        <f t="shared" si="3"/>
        <v>2031</v>
      </c>
      <c r="B9" s="49">
        <v>150695</v>
      </c>
      <c r="C9" s="50">
        <v>460047</v>
      </c>
      <c r="D9" s="50">
        <v>570192</v>
      </c>
      <c r="E9" s="50">
        <v>516308</v>
      </c>
      <c r="F9" s="50">
        <v>441966</v>
      </c>
      <c r="G9" s="17">
        <f t="shared" si="0"/>
        <v>1988513</v>
      </c>
      <c r="H9" s="17">
        <f t="shared" si="1"/>
        <v>172349.67593443667</v>
      </c>
      <c r="I9" s="17">
        <f t="shared" si="2"/>
        <v>1816163.3240655633</v>
      </c>
    </row>
    <row r="10" spans="1:9" ht="15.75" customHeight="1" x14ac:dyDescent="0.25">
      <c r="A10" s="5">
        <f t="shared" si="3"/>
        <v>2032</v>
      </c>
      <c r="B10" s="49">
        <v>152303</v>
      </c>
      <c r="C10" s="50">
        <v>464304.99999999988</v>
      </c>
      <c r="D10" s="50">
        <v>594033</v>
      </c>
      <c r="E10" s="50">
        <v>506524</v>
      </c>
      <c r="F10" s="50">
        <v>458011</v>
      </c>
      <c r="G10" s="17">
        <f t="shared" si="0"/>
        <v>2022873</v>
      </c>
      <c r="H10" s="17">
        <f t="shared" si="1"/>
        <v>174188.74344764263</v>
      </c>
      <c r="I10" s="17">
        <f t="shared" si="2"/>
        <v>1848684.2565523575</v>
      </c>
    </row>
    <row r="11" spans="1:9" ht="15.75" customHeight="1" x14ac:dyDescent="0.25">
      <c r="A11" s="5">
        <f t="shared" si="3"/>
        <v>2033</v>
      </c>
      <c r="B11" s="49">
        <v>154795</v>
      </c>
      <c r="C11" s="50">
        <v>467833.49999999988</v>
      </c>
      <c r="D11" s="50">
        <v>618813.50000000012</v>
      </c>
      <c r="E11" s="50">
        <v>498579.5</v>
      </c>
      <c r="F11" s="50">
        <v>471585</v>
      </c>
      <c r="G11" s="17">
        <f t="shared" si="0"/>
        <v>2056811.5</v>
      </c>
      <c r="H11" s="17">
        <f t="shared" si="1"/>
        <v>177038.84061363101</v>
      </c>
      <c r="I11" s="17">
        <f t="shared" si="2"/>
        <v>1879772.6593863689</v>
      </c>
    </row>
    <row r="12" spans="1:9" ht="15.75" customHeight="1" x14ac:dyDescent="0.25">
      <c r="A12" s="5">
        <f t="shared" si="3"/>
        <v>2034</v>
      </c>
      <c r="B12" s="49">
        <v>156752</v>
      </c>
      <c r="C12" s="50">
        <v>468206.49999999988</v>
      </c>
      <c r="D12" s="50">
        <v>643693.5</v>
      </c>
      <c r="E12" s="50">
        <v>493337</v>
      </c>
      <c r="F12" s="50">
        <v>480871.5</v>
      </c>
      <c r="G12" s="17">
        <f t="shared" si="0"/>
        <v>2086108.5</v>
      </c>
      <c r="H12" s="17">
        <f t="shared" si="1"/>
        <v>179277.0589739196</v>
      </c>
      <c r="I12" s="17">
        <f t="shared" si="2"/>
        <v>1906831.4410260804</v>
      </c>
    </row>
    <row r="13" spans="1:9" ht="15.75" customHeight="1" x14ac:dyDescent="0.25">
      <c r="A13" s="5">
        <f t="shared" si="3"/>
        <v>2035</v>
      </c>
      <c r="B13" s="49">
        <v>159181</v>
      </c>
      <c r="C13" s="50">
        <v>465727</v>
      </c>
      <c r="D13" s="50">
        <v>667980</v>
      </c>
      <c r="E13" s="50">
        <v>489537</v>
      </c>
      <c r="F13" s="50">
        <v>485528.5</v>
      </c>
      <c r="G13" s="17">
        <f t="shared" si="0"/>
        <v>2108772.5</v>
      </c>
      <c r="H13" s="17">
        <f t="shared" si="1"/>
        <v>182055.10312166667</v>
      </c>
      <c r="I13" s="17">
        <f t="shared" si="2"/>
        <v>1926717.3968783333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qKabdRbp+Ohn6S/a1HqL5skkDm1kiJRTfGwgZoGVR4l4iNuiKpzrCF8jCaQkzUbzpu/AJPqQeHDCel/Zi0SWQ==" saltValue="BSJ7QeNvfLWKvRzbQOFw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1.5407999999999991E-3</v>
      </c>
    </row>
    <row r="4" spans="1:8" ht="15.75" customHeight="1" x14ac:dyDescent="0.25">
      <c r="B4" s="19" t="s">
        <v>97</v>
      </c>
      <c r="C4" s="101">
        <v>5.5218899999999987E-2</v>
      </c>
    </row>
    <row r="5" spans="1:8" ht="15.75" customHeight="1" x14ac:dyDescent="0.25">
      <c r="B5" s="19" t="s">
        <v>95</v>
      </c>
      <c r="C5" s="101">
        <v>4.9336599999999987E-2</v>
      </c>
    </row>
    <row r="6" spans="1:8" ht="15.75" customHeight="1" x14ac:dyDescent="0.25">
      <c r="B6" s="19" t="s">
        <v>91</v>
      </c>
      <c r="C6" s="101">
        <v>0.19651040000000031</v>
      </c>
    </row>
    <row r="7" spans="1:8" ht="15.75" customHeight="1" x14ac:dyDescent="0.25">
      <c r="B7" s="19" t="s">
        <v>96</v>
      </c>
      <c r="C7" s="101">
        <v>0.41559819999999958</v>
      </c>
    </row>
    <row r="8" spans="1:8" ht="15.75" customHeight="1" x14ac:dyDescent="0.25">
      <c r="B8" s="19" t="s">
        <v>98</v>
      </c>
      <c r="C8" s="101">
        <v>1.9750000000000041E-4</v>
      </c>
    </row>
    <row r="9" spans="1:8" ht="15.75" customHeight="1" x14ac:dyDescent="0.25">
      <c r="B9" s="19" t="s">
        <v>92</v>
      </c>
      <c r="C9" s="101">
        <v>0.19013440000000001</v>
      </c>
    </row>
    <row r="10" spans="1:8" ht="15.75" customHeight="1" x14ac:dyDescent="0.25">
      <c r="B10" s="19" t="s">
        <v>94</v>
      </c>
      <c r="C10" s="101">
        <v>9.1463199999999953E-2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2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90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79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99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8.6989028999999995E-2</v>
      </c>
    </row>
    <row r="27" spans="1:8" ht="15.75" customHeight="1" x14ac:dyDescent="0.25">
      <c r="B27" s="19" t="s">
        <v>89</v>
      </c>
      <c r="C27" s="101">
        <v>5.4674084999999983E-2</v>
      </c>
    </row>
    <row r="28" spans="1:8" ht="15.75" customHeight="1" x14ac:dyDescent="0.25">
      <c r="B28" s="19" t="s">
        <v>103</v>
      </c>
      <c r="C28" s="101">
        <v>7.8007822000000004E-2</v>
      </c>
    </row>
    <row r="29" spans="1:8" ht="15.75" customHeight="1" x14ac:dyDescent="0.25">
      <c r="B29" s="19" t="s">
        <v>86</v>
      </c>
      <c r="C29" s="101">
        <v>0.25304623700000001</v>
      </c>
    </row>
    <row r="30" spans="1:8" ht="15.75" customHeight="1" x14ac:dyDescent="0.25">
      <c r="B30" s="19" t="s">
        <v>4</v>
      </c>
      <c r="C30" s="101">
        <v>6.4168437999999994E-2</v>
      </c>
    </row>
    <row r="31" spans="1:8" ht="15.75" customHeight="1" x14ac:dyDescent="0.25">
      <c r="B31" s="19" t="s">
        <v>80</v>
      </c>
      <c r="C31" s="101">
        <v>3.8459681000000003E-2</v>
      </c>
    </row>
    <row r="32" spans="1:8" ht="15.75" customHeight="1" x14ac:dyDescent="0.25">
      <c r="B32" s="19" t="s">
        <v>85</v>
      </c>
      <c r="C32" s="101">
        <v>7.8795084000000001E-2</v>
      </c>
    </row>
    <row r="33" spans="2:3" ht="15.75" customHeight="1" x14ac:dyDescent="0.25">
      <c r="B33" s="19" t="s">
        <v>100</v>
      </c>
      <c r="C33" s="101">
        <v>6.8855599000000017E-2</v>
      </c>
    </row>
    <row r="34" spans="2:3" ht="15.75" customHeight="1" x14ac:dyDescent="0.25">
      <c r="B34" s="19" t="s">
        <v>87</v>
      </c>
      <c r="C34" s="101">
        <v>0.27700402600000001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QyK+dR85fKWMMOfATouLlGwDczolE/EJaNrGpcfKKRAJtrn3i5vbKAWCE2GOs2yUGNmP6bsXAJD7nvjPLFcA/w==" saltValue="uo46NhJI17FhhVMuzjMI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110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106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119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UZKAMofzw7Mr6SeuxDsjPr834a1a3kZvZgrIY/h93uyQBk87zkbZ7K/nringFdQMQCf1hyGw32EN4w5Ga72sQ==" saltValue="xzo2kpNNMoqbQY0ps6om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125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x+tndkSXQaOPkWMCzFFa9m7bNu3cgmIAFRFtNiwGLSufR1ONKviGD5olEsa6HxYAcJskET3Gkal5qhje7mNzpQ==" saltValue="eR7WgvAeSe0Is80I6I+z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7GxdrpPUz2VB+uJiSNKJzPxNz6EsYHe4UvMFMFv49E2JF7VD5gdLCh1prYlh/UNIRu0czdVLa7Zvn8QgMRQ2g==" saltValue="KToaK1DnD5A3B4hYRMX34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P5AxGGOwHxVchJKEnxr0LZcWTRhliphQAwVH7fJdkf5EWeN4Ozjok/Z3Pvv6C4DBiozC2EmXs1VA07qfIHpOKA==" saltValue="ZsHxeMCjtV5zxueEa0Mk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Mu8TtLSz6qqV333arVXfhmv8oBpbnSuPJMmrA0KpP81vtQzNJZKZpbqw/4ZUkkd+6fCKZzXXEUdb9mkzBOsJSA==" saltValue="TOVEF3h7kUoRHAKn43iOn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eP0Jk/41EP7mYuphWP0dEpgnffWcOz7/SRGd4oxFuEUzgXHcaP8PAdG5PRLtMN31fWN7aS+//gGDGfaUFfuQw==" saltValue="uZubDZPqlSXmPZ9QLMEa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38.470301788640938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0.2467053173214</v>
      </c>
      <c r="C3" s="98">
        <v>0.95</v>
      </c>
      <c r="D3" s="56">
        <v>42.533821775887482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107.7603082099896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3.2952999808707668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2.3195500000000001E-2</v>
      </c>
      <c r="C10" s="98">
        <v>0.95</v>
      </c>
      <c r="D10" s="56">
        <v>13.55153367590807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2.3195500000000001E-2</v>
      </c>
      <c r="C11" s="98">
        <v>0.95</v>
      </c>
      <c r="D11" s="56">
        <v>13.55153367590807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2.3195500000000001E-2</v>
      </c>
      <c r="C12" s="98">
        <v>0.95</v>
      </c>
      <c r="D12" s="56">
        <v>13.55153367590807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2.3195500000000001E-2</v>
      </c>
      <c r="C13" s="98">
        <v>0.95</v>
      </c>
      <c r="D13" s="56">
        <v>13.55153367590807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2.3195500000000001E-2</v>
      </c>
      <c r="C14" s="98">
        <v>0.95</v>
      </c>
      <c r="D14" s="56">
        <v>13.55153367590807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2.3195500000000001E-2</v>
      </c>
      <c r="C15" s="98">
        <v>0.95</v>
      </c>
      <c r="D15" s="56">
        <v>13.55153367590807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0.29077641375814661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0.12539809476402999</v>
      </c>
      <c r="C18" s="98">
        <v>0.95</v>
      </c>
      <c r="D18" s="56">
        <v>2.5765543589847759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0.97864569999999995</v>
      </c>
      <c r="C19" s="98">
        <v>0.95</v>
      </c>
      <c r="D19" s="56">
        <v>2.5765543589847759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0.93661349999999999</v>
      </c>
      <c r="C21" s="98">
        <v>0.95</v>
      </c>
      <c r="D21" s="56">
        <v>29.985420494092399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23.13145465735499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4.4684305312370904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0.95022541739835997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2.3195500000000001E-2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19.554423814166139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0.74516465863433001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69.007299698442466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0.97</v>
      </c>
      <c r="C31" s="98">
        <v>0.95</v>
      </c>
      <c r="D31" s="56">
        <v>0.90872808870784549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0.57448447746283704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0.59765410000000008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0.36409789999999997</v>
      </c>
      <c r="C38" s="98">
        <v>0.95</v>
      </c>
      <c r="D38" s="56">
        <v>1.4631854953882599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auzUhw4ddqzeIrY4goctpgVUkA2sbl2ZT9w1GK1NQ0dEHJSVMZEksO7UkwxhIgREIr68K/LMjGVlrZuJISMxGA==" saltValue="8/Vdds7C8xHYqJCIyY0D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Sxv2H7nsRuW1OTw1FvcumQ3LFDijnMBtogidvnMlLgtLxPOk797y80dVtVnADHkQMnt/2MkNFXhflqHWhgeQ==" saltValue="aQF64C8j8Pr753TCNjgo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tbNzoDyhXXGD30PhVOyKP6dSuu3pA3XGvI3jNsONFBzuTIJeMTxBMvYmgHOCgV6JtubUDWGIGyu7i5NrPdPww==" saltValue="S8q9xWF4AiY1HvO7daeng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XlEy++LQ6Of1ej7MjF1Qsu9K8uZ9vYUI33m9r6hxf4RRJhYuOJAgrFn5SxXmPvXtnzs87PvbSjMc3QsKMK4Y7A==" saltValue="9hqfWiaC2KHwCnPwhsVlL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N70HzitufmWxYJPnmzjt75DYgwn0aj3Bp9Whkt8whFFV3Xwe8qe3W7FbYju5Akqs0plLRCxu3cR9zge3kOsew==" saltValue="qF6Rg4WP1Q2og77VuA3s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OGswVEkO8XkjlfBRaHfRk3TvUjogXDsJ2s+cHnTzFpj5BKace7A0Tyh+t824nrxeHU+B74YRpg9RxG6nPsE3qw==" saltValue="6fSN4GWspML451yLva/U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2Ob11KSLKQ99sA4WfY4syF1z8gGaq6UHUB2isK0drUrBcKs/gs36RU8d3XrcOi3xsKwUmIiXtW4s/D2/0JhiQ==" saltValue="107sy2r0DmDnpJe6qK6D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PiQ/reUV8ls5nOM6EkIVRzDQ5V85lMwc6/AOJjE+OWKDb+pV3GW5kdnquY9l1dk5or/7DPr3Vyqc/514tK2+A==" saltValue="qhbwIRW8Z8C9M874EmEI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pxtRTlDaPlMmtutCQ8Cv8ZPZvAFCfH+bk8+VPxkpyzQbLU2hC9eBDIxnuJCmnVz3M07xxC1ARpjC2LIncMWug==" saltValue="WsQjkfFiCuXR/7l/xgXY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moh8Fissp9DUzgMHDOnr+xTuRfD/3bUqf+N6X5CB0Ar1j2CEUop+fBBkyD24UJeGePu0DepEcFKhlg4YDBzVw==" saltValue="yFPf2iCRJ70/pTLf+u3Q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tVkXEPPDH4KsQAu+Cbbd9d6mYGRI0U0EoMeLuyU5tBrA7x3zHoJo59vQ48kPTmuQKLmndwqGkj/WI2A6qeOUoA==" saltValue="pYJiYgu0qvQxr4IvnEhT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8NAcRlB7spFHtiCDjZfE7RRcl8rlfctXUiQF1HOIN100bsut+Je8p4+cICk6E+NaaEaYpvqp/SO4C8qDWw9lA==" saltValue="zsjePsCV3LIq4TMZchPO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+HG2CNtW1YqGxFjr4BUkBJ1KeN80zihUfbBgJdOjcIpr6BdimAxYxQnrsG/dEntnzOK/waDSd9XRMAu8Z/2gg==" saltValue="/9xLpUL/3j2GlIzyKJkU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gVeL3d7He6hSrYVezxp3W8j/Aua5iG/uKZCa/CrS2JsJNmR2ZZPDmAoM0BaMGNuaggKELDumiv2V2E0hCc/MQ==" saltValue="Y9rqE1g3jWr3IzM20siA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lTSijS8lASIJMHes+xJolKGoDmlW09O6WWfb0BBBtE0qi2W8LtEGk230l3ZZury1R+8M/BNNwHmgi06wtHEQQ==" saltValue="3zJbpeyevKse2y9SXFlB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u2ZURWMlXYPZxnxNM2VkFzB8JAWG1FHumBy1S3UfHL/l7WFTlRTZLHlINlvhHb1zXcaqtWawuX7RL6eYU6p8A==" saltValue="EuqgI7OletzUsfXdxLKT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qCQ7ECdl0eL7wBfEmA0O4iyHCGl/fZmvxcMw2bkiWbCOUtYzSCVATgCicNLuHQp4oCueu+j9GEsrVoNK6+aew==" saltValue="FbyNjMLNxe1241n+xv6W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6JnxAhTLDJh/QEeB+vWSwS7HhO9gpBTOgxbazeUkRz3ApEGdew7sUoPisS1WnkphpF3soKucZzfno+YKv7UGw==" saltValue="uqT7bPOg9I2lDR5LwrEs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64PJcg7uXgVLEy/Ob8EmcK2J2ZNwjBVsEpVB5gar3lkhffMd7GeSNDwFoBC1AVZtOL9fXzdSBGzGldPDSMSISA==" saltValue="XI/s1rtVgNOwWdFMA0RGd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2024-05-16T23:40:24Z</dcterms:modified>
</cp:coreProperties>
</file>