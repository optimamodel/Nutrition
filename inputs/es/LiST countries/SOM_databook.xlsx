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F2F6261-05F7-4234-9FF9-BA84689EAC3E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25" i="2"/>
  <c r="A31" i="2"/>
  <c r="I4" i="2"/>
  <c r="I8" i="2"/>
  <c r="I12" i="2"/>
  <c r="A35" i="2"/>
  <c r="A26" i="2"/>
  <c r="I39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<sst xmlns="http://schemas.openxmlformats.org/spreadsheetml/2006/main" count="2159" uniqueCount="372">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</sst>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3433016.5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0.28079999999999999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8.2100000000000006E-2</v>
      </c>
    </row>
    <row r="24" spans="1:3" ht="15" customHeight="1" x14ac:dyDescent="0.25">
      <c r="B24" s="15" t="s">
        <v>65</v>
      </c>
      <c r="C24" s="45">
        <v>0.47660000000000002</v>
      </c>
    </row>
    <row r="25" spans="1:3" ht="15" customHeight="1" x14ac:dyDescent="0.25">
      <c r="B25" s="15" t="s">
        <v>66</v>
      </c>
      <c r="C25" s="45">
        <v>0.3337</v>
      </c>
    </row>
    <row r="26" spans="1:3" ht="15" customHeight="1" x14ac:dyDescent="0.25">
      <c r="B26" s="15" t="s">
        <v>67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9">
        <v>7.529214782846369E-2</v>
      </c>
    </row>
    <row r="31" spans="1:3" ht="14.25" customHeight="1" x14ac:dyDescent="0.25">
      <c r="B31" s="25" t="s">
        <v>29</v>
      </c>
      <c r="C31" s="99">
        <v>0.10030682254742999</v>
      </c>
    </row>
    <row r="32" spans="1:3" ht="14.25" customHeight="1" x14ac:dyDescent="0.25">
      <c r="B32" s="25" t="s">
        <v>30</v>
      </c>
      <c r="C32" s="99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35.95326</v>
      </c>
    </row>
    <row r="38" spans="1:5" ht="15" customHeight="1" x14ac:dyDescent="0.25">
      <c r="B38" s="11" t="s">
        <v>54</v>
      </c>
      <c r="C38" s="43">
        <v>71.129549999999995</v>
      </c>
      <c r="D38" s="12"/>
      <c r="E38" s="13"/>
    </row>
    <row r="39" spans="1:5" ht="15" customHeight="1" x14ac:dyDescent="0.25">
      <c r="B39" s="11" t="s">
        <v>80</v>
      </c>
      <c r="C39" s="43">
        <v>111.78455</v>
      </c>
      <c r="D39" s="12"/>
      <c r="E39" s="12"/>
    </row>
    <row r="40" spans="1:5" ht="15" customHeight="1" x14ac:dyDescent="0.25">
      <c r="B40" s="11" t="s">
        <v>55</v>
      </c>
      <c r="C40" s="100">
        <v>6.21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7.9459999999999999E-3</v>
      </c>
      <c r="D45" s="12"/>
    </row>
    <row r="46" spans="1:5" ht="15.75" customHeight="1" x14ac:dyDescent="0.25">
      <c r="B46" s="11" t="s">
        <v>70</v>
      </c>
      <c r="C46" s="45">
        <v>8.5378900000000008E-2</v>
      </c>
      <c r="D46" s="12"/>
    </row>
    <row r="47" spans="1:5" ht="15.75" customHeight="1" x14ac:dyDescent="0.25">
      <c r="B47" s="11" t="s">
        <v>78</v>
      </c>
      <c r="C47" s="45">
        <v>7.3444099999999998E-2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0.44861699999999999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TB3raIEhPaAValqHMIZS5jtMQ2A8y1Q1OANWRYVx5ZYfZZDlGzySr+3QcwPug9h7FWP2MQ9f69zih286c/jyA==" saltValue="ixol7wF3sdu0gfRZjIyK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3583656.5</v>
      </c>
      <c r="C2" s="49">
        <v>936181</v>
      </c>
      <c r="D2" s="49">
        <v>1459393</v>
      </c>
      <c r="E2" s="49">
        <v>2097166</v>
      </c>
      <c r="F2" s="49">
        <v>1623541.0000000002</v>
      </c>
      <c r="G2" s="17">
        <f t="shared" ref="G2:G13" si="0">C2+D2+E2+F2</f>
        <v>6116281</v>
      </c>
      <c r="H2" s="17">
        <f t="shared" ref="H2:H13" si="1">(B2 + stillbirth*B2/(1000-stillbirth))/(1-abortion)</f>
        <v>4189755.3707516962</v>
      </c>
      <c r="I2" s="17">
        <f t="shared" ref="I2:I13" si="2">G2-H2</f>
        <v>1926525.6292483038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804966</v>
      </c>
      <c r="C3" s="50">
        <v>1011196.5</v>
      </c>
      <c r="D3" s="50">
        <v>1581348.5</v>
      </c>
      <c r="E3" s="50">
        <v>990593.50000000012</v>
      </c>
      <c r="F3" s="50">
        <v>679224</v>
      </c>
      <c r="G3" s="17">
        <f t="shared" si="0"/>
        <v>4262362.5</v>
      </c>
      <c r="H3" s="17">
        <f t="shared" si="1"/>
        <v>941108.78700916504</v>
      </c>
      <c r="I3" s="17">
        <f t="shared" si="2"/>
        <v>3321253.7129908348</v>
      </c>
    </row>
    <row r="4" spans="1:9" ht="15.75" customHeight="1" x14ac:dyDescent="0.25">
      <c r="A4" s="5">
        <f t="shared" si="3"/>
        <v>2026</v>
      </c>
      <c r="B4" s="49">
        <v>822215</v>
      </c>
      <c r="C4" s="50">
        <v>1025557</v>
      </c>
      <c r="D4" s="50">
        <v>1632346</v>
      </c>
      <c r="E4" s="50">
        <v>1040626.4999999999</v>
      </c>
      <c r="F4" s="50">
        <v>710255.5</v>
      </c>
      <c r="G4" s="17">
        <f t="shared" si="0"/>
        <v>4408785</v>
      </c>
      <c r="H4" s="17">
        <f t="shared" si="1"/>
        <v>961275.08653873659</v>
      </c>
      <c r="I4" s="17">
        <f t="shared" si="2"/>
        <v>3447509.9134612633</v>
      </c>
    </row>
    <row r="5" spans="1:9" ht="15.75" customHeight="1" x14ac:dyDescent="0.25">
      <c r="A5" s="5">
        <f t="shared" si="3"/>
        <v>2027</v>
      </c>
      <c r="B5" s="49">
        <v>836420</v>
      </c>
      <c r="C5" s="50">
        <v>1040482</v>
      </c>
      <c r="D5" s="50">
        <v>1680491</v>
      </c>
      <c r="E5" s="50">
        <v>1092418.9999999998</v>
      </c>
      <c r="F5" s="50">
        <v>741930.49999999988</v>
      </c>
      <c r="G5" s="17">
        <f t="shared" si="0"/>
        <v>4555322.5</v>
      </c>
      <c r="H5" s="17">
        <f t="shared" si="1"/>
        <v>977882.55855552386</v>
      </c>
      <c r="I5" s="17">
        <f t="shared" si="2"/>
        <v>3577439.9414444761</v>
      </c>
    </row>
    <row r="6" spans="1:9" ht="15.75" customHeight="1" x14ac:dyDescent="0.25">
      <c r="A6" s="5">
        <f t="shared" si="3"/>
        <v>2028</v>
      </c>
      <c r="B6" s="49">
        <v>847521</v>
      </c>
      <c r="C6" s="50">
        <v>1069014</v>
      </c>
      <c r="D6" s="50">
        <v>1725587.5</v>
      </c>
      <c r="E6" s="50">
        <v>1146550</v>
      </c>
      <c r="F6" s="50">
        <v>773888.5</v>
      </c>
      <c r="G6" s="17">
        <f t="shared" si="0"/>
        <v>4715040</v>
      </c>
      <c r="H6" s="17">
        <f t="shared" si="1"/>
        <v>990861.05534245505</v>
      </c>
      <c r="I6" s="17">
        <f t="shared" si="2"/>
        <v>3724178.9446575451</v>
      </c>
    </row>
    <row r="7" spans="1:9" ht="15.75" customHeight="1" x14ac:dyDescent="0.25">
      <c r="A7" s="5">
        <f t="shared" si="3"/>
        <v>2029</v>
      </c>
      <c r="B7" s="49">
        <v>859891</v>
      </c>
      <c r="C7" s="50">
        <v>1111748.5</v>
      </c>
      <c r="D7" s="50">
        <v>1765585.5000000002</v>
      </c>
      <c r="E7" s="50">
        <v>1202213</v>
      </c>
      <c r="F7" s="50">
        <v>804630</v>
      </c>
      <c r="G7" s="17">
        <f t="shared" si="0"/>
        <v>4884177</v>
      </c>
      <c r="H7" s="17">
        <f t="shared" si="1"/>
        <v>1005323.176345458</v>
      </c>
      <c r="I7" s="17">
        <f t="shared" si="2"/>
        <v>3878853.8236545417</v>
      </c>
    </row>
    <row r="8" spans="1:9" ht="15.75" customHeight="1" x14ac:dyDescent="0.25">
      <c r="A8" s="5">
        <f t="shared" si="3"/>
        <v>2030</v>
      </c>
      <c r="B8" s="49">
        <v>869665</v>
      </c>
      <c r="C8" s="50">
        <v>1162638</v>
      </c>
      <c r="D8" s="50">
        <v>1800677.0000000002</v>
      </c>
      <c r="E8" s="50">
        <v>1261992.0000000002</v>
      </c>
      <c r="F8" s="50">
        <v>832738</v>
      </c>
      <c r="G8" s="17">
        <f t="shared" si="0"/>
        <v>5058045</v>
      </c>
      <c r="H8" s="17">
        <f t="shared" si="1"/>
        <v>1016750.2394564808</v>
      </c>
      <c r="I8" s="17">
        <f t="shared" si="2"/>
        <v>4041294.7605435192</v>
      </c>
    </row>
    <row r="9" spans="1:9" ht="15.75" customHeight="1" x14ac:dyDescent="0.25">
      <c r="A9" s="5">
        <f t="shared" si="3"/>
        <v>2031</v>
      </c>
      <c r="B9" s="49">
        <v>878445</v>
      </c>
      <c r="C9" s="50">
        <v>1222458</v>
      </c>
      <c r="D9" s="50">
        <v>1832761.5</v>
      </c>
      <c r="E9" s="50">
        <v>1330532</v>
      </c>
      <c r="F9" s="50">
        <v>856433</v>
      </c>
      <c r="G9" s="17">
        <f t="shared" si="0"/>
        <v>5242184.5</v>
      </c>
      <c r="H9" s="17">
        <f t="shared" si="1"/>
        <v>1027015.1887213447</v>
      </c>
      <c r="I9" s="17">
        <f t="shared" si="2"/>
        <v>4215169.3112786552</v>
      </c>
    </row>
    <row r="10" spans="1:9" ht="15.75" customHeight="1" x14ac:dyDescent="0.25">
      <c r="A10" s="5">
        <f t="shared" si="3"/>
        <v>2032</v>
      </c>
      <c r="B10" s="49">
        <v>891665</v>
      </c>
      <c r="C10" s="50">
        <v>1284433</v>
      </c>
      <c r="D10" s="50">
        <v>1864882.5000000002</v>
      </c>
      <c r="E10" s="50">
        <v>1404990</v>
      </c>
      <c r="F10" s="50">
        <v>875757.00000000012</v>
      </c>
      <c r="G10" s="17">
        <f t="shared" si="0"/>
        <v>5430062.5</v>
      </c>
      <c r="H10" s="17">
        <f t="shared" si="1"/>
        <v>1042471.0690495339</v>
      </c>
      <c r="I10" s="17">
        <f t="shared" si="2"/>
        <v>4387591.4309504665</v>
      </c>
    </row>
    <row r="11" spans="1:9" ht="15.75" customHeight="1" x14ac:dyDescent="0.25">
      <c r="A11" s="5">
        <f t="shared" si="3"/>
        <v>2033</v>
      </c>
      <c r="B11" s="49">
        <v>901357</v>
      </c>
      <c r="C11" s="50">
        <v>1335157</v>
      </c>
      <c r="D11" s="50">
        <v>1908491.5</v>
      </c>
      <c r="E11" s="50">
        <v>1473857.5</v>
      </c>
      <c r="F11" s="50">
        <v>899836.5</v>
      </c>
      <c r="G11" s="17">
        <f t="shared" si="0"/>
        <v>5617342.5</v>
      </c>
      <c r="H11" s="17">
        <f t="shared" si="1"/>
        <v>1053802.2636138918</v>
      </c>
      <c r="I11" s="17">
        <f t="shared" si="2"/>
        <v>4563540.2363861082</v>
      </c>
    </row>
    <row r="12" spans="1:9" ht="15.75" customHeight="1" x14ac:dyDescent="0.25">
      <c r="A12" s="5">
        <f t="shared" si="3"/>
        <v>2034</v>
      </c>
      <c r="B12" s="49">
        <v>915030</v>
      </c>
      <c r="C12" s="50">
        <v>1376236.5</v>
      </c>
      <c r="D12" s="50">
        <v>1964613.5</v>
      </c>
      <c r="E12" s="50">
        <v>1528773.5</v>
      </c>
      <c r="F12" s="50">
        <v>936411.5</v>
      </c>
      <c r="G12" s="17">
        <f t="shared" si="0"/>
        <v>5806035</v>
      </c>
      <c r="H12" s="17">
        <f t="shared" si="1"/>
        <v>1069787.7592059742</v>
      </c>
      <c r="I12" s="17">
        <f t="shared" si="2"/>
        <v>4736247.2407940254</v>
      </c>
    </row>
    <row r="13" spans="1:9" ht="15.75" customHeight="1" x14ac:dyDescent="0.25">
      <c r="A13" s="5">
        <f t="shared" si="3"/>
        <v>2035</v>
      </c>
      <c r="B13" s="49">
        <v>924402</v>
      </c>
      <c r="C13" s="50">
        <v>1417634.5</v>
      </c>
      <c r="D13" s="50">
        <v>2026830.5</v>
      </c>
      <c r="E13" s="50">
        <v>1576043.9999999998</v>
      </c>
      <c r="F13" s="50">
        <v>980769.5</v>
      </c>
      <c r="G13" s="17">
        <f t="shared" si="0"/>
        <v>6001278.5</v>
      </c>
      <c r="H13" s="17">
        <f t="shared" si="1"/>
        <v>1080744.8326126151</v>
      </c>
      <c r="I13" s="17">
        <f t="shared" si="2"/>
        <v>4920533.6673873849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rd69lARMnjnxqOeipCUvmMD9ftzxwScHnfPIFGwE803AvKFboT+oEE+eoAPvzKO0/z3dT7EiI2BR+Jv8tFYRg==" saltValue="qvn8o1ZrO0ic8e0Tlf5r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1.5791600634152171E-2</v>
      </c>
    </row>
    <row r="4" spans="1:8" ht="15.75" customHeight="1" x14ac:dyDescent="0.25">
      <c r="B4" s="19" t="s">
        <v>116</v>
      </c>
      <c r="C4" s="101">
        <v>7.4360170060622177E-2</v>
      </c>
    </row>
    <row r="5" spans="1:8" ht="15.75" customHeight="1" x14ac:dyDescent="0.25">
      <c r="B5" s="19" t="s">
        <v>114</v>
      </c>
      <c r="C5" s="101">
        <v>0.1080931803242427</v>
      </c>
    </row>
    <row r="6" spans="1:8" ht="15.75" customHeight="1" x14ac:dyDescent="0.25">
      <c r="B6" s="19" t="s">
        <v>110</v>
      </c>
      <c r="C6" s="101">
        <v>0.2606542151687094</v>
      </c>
    </row>
    <row r="7" spans="1:8" ht="15.75" customHeight="1" x14ac:dyDescent="0.25">
      <c r="B7" s="19" t="s">
        <v>115</v>
      </c>
      <c r="C7" s="101">
        <v>0.37045158189520122</v>
      </c>
    </row>
    <row r="8" spans="1:8" ht="15.75" customHeight="1" x14ac:dyDescent="0.25">
      <c r="B8" s="19" t="s">
        <v>117</v>
      </c>
      <c r="C8" s="101">
        <v>1.2418729629592231E-2</v>
      </c>
    </row>
    <row r="9" spans="1:8" ht="15.75" customHeight="1" x14ac:dyDescent="0.25">
      <c r="B9" s="19" t="s">
        <v>111</v>
      </c>
      <c r="C9" s="101">
        <v>4.1450001515076752E-2</v>
      </c>
    </row>
    <row r="10" spans="1:8" ht="15.75" customHeight="1" x14ac:dyDescent="0.25">
      <c r="B10" s="19" t="s">
        <v>113</v>
      </c>
      <c r="C10" s="101">
        <v>0.1167805207724034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121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2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109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3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120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98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107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118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8.9486848999999993E-2</v>
      </c>
    </row>
    <row r="27" spans="1:8" ht="15.75" customHeight="1" x14ac:dyDescent="0.25">
      <c r="B27" s="19" t="s">
        <v>108</v>
      </c>
      <c r="C27" s="101">
        <v>8.7680180000000007E-3</v>
      </c>
    </row>
    <row r="28" spans="1:8" ht="15.75" customHeight="1" x14ac:dyDescent="0.25">
      <c r="B28" s="19" t="s">
        <v>122</v>
      </c>
      <c r="C28" s="101">
        <v>0.157124918</v>
      </c>
    </row>
    <row r="29" spans="1:8" ht="15.75" customHeight="1" x14ac:dyDescent="0.25">
      <c r="B29" s="19" t="s">
        <v>105</v>
      </c>
      <c r="C29" s="101">
        <v>0.169393875</v>
      </c>
    </row>
    <row r="30" spans="1:8" ht="15.75" customHeight="1" x14ac:dyDescent="0.25">
      <c r="B30" s="19" t="s">
        <v>4</v>
      </c>
      <c r="C30" s="101">
        <v>0.105381207</v>
      </c>
    </row>
    <row r="31" spans="1:8" ht="15.75" customHeight="1" x14ac:dyDescent="0.25">
      <c r="B31" s="19" t="s">
        <v>99</v>
      </c>
      <c r="C31" s="101">
        <v>0.109725931</v>
      </c>
    </row>
    <row r="32" spans="1:8" ht="15.75" customHeight="1" x14ac:dyDescent="0.25">
      <c r="B32" s="19" t="s">
        <v>104</v>
      </c>
      <c r="C32" s="101">
        <v>1.8930017E-2</v>
      </c>
    </row>
    <row r="33" spans="2:3" ht="15.75" customHeight="1" x14ac:dyDescent="0.25">
      <c r="B33" s="19" t="s">
        <v>119</v>
      </c>
      <c r="C33" s="101">
        <v>8.4558286999999996E-2</v>
      </c>
    </row>
    <row r="34" spans="2:3" ht="15.75" customHeight="1" x14ac:dyDescent="0.25">
      <c r="B34" s="19" t="s">
        <v>106</v>
      </c>
      <c r="C34" s="101">
        <v>0.25663089700000002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Nrj17M9Kbx8dMW2S6K9MLIGQ/Jo54FxPP5yR42WhbHzM5auNJeHA8Sez3SdM2nl/MaEIC4H+Iz3sUu9kICuA+w==" saltValue="1VvCuXX6ruE/Hae7DFFm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129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125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126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138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S3CyaQ8N9yR94LpnWV68uh/eHgUMg7JHYb1bm9U8vg1os2iroEbQtgaTkOAcjbDIWKDA5BM3pbHtJUWWxWrpw==" saltValue="Vxx5vRTCiEEqkgkfmOqv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7FeI3DS0wpd3MfWBR/o79AyeY1bNxQLe1qhEQucopsISsvO3xPPumqhwXfskAl0HHSv0EXxtps1BYGesu3W+Cg==" saltValue="3ythZXFPw2VXfI4eAMn9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bvXtd2BzD1Mo5rLHSPp25Xi1SJgiNxzYz/7Q+5p8b8OVtcGkZCBpLG5hgKYfmuPKKSIXMamd0Er/kde2DOGCw==" saltValue="jFC7quYS9rtLQjSp3KFg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592.10312197208805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0.35067999999999999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0.21869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1.3483645999999998E-2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88402.998059999998</v>
      </c>
      <c r="C22" s="109">
        <v>86920.184510000006</v>
      </c>
      <c r="D22" s="109">
        <v>86166.051959999997</v>
      </c>
      <c r="E22" s="109">
        <v>85322.76139</v>
      </c>
      <c r="F22" s="109">
        <v>84167.634640000004</v>
      </c>
      <c r="G22" s="109">
        <v>82838.194789999994</v>
      </c>
      <c r="H22" s="109">
        <v>81179.507859999998</v>
      </c>
      <c r="I22" s="109">
        <v>78923.048420000006</v>
      </c>
      <c r="J22" s="109">
        <v>75669.797300000006</v>
      </c>
      <c r="K22" s="109">
        <v>71266.997789999994</v>
      </c>
      <c r="L22" s="109">
        <v>65318.830650000004</v>
      </c>
      <c r="M22" s="109">
        <v>57621.672189999997</v>
      </c>
      <c r="N22" s="109">
        <v>48176.661030000003</v>
      </c>
      <c r="O22" s="109">
        <v>37673.735679999998</v>
      </c>
    </row>
  </sheetData>
  <sheetProtection algorithmName="SHA-512" hashValue="Os/gsNO9+/7oCuajSA1uqhLy6wP9oCXRrUmuCLIbkVlgDP6Q+yMz4QxAvzhLTsdmki5JXeoS9Hd4vXznrsKf9Q==" saltValue="+lC6PlnI7dVNVT9wFyo+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4AHDJLo70vAi8uqDItj3fyDp6c/f6n3//Gbx3PQ8llqDTz02aoh0BZcjXoD3EOVczEKWUjufyS3jAw+JBPLSg==" saltValue="QIVm2gQWeS4rZAEmueT9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//bqZb8R6t/+WQ2QDi9Q1mOkMwulouRoHJZUDl8yzmnhfatpONb7n8GgAwj6fYH+cWU78mfJKjBo2wTVE213A==" saltValue="GinFUrsIE/OpcawzGny5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17.31204218632346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17.31204218632346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17.31204218632346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17.31204218632346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17.31204218632346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2.4867E-2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8.8158799999999996E-2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8.8158799999999996E-2</v>
      </c>
      <c r="C19" s="98">
        <v>0.95</v>
      </c>
      <c r="D19" s="56">
        <v>1.112664901153791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0.1048504</v>
      </c>
      <c r="C23" s="98">
        <v>0.95</v>
      </c>
      <c r="D23" s="56">
        <v>5.6282823713961951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6.69694158544E-2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0.13218150000000001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0.20100000000000001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0.28000000000000003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0.25097639999999999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0.34730299999999997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4.4943200000000003E-2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0.49360460000000012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v1NLWTdRFSbA0QJlEq4L8yEidNsvc4+lhcIclnT1SQvf85Fr7SA26DrLPbmcqeybAElLNDH0uGp3nWAWG8Ultg==" saltValue="9ixa/UmhxW6WRrs7nU76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t4MfqY23Y6vB816vShM1a70pVIBNOkOAFoX0YcowaeuQREnRlc8xhbfO5LRn/wSxAMudUi0Gi4dMj+UFd3tiA==" saltValue="6TeMShfsfbJr5NAIXaK6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K84eNDvEiwdgEkBwAsVseLXe/tiiPKuAmL35yGmGncWGMc3ALjtbUuf+PJEzLNMlok0EPhOP+QXQdBx3QiXyA==" saltValue="cMCuQIb6llyba+ef+gU9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236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p41AKCscQQwcg+jQ4L7i9uZ3tNKvSeRUEGGROfYa0mVj6JV2Y+SQM6/4OQDx4pjU9DXTWy59ySfFvoILMDhINw==" saltValue="1gKvD+3f2vp7R9NRt3hw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Y7xYUdHUcrFkHyloynKSo8J+rTIHWbT0C69fzZw0d3Izwu8SxWl/NL4KWy86x0IwPb2lll3AmU9OzWpjDbeuQ==" saltValue="XK/R0rtUNiv6KdkFvlDM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qC/0SCBi3DaSEIlivOTgf0NPitErK9QgZcO05rgIAPsbVB40EFf2nhgP9yqz/KI4y37DeEQGddo5EWZ6n0B3A==" saltValue="L1rHSEFWuzhyZooQCU9N/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g/eAItQkmqCdLu0Dt344QM9t0bnQXjZRrSAOb8OWlQqhxdZUi79++K6TCHXhIgTB6Ic9SnUND65UHcwBOVAIg==" saltValue="RSqki0muX2cSxISSh+qN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tkAJxJfLu0QatcB/eZ573qnXJN1NsxDZheDnLtjGi98WQg2JX3+CMTpG+z0OueTVUwCD+ZBM+oa3juD0CgiqA==" saltValue="+dUZYcPajLgeWy6Tc6M3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8JSbJGgnfqb75J8WPS5/ydwJTe3i6/DJ6BIFMq97AebqVwbKGw/tr63TxIZuhMLAOG92/XZhHzYsZ1Zric6Iw==" saltValue="SBs6uPRkvdQahPsIk0hU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Mv94nAtx40OzO0VW92Pm4rm68JxTC4uWZttFEDKSP1Alv84g0WwXAenlNiKkyazS3oaFZXus9jZpO9EFkOql0Q==" saltValue="3MrMyTt1zwWEd6Mo3DJq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vIv6FyDV8qXZJGEqDR5ZrtVn1Nw97/mq6T6NpalkUr6LvYxw2s79A5UuI4TCNeiWUfRSIBRhmi9cNEBc84CzQ==" saltValue="qbZOJjPSyGpxSZM/e7axJ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edASSBl4gdsIXjohSL9LJjrh34+MmTVuVZ53iHVeqjc5U/F91ECT9TGW7JXdNCb/UZKwo6OH7ab+Y7+Hc1+Qw==" saltValue="uKRove9Miq8tYOOZKgOU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t4jSkvdV80muKm0yjwt/Lc/TTsRNcGnohx7J+ChQ7vjn61Z1x8u7Uz6M2lksZ5s5NP4+PQAK67P77xGYqcYgg==" saltValue="9AygGrXJfxo6OaWcF3He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R7aX4jE7gvrh3nkKGWB1gE2MXLZJF6CNnZ7PNaLgMVk+KIlzH+HGPoYGSo5YVeGVn0etIEjcQMTmP0ugtd7mg==" saltValue="hLP1PBfQuLtVQBI90/w7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DkodFBJqFOUS+Gc82wWjYLAjAajl+Fe9otQ2ZIIsDFTJ7uCfFkgQpMFBHfopatkg7ZfYxb0oyOS2hvBJbuGcg==" saltValue="v4tG/EdMriWTVxJzIiZm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OJtzE90W1e6V8K2CPjQhL1Kys07HwSQt8jD/nVydfNfNV+VcM/U9WLiJGLm/6isr6LsuQzRaw0068YA7eO34Q==" saltValue="OvyO/t40Nu7r8yT94ltD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woxpFml5pbeOWGD8TTdc4pmG3PUB3TjwDiD7MrGB+V2esjfg4U4OyVWuwAd+D3zgES4JveWQvkgQjrLRPwMRg==" saltValue="VhT2hEvmkvNrMxJGjto7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u1zX48bAqp2OQjJU8mMcdpAtlk7MMYhGXwJfH0JKFISHvMlEWbYutFcGOIIauNeHMdTYU7MBiu3F0VG1WJ9ng==" saltValue="bzN630Z7syHW5vRlbc1N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1yZ1c6WtyF33GgqFHDkzK/OsKYbcI1CjKWH0jEsd5RN+mzw4w1bTz6eSjVM/GBVQ8GAwWFTZHDIhg9Xv3eGJUw==" saltValue="0Da/3xk83zusOhke0Pza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