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36D297C-A654-4B8D-9BE2-EE233246CA9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A39" i="2"/>
  <c r="H38" i="2"/>
  <c r="G38" i="2"/>
  <c r="I38" i="2" s="1"/>
  <c r="A32" i="2"/>
  <c r="A31" i="2"/>
  <c r="A29" i="2"/>
  <c r="A28" i="2"/>
  <c r="A21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5" i="2" l="1"/>
  <c r="I6" i="2"/>
  <c r="A15" i="2"/>
  <c r="A26" i="2"/>
  <c r="A36" i="2"/>
  <c r="A23" i="2"/>
  <c r="A34" i="2"/>
  <c r="A24" i="2"/>
  <c r="A3" i="2"/>
  <c r="A16" i="2"/>
  <c r="A27" i="2"/>
  <c r="A37" i="2"/>
  <c r="A17" i="2"/>
  <c r="A25" i="2"/>
  <c r="A33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<sst xmlns="http://schemas.openxmlformats.org/spreadsheetml/2006/main" count="2101" uniqueCount="341">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</sst>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3470339.28125</v>
      </c>
    </row>
    <row r="8" spans="1:3" ht="15" customHeight="1" x14ac:dyDescent="0.25">
      <c r="B8" s="5" t="s">
        <v>44</v>
      </c>
      <c r="C8" s="44">
        <v>0.45200000000000001</v>
      </c>
    </row>
    <row r="9" spans="1:3" ht="15" customHeight="1" x14ac:dyDescent="0.25">
      <c r="B9" s="5" t="s">
        <v>43</v>
      </c>
      <c r="C9" s="45">
        <v>0.28079999999999999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0.63600000000000001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8.2100000000000006E-2</v>
      </c>
    </row>
    <row r="24" spans="1:3" ht="15" customHeight="1" x14ac:dyDescent="0.25">
      <c r="B24" s="15" t="s">
        <v>46</v>
      </c>
      <c r="C24" s="45">
        <v>0.47660000000000002</v>
      </c>
    </row>
    <row r="25" spans="1:3" ht="15" customHeight="1" x14ac:dyDescent="0.25">
      <c r="B25" s="15" t="s">
        <v>47</v>
      </c>
      <c r="C25" s="45">
        <v>0.3337</v>
      </c>
    </row>
    <row r="26" spans="1:3" ht="15" customHeight="1" x14ac:dyDescent="0.25">
      <c r="B26" s="15" t="s">
        <v>48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0.18812535867607999</v>
      </c>
    </row>
    <row r="30" spans="1:3" ht="14.25" customHeight="1" x14ac:dyDescent="0.25">
      <c r="B30" s="25" t="s">
        <v>63</v>
      </c>
      <c r="C30" s="99">
        <v>7.529214782846369E-2</v>
      </c>
    </row>
    <row r="31" spans="1:3" ht="14.25" customHeight="1" x14ac:dyDescent="0.25">
      <c r="B31" s="25" t="s">
        <v>10</v>
      </c>
      <c r="C31" s="99">
        <v>0.10030682254742999</v>
      </c>
    </row>
    <row r="32" spans="1:3" ht="14.25" customHeight="1" x14ac:dyDescent="0.25">
      <c r="B32" s="25" t="s">
        <v>11</v>
      </c>
      <c r="C32" s="99">
        <v>0.63627567094802595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35.95326</v>
      </c>
    </row>
    <row r="38" spans="1:5" ht="15" customHeight="1" x14ac:dyDescent="0.25">
      <c r="B38" s="11" t="s">
        <v>35</v>
      </c>
      <c r="C38" s="43">
        <v>71.129549999999995</v>
      </c>
      <c r="D38" s="12"/>
      <c r="E38" s="13"/>
    </row>
    <row r="39" spans="1:5" ht="15" customHeight="1" x14ac:dyDescent="0.25">
      <c r="B39" s="11" t="s">
        <v>61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100">
        <v>6.21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7.9459999999999999E-3</v>
      </c>
      <c r="D45" s="12"/>
    </row>
    <row r="46" spans="1:5" ht="15.75" customHeight="1" x14ac:dyDescent="0.25">
      <c r="B46" s="11" t="s">
        <v>51</v>
      </c>
      <c r="C46" s="45">
        <v>8.5378900000000008E-2</v>
      </c>
      <c r="D46" s="12"/>
    </row>
    <row r="47" spans="1:5" ht="15.75" customHeight="1" x14ac:dyDescent="0.25">
      <c r="B47" s="11" t="s">
        <v>59</v>
      </c>
      <c r="C47" s="45">
        <v>7.3444099999999998E-2</v>
      </c>
      <c r="D47" s="12"/>
      <c r="E47" s="13"/>
    </row>
    <row r="48" spans="1:5" ht="15" customHeight="1" x14ac:dyDescent="0.25">
      <c r="B48" s="11" t="s">
        <v>58</v>
      </c>
      <c r="C48" s="46">
        <v>0.83323099999999994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0.44861699999999999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w8Qf68egWR69nk+kevuNE5eQ/+K1zoC4NWTXqBlV4N6Yh94erR4QhSo8Zu6P5ZhCNRWTu5iBaK5gTyaG53ci6A==" saltValue="NpqOsdKoK/YVsjCpx5v9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788171</v>
      </c>
      <c r="C2" s="49">
        <v>1223081.5</v>
      </c>
      <c r="D2" s="49">
        <v>1533694.5</v>
      </c>
      <c r="E2" s="49">
        <v>968702</v>
      </c>
      <c r="F2" s="49">
        <v>581133.5</v>
      </c>
      <c r="G2" s="17">
        <f t="shared" ref="G2:G13" si="0">C2+D2+E2+F2</f>
        <v>4306611.5</v>
      </c>
      <c r="H2" s="17">
        <f t="shared" ref="H2:H13" si="1">(B2 + stillbirth*B2/(1000-stillbirth))/(1-abortion)</f>
        <v>921473.27187210461</v>
      </c>
      <c r="I2" s="17">
        <f t="shared" ref="I2:I13" si="2">G2-H2</f>
        <v>3385138.2281278954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802917</v>
      </c>
      <c r="C3" s="50">
        <v>1262536</v>
      </c>
      <c r="D3" s="50">
        <v>1584121.5</v>
      </c>
      <c r="E3" s="50">
        <v>1006439</v>
      </c>
      <c r="F3" s="50">
        <v>604449.5</v>
      </c>
      <c r="G3" s="17">
        <f t="shared" si="0"/>
        <v>4457546</v>
      </c>
      <c r="H3" s="17">
        <f t="shared" si="1"/>
        <v>938713.24247115757</v>
      </c>
      <c r="I3" s="17">
        <f t="shared" si="2"/>
        <v>3518832.7575288424</v>
      </c>
    </row>
    <row r="4" spans="1:9" ht="15.75" customHeight="1" x14ac:dyDescent="0.25">
      <c r="A4" s="5">
        <f t="shared" si="3"/>
        <v>2026</v>
      </c>
      <c r="B4" s="49">
        <v>817449</v>
      </c>
      <c r="C4" s="50">
        <v>1304922.5</v>
      </c>
      <c r="D4" s="50">
        <v>1636026.5</v>
      </c>
      <c r="E4" s="50">
        <v>1045455</v>
      </c>
      <c r="F4" s="50">
        <v>628383</v>
      </c>
      <c r="G4" s="17">
        <f t="shared" si="0"/>
        <v>4614787</v>
      </c>
      <c r="H4" s="17">
        <f t="shared" si="1"/>
        <v>955703.01954598702</v>
      </c>
      <c r="I4" s="17">
        <f t="shared" si="2"/>
        <v>3659083.9804540128</v>
      </c>
    </row>
    <row r="5" spans="1:9" ht="15.75" customHeight="1" x14ac:dyDescent="0.25">
      <c r="A5" s="5">
        <f t="shared" si="3"/>
        <v>2027</v>
      </c>
      <c r="B5" s="49">
        <v>832330</v>
      </c>
      <c r="C5" s="50">
        <v>1349322.5</v>
      </c>
      <c r="D5" s="50">
        <v>1689014.5</v>
      </c>
      <c r="E5" s="50">
        <v>1086815.5</v>
      </c>
      <c r="F5" s="50">
        <v>652642.5</v>
      </c>
      <c r="G5" s="17">
        <f t="shared" si="0"/>
        <v>4777795</v>
      </c>
      <c r="H5" s="17">
        <f t="shared" si="1"/>
        <v>973100.82250845176</v>
      </c>
      <c r="I5" s="17">
        <f t="shared" si="2"/>
        <v>3804694.1774915485</v>
      </c>
    </row>
    <row r="6" spans="1:9" ht="15.75" customHeight="1" x14ac:dyDescent="0.25">
      <c r="A6" s="5">
        <f t="shared" si="3"/>
        <v>2028</v>
      </c>
      <c r="B6" s="49">
        <v>844515</v>
      </c>
      <c r="C6" s="50">
        <v>1395404</v>
      </c>
      <c r="D6" s="50">
        <v>1743170.5</v>
      </c>
      <c r="E6" s="50">
        <v>1131228.5</v>
      </c>
      <c r="F6" s="50">
        <v>676623</v>
      </c>
      <c r="G6" s="17">
        <f t="shared" si="0"/>
        <v>4946426</v>
      </c>
      <c r="H6" s="17">
        <f t="shared" si="1"/>
        <v>987346.65471714956</v>
      </c>
      <c r="I6" s="17">
        <f t="shared" si="2"/>
        <v>3959079.3452828503</v>
      </c>
    </row>
    <row r="7" spans="1:9" ht="15.75" customHeight="1" x14ac:dyDescent="0.25">
      <c r="A7" s="5">
        <f t="shared" si="3"/>
        <v>2029</v>
      </c>
      <c r="B7" s="49">
        <v>860312</v>
      </c>
      <c r="C7" s="50">
        <v>1443579</v>
      </c>
      <c r="D7" s="50">
        <v>1798745.5</v>
      </c>
      <c r="E7" s="50">
        <v>1179953</v>
      </c>
      <c r="F7" s="50">
        <v>699774</v>
      </c>
      <c r="G7" s="17">
        <f t="shared" si="0"/>
        <v>5122051.5</v>
      </c>
      <c r="H7" s="17">
        <f t="shared" si="1"/>
        <v>1005815.3794935796</v>
      </c>
      <c r="I7" s="17">
        <f t="shared" si="2"/>
        <v>4116236.1205064203</v>
      </c>
    </row>
    <row r="8" spans="1:9" ht="15.75" customHeight="1" x14ac:dyDescent="0.25">
      <c r="A8" s="5">
        <f t="shared" si="3"/>
        <v>2030</v>
      </c>
      <c r="B8" s="49">
        <v>870711</v>
      </c>
      <c r="C8" s="50">
        <v>1493482</v>
      </c>
      <c r="D8" s="50">
        <v>1855985</v>
      </c>
      <c r="E8" s="50">
        <v>1235872.5</v>
      </c>
      <c r="F8" s="50">
        <v>720703.5</v>
      </c>
      <c r="G8" s="17">
        <f t="shared" si="0"/>
        <v>5306043</v>
      </c>
      <c r="H8" s="17">
        <f t="shared" si="1"/>
        <v>1017973.1479907688</v>
      </c>
      <c r="I8" s="17">
        <f t="shared" si="2"/>
        <v>4288069.8520092312</v>
      </c>
    </row>
    <row r="9" spans="1:9" ht="15.75" customHeight="1" x14ac:dyDescent="0.25">
      <c r="A9" s="5">
        <f t="shared" si="3"/>
        <v>2031</v>
      </c>
      <c r="B9" s="49">
        <v>886799</v>
      </c>
      <c r="C9" s="50">
        <v>1542389</v>
      </c>
      <c r="D9" s="50">
        <v>1916422</v>
      </c>
      <c r="E9" s="50">
        <v>1298255.5</v>
      </c>
      <c r="F9" s="50">
        <v>736413.5</v>
      </c>
      <c r="G9" s="17">
        <f t="shared" si="0"/>
        <v>5493480</v>
      </c>
      <c r="H9" s="17">
        <f t="shared" si="1"/>
        <v>1036782.0891949978</v>
      </c>
      <c r="I9" s="17">
        <f t="shared" si="2"/>
        <v>4456697.9108050019</v>
      </c>
    </row>
    <row r="10" spans="1:9" ht="15.75" customHeight="1" x14ac:dyDescent="0.25">
      <c r="A10" s="5">
        <f t="shared" si="3"/>
        <v>2032</v>
      </c>
      <c r="B10" s="49">
        <v>898403</v>
      </c>
      <c r="C10" s="50">
        <v>1589354</v>
      </c>
      <c r="D10" s="50">
        <v>1980235.5</v>
      </c>
      <c r="E10" s="50">
        <v>1358492.5</v>
      </c>
      <c r="F10" s="50">
        <v>747612.5</v>
      </c>
      <c r="G10" s="17">
        <f t="shared" si="0"/>
        <v>5675694.5</v>
      </c>
      <c r="H10" s="17">
        <f t="shared" si="1"/>
        <v>1050348.6576767154</v>
      </c>
      <c r="I10" s="17">
        <f t="shared" si="2"/>
        <v>4625345.8423232846</v>
      </c>
    </row>
    <row r="11" spans="1:9" ht="15.75" customHeight="1" x14ac:dyDescent="0.25">
      <c r="A11" s="5">
        <f t="shared" si="3"/>
        <v>2033</v>
      </c>
      <c r="B11" s="49">
        <v>911797</v>
      </c>
      <c r="C11" s="50">
        <v>1635852.5</v>
      </c>
      <c r="D11" s="50">
        <v>2046728.5</v>
      </c>
      <c r="E11" s="50">
        <v>1410116.5</v>
      </c>
      <c r="F11" s="50">
        <v>763291.5</v>
      </c>
      <c r="G11" s="17">
        <f t="shared" si="0"/>
        <v>5855989</v>
      </c>
      <c r="H11" s="17">
        <f t="shared" si="1"/>
        <v>1066007.9663844134</v>
      </c>
      <c r="I11" s="17">
        <f t="shared" si="2"/>
        <v>4789981.0336155863</v>
      </c>
    </row>
    <row r="12" spans="1:9" ht="15.75" customHeight="1" x14ac:dyDescent="0.25">
      <c r="A12" s="5">
        <f t="shared" si="3"/>
        <v>2034</v>
      </c>
      <c r="B12" s="49">
        <v>926299</v>
      </c>
      <c r="C12" s="50">
        <v>1681536</v>
      </c>
      <c r="D12" s="50">
        <v>2115944.5</v>
      </c>
      <c r="E12" s="50">
        <v>1458030.5</v>
      </c>
      <c r="F12" s="50">
        <v>789915</v>
      </c>
      <c r="G12" s="17">
        <f t="shared" si="0"/>
        <v>6045426</v>
      </c>
      <c r="H12" s="17">
        <f t="shared" si="1"/>
        <v>1082962.6696007068</v>
      </c>
      <c r="I12" s="17">
        <f t="shared" si="2"/>
        <v>4962463.3303992935</v>
      </c>
    </row>
    <row r="13" spans="1:9" ht="15.75" customHeight="1" x14ac:dyDescent="0.25">
      <c r="A13" s="5">
        <f t="shared" si="3"/>
        <v>2035</v>
      </c>
      <c r="B13" s="49">
        <v>936502</v>
      </c>
      <c r="C13" s="50">
        <v>1726130</v>
      </c>
      <c r="D13" s="50">
        <v>2187908</v>
      </c>
      <c r="E13" s="50">
        <v>1507323</v>
      </c>
      <c r="F13" s="50">
        <v>822475</v>
      </c>
      <c r="G13" s="17">
        <f t="shared" si="0"/>
        <v>6243836</v>
      </c>
      <c r="H13" s="17">
        <f t="shared" si="1"/>
        <v>1094891.2888887941</v>
      </c>
      <c r="I13" s="17">
        <f t="shared" si="2"/>
        <v>5148944.7111112056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C0r79ymLQAO0J+Zw03ZJATgIQR1FsfkoE/+1i99VSO3ZsUgmre0tS7VjhIQv87p7oggYSA7rWzIuH7javQbZQ==" saltValue="nA3B4yogzNSxpMzRxte5u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1.5791600634152171E-2</v>
      </c>
    </row>
    <row r="4" spans="1:8" ht="15.75" customHeight="1" x14ac:dyDescent="0.25">
      <c r="B4" s="19" t="s">
        <v>97</v>
      </c>
      <c r="C4" s="101">
        <v>7.4360170060622177E-2</v>
      </c>
    </row>
    <row r="5" spans="1:8" ht="15.75" customHeight="1" x14ac:dyDescent="0.25">
      <c r="B5" s="19" t="s">
        <v>95</v>
      </c>
      <c r="C5" s="101">
        <v>0.1080931803242427</v>
      </c>
    </row>
    <row r="6" spans="1:8" ht="15.75" customHeight="1" x14ac:dyDescent="0.25">
      <c r="B6" s="19" t="s">
        <v>91</v>
      </c>
      <c r="C6" s="101">
        <v>0.2606542151687094</v>
      </c>
    </row>
    <row r="7" spans="1:8" ht="15.75" customHeight="1" x14ac:dyDescent="0.25">
      <c r="B7" s="19" t="s">
        <v>96</v>
      </c>
      <c r="C7" s="101">
        <v>0.37045158189520122</v>
      </c>
    </row>
    <row r="8" spans="1:8" ht="15.75" customHeight="1" x14ac:dyDescent="0.25">
      <c r="B8" s="19" t="s">
        <v>98</v>
      </c>
      <c r="C8" s="101">
        <v>1.2418729629592231E-2</v>
      </c>
    </row>
    <row r="9" spans="1:8" ht="15.75" customHeight="1" x14ac:dyDescent="0.25">
      <c r="B9" s="19" t="s">
        <v>92</v>
      </c>
      <c r="C9" s="101">
        <v>4.1450001515076752E-2</v>
      </c>
    </row>
    <row r="10" spans="1:8" ht="15.75" customHeight="1" x14ac:dyDescent="0.25">
      <c r="B10" s="19" t="s">
        <v>94</v>
      </c>
      <c r="C10" s="101">
        <v>0.1167805207724034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102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2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90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3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101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79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88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99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8.9486848999999993E-2</v>
      </c>
    </row>
    <row r="27" spans="1:8" ht="15.75" customHeight="1" x14ac:dyDescent="0.25">
      <c r="B27" s="19" t="s">
        <v>89</v>
      </c>
      <c r="C27" s="101">
        <v>8.7680180000000007E-3</v>
      </c>
    </row>
    <row r="28" spans="1:8" ht="15.75" customHeight="1" x14ac:dyDescent="0.25">
      <c r="B28" s="19" t="s">
        <v>103</v>
      </c>
      <c r="C28" s="101">
        <v>0.157124918</v>
      </c>
    </row>
    <row r="29" spans="1:8" ht="15.75" customHeight="1" x14ac:dyDescent="0.25">
      <c r="B29" s="19" t="s">
        <v>86</v>
      </c>
      <c r="C29" s="101">
        <v>0.169393875</v>
      </c>
    </row>
    <row r="30" spans="1:8" ht="15.75" customHeight="1" x14ac:dyDescent="0.25">
      <c r="B30" s="19" t="s">
        <v>4</v>
      </c>
      <c r="C30" s="101">
        <v>0.105381207</v>
      </c>
    </row>
    <row r="31" spans="1:8" ht="15.75" customHeight="1" x14ac:dyDescent="0.25">
      <c r="B31" s="19" t="s">
        <v>80</v>
      </c>
      <c r="C31" s="101">
        <v>0.109725931</v>
      </c>
    </row>
    <row r="32" spans="1:8" ht="15.75" customHeight="1" x14ac:dyDescent="0.25">
      <c r="B32" s="19" t="s">
        <v>85</v>
      </c>
      <c r="C32" s="101">
        <v>1.8930017E-2</v>
      </c>
    </row>
    <row r="33" spans="2:3" ht="15.75" customHeight="1" x14ac:dyDescent="0.25">
      <c r="B33" s="19" t="s">
        <v>100</v>
      </c>
      <c r="C33" s="101">
        <v>8.4558286999999996E-2</v>
      </c>
    </row>
    <row r="34" spans="2:3" ht="15.75" customHeight="1" x14ac:dyDescent="0.25">
      <c r="B34" s="19" t="s">
        <v>87</v>
      </c>
      <c r="C34" s="101">
        <v>0.25663089700000002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Fd49rE7bNesNwi4D2VbQoFsG6rLOkKjiDXatL1pnrHIONk2rHIh5l7vCb+aByLdVJherwa1AboPGt5nsjLg2oQ==" saltValue="FnpLlX50ow8Ij7/kHyb3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110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106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107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119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mjvsBzYtTb1uniLOEV8nfdet/WoxbiAjDUQ7XBNXLxad5+Rw29Y/wgo+2S2TH2BExez0fN1u64nblb2FV7FTA==" saltValue="QJ8KAfQ/dGlQKR8Vlngp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125</v>
      </c>
      <c r="C5" s="52">
        <v>6.6058699999999998E-2</v>
      </c>
      <c r="D5" s="52">
        <v>8.8361499999999996E-2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xY3e4dheOSmUZyi/XOeFLSSzMjSZ22m1z2pgE8V6/dMaVojWX+8JCMVgnbpuIN9dD3wZKrAPPMXSuY0HHBqe8g==" saltValue="rUDJtX0Ughkw9czYHAyd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uemiqisjBhugkNhLH3l9rqU+IHi68M+9d3MeVGgQ0Kmdm66hs+xc4SOUlgqN6dP2CC7zmHDqmOR1Qg+sGEBmw==" saltValue="p9BUV+lYq54lXCH6ACDuf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KIhDP8VVUBF781Zwfd+8fXxSjFBp/Ly29P5UyshkmmcV9uM0Z48sSHhr/8cq6kOCXX6f+PPsRnqDULchTuUhZQ==" saltValue="bPocHRMm01/hqYmFavtr2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gB1ARrv/BX13K+1eDQO9F5LlzACLp9j4Av6JSJSNlqrxT6RO+NkzJoFwIqVRIuQMRmV/0G5Tf2LsSTORO38hBQ==" saltValue="chVeAbns8A2SWPy590HH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L9qO6DJ5GhA52F8pd2yDKNKEM3rUFtxMZvKAFShgWaMP6fm25zw2ijrFTLWVgCbONJSWm7I1sf7wRyA9ujZog==" saltValue="qSQmYoe951HgYT2CvAYI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6.3480009307688934E-2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0.41709554979569308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17.31204218632346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17.31204218632346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17.31204218632346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17.31204218632346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17.31204218632346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17.31204218632346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2.4867E-2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8.8158799999999996E-2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8.8158799999999996E-2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29.476348850423271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0.1048504</v>
      </c>
      <c r="C23" s="98">
        <v>0.95</v>
      </c>
      <c r="D23" s="56">
        <v>5.6282823713961951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6.69694158544E-2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0.13218150000000001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0.11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0.20100000000000001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0.28000000000000003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0.25097639999999999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0.34730299999999997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4.4943200000000003E-2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0.49360460000000012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WhIlJJYNuqSVo0zAuaRBBbcgonqcM/w0s38v+5JUvgfsASm+COkWLfUPGvX5nFKq0smaZ0QfrxnYjby4+x7vxA==" saltValue="Dy9HxIZwfryMLNGmwAud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kJmm+fezBc6Z3Wtc+aHDXQsDec+sxaQ6FcEkdqbotdIXHRdfqKoKodOScVx5tNcnMqEGfrkKUq1cKyTl0o0KeA==" saltValue="D4ht1oQxDbDDH8fcMb2z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lrL9l0Ufe3ebu0X3wXksqFjLAqYebTVlDXeDfPorO6o4jtnWtM1Z3wlROsyWj9/SfYx/SdfkyJ6ZCTT3cFUSZg==" saltValue="G2gjHG4zXh2UJRTs15dP3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207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XLLx4w3OZDVdltmkicVLvSI+/mvUCrREDNdh9g+L71BG1m/Y0l0RDI2mDow01b6HqD3709jtJnv76qOCDSA9aQ==" saltValue="kkoMRfLwMX4w85Y1wJ2A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0.63600000000000001</v>
      </c>
      <c r="M24" s="60">
        <f>famplan_unmet_need</f>
        <v>0.63600000000000001</v>
      </c>
      <c r="N24" s="60">
        <f>famplan_unmet_need</f>
        <v>0.63600000000000001</v>
      </c>
      <c r="O24" s="60">
        <f>famplan_unmet_need</f>
        <v>0.63600000000000001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0.3942166543388641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0.168949994716656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0.11080014014448003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0.28079999999999999</v>
      </c>
      <c r="D34" s="60">
        <f t="shared" si="3"/>
        <v>0.28079999999999999</v>
      </c>
      <c r="E34" s="60">
        <f t="shared" si="3"/>
        <v>0.28079999999999999</v>
      </c>
      <c r="F34" s="60">
        <f t="shared" si="3"/>
        <v>0.28079999999999999</v>
      </c>
      <c r="G34" s="60">
        <f t="shared" si="3"/>
        <v>0.28079999999999999</v>
      </c>
      <c r="H34" s="60">
        <f t="shared" si="3"/>
        <v>0.28079999999999999</v>
      </c>
      <c r="I34" s="60">
        <f t="shared" si="3"/>
        <v>0.28079999999999999</v>
      </c>
      <c r="J34" s="60">
        <f t="shared" si="3"/>
        <v>0.28079999999999999</v>
      </c>
      <c r="K34" s="60">
        <f t="shared" si="3"/>
        <v>0.28079999999999999</v>
      </c>
      <c r="L34" s="60">
        <f t="shared" si="3"/>
        <v>0.28079999999999999</v>
      </c>
      <c r="M34" s="60">
        <f t="shared" si="3"/>
        <v>0.28079999999999999</v>
      </c>
      <c r="N34" s="60">
        <f t="shared" si="3"/>
        <v>0.28079999999999999</v>
      </c>
      <c r="O34" s="60">
        <f t="shared" si="3"/>
        <v>0.28079999999999999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grYn/DwufbsizSEdOe7yTKNMLSBG2WHCApkwUgG5YGfR2w2UwJDYW7HasqXGER8l/XuK4DhFUw59AXrihGVLg==" saltValue="VlcSZ7L9UNxD5btF3jXLM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P38nfCJS5mgqSPRhTKF2OsbVrRaAFvlc+xRBlB/gbO/FTN97NxdWwGdLlhEl7eAm5bbO3T2JBGo4JhLvVAyFuA==" saltValue="BKVeYYshdKSgw7Stnt4V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af9HqOnjyeBT38u3MBuE+Np99/4G5eGcvrwrHxKdtnOqOCpfiteguvuwv+QkGFLWT+vG6DZoTrfXnJ9nSDfRg==" saltValue="IL8gi/HLi/A7cAOOhoCZ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vBRZ2oP+zd3wherq5M6rOQWXkstPl2tB96t4imaQYz1+5OWsgjDTqxs4KJP+CIeuM1jHwZkHU6zNdpo+X6mAA==" saltValue="PPm6ShUA4Fg+oETlj70E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jm8jPujmitmSGepuCyL7J397SKAOSXg1ICWlfDpMUdmEvvQrDIwrChA6EQnla+YGOARMtvJyEgptme0SVA4tA==" saltValue="vuoaGnph9U9vuV4akSNb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vqTB0/6JwjAt4E+4druUqLEuanOWBLEgKWeHlAUYkwur9NcxTabcAzABTKTUYSTWQUt1ZEi+Rr/PmOAmUX1gQ==" saltValue="KgEMU8fKpiMHjE0/jigP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vDkq1VNVXuWzzSpkp1X0A6dwGTM+yMn8UF1yI/P0Bv8jAdNWV/mInJCa9Z6SLDxTMuzFbrZaSJ5UBITnxY02w==" saltValue="15OTb1k7ctf4x66Ho2Dss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in04nVnC0gE8t3hApoxDxI28OLBFz7J6FGNJ5aMcpgJGxtJ0ylVT6utq9ewpQH9ZL9s+4sjRGDlQcZvth9Mow==" saltValue="2XVsl/jfIf9uIRcBJIGG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njjyxZtzsoFb3mTxv/GqWcyd9GXnXVjhB4EWKciI6HsoTvIjs8FYMcF1TCJZCBKUF46fk15mPnSS3DKpWvh6A==" saltValue="MKkoNk3slWlH/mgRw3Jn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yfCI8LjH5gjC65+4KfWr8Ohbx+tGJXC8KB0Qw8Jpxk288dWmRzce39/D+F+1gNqoIqMgDLcaf7su5x4HiikDcQ==" saltValue="vCAgYQhxf7jN0rQHSM8L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5Bm3Qc6FplVB49Gt4Wjyb/hjlPX107K2XdW8mxxWTLLonjIIpQ7PXvCzX8UcAyjMxYKHDG15ezvnbrtxV7YPGw==" saltValue="fHeMhTn7gfKjOhmY2k/2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QGmgZaMPIkKXGo9Str0JKKVR0ASnvsDxHXWF1FtVLBnTypn+x6DmtOQPIlfgVH+qdGa2fEw23cebXGmjfriew==" saltValue="/TXMq3NdUiFcHCNYBgZi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vfRIgAlP/da0bvUaBKdFe9AcStNZcL05o0Tqvr2gsHOiF+kJQ0D405bg6HBVTPQW8txRhTcROHCu+VgVW2Yrw==" saltValue="63XkhNMDCjy7uijek8Vq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0.10318435987139085</v>
      </c>
      <c r="G18" s="90">
        <f>MIN(MAX(1-0.89/(1-frac_sam_12_23months+(frac_sam_12_23months*0.89)),0),1)</f>
        <v>0.10367806210765773</v>
      </c>
      <c r="H18" s="90">
        <f>MIN(MAX(1-0.89/(1-frac_sam_24_59months+(frac_sam_24_59months*0.89)),0),1)</f>
        <v>0.10715703622002071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0.10013307980219843</v>
      </c>
      <c r="G20" s="90">
        <f>MIN(MAX(1-0.89/(1-frac_mam_12_23months+(frac_mam_12_23months*0.89)),0),1)</f>
        <v>0.10268114709285892</v>
      </c>
      <c r="H20" s="90">
        <f>MIN(MAX(1-0.89/(1-frac_mam_24_59months+(frac_mam_24_59months*0.89)),0),1)</f>
        <v>0.1017704913032218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9.3155430434799236E-3</v>
      </c>
      <c r="G73" s="90">
        <f>MIN(MAX(1-0.99/(1-frac_sam_12_23months+(frac_sam_12_23months*0.99)),0),1)</f>
        <v>9.3648047127817824E-3</v>
      </c>
      <c r="H73" s="90">
        <f>MIN(MAX(1-0.99/(1-frac_sam_24_59months+(frac_sam_24_59months*0.99)),0),1)</f>
        <v>9.7133417210280015E-3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9.0121773924978221E-3</v>
      </c>
      <c r="G75" s="90">
        <f>MIN(MAX(1-0.99/(1-frac_mam_12_23months+(frac_mam_12_23months*0.99)),0),1)</f>
        <v>9.265383161164098E-3</v>
      </c>
      <c r="H75" s="90">
        <f>MIN(MAX(1-0.99/(1-frac_mam_24_59months+(frac_mam_24_59months*0.99)),0),1)</f>
        <v>9.1747396590114993E-3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0.18879082519178447</v>
      </c>
      <c r="G128" s="90">
        <f>MIN(MAX(1-0.8/(1-frac_sam_12_23months+(frac_sam_12_23months*0.8)),0),1)</f>
        <v>0.18960752692528993</v>
      </c>
      <c r="H128" s="90">
        <f>MIN(MAX(1-0.8/(1-frac_sam_24_59months+(frac_sam_24_59months*0.8)),0),1)</f>
        <v>0.19534151013879741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0.18372667708149792</v>
      </c>
      <c r="G130" s="90">
        <f>MIN(MAX(1-0.8/(1-frac_mam_12_23months+(frac_mam_12_23months*0.8)),0),1)</f>
        <v>0.1879576226752927</v>
      </c>
      <c r="H130" s="90">
        <f>MIN(MAX(1-0.8/(1-frac_mam_24_59months+(frac_mam_24_59months*0.8)),0),1)</f>
        <v>0.1864478151628961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FN/0wNRicVZ93/jUoAqsBHQCevvQora7YKWzTU9+OnAOdi5gntfxouihoAHTZeIXarLd3av3dhHHYI0l+lKZA==" saltValue="aATpmbuTjXYAznDnexQ+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ymrN2zBjRsQ8s6aazbVKuwZRZG6Ag5+A/CEW57Bs2Nr8KhXWTnCb9VGR6fbQOQKqVDSI9ygTGyoSTa+yabmUw==" saltValue="Mec5STiWplpZzxXbOEoeZ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2024-08-06T08:18:46Z</dcterms:modified>
</cp:coreProperties>
</file>