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A221AF63-6097-458D-8347-67F23D37D65C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6" i="2" l="1"/>
  <c r="A31" i="2"/>
  <c r="I39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<sst xmlns="http://schemas.openxmlformats.org/spreadsheetml/2006/main" count="2169" uniqueCount="373">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</sst>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3433016.5</v>
      </c>
    </row>
    <row r="8" spans="1:3" ht="15" customHeight="1" x14ac:dyDescent="0.25">
      <c r="B8" s="5" t="s">
        <v>63</v>
      </c>
      <c r="C8" s="44">
        <v>0.54400000000000004</v>
      </c>
    </row>
    <row r="9" spans="1:3" ht="15" customHeight="1" x14ac:dyDescent="0.25">
      <c r="B9" s="5" t="s">
        <v>62</v>
      </c>
      <c r="C9" s="45">
        <v>0.28079999999999999</v>
      </c>
    </row>
    <row r="10" spans="1:3" ht="15" customHeight="1" x14ac:dyDescent="0.25">
      <c r="B10" s="5" t="s">
        <v>75</v>
      </c>
      <c r="C10" s="45">
        <v>0.32603321079999997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0.36599999999999999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8.2100000000000006E-2</v>
      </c>
    </row>
    <row r="24" spans="1:3" ht="15" customHeight="1" x14ac:dyDescent="0.25">
      <c r="B24" s="15" t="s">
        <v>65</v>
      </c>
      <c r="C24" s="45">
        <v>0.47660000000000002</v>
      </c>
    </row>
    <row r="25" spans="1:3" ht="15" customHeight="1" x14ac:dyDescent="0.25">
      <c r="B25" s="15" t="s">
        <v>66</v>
      </c>
      <c r="C25" s="45">
        <v>0.3337</v>
      </c>
    </row>
    <row r="26" spans="1:3" ht="15" customHeight="1" x14ac:dyDescent="0.25">
      <c r="B26" s="15" t="s">
        <v>67</v>
      </c>
      <c r="C26" s="45">
        <v>0.1076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0.18812535867607999</v>
      </c>
    </row>
    <row r="30" spans="1:3" ht="14.25" customHeight="1" x14ac:dyDescent="0.25">
      <c r="B30" s="25" t="s">
        <v>82</v>
      </c>
      <c r="C30" s="97">
        <v>7.529214782846369E-2</v>
      </c>
    </row>
    <row r="31" spans="1:3" ht="14.25" customHeight="1" x14ac:dyDescent="0.25">
      <c r="B31" s="25" t="s">
        <v>29</v>
      </c>
      <c r="C31" s="97">
        <v>0.10030682254742999</v>
      </c>
    </row>
    <row r="32" spans="1:3" ht="14.25" customHeight="1" x14ac:dyDescent="0.25">
      <c r="B32" s="25" t="s">
        <v>30</v>
      </c>
      <c r="C32" s="97">
        <v>0.63627567094802595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35.95326</v>
      </c>
    </row>
    <row r="38" spans="1:5" ht="15" customHeight="1" x14ac:dyDescent="0.25">
      <c r="B38" s="11" t="s">
        <v>54</v>
      </c>
      <c r="C38" s="43">
        <v>71.129549999999995</v>
      </c>
      <c r="D38" s="12"/>
      <c r="E38" s="13"/>
    </row>
    <row r="39" spans="1:5" ht="15" customHeight="1" x14ac:dyDescent="0.25">
      <c r="B39" s="11" t="s">
        <v>80</v>
      </c>
      <c r="C39" s="43">
        <v>111.78455</v>
      </c>
      <c r="D39" s="12"/>
      <c r="E39" s="12"/>
    </row>
    <row r="40" spans="1:5" ht="15" customHeight="1" x14ac:dyDescent="0.25">
      <c r="B40" s="11" t="s">
        <v>55</v>
      </c>
      <c r="C40" s="98">
        <v>6.21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28.025130000000001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7.9459999999999999E-3</v>
      </c>
      <c r="D45" s="12"/>
    </row>
    <row r="46" spans="1:5" ht="15.75" customHeight="1" x14ac:dyDescent="0.25">
      <c r="B46" s="11" t="s">
        <v>70</v>
      </c>
      <c r="C46" s="45">
        <v>8.5378900000000008E-2</v>
      </c>
      <c r="D46" s="12"/>
    </row>
    <row r="47" spans="1:5" ht="15.75" customHeight="1" x14ac:dyDescent="0.25">
      <c r="B47" s="11" t="s">
        <v>78</v>
      </c>
      <c r="C47" s="45">
        <v>7.3444099999999998E-2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3.3</v>
      </c>
      <c r="D51" s="12"/>
    </row>
    <row r="52" spans="1:4" ht="15" customHeight="1" x14ac:dyDescent="0.25">
      <c r="B52" s="11" t="s">
        <v>32</v>
      </c>
      <c r="C52" s="98">
        <v>3.3</v>
      </c>
    </row>
    <row r="53" spans="1:4" ht="15.75" customHeight="1" x14ac:dyDescent="0.25">
      <c r="B53" s="11" t="s">
        <v>35</v>
      </c>
      <c r="C53" s="98">
        <v>3.3</v>
      </c>
    </row>
    <row r="54" spans="1:4" ht="15.75" customHeight="1" x14ac:dyDescent="0.25">
      <c r="B54" s="11" t="s">
        <v>33</v>
      </c>
      <c r="C54" s="98">
        <v>3.3</v>
      </c>
    </row>
    <row r="55" spans="1:4" ht="15.75" customHeight="1" x14ac:dyDescent="0.25">
      <c r="B55" s="11" t="s">
        <v>34</v>
      </c>
      <c r="C55" s="98">
        <v>3.3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0.44861699999999999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13fdM+iGJ/Wgx6mTcQ2qTVIA5biwfNq+V3RYLX7T10XlOWfDoFxoSmCQCNAWQevcz7a4xBKYLprjUd3b1zUIRA==" saltValue="MNhzJDubo6NJKaMy+Rk5+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3583656.5</v>
      </c>
      <c r="C2" s="49">
        <v>936181</v>
      </c>
      <c r="D2" s="49">
        <v>1459393</v>
      </c>
      <c r="E2" s="49">
        <v>2097166</v>
      </c>
      <c r="F2" s="49">
        <v>1623541.0000000002</v>
      </c>
      <c r="G2" s="17">
        <f t="shared" ref="G2:G13" si="0">C2+D2+E2+F2</f>
        <v>6116281</v>
      </c>
      <c r="H2" s="17">
        <f t="shared" ref="H2:H13" si="1">(B2 + stillbirth*B2/(1000-stillbirth))/(1-abortion)</f>
        <v>4189755.3707516962</v>
      </c>
      <c r="I2" s="17">
        <f t="shared" ref="I2:I13" si="2">G2-H2</f>
        <v>1926525.6292483038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804966</v>
      </c>
      <c r="C3" s="50">
        <v>1011196.5</v>
      </c>
      <c r="D3" s="50">
        <v>1581348.5</v>
      </c>
      <c r="E3" s="50">
        <v>990593.50000000012</v>
      </c>
      <c r="F3" s="50">
        <v>679224</v>
      </c>
      <c r="G3" s="17">
        <f t="shared" si="0"/>
        <v>4262362.5</v>
      </c>
      <c r="H3" s="17">
        <f t="shared" si="1"/>
        <v>941108.78700916504</v>
      </c>
      <c r="I3" s="17">
        <f t="shared" si="2"/>
        <v>3321253.7129908348</v>
      </c>
    </row>
    <row r="4" spans="1:9" ht="15.75" customHeight="1" x14ac:dyDescent="0.25">
      <c r="A4" s="5">
        <f t="shared" si="3"/>
        <v>2026</v>
      </c>
      <c r="B4" s="49">
        <v>822215</v>
      </c>
      <c r="C4" s="50">
        <v>1025557</v>
      </c>
      <c r="D4" s="50">
        <v>1632346</v>
      </c>
      <c r="E4" s="50">
        <v>1040626.4999999999</v>
      </c>
      <c r="F4" s="50">
        <v>710255.5</v>
      </c>
      <c r="G4" s="17">
        <f t="shared" si="0"/>
        <v>4408785</v>
      </c>
      <c r="H4" s="17">
        <f t="shared" si="1"/>
        <v>961275.08653873659</v>
      </c>
      <c r="I4" s="17">
        <f t="shared" si="2"/>
        <v>3447509.9134612633</v>
      </c>
    </row>
    <row r="5" spans="1:9" ht="15.75" customHeight="1" x14ac:dyDescent="0.25">
      <c r="A5" s="5">
        <f t="shared" si="3"/>
        <v>2027</v>
      </c>
      <c r="B5" s="49">
        <v>836420</v>
      </c>
      <c r="C5" s="50">
        <v>1040482</v>
      </c>
      <c r="D5" s="50">
        <v>1680491</v>
      </c>
      <c r="E5" s="50">
        <v>1092418.9999999998</v>
      </c>
      <c r="F5" s="50">
        <v>741930.49999999988</v>
      </c>
      <c r="G5" s="17">
        <f t="shared" si="0"/>
        <v>4555322.5</v>
      </c>
      <c r="H5" s="17">
        <f t="shared" si="1"/>
        <v>977882.55855552386</v>
      </c>
      <c r="I5" s="17">
        <f t="shared" si="2"/>
        <v>3577439.9414444761</v>
      </c>
    </row>
    <row r="6" spans="1:9" ht="15.75" customHeight="1" x14ac:dyDescent="0.25">
      <c r="A6" s="5">
        <f t="shared" si="3"/>
        <v>2028</v>
      </c>
      <c r="B6" s="49">
        <v>847521</v>
      </c>
      <c r="C6" s="50">
        <v>1069014</v>
      </c>
      <c r="D6" s="50">
        <v>1725587.5</v>
      </c>
      <c r="E6" s="50">
        <v>1146550</v>
      </c>
      <c r="F6" s="50">
        <v>773888.5</v>
      </c>
      <c r="G6" s="17">
        <f t="shared" si="0"/>
        <v>4715040</v>
      </c>
      <c r="H6" s="17">
        <f t="shared" si="1"/>
        <v>990861.05534245505</v>
      </c>
      <c r="I6" s="17">
        <f t="shared" si="2"/>
        <v>3724178.9446575451</v>
      </c>
    </row>
    <row r="7" spans="1:9" ht="15.75" customHeight="1" x14ac:dyDescent="0.25">
      <c r="A7" s="5">
        <f t="shared" si="3"/>
        <v>2029</v>
      </c>
      <c r="B7" s="49">
        <v>859891</v>
      </c>
      <c r="C7" s="50">
        <v>1111748.5</v>
      </c>
      <c r="D7" s="50">
        <v>1765585.5000000002</v>
      </c>
      <c r="E7" s="50">
        <v>1202213</v>
      </c>
      <c r="F7" s="50">
        <v>804630</v>
      </c>
      <c r="G7" s="17">
        <f t="shared" si="0"/>
        <v>4884177</v>
      </c>
      <c r="H7" s="17">
        <f t="shared" si="1"/>
        <v>1005323.176345458</v>
      </c>
      <c r="I7" s="17">
        <f t="shared" si="2"/>
        <v>3878853.8236545417</v>
      </c>
    </row>
    <row r="8" spans="1:9" ht="15.75" customHeight="1" x14ac:dyDescent="0.25">
      <c r="A8" s="5">
        <f t="shared" si="3"/>
        <v>2030</v>
      </c>
      <c r="B8" s="49">
        <v>869665</v>
      </c>
      <c r="C8" s="50">
        <v>1162638</v>
      </c>
      <c r="D8" s="50">
        <v>1800677.0000000002</v>
      </c>
      <c r="E8" s="50">
        <v>1261992.0000000002</v>
      </c>
      <c r="F8" s="50">
        <v>832738</v>
      </c>
      <c r="G8" s="17">
        <f t="shared" si="0"/>
        <v>5058045</v>
      </c>
      <c r="H8" s="17">
        <f t="shared" si="1"/>
        <v>1016750.2394564808</v>
      </c>
      <c r="I8" s="17">
        <f t="shared" si="2"/>
        <v>4041294.7605435192</v>
      </c>
    </row>
    <row r="9" spans="1:9" ht="15.75" customHeight="1" x14ac:dyDescent="0.25">
      <c r="A9" s="5">
        <f t="shared" si="3"/>
        <v>2031</v>
      </c>
      <c r="B9" s="49">
        <v>878445</v>
      </c>
      <c r="C9" s="50">
        <v>1222458</v>
      </c>
      <c r="D9" s="50">
        <v>1832761.5</v>
      </c>
      <c r="E9" s="50">
        <v>1330532</v>
      </c>
      <c r="F9" s="50">
        <v>856433</v>
      </c>
      <c r="G9" s="17">
        <f t="shared" si="0"/>
        <v>5242184.5</v>
      </c>
      <c r="H9" s="17">
        <f t="shared" si="1"/>
        <v>1027015.1887213447</v>
      </c>
      <c r="I9" s="17">
        <f t="shared" si="2"/>
        <v>4215169.3112786552</v>
      </c>
    </row>
    <row r="10" spans="1:9" ht="15.75" customHeight="1" x14ac:dyDescent="0.25">
      <c r="A10" s="5">
        <f t="shared" si="3"/>
        <v>2032</v>
      </c>
      <c r="B10" s="49">
        <v>891665</v>
      </c>
      <c r="C10" s="50">
        <v>1284433</v>
      </c>
      <c r="D10" s="50">
        <v>1864882.5000000002</v>
      </c>
      <c r="E10" s="50">
        <v>1404990</v>
      </c>
      <c r="F10" s="50">
        <v>875757.00000000012</v>
      </c>
      <c r="G10" s="17">
        <f t="shared" si="0"/>
        <v>5430062.5</v>
      </c>
      <c r="H10" s="17">
        <f t="shared" si="1"/>
        <v>1042471.0690495339</v>
      </c>
      <c r="I10" s="17">
        <f t="shared" si="2"/>
        <v>4387591.4309504665</v>
      </c>
    </row>
    <row r="11" spans="1:9" ht="15.75" customHeight="1" x14ac:dyDescent="0.25">
      <c r="A11" s="5">
        <f t="shared" si="3"/>
        <v>2033</v>
      </c>
      <c r="B11" s="49">
        <v>901357</v>
      </c>
      <c r="C11" s="50">
        <v>1335157</v>
      </c>
      <c r="D11" s="50">
        <v>1908491.5</v>
      </c>
      <c r="E11" s="50">
        <v>1473857.5</v>
      </c>
      <c r="F11" s="50">
        <v>899836.5</v>
      </c>
      <c r="G11" s="17">
        <f t="shared" si="0"/>
        <v>5617342.5</v>
      </c>
      <c r="H11" s="17">
        <f t="shared" si="1"/>
        <v>1053802.2636138918</v>
      </c>
      <c r="I11" s="17">
        <f t="shared" si="2"/>
        <v>4563540.2363861082</v>
      </c>
    </row>
    <row r="12" spans="1:9" ht="15.75" customHeight="1" x14ac:dyDescent="0.25">
      <c r="A12" s="5">
        <f t="shared" si="3"/>
        <v>2034</v>
      </c>
      <c r="B12" s="49">
        <v>915030</v>
      </c>
      <c r="C12" s="50">
        <v>1376236.5</v>
      </c>
      <c r="D12" s="50">
        <v>1964613.5</v>
      </c>
      <c r="E12" s="50">
        <v>1528773.5</v>
      </c>
      <c r="F12" s="50">
        <v>936411.5</v>
      </c>
      <c r="G12" s="17">
        <f t="shared" si="0"/>
        <v>5806035</v>
      </c>
      <c r="H12" s="17">
        <f t="shared" si="1"/>
        <v>1069787.7592059742</v>
      </c>
      <c r="I12" s="17">
        <f t="shared" si="2"/>
        <v>4736247.2407940254</v>
      </c>
    </row>
    <row r="13" spans="1:9" ht="15.75" customHeight="1" x14ac:dyDescent="0.25">
      <c r="A13" s="5">
        <f t="shared" si="3"/>
        <v>2035</v>
      </c>
      <c r="B13" s="49">
        <v>924402</v>
      </c>
      <c r="C13" s="50">
        <v>1417634.5</v>
      </c>
      <c r="D13" s="50">
        <v>2026830.5</v>
      </c>
      <c r="E13" s="50">
        <v>1576043.9999999998</v>
      </c>
      <c r="F13" s="50">
        <v>980769.5</v>
      </c>
      <c r="G13" s="17">
        <f t="shared" si="0"/>
        <v>6001278.5</v>
      </c>
      <c r="H13" s="17">
        <f t="shared" si="1"/>
        <v>1080744.8326126151</v>
      </c>
      <c r="I13" s="17">
        <f t="shared" si="2"/>
        <v>4920533.6673873849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xgKMb6t01g8wR0ZVSL8fVYjZzpT0UOCCHxKKnE+RoSvmqTi7LrulzBjV0GVSYF6XLdnF/TuRl40xDZA/g5pdLQ==" saltValue="HHGAbTyTsTzXGjpLbnrJx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1.5791600634152171E-2</v>
      </c>
    </row>
    <row r="4" spans="1:8" ht="15.75" customHeight="1" x14ac:dyDescent="0.25">
      <c r="B4" s="19" t="s">
        <v>116</v>
      </c>
      <c r="C4" s="99">
        <v>7.4360170060622177E-2</v>
      </c>
    </row>
    <row r="5" spans="1:8" ht="15.75" customHeight="1" x14ac:dyDescent="0.25">
      <c r="B5" s="19" t="s">
        <v>114</v>
      </c>
      <c r="C5" s="99">
        <v>0.1080931803242427</v>
      </c>
    </row>
    <row r="6" spans="1:8" ht="15.75" customHeight="1" x14ac:dyDescent="0.25">
      <c r="B6" s="19" t="s">
        <v>110</v>
      </c>
      <c r="C6" s="99">
        <v>0.2606542151687094</v>
      </c>
    </row>
    <row r="7" spans="1:8" ht="15.75" customHeight="1" x14ac:dyDescent="0.25">
      <c r="B7" s="19" t="s">
        <v>115</v>
      </c>
      <c r="C7" s="99">
        <v>0.37045158189520122</v>
      </c>
    </row>
    <row r="8" spans="1:8" ht="15.75" customHeight="1" x14ac:dyDescent="0.25">
      <c r="B8" s="19" t="s">
        <v>117</v>
      </c>
      <c r="C8" s="99">
        <v>1.2418729629592231E-2</v>
      </c>
    </row>
    <row r="9" spans="1:8" ht="15.75" customHeight="1" x14ac:dyDescent="0.25">
      <c r="B9" s="19" t="s">
        <v>111</v>
      </c>
      <c r="C9" s="99">
        <v>4.1450001515076752E-2</v>
      </c>
    </row>
    <row r="10" spans="1:8" ht="15.75" customHeight="1" x14ac:dyDescent="0.25">
      <c r="B10" s="19" t="s">
        <v>113</v>
      </c>
      <c r="C10" s="99">
        <v>0.1167805207724034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0.2010018346567341</v>
      </c>
      <c r="D14" s="55">
        <v>0.2010018346567341</v>
      </c>
      <c r="E14" s="55">
        <v>0.2010018346567341</v>
      </c>
      <c r="F14" s="55">
        <v>0.2010018346567341</v>
      </c>
    </row>
    <row r="15" spans="1:8" ht="15.75" customHeight="1" x14ac:dyDescent="0.25">
      <c r="B15" s="19" t="s">
        <v>121</v>
      </c>
      <c r="C15" s="99">
        <v>0.30084294976052228</v>
      </c>
      <c r="D15" s="99">
        <v>0.30084294976052228</v>
      </c>
      <c r="E15" s="99">
        <v>0.30084294976052228</v>
      </c>
      <c r="F15" s="99">
        <v>0.30084294976052228</v>
      </c>
    </row>
    <row r="16" spans="1:8" ht="15.75" customHeight="1" x14ac:dyDescent="0.25">
      <c r="B16" s="19" t="s">
        <v>2</v>
      </c>
      <c r="C16" s="99">
        <v>3.4190173389727387E-2</v>
      </c>
      <c r="D16" s="99">
        <v>3.4190173389727387E-2</v>
      </c>
      <c r="E16" s="99">
        <v>3.4190173389727387E-2</v>
      </c>
      <c r="F16" s="99">
        <v>3.4190173389727387E-2</v>
      </c>
    </row>
    <row r="17" spans="1:8" ht="15.75" customHeight="1" x14ac:dyDescent="0.25">
      <c r="B17" s="19" t="s">
        <v>109</v>
      </c>
      <c r="C17" s="99">
        <v>0.2374778766969679</v>
      </c>
      <c r="D17" s="99">
        <v>0.2374778766969679</v>
      </c>
      <c r="E17" s="99">
        <v>0.2374778766969679</v>
      </c>
      <c r="F17" s="99">
        <v>0.2374778766969679</v>
      </c>
    </row>
    <row r="18" spans="1:8" ht="15.75" customHeight="1" x14ac:dyDescent="0.25">
      <c r="B18" s="19" t="s">
        <v>3</v>
      </c>
      <c r="C18" s="99">
        <v>1.3984937283047651E-2</v>
      </c>
      <c r="D18" s="99">
        <v>1.3984937283047651E-2</v>
      </c>
      <c r="E18" s="99">
        <v>1.3984937283047651E-2</v>
      </c>
      <c r="F18" s="99">
        <v>1.3984937283047651E-2</v>
      </c>
    </row>
    <row r="19" spans="1:8" ht="15.75" customHeight="1" x14ac:dyDescent="0.25">
      <c r="B19" s="19" t="s">
        <v>120</v>
      </c>
      <c r="C19" s="99">
        <v>1.7556101314376321E-2</v>
      </c>
      <c r="D19" s="99">
        <v>1.7556101314376321E-2</v>
      </c>
      <c r="E19" s="99">
        <v>1.7556101314376321E-2</v>
      </c>
      <c r="F19" s="99">
        <v>1.7556101314376321E-2</v>
      </c>
    </row>
    <row r="20" spans="1:8" ht="15.75" customHeight="1" x14ac:dyDescent="0.25">
      <c r="B20" s="19" t="s">
        <v>98</v>
      </c>
      <c r="C20" s="99">
        <v>8.1484501164904828E-4</v>
      </c>
      <c r="D20" s="99">
        <v>8.1484501164904828E-4</v>
      </c>
      <c r="E20" s="99">
        <v>8.1484501164904828E-4</v>
      </c>
      <c r="F20" s="99">
        <v>8.1484501164904828E-4</v>
      </c>
    </row>
    <row r="21" spans="1:8" ht="15.75" customHeight="1" x14ac:dyDescent="0.25">
      <c r="B21" s="19" t="s">
        <v>107</v>
      </c>
      <c r="C21" s="99">
        <v>3.9162183154674388E-2</v>
      </c>
      <c r="D21" s="99">
        <v>3.9162183154674388E-2</v>
      </c>
      <c r="E21" s="99">
        <v>3.9162183154674388E-2</v>
      </c>
      <c r="F21" s="99">
        <v>3.9162183154674388E-2</v>
      </c>
    </row>
    <row r="22" spans="1:8" ht="15.75" customHeight="1" x14ac:dyDescent="0.25">
      <c r="B22" s="19" t="s">
        <v>118</v>
      </c>
      <c r="C22" s="99">
        <v>0.15496909873230089</v>
      </c>
      <c r="D22" s="99">
        <v>0.15496909873230089</v>
      </c>
      <c r="E22" s="99">
        <v>0.15496909873230089</v>
      </c>
      <c r="F22" s="99">
        <v>0.15496909873230089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8.9486848999999993E-2</v>
      </c>
    </row>
    <row r="27" spans="1:8" ht="15.75" customHeight="1" x14ac:dyDescent="0.25">
      <c r="B27" s="19" t="s">
        <v>108</v>
      </c>
      <c r="C27" s="99">
        <v>8.7680180000000007E-3</v>
      </c>
    </row>
    <row r="28" spans="1:8" ht="15.75" customHeight="1" x14ac:dyDescent="0.25">
      <c r="B28" s="19" t="s">
        <v>122</v>
      </c>
      <c r="C28" s="99">
        <v>0.157124918</v>
      </c>
    </row>
    <row r="29" spans="1:8" ht="15.75" customHeight="1" x14ac:dyDescent="0.25">
      <c r="B29" s="19" t="s">
        <v>105</v>
      </c>
      <c r="C29" s="99">
        <v>0.169393875</v>
      </c>
    </row>
    <row r="30" spans="1:8" ht="15.75" customHeight="1" x14ac:dyDescent="0.25">
      <c r="B30" s="19" t="s">
        <v>4</v>
      </c>
      <c r="C30" s="99">
        <v>0.105381207</v>
      </c>
    </row>
    <row r="31" spans="1:8" ht="15.75" customHeight="1" x14ac:dyDescent="0.25">
      <c r="B31" s="19" t="s">
        <v>99</v>
      </c>
      <c r="C31" s="99">
        <v>0.109725931</v>
      </c>
    </row>
    <row r="32" spans="1:8" ht="15.75" customHeight="1" x14ac:dyDescent="0.25">
      <c r="B32" s="19" t="s">
        <v>104</v>
      </c>
      <c r="C32" s="99">
        <v>1.8930017E-2</v>
      </c>
    </row>
    <row r="33" spans="2:3" ht="15.75" customHeight="1" x14ac:dyDescent="0.25">
      <c r="B33" s="19" t="s">
        <v>119</v>
      </c>
      <c r="C33" s="99">
        <v>8.4558286999999996E-2</v>
      </c>
    </row>
    <row r="34" spans="2:3" ht="15.75" customHeight="1" x14ac:dyDescent="0.25">
      <c r="B34" s="19" t="s">
        <v>106</v>
      </c>
      <c r="C34" s="99">
        <v>0.25663089700000002</v>
      </c>
    </row>
    <row r="35" spans="2:3" ht="15.75" customHeight="1" x14ac:dyDescent="0.25">
      <c r="B35" s="27" t="s">
        <v>79</v>
      </c>
      <c r="C35" s="48">
        <f>SUM(C26:C34)</f>
        <v>0.99999999900000014</v>
      </c>
    </row>
  </sheetData>
  <sheetProtection algorithmName="SHA-512" hashValue="Z8Dz2eACPyA9sU9HkDtBQEN5T4Adh+vfA9KJ5YfFcWzPfV1xwvCHDCNxX6XavZokk35zYCx97eE5viC2ua4ANQ==" saltValue="5gGtRJT17EMKYbj6qH9g7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0.45099278679019061</v>
      </c>
      <c r="D2" s="52">
        <f>IFERROR(1-_xlfn.NORM.DIST(_xlfn.NORM.INV(SUM(D4:D5), 0, 1) + 1, 0, 1, TRUE), "")</f>
        <v>0.45099278679019061</v>
      </c>
      <c r="E2" s="52">
        <f>IFERROR(1-_xlfn.NORM.DIST(_xlfn.NORM.INV(SUM(E4:E5), 0, 1) + 1, 0, 1, TRUE), "")</f>
        <v>0.43475175427181845</v>
      </c>
      <c r="F2" s="52">
        <f>IFERROR(1-_xlfn.NORM.DIST(_xlfn.NORM.INV(SUM(F4:F5), 0, 1) + 1, 0, 1, TRUE), "")</f>
        <v>0.23747052903367605</v>
      </c>
      <c r="G2" s="52">
        <f>IFERROR(1-_xlfn.NORM.DIST(_xlfn.NORM.INV(SUM(G4:G5), 0, 1) + 1, 0, 1, TRUE), "")</f>
        <v>0.15618031269856791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0.35872221320980935</v>
      </c>
      <c r="D3" s="52">
        <f>IFERROR(_xlfn.NORM.DIST(_xlfn.NORM.INV(SUM(D4:D5), 0, 1) + 1, 0, 1, TRUE) - SUM(D4:D5), "")</f>
        <v>0.35872221320980935</v>
      </c>
      <c r="E3" s="52">
        <f>IFERROR(_xlfn.NORM.DIST(_xlfn.NORM.INV(SUM(E4:E5), 0, 1) + 1, 0, 1, TRUE) - SUM(E4:E5), "")</f>
        <v>0.36358944572818153</v>
      </c>
      <c r="F3" s="52">
        <f>IFERROR(_xlfn.NORM.DIST(_xlfn.NORM.INV(SUM(F4:F5), 0, 1) + 1, 0, 1, TRUE) - SUM(F4:F5), "")</f>
        <v>0.37491317096632393</v>
      </c>
      <c r="G3" s="52">
        <f>IFERROR(_xlfn.NORM.DIST(_xlfn.NORM.INV(SUM(G4:G5), 0, 1) + 1, 0, 1, TRUE) - SUM(G4:G5), "")</f>
        <v>0.33971818730143211</v>
      </c>
    </row>
    <row r="4" spans="1:15" ht="15.75" customHeight="1" x14ac:dyDescent="0.25">
      <c r="B4" s="5" t="s">
        <v>129</v>
      </c>
      <c r="C4" s="45">
        <v>9.96306E-2</v>
      </c>
      <c r="D4" s="53">
        <v>9.96306E-2</v>
      </c>
      <c r="E4" s="53">
        <v>0.1168129</v>
      </c>
      <c r="F4" s="53">
        <v>0.17034659999999999</v>
      </c>
      <c r="G4" s="53">
        <v>0.20210420000000001</v>
      </c>
    </row>
    <row r="5" spans="1:15" ht="15.75" customHeight="1" x14ac:dyDescent="0.25">
      <c r="B5" s="5" t="s">
        <v>125</v>
      </c>
      <c r="C5" s="45">
        <v>9.065440000000001E-2</v>
      </c>
      <c r="D5" s="53">
        <v>9.065440000000001E-2</v>
      </c>
      <c r="E5" s="53">
        <v>8.4845900000000002E-2</v>
      </c>
      <c r="F5" s="53">
        <v>0.21726970000000001</v>
      </c>
      <c r="G5" s="53">
        <v>0.30199730000000002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0.42934375461594565</v>
      </c>
      <c r="D8" s="52">
        <f>IFERROR(1-_xlfn.NORM.DIST(_xlfn.NORM.INV(SUM(D10:D11), 0, 1) + 1, 0, 1, TRUE), "")</f>
        <v>0.42934375461594565</v>
      </c>
      <c r="E8" s="52">
        <f>IFERROR(1-_xlfn.NORM.DIST(_xlfn.NORM.INV(SUM(E10:E11), 0, 1) + 1, 0, 1, TRUE), "")</f>
        <v>0.48366293850542863</v>
      </c>
      <c r="F8" s="52">
        <f>IFERROR(1-_xlfn.NORM.DIST(_xlfn.NORM.INV(SUM(F10:F11), 0, 1) + 1, 0, 1, TRUE), "")</f>
        <v>0.53511361318555606</v>
      </c>
      <c r="G8" s="52">
        <f>IFERROR(1-_xlfn.NORM.DIST(_xlfn.NORM.INV(SUM(G10:G11), 0, 1) + 1, 0, 1, TRUE), "")</f>
        <v>0.585005654917791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0.36510494538405436</v>
      </c>
      <c r="D9" s="52">
        <f>IFERROR(_xlfn.NORM.DIST(_xlfn.NORM.INV(SUM(D10:D11), 0, 1) + 1, 0, 1, TRUE) - SUM(D10:D11), "")</f>
        <v>0.36510494538405436</v>
      </c>
      <c r="E9" s="52">
        <f>IFERROR(_xlfn.NORM.DIST(_xlfn.NORM.INV(SUM(E10:E11), 0, 1) + 1, 0, 1, TRUE) - SUM(E10:E11), "")</f>
        <v>0.3475671614945714</v>
      </c>
      <c r="F9" s="52">
        <f>IFERROR(_xlfn.NORM.DIST(_xlfn.NORM.INV(SUM(F10:F11), 0, 1) + 1, 0, 1, TRUE) - SUM(F10:F11), "")</f>
        <v>0.32661768681444392</v>
      </c>
      <c r="G9" s="52">
        <f>IFERROR(_xlfn.NORM.DIST(_xlfn.NORM.INV(SUM(G10:G11), 0, 1) + 1, 0, 1, TRUE) - SUM(G10:G11), "")</f>
        <v>0.30275714508220902</v>
      </c>
    </row>
    <row r="10" spans="1:15" ht="15.75" customHeight="1" x14ac:dyDescent="0.25">
      <c r="B10" s="5" t="s">
        <v>126</v>
      </c>
      <c r="C10" s="45">
        <v>0.13083819999999999</v>
      </c>
      <c r="D10" s="53">
        <v>0.13083819999999999</v>
      </c>
      <c r="E10" s="53">
        <v>9.9680599999999994E-2</v>
      </c>
      <c r="F10" s="53">
        <v>7.4148699999999998E-2</v>
      </c>
      <c r="G10" s="53">
        <v>8.3290199999999995E-2</v>
      </c>
    </row>
    <row r="11" spans="1:15" ht="15.75" customHeight="1" x14ac:dyDescent="0.25">
      <c r="B11" s="5" t="s">
        <v>138</v>
      </c>
      <c r="C11" s="45">
        <v>7.4713100000000005E-2</v>
      </c>
      <c r="D11" s="53">
        <v>7.4713100000000005E-2</v>
      </c>
      <c r="E11" s="53">
        <v>6.9089299999999992E-2</v>
      </c>
      <c r="F11" s="53">
        <v>6.4119999999999996E-2</v>
      </c>
      <c r="G11" s="53">
        <v>2.8947000000000001E-2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0.74150201124999993</v>
      </c>
      <c r="D14" s="54">
        <v>0.73545943398099989</v>
      </c>
      <c r="E14" s="54">
        <v>0.73545943398099989</v>
      </c>
      <c r="F14" s="54">
        <v>0.55012899585999997</v>
      </c>
      <c r="G14" s="54">
        <v>0.55012899585999997</v>
      </c>
      <c r="H14" s="45">
        <v>0.46800000000000003</v>
      </c>
      <c r="I14" s="55">
        <v>0.46800000000000003</v>
      </c>
      <c r="J14" s="55">
        <v>0.46800000000000003</v>
      </c>
      <c r="K14" s="55">
        <v>0.46800000000000003</v>
      </c>
      <c r="L14" s="45">
        <v>0.441</v>
      </c>
      <c r="M14" s="55">
        <v>0.441</v>
      </c>
      <c r="N14" s="55">
        <v>0.441</v>
      </c>
      <c r="O14" s="55">
        <v>0.441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0.33265040778094118</v>
      </c>
      <c r="D15" s="52">
        <f t="shared" si="0"/>
        <v>0.32993960489425422</v>
      </c>
      <c r="E15" s="52">
        <f t="shared" si="0"/>
        <v>0.32993960489425422</v>
      </c>
      <c r="F15" s="52">
        <f t="shared" si="0"/>
        <v>0.2467972197357256</v>
      </c>
      <c r="G15" s="52">
        <f t="shared" si="0"/>
        <v>0.2467972197357256</v>
      </c>
      <c r="H15" s="52">
        <f t="shared" si="0"/>
        <v>0.20995275600000002</v>
      </c>
      <c r="I15" s="52">
        <f t="shared" si="0"/>
        <v>0.20995275600000002</v>
      </c>
      <c r="J15" s="52">
        <f t="shared" si="0"/>
        <v>0.20995275600000002</v>
      </c>
      <c r="K15" s="52">
        <f t="shared" si="0"/>
        <v>0.20995275600000002</v>
      </c>
      <c r="L15" s="52">
        <f t="shared" si="0"/>
        <v>0.19784009699999999</v>
      </c>
      <c r="M15" s="52">
        <f t="shared" si="0"/>
        <v>0.19784009699999999</v>
      </c>
      <c r="N15" s="52">
        <f t="shared" si="0"/>
        <v>0.19784009699999999</v>
      </c>
      <c r="O15" s="52">
        <f t="shared" si="0"/>
        <v>0.19784009699999999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WIPIrGjXtLcDrnPIiljK74C65JHWZvDoZJdJak/+LN4XigKNc1kl98Njr1hbBoxO4D5E5Y2Un1qI23bMsKIbA==" saltValue="WLaxhbiru7TOOjma1sJAy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0.15265190000000001</v>
      </c>
      <c r="D2" s="53">
        <v>8.8158799999999996E-2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0.2251524</v>
      </c>
      <c r="D3" s="53">
        <v>0.15170239999999999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0.55613709999999994</v>
      </c>
      <c r="D4" s="53">
        <v>0.67177730000000002</v>
      </c>
      <c r="E4" s="53">
        <v>0.80430029999999997</v>
      </c>
      <c r="F4" s="53">
        <v>0.4316934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6.6058600000000078E-2</v>
      </c>
      <c r="D5" s="52">
        <f t="shared" si="0"/>
        <v>8.8361499999999982E-2</v>
      </c>
      <c r="E5" s="52">
        <f>1-SUM(E2:E4)</f>
        <v>0.19569970000000003</v>
      </c>
      <c r="F5" s="52">
        <f>1-SUM(F2:F4)</f>
        <v>0.5683066</v>
      </c>
      <c r="G5" s="52">
        <f>1-SUM(G2:G4)</f>
        <v>1</v>
      </c>
    </row>
  </sheetData>
  <sheetProtection algorithmName="SHA-512" hashValue="dKFWK8VxhvyJZTGctpAsKAJvP3VbCuM66YOyfyXAlJ5dXOs1pH9tYJmRUmtHKNCC4GjhM4B2h0R6XuFN/siJmg==" saltValue="/CdUWdFE5bZu47e5JR1HG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M+dxF2Rpki1YI3OLA3qKwZ3OhRzx5MqZzO0SIgT7tlTE8nf6oQU6V3ZDNH7LCptSOjcR6R29ASxMpClNeUAslg==" saltValue="1Aeg5d/+QhP4DiySS73vn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592.10312197208805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0.35067999999999999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0.21869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1.3483645999999998E-2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88402.998059999998</v>
      </c>
      <c r="C22" s="107">
        <v>86920.184510000006</v>
      </c>
      <c r="D22" s="107">
        <v>86166.051959999997</v>
      </c>
      <c r="E22" s="107">
        <v>85322.76139</v>
      </c>
      <c r="F22" s="107">
        <v>84167.634640000004</v>
      </c>
      <c r="G22" s="107">
        <v>82838.194789999994</v>
      </c>
      <c r="H22" s="107">
        <v>81179.507859999998</v>
      </c>
      <c r="I22" s="107">
        <v>78923.048420000006</v>
      </c>
      <c r="J22" s="107">
        <v>75669.797300000006</v>
      </c>
      <c r="K22" s="107">
        <v>71266.997789999994</v>
      </c>
      <c r="L22" s="107">
        <v>65318.830650000004</v>
      </c>
      <c r="M22" s="107">
        <v>57621.672189999997</v>
      </c>
      <c r="N22" s="107">
        <v>48176.661030000003</v>
      </c>
      <c r="O22" s="107">
        <v>37673.735679999998</v>
      </c>
    </row>
  </sheetData>
  <sheetProtection algorithmName="SHA-512" hashValue="2AxHacGEKev6gWeMztxg3/niR2VB3rao7iB+zkU+2XqGaAhSTDbElxSTXfYSo2flg6hyyLW9CjG/2PXT0ier9w==" saltValue="+9F3+y7/OBke+KkBLL31P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pY9on5TGVZCWU7ioWTHHD2CjaOz0GPqIym3mRTJWYjWrWMBsPb3xvPp9w+2FDm2mbj2Gqn9+vNXc+7sItYFq/g==" saltValue="kRDs4o+/0U7hW1+7Ssvko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3T0+8ndOa3fRPZbmd/Pgz4zfKmIWOBAy3j/hwefA6pdcMeDCqlb6D91MwmXQQI1tuiTW4iRT853MEXD+Ng5rrA==" saltValue="XPdiFmn1cbn5oG/+mP/ZK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6.8747382117628364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2.1291837256908908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0.78848199824391296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</v>
      </c>
      <c r="C9" s="96">
        <v>0.95</v>
      </c>
      <c r="D9" s="56">
        <v>0.22197642864885933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17.31204218632346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17.31204218632346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17.31204218632346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17.31204218632346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0.31330000000000002</v>
      </c>
      <c r="C14" s="96">
        <v>0.95</v>
      </c>
      <c r="D14" s="56">
        <v>2.7509100930955666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17.31204218632346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2.4867E-2</v>
      </c>
      <c r="C16" s="96">
        <v>0.95</v>
      </c>
      <c r="D16" s="56">
        <v>2.1562548532894295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0.58636119533868591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8.8158799999999996E-2</v>
      </c>
      <c r="C18" s="96">
        <v>0.95</v>
      </c>
      <c r="D18" s="56">
        <v>6.8747382117628364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8.8158799999999996E-2</v>
      </c>
      <c r="C19" s="96">
        <v>0.95</v>
      </c>
      <c r="D19" s="56">
        <v>1.112664901153791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7.2638561333206297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6.8747382117628364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0.1048504</v>
      </c>
      <c r="C23" s="96">
        <v>0.95</v>
      </c>
      <c r="D23" s="56">
        <v>5.6282823713961951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6.69694158544E-2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4.4432147531692987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8.8360724993186164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0.13218150000000001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0.11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57.448392612859095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0.20100000000000001</v>
      </c>
      <c r="C31" s="96">
        <v>0.95</v>
      </c>
      <c r="D31" s="56">
        <v>125.66324080233395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0.28000000000000003</v>
      </c>
      <c r="C32" s="96">
        <v>0.95</v>
      </c>
      <c r="D32" s="56">
        <v>0.65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0.25097639999999999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0.34730299999999997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4.4943200000000003E-2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0.49360460000000012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</v>
      </c>
      <c r="C38" s="96">
        <v>0.95</v>
      </c>
      <c r="D38" s="56">
        <v>2.2145073762257557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5.8497136845734818</v>
      </c>
      <c r="E39" s="56" t="s">
        <v>212</v>
      </c>
      <c r="F39" s="96">
        <v>1</v>
      </c>
      <c r="G39" s="96">
        <v>1</v>
      </c>
    </row>
  </sheetData>
  <sheetProtection algorithmName="SHA-512" hashValue="tGC4sg/SbrAF2+TDOlJLDMRBn+VJlK2BYBBXjZEk7fpurQICUzT1/cd2DRCdAPsSJng52wY8p6HXOSR1ubDojg==" saltValue="8CH3fmwlcaFp8Mz6bxhC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hi/+taeSvXS6nvat4vo2VmCn9hq/gtuJxBQVwMMgyhwes1rgiZEykX0FRdZjoAtUOtloGM+UyYGwewpu8knrew==" saltValue="e301yGWH/eFVq0JTEQD8T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TzgQstmsm32r7mMxxee0fYffrYU5+gY4NeR7w1r/vZGJsPBfv11rtCwxJwTN82FTY/VaJ4VLv6uSXbxobcp51Q==" saltValue="J8YwZPRs8/IfgSsWDk9v8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0.34017932000000001</v>
      </c>
      <c r="C3" s="21">
        <f>frac_mam_1_5months * 2.6</f>
        <v>0.34017932000000001</v>
      </c>
      <c r="D3" s="21">
        <f>frac_mam_6_11months * 2.6</f>
        <v>0.25916956000000002</v>
      </c>
      <c r="E3" s="21">
        <f>frac_mam_12_23months * 2.6</f>
        <v>0.19278661999999999</v>
      </c>
      <c r="F3" s="21">
        <f>frac_mam_24_59months * 2.6</f>
        <v>0.21655452</v>
      </c>
    </row>
    <row r="4" spans="1:6" ht="15.75" customHeight="1" x14ac:dyDescent="0.25">
      <c r="A4" s="3" t="s">
        <v>236</v>
      </c>
      <c r="B4" s="21">
        <f>frac_sam_1month * 2.6</f>
        <v>0.19425406000000001</v>
      </c>
      <c r="C4" s="21">
        <f>frac_sam_1_5months * 2.6</f>
        <v>0.19425406000000001</v>
      </c>
      <c r="D4" s="21">
        <f>frac_sam_6_11months * 2.6</f>
        <v>0.17963217999999997</v>
      </c>
      <c r="E4" s="21">
        <f>frac_sam_12_23months * 2.6</f>
        <v>0.166712</v>
      </c>
      <c r="F4" s="21">
        <f>frac_sam_24_59months * 2.6</f>
        <v>7.5262200000000001E-2</v>
      </c>
    </row>
  </sheetData>
  <sheetProtection algorithmName="SHA-512" hashValue="9Il0qR2VXbsrEC6c58x/b780R7DdPgb/ztgYKl/83FOacntDAB7uIE9I+uebQdGDTT6XvV/TzNkaogzN2qsb2w==" saltValue="6cCV2ddiYuB91Fhhe7z6a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0.54400000000000004</v>
      </c>
      <c r="F2" s="60">
        <f>food_insecure</f>
        <v>0.54400000000000004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0.54400000000000004</v>
      </c>
      <c r="F5" s="60">
        <f>food_insecure</f>
        <v>0.54400000000000004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0.54400000000000004</v>
      </c>
      <c r="F8" s="60">
        <f>food_insecure</f>
        <v>0.54400000000000004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0.54400000000000004</v>
      </c>
      <c r="F9" s="60">
        <f>food_insecure</f>
        <v>0.54400000000000004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0.54400000000000004</v>
      </c>
      <c r="I15" s="60">
        <f t="shared" si="0"/>
        <v>0.54400000000000004</v>
      </c>
      <c r="J15" s="60">
        <f t="shared" si="0"/>
        <v>0.54400000000000004</v>
      </c>
      <c r="K15" s="60">
        <f t="shared" si="0"/>
        <v>0.54400000000000004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0.54400000000000004</v>
      </c>
      <c r="I16" s="60">
        <f t="shared" si="0"/>
        <v>0.54400000000000004</v>
      </c>
      <c r="J16" s="60">
        <f t="shared" si="0"/>
        <v>0.54400000000000004</v>
      </c>
      <c r="K16" s="60">
        <f t="shared" si="0"/>
        <v>0.54400000000000004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0.28079999999999999</v>
      </c>
      <c r="I19" s="60">
        <f>frac_malaria_risk</f>
        <v>0.28079999999999999</v>
      </c>
      <c r="J19" s="60">
        <f>frac_malaria_risk</f>
        <v>0.28079999999999999</v>
      </c>
      <c r="K19" s="60">
        <f>frac_malaria_risk</f>
        <v>0.28079999999999999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0.36599999999999999</v>
      </c>
      <c r="M24" s="60">
        <f>famplan_unmet_need</f>
        <v>0.36599999999999999</v>
      </c>
      <c r="N24" s="60">
        <f>famplan_unmet_need</f>
        <v>0.36599999999999999</v>
      </c>
      <c r="O24" s="60">
        <f>famplan_unmet_need</f>
        <v>0.36599999999999999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0.40723769270620802</v>
      </c>
      <c r="M25" s="60">
        <f>(1-food_insecure)*(0.49)+food_insecure*(0.7)</f>
        <v>0.60424</v>
      </c>
      <c r="N25" s="60">
        <f>(1-food_insecure)*(0.49)+food_insecure*(0.7)</f>
        <v>0.60424</v>
      </c>
      <c r="O25" s="60">
        <f>(1-food_insecure)*(0.49)+food_insecure*(0.7)</f>
        <v>0.60424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0.174530439731232</v>
      </c>
      <c r="M26" s="60">
        <f>(1-food_insecure)*(0.21)+food_insecure*(0.3)</f>
        <v>0.25895999999999997</v>
      </c>
      <c r="N26" s="60">
        <f>(1-food_insecure)*(0.21)+food_insecure*(0.3)</f>
        <v>0.25895999999999997</v>
      </c>
      <c r="O26" s="60">
        <f>(1-food_insecure)*(0.21)+food_insecure*(0.3)</f>
        <v>0.25895999999999997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9.2198656762559991E-2</v>
      </c>
      <c r="M27" s="60">
        <f>(1-food_insecure)*(0.3)</f>
        <v>0.13679999999999998</v>
      </c>
      <c r="N27" s="60">
        <f>(1-food_insecure)*(0.3)</f>
        <v>0.13679999999999998</v>
      </c>
      <c r="O27" s="60">
        <f>(1-food_insecure)*(0.3)</f>
        <v>0.13679999999999998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0.28079999999999999</v>
      </c>
      <c r="D34" s="60">
        <f t="shared" si="4"/>
        <v>0.28079999999999999</v>
      </c>
      <c r="E34" s="60">
        <f t="shared" si="4"/>
        <v>0.28079999999999999</v>
      </c>
      <c r="F34" s="60">
        <f t="shared" si="4"/>
        <v>0.28079999999999999</v>
      </c>
      <c r="G34" s="60">
        <f t="shared" si="4"/>
        <v>0.28079999999999999</v>
      </c>
      <c r="H34" s="60">
        <f t="shared" si="4"/>
        <v>0.28079999999999999</v>
      </c>
      <c r="I34" s="60">
        <f t="shared" si="4"/>
        <v>0.28079999999999999</v>
      </c>
      <c r="J34" s="60">
        <f t="shared" si="4"/>
        <v>0.28079999999999999</v>
      </c>
      <c r="K34" s="60">
        <f t="shared" si="4"/>
        <v>0.28079999999999999</v>
      </c>
      <c r="L34" s="60">
        <f t="shared" si="4"/>
        <v>0.28079999999999999</v>
      </c>
      <c r="M34" s="60">
        <f t="shared" si="4"/>
        <v>0.28079999999999999</v>
      </c>
      <c r="N34" s="60">
        <f t="shared" si="4"/>
        <v>0.28079999999999999</v>
      </c>
      <c r="O34" s="60">
        <f t="shared" si="4"/>
        <v>0.28079999999999999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o3u1hBUFJPb672w+LauwgiLQUAeqCVufcPG33wnVuDlYMFOuYQIyMQDC5oErYNtHONz5fmY/IidmvHdAheoVA==" saltValue="vRPWDs8lifWtqHPHhnhw2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Er1fEQo3lX0gvKOVfg0pfAD6iiogBotSJFzN8xxDtmYzfjRri/QuzVDGoZcUjb5SyEY1+Mi7mM5a0U+okRQxhg==" saltValue="qjqnX2TjdfRiMSR8knfps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4ExoMYKZMcqzXWqTNkuWZ0LYM7/Q72yMs6jkIg450qmHMgNozjmYL+pmsucRVlYPErPqs+5tIOfxdrs5caPgQw==" saltValue="AgCKzs+JT8VYBW+NoawpL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wqKrDED994052fTRAwGzcxkhcQfUh446/WNxCE571UBeAfpd99E31Uhx4J9UbYIugdPSKjAGImjhKWekYaSeAA==" saltValue="I9QXrU4nViYI0kEwE+11f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iTH4zuU9Mh6st8EOz9TWvnJp/vecbtLSnYFvfdXYyHBE//Fd0uzNjHXIbFanPonoZlBiSB0YYLcUToql/AAxlQ==" saltValue="FuYPGpC1IBaOklrooU4h2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dZuc+P75DoaQumlkBhFQxyel59los+A3GblGBChGJnTY00kqpSOodr1IQGkYyK+dgPnlakf5NKuspKi+Df5sOg==" saltValue="JPIAHT6R9NCPAwOnMNX7E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qHDKMyFBRWR1lpoSSSAOcOIMVWkzl651Q3TesyY16YulemkyDG9AsaqE25g23/u4X6cPK0UwkU80JbyoGrGmZA==" saltValue="uaJqJKnuZNsOY7oXJ6ekYA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vo/LGvbxDwQAHTDcwojkCUfXTqbPAQ2a1ypwiuRV1noqdTRRqxqusgylVQtjVXMn5LzcJvI9iJPiuQdZPsPJ7Q==" saltValue="H/+LCnSdguKKMfaW9uTy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JPe0DvM2UkB25ocJ5JVMSRoc2baobH6sw/0z/VGQezrHZ2SjqY+CDGlS4yFNozKqmk6mNK2dRH4N4EvU0/q62w==" saltValue="k8mkHBm4R8/3XQCgdoo4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V5O8hYY6An8uZIFe3CqlQbMQwH1c4x4uusx24eYkWzHJgZ+vL9EFTwQwAp/7tWe/dzTK7b0Ziv9mn7YoTKolhQ==" saltValue="dVHKWKHaZt58q5BvDyF16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VjEVphZyug9vsK+nsCQUfflUrp/bfpROX3h2TWdIYXPi+tMje5fszu3+hHr52OFL51rhCuS64BVBZ9qHHKj2Sg==" saltValue="5uscbTjanjOroaMaQFZj1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LTs1LCUyGUGGDUjysVJaUAlPg6HD/qRH++dLzJJd9tGQ4OMM88rxz7tdRjgYUh5l/8GQgWKMa64d42w+oailtg==" saltValue="P7oTe9p4y+jwFgtxF9WJ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mnjFho5ZA5JnoR/uK/uJT6yEHUOVHP0lpUSqN8A67i/Kb6iQNqiJNQQOqU0TRBeHAhHdgLLaqxmWoeQPvFKpsA==" saltValue="Ahi5LxMIrXinx0+2J1Hnj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YDYL/qWOjGrzBrAjuglbRTM8SA30AVdfT+uSEpvrycRXrseUaYWd9DoLsOY8AgWFLceiFue2R4ASoJM7jVWWVg==" saltValue="N8shUFDh8Q/x0QPit1UA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PxwD8bEZAZdwUhfSxUwYB4/bDO/DfwOoprKcJVM7JhMxVqq4EGk/MmzeHlNZD26nCeHyPX4r74e9RgGWR02FYg==" saltValue="Dv8N6xQdm6INHLBMBpkBC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2025-07-30T01:06:00Z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