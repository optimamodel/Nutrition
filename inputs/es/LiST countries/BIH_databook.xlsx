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63298CE5-F511-4E7F-B66F-6ACE9E82DA1A}" xr6:coauthVersionLast="47" xr6:coauthVersionMax="47" xr10:uidLastSave="{00000000-0000-0000-0000-000000000000}"/>
  <bookViews>
    <workbookView xWindow="20" yWindow="20" windowWidth="19180" windowHeight="1018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2" i="2" l="1"/>
  <c r="A24" i="2"/>
  <c r="A26" i="2"/>
  <c r="A36" i="2"/>
  <c r="I4" i="2"/>
  <c r="I8" i="2"/>
  <c r="I12" i="2"/>
  <c r="A25" i="2"/>
  <c r="I9" i="2"/>
  <c r="I13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<sst xmlns="http://schemas.openxmlformats.org/spreadsheetml/2006/main" count="2159" uniqueCount="372">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</sst>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123442.5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0.91188728330000002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3.7400000000000003E-2</v>
      </c>
    </row>
    <row r="24" spans="1:3" ht="15" customHeight="1" x14ac:dyDescent="0.25">
      <c r="B24" s="15" t="s">
        <v>65</v>
      </c>
      <c r="C24" s="45">
        <v>0.53110000000000002</v>
      </c>
    </row>
    <row r="25" spans="1:3" ht="15" customHeight="1" x14ac:dyDescent="0.25">
      <c r="B25" s="15" t="s">
        <v>66</v>
      </c>
      <c r="C25" s="45">
        <v>0.41370000000000001</v>
      </c>
    </row>
    <row r="26" spans="1:3" ht="15" customHeight="1" x14ac:dyDescent="0.25">
      <c r="B26" s="15" t="s">
        <v>67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0.51101988116637098</v>
      </c>
    </row>
    <row r="30" spans="1:3" ht="14.25" customHeight="1" x14ac:dyDescent="0.25">
      <c r="B30" s="25" t="s">
        <v>82</v>
      </c>
      <c r="C30" s="99">
        <v>3.6928466503456402E-2</v>
      </c>
    </row>
    <row r="31" spans="1:3" ht="14.25" customHeight="1" x14ac:dyDescent="0.25">
      <c r="B31" s="25" t="s">
        <v>29</v>
      </c>
      <c r="C31" s="99">
        <v>4.0966963582223501E-2</v>
      </c>
    </row>
    <row r="32" spans="1:3" ht="14.25" customHeight="1" x14ac:dyDescent="0.25">
      <c r="B32" s="25" t="s">
        <v>30</v>
      </c>
      <c r="C32" s="99">
        <v>0.41108468874794901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4.0971299999999999</v>
      </c>
    </row>
    <row r="38" spans="1:5" ht="15" customHeight="1" x14ac:dyDescent="0.25">
      <c r="B38" s="11" t="s">
        <v>54</v>
      </c>
      <c r="C38" s="43">
        <v>4.8431699999999998</v>
      </c>
      <c r="D38" s="12"/>
      <c r="E38" s="13"/>
    </row>
    <row r="39" spans="1:5" ht="15" customHeight="1" x14ac:dyDescent="0.25">
      <c r="B39" s="11" t="s">
        <v>80</v>
      </c>
      <c r="C39" s="43">
        <v>5.6006</v>
      </c>
      <c r="D39" s="12"/>
      <c r="E39" s="12"/>
    </row>
    <row r="40" spans="1:5" ht="15" customHeight="1" x14ac:dyDescent="0.25">
      <c r="B40" s="11" t="s">
        <v>55</v>
      </c>
      <c r="C40" s="100">
        <v>0.06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5.9451E-3</v>
      </c>
      <c r="D45" s="12"/>
    </row>
    <row r="46" spans="1:5" ht="15.75" customHeight="1" x14ac:dyDescent="0.25">
      <c r="B46" s="11" t="s">
        <v>70</v>
      </c>
      <c r="C46" s="45">
        <v>6.38793E-2</v>
      </c>
      <c r="D46" s="12"/>
    </row>
    <row r="47" spans="1:5" ht="15.75" customHeight="1" x14ac:dyDescent="0.25">
      <c r="B47" s="11" t="s">
        <v>78</v>
      </c>
      <c r="C47" s="45">
        <v>7.5347799999999993E-2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2.8</v>
      </c>
      <c r="D51" s="12"/>
    </row>
    <row r="52" spans="1:4" ht="15" customHeight="1" x14ac:dyDescent="0.25">
      <c r="B52" s="11" t="s">
        <v>32</v>
      </c>
      <c r="C52" s="100">
        <v>2.8</v>
      </c>
    </row>
    <row r="53" spans="1:4" ht="15.75" customHeight="1" x14ac:dyDescent="0.25">
      <c r="B53" s="11" t="s">
        <v>35</v>
      </c>
      <c r="C53" s="100">
        <v>2.8</v>
      </c>
    </row>
    <row r="54" spans="1:4" ht="15.75" customHeight="1" x14ac:dyDescent="0.25">
      <c r="B54" s="11" t="s">
        <v>33</v>
      </c>
      <c r="C54" s="100">
        <v>2.8</v>
      </c>
    </row>
    <row r="55" spans="1:4" ht="15.75" customHeight="1" x14ac:dyDescent="0.25">
      <c r="B55" s="11" t="s">
        <v>34</v>
      </c>
      <c r="C55" s="100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0.61777399999999993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oMXRG2yN8thkaVlsro0F1lOCFDFYLa6tcdNKkphJk5vLIpMCmaRTsvY83upcd9DC7LAcWfezeeU9V1/gyqys9w==" saltValue="9Z8Sags46V5rxBh2pIql2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24430</v>
      </c>
      <c r="C2" s="49">
        <v>78709.5</v>
      </c>
      <c r="D2" s="49">
        <v>161669.5</v>
      </c>
      <c r="E2" s="49">
        <v>171678.5</v>
      </c>
      <c r="F2" s="49">
        <v>248198.5</v>
      </c>
      <c r="G2" s="17">
        <f t="shared" ref="G2:G13" si="0">C2+D2+E2+F2</f>
        <v>660256</v>
      </c>
      <c r="H2" s="17">
        <f t="shared" ref="H2:H13" si="1">(B2 + stillbirth*B2/(1000-stillbirth))/(1-abortion)</f>
        <v>27836.05361378067</v>
      </c>
      <c r="I2" s="17">
        <f t="shared" ref="I2:I13" si="2">G2-H2</f>
        <v>632419.94638621935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24258</v>
      </c>
      <c r="C3" s="50">
        <v>77524.5</v>
      </c>
      <c r="D3" s="50">
        <v>163278</v>
      </c>
      <c r="E3" s="50">
        <v>163604.5</v>
      </c>
      <c r="F3" s="50">
        <v>244053.5</v>
      </c>
      <c r="G3" s="17">
        <f t="shared" si="0"/>
        <v>648460.5</v>
      </c>
      <c r="H3" s="17">
        <f t="shared" si="1"/>
        <v>27640.073211751594</v>
      </c>
      <c r="I3" s="17">
        <f t="shared" si="2"/>
        <v>620820.42678824835</v>
      </c>
    </row>
    <row r="4" spans="1:9" ht="15.75" customHeight="1" x14ac:dyDescent="0.25">
      <c r="A4" s="5">
        <f t="shared" si="3"/>
        <v>2026</v>
      </c>
      <c r="B4" s="49">
        <v>24034</v>
      </c>
      <c r="C4" s="50">
        <v>75927.5</v>
      </c>
      <c r="D4" s="50">
        <v>163034.5</v>
      </c>
      <c r="E4" s="50">
        <v>157697.99999999997</v>
      </c>
      <c r="F4" s="50">
        <v>237799.5</v>
      </c>
      <c r="G4" s="17">
        <f t="shared" si="0"/>
        <v>634459.5</v>
      </c>
      <c r="H4" s="17">
        <f t="shared" si="1"/>
        <v>27384.842920736988</v>
      </c>
      <c r="I4" s="17">
        <f t="shared" si="2"/>
        <v>607074.65707926301</v>
      </c>
    </row>
    <row r="5" spans="1:9" ht="15.75" customHeight="1" x14ac:dyDescent="0.25">
      <c r="A5" s="5">
        <f t="shared" si="3"/>
        <v>2027</v>
      </c>
      <c r="B5" s="49">
        <v>23827</v>
      </c>
      <c r="C5" s="50">
        <v>74148</v>
      </c>
      <c r="D5" s="50">
        <v>160092.5</v>
      </c>
      <c r="E5" s="50">
        <v>155024.5</v>
      </c>
      <c r="F5" s="50">
        <v>230111.49999999997</v>
      </c>
      <c r="G5" s="17">
        <f t="shared" si="0"/>
        <v>619376.5</v>
      </c>
      <c r="H5" s="17">
        <f t="shared" si="1"/>
        <v>27148.98278573688</v>
      </c>
      <c r="I5" s="17">
        <f t="shared" si="2"/>
        <v>592227.51721426309</v>
      </c>
    </row>
    <row r="6" spans="1:9" ht="15.75" customHeight="1" x14ac:dyDescent="0.25">
      <c r="A6" s="5">
        <f t="shared" si="3"/>
        <v>2028</v>
      </c>
      <c r="B6" s="49">
        <v>23643</v>
      </c>
      <c r="C6" s="50">
        <v>72459.5</v>
      </c>
      <c r="D6" s="50">
        <v>155972.5</v>
      </c>
      <c r="E6" s="50">
        <v>154298</v>
      </c>
      <c r="F6" s="50">
        <v>221508.5</v>
      </c>
      <c r="G6" s="17">
        <f t="shared" si="0"/>
        <v>604238.5</v>
      </c>
      <c r="H6" s="17">
        <f t="shared" si="1"/>
        <v>26939.329332403453</v>
      </c>
      <c r="I6" s="17">
        <f t="shared" si="2"/>
        <v>577299.17066759651</v>
      </c>
    </row>
    <row r="7" spans="1:9" ht="15.75" customHeight="1" x14ac:dyDescent="0.25">
      <c r="A7" s="5">
        <f t="shared" si="3"/>
        <v>2029</v>
      </c>
      <c r="B7" s="49">
        <v>23490</v>
      </c>
      <c r="C7" s="50">
        <v>70288.5</v>
      </c>
      <c r="D7" s="50">
        <v>153349</v>
      </c>
      <c r="E7" s="50">
        <v>153537</v>
      </c>
      <c r="F7" s="50">
        <v>211946</v>
      </c>
      <c r="G7" s="17">
        <f t="shared" si="0"/>
        <v>589120.5</v>
      </c>
      <c r="H7" s="17">
        <f t="shared" si="1"/>
        <v>26764.997928272936</v>
      </c>
      <c r="I7" s="17">
        <f t="shared" si="2"/>
        <v>562355.50207172707</v>
      </c>
    </row>
    <row r="8" spans="1:9" ht="15.75" customHeight="1" x14ac:dyDescent="0.25">
      <c r="A8" s="5">
        <f t="shared" si="3"/>
        <v>2030</v>
      </c>
      <c r="B8" s="49">
        <v>23375</v>
      </c>
      <c r="C8" s="50">
        <v>67998</v>
      </c>
      <c r="D8" s="50">
        <v>151974.5</v>
      </c>
      <c r="E8" s="50">
        <v>152513.50000000003</v>
      </c>
      <c r="F8" s="50">
        <v>201522.49999999997</v>
      </c>
      <c r="G8" s="17">
        <f t="shared" si="0"/>
        <v>574008.5</v>
      </c>
      <c r="H8" s="17">
        <f t="shared" si="1"/>
        <v>26633.964519939549</v>
      </c>
      <c r="I8" s="17">
        <f t="shared" si="2"/>
        <v>547374.5354800605</v>
      </c>
    </row>
    <row r="9" spans="1:9" ht="15.75" customHeight="1" x14ac:dyDescent="0.25">
      <c r="A9" s="5">
        <f t="shared" si="3"/>
        <v>2031</v>
      </c>
      <c r="B9" s="49">
        <v>23273</v>
      </c>
      <c r="C9" s="50">
        <v>66564.5</v>
      </c>
      <c r="D9" s="50">
        <v>150120.5</v>
      </c>
      <c r="E9" s="50">
        <v>151457.49999999997</v>
      </c>
      <c r="F9" s="50">
        <v>192594.49999999997</v>
      </c>
      <c r="G9" s="17">
        <f t="shared" si="0"/>
        <v>560737</v>
      </c>
      <c r="H9" s="17">
        <f t="shared" si="1"/>
        <v>26517.743583852534</v>
      </c>
      <c r="I9" s="17">
        <f t="shared" si="2"/>
        <v>534219.25641614746</v>
      </c>
    </row>
    <row r="10" spans="1:9" ht="15.75" customHeight="1" x14ac:dyDescent="0.25">
      <c r="A10" s="5">
        <f t="shared" si="3"/>
        <v>2032</v>
      </c>
      <c r="B10" s="49">
        <v>23102</v>
      </c>
      <c r="C10" s="50">
        <v>65629.5</v>
      </c>
      <c r="D10" s="50">
        <v>147403</v>
      </c>
      <c r="E10" s="50">
        <v>150728.99999999997</v>
      </c>
      <c r="F10" s="50">
        <v>184995.99999999997</v>
      </c>
      <c r="G10" s="17">
        <f t="shared" si="0"/>
        <v>548757.5</v>
      </c>
      <c r="H10" s="17">
        <f t="shared" si="1"/>
        <v>26322.902602765495</v>
      </c>
      <c r="I10" s="17">
        <f t="shared" si="2"/>
        <v>522434.59739723452</v>
      </c>
    </row>
    <row r="11" spans="1:9" ht="15.75" customHeight="1" x14ac:dyDescent="0.25">
      <c r="A11" s="5">
        <f t="shared" si="3"/>
        <v>2033</v>
      </c>
      <c r="B11" s="49">
        <v>22901</v>
      </c>
      <c r="C11" s="50">
        <v>64947.999999999993</v>
      </c>
      <c r="D11" s="50">
        <v>144212</v>
      </c>
      <c r="E11" s="50">
        <v>151404.49999999997</v>
      </c>
      <c r="F11" s="50">
        <v>176113.5</v>
      </c>
      <c r="G11" s="17">
        <f t="shared" si="0"/>
        <v>536678</v>
      </c>
      <c r="H11" s="17">
        <f t="shared" si="1"/>
        <v>26093.878993417566</v>
      </c>
      <c r="I11" s="17">
        <f t="shared" si="2"/>
        <v>510584.12100658246</v>
      </c>
    </row>
    <row r="12" spans="1:9" ht="15.75" customHeight="1" x14ac:dyDescent="0.25">
      <c r="A12" s="5">
        <f t="shared" si="3"/>
        <v>2034</v>
      </c>
      <c r="B12" s="49">
        <v>22633</v>
      </c>
      <c r="C12" s="50">
        <v>64610</v>
      </c>
      <c r="D12" s="50">
        <v>140467.5</v>
      </c>
      <c r="E12" s="50">
        <v>153056.5</v>
      </c>
      <c r="F12" s="50">
        <v>166805</v>
      </c>
      <c r="G12" s="17">
        <f t="shared" si="0"/>
        <v>524939</v>
      </c>
      <c r="H12" s="17">
        <f t="shared" si="1"/>
        <v>25788.514180953662</v>
      </c>
      <c r="I12" s="17">
        <f t="shared" si="2"/>
        <v>499150.48581904633</v>
      </c>
    </row>
    <row r="13" spans="1:9" ht="15.75" customHeight="1" x14ac:dyDescent="0.25">
      <c r="A13" s="5">
        <f t="shared" si="3"/>
        <v>2035</v>
      </c>
      <c r="B13" s="49">
        <v>22316</v>
      </c>
      <c r="C13" s="50">
        <v>64149.5</v>
      </c>
      <c r="D13" s="50">
        <v>136682.5</v>
      </c>
      <c r="E13" s="50">
        <v>154421.5</v>
      </c>
      <c r="F13" s="50">
        <v>158690.5</v>
      </c>
      <c r="G13" s="17">
        <f t="shared" si="0"/>
        <v>513944</v>
      </c>
      <c r="H13" s="17">
        <f t="shared" si="1"/>
        <v>25427.31774233031</v>
      </c>
      <c r="I13" s="17">
        <f t="shared" si="2"/>
        <v>488516.68225766969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kIRN8t8fIbHtV8/HLSOhRWzHezUy0XmSsZl2Sb1fBV4M+vMuddAVWfMjhIqFQoAE8PamjNIZLssslWJxfxI+w==" saltValue="v5hYDETNy2So8XbxEMi0B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4.6125695387430402E-2</v>
      </c>
    </row>
    <row r="5" spans="1:8" ht="15.75" customHeight="1" x14ac:dyDescent="0.25">
      <c r="B5" s="19" t="s">
        <v>114</v>
      </c>
      <c r="C5" s="101">
        <v>2.2718797728120219E-2</v>
      </c>
    </row>
    <row r="6" spans="1:8" ht="15.75" customHeight="1" x14ac:dyDescent="0.25">
      <c r="B6" s="19" t="s">
        <v>110</v>
      </c>
      <c r="C6" s="101">
        <v>0.17007988299201179</v>
      </c>
    </row>
    <row r="7" spans="1:8" ht="15.75" customHeight="1" x14ac:dyDescent="0.25">
      <c r="B7" s="19" t="s">
        <v>115</v>
      </c>
      <c r="C7" s="101">
        <v>0.39910116008988411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0.28086277191372289</v>
      </c>
    </row>
    <row r="10" spans="1:8" ht="15.75" customHeight="1" x14ac:dyDescent="0.25">
      <c r="B10" s="19" t="s">
        <v>113</v>
      </c>
      <c r="C10" s="101">
        <v>8.1111691888830689E-2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121</v>
      </c>
      <c r="C15" s="101">
        <v>8.1529085162002718E-2</v>
      </c>
      <c r="D15" s="101">
        <v>8.1529085162002718E-2</v>
      </c>
      <c r="E15" s="101">
        <v>8.1529085162002718E-2</v>
      </c>
      <c r="F15" s="101">
        <v>8.1529085162002718E-2</v>
      </c>
    </row>
    <row r="16" spans="1:8" ht="15.75" customHeight="1" x14ac:dyDescent="0.25">
      <c r="B16" s="19" t="s">
        <v>2</v>
      </c>
      <c r="C16" s="101">
        <v>1.8139470884927539E-2</v>
      </c>
      <c r="D16" s="101">
        <v>1.8139470884927539E-2</v>
      </c>
      <c r="E16" s="101">
        <v>1.8139470884927539E-2</v>
      </c>
      <c r="F16" s="101">
        <v>1.8139470884927539E-2</v>
      </c>
    </row>
    <row r="17" spans="1:8" ht="15.75" customHeight="1" x14ac:dyDescent="0.25">
      <c r="B17" s="19" t="s">
        <v>109</v>
      </c>
      <c r="C17" s="101">
        <v>8.1429359592676109E-2</v>
      </c>
      <c r="D17" s="101">
        <v>8.1429359592676109E-2</v>
      </c>
      <c r="E17" s="101">
        <v>8.1429359592676109E-2</v>
      </c>
      <c r="F17" s="101">
        <v>8.1429359592676109E-2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2.3805046369849939E-2</v>
      </c>
      <c r="D19" s="101">
        <v>2.3805046369849939E-2</v>
      </c>
      <c r="E19" s="101">
        <v>2.3805046369849939E-2</v>
      </c>
      <c r="F19" s="101">
        <v>2.3805046369849939E-2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0.1357873267302955</v>
      </c>
      <c r="D21" s="101">
        <v>0.1357873267302955</v>
      </c>
      <c r="E21" s="101">
        <v>0.1357873267302955</v>
      </c>
      <c r="F21" s="101">
        <v>0.1357873267302955</v>
      </c>
    </row>
    <row r="22" spans="1:8" ht="15.75" customHeight="1" x14ac:dyDescent="0.25">
      <c r="B22" s="19" t="s">
        <v>118</v>
      </c>
      <c r="C22" s="101">
        <v>0.6515562865949418</v>
      </c>
      <c r="D22" s="101">
        <v>0.6515562865949418</v>
      </c>
      <c r="E22" s="101">
        <v>0.6515562865949418</v>
      </c>
      <c r="F22" s="101">
        <v>0.6515562865949418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5.5773718999999999E-2</v>
      </c>
    </row>
    <row r="27" spans="1:8" ht="15.75" customHeight="1" x14ac:dyDescent="0.25">
      <c r="B27" s="19" t="s">
        <v>108</v>
      </c>
      <c r="C27" s="101">
        <v>5.7652142000000003E-2</v>
      </c>
    </row>
    <row r="28" spans="1:8" ht="15.75" customHeight="1" x14ac:dyDescent="0.25">
      <c r="B28" s="19" t="s">
        <v>122</v>
      </c>
      <c r="C28" s="101">
        <v>0.12384268499999999</v>
      </c>
    </row>
    <row r="29" spans="1:8" ht="15.75" customHeight="1" x14ac:dyDescent="0.25">
      <c r="B29" s="19" t="s">
        <v>105</v>
      </c>
      <c r="C29" s="101">
        <v>0.136252816</v>
      </c>
    </row>
    <row r="30" spans="1:8" ht="15.75" customHeight="1" x14ac:dyDescent="0.25">
      <c r="B30" s="19" t="s">
        <v>4</v>
      </c>
      <c r="C30" s="101">
        <v>8.3258572000000003E-2</v>
      </c>
    </row>
    <row r="31" spans="1:8" ht="15.75" customHeight="1" x14ac:dyDescent="0.25">
      <c r="B31" s="19" t="s">
        <v>99</v>
      </c>
      <c r="C31" s="101">
        <v>6.5980006999999993E-2</v>
      </c>
    </row>
    <row r="32" spans="1:8" ht="15.75" customHeight="1" x14ac:dyDescent="0.25">
      <c r="B32" s="19" t="s">
        <v>104</v>
      </c>
      <c r="C32" s="101">
        <v>0.12997820099999999</v>
      </c>
    </row>
    <row r="33" spans="2:3" ht="15.75" customHeight="1" x14ac:dyDescent="0.25">
      <c r="B33" s="19" t="s">
        <v>119</v>
      </c>
      <c r="C33" s="101">
        <v>0.124636924</v>
      </c>
    </row>
    <row r="34" spans="2:3" ht="15.75" customHeight="1" x14ac:dyDescent="0.25">
      <c r="B34" s="19" t="s">
        <v>106</v>
      </c>
      <c r="C34" s="101">
        <v>0.222624933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fohuR5mSGDlYQLw/6fqF61oI+bZSo1NCfyhFmpgWp3OHanfj4cap1/d5HLl5S7fp7Af/bNdYd1sfqYs5TSEEbg==" saltValue="hOkTyGrxfhIiLYHt/dNxP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129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125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126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138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OQsMU9GqgaC4vPdMx9AfZ1/AC+BKeWDzZC4ot4gUXAlJkHuhVQkRY+Wfm3RjpbsYbNHYJUlxheEAiXng0a8++Q==" saltValue="J6sXrLyQcVAivg6nRWpU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0.12398299999999995</v>
      </c>
      <c r="D5" s="52">
        <f t="shared" si="0"/>
        <v>0.28229249999999995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hOWxgFuquZjMiv0zyvYp+FlMTCtgG+TQoPVaWYGsholpL7KrgZOoPTkM6QbYrDQhoYYCUStSn1x2vFTwo5zTyA==" saltValue="lbUrBtqqbZbUHIsqKm2Nu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HnhfoeNGY9unBRmRnCAYK8oKfuX0SiWzO901RrY08+K4Cz8eZ/fkvpZOC+6DQW7+53keEx+w+mAo4INQy6TYg==" saltValue="H/Yz2gmSY1PTeGPUuhALd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7568.7984799592296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0.52302999999999999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1.4820047966476232E-2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99374.42899</v>
      </c>
      <c r="C22" s="109">
        <v>99322.549570000003</v>
      </c>
      <c r="D22" s="109">
        <v>99255.540999999997</v>
      </c>
      <c r="E22" s="109">
        <v>99099.034039999999</v>
      </c>
      <c r="F22" s="109">
        <v>98855.783190000002</v>
      </c>
      <c r="G22" s="109">
        <v>98618.116680000006</v>
      </c>
      <c r="H22" s="109">
        <v>98302.631160000004</v>
      </c>
      <c r="I22" s="109">
        <v>97855.769499999995</v>
      </c>
      <c r="J22" s="109">
        <v>97124.157319999998</v>
      </c>
      <c r="K22" s="109">
        <v>95826.140799999994</v>
      </c>
      <c r="L22" s="109">
        <v>93647.427190000002</v>
      </c>
      <c r="M22" s="109">
        <v>90017.456590000002</v>
      </c>
      <c r="N22" s="109">
        <v>84621.730850000007</v>
      </c>
      <c r="O22" s="109">
        <v>76770.005139999994</v>
      </c>
    </row>
  </sheetData>
  <sheetProtection algorithmName="SHA-512" hashValue="PxhbdzNxekPFST4rwzDkOclPg/SLSRlWW2apWBp5tblv4to8jZXzXmP1s9n1SLBdMP4HbTG+2WeNu00uNQoHDw==" saltValue="C3GV7fpxdFkt2GEEPG3o1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Tak8TpsbMabhD+RCvnIHEeOEkANnmpsjFfishfN7aXUefN54UXT6qm0Y8+jsIp5og2NTS4+3WgXL8N0pbsY5YA==" saltValue="YxBtLqXxAyYARVDOe9h6f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F0uPAtHncMvtAzR69REwJfclBWHcR/ImdxNdhTwXdSrIWyM9ITXLfQSmz3UDhhibtSyo3iLDotHt5Vl+MeQ2jw==" saltValue="YkduJ946LPSHVI5KVx+Ti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12.008526100307062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12.008526100307062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8.8894216990788131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0.40262538382804508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13.107414492422411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13.107414492422411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13.107414492422411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13.107414492422411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13.107414492422411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13.107414492422411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0.1619959</v>
      </c>
      <c r="C18" s="98">
        <v>0.95</v>
      </c>
      <c r="D18" s="56">
        <v>8.8894216990788131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0.1619959</v>
      </c>
      <c r="C19" s="98">
        <v>0.95</v>
      </c>
      <c r="D19" s="56">
        <v>11.065100889871371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8.8894216990788131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4.3388595676177406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0.917419377713932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5.1498336745138182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11.470990276356194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0.36322349999999998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123.32014378516121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170.92419651995908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1.1057036847492325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0.97261049999999993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0.19614500000000001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5.4630999999999994E-3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0.95155970000000001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2.6374181166837261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Fq8B609/9W6xRPh1Leci2UlizmSAjIF26NiFejTNuqC+W8Rw7zwY2lYF55RqNTsyMK+YZQvSIQrMpIh6enr+nw==" saltValue="Q8lOxcV0E6t5ZaQ7meMuB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gHhkXmRt3m7sgQWiYoNBmgnyO4vwN+Xhl8xJsjW9Y/vfDThzHbAsHfdL7lt7tqo53ITloT1fGK2qNTOkPzNvw==" saltValue="xqwSiPKURZ/5L4PgyQOO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gYuYRigPAESCckDf6JEvI3DwHIM0u0fPfdGi+VYigFlCr7RzZ/a9wuuzO6ngOJOIVbiNqxqdg6Yl1ubVj9N6w==" saltValue="+wRdHbL4Lfk3yD+UwnZo7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236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sheetProtection algorithmName="SHA-512" hashValue="E7ODsCmHie694/rCjm1INgeHsAXNrKaQYWJIBX8SEogzG64gSdteysYToQQUk3gOgTf6MBMG4TPG/xz/KOZblQ==" saltValue="5EOI8lzrW9CZk23QosYgM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otCXC9z7zqRMcS2aB0cL6541rTM9hhrEZWEjYpTUAdIgLMQkXt5ZbZzwHGmKOwVAvZHMoTacYtLZwdAKANxepQ==" saltValue="CUo2tQ0h/NpEucm4JVNGJ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t6iDpWgnN+V4Op8ec3XlZ8OuamJ+ejtd1Vf7dK1wRa8pI77un1NYV6mdfhGL+0Vx5OAw2V5hXzGx+0ffhsb1Fg==" saltValue="dC/qxq2LG4AzzOAIcG11U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bywehSN/ZBzucFe1NfWZm4pJqUAan/fkjWM/amR2dktddXIQEkr0AiM/afJRCTfgKl0CsM4quCxtKMfDaWOc0Q==" saltValue="IKXKex74CzPLJoEWThwnY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2V30fbmh/Pb19ivBgWA/u8cUa90B8sSqELr+ZijtcHv58hu5u/Y/0bNd2v7YFVO4gdXSCxHjumlZ/a+Gmj1Tw==" saltValue="l+xKZ06aVOrQzwAkxii6O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CkuLsdCTuYZ4UJbjaAF2I4kn18xPyR0M97G6OtvSRHg/GAi+tunoxKoTTdFLnE2sMqC30bWesFS7+IaDze/eRA==" saltValue="ktgZrNU/9hgz+CL4ZGxWN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G7dKYPv1YkHMS7LEG7d4fKNQ+k+FbswqXnVkJaaiq84lLs7z2D9f9kX5Wd0WGEOOO9ropbSre1jBpCkLVQPDYA==" saltValue="iIlrV9hJyfv1kwnPrzCQP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IlfuPdOEy/3KX5cJebAwmTG2rhG6Esk1wX7a7Za/65Zh2Ip0OPaZsCKAyh3T/EmbJMTcBd9qSJvDAlzf/PfWw==" saltValue="/xpLE1BTh3NIy4dpYKNMC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/z9261Rogt2ez/P87NsD56uThZ242i/ZPvOZJXw8WOHWOBA4zZ2R3Hp+KYta04ChYHSl+AJD/scpblwsabBCxQ==" saltValue="m6JAA38XhJzPAGVlYB22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odJTnjPFiHAc3FC5YSFr2o8YU7EzZ6lMFb6C5enBj2Cq9v7tjU+TLa56P2IP8bEnqhs0zsYfwFELjBnTBPO5Uw==" saltValue="MbnYG60a72y5gQl3wFwP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9GHIoTP/SKErN9K9Uh5rnGA3TtN05TqBB1z0U4Jsek/x+pqMNOB0WULWXnUjlu5nMhpue853aUP8+OjCOszsGg==" saltValue="0PfCxJd62OwMPB09BYsn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4ENGcXqOwN1outYuDBGBsbROEybT7UqPhYM1UGLwTke37qXvcWZLZJcRB3gE0rhE7XY20RlzlBBKeCKAngtrMg==" saltValue="bWFmcjMwpaQFRfoh2l3v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FuaDDUVg3/591ZuED0xZiK7MWjTepA/eK9AVkG/A+tsGnWhVhfmdx32F0xzMfehaE44LXOCFBNmj9k/EBxxbg==" saltValue="0TuqB7z/dyWD5kMJhzWE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RGvFMHaZjhAztNeLwKVN+lBNtLQvyWWiz7OPkBJwIjT5BTxjBZDFs7nSe73C9SlRltYa5d6Nc5kMrUNsINeNtw==" saltValue="YZVqKCEJfgUdDmr4RH1my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w/pxk8ogkg+NyzSGcj1F1qE97T94RdaX45bg52s5QFb26n6i10VsJotWvn+5mNk06WHbvf7zUdql2SGxSCbOg==" saltValue="B5udQycu9+EMa8KtKGzv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D42XgL9P1SWDhQlindtxJDAr7Fo5dBHmcXBirYzB2n2MUbMapLhSpoAlWuyhbiNsVCN2PFO31aBSr5LRTcCapw==" saltValue="tFoFHyUnmi42cdnjJEpiW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2025-07-08T03:10:28Z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