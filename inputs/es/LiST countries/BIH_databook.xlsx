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4BA7D920-A3A8-43D3-B3C7-3A87CAFDF3E5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2" i="2" l="1"/>
  <c r="I6" i="2"/>
  <c r="A35" i="2"/>
  <c r="A26" i="2"/>
  <c r="I39" i="2"/>
  <c r="I9" i="2"/>
  <c r="A31" i="2"/>
  <c r="A34" i="2"/>
  <c r="A40" i="2"/>
  <c r="A22" i="2"/>
  <c r="A36" i="2"/>
  <c r="A19" i="2"/>
  <c r="I3" i="2"/>
  <c r="I7" i="2"/>
  <c r="A23" i="2"/>
  <c r="A37" i="2"/>
  <c r="A24" i="2"/>
  <c r="I38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<sst xmlns="http://schemas.openxmlformats.org/spreadsheetml/2006/main" count="2169" uniqueCount="373">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</sst>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123442.5</v>
      </c>
    </row>
    <row r="8" spans="1:3" ht="15" customHeight="1" x14ac:dyDescent="0.25">
      <c r="B8" s="5" t="s">
        <v>63</v>
      </c>
      <c r="C8" s="44">
        <v>0.01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0.91188728330000002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0.78099999999999992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3.7400000000000003E-2</v>
      </c>
    </row>
    <row r="24" spans="1:3" ht="15" customHeight="1" x14ac:dyDescent="0.25">
      <c r="B24" s="15" t="s">
        <v>65</v>
      </c>
      <c r="C24" s="45">
        <v>0.53110000000000002</v>
      </c>
    </row>
    <row r="25" spans="1:3" ht="15" customHeight="1" x14ac:dyDescent="0.25">
      <c r="B25" s="15" t="s">
        <v>66</v>
      </c>
      <c r="C25" s="45">
        <v>0.41370000000000001</v>
      </c>
    </row>
    <row r="26" spans="1:3" ht="15" customHeight="1" x14ac:dyDescent="0.25">
      <c r="B26" s="15" t="s">
        <v>67</v>
      </c>
      <c r="C26" s="45">
        <v>1.78E-2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0.51101988116637098</v>
      </c>
    </row>
    <row r="30" spans="1:3" ht="14.25" customHeight="1" x14ac:dyDescent="0.25">
      <c r="B30" s="25" t="s">
        <v>82</v>
      </c>
      <c r="C30" s="97">
        <v>3.6928466503456402E-2</v>
      </c>
    </row>
    <row r="31" spans="1:3" ht="14.25" customHeight="1" x14ac:dyDescent="0.25">
      <c r="B31" s="25" t="s">
        <v>29</v>
      </c>
      <c r="C31" s="97">
        <v>4.0966963582223501E-2</v>
      </c>
    </row>
    <row r="32" spans="1:3" ht="14.25" customHeight="1" x14ac:dyDescent="0.25">
      <c r="B32" s="25" t="s">
        <v>30</v>
      </c>
      <c r="C32" s="97">
        <v>0.41108468874794901</v>
      </c>
    </row>
    <row r="33" spans="1:5" ht="13.25" customHeight="1" x14ac:dyDescent="0.25">
      <c r="B33" s="27" t="s">
        <v>79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4.0971299999999999</v>
      </c>
    </row>
    <row r="38" spans="1:5" ht="15" customHeight="1" x14ac:dyDescent="0.25">
      <c r="B38" s="11" t="s">
        <v>54</v>
      </c>
      <c r="C38" s="43">
        <v>4.8431699999999998</v>
      </c>
      <c r="D38" s="12"/>
      <c r="E38" s="13"/>
    </row>
    <row r="39" spans="1:5" ht="15" customHeight="1" x14ac:dyDescent="0.25">
      <c r="B39" s="11" t="s">
        <v>80</v>
      </c>
      <c r="C39" s="43">
        <v>5.6006</v>
      </c>
      <c r="D39" s="12"/>
      <c r="E39" s="12"/>
    </row>
    <row r="40" spans="1:5" ht="15" customHeight="1" x14ac:dyDescent="0.25">
      <c r="B40" s="11" t="s">
        <v>55</v>
      </c>
      <c r="C40" s="98">
        <v>0.06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2.6832099999999999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5.9451E-3</v>
      </c>
      <c r="D45" s="12"/>
    </row>
    <row r="46" spans="1:5" ht="15.75" customHeight="1" x14ac:dyDescent="0.25">
      <c r="B46" s="11" t="s">
        <v>70</v>
      </c>
      <c r="C46" s="45">
        <v>6.38793E-2</v>
      </c>
      <c r="D46" s="12"/>
    </row>
    <row r="47" spans="1:5" ht="15.75" customHeight="1" x14ac:dyDescent="0.25">
      <c r="B47" s="11" t="s">
        <v>78</v>
      </c>
      <c r="C47" s="45">
        <v>7.5347799999999993E-2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2.8</v>
      </c>
      <c r="D51" s="12"/>
    </row>
    <row r="52" spans="1:4" ht="15" customHeight="1" x14ac:dyDescent="0.25">
      <c r="B52" s="11" t="s">
        <v>32</v>
      </c>
      <c r="C52" s="98">
        <v>2.8</v>
      </c>
    </row>
    <row r="53" spans="1:4" ht="15.75" customHeight="1" x14ac:dyDescent="0.25">
      <c r="B53" s="11" t="s">
        <v>35</v>
      </c>
      <c r="C53" s="98">
        <v>2.8</v>
      </c>
    </row>
    <row r="54" spans="1:4" ht="15.75" customHeight="1" x14ac:dyDescent="0.25">
      <c r="B54" s="11" t="s">
        <v>33</v>
      </c>
      <c r="C54" s="98">
        <v>2.8</v>
      </c>
    </row>
    <row r="55" spans="1:4" ht="15.75" customHeight="1" x14ac:dyDescent="0.25">
      <c r="B55" s="11" t="s">
        <v>34</v>
      </c>
      <c r="C55" s="98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0.61777399999999993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3.3956865999999898E-2</v>
      </c>
    </row>
    <row r="63" spans="1:4" ht="15.75" customHeight="1" x14ac:dyDescent="0.3">
      <c r="A63" s="4"/>
    </row>
  </sheetData>
  <sheetProtection algorithmName="SHA-512" hashValue="NDoX1WWxkoOt/xvl7GLhA7Qxy2wFdhtPEDi0zUjrg3hL+3pzakyogUxulkdOZRy2FCzEV/0EpmBr5Pew7xuoGA==" saltValue="yLHQLoAphqOLeNsX/KRA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24430</v>
      </c>
      <c r="C2" s="49">
        <v>78709.5</v>
      </c>
      <c r="D2" s="49">
        <v>161669.5</v>
      </c>
      <c r="E2" s="49">
        <v>171678.5</v>
      </c>
      <c r="F2" s="49">
        <v>248198.5</v>
      </c>
      <c r="G2" s="17">
        <f t="shared" ref="G2:G13" si="0">C2+D2+E2+F2</f>
        <v>660256</v>
      </c>
      <c r="H2" s="17">
        <f t="shared" ref="H2:H13" si="1">(B2 + stillbirth*B2/(1000-stillbirth))/(1-abortion)</f>
        <v>27836.05361378067</v>
      </c>
      <c r="I2" s="17">
        <f t="shared" ref="I2:I13" si="2">G2-H2</f>
        <v>632419.94638621935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24258</v>
      </c>
      <c r="C3" s="50">
        <v>77524.5</v>
      </c>
      <c r="D3" s="50">
        <v>163278</v>
      </c>
      <c r="E3" s="50">
        <v>163604.5</v>
      </c>
      <c r="F3" s="50">
        <v>244053.5</v>
      </c>
      <c r="G3" s="17">
        <f t="shared" si="0"/>
        <v>648460.5</v>
      </c>
      <c r="H3" s="17">
        <f t="shared" si="1"/>
        <v>27640.073211751594</v>
      </c>
      <c r="I3" s="17">
        <f t="shared" si="2"/>
        <v>620820.42678824835</v>
      </c>
    </row>
    <row r="4" spans="1:9" ht="15.75" customHeight="1" x14ac:dyDescent="0.25">
      <c r="A4" s="5">
        <f t="shared" si="3"/>
        <v>2026</v>
      </c>
      <c r="B4" s="49">
        <v>24034</v>
      </c>
      <c r="C4" s="50">
        <v>75927.5</v>
      </c>
      <c r="D4" s="50">
        <v>163034.5</v>
      </c>
      <c r="E4" s="50">
        <v>157697.99999999997</v>
      </c>
      <c r="F4" s="50">
        <v>237799.5</v>
      </c>
      <c r="G4" s="17">
        <f t="shared" si="0"/>
        <v>634459.5</v>
      </c>
      <c r="H4" s="17">
        <f t="shared" si="1"/>
        <v>27384.842920736988</v>
      </c>
      <c r="I4" s="17">
        <f t="shared" si="2"/>
        <v>607074.65707926301</v>
      </c>
    </row>
    <row r="5" spans="1:9" ht="15.75" customHeight="1" x14ac:dyDescent="0.25">
      <c r="A5" s="5">
        <f t="shared" si="3"/>
        <v>2027</v>
      </c>
      <c r="B5" s="49">
        <v>23827</v>
      </c>
      <c r="C5" s="50">
        <v>74148</v>
      </c>
      <c r="D5" s="50">
        <v>160092.5</v>
      </c>
      <c r="E5" s="50">
        <v>155024.5</v>
      </c>
      <c r="F5" s="50">
        <v>230111.49999999997</v>
      </c>
      <c r="G5" s="17">
        <f t="shared" si="0"/>
        <v>619376.5</v>
      </c>
      <c r="H5" s="17">
        <f t="shared" si="1"/>
        <v>27148.98278573688</v>
      </c>
      <c r="I5" s="17">
        <f t="shared" si="2"/>
        <v>592227.51721426309</v>
      </c>
    </row>
    <row r="6" spans="1:9" ht="15.75" customHeight="1" x14ac:dyDescent="0.25">
      <c r="A6" s="5">
        <f t="shared" si="3"/>
        <v>2028</v>
      </c>
      <c r="B6" s="49">
        <v>23643</v>
      </c>
      <c r="C6" s="50">
        <v>72459.5</v>
      </c>
      <c r="D6" s="50">
        <v>155972.5</v>
      </c>
      <c r="E6" s="50">
        <v>154298</v>
      </c>
      <c r="F6" s="50">
        <v>221508.5</v>
      </c>
      <c r="G6" s="17">
        <f t="shared" si="0"/>
        <v>604238.5</v>
      </c>
      <c r="H6" s="17">
        <f t="shared" si="1"/>
        <v>26939.329332403453</v>
      </c>
      <c r="I6" s="17">
        <f t="shared" si="2"/>
        <v>577299.17066759651</v>
      </c>
    </row>
    <row r="7" spans="1:9" ht="15.75" customHeight="1" x14ac:dyDescent="0.25">
      <c r="A7" s="5">
        <f t="shared" si="3"/>
        <v>2029</v>
      </c>
      <c r="B7" s="49">
        <v>23490</v>
      </c>
      <c r="C7" s="50">
        <v>70288.5</v>
      </c>
      <c r="D7" s="50">
        <v>153349</v>
      </c>
      <c r="E7" s="50">
        <v>153537</v>
      </c>
      <c r="F7" s="50">
        <v>211946</v>
      </c>
      <c r="G7" s="17">
        <f t="shared" si="0"/>
        <v>589120.5</v>
      </c>
      <c r="H7" s="17">
        <f t="shared" si="1"/>
        <v>26764.997928272936</v>
      </c>
      <c r="I7" s="17">
        <f t="shared" si="2"/>
        <v>562355.50207172707</v>
      </c>
    </row>
    <row r="8" spans="1:9" ht="15.75" customHeight="1" x14ac:dyDescent="0.25">
      <c r="A8" s="5">
        <f t="shared" si="3"/>
        <v>2030</v>
      </c>
      <c r="B8" s="49">
        <v>23375</v>
      </c>
      <c r="C8" s="50">
        <v>67998</v>
      </c>
      <c r="D8" s="50">
        <v>151974.5</v>
      </c>
      <c r="E8" s="50">
        <v>152513.50000000003</v>
      </c>
      <c r="F8" s="50">
        <v>201522.49999999997</v>
      </c>
      <c r="G8" s="17">
        <f t="shared" si="0"/>
        <v>574008.5</v>
      </c>
      <c r="H8" s="17">
        <f t="shared" si="1"/>
        <v>26633.964519939549</v>
      </c>
      <c r="I8" s="17">
        <f t="shared" si="2"/>
        <v>547374.5354800605</v>
      </c>
    </row>
    <row r="9" spans="1:9" ht="15.75" customHeight="1" x14ac:dyDescent="0.25">
      <c r="A9" s="5">
        <f t="shared" si="3"/>
        <v>2031</v>
      </c>
      <c r="B9" s="49">
        <v>23273</v>
      </c>
      <c r="C9" s="50">
        <v>66564.5</v>
      </c>
      <c r="D9" s="50">
        <v>150120.5</v>
      </c>
      <c r="E9" s="50">
        <v>151457.49999999997</v>
      </c>
      <c r="F9" s="50">
        <v>192594.49999999997</v>
      </c>
      <c r="G9" s="17">
        <f t="shared" si="0"/>
        <v>560737</v>
      </c>
      <c r="H9" s="17">
        <f t="shared" si="1"/>
        <v>26517.743583852534</v>
      </c>
      <c r="I9" s="17">
        <f t="shared" si="2"/>
        <v>534219.25641614746</v>
      </c>
    </row>
    <row r="10" spans="1:9" ht="15.75" customHeight="1" x14ac:dyDescent="0.25">
      <c r="A10" s="5">
        <f t="shared" si="3"/>
        <v>2032</v>
      </c>
      <c r="B10" s="49">
        <v>23102</v>
      </c>
      <c r="C10" s="50">
        <v>65629.5</v>
      </c>
      <c r="D10" s="50">
        <v>147403</v>
      </c>
      <c r="E10" s="50">
        <v>150728.99999999997</v>
      </c>
      <c r="F10" s="50">
        <v>184995.99999999997</v>
      </c>
      <c r="G10" s="17">
        <f t="shared" si="0"/>
        <v>548757.5</v>
      </c>
      <c r="H10" s="17">
        <f t="shared" si="1"/>
        <v>26322.902602765495</v>
      </c>
      <c r="I10" s="17">
        <f t="shared" si="2"/>
        <v>522434.59739723452</v>
      </c>
    </row>
    <row r="11" spans="1:9" ht="15.75" customHeight="1" x14ac:dyDescent="0.25">
      <c r="A11" s="5">
        <f t="shared" si="3"/>
        <v>2033</v>
      </c>
      <c r="B11" s="49">
        <v>22901</v>
      </c>
      <c r="C11" s="50">
        <v>64947.999999999993</v>
      </c>
      <c r="D11" s="50">
        <v>144212</v>
      </c>
      <c r="E11" s="50">
        <v>151404.49999999997</v>
      </c>
      <c r="F11" s="50">
        <v>176113.5</v>
      </c>
      <c r="G11" s="17">
        <f t="shared" si="0"/>
        <v>536678</v>
      </c>
      <c r="H11" s="17">
        <f t="shared" si="1"/>
        <v>26093.878993417566</v>
      </c>
      <c r="I11" s="17">
        <f t="shared" si="2"/>
        <v>510584.12100658246</v>
      </c>
    </row>
    <row r="12" spans="1:9" ht="15.75" customHeight="1" x14ac:dyDescent="0.25">
      <c r="A12" s="5">
        <f t="shared" si="3"/>
        <v>2034</v>
      </c>
      <c r="B12" s="49">
        <v>22633</v>
      </c>
      <c r="C12" s="50">
        <v>64610</v>
      </c>
      <c r="D12" s="50">
        <v>140467.5</v>
      </c>
      <c r="E12" s="50">
        <v>153056.5</v>
      </c>
      <c r="F12" s="50">
        <v>166805</v>
      </c>
      <c r="G12" s="17">
        <f t="shared" si="0"/>
        <v>524939</v>
      </c>
      <c r="H12" s="17">
        <f t="shared" si="1"/>
        <v>25788.514180953662</v>
      </c>
      <c r="I12" s="17">
        <f t="shared" si="2"/>
        <v>499150.48581904633</v>
      </c>
    </row>
    <row r="13" spans="1:9" ht="15.75" customHeight="1" x14ac:dyDescent="0.25">
      <c r="A13" s="5">
        <f t="shared" si="3"/>
        <v>2035</v>
      </c>
      <c r="B13" s="49">
        <v>22316</v>
      </c>
      <c r="C13" s="50">
        <v>64149.5</v>
      </c>
      <c r="D13" s="50">
        <v>136682.5</v>
      </c>
      <c r="E13" s="50">
        <v>154421.5</v>
      </c>
      <c r="F13" s="50">
        <v>158690.5</v>
      </c>
      <c r="G13" s="17">
        <f t="shared" si="0"/>
        <v>513944</v>
      </c>
      <c r="H13" s="17">
        <f t="shared" si="1"/>
        <v>25427.31774233031</v>
      </c>
      <c r="I13" s="17">
        <f t="shared" si="2"/>
        <v>488516.68225766969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nr+GM0EfRCZwtGiPl/8RXeNHaE6sfDkbZbjAkb/a80DA4foJJDzXwVEwRsRJbzSNha8D63XaUx+H3m10QdEu8Q==" saltValue="omYmWfhlD4Peq5Oo73AGp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4.6125695387430402E-2</v>
      </c>
    </row>
    <row r="5" spans="1:8" ht="15.75" customHeight="1" x14ac:dyDescent="0.25">
      <c r="B5" s="19" t="s">
        <v>114</v>
      </c>
      <c r="C5" s="99">
        <v>2.2718797728120219E-2</v>
      </c>
    </row>
    <row r="6" spans="1:8" ht="15.75" customHeight="1" x14ac:dyDescent="0.25">
      <c r="B6" s="19" t="s">
        <v>110</v>
      </c>
      <c r="C6" s="99">
        <v>0.17007988299201179</v>
      </c>
    </row>
    <row r="7" spans="1:8" ht="15.75" customHeight="1" x14ac:dyDescent="0.25">
      <c r="B7" s="19" t="s">
        <v>115</v>
      </c>
      <c r="C7" s="99">
        <v>0.39910116008988411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0.28086277191372289</v>
      </c>
    </row>
    <row r="10" spans="1:8" ht="15.75" customHeight="1" x14ac:dyDescent="0.25">
      <c r="B10" s="19" t="s">
        <v>113</v>
      </c>
      <c r="C10" s="99">
        <v>8.1111691888830689E-2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7.7534246653063301E-3</v>
      </c>
      <c r="D14" s="55">
        <v>7.7534246653063301E-3</v>
      </c>
      <c r="E14" s="55">
        <v>7.7534246653063301E-3</v>
      </c>
      <c r="F14" s="55">
        <v>7.7534246653063301E-3</v>
      </c>
    </row>
    <row r="15" spans="1:8" ht="15.75" customHeight="1" x14ac:dyDescent="0.25">
      <c r="B15" s="19" t="s">
        <v>121</v>
      </c>
      <c r="C15" s="99">
        <v>8.1529085162002718E-2</v>
      </c>
      <c r="D15" s="99">
        <v>8.1529085162002718E-2</v>
      </c>
      <c r="E15" s="99">
        <v>8.1529085162002718E-2</v>
      </c>
      <c r="F15" s="99">
        <v>8.1529085162002718E-2</v>
      </c>
    </row>
    <row r="16" spans="1:8" ht="15.75" customHeight="1" x14ac:dyDescent="0.25">
      <c r="B16" s="19" t="s">
        <v>2</v>
      </c>
      <c r="C16" s="99">
        <v>1.8139470884927539E-2</v>
      </c>
      <c r="D16" s="99">
        <v>1.8139470884927539E-2</v>
      </c>
      <c r="E16" s="99">
        <v>1.8139470884927539E-2</v>
      </c>
      <c r="F16" s="99">
        <v>1.8139470884927539E-2</v>
      </c>
    </row>
    <row r="17" spans="1:8" ht="15.75" customHeight="1" x14ac:dyDescent="0.25">
      <c r="B17" s="19" t="s">
        <v>109</v>
      </c>
      <c r="C17" s="99">
        <v>8.1429359592676109E-2</v>
      </c>
      <c r="D17" s="99">
        <v>8.1429359592676109E-2</v>
      </c>
      <c r="E17" s="99">
        <v>8.1429359592676109E-2</v>
      </c>
      <c r="F17" s="99">
        <v>8.1429359592676109E-2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2.3805046369849939E-2</v>
      </c>
      <c r="D19" s="99">
        <v>2.3805046369849939E-2</v>
      </c>
      <c r="E19" s="99">
        <v>2.3805046369849939E-2</v>
      </c>
      <c r="F19" s="99">
        <v>2.3805046369849939E-2</v>
      </c>
    </row>
    <row r="20" spans="1:8" ht="15.75" customHeight="1" x14ac:dyDescent="0.25">
      <c r="B20" s="19" t="s">
        <v>98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107</v>
      </c>
      <c r="C21" s="99">
        <v>0.1357873267302955</v>
      </c>
      <c r="D21" s="99">
        <v>0.1357873267302955</v>
      </c>
      <c r="E21" s="99">
        <v>0.1357873267302955</v>
      </c>
      <c r="F21" s="99">
        <v>0.1357873267302955</v>
      </c>
    </row>
    <row r="22" spans="1:8" ht="15.75" customHeight="1" x14ac:dyDescent="0.25">
      <c r="B22" s="19" t="s">
        <v>118</v>
      </c>
      <c r="C22" s="99">
        <v>0.6515562865949418</v>
      </c>
      <c r="D22" s="99">
        <v>0.6515562865949418</v>
      </c>
      <c r="E22" s="99">
        <v>0.6515562865949418</v>
      </c>
      <c r="F22" s="99">
        <v>0.6515562865949418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5.5773718999999999E-2</v>
      </c>
    </row>
    <row r="27" spans="1:8" ht="15.75" customHeight="1" x14ac:dyDescent="0.25">
      <c r="B27" s="19" t="s">
        <v>108</v>
      </c>
      <c r="C27" s="99">
        <v>5.7652142000000003E-2</v>
      </c>
    </row>
    <row r="28" spans="1:8" ht="15.75" customHeight="1" x14ac:dyDescent="0.25">
      <c r="B28" s="19" t="s">
        <v>122</v>
      </c>
      <c r="C28" s="99">
        <v>0.12384268499999999</v>
      </c>
    </row>
    <row r="29" spans="1:8" ht="15.75" customHeight="1" x14ac:dyDescent="0.25">
      <c r="B29" s="19" t="s">
        <v>105</v>
      </c>
      <c r="C29" s="99">
        <v>0.136252816</v>
      </c>
    </row>
    <row r="30" spans="1:8" ht="15.75" customHeight="1" x14ac:dyDescent="0.25">
      <c r="B30" s="19" t="s">
        <v>4</v>
      </c>
      <c r="C30" s="99">
        <v>8.3258572000000003E-2</v>
      </c>
    </row>
    <row r="31" spans="1:8" ht="15.75" customHeight="1" x14ac:dyDescent="0.25">
      <c r="B31" s="19" t="s">
        <v>99</v>
      </c>
      <c r="C31" s="99">
        <v>6.5980006999999993E-2</v>
      </c>
    </row>
    <row r="32" spans="1:8" ht="15.75" customHeight="1" x14ac:dyDescent="0.25">
      <c r="B32" s="19" t="s">
        <v>104</v>
      </c>
      <c r="C32" s="99">
        <v>0.12997820099999999</v>
      </c>
    </row>
    <row r="33" spans="2:3" ht="15.75" customHeight="1" x14ac:dyDescent="0.25">
      <c r="B33" s="19" t="s">
        <v>119</v>
      </c>
      <c r="C33" s="99">
        <v>0.124636924</v>
      </c>
    </row>
    <row r="34" spans="2:3" ht="15.75" customHeight="1" x14ac:dyDescent="0.25">
      <c r="B34" s="19" t="s">
        <v>106</v>
      </c>
      <c r="C34" s="99">
        <v>0.222624933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QFqEnLhc3bdra1B6BO9xedOTRt3YbpLSAEANZ9p5DYiLZs16eDAzj2TdMPJ1xwNMaua9h7Aj1wmgWVWxT2aPDw==" saltValue="8IRGf8973+lSfgWQtwOzp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0.50112147523159711</v>
      </c>
      <c r="D2" s="52">
        <f>IFERROR(1-_xlfn.NORM.DIST(_xlfn.NORM.INV(SUM(D4:D5), 0, 1) + 1, 0, 1, TRUE), "")</f>
        <v>0.50112147523159711</v>
      </c>
      <c r="E2" s="52">
        <f>IFERROR(1-_xlfn.NORM.DIST(_xlfn.NORM.INV(SUM(E4:E5), 0, 1) + 1, 0, 1, TRUE), "")</f>
        <v>0.61554519945040442</v>
      </c>
      <c r="F2" s="52">
        <f>IFERROR(1-_xlfn.NORM.DIST(_xlfn.NORM.INV(SUM(F4:F5), 0, 1) + 1, 0, 1, TRUE), "")</f>
        <v>0.53603353327546466</v>
      </c>
      <c r="G2" s="52">
        <f>IFERROR(1-_xlfn.NORM.DIST(_xlfn.NORM.INV(SUM(G4:G5), 0, 1) + 1, 0, 1, TRUE), "")</f>
        <v>0.70806578736331471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0.34090252476840283</v>
      </c>
      <c r="D3" s="52">
        <f>IFERROR(_xlfn.NORM.DIST(_xlfn.NORM.INV(SUM(D4:D5), 0, 1) + 1, 0, 1, TRUE) - SUM(D4:D5), "")</f>
        <v>0.34090252476840283</v>
      </c>
      <c r="E3" s="52">
        <f>IFERROR(_xlfn.NORM.DIST(_xlfn.NORM.INV(SUM(E4:E5), 0, 1) + 1, 0, 1, TRUE) - SUM(E4:E5), "")</f>
        <v>0.28658780054959565</v>
      </c>
      <c r="F3" s="52">
        <f>IFERROR(_xlfn.NORM.DIST(_xlfn.NORM.INV(SUM(F4:F5), 0, 1) + 1, 0, 1, TRUE) - SUM(F4:F5), "")</f>
        <v>0.32620806672453534</v>
      </c>
      <c r="G3" s="52">
        <f>IFERROR(_xlfn.NORM.DIST(_xlfn.NORM.INV(SUM(G4:G5), 0, 1) + 1, 0, 1, TRUE) - SUM(G4:G5), "")</f>
        <v>0.23109211263668522</v>
      </c>
    </row>
    <row r="4" spans="1:15" ht="15.75" customHeight="1" x14ac:dyDescent="0.25">
      <c r="B4" s="5" t="s">
        <v>129</v>
      </c>
      <c r="C4" s="45">
        <v>7.4163300000000001E-2</v>
      </c>
      <c r="D4" s="53">
        <v>7.4163300000000001E-2</v>
      </c>
      <c r="E4" s="53">
        <v>7.3369099999999993E-2</v>
      </c>
      <c r="F4" s="53">
        <v>7.6801899999999992E-2</v>
      </c>
      <c r="G4" s="53">
        <v>3.5029100000000001E-2</v>
      </c>
    </row>
    <row r="5" spans="1:15" ht="15.75" customHeight="1" x14ac:dyDescent="0.25">
      <c r="B5" s="5" t="s">
        <v>125</v>
      </c>
      <c r="C5" s="45">
        <v>8.3812700000000004E-2</v>
      </c>
      <c r="D5" s="53">
        <v>8.3812700000000004E-2</v>
      </c>
      <c r="E5" s="53">
        <v>2.44979E-2</v>
      </c>
      <c r="F5" s="53">
        <v>6.0956499999999997E-2</v>
      </c>
      <c r="G5" s="53">
        <v>2.5812999999999999E-2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0.63714872393189437</v>
      </c>
      <c r="D8" s="52">
        <f>IFERROR(1-_xlfn.NORM.DIST(_xlfn.NORM.INV(SUM(D10:D11), 0, 1) + 1, 0, 1, TRUE), "")</f>
        <v>0.63714872393189437</v>
      </c>
      <c r="E8" s="52">
        <f>IFERROR(1-_xlfn.NORM.DIST(_xlfn.NORM.INV(SUM(E10:E11), 0, 1) + 1, 0, 1, TRUE), "")</f>
        <v>0.86938784466071861</v>
      </c>
      <c r="F8" s="52">
        <f>IFERROR(1-_xlfn.NORM.DIST(_xlfn.NORM.INV(SUM(F10:F11), 0, 1) + 1, 0, 1, TRUE), "")</f>
        <v>0.89500381064790036</v>
      </c>
      <c r="G8" s="52">
        <f>IFERROR(1-_xlfn.NORM.DIST(_xlfn.NORM.INV(SUM(G10:G11), 0, 1) + 1, 0, 1, TRUE), "")</f>
        <v>0.8660740585421659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0.27447917606810562</v>
      </c>
      <c r="D9" s="52">
        <f>IFERROR(_xlfn.NORM.DIST(_xlfn.NORM.INV(SUM(D10:D11), 0, 1) + 1, 0, 1, TRUE) - SUM(D10:D11), "")</f>
        <v>0.27447917606810562</v>
      </c>
      <c r="E9" s="52">
        <f>IFERROR(_xlfn.NORM.DIST(_xlfn.NORM.INV(SUM(E10:E11), 0, 1) + 1, 0, 1, TRUE) - SUM(E10:E11), "")</f>
        <v>0.11375625533928144</v>
      </c>
      <c r="F9" s="52">
        <f>IFERROR(_xlfn.NORM.DIST(_xlfn.NORM.INV(SUM(F10:F11), 0, 1) + 1, 0, 1, TRUE) - SUM(F10:F11), "")</f>
        <v>9.2885089352099659E-2</v>
      </c>
      <c r="G9" s="52">
        <f>IFERROR(_xlfn.NORM.DIST(_xlfn.NORM.INV(SUM(G10:G11), 0, 1) + 1, 0, 1, TRUE) - SUM(G10:G11), "")</f>
        <v>0.11641144145783412</v>
      </c>
    </row>
    <row r="10" spans="1:15" ht="15.75" customHeight="1" x14ac:dyDescent="0.25">
      <c r="B10" s="5" t="s">
        <v>126</v>
      </c>
      <c r="C10" s="45">
        <v>1.5284000000000001E-2</v>
      </c>
      <c r="D10" s="53">
        <v>1.5284000000000001E-2</v>
      </c>
      <c r="E10" s="53">
        <v>1.68559E-2</v>
      </c>
      <c r="F10" s="53">
        <v>6.0133999999999986E-3</v>
      </c>
      <c r="G10" s="53">
        <v>5.8563E-3</v>
      </c>
    </row>
    <row r="11" spans="1:15" ht="15.75" customHeight="1" x14ac:dyDescent="0.25">
      <c r="B11" s="5" t="s">
        <v>138</v>
      </c>
      <c r="C11" s="45">
        <v>7.3088100000000003E-2</v>
      </c>
      <c r="D11" s="53">
        <v>7.3088100000000003E-2</v>
      </c>
      <c r="E11" s="53">
        <v>0</v>
      </c>
      <c r="F11" s="53">
        <v>6.0977000000000002E-3</v>
      </c>
      <c r="G11" s="53">
        <v>1.1658200000000001E-2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0.41136791174999998</v>
      </c>
      <c r="D14" s="54">
        <v>0.41779542736699998</v>
      </c>
      <c r="E14" s="54">
        <v>0.41779542736699998</v>
      </c>
      <c r="F14" s="54">
        <v>0.219470227804</v>
      </c>
      <c r="G14" s="54">
        <v>0.219470227804</v>
      </c>
      <c r="H14" s="45">
        <v>0.29799999999999999</v>
      </c>
      <c r="I14" s="55">
        <v>0.29799999999999999</v>
      </c>
      <c r="J14" s="55">
        <v>0.29799999999999999</v>
      </c>
      <c r="K14" s="55">
        <v>0.29799999999999999</v>
      </c>
      <c r="L14" s="45">
        <v>0.29399999999999998</v>
      </c>
      <c r="M14" s="55">
        <v>0.29399999999999998</v>
      </c>
      <c r="N14" s="55">
        <v>0.29399999999999998</v>
      </c>
      <c r="O14" s="55">
        <v>0.29399999999999998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0.25413240031344447</v>
      </c>
      <c r="D15" s="52">
        <f t="shared" si="0"/>
        <v>0.258103152346221</v>
      </c>
      <c r="E15" s="52">
        <f t="shared" si="0"/>
        <v>0.258103152346221</v>
      </c>
      <c r="F15" s="52">
        <f t="shared" si="0"/>
        <v>0.13558300051138827</v>
      </c>
      <c r="G15" s="52">
        <f t="shared" si="0"/>
        <v>0.13558300051138827</v>
      </c>
      <c r="H15" s="52">
        <f t="shared" si="0"/>
        <v>0.18409665199999997</v>
      </c>
      <c r="I15" s="52">
        <f t="shared" si="0"/>
        <v>0.18409665199999997</v>
      </c>
      <c r="J15" s="52">
        <f t="shared" si="0"/>
        <v>0.18409665199999997</v>
      </c>
      <c r="K15" s="52">
        <f t="shared" si="0"/>
        <v>0.18409665199999997</v>
      </c>
      <c r="L15" s="52">
        <f t="shared" si="0"/>
        <v>0.18162555599999997</v>
      </c>
      <c r="M15" s="52">
        <f t="shared" si="0"/>
        <v>0.18162555599999997</v>
      </c>
      <c r="N15" s="52">
        <f t="shared" si="0"/>
        <v>0.18162555599999997</v>
      </c>
      <c r="O15" s="52">
        <f t="shared" si="0"/>
        <v>0.18162555599999997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6Jd+wBesff0kEFtLRFx0K6GFYTJWkfztmIf/PIaxHGA/wChk2pIGLWl7rkvt/hf9z6DJYMDMFrKOKvh1snCfsw==" saltValue="3Q8DIV/3fluAvgF6LjRc1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0.29851899999999998</v>
      </c>
      <c r="D2" s="53">
        <v>0.1619959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0.28573409999999999</v>
      </c>
      <c r="D3" s="53">
        <v>0.27325430000000001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0.29176390000000002</v>
      </c>
      <c r="D4" s="53">
        <v>0.28245730000000002</v>
      </c>
      <c r="E4" s="53">
        <v>0.45839709999999989</v>
      </c>
      <c r="F4" s="53">
        <v>0.1173019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0.12398299999999995</v>
      </c>
      <c r="D5" s="52">
        <f t="shared" si="0"/>
        <v>0.28229249999999995</v>
      </c>
      <c r="E5" s="52">
        <f>1-SUM(E2:E4)</f>
        <v>0.54160290000000011</v>
      </c>
      <c r="F5" s="52">
        <f>1-SUM(F2:F4)</f>
        <v>0.88269810000000004</v>
      </c>
      <c r="G5" s="52">
        <f>1-SUM(G2:G4)</f>
        <v>1</v>
      </c>
    </row>
  </sheetData>
  <sheetProtection algorithmName="SHA-512" hashValue="h6NsKUOZl94T0KJOYflq9dhN6o6HpXyhYT1+24WjZmT1jpAGipZNJCK9duyjLQnjj+Y2/ss2QhIX2JpXC9mnKA==" saltValue="K5jMZsOeNWsC8kXrrUHBv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AwGIwL9zdxVE/1yKfBQDte7ueRuWBo+4E4qLEnmnzb3dCKZddWULid+E9lJ8stHXqchqgsQbXpRrDUoLmOSAgQ==" saltValue="L4LZOeVVNhOMfbK2d4Ff3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7568.7984799592296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0.52302999999999999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0.503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1.4820047966476232E-2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99374.42899</v>
      </c>
      <c r="C22" s="107">
        <v>99322.549570000003</v>
      </c>
      <c r="D22" s="107">
        <v>99255.540999999997</v>
      </c>
      <c r="E22" s="107">
        <v>99099.034039999999</v>
      </c>
      <c r="F22" s="107">
        <v>98855.783190000002</v>
      </c>
      <c r="G22" s="107">
        <v>98618.116680000006</v>
      </c>
      <c r="H22" s="107">
        <v>98302.631160000004</v>
      </c>
      <c r="I22" s="107">
        <v>97855.769499999995</v>
      </c>
      <c r="J22" s="107">
        <v>97124.157319999998</v>
      </c>
      <c r="K22" s="107">
        <v>95826.140799999994</v>
      </c>
      <c r="L22" s="107">
        <v>93647.427190000002</v>
      </c>
      <c r="M22" s="107">
        <v>90017.456590000002</v>
      </c>
      <c r="N22" s="107">
        <v>84621.730850000007</v>
      </c>
      <c r="O22" s="107">
        <v>76770.005139999994</v>
      </c>
    </row>
  </sheetData>
  <sheetProtection algorithmName="SHA-512" hashValue="ay9R+Kzjom9AiFyM42Nbp32QxLAlmuAlH86TNMpQ1WuhYGkPim+LsRtqwFHv7gT8jylOacLD5IdTNGqDIp1jow==" saltValue="9GEKbVSS5ItNmtx4Rrxt1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e0FLnMOt0QqZzm5IU5PtgQeEXCG3+60qAr8MOhbI4/RJriSeO24ue1EBsxj9x4oCLnvIGemYCPsESmlZCXVYsQ==" saltValue="+AFW4Apz6vTtswPK1U0Oi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JXAyP9tgLXQoiYG1swYsXsPaRnJOkH5a7i+Bq5EaUNT38XE1cVBCuGDa8zmec5i1dUZoiy6pPwe4UJJnckOSpw==" saltValue="n0YrVqQKO4Svs++N30AJV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12.008526100307062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12.008526100307062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8.8894216990788131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0.40262538382804508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13.107414492422411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13.107414492422411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13.107414492422411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13.107414492422411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13.107414492422411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13.107414492422411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0.1619959</v>
      </c>
      <c r="C18" s="96">
        <v>0.95</v>
      </c>
      <c r="D18" s="56">
        <v>8.8894216990788131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0.1619959</v>
      </c>
      <c r="C19" s="96">
        <v>0.95</v>
      </c>
      <c r="D19" s="56">
        <v>11.065100889871371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8.8894216990788131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4.3388595676177406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0.917419377713932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5.1498336745138182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11.470990276356194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0.36322349999999998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</v>
      </c>
      <c r="C29" s="96">
        <v>0.95</v>
      </c>
      <c r="D29" s="56">
        <v>123.32014378516121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170.92419651995908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1.1057036847492325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0.97261049999999993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0.19614500000000001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5.4630999999999994E-3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0.95155970000000001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2.6374181166837261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BxUjT8p9OlcIujJ0L6hCRoh2KS1UD0xp1fp3cbAvPx+l1x4RRkGcY6ul/I2SwLD++q/OIzplF9vIDnapaKzv9A==" saltValue="IVZ7sNMGJvkGMx3grUu0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lbEobYNsbSQ8miE3IpB7mAK4g1GRAtdeeKIfVlw/e9IzM0KDs210pQ8GrtzLDQnTgdwGj/2PKBXwAMHir71tKw==" saltValue="jnJ/c85e1Mk9biV8jQY4m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wMgEbMkGMozcab8hYDUYChFvaQKX3o+3rK+hak8/WNfOJ0RBRMRtzLbDM4ba8piXns662+LVRePS5C/jBZSWBA==" saltValue="nPcfeLXGfvmTMpv8zf19O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3.97384E-2</v>
      </c>
      <c r="C3" s="21">
        <f>frac_mam_1_5months * 2.6</f>
        <v>3.97384E-2</v>
      </c>
      <c r="D3" s="21">
        <f>frac_mam_6_11months * 2.6</f>
        <v>4.3825340000000004E-2</v>
      </c>
      <c r="E3" s="21">
        <f>frac_mam_12_23months * 2.6</f>
        <v>1.5634839999999997E-2</v>
      </c>
      <c r="F3" s="21">
        <f>frac_mam_24_59months * 2.6</f>
        <v>1.5226380000000001E-2</v>
      </c>
    </row>
    <row r="4" spans="1:6" ht="15.75" customHeight="1" x14ac:dyDescent="0.25">
      <c r="A4" s="3" t="s">
        <v>236</v>
      </c>
      <c r="B4" s="21">
        <f>frac_sam_1month * 2.6</f>
        <v>0.19002906000000003</v>
      </c>
      <c r="C4" s="21">
        <f>frac_sam_1_5months * 2.6</f>
        <v>0.19002906000000003</v>
      </c>
      <c r="D4" s="21">
        <f>frac_sam_6_11months * 2.6</f>
        <v>0</v>
      </c>
      <c r="E4" s="21">
        <f>frac_sam_12_23months * 2.6</f>
        <v>1.585402E-2</v>
      </c>
      <c r="F4" s="21">
        <f>frac_sam_24_59months * 2.6</f>
        <v>3.0311320000000003E-2</v>
      </c>
    </row>
  </sheetData>
  <sheetProtection algorithmName="SHA-512" hashValue="GAOWvAxVM7GTNIuwjhETn4JiWPMFaLlKE+z2FWIANYED5ZvJV2/shHeLbQ15LoE0IAQGS9vm+/XktJA4EzyEFQ==" saltValue="MSPudNOsO4Sv9LO/531zY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0.78099999999999992</v>
      </c>
      <c r="M24" s="60">
        <f>famplan_unmet_need</f>
        <v>0.78099999999999992</v>
      </c>
      <c r="N24" s="60">
        <f>famplan_unmet_need</f>
        <v>0.78099999999999992</v>
      </c>
      <c r="O24" s="60">
        <f>famplan_unmet_need</f>
        <v>0.78099999999999992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4.3360267888069993E-2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1.8582971952029997E-2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2.6169476859899992E-2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0.91188728329999991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5Hd027RCBblHyW1DvxUsXamfGZbiU73HtpnquHUbO1RhxAggTik0RGlgwg2SJEweFqvsBLK+S7zUwKfSpsYyBw==" saltValue="S5+mr7yHLWea5FVc3y61s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uUz49MzuQS5MlzSKAbqN6BGla34NREMuZSvc0GDErJFpiW7dDLOGr5RgsrMYAiJGXCxB0QwQWjY2CqWERpWTqQ==" saltValue="oX7XWkf90eNcm7ixJj/MX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0Ft520NRLjFiJr5oET+/GrlX46fHA5JMJjcx1fRnJofIpg2qgVg7J17mMEdPAper8JedwV4dtqhOMz7jzUrtDQ==" saltValue="P3MdVUIGDGUtepNy5RQDV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qeVOlKNmpZBTvmi/H778b/Ux0RCPxVW4FnR44YiwfPIyzX7gSsHUfQ+aiCk8WMusNYwTfn0QKHbcCI6s0iFNxg==" saltValue="9X/7Bu3zcaOr004zbnDFy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7rKZE2ux1TvhzLDIThWB47u6miQE8o7QMClPc0eVFGmpQaiM7mLifT1oH7NMAozCopS5XvhoYfaJT9cAaIsDYQ==" saltValue="cRU0K4QBv2GHU99IQh2fv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GuKNoCgoqlG5Ens9EJaDZQvD7g6pCzJ02bWX38nVbJxPQenQlA+wVdMjODobJbTnq/ydWljipnZUjIqDqDDH3w==" saltValue="da4IdCIDa4l4VhRwGuJ5l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8ZYFyALlfrxNmGryL1RJBTMgus9uE5bdqOOsEIzQSyAo+gNd9f5Zv4sH+lSwwaNOUm3tsINhVO69K4VifCiIww==" saltValue="J/9gbPfghjaVMvRT9qKhu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JSveDL6wHu37ZA2B100YnA2RtxUfnH2P3hO7e8L7sElLehkUBLp1OJhQb5Fr8YsNicc+UgykkGeJ7o6ZlTqZ6w==" saltValue="zupVLJ4FBINeBB6iLiQn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AEsHmoOA1OOGzrUszsd2zXcgc1L9X4GeLZWDEBFzMPpUburHWSZ0zDgiIfowOKwSzMIfiPXgGUMlc0mfU4uU1g==" saltValue="5O6ltLcx6iKtIpqgNVmv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MR/fQRfMbOtiqgY2gJtHk5weEcKUWdIVKaAShg/pJcjZs5eH/dorIklHa+sHBptqsrwjjDG10muPMStXG66uMA==" saltValue="RorpdmYzrgi1CuxfFNWA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pvCtePHbrrdTF1n+ADJLLOIMpuDbtetbNQER6dVVCar/XngqotdRy92G292Lf0TquFl8ddQCuHKI0Stj7JesIQ==" saltValue="VCzkePQF07NqcgqR88Bf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lcrPalxwQwsklPHbgiEvSF10JtnPlMMqbNN2PN9xnuZ7k1dn67+/W1s0q/cYHZpob75uaAEQpvpm9AFw10Orgw==" saltValue="KHlgxDBF6iilEZkh9M10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HLDmN5K2LHgbuWhx49CJaSFtVZ+gjc2t2o9ph8DdKZ81g4UH882ToJTW+ClscjpU0/kqlEzFdKggZ6uOHh/bVA==" saltValue="4f3NWtwNYtvfKD2mlnamK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FZ2KysxXwyYcKIeAf8sKuq9Ps5/TohQcz746Be5zHizxw3JSMCJKNxNgUANO3PptcfV7SYtqhbg16To2pcVsmw==" saltValue="rI6USFk67eolIEUv1eE/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YqqqJKMtTDaXjTRGD8cyqbsOqSPybOODYBNwIXqISdmI09KERfHKx3/qiMUimyZ4ka+Mu9qyCW0J5jU0xDrcHA==" saltValue="6Qt6srJnkGcbBIgGQXrJ3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2025-07-29T23:31:30Z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