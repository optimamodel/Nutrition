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FD05C07F-7833-4651-B3EB-15F8FC8968F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H13" i="2"/>
  <c r="G13" i="2"/>
  <c r="I13" i="2" s="1"/>
  <c r="H12" i="2"/>
  <c r="G12" i="2"/>
  <c r="H11" i="2"/>
  <c r="G11" i="2"/>
  <c r="I11" i="2" s="1"/>
  <c r="H10" i="2"/>
  <c r="G10" i="2"/>
  <c r="I10" i="2" s="1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I5" i="2" s="1"/>
  <c r="H4" i="2"/>
  <c r="G4" i="2"/>
  <c r="H3" i="2"/>
  <c r="G3" i="2"/>
  <c r="I3" i="2" s="1"/>
  <c r="H2" i="2"/>
  <c r="G2" i="2"/>
  <c r="I2" i="2" s="1"/>
  <c r="A2" i="2"/>
  <c r="A40" i="2" s="1"/>
  <c r="C33" i="1"/>
  <c r="C20" i="1"/>
  <c r="A21" i="2" l="1"/>
  <c r="A15" i="2"/>
  <c r="A24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25" i="2"/>
  <c r="A34" i="2"/>
  <c r="A31" i="2"/>
  <c r="A32" i="2"/>
  <c r="A39" i="2"/>
  <c r="A35" i="2"/>
  <c r="A18" i="2"/>
  <c r="A36" i="2"/>
  <c r="I4" i="2"/>
  <c r="I8" i="2"/>
  <c r="I12" i="2"/>
  <c r="A19" i="2"/>
  <c r="A28" i="2"/>
  <c r="A37" i="2"/>
  <c r="A23" i="2"/>
  <c r="A17" i="2"/>
  <c r="A26" i="2"/>
  <c r="A27" i="2"/>
  <c r="A20" i="2"/>
  <c r="A29" i="2"/>
  <c r="I38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<sst xmlns="http://schemas.openxmlformats.org/spreadsheetml/2006/main" count="2101" uniqueCount="341">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</sst>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135579.033203125</v>
      </c>
    </row>
    <row r="8" spans="1:3" ht="15" customHeight="1" x14ac:dyDescent="0.25">
      <c r="B8" s="5" t="s">
        <v>44</v>
      </c>
      <c r="C8" s="44">
        <v>1E-3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0.91188728330000002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3.7400000000000003E-2</v>
      </c>
    </row>
    <row r="24" spans="1:3" ht="15" customHeight="1" x14ac:dyDescent="0.25">
      <c r="B24" s="15" t="s">
        <v>46</v>
      </c>
      <c r="C24" s="45">
        <v>0.53110000000000002</v>
      </c>
    </row>
    <row r="25" spans="1:3" ht="15" customHeight="1" x14ac:dyDescent="0.25">
      <c r="B25" s="15" t="s">
        <v>47</v>
      </c>
      <c r="C25" s="45">
        <v>0.41370000000000001</v>
      </c>
    </row>
    <row r="26" spans="1:3" ht="15" customHeight="1" x14ac:dyDescent="0.25">
      <c r="B26" s="15" t="s">
        <v>48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0.51101988116637098</v>
      </c>
    </row>
    <row r="30" spans="1:3" ht="14.25" customHeight="1" x14ac:dyDescent="0.25">
      <c r="B30" s="25" t="s">
        <v>63</v>
      </c>
      <c r="C30" s="99">
        <v>3.6928466503456402E-2</v>
      </c>
    </row>
    <row r="31" spans="1:3" ht="14.25" customHeight="1" x14ac:dyDescent="0.25">
      <c r="B31" s="25" t="s">
        <v>10</v>
      </c>
      <c r="C31" s="99">
        <v>4.0966963582223501E-2</v>
      </c>
    </row>
    <row r="32" spans="1:3" ht="14.25" customHeight="1" x14ac:dyDescent="0.25">
      <c r="B32" s="25" t="s">
        <v>11</v>
      </c>
      <c r="C32" s="99">
        <v>0.41108468874794901</v>
      </c>
    </row>
    <row r="33" spans="1:5" ht="13" customHeight="1" x14ac:dyDescent="0.25">
      <c r="B33" s="27" t="s">
        <v>60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4.0971299999999999</v>
      </c>
    </row>
    <row r="38" spans="1:5" ht="15" customHeight="1" x14ac:dyDescent="0.25">
      <c r="B38" s="11" t="s">
        <v>35</v>
      </c>
      <c r="C38" s="43">
        <v>4.8431699999999998</v>
      </c>
      <c r="D38" s="12"/>
      <c r="E38" s="13"/>
    </row>
    <row r="39" spans="1:5" ht="15" customHeight="1" x14ac:dyDescent="0.25">
      <c r="B39" s="11" t="s">
        <v>61</v>
      </c>
      <c r="C39" s="43">
        <v>5.6006</v>
      </c>
      <c r="D39" s="12"/>
      <c r="E39" s="12"/>
    </row>
    <row r="40" spans="1:5" ht="15" customHeight="1" x14ac:dyDescent="0.25">
      <c r="B40" s="11" t="s">
        <v>36</v>
      </c>
      <c r="C40" s="100">
        <v>0.06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5.9451E-3</v>
      </c>
      <c r="D45" s="12"/>
    </row>
    <row r="46" spans="1:5" ht="15.75" customHeight="1" x14ac:dyDescent="0.25">
      <c r="B46" s="11" t="s">
        <v>51</v>
      </c>
      <c r="C46" s="45">
        <v>6.38793E-2</v>
      </c>
      <c r="D46" s="12"/>
    </row>
    <row r="47" spans="1:5" ht="15.75" customHeight="1" x14ac:dyDescent="0.25">
      <c r="B47" s="11" t="s">
        <v>59</v>
      </c>
      <c r="C47" s="45">
        <v>7.5347799999999993E-2</v>
      </c>
      <c r="D47" s="12"/>
      <c r="E47" s="13"/>
    </row>
    <row r="48" spans="1:5" ht="15" customHeight="1" x14ac:dyDescent="0.25">
      <c r="B48" s="11" t="s">
        <v>58</v>
      </c>
      <c r="C48" s="46">
        <v>0.85482780000000003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0.61777399999999993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k+G+5c+QdP3ePO0+lt818AvAEMAX4iGADGB3DGSbdAyTJVSjxLGRJmxnzA6/SUnmhpsnI649Vl34I3Rokoa6rg==" saltValue="aQJ6lhIFfYwICSeVMEIw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26012</v>
      </c>
      <c r="C2" s="49">
        <v>99117.499999999985</v>
      </c>
      <c r="D2" s="49">
        <v>181062.5</v>
      </c>
      <c r="E2" s="49">
        <v>209029</v>
      </c>
      <c r="F2" s="49">
        <v>203821</v>
      </c>
      <c r="G2" s="17">
        <f t="shared" ref="G2:G13" si="0">C2+D2+E2+F2</f>
        <v>693030</v>
      </c>
      <c r="H2" s="17">
        <f t="shared" ref="H2:H13" si="1">(B2 + stillbirth*B2/(1000-stillbirth))/(1-abortion)</f>
        <v>29638.617544071338</v>
      </c>
      <c r="I2" s="17">
        <f t="shared" ref="I2:I13" si="2">G2-H2</f>
        <v>663391.38245592872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25670</v>
      </c>
      <c r="C3" s="50">
        <v>99296.5</v>
      </c>
      <c r="D3" s="50">
        <v>178038</v>
      </c>
      <c r="E3" s="50">
        <v>205194</v>
      </c>
      <c r="F3" s="50">
        <v>204158.5</v>
      </c>
      <c r="G3" s="17">
        <f t="shared" si="0"/>
        <v>686687</v>
      </c>
      <c r="H3" s="17">
        <f t="shared" si="1"/>
        <v>29248.935581897247</v>
      </c>
      <c r="I3" s="17">
        <f t="shared" si="2"/>
        <v>657438.06441810273</v>
      </c>
    </row>
    <row r="4" spans="1:9" ht="15.75" customHeight="1" x14ac:dyDescent="0.25">
      <c r="A4" s="5">
        <f t="shared" si="3"/>
        <v>2026</v>
      </c>
      <c r="B4" s="49">
        <v>25427</v>
      </c>
      <c r="C4" s="50">
        <v>99502.5</v>
      </c>
      <c r="D4" s="50">
        <v>173805.5</v>
      </c>
      <c r="E4" s="50">
        <v>202989.5</v>
      </c>
      <c r="F4" s="50">
        <v>204094</v>
      </c>
      <c r="G4" s="17">
        <f t="shared" si="0"/>
        <v>680391.5</v>
      </c>
      <c r="H4" s="17">
        <f t="shared" si="1"/>
        <v>28972.056292984082</v>
      </c>
      <c r="I4" s="17">
        <f t="shared" si="2"/>
        <v>651419.44370701595</v>
      </c>
    </row>
    <row r="5" spans="1:9" ht="15.75" customHeight="1" x14ac:dyDescent="0.25">
      <c r="A5" s="5">
        <f t="shared" si="3"/>
        <v>2027</v>
      </c>
      <c r="B5" s="49">
        <v>25100</v>
      </c>
      <c r="C5" s="50">
        <v>99351.499999999985</v>
      </c>
      <c r="D5" s="50">
        <v>169498</v>
      </c>
      <c r="E5" s="50">
        <v>201283.5</v>
      </c>
      <c r="F5" s="50">
        <v>203637.5</v>
      </c>
      <c r="G5" s="17">
        <f t="shared" si="0"/>
        <v>673770.5</v>
      </c>
      <c r="H5" s="17">
        <f t="shared" si="1"/>
        <v>28599.465644940432</v>
      </c>
      <c r="I5" s="17">
        <f t="shared" si="2"/>
        <v>645171.03435505962</v>
      </c>
    </row>
    <row r="6" spans="1:9" ht="15.75" customHeight="1" x14ac:dyDescent="0.25">
      <c r="A6" s="5">
        <f t="shared" si="3"/>
        <v>2028</v>
      </c>
      <c r="B6" s="49">
        <v>24813</v>
      </c>
      <c r="C6" s="50">
        <v>98419.5</v>
      </c>
      <c r="D6" s="50">
        <v>166361</v>
      </c>
      <c r="E6" s="50">
        <v>198853.5</v>
      </c>
      <c r="F6" s="50">
        <v>203291</v>
      </c>
      <c r="G6" s="17">
        <f t="shared" si="0"/>
        <v>666925</v>
      </c>
      <c r="H6" s="17">
        <f t="shared" si="1"/>
        <v>28272.451834577965</v>
      </c>
      <c r="I6" s="17">
        <f t="shared" si="2"/>
        <v>638652.54816542205</v>
      </c>
    </row>
    <row r="7" spans="1:9" ht="15.75" customHeight="1" x14ac:dyDescent="0.25">
      <c r="A7" s="5">
        <f t="shared" si="3"/>
        <v>2029</v>
      </c>
      <c r="B7" s="49">
        <v>24601</v>
      </c>
      <c r="C7" s="50">
        <v>97154</v>
      </c>
      <c r="D7" s="50">
        <v>164787</v>
      </c>
      <c r="E7" s="50">
        <v>195323</v>
      </c>
      <c r="F7" s="50">
        <v>202814.5</v>
      </c>
      <c r="G7" s="17">
        <f t="shared" si="0"/>
        <v>660078.5</v>
      </c>
      <c r="H7" s="17">
        <f t="shared" si="1"/>
        <v>28030.89459486771</v>
      </c>
      <c r="I7" s="17">
        <f t="shared" si="2"/>
        <v>632047.60540513229</v>
      </c>
    </row>
    <row r="8" spans="1:9" ht="15.75" customHeight="1" x14ac:dyDescent="0.25">
      <c r="A8" s="5">
        <f t="shared" si="3"/>
        <v>2030</v>
      </c>
      <c r="B8" s="49">
        <v>24424</v>
      </c>
      <c r="C8" s="50">
        <v>96020</v>
      </c>
      <c r="D8" s="50">
        <v>164179.5</v>
      </c>
      <c r="E8" s="50">
        <v>191209.5</v>
      </c>
      <c r="F8" s="50">
        <v>201770.5</v>
      </c>
      <c r="G8" s="17">
        <f t="shared" si="0"/>
        <v>653179.5</v>
      </c>
      <c r="H8" s="17">
        <f t="shared" si="1"/>
        <v>27829.217088128491</v>
      </c>
      <c r="I8" s="17">
        <f t="shared" si="2"/>
        <v>625350.28291187156</v>
      </c>
    </row>
    <row r="9" spans="1:9" ht="15.75" customHeight="1" x14ac:dyDescent="0.25">
      <c r="A9" s="5">
        <f t="shared" si="3"/>
        <v>2031</v>
      </c>
      <c r="B9" s="49">
        <v>24208</v>
      </c>
      <c r="C9" s="50">
        <v>95117.5</v>
      </c>
      <c r="D9" s="50">
        <v>163955</v>
      </c>
      <c r="E9" s="50">
        <v>186860.5</v>
      </c>
      <c r="F9" s="50">
        <v>200123.5</v>
      </c>
      <c r="G9" s="17">
        <f t="shared" si="0"/>
        <v>646056.5</v>
      </c>
      <c r="H9" s="17">
        <f t="shared" si="1"/>
        <v>27583.102164650121</v>
      </c>
      <c r="I9" s="17">
        <f t="shared" si="2"/>
        <v>618473.3978353499</v>
      </c>
    </row>
    <row r="10" spans="1:9" ht="15.75" customHeight="1" x14ac:dyDescent="0.25">
      <c r="A10" s="5">
        <f t="shared" si="3"/>
        <v>2032</v>
      </c>
      <c r="B10" s="49">
        <v>24014</v>
      </c>
      <c r="C10" s="50">
        <v>94227</v>
      </c>
      <c r="D10" s="50">
        <v>163971</v>
      </c>
      <c r="E10" s="50">
        <v>183331.5</v>
      </c>
      <c r="F10" s="50">
        <v>198178</v>
      </c>
      <c r="G10" s="17">
        <f t="shared" si="0"/>
        <v>639707.5</v>
      </c>
      <c r="H10" s="17">
        <f t="shared" si="1"/>
        <v>27362.054501896397</v>
      </c>
      <c r="I10" s="17">
        <f t="shared" si="2"/>
        <v>612345.44549810363</v>
      </c>
    </row>
    <row r="11" spans="1:9" ht="15.75" customHeight="1" x14ac:dyDescent="0.25">
      <c r="A11" s="5">
        <f t="shared" si="3"/>
        <v>2033</v>
      </c>
      <c r="B11" s="49">
        <v>23864</v>
      </c>
      <c r="C11" s="50">
        <v>93238</v>
      </c>
      <c r="D11" s="50">
        <v>163829.5</v>
      </c>
      <c r="E11" s="50">
        <v>181532</v>
      </c>
      <c r="F11" s="50">
        <v>195091</v>
      </c>
      <c r="G11" s="17">
        <f t="shared" si="0"/>
        <v>633690.5</v>
      </c>
      <c r="H11" s="17">
        <f t="shared" si="1"/>
        <v>27191.141360591973</v>
      </c>
      <c r="I11" s="17">
        <f t="shared" si="2"/>
        <v>606499.35863940802</v>
      </c>
    </row>
    <row r="12" spans="1:9" ht="15.75" customHeight="1" x14ac:dyDescent="0.25">
      <c r="A12" s="5">
        <f t="shared" si="3"/>
        <v>2034</v>
      </c>
      <c r="B12" s="49">
        <v>23641</v>
      </c>
      <c r="C12" s="50">
        <v>92137.500000000015</v>
      </c>
      <c r="D12" s="50">
        <v>163187.5</v>
      </c>
      <c r="E12" s="50">
        <v>179981.5</v>
      </c>
      <c r="F12" s="50">
        <v>189920</v>
      </c>
      <c r="G12" s="17">
        <f t="shared" si="0"/>
        <v>625226.5</v>
      </c>
      <c r="H12" s="17">
        <f t="shared" si="1"/>
        <v>26937.050490519392</v>
      </c>
      <c r="I12" s="17">
        <f t="shared" si="2"/>
        <v>598289.44950948062</v>
      </c>
    </row>
    <row r="13" spans="1:9" ht="15.75" customHeight="1" x14ac:dyDescent="0.25">
      <c r="A13" s="5">
        <f t="shared" si="3"/>
        <v>2035</v>
      </c>
      <c r="B13" s="49">
        <v>23479</v>
      </c>
      <c r="C13" s="50">
        <v>90529.999999999985</v>
      </c>
      <c r="D13" s="50">
        <v>162392</v>
      </c>
      <c r="E13" s="50">
        <v>176967</v>
      </c>
      <c r="F13" s="50">
        <v>184680</v>
      </c>
      <c r="G13" s="17">
        <f t="shared" si="0"/>
        <v>614569</v>
      </c>
      <c r="H13" s="17">
        <f t="shared" si="1"/>
        <v>26752.464297910617</v>
      </c>
      <c r="I13" s="17">
        <f t="shared" si="2"/>
        <v>587816.53570208943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s9jfsKIg0kHQunSCQw+fHRiapBcwIkqIMAotsN2UDLuFMMYR2PD0eRdh8P+xPr2b6Rd3jth+jR+i2+Bvfo0zQ==" saltValue="M3un/sxN+4v5PT9M7FwX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4.6125695387430402E-2</v>
      </c>
    </row>
    <row r="5" spans="1:8" ht="15.75" customHeight="1" x14ac:dyDescent="0.25">
      <c r="B5" s="19" t="s">
        <v>95</v>
      </c>
      <c r="C5" s="101">
        <v>2.2718797728120219E-2</v>
      </c>
    </row>
    <row r="6" spans="1:8" ht="15.75" customHeight="1" x14ac:dyDescent="0.25">
      <c r="B6" s="19" t="s">
        <v>91</v>
      </c>
      <c r="C6" s="101">
        <v>0.17007988299201179</v>
      </c>
    </row>
    <row r="7" spans="1:8" ht="15.75" customHeight="1" x14ac:dyDescent="0.25">
      <c r="B7" s="19" t="s">
        <v>96</v>
      </c>
      <c r="C7" s="101">
        <v>0.39910116008988411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0.28086277191372289</v>
      </c>
    </row>
    <row r="10" spans="1:8" ht="15.75" customHeight="1" x14ac:dyDescent="0.25">
      <c r="B10" s="19" t="s">
        <v>94</v>
      </c>
      <c r="C10" s="101">
        <v>8.1111691888830689E-2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102</v>
      </c>
      <c r="C15" s="101">
        <v>8.1529085162002718E-2</v>
      </c>
      <c r="D15" s="101">
        <v>8.1529085162002718E-2</v>
      </c>
      <c r="E15" s="101">
        <v>8.1529085162002718E-2</v>
      </c>
      <c r="F15" s="101">
        <v>8.1529085162002718E-2</v>
      </c>
    </row>
    <row r="16" spans="1:8" ht="15.75" customHeight="1" x14ac:dyDescent="0.25">
      <c r="B16" s="19" t="s">
        <v>2</v>
      </c>
      <c r="C16" s="101">
        <v>1.8139470884927539E-2</v>
      </c>
      <c r="D16" s="101">
        <v>1.8139470884927539E-2</v>
      </c>
      <c r="E16" s="101">
        <v>1.8139470884927539E-2</v>
      </c>
      <c r="F16" s="101">
        <v>1.8139470884927539E-2</v>
      </c>
    </row>
    <row r="17" spans="1:8" ht="15.75" customHeight="1" x14ac:dyDescent="0.25">
      <c r="B17" s="19" t="s">
        <v>90</v>
      </c>
      <c r="C17" s="101">
        <v>8.1429359592676109E-2</v>
      </c>
      <c r="D17" s="101">
        <v>8.1429359592676109E-2</v>
      </c>
      <c r="E17" s="101">
        <v>8.1429359592676109E-2</v>
      </c>
      <c r="F17" s="101">
        <v>8.1429359592676109E-2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2.3805046369849939E-2</v>
      </c>
      <c r="D19" s="101">
        <v>2.3805046369849939E-2</v>
      </c>
      <c r="E19" s="101">
        <v>2.3805046369849939E-2</v>
      </c>
      <c r="F19" s="101">
        <v>2.3805046369849939E-2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0.1357873267302955</v>
      </c>
      <c r="D21" s="101">
        <v>0.1357873267302955</v>
      </c>
      <c r="E21" s="101">
        <v>0.1357873267302955</v>
      </c>
      <c r="F21" s="101">
        <v>0.1357873267302955</v>
      </c>
    </row>
    <row r="22" spans="1:8" ht="15.75" customHeight="1" x14ac:dyDescent="0.25">
      <c r="B22" s="19" t="s">
        <v>99</v>
      </c>
      <c r="C22" s="101">
        <v>0.6515562865949418</v>
      </c>
      <c r="D22" s="101">
        <v>0.6515562865949418</v>
      </c>
      <c r="E22" s="101">
        <v>0.6515562865949418</v>
      </c>
      <c r="F22" s="101">
        <v>0.6515562865949418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5.5773718999999999E-2</v>
      </c>
    </row>
    <row r="27" spans="1:8" ht="15.75" customHeight="1" x14ac:dyDescent="0.25">
      <c r="B27" s="19" t="s">
        <v>89</v>
      </c>
      <c r="C27" s="101">
        <v>5.7652142000000003E-2</v>
      </c>
    </row>
    <row r="28" spans="1:8" ht="15.75" customHeight="1" x14ac:dyDescent="0.25">
      <c r="B28" s="19" t="s">
        <v>103</v>
      </c>
      <c r="C28" s="101">
        <v>0.12384268499999999</v>
      </c>
    </row>
    <row r="29" spans="1:8" ht="15.75" customHeight="1" x14ac:dyDescent="0.25">
      <c r="B29" s="19" t="s">
        <v>86</v>
      </c>
      <c r="C29" s="101">
        <v>0.136252816</v>
      </c>
    </row>
    <row r="30" spans="1:8" ht="15.75" customHeight="1" x14ac:dyDescent="0.25">
      <c r="B30" s="19" t="s">
        <v>4</v>
      </c>
      <c r="C30" s="101">
        <v>8.3258572000000003E-2</v>
      </c>
    </row>
    <row r="31" spans="1:8" ht="15.75" customHeight="1" x14ac:dyDescent="0.25">
      <c r="B31" s="19" t="s">
        <v>80</v>
      </c>
      <c r="C31" s="101">
        <v>6.5980006999999993E-2</v>
      </c>
    </row>
    <row r="32" spans="1:8" ht="15.75" customHeight="1" x14ac:dyDescent="0.25">
      <c r="B32" s="19" t="s">
        <v>85</v>
      </c>
      <c r="C32" s="101">
        <v>0.12997820099999999</v>
      </c>
    </row>
    <row r="33" spans="2:3" ht="15.75" customHeight="1" x14ac:dyDescent="0.25">
      <c r="B33" s="19" t="s">
        <v>100</v>
      </c>
      <c r="C33" s="101">
        <v>0.124636924</v>
      </c>
    </row>
    <row r="34" spans="2:3" ht="15.75" customHeight="1" x14ac:dyDescent="0.25">
      <c r="B34" s="19" t="s">
        <v>87</v>
      </c>
      <c r="C34" s="101">
        <v>0.222624933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uzEQfRpqE+Ylbz+ZTLzoAS1ZvbMVrNdA44I6T/JlQuTwDaZAqz+TYJcbguNpHk3Uzem2GqYX6pFKyD0jXlxlcQ==" saltValue="frUsDsCqVYLJMxUswqUx9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110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106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107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119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tMBvU4NPasT9GeMFBjTKceUd8vK0JxDjlqHD6ZAS2KtTVpOopL1CBwZQ9/3SqxOK6PlFcMkDaa3GkETT70vdw==" saltValue="RTrc04IzJsIE3mJA3Ypp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125</v>
      </c>
      <c r="C5" s="52">
        <v>0.123983</v>
      </c>
      <c r="D5" s="52">
        <v>0.2822924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BuawNWM7eqFOMO0/fCAli4Q6LMokiovZCc2swQN9+bVAT66L+F4ev9xz33/gYnFPLTu2HjvQk7Nr7h3L3wrdGQ==" saltValue="hvq6lhpLUCjqZh9QTA+GZ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7Sk4IVWKDkLZ3aOdqJTvG9d/v4TxE1FW4JcOaW4pLt5fxi/IPtfVBgW1RzHN1wSJrMTcd5vNDyeaMxF8WcIsA==" saltValue="ZRwxKDt+qoN2wo3iwQoN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b+I+KgWmzWmWzQtpKxspF5Q2In958VTtVSyOAHA1amxXSFBy56Is/ewIAU+mnd9dUys18Nm4ISMeZr5soB/hNA==" saltValue="9UKVNh54M6XITE7nhmsf9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YOr+8d968hQ+7cbZLRyz3aSnYId6bQejwSwXrAClqtk2dMLWPP5DylnKWlZEuaCOjoZTTKJthQ/tJivGNODywQ==" saltValue="mH84s4/3Yf4vflJgB44G8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dW6ORev+RXgVlLrHFXfSve6RWczcFfnQf5tPqIWY36nQvwJtpj6kH4EkjAhRmzPfDC6V1SJO4u7CqqnHZ/9FdQ==" saltValue="cN0UzGikjEn1t1PJmkOA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62.267198925302971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39.975115048626499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480.84054251477158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8.0604528320334623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13.107414492422411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13.107414492422411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13.107414492422411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13.107414492422411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13.107414492422411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13.107414492422411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0.81418029231775391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0.1619959</v>
      </c>
      <c r="C18" s="98">
        <v>0.95</v>
      </c>
      <c r="D18" s="56">
        <v>11.065100889871371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0.1619959</v>
      </c>
      <c r="C19" s="98">
        <v>0.95</v>
      </c>
      <c r="D19" s="56">
        <v>11.065100889871371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79.90136660715082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22.669145438411171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4.3388595676177406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0.917419377713932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18.641484890005319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0.36322349999999998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123.32014378516121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1.7708964965206571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1.7579636017261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0.97261049999999993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0.19614500000000001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5.4630999999999994E-3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0.95155970000000001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2.7958272003703142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+Uem30bv1a9W02xuGqewvC4DAoY5msRoRBs/bdVRFxkc9+tQ7FBioki3B0q8SUc1jQ0pdjRBSPpksP4rrmPT8A==" saltValue="aeq6/bmNJXqpqnb88yF/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XH7BotWBH/6SPqmNsFOvWzuPW6SQFru/cfwCBIXw9WUetRGvhhdf2twYjtTjDH5gfv0FeKAunHsHnPcyp1XdeA==" saltValue="4jbw3dPjXQGomS0zw/DV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yZZq2Ll4/HO/rx39KBzrGYymZdphGK7rXKcTk86bT6FIkGBfOw26Z4T0QwuEo+5hN0Og1vWBe1tpZwvdPL/VrA==" saltValue="o8CtejZO5HZ6pj23smdU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207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sheetProtection algorithmName="SHA-512" hashValue="8sF8uHWKMOlhIICqszpYCo9xgfQ/0Gds++ZU0eG1XDnmkFeoTqJSoQ3qfXKVzpSm13v5oKiOP0lJBVv68861WA==" saltValue="K969PAhIawcixHhBRtOoc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4.3193734853506992E-2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1.8511600651502997E-2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2.640738119498999E-2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TWZmZB4NyiPIc0FQkw91iS0NEadMSCBmF/vbqSXjoE42vlMY84hA5GeUEgHwvzTUmW5hUs0XLqiIIUEYDVfgw==" saltValue="R60opYXZfLikdprga8Byp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qRBiFshztN4DtScaautQL0Yf0Uz5FZKy7m2SIgiXETKoRYiKadZdB8MPwWdMbiOh6FHY00RQsyCctFBeAuy7jA==" saltValue="RF25hKUiEa8Y49BUQeSuu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XGHTjKqac7IUCdFq9r5wEANn/o6r5putbGQhd/ZjDrRqaePZZRNbaM2p4L3SZg52U+VtemXWtbRD4M+2Re4cA==" saltValue="6FvuGlwryKlO904sXW5aR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OzhCVcGX+yoVtrwsyFKZkjpFumbFqSi0fJOiH8Wyg+WM2m6BWaawKfSX7z5iwDv2ywMNY3x8z9x56Ozmq6Pvw==" saltValue="V23imlPO47M7gjOgoewim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btFduVHjTnxUyp8ICGPORfZsVEf40f4oeAnt+tbaVe1SQSxmZHeCRgYLYcomGYkFT7R4cakKA5TnzfmwI1Du0Q==" saltValue="FlZxFIDEB1G/rEcY3y0rw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fMk9ldN8/EsV12GISwkNSb4pu0kDdkOPHTUqKwbPaQHzR7c5+YAomZoQGqx3okqyDQVV2tG1qm3QuywE64DaA==" saltValue="QZx2XnyMh/YcV37cIl+r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mDCS6gGdXdaaCjXbMMfPIoXgM2l2xt6S0F33sNIp4NJRVpBxMww1SDjQ6p1ikII2XZ/tBL9ZwWdDWk2ENXpMQ==" saltValue="Zv3Q/PQVkniwDJ5eisAWg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7bQCEngCsx0D3oU9uYn8pIMp5i9ijO8YoRhKelxJ5x5n4SYPJ9Em61Rc1/Qb5b6jsreySTgbp1bmcsjHNohKg==" saltValue="QuFPDdEQJwFpTrMjxxfs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m3+RgIgFXxQUPoTQ36g0+PcPUHK/cfwPSHpSPsqwh4Xr1BRh/fzbCd7uA8zy1KBoxDYF5sZNaLQyGBre7Tw3A==" saltValue="kbvAL6Jkpqlph8HLmh6H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vuEb6suuHu99k/KkRDCdoUoQBuhPWnkId8kcT9oo6pD8tEPXgxkxSNDFdLxxTIDtIgJHE5q4OQeyBL2+BLsXA==" saltValue="AZFBC7iZS/lTdPHR+iHL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NBzCZi8371UsE0L5/kvUIvF+U5vKaq/h1g88q25VmBaqRIpoemW2JH2xwEjhOt0yRSqNngX2exB7xZWEQvL9Ww==" saltValue="nfFlMwmocsguG+vZqFc/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7jnC7cqFOldyk9xaZc0YnBJr2yKvwGvVInTXl63GJJhqUCBXj2PwZVufB1Pkxd17VSlg0A465FtKJ9K8dYZRg==" saltValue="dvsob0sFhvv/qeD3HrAl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q/KScyX1SFmHvXB1y1HlPsPAp08M1HYkB7UDdAlMGypYbbd4OLWQvdJG+PL0kDLZutV9v6A5g2ctdMMlrT+uQ==" saltValue="aArJIN7BG1wxc5mzqJAM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0.10940263448887544</v>
      </c>
      <c r="H18" s="90">
        <f>MIN(MAX(1-0.89/(1-frac_sam_24_59months+(frac_sam_24_59months*0.89)),0),1)</f>
        <v>0.10885719668674554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0.10834674200333871</v>
      </c>
      <c r="G20" s="90">
        <f>MIN(MAX(1-0.89/(1-frac_mam_12_23months+(frac_mam_12_23months*0.89)),0),1)</f>
        <v>0.10941089846465102</v>
      </c>
      <c r="H20" s="90">
        <f>MIN(MAX(1-0.89/(1-frac_mam_24_59months+(frac_mam_24_59months*0.89)),0),1)</f>
        <v>0.10942629865560982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9.9396290887630023E-3</v>
      </c>
      <c r="H73" s="90">
        <f>MIN(MAX(1-0.99/(1-frac_sam_24_59months+(frac_sam_24_59months*0.99)),0),1)</f>
        <v>9.8845703629820703E-3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9.8330984572428948E-3</v>
      </c>
      <c r="G75" s="90">
        <f>MIN(MAX(1-0.99/(1-frac_mam_12_23months+(frac_mam_12_23months*0.99)),0),1)</f>
        <v>9.9404637598478063E-3</v>
      </c>
      <c r="H75" s="90">
        <f>MIN(MAX(1-0.99/(1-frac_mam_24_59months+(frac_mam_24_59months*0.99)),0),1)</f>
        <v>9.9420192344723546E-3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0.19902317672494307</v>
      </c>
      <c r="H128" s="90">
        <f>MIN(MAX(1-0.8/(1-frac_sam_24_59months+(frac_sam_24_59months*0.8)),0),1)</f>
        <v>0.1981303285993754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0.19729393336227219</v>
      </c>
      <c r="G130" s="90">
        <f>MIN(MAX(1-0.8/(1-frac_mam_12_23months+(frac_mam_12_23months*0.8)),0),1)</f>
        <v>0.19903669745529562</v>
      </c>
      <c r="H130" s="90">
        <f>MIN(MAX(1-0.8/(1-frac_mam_24_59months+(frac_mam_24_59months*0.8)),0),1)</f>
        <v>0.19906189323306811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xBPf78lRzVNdXfUuUHlRkBELuF3VbwnCVj8+xVr3RVH7IUmoihgO+Zi6J/Wp2g0d7EDCXQrJ/oo5EnJDkcmJQ==" saltValue="PKaM+VCENtP14S+K5BIj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Z31sigGAPDDrvR32wpSJ7a0tj7GvtDN4vFiLeeTMa/VM7srQBhFY3h3jx/hvCrycZAdm8q3OHWlR6olazVj0A==" saltValue="QN99AHRgTbT1T+23+GDyA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2024-08-06T07:19:16Z</dcterms:modified>
</cp:coreProperties>
</file>