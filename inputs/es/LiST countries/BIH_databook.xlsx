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A849180E-9E0A-46E7-876D-DEFA4A797CE2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<sst xmlns="http://schemas.openxmlformats.org/spreadsheetml/2006/main" count="2102" uniqueCount="341">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</sst>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135579.033203125</v>
      </c>
    </row>
    <row r="8" spans="1:3" ht="15" customHeight="1" x14ac:dyDescent="0.25">
      <c r="B8" s="5" t="s">
        <v>44</v>
      </c>
      <c r="C8" s="44">
        <v>1E-3</v>
      </c>
    </row>
    <row r="9" spans="1:3" ht="15" customHeight="1" x14ac:dyDescent="0.25">
      <c r="B9" s="5" t="s">
        <v>43</v>
      </c>
      <c r="C9" s="45">
        <v>0.01</v>
      </c>
    </row>
    <row r="10" spans="1:3" ht="15" customHeight="1" x14ac:dyDescent="0.25">
      <c r="B10" s="5" t="s">
        <v>56</v>
      </c>
      <c r="C10" s="45">
        <v>0.91188728330000002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0.78099999999999992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3.7400000000000003E-2</v>
      </c>
    </row>
    <row r="24" spans="1:3" ht="15" customHeight="1" x14ac:dyDescent="0.25">
      <c r="B24" s="15" t="s">
        <v>46</v>
      </c>
      <c r="C24" s="45">
        <v>0.53110000000000002</v>
      </c>
    </row>
    <row r="25" spans="1:3" ht="15" customHeight="1" x14ac:dyDescent="0.25">
      <c r="B25" s="15" t="s">
        <v>47</v>
      </c>
      <c r="C25" s="45">
        <v>0.41370000000000001</v>
      </c>
    </row>
    <row r="26" spans="1:3" ht="15" customHeight="1" x14ac:dyDescent="0.25">
      <c r="B26" s="15" t="s">
        <v>48</v>
      </c>
      <c r="C26" s="45">
        <v>1.78E-2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0.51101988116637098</v>
      </c>
    </row>
    <row r="30" spans="1:3" ht="14.25" customHeight="1" x14ac:dyDescent="0.25">
      <c r="B30" s="25" t="s">
        <v>63</v>
      </c>
      <c r="C30" s="99">
        <v>3.6928466503456402E-2</v>
      </c>
    </row>
    <row r="31" spans="1:3" ht="14.25" customHeight="1" x14ac:dyDescent="0.25">
      <c r="B31" s="25" t="s">
        <v>10</v>
      </c>
      <c r="C31" s="99">
        <v>4.0966963582223501E-2</v>
      </c>
    </row>
    <row r="32" spans="1:3" ht="14.25" customHeight="1" x14ac:dyDescent="0.25">
      <c r="B32" s="25" t="s">
        <v>11</v>
      </c>
      <c r="C32" s="99">
        <v>0.41108468874794901</v>
      </c>
    </row>
    <row r="33" spans="1:5" ht="13" customHeight="1" x14ac:dyDescent="0.25">
      <c r="B33" s="27" t="s">
        <v>60</v>
      </c>
      <c r="C33" s="48">
        <f>SUM(C29:C32)</f>
        <v>0.99999999999999989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4.0971299999999999</v>
      </c>
    </row>
    <row r="38" spans="1:5" ht="15" customHeight="1" x14ac:dyDescent="0.25">
      <c r="B38" s="11" t="s">
        <v>35</v>
      </c>
      <c r="C38" s="43">
        <v>4.8431699999999998</v>
      </c>
      <c r="D38" s="12"/>
      <c r="E38" s="13"/>
    </row>
    <row r="39" spans="1:5" ht="15" customHeight="1" x14ac:dyDescent="0.25">
      <c r="B39" s="11" t="s">
        <v>61</v>
      </c>
      <c r="C39" s="43">
        <v>5.6006</v>
      </c>
      <c r="D39" s="12"/>
      <c r="E39" s="12"/>
    </row>
    <row r="40" spans="1:5" ht="15" customHeight="1" x14ac:dyDescent="0.25">
      <c r="B40" s="11" t="s">
        <v>36</v>
      </c>
      <c r="C40" s="100">
        <v>0.06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2.6832099999999999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5.9451E-3</v>
      </c>
      <c r="D45" s="12"/>
    </row>
    <row r="46" spans="1:5" ht="15.75" customHeight="1" x14ac:dyDescent="0.25">
      <c r="B46" s="11" t="s">
        <v>51</v>
      </c>
      <c r="C46" s="45">
        <v>6.38793E-2</v>
      </c>
      <c r="D46" s="12"/>
    </row>
    <row r="47" spans="1:5" ht="15.75" customHeight="1" x14ac:dyDescent="0.25">
      <c r="B47" s="11" t="s">
        <v>59</v>
      </c>
      <c r="C47" s="45">
        <v>7.5347799999999993E-2</v>
      </c>
      <c r="D47" s="12"/>
      <c r="E47" s="13"/>
    </row>
    <row r="48" spans="1:5" ht="15" customHeight="1" x14ac:dyDescent="0.25">
      <c r="B48" s="11" t="s">
        <v>58</v>
      </c>
      <c r="C48" s="46">
        <v>0.85482780000000003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2.8</v>
      </c>
      <c r="D51" s="12"/>
    </row>
    <row r="52" spans="1:4" ht="15" customHeight="1" x14ac:dyDescent="0.25">
      <c r="B52" s="11" t="s">
        <v>13</v>
      </c>
      <c r="C52" s="100">
        <v>2.8</v>
      </c>
    </row>
    <row r="53" spans="1:4" ht="15.75" customHeight="1" x14ac:dyDescent="0.25">
      <c r="B53" s="11" t="s">
        <v>16</v>
      </c>
      <c r="C53" s="100">
        <v>2.8</v>
      </c>
    </row>
    <row r="54" spans="1:4" ht="15.75" customHeight="1" x14ac:dyDescent="0.25">
      <c r="B54" s="11" t="s">
        <v>14</v>
      </c>
      <c r="C54" s="100">
        <v>2.8</v>
      </c>
    </row>
    <row r="55" spans="1:4" ht="15.75" customHeight="1" x14ac:dyDescent="0.25">
      <c r="B55" s="11" t="s">
        <v>15</v>
      </c>
      <c r="C55" s="100">
        <v>2.8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1.6428571428571431E-2</v>
      </c>
    </row>
    <row r="59" spans="1:4" ht="15.75" customHeight="1" x14ac:dyDescent="0.25">
      <c r="B59" s="11" t="s">
        <v>40</v>
      </c>
      <c r="C59" s="45">
        <v>0.61777399999999993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3.3956865999999898E-2</v>
      </c>
    </row>
    <row r="63" spans="1:4" ht="15.75" customHeight="1" x14ac:dyDescent="0.3">
      <c r="A63" s="4"/>
    </row>
  </sheetData>
  <sheetProtection algorithmName="SHA-512" hashValue="a4ZQ46Rr9UWWoCkpZD+OVuUbxiYzns8aupP3ujIqvPngdxblitP4PT/IydmRYMFunO5wR8J0VU/kKS5oiPulOQ==" saltValue="TngEkmAOp9frh9VCp+Yci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26012</v>
      </c>
      <c r="C2" s="49">
        <v>99117.499999999985</v>
      </c>
      <c r="D2" s="49">
        <v>181062.5</v>
      </c>
      <c r="E2" s="49">
        <v>209029</v>
      </c>
      <c r="F2" s="49">
        <v>203821</v>
      </c>
      <c r="G2" s="17">
        <f t="shared" ref="G2:G13" si="0">C2+D2+E2+F2</f>
        <v>693030</v>
      </c>
      <c r="H2" s="17">
        <f t="shared" ref="H2:H13" si="1">(B2 + stillbirth*B2/(1000-stillbirth))/(1-abortion)</f>
        <v>29638.617544071338</v>
      </c>
      <c r="I2" s="17">
        <f t="shared" ref="I2:I13" si="2">G2-H2</f>
        <v>663391.38245592872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25670</v>
      </c>
      <c r="C3" s="50">
        <v>99296.5</v>
      </c>
      <c r="D3" s="50">
        <v>178038</v>
      </c>
      <c r="E3" s="50">
        <v>205194</v>
      </c>
      <c r="F3" s="50">
        <v>204158.5</v>
      </c>
      <c r="G3" s="17">
        <f t="shared" si="0"/>
        <v>686687</v>
      </c>
      <c r="H3" s="17">
        <f t="shared" si="1"/>
        <v>29248.935581897247</v>
      </c>
      <c r="I3" s="17">
        <f t="shared" si="2"/>
        <v>657438.06441810273</v>
      </c>
    </row>
    <row r="4" spans="1:9" ht="15.75" customHeight="1" x14ac:dyDescent="0.25">
      <c r="A4" s="5">
        <f t="shared" si="3"/>
        <v>2026</v>
      </c>
      <c r="B4" s="49">
        <v>25427</v>
      </c>
      <c r="C4" s="50">
        <v>99502.5</v>
      </c>
      <c r="D4" s="50">
        <v>173805.5</v>
      </c>
      <c r="E4" s="50">
        <v>202989.5</v>
      </c>
      <c r="F4" s="50">
        <v>204094</v>
      </c>
      <c r="G4" s="17">
        <f t="shared" si="0"/>
        <v>680391.5</v>
      </c>
      <c r="H4" s="17">
        <f t="shared" si="1"/>
        <v>28972.056292984082</v>
      </c>
      <c r="I4" s="17">
        <f t="shared" si="2"/>
        <v>651419.44370701595</v>
      </c>
    </row>
    <row r="5" spans="1:9" ht="15.75" customHeight="1" x14ac:dyDescent="0.25">
      <c r="A5" s="5">
        <f t="shared" si="3"/>
        <v>2027</v>
      </c>
      <c r="B5" s="49">
        <v>25100</v>
      </c>
      <c r="C5" s="50">
        <v>99351.499999999985</v>
      </c>
      <c r="D5" s="50">
        <v>169498</v>
      </c>
      <c r="E5" s="50">
        <v>201283.5</v>
      </c>
      <c r="F5" s="50">
        <v>203637.5</v>
      </c>
      <c r="G5" s="17">
        <f t="shared" si="0"/>
        <v>673770.5</v>
      </c>
      <c r="H5" s="17">
        <f t="shared" si="1"/>
        <v>28599.465644940432</v>
      </c>
      <c r="I5" s="17">
        <f t="shared" si="2"/>
        <v>645171.03435505962</v>
      </c>
    </row>
    <row r="6" spans="1:9" ht="15.75" customHeight="1" x14ac:dyDescent="0.25">
      <c r="A6" s="5">
        <f t="shared" si="3"/>
        <v>2028</v>
      </c>
      <c r="B6" s="49">
        <v>24813</v>
      </c>
      <c r="C6" s="50">
        <v>98419.5</v>
      </c>
      <c r="D6" s="50">
        <v>166361</v>
      </c>
      <c r="E6" s="50">
        <v>198853.5</v>
      </c>
      <c r="F6" s="50">
        <v>203291</v>
      </c>
      <c r="G6" s="17">
        <f t="shared" si="0"/>
        <v>666925</v>
      </c>
      <c r="H6" s="17">
        <f t="shared" si="1"/>
        <v>28272.451834577965</v>
      </c>
      <c r="I6" s="17">
        <f t="shared" si="2"/>
        <v>638652.54816542205</v>
      </c>
    </row>
    <row r="7" spans="1:9" ht="15.75" customHeight="1" x14ac:dyDescent="0.25">
      <c r="A7" s="5">
        <f t="shared" si="3"/>
        <v>2029</v>
      </c>
      <c r="B7" s="49">
        <v>24601</v>
      </c>
      <c r="C7" s="50">
        <v>97154</v>
      </c>
      <c r="D7" s="50">
        <v>164787</v>
      </c>
      <c r="E7" s="50">
        <v>195323</v>
      </c>
      <c r="F7" s="50">
        <v>202814.5</v>
      </c>
      <c r="G7" s="17">
        <f t="shared" si="0"/>
        <v>660078.5</v>
      </c>
      <c r="H7" s="17">
        <f t="shared" si="1"/>
        <v>28030.89459486771</v>
      </c>
      <c r="I7" s="17">
        <f t="shared" si="2"/>
        <v>632047.60540513229</v>
      </c>
    </row>
    <row r="8" spans="1:9" ht="15.75" customHeight="1" x14ac:dyDescent="0.25">
      <c r="A8" s="5">
        <f t="shared" si="3"/>
        <v>2030</v>
      </c>
      <c r="B8" s="49">
        <v>24424</v>
      </c>
      <c r="C8" s="50">
        <v>96020</v>
      </c>
      <c r="D8" s="50">
        <v>164179.5</v>
      </c>
      <c r="E8" s="50">
        <v>191209.5</v>
      </c>
      <c r="F8" s="50">
        <v>201770.5</v>
      </c>
      <c r="G8" s="17">
        <f t="shared" si="0"/>
        <v>653179.5</v>
      </c>
      <c r="H8" s="17">
        <f t="shared" si="1"/>
        <v>27829.217088128491</v>
      </c>
      <c r="I8" s="17">
        <f t="shared" si="2"/>
        <v>625350.28291187156</v>
      </c>
    </row>
    <row r="9" spans="1:9" ht="15.75" customHeight="1" x14ac:dyDescent="0.25">
      <c r="A9" s="5">
        <f t="shared" si="3"/>
        <v>2031</v>
      </c>
      <c r="B9" s="49">
        <v>24208</v>
      </c>
      <c r="C9" s="50">
        <v>95117.5</v>
      </c>
      <c r="D9" s="50">
        <v>163955</v>
      </c>
      <c r="E9" s="50">
        <v>186860.5</v>
      </c>
      <c r="F9" s="50">
        <v>200123.5</v>
      </c>
      <c r="G9" s="17">
        <f t="shared" si="0"/>
        <v>646056.5</v>
      </c>
      <c r="H9" s="17">
        <f t="shared" si="1"/>
        <v>27583.102164650121</v>
      </c>
      <c r="I9" s="17">
        <f t="shared" si="2"/>
        <v>618473.3978353499</v>
      </c>
    </row>
    <row r="10" spans="1:9" ht="15.75" customHeight="1" x14ac:dyDescent="0.25">
      <c r="A10" s="5">
        <f t="shared" si="3"/>
        <v>2032</v>
      </c>
      <c r="B10" s="49">
        <v>24014</v>
      </c>
      <c r="C10" s="50">
        <v>94227</v>
      </c>
      <c r="D10" s="50">
        <v>163971</v>
      </c>
      <c r="E10" s="50">
        <v>183331.5</v>
      </c>
      <c r="F10" s="50">
        <v>198178</v>
      </c>
      <c r="G10" s="17">
        <f t="shared" si="0"/>
        <v>639707.5</v>
      </c>
      <c r="H10" s="17">
        <f t="shared" si="1"/>
        <v>27362.054501896397</v>
      </c>
      <c r="I10" s="17">
        <f t="shared" si="2"/>
        <v>612345.44549810363</v>
      </c>
    </row>
    <row r="11" spans="1:9" ht="15.75" customHeight="1" x14ac:dyDescent="0.25">
      <c r="A11" s="5">
        <f t="shared" si="3"/>
        <v>2033</v>
      </c>
      <c r="B11" s="49">
        <v>23864</v>
      </c>
      <c r="C11" s="50">
        <v>93238</v>
      </c>
      <c r="D11" s="50">
        <v>163829.5</v>
      </c>
      <c r="E11" s="50">
        <v>181532</v>
      </c>
      <c r="F11" s="50">
        <v>195091</v>
      </c>
      <c r="G11" s="17">
        <f t="shared" si="0"/>
        <v>633690.5</v>
      </c>
      <c r="H11" s="17">
        <f t="shared" si="1"/>
        <v>27191.141360591973</v>
      </c>
      <c r="I11" s="17">
        <f t="shared" si="2"/>
        <v>606499.35863940802</v>
      </c>
    </row>
    <row r="12" spans="1:9" ht="15.75" customHeight="1" x14ac:dyDescent="0.25">
      <c r="A12" s="5">
        <f t="shared" si="3"/>
        <v>2034</v>
      </c>
      <c r="B12" s="49">
        <v>23641</v>
      </c>
      <c r="C12" s="50">
        <v>92137.500000000015</v>
      </c>
      <c r="D12" s="50">
        <v>163187.5</v>
      </c>
      <c r="E12" s="50">
        <v>179981.5</v>
      </c>
      <c r="F12" s="50">
        <v>189920</v>
      </c>
      <c r="G12" s="17">
        <f t="shared" si="0"/>
        <v>625226.5</v>
      </c>
      <c r="H12" s="17">
        <f t="shared" si="1"/>
        <v>26937.050490519392</v>
      </c>
      <c r="I12" s="17">
        <f t="shared" si="2"/>
        <v>598289.44950948062</v>
      </c>
    </row>
    <row r="13" spans="1:9" ht="15.75" customHeight="1" x14ac:dyDescent="0.25">
      <c r="A13" s="5">
        <f t="shared" si="3"/>
        <v>2035</v>
      </c>
      <c r="B13" s="49">
        <v>23479</v>
      </c>
      <c r="C13" s="50">
        <v>90529.999999999985</v>
      </c>
      <c r="D13" s="50">
        <v>162392</v>
      </c>
      <c r="E13" s="50">
        <v>176967</v>
      </c>
      <c r="F13" s="50">
        <v>184680</v>
      </c>
      <c r="G13" s="17">
        <f t="shared" si="0"/>
        <v>614569</v>
      </c>
      <c r="H13" s="17">
        <f t="shared" si="1"/>
        <v>26752.464297910617</v>
      </c>
      <c r="I13" s="17">
        <f t="shared" si="2"/>
        <v>587816.53570208943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tduf/vsdE0UTE+eY2qfO1/qrArGnQgUEFG6AZjgiGcij2CeRw4OHhzEtxIW+RuDkOZmrvg5KMg71ZpJAHhuNow==" saltValue="fupP9RVnDlvPruP5JerGq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0</v>
      </c>
    </row>
    <row r="4" spans="1:8" ht="15.75" customHeight="1" x14ac:dyDescent="0.25">
      <c r="B4" s="19" t="s">
        <v>97</v>
      </c>
      <c r="C4" s="101">
        <v>4.6125695387430402E-2</v>
      </c>
    </row>
    <row r="5" spans="1:8" ht="15.75" customHeight="1" x14ac:dyDescent="0.25">
      <c r="B5" s="19" t="s">
        <v>95</v>
      </c>
      <c r="C5" s="101">
        <v>2.2718797728120219E-2</v>
      </c>
    </row>
    <row r="6" spans="1:8" ht="15.75" customHeight="1" x14ac:dyDescent="0.25">
      <c r="B6" s="19" t="s">
        <v>91</v>
      </c>
      <c r="C6" s="101">
        <v>0.17007988299201179</v>
      </c>
    </row>
    <row r="7" spans="1:8" ht="15.75" customHeight="1" x14ac:dyDescent="0.25">
      <c r="B7" s="19" t="s">
        <v>96</v>
      </c>
      <c r="C7" s="101">
        <v>0.39910116008988411</v>
      </c>
    </row>
    <row r="8" spans="1:8" ht="15.75" customHeight="1" x14ac:dyDescent="0.25">
      <c r="B8" s="19" t="s">
        <v>98</v>
      </c>
      <c r="C8" s="101">
        <v>0</v>
      </c>
    </row>
    <row r="9" spans="1:8" ht="15.75" customHeight="1" x14ac:dyDescent="0.25">
      <c r="B9" s="19" t="s">
        <v>92</v>
      </c>
      <c r="C9" s="101">
        <v>0.28086277191372289</v>
      </c>
    </row>
    <row r="10" spans="1:8" ht="15.75" customHeight="1" x14ac:dyDescent="0.25">
      <c r="B10" s="19" t="s">
        <v>94</v>
      </c>
      <c r="C10" s="101">
        <v>8.1111691888830689E-2</v>
      </c>
    </row>
    <row r="11" spans="1:8" ht="15.75" customHeight="1" x14ac:dyDescent="0.25">
      <c r="B11" s="27" t="s">
        <v>60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7.7534246653063301E-3</v>
      </c>
      <c r="D14" s="55">
        <v>7.7534246653063301E-3</v>
      </c>
      <c r="E14" s="55">
        <v>7.7534246653063301E-3</v>
      </c>
      <c r="F14" s="55">
        <v>7.7534246653063301E-3</v>
      </c>
    </row>
    <row r="15" spans="1:8" ht="15.75" customHeight="1" x14ac:dyDescent="0.25">
      <c r="B15" s="19" t="s">
        <v>102</v>
      </c>
      <c r="C15" s="101">
        <v>8.1529085162002718E-2</v>
      </c>
      <c r="D15" s="101">
        <v>8.1529085162002718E-2</v>
      </c>
      <c r="E15" s="101">
        <v>8.1529085162002718E-2</v>
      </c>
      <c r="F15" s="101">
        <v>8.1529085162002718E-2</v>
      </c>
    </row>
    <row r="16" spans="1:8" ht="15.75" customHeight="1" x14ac:dyDescent="0.25">
      <c r="B16" s="19" t="s">
        <v>2</v>
      </c>
      <c r="C16" s="101">
        <v>1.8139470884927539E-2</v>
      </c>
      <c r="D16" s="101">
        <v>1.8139470884927539E-2</v>
      </c>
      <c r="E16" s="101">
        <v>1.8139470884927539E-2</v>
      </c>
      <c r="F16" s="101">
        <v>1.8139470884927539E-2</v>
      </c>
    </row>
    <row r="17" spans="1:8" ht="15.75" customHeight="1" x14ac:dyDescent="0.25">
      <c r="B17" s="19" t="s">
        <v>90</v>
      </c>
      <c r="C17" s="101">
        <v>8.1429359592676109E-2</v>
      </c>
      <c r="D17" s="101">
        <v>8.1429359592676109E-2</v>
      </c>
      <c r="E17" s="101">
        <v>8.1429359592676109E-2</v>
      </c>
      <c r="F17" s="101">
        <v>8.1429359592676109E-2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101</v>
      </c>
      <c r="C19" s="101">
        <v>2.3805046369849939E-2</v>
      </c>
      <c r="D19" s="101">
        <v>2.3805046369849939E-2</v>
      </c>
      <c r="E19" s="101">
        <v>2.3805046369849939E-2</v>
      </c>
      <c r="F19" s="101">
        <v>2.3805046369849939E-2</v>
      </c>
    </row>
    <row r="20" spans="1:8" ht="15.75" customHeight="1" x14ac:dyDescent="0.25">
      <c r="B20" s="19" t="s">
        <v>79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88</v>
      </c>
      <c r="C21" s="101">
        <v>0.1357873267302955</v>
      </c>
      <c r="D21" s="101">
        <v>0.1357873267302955</v>
      </c>
      <c r="E21" s="101">
        <v>0.1357873267302955</v>
      </c>
      <c r="F21" s="101">
        <v>0.1357873267302955</v>
      </c>
    </row>
    <row r="22" spans="1:8" ht="15.75" customHeight="1" x14ac:dyDescent="0.25">
      <c r="B22" s="19" t="s">
        <v>99</v>
      </c>
      <c r="C22" s="101">
        <v>0.6515562865949418</v>
      </c>
      <c r="D22" s="101">
        <v>0.6515562865949418</v>
      </c>
      <c r="E22" s="101">
        <v>0.6515562865949418</v>
      </c>
      <c r="F22" s="101">
        <v>0.6515562865949418</v>
      </c>
    </row>
    <row r="23" spans="1:8" ht="15.75" customHeight="1" x14ac:dyDescent="0.25">
      <c r="B23" s="27" t="s">
        <v>60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5.5773718999999999E-2</v>
      </c>
    </row>
    <row r="27" spans="1:8" ht="15.75" customHeight="1" x14ac:dyDescent="0.25">
      <c r="B27" s="19" t="s">
        <v>89</v>
      </c>
      <c r="C27" s="101">
        <v>5.7652142000000003E-2</v>
      </c>
    </row>
    <row r="28" spans="1:8" ht="15.75" customHeight="1" x14ac:dyDescent="0.25">
      <c r="B28" s="19" t="s">
        <v>103</v>
      </c>
      <c r="C28" s="101">
        <v>0.12384268499999999</v>
      </c>
    </row>
    <row r="29" spans="1:8" ht="15.75" customHeight="1" x14ac:dyDescent="0.25">
      <c r="B29" s="19" t="s">
        <v>86</v>
      </c>
      <c r="C29" s="101">
        <v>0.136252816</v>
      </c>
    </row>
    <row r="30" spans="1:8" ht="15.75" customHeight="1" x14ac:dyDescent="0.25">
      <c r="B30" s="19" t="s">
        <v>4</v>
      </c>
      <c r="C30" s="101">
        <v>8.3258572000000003E-2</v>
      </c>
    </row>
    <row r="31" spans="1:8" ht="15.75" customHeight="1" x14ac:dyDescent="0.25">
      <c r="B31" s="19" t="s">
        <v>80</v>
      </c>
      <c r="C31" s="101">
        <v>6.5980006999999993E-2</v>
      </c>
    </row>
    <row r="32" spans="1:8" ht="15.75" customHeight="1" x14ac:dyDescent="0.25">
      <c r="B32" s="19" t="s">
        <v>85</v>
      </c>
      <c r="C32" s="101">
        <v>0.12997820099999999</v>
      </c>
    </row>
    <row r="33" spans="2:3" ht="15.75" customHeight="1" x14ac:dyDescent="0.25">
      <c r="B33" s="19" t="s">
        <v>100</v>
      </c>
      <c r="C33" s="101">
        <v>0.124636924</v>
      </c>
    </row>
    <row r="34" spans="2:3" ht="15.75" customHeight="1" x14ac:dyDescent="0.25">
      <c r="B34" s="19" t="s">
        <v>87</v>
      </c>
      <c r="C34" s="101">
        <v>0.222624933</v>
      </c>
    </row>
    <row r="35" spans="2:3" ht="15.75" customHeight="1" x14ac:dyDescent="0.25">
      <c r="B35" s="27" t="s">
        <v>60</v>
      </c>
      <c r="C35" s="48">
        <f>SUM(C26:C34)</f>
        <v>0.99999999899999992</v>
      </c>
    </row>
  </sheetData>
  <sheetProtection algorithmName="SHA-512" hashValue="9S0N29jNdIzBD2YWOlduvZLsB1epx3ur/8JIQdQZK5c071j8D+MQFpMOb66fpR3HOdc5E67SMIgKJwDz+Tx07A==" saltValue="xO4cNVR/xkm0OjWRNpSLy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0.50112147523159711</v>
      </c>
      <c r="D2" s="52">
        <f>IFERROR(1-_xlfn.NORM.DIST(_xlfn.NORM.INV(SUM(D4:D5), 0, 1) + 1, 0, 1, TRUE), "")</f>
        <v>0.50112147523159711</v>
      </c>
      <c r="E2" s="52">
        <f>IFERROR(1-_xlfn.NORM.DIST(_xlfn.NORM.INV(SUM(E4:E5), 0, 1) + 1, 0, 1, TRUE), "")</f>
        <v>0.61554519945040442</v>
      </c>
      <c r="F2" s="52">
        <f>IFERROR(1-_xlfn.NORM.DIST(_xlfn.NORM.INV(SUM(F4:F5), 0, 1) + 1, 0, 1, TRUE), "")</f>
        <v>0.53603353327546466</v>
      </c>
      <c r="G2" s="52">
        <f>IFERROR(1-_xlfn.NORM.DIST(_xlfn.NORM.INV(SUM(G4:G5), 0, 1) + 1, 0, 1, TRUE), "")</f>
        <v>0.70806578736331471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0.34090252476840283</v>
      </c>
      <c r="D3" s="52">
        <f>IFERROR(_xlfn.NORM.DIST(_xlfn.NORM.INV(SUM(D4:D5), 0, 1) + 1, 0, 1, TRUE) - SUM(D4:D5), "")</f>
        <v>0.34090252476840283</v>
      </c>
      <c r="E3" s="52">
        <f>IFERROR(_xlfn.NORM.DIST(_xlfn.NORM.INV(SUM(E4:E5), 0, 1) + 1, 0, 1, TRUE) - SUM(E4:E5), "")</f>
        <v>0.28658780054959565</v>
      </c>
      <c r="F3" s="52">
        <f>IFERROR(_xlfn.NORM.DIST(_xlfn.NORM.INV(SUM(F4:F5), 0, 1) + 1, 0, 1, TRUE) - SUM(F4:F5), "")</f>
        <v>0.32620806672453534</v>
      </c>
      <c r="G3" s="52">
        <f>IFERROR(_xlfn.NORM.DIST(_xlfn.NORM.INV(SUM(G4:G5), 0, 1) + 1, 0, 1, TRUE) - SUM(G4:G5), "")</f>
        <v>0.23109211263668522</v>
      </c>
    </row>
    <row r="4" spans="1:15" ht="15.75" customHeight="1" x14ac:dyDescent="0.25">
      <c r="B4" s="5" t="s">
        <v>110</v>
      </c>
      <c r="C4" s="45">
        <v>7.4163300000000001E-2</v>
      </c>
      <c r="D4" s="53">
        <v>7.4163300000000001E-2</v>
      </c>
      <c r="E4" s="53">
        <v>7.3369099999999993E-2</v>
      </c>
      <c r="F4" s="53">
        <v>7.6801899999999992E-2</v>
      </c>
      <c r="G4" s="53">
        <v>3.5029100000000001E-2</v>
      </c>
    </row>
    <row r="5" spans="1:15" ht="15.75" customHeight="1" x14ac:dyDescent="0.25">
      <c r="B5" s="5" t="s">
        <v>106</v>
      </c>
      <c r="C5" s="45">
        <v>8.3812700000000004E-2</v>
      </c>
      <c r="D5" s="53">
        <v>8.3812700000000004E-2</v>
      </c>
      <c r="E5" s="53">
        <v>2.44979E-2</v>
      </c>
      <c r="F5" s="53">
        <v>6.0956499999999997E-2</v>
      </c>
      <c r="G5" s="53">
        <v>2.5812999999999999E-2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0.63714872393189437</v>
      </c>
      <c r="D8" s="52">
        <f>IFERROR(1-_xlfn.NORM.DIST(_xlfn.NORM.INV(SUM(D10:D11), 0, 1) + 1, 0, 1, TRUE), "")</f>
        <v>0.63714872393189437</v>
      </c>
      <c r="E8" s="52">
        <f>IFERROR(1-_xlfn.NORM.DIST(_xlfn.NORM.INV(SUM(E10:E11), 0, 1) + 1, 0, 1, TRUE), "")</f>
        <v>0.86938784466071861</v>
      </c>
      <c r="F8" s="52">
        <f>IFERROR(1-_xlfn.NORM.DIST(_xlfn.NORM.INV(SUM(F10:F11), 0, 1) + 1, 0, 1, TRUE), "")</f>
        <v>0.89500381064790036</v>
      </c>
      <c r="G8" s="52">
        <f>IFERROR(1-_xlfn.NORM.DIST(_xlfn.NORM.INV(SUM(G10:G11), 0, 1) + 1, 0, 1, TRUE), "")</f>
        <v>0.8660740585421659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0.27447917606810562</v>
      </c>
      <c r="D9" s="52">
        <f>IFERROR(_xlfn.NORM.DIST(_xlfn.NORM.INV(SUM(D10:D11), 0, 1) + 1, 0, 1, TRUE) - SUM(D10:D11), "")</f>
        <v>0.27447917606810562</v>
      </c>
      <c r="E9" s="52">
        <f>IFERROR(_xlfn.NORM.DIST(_xlfn.NORM.INV(SUM(E10:E11), 0, 1) + 1, 0, 1, TRUE) - SUM(E10:E11), "")</f>
        <v>0.11375625533928144</v>
      </c>
      <c r="F9" s="52">
        <f>IFERROR(_xlfn.NORM.DIST(_xlfn.NORM.INV(SUM(F10:F11), 0, 1) + 1, 0, 1, TRUE) - SUM(F10:F11), "")</f>
        <v>9.2885089352099659E-2</v>
      </c>
      <c r="G9" s="52">
        <f>IFERROR(_xlfn.NORM.DIST(_xlfn.NORM.INV(SUM(G10:G11), 0, 1) + 1, 0, 1, TRUE) - SUM(G10:G11), "")</f>
        <v>0.11641144145783412</v>
      </c>
    </row>
    <row r="10" spans="1:15" ht="15.75" customHeight="1" x14ac:dyDescent="0.25">
      <c r="B10" s="5" t="s">
        <v>107</v>
      </c>
      <c r="C10" s="45">
        <v>1.5284000000000001E-2</v>
      </c>
      <c r="D10" s="53">
        <v>1.5284000000000001E-2</v>
      </c>
      <c r="E10" s="53">
        <v>1.68559E-2</v>
      </c>
      <c r="F10" s="53">
        <v>6.0133999999999986E-3</v>
      </c>
      <c r="G10" s="53">
        <v>5.8563E-3</v>
      </c>
    </row>
    <row r="11" spans="1:15" ht="15.75" customHeight="1" x14ac:dyDescent="0.25">
      <c r="B11" s="5" t="s">
        <v>119</v>
      </c>
      <c r="C11" s="45">
        <v>7.3088100000000003E-2</v>
      </c>
      <c r="D11" s="53">
        <v>7.3088100000000003E-2</v>
      </c>
      <c r="E11" s="53">
        <v>0</v>
      </c>
      <c r="F11" s="53">
        <v>6.0977000000000002E-3</v>
      </c>
      <c r="G11" s="53">
        <v>1.1658200000000001E-2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0.41136791174999998</v>
      </c>
      <c r="D14" s="54">
        <v>0.41779542736699998</v>
      </c>
      <c r="E14" s="54">
        <v>0.41779542736699998</v>
      </c>
      <c r="F14" s="54">
        <v>0.219470227804</v>
      </c>
      <c r="G14" s="54">
        <v>0.219470227804</v>
      </c>
      <c r="H14" s="45">
        <v>0.29799999999999999</v>
      </c>
      <c r="I14" s="55">
        <v>0.29799999999999999</v>
      </c>
      <c r="J14" s="55">
        <v>0.29799999999999999</v>
      </c>
      <c r="K14" s="55">
        <v>0.29799999999999999</v>
      </c>
      <c r="L14" s="45">
        <v>0.29399999999999998</v>
      </c>
      <c r="M14" s="55">
        <v>0.29399999999999998</v>
      </c>
      <c r="N14" s="55">
        <v>0.29399999999999998</v>
      </c>
      <c r="O14" s="55">
        <v>0.29399999999999998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0.25413240031344447</v>
      </c>
      <c r="D15" s="52">
        <f t="shared" si="0"/>
        <v>0.258103152346221</v>
      </c>
      <c r="E15" s="52">
        <f t="shared" si="0"/>
        <v>0.258103152346221</v>
      </c>
      <c r="F15" s="52">
        <f t="shared" si="0"/>
        <v>0.13558300051138827</v>
      </c>
      <c r="G15" s="52">
        <f t="shared" si="0"/>
        <v>0.13558300051138827</v>
      </c>
      <c r="H15" s="52">
        <f t="shared" si="0"/>
        <v>0.18409665199999997</v>
      </c>
      <c r="I15" s="52">
        <f t="shared" si="0"/>
        <v>0.18409665199999997</v>
      </c>
      <c r="J15" s="52">
        <f t="shared" si="0"/>
        <v>0.18409665199999997</v>
      </c>
      <c r="K15" s="52">
        <f t="shared" si="0"/>
        <v>0.18409665199999997</v>
      </c>
      <c r="L15" s="52">
        <f t="shared" si="0"/>
        <v>0.18162555599999997</v>
      </c>
      <c r="M15" s="52">
        <f t="shared" si="0"/>
        <v>0.18162555599999997</v>
      </c>
      <c r="N15" s="52">
        <f t="shared" si="0"/>
        <v>0.18162555599999997</v>
      </c>
      <c r="O15" s="52">
        <f t="shared" si="0"/>
        <v>0.18162555599999997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ZKjej6BaSn5REqHQK4esvzlKz/pwRhtcPsMufPl8w+Flu4QACYtb6o5mvz0bWt2lLSu9IQFzMhDKG4fOErfbag==" saltValue="DQwQMyqEylyMPbaQ4X64B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0.29851899999999998</v>
      </c>
      <c r="D2" s="53">
        <v>0.1619959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0.28573409999999999</v>
      </c>
      <c r="D3" s="53">
        <v>0.27325430000000001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0.29176390000000002</v>
      </c>
      <c r="D4" s="53">
        <v>0.28245730000000002</v>
      </c>
      <c r="E4" s="53">
        <v>0.45839709999999989</v>
      </c>
      <c r="F4" s="53">
        <v>0.1173019</v>
      </c>
      <c r="G4" s="53">
        <v>0</v>
      </c>
    </row>
    <row r="5" spans="1:7" x14ac:dyDescent="0.25">
      <c r="B5" s="3" t="s">
        <v>125</v>
      </c>
      <c r="C5" s="52">
        <v>0.123983</v>
      </c>
      <c r="D5" s="52">
        <v>0.2822924</v>
      </c>
      <c r="E5" s="52">
        <f>1-SUM(E2:E4)</f>
        <v>0.54160290000000011</v>
      </c>
      <c r="F5" s="52">
        <f>1-SUM(F2:F4)</f>
        <v>0.88269810000000004</v>
      </c>
      <c r="G5" s="52">
        <f>1-SUM(G2:G4)</f>
        <v>1</v>
      </c>
    </row>
  </sheetData>
  <sheetProtection algorithmName="SHA-512" hashValue="fpBU/T8S9UeEmULgqTUn/zgcxrRcfNxIiJ+7JT9UgOlkGXqXBONrqa0DbtXtAs6EfR5SHPPelevTJ06nKl40VA==" saltValue="mLnOB3fRhZs8m9+qCBaI7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++BciFWTdAY3FLdxdPiAg2YP2sjIFOFvWYcXBtZIsOPcmbtMpZGLOYNNV+4ByjNW1ZCg4kMSPuK9veKFCloN2w==" saltValue="u/89koNpEPkcluLO+L9Q8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x14ac:dyDescent="0.25">
      <c r="A2" s="8" t="s">
        <v>144</v>
      </c>
      <c r="B2" s="41">
        <v>10</v>
      </c>
    </row>
    <row r="3" spans="1:2" x14ac:dyDescent="0.25">
      <c r="A3" s="8" t="s">
        <v>143</v>
      </c>
      <c r="B3" s="41">
        <v>10</v>
      </c>
    </row>
    <row r="4" spans="1:2" x14ac:dyDescent="0.25">
      <c r="A4" s="8" t="s">
        <v>142</v>
      </c>
      <c r="B4" s="41">
        <v>10</v>
      </c>
    </row>
    <row r="5" spans="1:2" x14ac:dyDescent="0.25">
      <c r="A5" s="8" t="s">
        <v>146</v>
      </c>
      <c r="B5" s="41">
        <v>10</v>
      </c>
    </row>
    <row r="6" spans="1:2" x14ac:dyDescent="0.25">
      <c r="A6" s="8" t="s">
        <v>140</v>
      </c>
      <c r="B6" s="41">
        <v>10</v>
      </c>
    </row>
    <row r="7" spans="1:2" x14ac:dyDescent="0.25">
      <c r="A7" s="8" t="s">
        <v>141</v>
      </c>
      <c r="B7" s="41">
        <v>10</v>
      </c>
    </row>
  </sheetData>
  <sheetProtection algorithmName="SHA-512" hashValue="kWiD5vBS+IVFoHJ6d0jvkkRTmKezF7tRWu9vfhH8AiXGbkRdH3ppryBTvq6ihCKbU1T2cZbsQvzMimNOX/tbuA==" saltValue="b/Zx2ujeqCWNoRrmXHCk3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x14ac:dyDescent="0.25">
      <c r="B10" s="32" t="s">
        <v>78</v>
      </c>
      <c r="C10" s="47"/>
      <c r="D10" s="47"/>
      <c r="E10" s="38" t="str">
        <f>IF(E$7="","",E$7)</f>
        <v/>
      </c>
    </row>
    <row r="11" spans="1:5" x14ac:dyDescent="0.25">
      <c r="B11" s="32" t="s">
        <v>74</v>
      </c>
      <c r="C11" s="47"/>
      <c r="D11" s="47"/>
      <c r="E11" s="38" t="str">
        <f>IF(E$7="","",E$7)</f>
        <v/>
      </c>
    </row>
    <row r="12" spans="1:5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5PAhJHQp+Kzz6FumwTxim/nfjQho87UC5YHzXRE2pSATpFwgq29olqGaA588iCIknenxerXthncxFL0q4Lqh7Q==" saltValue="ia4Lvgeui6e6bTBjMg1ta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h5X9KoDiFaKUXzz0mk3mb1J8T0IBR1iIlbb2M/MzeN1ow+SY/Ln9BwPmNnAa3qGHJtZTUXdATNFOOyspEQlV1w==" saltValue="6tX5vDYihVLobAYT5/K7a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62.267198925302971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0.46246242696000001</v>
      </c>
      <c r="C3" s="98">
        <v>0.95</v>
      </c>
      <c r="D3" s="56">
        <v>39.975115048626499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480.84054251477158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8.0604528320334623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</v>
      </c>
      <c r="C10" s="98">
        <v>0.95</v>
      </c>
      <c r="D10" s="56">
        <v>13.107414492422411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13.107414492422411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13.107414492422411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13.107414492422411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</v>
      </c>
      <c r="C14" s="98">
        <v>0.95</v>
      </c>
      <c r="D14" s="56">
        <v>13.107414492422411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13.107414492422411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</v>
      </c>
      <c r="C16" s="98">
        <v>0.95</v>
      </c>
      <c r="D16" s="56">
        <v>0.81418029231775391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0.21352265794</v>
      </c>
      <c r="C18" s="98">
        <v>0.95</v>
      </c>
      <c r="D18" s="56">
        <v>11.065100889871371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0.95385059999999999</v>
      </c>
      <c r="C19" s="98">
        <v>0.95</v>
      </c>
      <c r="D19" s="56">
        <v>11.065100889871371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0.95155970000000001</v>
      </c>
      <c r="C21" s="98">
        <v>0.95</v>
      </c>
      <c r="D21" s="56">
        <v>79.90136660715082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22.669145438411171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4.3388595676177406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0.96898002333213595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18.641484890005319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0.79086162611910193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</v>
      </c>
      <c r="C29" s="98">
        <v>0.95</v>
      </c>
      <c r="D29" s="56">
        <v>123.32014378516121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1.7708964965206571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1.7579636017261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0.36322349999999998</v>
      </c>
      <c r="C38" s="98">
        <v>0.95</v>
      </c>
      <c r="D38" s="56">
        <v>2.7958272003703142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sNuOMhdLUvvwrNXfg6NBbUobt7iZOdTIWtrb77D4ruSHY4rfx3LFXmPMW7pxg4meQG1nudBblguOiHUfeBUSxQ==" saltValue="nKgAecxba4vJshwPFjHlu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x14ac:dyDescent="0.25">
      <c r="A2" s="57" t="s">
        <v>178</v>
      </c>
      <c r="B2" s="47" t="s">
        <v>191</v>
      </c>
      <c r="C2" s="47"/>
    </row>
    <row r="3" spans="1:3" x14ac:dyDescent="0.25">
      <c r="A3" s="57" t="s">
        <v>179</v>
      </c>
      <c r="B3" s="47" t="s">
        <v>191</v>
      </c>
      <c r="C3" s="47"/>
    </row>
    <row r="4" spans="1:3" x14ac:dyDescent="0.25">
      <c r="A4" s="57" t="s">
        <v>193</v>
      </c>
      <c r="B4" s="47" t="s">
        <v>184</v>
      </c>
      <c r="C4" s="47"/>
    </row>
    <row r="5" spans="1:3" x14ac:dyDescent="0.25">
      <c r="A5" s="57" t="s">
        <v>190</v>
      </c>
      <c r="B5" s="47" t="s">
        <v>184</v>
      </c>
      <c r="C5" s="47"/>
    </row>
    <row r="6" spans="1:3" x14ac:dyDescent="0.25">
      <c r="A6" s="57" t="s">
        <v>193</v>
      </c>
      <c r="B6" s="58" t="s">
        <v>204</v>
      </c>
      <c r="C6" s="58"/>
    </row>
    <row r="7" spans="1:3" x14ac:dyDescent="0.25">
      <c r="A7" s="57" t="s">
        <v>190</v>
      </c>
      <c r="B7" s="58" t="s">
        <v>204</v>
      </c>
      <c r="C7" s="58"/>
    </row>
    <row r="8" spans="1:3" x14ac:dyDescent="0.25">
      <c r="A8" s="57" t="s">
        <v>203</v>
      </c>
      <c r="B8" s="58" t="s">
        <v>204</v>
      </c>
      <c r="C8" s="58"/>
    </row>
    <row r="9" spans="1:3" x14ac:dyDescent="0.25">
      <c r="A9" s="57" t="s">
        <v>196</v>
      </c>
      <c r="B9" s="58" t="s">
        <v>204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PG7iW9igEfQwOxugt10jjwSEs/MznRFzMcEgx+JmshTAJjLKGR+u4KVSdW8aAnkj/zbLqVEWeK7n2AuhINEPYg==" saltValue="Mw6Hkar0nL9Dp/f/hpsUs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x14ac:dyDescent="0.25">
      <c r="A2" s="33" t="s">
        <v>170</v>
      </c>
    </row>
    <row r="3" spans="1:1" x14ac:dyDescent="0.25">
      <c r="A3" s="33" t="s">
        <v>180</v>
      </c>
    </row>
    <row r="4" spans="1:1" x14ac:dyDescent="0.25">
      <c r="A4" s="33" t="s">
        <v>185</v>
      </c>
    </row>
    <row r="5" spans="1:1" x14ac:dyDescent="0.25">
      <c r="A5" s="33" t="s">
        <v>197</v>
      </c>
    </row>
    <row r="6" spans="1:1" x14ac:dyDescent="0.25">
      <c r="A6" s="33" t="s">
        <v>198</v>
      </c>
    </row>
    <row r="7" spans="1:1" x14ac:dyDescent="0.25">
      <c r="A7" s="33" t="s">
        <v>199</v>
      </c>
    </row>
    <row r="8" spans="1:1" x14ac:dyDescent="0.25">
      <c r="A8" s="33" t="s">
        <v>200</v>
      </c>
    </row>
    <row r="9" spans="1:1" x14ac:dyDescent="0.25">
      <c r="A9" s="33" t="s">
        <v>201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DZGGVN8J+bKaoTLwmQaqj7TpYUYRj/AiaDuM715eElY3wFF9K2dKPuv1g/UBV5UsU6PS9Z2Oj8u7kTZlOBnxuA==" saltValue="THvHytEtWby3QakJl9uSe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2.8</v>
      </c>
      <c r="C2" s="21">
        <f>'Entradas de población-año base'!C52</f>
        <v>2.8</v>
      </c>
      <c r="D2" s="21">
        <f>'Entradas de población-año base'!C53</f>
        <v>2.8</v>
      </c>
      <c r="E2" s="21">
        <f>'Entradas de población-año base'!C54</f>
        <v>2.8</v>
      </c>
      <c r="F2" s="21">
        <f>'Entradas de población-año base'!C55</f>
        <v>2.8</v>
      </c>
    </row>
    <row r="3" spans="1:6" ht="15.75" customHeight="1" x14ac:dyDescent="0.25">
      <c r="A3" s="3" t="s">
        <v>6</v>
      </c>
      <c r="B3" s="21">
        <f>frac_mam_1month * 2.6</f>
        <v>3.97384E-2</v>
      </c>
      <c r="C3" s="21">
        <f>frac_mam_1_5months * 2.6</f>
        <v>3.97384E-2</v>
      </c>
      <c r="D3" s="21">
        <f>frac_mam_6_11months * 2.6</f>
        <v>4.3825340000000004E-2</v>
      </c>
      <c r="E3" s="21">
        <f>frac_mam_12_23months * 2.6</f>
        <v>1.5634839999999997E-2</v>
      </c>
      <c r="F3" s="21">
        <f>frac_mam_24_59months * 2.6</f>
        <v>1.5226380000000001E-2</v>
      </c>
    </row>
    <row r="4" spans="1:6" ht="15.75" customHeight="1" x14ac:dyDescent="0.25">
      <c r="A4" s="3" t="s">
        <v>207</v>
      </c>
      <c r="B4" s="21">
        <f>frac_sam_1month * 2.6</f>
        <v>0.19002906000000003</v>
      </c>
      <c r="C4" s="21">
        <f>frac_sam_1_5months * 2.6</f>
        <v>0.19002906000000003</v>
      </c>
      <c r="D4" s="21">
        <f>frac_sam_6_11months * 2.6</f>
        <v>0</v>
      </c>
      <c r="E4" s="21">
        <f>frac_sam_12_23months * 2.6</f>
        <v>1.585402E-2</v>
      </c>
      <c r="F4" s="21">
        <f>frac_sam_24_59months * 2.6</f>
        <v>3.0311320000000003E-2</v>
      </c>
    </row>
  </sheetData>
  <sheetProtection algorithmName="SHA-512" hashValue="mfcOQjOg8Mc+GwQxnxYrVoCxELt/VSwZ89ulGz1WuuwPJMOwe/XaoJFdORgoBUCYAOXFHnb8KlzCb+HbdRlxxg==" saltValue="CVtFW7WaD4MR+NBDIBeaD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1E-3</v>
      </c>
      <c r="E2" s="60">
        <f>food_insecure</f>
        <v>1E-3</v>
      </c>
      <c r="F2" s="60">
        <f>food_insecure</f>
        <v>1E-3</v>
      </c>
      <c r="G2" s="60">
        <f>food_insecure</f>
        <v>1E-3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1E-3</v>
      </c>
      <c r="F5" s="60">
        <f>food_insecure</f>
        <v>1E-3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1E-3</v>
      </c>
      <c r="F8" s="60">
        <f>food_insecure</f>
        <v>1E-3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1E-3</v>
      </c>
      <c r="F9" s="60">
        <f>food_insecure</f>
        <v>1E-3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1E-3</v>
      </c>
      <c r="I15" s="60">
        <f>food_insecure</f>
        <v>1E-3</v>
      </c>
      <c r="J15" s="60">
        <f>food_insecure</f>
        <v>1E-3</v>
      </c>
      <c r="K15" s="60">
        <f>food_insecure</f>
        <v>1E-3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0.78099999999999992</v>
      </c>
      <c r="M24" s="60">
        <f>famplan_unmet_need</f>
        <v>0.78099999999999992</v>
      </c>
      <c r="N24" s="60">
        <f>famplan_unmet_need</f>
        <v>0.78099999999999992</v>
      </c>
      <c r="O24" s="60">
        <f>famplan_unmet_need</f>
        <v>0.78099999999999992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4.3193734853506992E-2</v>
      </c>
      <c r="M25" s="60">
        <f>(1-food_insecure)*(0.49)+food_insecure*(0.7)</f>
        <v>0.49020999999999998</v>
      </c>
      <c r="N25" s="60">
        <f>(1-food_insecure)*(0.49)+food_insecure*(0.7)</f>
        <v>0.49020999999999998</v>
      </c>
      <c r="O25" s="60">
        <f>(1-food_insecure)*(0.49)+food_insecure*(0.7)</f>
        <v>0.49020999999999998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1.8511600651502997E-2</v>
      </c>
      <c r="M26" s="60">
        <f>(1-food_insecure)*(0.21)+food_insecure*(0.3)</f>
        <v>0.21009</v>
      </c>
      <c r="N26" s="60">
        <f>(1-food_insecure)*(0.21)+food_insecure*(0.3)</f>
        <v>0.21009</v>
      </c>
      <c r="O26" s="60">
        <f>(1-food_insecure)*(0.21)+food_insecure*(0.3)</f>
        <v>0.21009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2.640738119498999E-2</v>
      </c>
      <c r="M27" s="60">
        <f>(1-food_insecure)*(0.3)</f>
        <v>0.29969999999999997</v>
      </c>
      <c r="N27" s="60">
        <f>(1-food_insecure)*(0.3)</f>
        <v>0.29969999999999997</v>
      </c>
      <c r="O27" s="60">
        <f>(1-food_insecure)*(0.3)</f>
        <v>0.29969999999999997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0.91188728330000002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OxzryrEphz8fJa03izOgZuOkXMQXHR+H58qsagD6kbL7hGoJNWfZVoT8hCQga/a1r5WcEbT/ewBrBIpk+DloQA==" saltValue="6OQV8HGHsJcqfN8yETZM9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0zLkOvBqAXiI+cMIXQXnOqWqkY7cJWGHLk2fpyRb/AkIaTuXAYLjKgKjPwOdRRH8InpYfVwmxqh1Ashh2ONsJg==" saltValue="Oq2umHc1aj69eKKr9w9iP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uDZJxQm9pjahSHPKPuFfv9DgiltgZ2wg0OU86NWhvIyAhBly/4dXBXXa+dBiTmMdvJHf8cF2kLaD27whi4nJsQ==" saltValue="ie0zjdL6r2/MHCrWeCmP6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72j7W5pfeepNzQc5XlQKOMAYOR1pLgkSrSUaVsTeczh8Bu/8lZNQrKXEH5r4KSGhbYxEk/tDPcZBxJgZEhLKhQ==" saltValue="cUrBoNQ7K/70XPosTbhsFg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DHFQXm0gcNI0ob3vcey0Ch65uCo7MbQ2MU2xwf1+YogWTIw3A5k9CQFmGJD6RiQ9NB9DYpkaqOTxr99/s9N0mg==" saltValue="yoQrd5VSU0xd0LYc+XdHF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OpTcwJ00UNlkDUFu+6pqhcrD3atf07ZCjgtwUNRG80Mzq45s4L+VtFDUXXaYwylpr8buEJfoNVm2L4O6grXFig==" saltValue="nSyQBfNVQL4OPqRCF86Jx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78</v>
      </c>
      <c r="C5" s="8" t="s">
        <v>150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149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74</v>
      </c>
      <c r="C8" s="8" t="s">
        <v>150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149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149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78</v>
      </c>
      <c r="C58" s="8" t="s">
        <v>150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149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74</v>
      </c>
      <c r="C61" s="8" t="s">
        <v>150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149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78</v>
      </c>
      <c r="C111" s="8" t="s">
        <v>150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149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74</v>
      </c>
      <c r="C114" s="8" t="s">
        <v>150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149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77</v>
      </c>
      <c r="C117" s="8" t="s">
        <v>150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149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75</v>
      </c>
      <c r="C120" s="8" t="s">
        <v>150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149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149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78</v>
      </c>
      <c r="C128" s="8" t="s">
        <v>150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149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74</v>
      </c>
      <c r="C131" s="8" t="s">
        <v>150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149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77</v>
      </c>
      <c r="C134" s="8" t="s">
        <v>150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149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75</v>
      </c>
      <c r="C137" s="8" t="s">
        <v>150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149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149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78</v>
      </c>
      <c r="C145" s="8" t="s">
        <v>150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149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74</v>
      </c>
      <c r="C148" s="8" t="s">
        <v>150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149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77</v>
      </c>
      <c r="C151" s="8" t="s">
        <v>150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149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75</v>
      </c>
      <c r="C154" s="8" t="s">
        <v>150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149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pY+kN5vsCpmKCOmjuynZjKRP3Mp8I4MggWft05JjUvELaxYzTvNtPCutnXHvwL5Q6Mo1EDEg/KGnf7oGg7ZIg==" saltValue="6eOIcZ2SuFaftWVCZW6D8Q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9zC80bh044lHxylqanNDPauKYxayKbu9UHAwNcLpRLOlIPPd7pGPSp2q7IIXjKy4Y6jKH/igd6xJ5jauhLkhNg==" saltValue="/ZVsiUezUgLGaYdrGG20R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dGJ8sUiuv+Nfs1uTNWEFAki9TXcawpBoezhodEpatGOImLwn1qaBQykT4l8mnBDHg4rQeYoaQFezAQxSDaObCg==" saltValue="tVOMZSTX8Uz6AiTwzTTXW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291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105</v>
      </c>
      <c r="B40" s="11" t="s">
        <v>298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288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293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105</v>
      </c>
      <c r="B63" s="11" t="s">
        <v>299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pHe7b4AebrlrX6K5qSk3rGdjmquP45DrhmROttvE5FRxdUAy0uQkoSRub48qQBT47MqNQSRdjz0qDEkEqh3iQA==" saltValue="EAwGuAkM9EGEvoEnz6QXA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GadwBybwzv/IMx9sW4dD2AhcUJLrDHcfVkah8xWJo6YWd80ANXb/WG3tLqeAhV10Ameank0KobRA11B1BDykMg==" saltValue="ur7Q7e5z0ztaTZG5EvSFi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174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175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176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177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178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191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172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181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174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175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176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177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178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191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172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181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5LyrgACiVHyQS+D5oI0qhWsdQxgYgIVvfzf4lfgLL7xsamhAZ33Ym19geeoZ89gUiqK6fBTNyJsOYamD59vR8w==" saltValue="xBZNkfnvVLE5H9ZaBRPSW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d9bDxm7TqPE5a2y1G4QYXvIQ1CtDicBBEuhmqEstd5AeeCdpaD4rmQHKUtJGdspSqMuW8SGn1F4D+tZOQWms3g==" saltValue="QWqvw2W6IAk90LfWWs4Bf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338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338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J8U2xmLcOxZuGcYgzYylmfCp6R+zzoqIA2gbVBF1HRNY0+SFWTDRrUG7PDDKWlIoCBTuxPAuqG8rShJopensgQ==" saltValue="mG8l+JWOrsW52hW2b/4p8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WJQjvZazWHGhtnz7QU7vPqO06cZsZ/ofqOo7CTXaXS0Wpi8CRjeT365zs4RLBxljgI4bZGkKfWk7sD24qlNXmA==" saltValue="Bea3cWwqCEem/cZTg+U+pg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2024-05-16T23:20:58Z</dcterms:modified>
</cp:coreProperties>
</file>