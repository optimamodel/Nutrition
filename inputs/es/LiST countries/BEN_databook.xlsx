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5D20EA3E-2665-4941-904F-832F7E3FE536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4" i="2" l="1"/>
  <c r="I8" i="2"/>
  <c r="A25" i="2"/>
  <c r="A26" i="2"/>
  <c r="I9" i="2"/>
  <c r="I13" i="2"/>
  <c r="A31" i="2"/>
  <c r="A34" i="2"/>
  <c r="A40" i="2"/>
  <c r="I2" i="2"/>
  <c r="I6" i="2"/>
  <c r="A19" i="2"/>
  <c r="A35" i="2"/>
  <c r="A22" i="2"/>
  <c r="A36" i="2"/>
  <c r="A37" i="2"/>
  <c r="A23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<sst xmlns="http://schemas.openxmlformats.org/spreadsheetml/2006/main" count="2159" uniqueCount="372">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</sst>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2200874</v>
      </c>
    </row>
    <row r="8" spans="1:3" ht="15" customHeight="1" x14ac:dyDescent="0.25">
      <c r="B8" s="5" t="s">
        <v>63</v>
      </c>
      <c r="C8" s="44">
        <v>0.55000000000000004</v>
      </c>
    </row>
    <row r="9" spans="1:3" ht="15" customHeight="1" x14ac:dyDescent="0.25">
      <c r="B9" s="5" t="s">
        <v>62</v>
      </c>
      <c r="C9" s="45">
        <v>1</v>
      </c>
    </row>
    <row r="10" spans="1:3" ht="15" customHeight="1" x14ac:dyDescent="0.25">
      <c r="B10" s="5" t="s">
        <v>75</v>
      </c>
      <c r="C10" s="45">
        <v>0.39810580000000001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0.33140874869999998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8.9200000000000002E-2</v>
      </c>
    </row>
    <row r="24" spans="1:3" ht="15" customHeight="1" x14ac:dyDescent="0.25">
      <c r="B24" s="15" t="s">
        <v>65</v>
      </c>
      <c r="C24" s="45">
        <v>0.50560000000000005</v>
      </c>
    </row>
    <row r="25" spans="1:3" ht="15" customHeight="1" x14ac:dyDescent="0.25">
      <c r="B25" s="15" t="s">
        <v>66</v>
      </c>
      <c r="C25" s="45">
        <v>0.33439999999999998</v>
      </c>
    </row>
    <row r="26" spans="1:3" ht="15" customHeight="1" x14ac:dyDescent="0.25">
      <c r="B26" s="15" t="s">
        <v>67</v>
      </c>
      <c r="C26" s="45">
        <v>7.0800000000000002E-2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0.219379248368272</v>
      </c>
    </row>
    <row r="30" spans="1:3" ht="14.25" customHeight="1" x14ac:dyDescent="0.25">
      <c r="B30" s="25" t="s">
        <v>82</v>
      </c>
      <c r="C30" s="99">
        <v>3.6089788005909E-2</v>
      </c>
    </row>
    <row r="31" spans="1:3" ht="14.25" customHeight="1" x14ac:dyDescent="0.25">
      <c r="B31" s="25" t="s">
        <v>29</v>
      </c>
      <c r="C31" s="99">
        <v>9.1984534254138703E-2</v>
      </c>
    </row>
    <row r="32" spans="1:3" ht="14.25" customHeight="1" x14ac:dyDescent="0.25">
      <c r="B32" s="25" t="s">
        <v>30</v>
      </c>
      <c r="C32" s="99">
        <v>0.65254642937168006</v>
      </c>
    </row>
    <row r="33" spans="1:5" ht="13.25" customHeight="1" x14ac:dyDescent="0.25">
      <c r="B33" s="27" t="s">
        <v>79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29.24811</v>
      </c>
    </row>
    <row r="38" spans="1:5" ht="15" customHeight="1" x14ac:dyDescent="0.25">
      <c r="B38" s="11" t="s">
        <v>54</v>
      </c>
      <c r="C38" s="43">
        <v>55.173659999999998</v>
      </c>
      <c r="D38" s="12"/>
      <c r="E38" s="13"/>
    </row>
    <row r="39" spans="1:5" ht="15" customHeight="1" x14ac:dyDescent="0.25">
      <c r="B39" s="11" t="s">
        <v>80</v>
      </c>
      <c r="C39" s="43">
        <v>83.524249999999995</v>
      </c>
      <c r="D39" s="12"/>
      <c r="E39" s="12"/>
    </row>
    <row r="40" spans="1:5" ht="15" customHeight="1" x14ac:dyDescent="0.25">
      <c r="B40" s="11" t="s">
        <v>55</v>
      </c>
      <c r="C40" s="100">
        <v>5.23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20.004549999999998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5.8957000000000002E-3</v>
      </c>
      <c r="D45" s="12"/>
    </row>
    <row r="46" spans="1:5" ht="15.75" customHeight="1" x14ac:dyDescent="0.25">
      <c r="B46" s="11" t="s">
        <v>70</v>
      </c>
      <c r="C46" s="45">
        <v>6.3348000000000002E-2</v>
      </c>
      <c r="D46" s="12"/>
    </row>
    <row r="47" spans="1:5" ht="15.75" customHeight="1" x14ac:dyDescent="0.25">
      <c r="B47" s="11" t="s">
        <v>78</v>
      </c>
      <c r="C47" s="45">
        <v>7.5394799999999998E-2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2.548</v>
      </c>
      <c r="D51" s="12"/>
    </row>
    <row r="52" spans="1:4" ht="15" customHeight="1" x14ac:dyDescent="0.25">
      <c r="B52" s="11" t="s">
        <v>32</v>
      </c>
      <c r="C52" s="100">
        <v>2.548</v>
      </c>
    </row>
    <row r="53" spans="1:4" ht="15.75" customHeight="1" x14ac:dyDescent="0.25">
      <c r="B53" s="11" t="s">
        <v>35</v>
      </c>
      <c r="C53" s="100">
        <v>4.7839999999999998</v>
      </c>
    </row>
    <row r="54" spans="1:4" ht="15.75" customHeight="1" x14ac:dyDescent="0.25">
      <c r="B54" s="11" t="s">
        <v>33</v>
      </c>
      <c r="C54" s="100">
        <v>4.2639999999999993</v>
      </c>
    </row>
    <row r="55" spans="1:4" ht="15.75" customHeight="1" x14ac:dyDescent="0.25">
      <c r="B55" s="11" t="s">
        <v>34</v>
      </c>
      <c r="C55" s="100">
        <v>1.7766666666666671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0.41818299999999992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0.16890917</v>
      </c>
    </row>
    <row r="63" spans="1:4" ht="15.75" customHeight="1" x14ac:dyDescent="0.3">
      <c r="A63" s="4"/>
    </row>
  </sheetData>
  <sheetProtection algorithmName="SHA-512" hashValue="lb0Wvma84C2iAHL/XbxQld26xklsZAxhuU9WZVzu0XdI9tImH8ZDzBz/mmczWyh7A/08CJHBi8cboeeHevoAcQ==" saltValue="xeF6iMANt7R9L7BtG3Zi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483336</v>
      </c>
      <c r="C2" s="49">
        <v>757268.5</v>
      </c>
      <c r="D2" s="49">
        <v>1199243.5</v>
      </c>
      <c r="E2" s="49">
        <v>882839.5</v>
      </c>
      <c r="F2" s="49">
        <v>611737.5</v>
      </c>
      <c r="G2" s="17">
        <f t="shared" ref="G2:G13" si="0">C2+D2+E2+F2</f>
        <v>3451089</v>
      </c>
      <c r="H2" s="17">
        <f t="shared" ref="H2:H13" si="1">(B2 + stillbirth*B2/(1000-stillbirth))/(1-abortion)</f>
        <v>560457.14757701638</v>
      </c>
      <c r="I2" s="17">
        <f t="shared" ref="I2:I13" si="2">G2-H2</f>
        <v>2890631.8524229834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489564</v>
      </c>
      <c r="C3" s="50">
        <v>777575.5</v>
      </c>
      <c r="D3" s="50">
        <v>1228041</v>
      </c>
      <c r="E3" s="50">
        <v>909087.5</v>
      </c>
      <c r="F3" s="50">
        <v>633320.5</v>
      </c>
      <c r="G3" s="17">
        <f t="shared" si="0"/>
        <v>3548024.5</v>
      </c>
      <c r="H3" s="17">
        <f t="shared" si="1"/>
        <v>567678.88797108934</v>
      </c>
      <c r="I3" s="17">
        <f t="shared" si="2"/>
        <v>2980345.6120289108</v>
      </c>
    </row>
    <row r="4" spans="1:9" ht="15.75" customHeight="1" x14ac:dyDescent="0.25">
      <c r="A4" s="5">
        <f t="shared" si="3"/>
        <v>2026</v>
      </c>
      <c r="B4" s="49">
        <v>494197</v>
      </c>
      <c r="C4" s="50">
        <v>797927.5</v>
      </c>
      <c r="D4" s="50">
        <v>1260760.4999999998</v>
      </c>
      <c r="E4" s="50">
        <v>934090.5</v>
      </c>
      <c r="F4" s="50">
        <v>655495</v>
      </c>
      <c r="G4" s="17">
        <f t="shared" si="0"/>
        <v>3648273.5</v>
      </c>
      <c r="H4" s="17">
        <f t="shared" si="1"/>
        <v>573051.12998228718</v>
      </c>
      <c r="I4" s="17">
        <f t="shared" si="2"/>
        <v>3075222.3700177129</v>
      </c>
    </row>
    <row r="5" spans="1:9" ht="15.75" customHeight="1" x14ac:dyDescent="0.25">
      <c r="A5" s="5">
        <f t="shared" si="3"/>
        <v>2027</v>
      </c>
      <c r="B5" s="49">
        <v>499774</v>
      </c>
      <c r="C5" s="50">
        <v>819002.5</v>
      </c>
      <c r="D5" s="50">
        <v>1295683.5</v>
      </c>
      <c r="E5" s="50">
        <v>959140.5</v>
      </c>
      <c r="F5" s="50">
        <v>678212.5</v>
      </c>
      <c r="G5" s="17">
        <f t="shared" si="0"/>
        <v>3752039</v>
      </c>
      <c r="H5" s="17">
        <f t="shared" si="1"/>
        <v>579517.99674171954</v>
      </c>
      <c r="I5" s="17">
        <f t="shared" si="2"/>
        <v>3172521.0032582805</v>
      </c>
    </row>
    <row r="6" spans="1:9" ht="15.75" customHeight="1" x14ac:dyDescent="0.25">
      <c r="A6" s="5">
        <f t="shared" si="3"/>
        <v>2028</v>
      </c>
      <c r="B6" s="49">
        <v>503256</v>
      </c>
      <c r="C6" s="50">
        <v>842173.5</v>
      </c>
      <c r="D6" s="50">
        <v>1330944</v>
      </c>
      <c r="E6" s="50">
        <v>984589</v>
      </c>
      <c r="F6" s="50">
        <v>701415.50000000012</v>
      </c>
      <c r="G6" s="17">
        <f t="shared" si="0"/>
        <v>3859122</v>
      </c>
      <c r="H6" s="17">
        <f t="shared" si="1"/>
        <v>583555.5850609492</v>
      </c>
      <c r="I6" s="17">
        <f t="shared" si="2"/>
        <v>3275566.4149390506</v>
      </c>
    </row>
    <row r="7" spans="1:9" ht="15.75" customHeight="1" x14ac:dyDescent="0.25">
      <c r="A7" s="5">
        <f t="shared" si="3"/>
        <v>2029</v>
      </c>
      <c r="B7" s="49">
        <v>509582</v>
      </c>
      <c r="C7" s="50">
        <v>867048.5</v>
      </c>
      <c r="D7" s="50">
        <v>1366754.5</v>
      </c>
      <c r="E7" s="50">
        <v>1010713.5</v>
      </c>
      <c r="F7" s="50">
        <v>724374</v>
      </c>
      <c r="G7" s="17">
        <f t="shared" si="0"/>
        <v>3968890.5</v>
      </c>
      <c r="H7" s="17">
        <f t="shared" si="1"/>
        <v>590890.96234625834</v>
      </c>
      <c r="I7" s="17">
        <f t="shared" si="2"/>
        <v>3377999.5376537414</v>
      </c>
    </row>
    <row r="8" spans="1:9" ht="15.75" customHeight="1" x14ac:dyDescent="0.25">
      <c r="A8" s="5">
        <f t="shared" si="3"/>
        <v>2030</v>
      </c>
      <c r="B8" s="49">
        <v>514344.00000000006</v>
      </c>
      <c r="C8" s="50">
        <v>892382</v>
      </c>
      <c r="D8" s="50">
        <v>1403670.9999999998</v>
      </c>
      <c r="E8" s="50">
        <v>1037118.5</v>
      </c>
      <c r="F8" s="50">
        <v>746522.5</v>
      </c>
      <c r="G8" s="17">
        <f t="shared" si="0"/>
        <v>4079694</v>
      </c>
      <c r="H8" s="17">
        <f t="shared" si="1"/>
        <v>596412.7876122467</v>
      </c>
      <c r="I8" s="17">
        <f t="shared" si="2"/>
        <v>3483281.2123877532</v>
      </c>
    </row>
    <row r="9" spans="1:9" ht="15.75" customHeight="1" x14ac:dyDescent="0.25">
      <c r="A9" s="5">
        <f t="shared" si="3"/>
        <v>2031</v>
      </c>
      <c r="B9" s="49">
        <v>519480</v>
      </c>
      <c r="C9" s="50">
        <v>917098</v>
      </c>
      <c r="D9" s="50">
        <v>1442522.5</v>
      </c>
      <c r="E9" s="50">
        <v>1063764.9999999998</v>
      </c>
      <c r="F9" s="50">
        <v>768169</v>
      </c>
      <c r="G9" s="17">
        <f t="shared" si="0"/>
        <v>4191554.5</v>
      </c>
      <c r="H9" s="17">
        <f t="shared" si="1"/>
        <v>602368.2883611162</v>
      </c>
      <c r="I9" s="17">
        <f t="shared" si="2"/>
        <v>3589186.2116388837</v>
      </c>
    </row>
    <row r="10" spans="1:9" ht="15.75" customHeight="1" x14ac:dyDescent="0.25">
      <c r="A10" s="5">
        <f t="shared" si="3"/>
        <v>2032</v>
      </c>
      <c r="B10" s="49">
        <v>523267.00000000006</v>
      </c>
      <c r="C10" s="50">
        <v>939756.5</v>
      </c>
      <c r="D10" s="50">
        <v>1483888.5</v>
      </c>
      <c r="E10" s="50">
        <v>1091293.0000000002</v>
      </c>
      <c r="F10" s="50">
        <v>789707.5</v>
      </c>
      <c r="G10" s="17">
        <f t="shared" si="0"/>
        <v>4304645.5</v>
      </c>
      <c r="H10" s="17">
        <f t="shared" si="1"/>
        <v>606759.54251531581</v>
      </c>
      <c r="I10" s="17">
        <f t="shared" si="2"/>
        <v>3697885.957484684</v>
      </c>
    </row>
    <row r="11" spans="1:9" ht="15.75" customHeight="1" x14ac:dyDescent="0.25">
      <c r="A11" s="5">
        <f t="shared" si="3"/>
        <v>2033</v>
      </c>
      <c r="B11" s="49">
        <v>530676</v>
      </c>
      <c r="C11" s="50">
        <v>958954</v>
      </c>
      <c r="D11" s="50">
        <v>1526944</v>
      </c>
      <c r="E11" s="50">
        <v>1119920</v>
      </c>
      <c r="F11" s="50">
        <v>811672</v>
      </c>
      <c r="G11" s="17">
        <f t="shared" si="0"/>
        <v>4417490</v>
      </c>
      <c r="H11" s="17">
        <f t="shared" si="1"/>
        <v>615350.72340479644</v>
      </c>
      <c r="I11" s="17">
        <f t="shared" si="2"/>
        <v>3802139.2765952037</v>
      </c>
    </row>
    <row r="12" spans="1:9" ht="15.75" customHeight="1" x14ac:dyDescent="0.25">
      <c r="A12" s="5">
        <f t="shared" si="3"/>
        <v>2034</v>
      </c>
      <c r="B12" s="49">
        <v>536855</v>
      </c>
      <c r="C12" s="50">
        <v>974251</v>
      </c>
      <c r="D12" s="50">
        <v>1571098</v>
      </c>
      <c r="E12" s="50">
        <v>1147712</v>
      </c>
      <c r="F12" s="50">
        <v>836122.5</v>
      </c>
      <c r="G12" s="17">
        <f t="shared" si="0"/>
        <v>4529183.5</v>
      </c>
      <c r="H12" s="17">
        <f t="shared" si="1"/>
        <v>622515.64535325137</v>
      </c>
      <c r="I12" s="17">
        <f t="shared" si="2"/>
        <v>3906667.8546467489</v>
      </c>
    </row>
    <row r="13" spans="1:9" ht="15.75" customHeight="1" x14ac:dyDescent="0.25">
      <c r="A13" s="5">
        <f t="shared" si="3"/>
        <v>2035</v>
      </c>
      <c r="B13" s="49">
        <v>544105</v>
      </c>
      <c r="C13" s="50">
        <v>986273.5</v>
      </c>
      <c r="D13" s="50">
        <v>1616070.4999999998</v>
      </c>
      <c r="E13" s="50">
        <v>1176007</v>
      </c>
      <c r="F13" s="50">
        <v>861575</v>
      </c>
      <c r="G13" s="17">
        <f t="shared" si="0"/>
        <v>4639926</v>
      </c>
      <c r="H13" s="17">
        <f t="shared" si="1"/>
        <v>630922.45618450199</v>
      </c>
      <c r="I13" s="17">
        <f t="shared" si="2"/>
        <v>4009003.5438154982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UD4eTSMCpuAKU3UWH9rl7MNL0ddJ52FiC6izpf00JTJMccitIcx7Z5q61kLghUqwNgtUcaTCToU4g/LmTHVYZA==" saltValue="0Rmje7VyAqalUndo5snD+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2.0984399999999969E-2</v>
      </c>
    </row>
    <row r="4" spans="1:8" ht="15.75" customHeight="1" x14ac:dyDescent="0.25">
      <c r="B4" s="19" t="s">
        <v>116</v>
      </c>
      <c r="C4" s="101">
        <v>5.8862300000000048E-2</v>
      </c>
    </row>
    <row r="5" spans="1:8" ht="15.75" customHeight="1" x14ac:dyDescent="0.25">
      <c r="B5" s="19" t="s">
        <v>114</v>
      </c>
      <c r="C5" s="101">
        <v>8.1531899999999921E-2</v>
      </c>
    </row>
    <row r="6" spans="1:8" ht="15.75" customHeight="1" x14ac:dyDescent="0.25">
      <c r="B6" s="19" t="s">
        <v>110</v>
      </c>
      <c r="C6" s="101">
        <v>0.24317549999999971</v>
      </c>
    </row>
    <row r="7" spans="1:8" ht="15.75" customHeight="1" x14ac:dyDescent="0.25">
      <c r="B7" s="19" t="s">
        <v>115</v>
      </c>
      <c r="C7" s="101">
        <v>0.41259100000000032</v>
      </c>
    </row>
    <row r="8" spans="1:8" ht="15.75" customHeight="1" x14ac:dyDescent="0.25">
      <c r="B8" s="19" t="s">
        <v>117</v>
      </c>
      <c r="C8" s="101">
        <v>4.2646999999999859E-3</v>
      </c>
    </row>
    <row r="9" spans="1:8" ht="15.75" customHeight="1" x14ac:dyDescent="0.25">
      <c r="B9" s="19" t="s">
        <v>111</v>
      </c>
      <c r="C9" s="101">
        <v>6.8128800000000017E-2</v>
      </c>
    </row>
    <row r="10" spans="1:8" ht="15.75" customHeight="1" x14ac:dyDescent="0.25">
      <c r="B10" s="19" t="s">
        <v>113</v>
      </c>
      <c r="C10" s="101">
        <v>0.1104614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0.1476401011076009</v>
      </c>
      <c r="D14" s="55">
        <v>0.1476401011076009</v>
      </c>
      <c r="E14" s="55">
        <v>0.1476401011076009</v>
      </c>
      <c r="F14" s="55">
        <v>0.1476401011076009</v>
      </c>
    </row>
    <row r="15" spans="1:8" ht="15.75" customHeight="1" x14ac:dyDescent="0.25">
      <c r="B15" s="19" t="s">
        <v>121</v>
      </c>
      <c r="C15" s="101">
        <v>0.2011911478036702</v>
      </c>
      <c r="D15" s="101">
        <v>0.2011911478036702</v>
      </c>
      <c r="E15" s="101">
        <v>0.2011911478036702</v>
      </c>
      <c r="F15" s="101">
        <v>0.2011911478036702</v>
      </c>
    </row>
    <row r="16" spans="1:8" ht="15.75" customHeight="1" x14ac:dyDescent="0.25">
      <c r="B16" s="19" t="s">
        <v>2</v>
      </c>
      <c r="C16" s="101">
        <v>3.3435292418148833E-2</v>
      </c>
      <c r="D16" s="101">
        <v>3.3435292418148833E-2</v>
      </c>
      <c r="E16" s="101">
        <v>3.3435292418148833E-2</v>
      </c>
      <c r="F16" s="101">
        <v>3.3435292418148833E-2</v>
      </c>
    </row>
    <row r="17" spans="1:8" ht="15.75" customHeight="1" x14ac:dyDescent="0.25">
      <c r="B17" s="19" t="s">
        <v>109</v>
      </c>
      <c r="C17" s="101">
        <v>3.015832246129279E-2</v>
      </c>
      <c r="D17" s="101">
        <v>3.015832246129279E-2</v>
      </c>
      <c r="E17" s="101">
        <v>3.015832246129279E-2</v>
      </c>
      <c r="F17" s="101">
        <v>3.015832246129279E-2</v>
      </c>
    </row>
    <row r="18" spans="1:8" ht="15.75" customHeight="1" x14ac:dyDescent="0.25">
      <c r="B18" s="19" t="s">
        <v>3</v>
      </c>
      <c r="C18" s="101">
        <v>0.4033046735168701</v>
      </c>
      <c r="D18" s="101">
        <v>0.4033046735168701</v>
      </c>
      <c r="E18" s="101">
        <v>0.4033046735168701</v>
      </c>
      <c r="F18" s="101">
        <v>0.4033046735168701</v>
      </c>
    </row>
    <row r="19" spans="1:8" ht="15.75" customHeight="1" x14ac:dyDescent="0.25">
      <c r="B19" s="19" t="s">
        <v>120</v>
      </c>
      <c r="C19" s="101">
        <v>9.5212102324277494E-3</v>
      </c>
      <c r="D19" s="101">
        <v>9.5212102324277494E-3</v>
      </c>
      <c r="E19" s="101">
        <v>9.5212102324277494E-3</v>
      </c>
      <c r="F19" s="101">
        <v>9.5212102324277494E-3</v>
      </c>
    </row>
    <row r="20" spans="1:8" ht="15.75" customHeight="1" x14ac:dyDescent="0.25">
      <c r="B20" s="19" t="s">
        <v>98</v>
      </c>
      <c r="C20" s="101">
        <v>1.192277409131451E-2</v>
      </c>
      <c r="D20" s="101">
        <v>1.192277409131451E-2</v>
      </c>
      <c r="E20" s="101">
        <v>1.192277409131451E-2</v>
      </c>
      <c r="F20" s="101">
        <v>1.192277409131451E-2</v>
      </c>
    </row>
    <row r="21" spans="1:8" ht="15.75" customHeight="1" x14ac:dyDescent="0.25">
      <c r="B21" s="19" t="s">
        <v>107</v>
      </c>
      <c r="C21" s="101">
        <v>5.6537733251141399E-2</v>
      </c>
      <c r="D21" s="101">
        <v>5.6537733251141399E-2</v>
      </c>
      <c r="E21" s="101">
        <v>5.6537733251141399E-2</v>
      </c>
      <c r="F21" s="101">
        <v>5.6537733251141399E-2</v>
      </c>
    </row>
    <row r="22" spans="1:8" ht="15.75" customHeight="1" x14ac:dyDescent="0.25">
      <c r="B22" s="19" t="s">
        <v>118</v>
      </c>
      <c r="C22" s="101">
        <v>0.1062887451175335</v>
      </c>
      <c r="D22" s="101">
        <v>0.1062887451175335</v>
      </c>
      <c r="E22" s="101">
        <v>0.1062887451175335</v>
      </c>
      <c r="F22" s="101">
        <v>0.1062887451175335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0.215159032</v>
      </c>
    </row>
    <row r="27" spans="1:8" ht="15.75" customHeight="1" x14ac:dyDescent="0.25">
      <c r="B27" s="19" t="s">
        <v>108</v>
      </c>
      <c r="C27" s="101">
        <v>1.8590265000000002E-2</v>
      </c>
    </row>
    <row r="28" spans="1:8" ht="15.75" customHeight="1" x14ac:dyDescent="0.25">
      <c r="B28" s="19" t="s">
        <v>122</v>
      </c>
      <c r="C28" s="101">
        <v>5.4018957999999999E-2</v>
      </c>
    </row>
    <row r="29" spans="1:8" ht="15.75" customHeight="1" x14ac:dyDescent="0.25">
      <c r="B29" s="19" t="s">
        <v>105</v>
      </c>
      <c r="C29" s="101">
        <v>0.129449545</v>
      </c>
    </row>
    <row r="30" spans="1:8" ht="15.75" customHeight="1" x14ac:dyDescent="0.25">
      <c r="B30" s="19" t="s">
        <v>4</v>
      </c>
      <c r="C30" s="101">
        <v>0.14082996</v>
      </c>
    </row>
    <row r="31" spans="1:8" ht="15.75" customHeight="1" x14ac:dyDescent="0.25">
      <c r="B31" s="19" t="s">
        <v>99</v>
      </c>
      <c r="C31" s="101">
        <v>8.710394199999999E-2</v>
      </c>
    </row>
    <row r="32" spans="1:8" ht="15.75" customHeight="1" x14ac:dyDescent="0.25">
      <c r="B32" s="19" t="s">
        <v>104</v>
      </c>
      <c r="C32" s="101">
        <v>1.6266652E-2</v>
      </c>
    </row>
    <row r="33" spans="2:3" ht="15.75" customHeight="1" x14ac:dyDescent="0.25">
      <c r="B33" s="19" t="s">
        <v>119</v>
      </c>
      <c r="C33" s="101">
        <v>8.3666946000000006E-2</v>
      </c>
    </row>
    <row r="34" spans="2:3" ht="15.75" customHeight="1" x14ac:dyDescent="0.25">
      <c r="B34" s="19" t="s">
        <v>106</v>
      </c>
      <c r="C34" s="101">
        <v>0.254914698</v>
      </c>
    </row>
    <row r="35" spans="2:3" ht="15.75" customHeight="1" x14ac:dyDescent="0.25">
      <c r="B35" s="27" t="s">
        <v>79</v>
      </c>
      <c r="C35" s="48">
        <f>SUM(C26:C34)</f>
        <v>0.99999999799999995</v>
      </c>
    </row>
  </sheetData>
  <sheetProtection algorithmName="SHA-512" hashValue="iWYmByu9iiVZgYzzCiyNqGkQQlKRAKNEWsMCvhLd2fyvxC4sYnnNCySzbnDpaiqbWm7Jcnc8PyWW4iTgrsTMxA==" saltValue="7bVKbf8DVJlwycy9ZEZ0F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0.48321991248159657</v>
      </c>
      <c r="D2" s="52">
        <f>IFERROR(1-_xlfn.NORM.DIST(_xlfn.NORM.INV(SUM(D4:D5), 0, 1) + 1, 0, 1, TRUE), "")</f>
        <v>0.48321991248159657</v>
      </c>
      <c r="E2" s="52">
        <f>IFERROR(1-_xlfn.NORM.DIST(_xlfn.NORM.INV(SUM(E4:E5), 0, 1) + 1, 0, 1, TRUE), "")</f>
        <v>0.42070843327853302</v>
      </c>
      <c r="F2" s="52">
        <f>IFERROR(1-_xlfn.NORM.DIST(_xlfn.NORM.INV(SUM(F4:F5), 0, 1) + 1, 0, 1, TRUE), "")</f>
        <v>0.27448072441437388</v>
      </c>
      <c r="G2" s="52">
        <f>IFERROR(1-_xlfn.NORM.DIST(_xlfn.NORM.INV(SUM(G4:G5), 0, 1) + 1, 0, 1, TRUE), "")</f>
        <v>0.24005114336615963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0.34773008751840345</v>
      </c>
      <c r="D3" s="52">
        <f>IFERROR(_xlfn.NORM.DIST(_xlfn.NORM.INV(SUM(D4:D5), 0, 1) + 1, 0, 1, TRUE) - SUM(D4:D5), "")</f>
        <v>0.34773008751840345</v>
      </c>
      <c r="E3" s="52">
        <f>IFERROR(_xlfn.NORM.DIST(_xlfn.NORM.INV(SUM(E4:E5), 0, 1) + 1, 0, 1, TRUE) - SUM(E4:E5), "")</f>
        <v>0.36741256672146694</v>
      </c>
      <c r="F3" s="52">
        <f>IFERROR(_xlfn.NORM.DIST(_xlfn.NORM.INV(SUM(F4:F5), 0, 1) + 1, 0, 1, TRUE) - SUM(F4:F5), "")</f>
        <v>0.38119247558562608</v>
      </c>
      <c r="G3" s="52">
        <f>IFERROR(_xlfn.NORM.DIST(_xlfn.NORM.INV(SUM(G4:G5), 0, 1) + 1, 0, 1, TRUE) - SUM(G4:G5), "")</f>
        <v>0.37551715663384039</v>
      </c>
    </row>
    <row r="4" spans="1:15" ht="15.75" customHeight="1" x14ac:dyDescent="0.25">
      <c r="B4" s="5" t="s">
        <v>129</v>
      </c>
      <c r="C4" s="45">
        <v>0.11396199999999999</v>
      </c>
      <c r="D4" s="53">
        <v>0.11396199999999999</v>
      </c>
      <c r="E4" s="53">
        <v>0.15460070000000001</v>
      </c>
      <c r="F4" s="53">
        <v>0.22727710000000001</v>
      </c>
      <c r="G4" s="53">
        <v>0.2411103</v>
      </c>
    </row>
    <row r="5" spans="1:15" ht="15.75" customHeight="1" x14ac:dyDescent="0.25">
      <c r="B5" s="5" t="s">
        <v>125</v>
      </c>
      <c r="C5" s="45">
        <v>5.5087999999999998E-2</v>
      </c>
      <c r="D5" s="53">
        <v>5.5087999999999998E-2</v>
      </c>
      <c r="E5" s="53">
        <v>5.7278299999999997E-2</v>
      </c>
      <c r="F5" s="53">
        <v>0.11704970000000001</v>
      </c>
      <c r="G5" s="53">
        <v>0.14332139999999999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0.69029906059379409</v>
      </c>
      <c r="D8" s="52">
        <f>IFERROR(1-_xlfn.NORM.DIST(_xlfn.NORM.INV(SUM(D10:D11), 0, 1) + 1, 0, 1, TRUE), "")</f>
        <v>0.69029906059379409</v>
      </c>
      <c r="E8" s="52">
        <f>IFERROR(1-_xlfn.NORM.DIST(_xlfn.NORM.INV(SUM(E10:E11), 0, 1) + 1, 0, 1, TRUE), "")</f>
        <v>0.62065285310597829</v>
      </c>
      <c r="F8" s="52">
        <f>IFERROR(1-_xlfn.NORM.DIST(_xlfn.NORM.INV(SUM(F10:F11), 0, 1) + 1, 0, 1, TRUE), "")</f>
        <v>0.67797610140566311</v>
      </c>
      <c r="G8" s="52">
        <f>IFERROR(1-_xlfn.NORM.DIST(_xlfn.NORM.INV(SUM(G10:G11), 0, 1) + 1, 0, 1, TRUE), "")</f>
        <v>0.81008996300694902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0.2424650394062059</v>
      </c>
      <c r="D9" s="52">
        <f>IFERROR(_xlfn.NORM.DIST(_xlfn.NORM.INV(SUM(D10:D11), 0, 1) + 1, 0, 1, TRUE) - SUM(D10:D11), "")</f>
        <v>0.2424650394062059</v>
      </c>
      <c r="E9" s="52">
        <f>IFERROR(_xlfn.NORM.DIST(_xlfn.NORM.INV(SUM(E10:E11), 0, 1) + 1, 0, 1, TRUE) - SUM(E10:E11), "")</f>
        <v>0.28377404689402175</v>
      </c>
      <c r="F9" s="52">
        <f>IFERROR(_xlfn.NORM.DIST(_xlfn.NORM.INV(SUM(F10:F11), 0, 1) + 1, 0, 1, TRUE) - SUM(F10:F11), "")</f>
        <v>0.2501596985943369</v>
      </c>
      <c r="G9" s="52">
        <f>IFERROR(_xlfn.NORM.DIST(_xlfn.NORM.INV(SUM(G10:G11), 0, 1) + 1, 0, 1, TRUE) - SUM(G10:G11), "")</f>
        <v>0.159735036993051</v>
      </c>
    </row>
    <row r="10" spans="1:15" ht="15.75" customHeight="1" x14ac:dyDescent="0.25">
      <c r="B10" s="5" t="s">
        <v>126</v>
      </c>
      <c r="C10" s="45">
        <v>4.7805800000000002E-2</v>
      </c>
      <c r="D10" s="53">
        <v>4.7805800000000002E-2</v>
      </c>
      <c r="E10" s="53">
        <v>7.5145600000000007E-2</v>
      </c>
      <c r="F10" s="53">
        <v>5.4266699999999987E-2</v>
      </c>
      <c r="G10" s="53">
        <v>2.5541999999999999E-2</v>
      </c>
    </row>
    <row r="11" spans="1:15" ht="15.75" customHeight="1" x14ac:dyDescent="0.25">
      <c r="B11" s="5" t="s">
        <v>138</v>
      </c>
      <c r="C11" s="45">
        <v>1.9430099999999999E-2</v>
      </c>
      <c r="D11" s="53">
        <v>1.9430099999999999E-2</v>
      </c>
      <c r="E11" s="53">
        <v>2.0427500000000001E-2</v>
      </c>
      <c r="F11" s="53">
        <v>1.7597499999999999E-2</v>
      </c>
      <c r="G11" s="53">
        <v>4.633E-3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0.6963869907500001</v>
      </c>
      <c r="D14" s="54">
        <v>0.68976179290899997</v>
      </c>
      <c r="E14" s="54">
        <v>0.68976179290899997</v>
      </c>
      <c r="F14" s="54">
        <v>0.61698490867699995</v>
      </c>
      <c r="G14" s="54">
        <v>0.61698490867699995</v>
      </c>
      <c r="H14" s="45">
        <v>0.55500000000000005</v>
      </c>
      <c r="I14" s="55">
        <v>0.55500000000000005</v>
      </c>
      <c r="J14" s="55">
        <v>0.55500000000000005</v>
      </c>
      <c r="K14" s="55">
        <v>0.55500000000000005</v>
      </c>
      <c r="L14" s="45">
        <v>0.46</v>
      </c>
      <c r="M14" s="55">
        <v>0.46</v>
      </c>
      <c r="N14" s="55">
        <v>0.46</v>
      </c>
      <c r="O14" s="55">
        <v>0.46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0.29121720095280723</v>
      </c>
      <c r="D15" s="52">
        <f t="shared" si="0"/>
        <v>0.28844665584406426</v>
      </c>
      <c r="E15" s="52">
        <f t="shared" si="0"/>
        <v>0.28844665584406426</v>
      </c>
      <c r="F15" s="52">
        <f t="shared" si="0"/>
        <v>0.25801260006527382</v>
      </c>
      <c r="G15" s="52">
        <f t="shared" si="0"/>
        <v>0.25801260006527382</v>
      </c>
      <c r="H15" s="52">
        <f t="shared" si="0"/>
        <v>0.23209156499999997</v>
      </c>
      <c r="I15" s="52">
        <f t="shared" si="0"/>
        <v>0.23209156499999997</v>
      </c>
      <c r="J15" s="52">
        <f t="shared" si="0"/>
        <v>0.23209156499999997</v>
      </c>
      <c r="K15" s="52">
        <f t="shared" si="0"/>
        <v>0.23209156499999997</v>
      </c>
      <c r="L15" s="52">
        <f t="shared" si="0"/>
        <v>0.19236417999999997</v>
      </c>
      <c r="M15" s="52">
        <f t="shared" si="0"/>
        <v>0.19236417999999997</v>
      </c>
      <c r="N15" s="52">
        <f t="shared" si="0"/>
        <v>0.19236417999999997</v>
      </c>
      <c r="O15" s="52">
        <f t="shared" si="0"/>
        <v>0.19236417999999997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gh5Rt7JSw/K7UWiMilSaKw036kbVOcA1lmJdPDRyBYCe4SY3laF/FrmRJSOUJ7s0d8PoPBR5qFS2pWRnY8ZmtQ==" saltValue="42I/rqJtZL1pUr7YcBTK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0.63594139999999999</v>
      </c>
      <c r="D2" s="53">
        <v>0.35273559999999998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0.27326929999999999</v>
      </c>
      <c r="D3" s="53">
        <v>0.45041550000000002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4.2228500000000002E-2</v>
      </c>
      <c r="D4" s="53">
        <v>0.1642421</v>
      </c>
      <c r="E4" s="53">
        <v>0.9582254</v>
      </c>
      <c r="F4" s="53">
        <v>0.68788179999999999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4.856079999999996E-2</v>
      </c>
      <c r="D5" s="52">
        <f t="shared" si="0"/>
        <v>3.2606799999999936E-2</v>
      </c>
      <c r="E5" s="52">
        <f>1-SUM(E2:E4)</f>
        <v>4.1774599999999995E-2</v>
      </c>
      <c r="F5" s="52">
        <f>1-SUM(F2:F4)</f>
        <v>0.31211820000000001</v>
      </c>
      <c r="G5" s="52">
        <f>1-SUM(G2:G4)</f>
        <v>1</v>
      </c>
    </row>
  </sheetData>
  <sheetProtection algorithmName="SHA-512" hashValue="CSc45ZG3BjK8c9Q9osGrUuzak0xz37AkDN0qkQ4wapITnwOLdKcpg28ID7q67LwLIIQU+XY2eP0gO3M3KQbBuw==" saltValue="9uQR3cUahqeIRkepcxRGs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SroaDcSjobSD4yoCIgi7JcDel53aiOy3PT/upjkyzLqUu9vrh6PgNAyzn0emJH8WIU4RloSCmMDx5Sb1AZex/Q==" saltValue="B8QRT8pkORnq7BMrVySpu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1302.85103626824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0.36139000000000004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0.57291999999999998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1.7548573585507706E-2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90871.948980000001</v>
      </c>
      <c r="C22" s="109">
        <v>89731.852239999993</v>
      </c>
      <c r="D22" s="109">
        <v>89084.03658</v>
      </c>
      <c r="E22" s="109">
        <v>88542.940669999996</v>
      </c>
      <c r="F22" s="109">
        <v>87825.714470000006</v>
      </c>
      <c r="G22" s="109">
        <v>86953.420490000004</v>
      </c>
      <c r="H22" s="109">
        <v>85853.185249999995</v>
      </c>
      <c r="I22" s="109">
        <v>84392.828039999993</v>
      </c>
      <c r="J22" s="109">
        <v>82343.688899999994</v>
      </c>
      <c r="K22" s="109">
        <v>79614.204289999994</v>
      </c>
      <c r="L22" s="109">
        <v>75674.562900000004</v>
      </c>
      <c r="M22" s="109">
        <v>70395.728099999993</v>
      </c>
      <c r="N22" s="109">
        <v>62947.162109999997</v>
      </c>
      <c r="O22" s="109">
        <v>53443.230250000001</v>
      </c>
    </row>
  </sheetData>
  <sheetProtection algorithmName="SHA-512" hashValue="pSAXeGfqffB/mVPeFZ9lu8AELTJm4ERsNnwo4IhGfc6EStmPsC95hCVKykTXVqZT8RPN+HjU8RtOhGn984GeDQ==" saltValue="4fP+Os+u3DsKVoYsKvQPE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AAOKX7uosh+xF6cQqvC/cnH9WP/AfL0o1yprtWJMzaC68tO/XkKR91lRDeR5SufthLKljtcovSJq+2f6Sigu0g==" saltValue="Fspl+OqjLRxUTo/EalaC+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qXbA75o7ogQ2zdyxTzf3poqgNqcCONSuRRl+gpg5o5sgXYFveaLzr9jGZ4DH3vERxSdEkBx0oTl8iBpnyFu33w==" saltValue="aqPh5LOKmIKv4sYfC9bQv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18.025735670419653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18.025735670419653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5.2668836507008754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0.56149571024496792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0.70706266146872643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0.23003335421429147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0.47062090000000001</v>
      </c>
      <c r="C10" s="98">
        <v>0.95</v>
      </c>
      <c r="D10" s="56">
        <v>13.5103361384934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13.5103361384934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13.5103361384934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13.5103361384934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0.47062090000000001</v>
      </c>
      <c r="C14" s="98">
        <v>0.95</v>
      </c>
      <c r="D14" s="56">
        <v>13.5103361384934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13.5103361384934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0.72296099999999996</v>
      </c>
      <c r="C16" s="98">
        <v>0.95</v>
      </c>
      <c r="D16" s="56">
        <v>2.8407188685968858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0.12681000000000001</v>
      </c>
      <c r="C17" s="98">
        <v>0.95</v>
      </c>
      <c r="D17" s="56">
        <v>0.35500000000000004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0.51300000000000001</v>
      </c>
      <c r="C18" s="98">
        <v>0.95</v>
      </c>
      <c r="D18" s="56">
        <v>5.2668836507008754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0.35273559999999998</v>
      </c>
      <c r="C19" s="98">
        <v>0.95</v>
      </c>
      <c r="D19" s="56">
        <v>7.2861200073283072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2.1939130069251829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5.2668836507008754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0.83967060000000004</v>
      </c>
      <c r="C23" s="98">
        <v>0.95</v>
      </c>
      <c r="D23" s="56">
        <v>4.4426820703529186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0.46026228261281199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1.55E-2</v>
      </c>
      <c r="C26" s="98">
        <v>0.95</v>
      </c>
      <c r="D26" s="56">
        <v>3.8681355531509101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13.457928721749347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0.2215608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0.2588009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44.783843336315748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7.9000000000000008E-3</v>
      </c>
      <c r="C31" s="98">
        <v>0.95</v>
      </c>
      <c r="D31" s="56">
        <v>126.62714253872848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0.8</v>
      </c>
      <c r="C32" s="98">
        <v>0.95</v>
      </c>
      <c r="D32" s="56">
        <v>0.46210405728622134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0.1213046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0.31415670000000001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1.2729E-3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0.38746140000000001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0.105</v>
      </c>
      <c r="C38" s="98">
        <v>0.95</v>
      </c>
      <c r="D38" s="56">
        <v>4.0706758054007581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3.4125000000000001</v>
      </c>
      <c r="E39" s="56" t="s">
        <v>212</v>
      </c>
      <c r="F39" s="98">
        <v>1</v>
      </c>
      <c r="G39" s="98">
        <v>1</v>
      </c>
    </row>
  </sheetData>
  <sheetProtection algorithmName="SHA-512" hashValue="NM+jrtuesypDxWW8O+5VEv1yvlxQ6oiDuAZM6a4HUsUUY0n4t8g9yuj1RM+J1MSl1VHyShD8PoW4cJAaLCt5+w==" saltValue="tovL0Qs8chZLYG9TWzGi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Leaf1VLNBgpD7UJoXxQEFYS0JEcl81+dE798IZnnnq8SxJwwUM8jkzBfoxT9pGR/qTD8AQt+qk9VfkgU64n47Q==" saltValue="5x2vuUggBvmob+1ZKQSRT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KQoBRZgGsbS3VZ5F16ZT1roLJnLZcqDfk8O1gdvf5LzyvqwHv5X+aYoIQgs30fEXZEBiNu6n81zypaQFf+wVSQ==" saltValue="ZJbQu8jz0c06K7j5Lzj8C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2.548</v>
      </c>
      <c r="C2" s="21">
        <f>'Entradas de población-año base'!C52</f>
        <v>2.548</v>
      </c>
      <c r="D2" s="21">
        <f>'Entradas de población-año base'!C53</f>
        <v>4.7839999999999998</v>
      </c>
      <c r="E2" s="21">
        <f>'Entradas de población-año base'!C54</f>
        <v>4.2639999999999993</v>
      </c>
      <c r="F2" s="21">
        <f>'Entradas de población-año base'!C55</f>
        <v>1.7766666666666671</v>
      </c>
    </row>
    <row r="3" spans="1:6" ht="15.75" customHeight="1" x14ac:dyDescent="0.25">
      <c r="A3" s="3" t="s">
        <v>6</v>
      </c>
      <c r="B3" s="21">
        <f>frac_mam_1month * 2.6</f>
        <v>0.12429508000000002</v>
      </c>
      <c r="C3" s="21">
        <f>frac_mam_1_5months * 2.6</f>
        <v>0.12429508000000002</v>
      </c>
      <c r="D3" s="21">
        <f>frac_mam_6_11months * 2.6</f>
        <v>0.19537856000000003</v>
      </c>
      <c r="E3" s="21">
        <f>frac_mam_12_23months * 2.6</f>
        <v>0.14109341999999997</v>
      </c>
      <c r="F3" s="21">
        <f>frac_mam_24_59months * 2.6</f>
        <v>6.6409200000000002E-2</v>
      </c>
    </row>
    <row r="4" spans="1:6" ht="15.75" customHeight="1" x14ac:dyDescent="0.25">
      <c r="A4" s="3" t="s">
        <v>236</v>
      </c>
      <c r="B4" s="21">
        <f>frac_sam_1month * 2.6</f>
        <v>5.0518259999999995E-2</v>
      </c>
      <c r="C4" s="21">
        <f>frac_sam_1_5months * 2.6</f>
        <v>5.0518259999999995E-2</v>
      </c>
      <c r="D4" s="21">
        <f>frac_sam_6_11months * 2.6</f>
        <v>5.3111500000000006E-2</v>
      </c>
      <c r="E4" s="21">
        <f>frac_sam_12_23months * 2.6</f>
        <v>4.5753499999999996E-2</v>
      </c>
      <c r="F4" s="21">
        <f>frac_sam_24_59months * 2.6</f>
        <v>1.2045800000000001E-2</v>
      </c>
    </row>
  </sheetData>
  <sheetProtection algorithmName="SHA-512" hashValue="Ugl0V3WILBClScpiZ1enepTFvTn/S7Eqy3S/oNAzZR2wz+HA64H3GSs5mCl7MitHiKRF5umvVUQ+Oamn9IPhEg==" saltValue="BT/rEZIdNtpMG7Yo3Qh+V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0.55000000000000004</v>
      </c>
      <c r="F2" s="60">
        <f>food_insecure</f>
        <v>0.55000000000000004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0.55000000000000004</v>
      </c>
      <c r="F5" s="60">
        <f>food_insecure</f>
        <v>0.55000000000000004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5.559272727272728E-2</v>
      </c>
      <c r="D7" s="60">
        <f>diarrhoea_1_5mo*frac_diarrhea_severe</f>
        <v>5.559272727272728E-2</v>
      </c>
      <c r="E7" s="60">
        <f>diarrhoea_6_11mo*frac_diarrhea_severe</f>
        <v>0.10437818181818183</v>
      </c>
      <c r="F7" s="60">
        <f>diarrhoea_12_23mo*frac_diarrhea_severe</f>
        <v>9.3032727272727267E-2</v>
      </c>
      <c r="G7" s="60">
        <f>diarrhoea_24_59mo*frac_diarrhea_severe</f>
        <v>3.8763636363636375E-2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0.55000000000000004</v>
      </c>
      <c r="F8" s="60">
        <f>food_insecure</f>
        <v>0.55000000000000004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0.55000000000000004</v>
      </c>
      <c r="F9" s="60">
        <f>food_insecure</f>
        <v>0.55000000000000004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5.559272727272728E-2</v>
      </c>
      <c r="D12" s="60">
        <f>diarrhoea_1_5mo*frac_diarrhea_severe</f>
        <v>5.559272727272728E-2</v>
      </c>
      <c r="E12" s="60">
        <f>diarrhoea_6_11mo*frac_diarrhea_severe</f>
        <v>0.10437818181818183</v>
      </c>
      <c r="F12" s="60">
        <f>diarrhoea_12_23mo*frac_diarrhea_severe</f>
        <v>9.3032727272727267E-2</v>
      </c>
      <c r="G12" s="60">
        <f>diarrhoea_24_59mo*frac_diarrhea_severe</f>
        <v>3.8763636363636375E-2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0.55000000000000004</v>
      </c>
      <c r="I15" s="60">
        <f t="shared" si="0"/>
        <v>0.55000000000000004</v>
      </c>
      <c r="J15" s="60">
        <f t="shared" si="0"/>
        <v>0.55000000000000004</v>
      </c>
      <c r="K15" s="60">
        <f t="shared" si="0"/>
        <v>0.55000000000000004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0.55000000000000004</v>
      </c>
      <c r="I16" s="60">
        <f t="shared" si="0"/>
        <v>0.55000000000000004</v>
      </c>
      <c r="J16" s="60">
        <f t="shared" si="0"/>
        <v>0.55000000000000004</v>
      </c>
      <c r="K16" s="60">
        <f t="shared" si="0"/>
        <v>0.55000000000000004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0.33140874869999998</v>
      </c>
      <c r="M24" s="60">
        <f>famplan_unmet_need</f>
        <v>0.33140874869999998</v>
      </c>
      <c r="N24" s="60">
        <f>famplan_unmet_need</f>
        <v>0.33140874869999998</v>
      </c>
      <c r="O24" s="60">
        <f>famplan_unmet_need</f>
        <v>0.33140874869999998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0.36444693810000001</v>
      </c>
      <c r="M25" s="60">
        <f>(1-food_insecure)*(0.49)+food_insecure*(0.7)</f>
        <v>0.60549999999999993</v>
      </c>
      <c r="N25" s="60">
        <f>(1-food_insecure)*(0.49)+food_insecure*(0.7)</f>
        <v>0.60549999999999993</v>
      </c>
      <c r="O25" s="60">
        <f>(1-food_insecure)*(0.49)+food_insecure*(0.7)</f>
        <v>0.60549999999999993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0.15619154490000001</v>
      </c>
      <c r="M26" s="60">
        <f>(1-food_insecure)*(0.21)+food_insecure*(0.3)</f>
        <v>0.25950000000000001</v>
      </c>
      <c r="N26" s="60">
        <f>(1-food_insecure)*(0.21)+food_insecure*(0.3)</f>
        <v>0.25950000000000001</v>
      </c>
      <c r="O26" s="60">
        <f>(1-food_insecure)*(0.21)+food_insecure*(0.3)</f>
        <v>0.25950000000000001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8.1255716999999991E-2</v>
      </c>
      <c r="M27" s="60">
        <f>(1-food_insecure)*(0.3)</f>
        <v>0.13499999999999998</v>
      </c>
      <c r="N27" s="60">
        <f>(1-food_insecure)*(0.3)</f>
        <v>0.13499999999999998</v>
      </c>
      <c r="O27" s="60">
        <f>(1-food_insecure)*(0.3)</f>
        <v>0.13499999999999998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0.39810580000000001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BW/9brEjmLopGw5CZ2ZffUoU3t5uqAdsX+eshEyaA6OwaA2erJjRpzgLkRGpB3DInFqdwaSXtOp9WmanH32Qpg==" saltValue="Vz3L8RyGGOs41cgrZev/F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5Ve0Y0Wv0f84odJ+m0nFJ7guapECoouAXawW0kbGUtMF48PYSMBAB/piudLiFBaF2krHVoON05MRvbqU3wmZ5A==" saltValue="zG9E7hGzynP+QGneL+SQJ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XU6/jQ0oj7V36CjKseutUI+XmubJX6fYyED6DTBMqhhUOscI5ffRWYoTUa9fkFvJHmdotwM6bKm3DwJQGCFfAg==" saltValue="Mi3UMFvlZMLstGk0hmnj7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zvFYhbAut1b1iAhtn+zT3GPD9gpN1zT45YPEHIOGMGxxiVNRSL5+j7XnmJwitp7ORbivurRf075TDqMUmORx5Q==" saltValue="eww32gdc0mAqaGxg8eVEq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w6W4W8LATFMHo0tIG6IZRuE1++rHvRwgvGjdDcPEOOSdFLwVlk2IrE5X1ik2PqdzVcDizCpst9AinZ0ryPLJjQ==" saltValue="xkHjxObXFMrv6RQ4y+6WJ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DFBigYEoNqN7pfOinHvuMy0h33R40LVYjTwO/VqVQPXek6K7/cYxe6WbpJHFI7jspiLsD9SAJXWrhtHTp4QuDA==" saltValue="P1Ka+x/NhYKgexNjBA6yE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+gtTl95V6i+rM+8WOgTGg0Cbip/Fg22tzWSAkw1njuEwcmXSV3gWX3KdzeAmS9gvt1keWjdLXcaODiinR9MOXQ==" saltValue="XfeyjZW6/BS4cC9Ii1H5p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v6ibdQXz22FT/f938idIwFVJBsp7Gqx/k49a/1Z3hIxmAyAf27bIHwgSRVN88igJBD2nwr2o3w2PsHQ8GgGjMA==" saltValue="NxHeh7o35G0+y/nPhDbp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I0VOuO2Uk4Wd4nfUGkSEQG23o7a+QKxod9tHOqFvuGXcUV/ogJHHd1KdYj6DdG4L3Syp+c1sm7aV5yC5gd/xEw==" saltValue="bEXPqjffxaXvXPmoybFh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rvK4dNp2xmEiHSmSiT3rWqQ8HBU2B+foKnx79fbRGjtrNixmc9Plfm+Y0P1OSzChz3yiEd7xYUaZcvnzNFAqfQ==" saltValue="HRTbGd+joWdVALtClp3M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Dbdxtq1tqg75yoUXdHEJX8kx+TWI+yEI9oY8R2mZ5k0xCPeRlzWMd6cdhe07ZpWcXiZzmbFDD0SR3vSQGNcziA==" saltValue="RhWnsqGq5cV3LNRJDBzm+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NCwpsEZCpYxEjz/0j90DKMAE6/IyycM2ZEd4KhFzzNrtgpaN2rIrRcHV8bmoKzo0Wvutge912Yq0TjeZWZN4lw==" saltValue="ir4wmdwygTEhrZEwODBj9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dUMrXVby4XH2lS6IVcdpacm8vK8qze8ybVL9YezGz34kQH96cOwiRZ5RlNl2ulaa9jDVQUluyC+73Twpv7sgDQ==" saltValue="PRiJB+gys0ULsRdUernR+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+MqpLz8JM/X2w00ShG2qCtRYXWLab6IvbWMBCLDKGv6zORwWRtTYHIt1SQMOfSgektKDJw/c4CiYGVmhxhBWVA==" saltValue="WEdjRr1ywTO3Xs/QWLkK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wWoP/rgBT9QPY35CmOs3R+rVCszr4peVC/3fXXnqsfHlM6oOpv01flPx3m+XSRt2M9BHpGCk4L9yjbWTYygADw==" saltValue="ojLeiAknVkhPH/z17Mzlj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2025-07-04T00:40:31Z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