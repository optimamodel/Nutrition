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EAAD5ED-B7EC-44E8-8BDF-88441EA5FE6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A3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2" i="2"/>
  <c r="A23" i="2"/>
  <c r="A40" i="2"/>
  <c r="A24" i="2"/>
  <c r="A25" i="2"/>
  <c r="A26" i="2"/>
  <c r="A31" i="2"/>
  <c r="A34" i="2"/>
  <c r="I3" i="2"/>
  <c r="I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<sst xmlns="http://schemas.openxmlformats.org/spreadsheetml/2006/main" count="2169" uniqueCount="373">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</sst>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2200874</v>
      </c>
    </row>
    <row r="8" spans="1:3" ht="15" customHeight="1" x14ac:dyDescent="0.25">
      <c r="B8" s="5" t="s">
        <v>63</v>
      </c>
      <c r="C8" s="44">
        <v>0.55000000000000004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0.39810580000000001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8.9200000000000002E-2</v>
      </c>
    </row>
    <row r="24" spans="1:3" ht="15" customHeight="1" x14ac:dyDescent="0.25">
      <c r="B24" s="15" t="s">
        <v>65</v>
      </c>
      <c r="C24" s="45">
        <v>0.50560000000000005</v>
      </c>
    </row>
    <row r="25" spans="1:3" ht="15" customHeight="1" x14ac:dyDescent="0.25">
      <c r="B25" s="15" t="s">
        <v>66</v>
      </c>
      <c r="C25" s="45">
        <v>0.33439999999999998</v>
      </c>
    </row>
    <row r="26" spans="1:3" ht="15" customHeight="1" x14ac:dyDescent="0.25">
      <c r="B26" s="15" t="s">
        <v>67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0.219379248368272</v>
      </c>
    </row>
    <row r="30" spans="1:3" ht="14.25" customHeight="1" x14ac:dyDescent="0.25">
      <c r="B30" s="25" t="s">
        <v>82</v>
      </c>
      <c r="C30" s="97">
        <v>3.6089788005909E-2</v>
      </c>
    </row>
    <row r="31" spans="1:3" ht="14.25" customHeight="1" x14ac:dyDescent="0.25">
      <c r="B31" s="25" t="s">
        <v>29</v>
      </c>
      <c r="C31" s="97">
        <v>9.1984534254138703E-2</v>
      </c>
    </row>
    <row r="32" spans="1:3" ht="14.25" customHeight="1" x14ac:dyDescent="0.25">
      <c r="B32" s="25" t="s">
        <v>30</v>
      </c>
      <c r="C32" s="97">
        <v>0.65254642937168006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29.24811</v>
      </c>
    </row>
    <row r="38" spans="1:5" ht="15" customHeight="1" x14ac:dyDescent="0.25">
      <c r="B38" s="11" t="s">
        <v>54</v>
      </c>
      <c r="C38" s="43">
        <v>55.173659999999998</v>
      </c>
      <c r="D38" s="12"/>
      <c r="E38" s="13"/>
    </row>
    <row r="39" spans="1:5" ht="15" customHeight="1" x14ac:dyDescent="0.25">
      <c r="B39" s="11" t="s">
        <v>80</v>
      </c>
      <c r="C39" s="43">
        <v>83.524249999999995</v>
      </c>
      <c r="D39" s="12"/>
      <c r="E39" s="12"/>
    </row>
    <row r="40" spans="1:5" ht="15" customHeight="1" x14ac:dyDescent="0.25">
      <c r="B40" s="11" t="s">
        <v>55</v>
      </c>
      <c r="C40" s="98">
        <v>5.23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78</v>
      </c>
      <c r="C47" s="45">
        <v>7.5394799999999998E-2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2.548</v>
      </c>
      <c r="D51" s="12"/>
    </row>
    <row r="52" spans="1:4" ht="15" customHeight="1" x14ac:dyDescent="0.25">
      <c r="B52" s="11" t="s">
        <v>32</v>
      </c>
      <c r="C52" s="98">
        <v>2.548</v>
      </c>
    </row>
    <row r="53" spans="1:4" ht="15.75" customHeight="1" x14ac:dyDescent="0.25">
      <c r="B53" s="11" t="s">
        <v>35</v>
      </c>
      <c r="C53" s="98">
        <v>4.7839999999999998</v>
      </c>
    </row>
    <row r="54" spans="1:4" ht="15.75" customHeight="1" x14ac:dyDescent="0.25">
      <c r="B54" s="11" t="s">
        <v>33</v>
      </c>
      <c r="C54" s="98">
        <v>4.2639999999999993</v>
      </c>
    </row>
    <row r="55" spans="1:4" ht="15.75" customHeight="1" x14ac:dyDescent="0.25">
      <c r="B55" s="11" t="s">
        <v>34</v>
      </c>
      <c r="C55" s="98">
        <v>1.7766666666666671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0.41818299999999992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0.16890917</v>
      </c>
    </row>
    <row r="63" spans="1:4" ht="15.75" customHeight="1" x14ac:dyDescent="0.3">
      <c r="A63" s="4"/>
    </row>
  </sheetData>
  <sheetProtection algorithmName="SHA-512" hashValue="NF/b4tSE/sJJKGG7MZ5g/YvE4Sx3A0ITZn9EnVYEQVbCVdudKBQ7jkpGzBuQus5DfMYV+6nDZvAsBsk04ZD1zQ==" saltValue="l5wvElG6bQiNh9q/BQYL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Nm6bPvDXK1K+jj2OqSzfIq6y2tG5vgXsaooNSWHPlBOTnBMwQibcuzcnjZvIdZjYhSKXv0lko04pB2zihPtlg==" saltValue="l3MEWy+p4lvQiqQ8dASd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2.0984399999999969E-2</v>
      </c>
    </row>
    <row r="4" spans="1:8" ht="15.75" customHeight="1" x14ac:dyDescent="0.25">
      <c r="B4" s="19" t="s">
        <v>116</v>
      </c>
      <c r="C4" s="99">
        <v>5.8862300000000048E-2</v>
      </c>
    </row>
    <row r="5" spans="1:8" ht="15.75" customHeight="1" x14ac:dyDescent="0.25">
      <c r="B5" s="19" t="s">
        <v>114</v>
      </c>
      <c r="C5" s="99">
        <v>8.1531899999999921E-2</v>
      </c>
    </row>
    <row r="6" spans="1:8" ht="15.75" customHeight="1" x14ac:dyDescent="0.25">
      <c r="B6" s="19" t="s">
        <v>110</v>
      </c>
      <c r="C6" s="99">
        <v>0.24317549999999971</v>
      </c>
    </row>
    <row r="7" spans="1:8" ht="15.75" customHeight="1" x14ac:dyDescent="0.25">
      <c r="B7" s="19" t="s">
        <v>115</v>
      </c>
      <c r="C7" s="99">
        <v>0.41259100000000032</v>
      </c>
    </row>
    <row r="8" spans="1:8" ht="15.75" customHeight="1" x14ac:dyDescent="0.25">
      <c r="B8" s="19" t="s">
        <v>117</v>
      </c>
      <c r="C8" s="99">
        <v>4.2646999999999859E-3</v>
      </c>
    </row>
    <row r="9" spans="1:8" ht="15.75" customHeight="1" x14ac:dyDescent="0.25">
      <c r="B9" s="19" t="s">
        <v>111</v>
      </c>
      <c r="C9" s="99">
        <v>6.8128800000000017E-2</v>
      </c>
    </row>
    <row r="10" spans="1:8" ht="15.75" customHeight="1" x14ac:dyDescent="0.25">
      <c r="B10" s="19" t="s">
        <v>113</v>
      </c>
      <c r="C10" s="99">
        <v>0.1104614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121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2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109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3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120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98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107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118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0.215159032</v>
      </c>
    </row>
    <row r="27" spans="1:8" ht="15.75" customHeight="1" x14ac:dyDescent="0.25">
      <c r="B27" s="19" t="s">
        <v>108</v>
      </c>
      <c r="C27" s="99">
        <v>1.8590265000000002E-2</v>
      </c>
    </row>
    <row r="28" spans="1:8" ht="15.75" customHeight="1" x14ac:dyDescent="0.25">
      <c r="B28" s="19" t="s">
        <v>122</v>
      </c>
      <c r="C28" s="99">
        <v>5.4018957999999999E-2</v>
      </c>
    </row>
    <row r="29" spans="1:8" ht="15.75" customHeight="1" x14ac:dyDescent="0.25">
      <c r="B29" s="19" t="s">
        <v>105</v>
      </c>
      <c r="C29" s="99">
        <v>0.129449545</v>
      </c>
    </row>
    <row r="30" spans="1:8" ht="15.75" customHeight="1" x14ac:dyDescent="0.25">
      <c r="B30" s="19" t="s">
        <v>4</v>
      </c>
      <c r="C30" s="99">
        <v>0.14082996</v>
      </c>
    </row>
    <row r="31" spans="1:8" ht="15.75" customHeight="1" x14ac:dyDescent="0.25">
      <c r="B31" s="19" t="s">
        <v>99</v>
      </c>
      <c r="C31" s="99">
        <v>8.710394199999999E-2</v>
      </c>
    </row>
    <row r="32" spans="1:8" ht="15.75" customHeight="1" x14ac:dyDescent="0.25">
      <c r="B32" s="19" t="s">
        <v>104</v>
      </c>
      <c r="C32" s="99">
        <v>1.6266652E-2</v>
      </c>
    </row>
    <row r="33" spans="2:3" ht="15.75" customHeight="1" x14ac:dyDescent="0.25">
      <c r="B33" s="19" t="s">
        <v>119</v>
      </c>
      <c r="C33" s="99">
        <v>8.3666946000000006E-2</v>
      </c>
    </row>
    <row r="34" spans="2:3" ht="15.75" customHeight="1" x14ac:dyDescent="0.25">
      <c r="B34" s="19" t="s">
        <v>106</v>
      </c>
      <c r="C34" s="99">
        <v>0.254914698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MLlw9gMW5tQbd4kBF0scS+GPLnriYmAPexaZqK08qt2lg+0aBIDRC3CAJRg7uIXVbGIk7iRgb4HraB5oYDILbg==" saltValue="5GyoNtDVNbZq24oaTTj1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129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125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126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9Kg6erC9249BpowC3PaAgyOnyQG1pabK9ptndTjpy7zWPLgti+480ld1/Gcz3JAqflH+OYepmNEShzMvb6i6g==" saltValue="UeeGxGO7Kkkt80cXy57M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GHkr5PBwTKsPzRPfG7cMWK1YAw+PBaGyxqDkCuvfDVFl+4RpJsDdqPvWRjZHC5bkYd1Jjh3JP0NM0/4YkDLW0Q==" saltValue="x5Skz9LySFP6tnE0fXCb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vRgAIR5bGUF6+YGZ+vaJ5OdHj5EEbswKc1ucCldKOlk9nuta2E9GQjoneEyXjJiabJYRXqaPVEepvl1nW30WA==" saltValue="dAo1919Hpy7s0RSD0VPT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algorithmName="SHA-512" hashValue="ZtIoXxcZKk7JDkWDWJh5z+7K32MN8DeiNU3x3aa7oWn8kB53ULjTZoycuO22ryNHrAjQ9l36bCk1MX83W3trSQ==" saltValue="sOOMqrDn50Oaf2ceV+W8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5ya9b2Ia7vOpcpU/KdMGf44SINM/n/G08y4CJiKbz5Yc76KEsM6HzMaX56DtQX1mVg9IFe9ogSG30lF6g/dSA==" saltValue="OTkoqTJ38tjWnnzO4dZ+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T71fn5kZmZEIht+UZYfty9SFITTVOzZGtDsjxJEAWH8RvhtDqeZuioOXTDbd2WHSggr6sjaD0Wy8k7w18aQJA==" saltValue="1qlLhnAiDR/9DX5pb0JC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0.47062090000000001</v>
      </c>
      <c r="C10" s="96">
        <v>0.95</v>
      </c>
      <c r="D10" s="56">
        <v>13.5103361384934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13.5103361384934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13.5103361384934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13.5103361384934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0.47062090000000001</v>
      </c>
      <c r="C14" s="96">
        <v>0.95</v>
      </c>
      <c r="D14" s="56">
        <v>13.5103361384934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13.5103361384934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0.72296099999999996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0.12681000000000001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0.51300000000000001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0.35273559999999998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0.83967060000000004</v>
      </c>
      <c r="C23" s="96">
        <v>0.95</v>
      </c>
      <c r="D23" s="56">
        <v>4.4426820703529186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0.46026228261281199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1.55E-2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0.2215608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0.2588009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7.9000000000000008E-3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0.1213046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0.31415670000000001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1.2729E-3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0.38746140000000001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0.105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X+NXbuNFtdzZcH3atIbF//opNmPuzGSDUAWju0NyFIPTGUDQArtcUiWixUHMiSoDBeEwT/9AwP1tXMaE8Orojw==" saltValue="Ref0p/3t9ThCYrZQOHvz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CQUT4tlOiE1LUexm2fHvvLjElXbe38R4NCWUDCWC7nbncZ0XXNI7C+CJEkpuqsV289Nfig/fgPNDIhWHNCdIg==" saltValue="JvqVXkurjQJN4N3WV/OP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z3ocddKpbwnh7fJXxh8J6wInswtyTFqQeMen6VibRSYTSbulOdb9Rm5bIrSBVJRuAFyLqsZdC+/VHiPWZ5UVg==" saltValue="5JgtgSakXbZIZV6U0Pdm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2.548</v>
      </c>
      <c r="C2" s="21">
        <f>'Entradas de población-año base'!C52</f>
        <v>2.548</v>
      </c>
      <c r="D2" s="21">
        <f>'Entradas de población-año base'!C53</f>
        <v>4.7839999999999998</v>
      </c>
      <c r="E2" s="21">
        <f>'Entradas de población-año base'!C54</f>
        <v>4.2639999999999993</v>
      </c>
      <c r="F2" s="21">
        <f>'Entradas de población-año base'!C55</f>
        <v>1.7766666666666671</v>
      </c>
    </row>
    <row r="3" spans="1:6" ht="15.75" customHeight="1" x14ac:dyDescent="0.25">
      <c r="A3" s="3" t="s">
        <v>6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236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2rq7H6O8aBDI+YaTPP9aQTwynr0kKc4tkbrxFrNpmm3HdFaAJsqiUFJH1Dc7/pJiOfDLupbbefoSHsKzmDqI/A==" saltValue="LjMuZkfNZh69YLEMNp0LL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7WssElEpc6E+oWPLAT0+hn9vMv+xk+TACvy8IPCHTeXBbByZjbIc6Rmzpfpl+HlIrcjCBWWxWPM4BYH4OmbLA==" saltValue="MZxY3ZfuYXiAmSAdiAdb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xIg9egMzS1OTcxWYRKtGoJ5yIyOjmVBYNS/1WWOz1wR4YYejjSIKHrqPO1absRCpmpcaFo8w7pKVyRAz/T8kw==" saltValue="yxU1ExB9SFbx55ew4naD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442kO/6M/+RHrqQiSP3vBMzjs2x7Hb/+AIfeaveU6cDOOR2qQQVP7ff2SXfuXpmcfu54hUIygY4CjpXXK5CjQ==" saltValue="g+SoFOsFZYhgMDnb251P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wdn3wHSEaswg6ugZqtQqJoIYRKIaKuDJ9X/HIPtPAKf3+3OZUKpr0/V33BgjSv4y60x6z9Uf78KrcNxu4P/3Q==" saltValue="FyDI8P/UFTs/M+9RxL7Q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IeQOstwu9cWPaaxOU/iCezazT9uiFsRbhLyfwbmpldiyp19IpdXZW9lX/K5XK+2+GonIRynqMY57jnKieWqeA==" saltValue="wKGYcSZXBPF0OmC8s2ft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nMewdPsCu8KKEuhKv67rOTESEPOGKJgdCDZzU+8o9MfwLSs8uEU5Q5/s/icin++QdX21V3CeKdW1qzFPnSN1Q==" saltValue="moDGq48U/CosIcVrTa6f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RIK75whIfspyehCk0ZRBz/ihTrhcYM98F2IHUrUXRO3jGKF2QA+xrNdArvVs5DLI5cWZ4/+fB3V5Xy4K+OIKA==" saltValue="4yTVjLLidnWToBTkWsZx2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Vhfv3HJHlGb65DhCSAaR7ffChWjwzfql9A60BAcJ4yXvhsna6Xyop2uH+YMfbQsAxYNr9+MKzgASnDjqabuoA==" saltValue="9k93PlN8htUu2Nwk8Mx7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vl2z73o8f6ISCljdNO4QUwA5AvkPhoLeAALOKxetbthIWWXuF8MI2ohvu4Ij8X44pEIjSJB0Fpq5VW324txbw==" saltValue="X7q+s3vHXuomOtzT9cIU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GSYCbHj9YbgyytODbk5ViinZOa6pmku1D3bg7OQio/0VyX5I6WBm5T4yxCKIuU3PSycY8NSDLV/2lVWbKhC7Q==" saltValue="0wXHhkxF2DxLpsMUYPVR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xaGe0SNsCZYnG2Rqsr0bJNU5OUHat+ncYBgne32mVFsqr6780bB1ypETD3WDSOzZvrGIwteObfQ2MtfOBpSJA==" saltValue="vrrNLrioHZdoYvVej8YY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n75OnHuHH+gOesXwYV1DgXKuKKHS000HWDPzKZGGdAroF9SWsOBKQdUSstCk3yPPNwpw9ufVm7xA86EYFNnGQ==" saltValue="Ahd9G1el7Ej3L4wodZrz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fhGjsU4tj6vnmurFQMXTKphRl8OJsOQfqLht/PcWepsTXvPKjKVUi47x8XNYx5dDiuiVSLD5ttnDHECdqFFfg==" saltValue="rHc/11kx1L6zxHoyskNy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oLn8JY7VFo8m1Tj5NGo2ziIVXEK4xH16G4zL158nVsmDwcE/W4pBKWMNuQqLrOK8jENT4v3l8m+8+F/6J0AoQ==" saltValue="P+c44Q7ZyB5SFYJjZi19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jvC1gHSaGIMXPBZlHN/s0weO3ndMI1fbuqRh/MYwCxuCOHqEWAfrmI+xzFm9NiRa54K0Vt3a+ysxDUGumx7aA==" saltValue="SLq67Bij540lswv72VtM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