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es\LiST countries\"/>
    </mc:Choice>
  </mc:AlternateContent>
  <xr:revisionPtr revIDLastSave="0" documentId="8_{F889183C-82DB-4121-AB9B-D6437A8AD1B9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Pérdida económica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iesgos desenlace de nacimiento" sheetId="21" state="hidden" r:id="rId21"/>
    <sheet name="Riesgos relativos" sheetId="22" state="hidden" r:id="rId22"/>
    <sheet name="Razón de momios" sheetId="23" state="hidden" r:id="rId23"/>
    <sheet name="Resultados de nacimiento- prog" sheetId="24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F152" i="27"/>
  <c r="E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F112" i="27"/>
  <c r="E112" i="27"/>
  <c r="D112" i="27"/>
  <c r="H97" i="27"/>
  <c r="H152" i="27" s="1"/>
  <c r="G97" i="27"/>
  <c r="G152" i="27" s="1"/>
  <c r="F97" i="27"/>
  <c r="E97" i="27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G112" i="27" s="1"/>
  <c r="F57" i="27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F120" i="20" s="1"/>
  <c r="E67" i="20"/>
  <c r="E120" i="20" s="1"/>
  <c r="D67" i="20"/>
  <c r="D120" i="20" s="1"/>
  <c r="H66" i="20"/>
  <c r="G66" i="20"/>
  <c r="G119" i="20" s="1"/>
  <c r="F66" i="20"/>
  <c r="F119" i="20" s="1"/>
  <c r="E66" i="20"/>
  <c r="E119" i="20" s="1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G117" i="20" s="1"/>
  <c r="E64" i="20"/>
  <c r="E117" i="20" s="1"/>
  <c r="D64" i="20"/>
  <c r="D117" i="20" s="1"/>
  <c r="H63" i="20"/>
  <c r="G63" i="20"/>
  <c r="G116" i="20" s="1"/>
  <c r="F63" i="20"/>
  <c r="F116" i="20" s="1"/>
  <c r="E63" i="20"/>
  <c r="E116" i="20" s="1"/>
  <c r="D63" i="20"/>
  <c r="D116" i="20" s="1"/>
  <c r="H62" i="20"/>
  <c r="G62" i="20"/>
  <c r="G115" i="20" s="1"/>
  <c r="F62" i="20"/>
  <c r="F115" i="20" s="1"/>
  <c r="D62" i="20"/>
  <c r="D115" i="20" s="1"/>
  <c r="H61" i="20"/>
  <c r="G61" i="20"/>
  <c r="G114" i="20" s="1"/>
  <c r="F61" i="20"/>
  <c r="F114" i="20" s="1"/>
  <c r="D61" i="20"/>
  <c r="D114" i="20" s="1"/>
  <c r="H60" i="20"/>
  <c r="G60" i="20"/>
  <c r="G113" i="20" s="1"/>
  <c r="F60" i="20"/>
  <c r="F113" i="20" s="1"/>
  <c r="E60" i="20"/>
  <c r="E113" i="20" s="1"/>
  <c r="D60" i="20"/>
  <c r="D113" i="20" s="1"/>
  <c r="H59" i="20"/>
  <c r="G59" i="20"/>
  <c r="G112" i="20" s="1"/>
  <c r="F59" i="20"/>
  <c r="F112" i="20" s="1"/>
  <c r="E59" i="20"/>
  <c r="E112" i="20" s="1"/>
  <c r="H58" i="20"/>
  <c r="G58" i="20"/>
  <c r="G111" i="20" s="1"/>
  <c r="F58" i="20"/>
  <c r="F111" i="20" s="1"/>
  <c r="E58" i="20"/>
  <c r="E111" i="20" s="1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I39" i="2" s="1"/>
  <c r="G39" i="2"/>
  <c r="H38" i="2"/>
  <c r="G38" i="2"/>
  <c r="I38" i="2" s="1"/>
  <c r="A23" i="2"/>
  <c r="A21" i="2"/>
  <c r="A15" i="2"/>
  <c r="H13" i="2"/>
  <c r="I13" i="2" s="1"/>
  <c r="G13" i="2"/>
  <c r="H12" i="2"/>
  <c r="G12" i="2"/>
  <c r="H11" i="2"/>
  <c r="I11" i="2" s="1"/>
  <c r="G11" i="2"/>
  <c r="H10" i="2"/>
  <c r="G10" i="2"/>
  <c r="I10" i="2" s="1"/>
  <c r="H9" i="2"/>
  <c r="I9" i="2" s="1"/>
  <c r="G9" i="2"/>
  <c r="H8" i="2"/>
  <c r="G8" i="2"/>
  <c r="I8" i="2" s="1"/>
  <c r="H7" i="2"/>
  <c r="I7" i="2" s="1"/>
  <c r="G7" i="2"/>
  <c r="H6" i="2"/>
  <c r="G6" i="2"/>
  <c r="I6" i="2" s="1"/>
  <c r="H5" i="2"/>
  <c r="I5" i="2" s="1"/>
  <c r="G5" i="2"/>
  <c r="H4" i="2"/>
  <c r="G4" i="2"/>
  <c r="I4" i="2" s="1"/>
  <c r="H3" i="2"/>
  <c r="I3" i="2" s="1"/>
  <c r="G3" i="2"/>
  <c r="H2" i="2"/>
  <c r="G2" i="2"/>
  <c r="I2" i="2" s="1"/>
  <c r="A2" i="2"/>
  <c r="A40" i="2" s="1"/>
  <c r="C33" i="1"/>
  <c r="C20" i="1"/>
  <c r="I12" i="2" l="1"/>
  <c r="A29" i="2"/>
  <c r="I40" i="2"/>
  <c r="A31" i="2"/>
  <c r="A37" i="2"/>
  <c r="A16" i="2"/>
  <c r="A24" i="2"/>
  <c r="A32" i="2"/>
  <c r="A25" i="2"/>
  <c r="A33" i="2"/>
  <c r="A17" i="2"/>
  <c r="A3" i="2"/>
  <c r="A18" i="2"/>
  <c r="A26" i="2"/>
  <c r="A34" i="2"/>
  <c r="A39" i="2"/>
  <c r="A19" i="2"/>
  <c r="A27" i="2"/>
  <c r="A35" i="2"/>
  <c r="A20" i="2"/>
  <c r="A28" i="2"/>
  <c r="A36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0" shapeId="0" xr:uid="{00000000-0006-0000-1600-00000B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5" authorId="0" shapeId="0" xr:uid="{00000000-0006-0000-1600-000016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A37" authorId="1" shapeId="0" xr:uid="{00000000-0006-0000-1600-000017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9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A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B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C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2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58" authorId="0" shapeId="0" xr:uid="{00000000-0006-0000-1600-000021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C61" authorId="0" shapeId="0" xr:uid="{00000000-0006-0000-1600-000022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3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4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5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8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9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A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B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4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5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6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7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27" authorId="0" shapeId="0" xr:uid="{00000000-0006-0000-1800-00004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5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5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5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5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7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7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E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F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70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50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8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8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8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9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A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A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B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D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E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A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A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A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8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9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A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B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C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1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6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4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9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4E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4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7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D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7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71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5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9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B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7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3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8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2" authorId="0" shapeId="0" xr:uid="{00000000-0006-0000-1B00-000001000000}">
      <text>
        <r>
          <rPr>
            <sz val="10"/>
            <color rgb="FF000000"/>
            <rFont val="Arial"/>
          </rPr>
          <t>Nick Scott:
Note: Ca supplementation impacts preterm birth, not curretly captured in the model Hofmeyr et al 2023, RR 0.76 (0.60-0.97), all women</t>
        </r>
      </text>
    </comment>
    <comment ref="D3" authorId="1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1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1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1" shapeId="0" xr:uid="{00000000-0006-0000-1B00-000005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1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1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1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1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1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1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1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1" shapeId="0" xr:uid="{00000000-0006-0000-1B00-00000D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1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1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1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1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1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1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1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1" shapeId="0" xr:uid="{00000000-0006-0000-1B00-000015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<sst xmlns="http://schemas.openxmlformats.org/spreadsheetml/2006/main" count="2101" uniqueCount="341">
  <si>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</si>
  <si>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</si>
  <si>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</si>
  <si>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</si>
  <si>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</si>
  <si>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</si>
  <si>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</si>
  <si>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</si>
  <si>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</si>
  <si>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</si>
  <si>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</si>
  <si>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</si>
  <si>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</si>
  <si>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</si>
  <si>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</si>
  <si>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</si>
  <si>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</si>
  <si>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</si>
  <si>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</si>
  <si>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</si>
  <si>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</si>
  <si>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</si>
  <si>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</si>
  <si>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</si>
  <si>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</si>
  <si>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</si>
  <si>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</si>
  <si>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</si>
  <si>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</si>
  <si>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</si>
  <si>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</si>
  <si>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</si>
  <si>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</si>
  <si>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</si>
  <si>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</si>
  <si>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</si>
  <si>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</si>
  <si>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</si>
  <si>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</si>
  <si>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</si>
  <si>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</si>
  <si>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</si>
  <si>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</si>
  <si>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</si>
  <si>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</si>
  <si>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</si>
  <si>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</si>
  <si>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</si>
  <si>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</si>
  <si>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</si>
  <si>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</si>
  <si>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</si>
  <si>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</si>
  <si>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</si>
  <si>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</si>
  <si>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</si>
  <si>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</si>
  <si>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</si>
  <si>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</si>
  <si>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</si>
  <si>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</si>
  <si>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</si>
  <si>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</si>
  <si>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</si>
  <si>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</si>
  <si>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</si>
  <si>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</si>
  <si>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</si>
  <si>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</si>
  <si>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</si>
  <si>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</si>
  <si>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</si>
  <si>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</si>
  <si>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</si>
  <si>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</si>
  <si>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</si>
  <si>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</si>
  <si>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</si>
  <si>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</si>
  <si>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</si>
  <si>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</si>
  <si>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</si>
  <si>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</si>
  <si>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</si>
  <si>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</si>
  <si>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</si>
  <si>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</si>
  <si>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</si>
  <si>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</si>
  <si>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</si>
  <si>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</si>
  <si>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</si>
  <si>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</si>
  <si>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</si>
  <si>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</si>
  <si>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</si>
  <si>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</si>
  <si>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</si>
  <si>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</si>
  <si>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</si>
  <si>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</si>
  <si>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</si>
  <si>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</si>
  <si>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</si>
  <si>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</si>
  <si>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</si>
  <si>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</si>
  <si>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</si>
  <si>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</si>
  <si>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</si>
  <si>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</si>
  <si>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</si>
  <si>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</si>
  <si>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</si>
  <si>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</si>
  <si>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</si>
  <si>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</si>
  <si>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</si>
  <si>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</si>
  <si>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</si>
  <si>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</si>
  <si>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</si>
  <si>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</si>
  <si>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</si>
  <si>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</si>
  <si>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</si>
  <si>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</si>
  <si>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</si>
  <si>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</si>
  <si>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</si>
  <si>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</si>
  <si>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</si>
  <si>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</si>
  <si>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</si>
  <si>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</si>
  <si>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</si>
  <si>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</si>
  <si>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</si>
  <si>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</si>
  <si>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</si>
  <si>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Niño anémico (por año)</t>
  </si>
  <si>
    <t>Mujer embarazada anémica (por embarazo)</t>
  </si>
  <si>
    <t>Muerte del niño</t>
  </si>
  <si>
    <t>Niño que cumple 5 años con retraso en el crecimiento (a lo largo de su vida)</t>
  </si>
  <si>
    <t>Episodio de emaciación infantil</t>
  </si>
  <si>
    <t>Costo</t>
  </si>
  <si>
    <t>Muerte materna</t>
  </si>
  <si>
    <t>Tipo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</si>
  <si>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</si>
  <si>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</si>
  <si>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</si>
  <si>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</si>
  <si>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</si>
  <si>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</si>
  <si>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</si>
  <si>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</si>
  <si>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</si>
  <si>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</si>
  <si>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</si>
  <si>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</si>
  <si>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</si>
  <si>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</si>
  <si>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</si>
  <si>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</si>
  <si>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</si>
  <si>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</si>
  <si>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</si>
  <si>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</si>
  <si>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</si>
  <si>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</si>
  <si>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</si>
  <si>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</si>
  <si>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</si>
  <si>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</si>
  <si>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</si>
  <si>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</si>
  <si>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</si>
  <si>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</si>
  <si>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</si>
  <si>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</si>
  <si>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</si>
  <si>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</si>
  <si>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</si>
  <si>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</si>
  <si>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</si>
  <si>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</si>
  <si>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</si>
  <si>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</si>
  <si>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</si>
  <si>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</si>
  <si>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</si>
  <si>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</si>
  <si>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</si>
  <si>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</si>
  <si>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</si>
  <si>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</si>
  <si>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</si>
  <si>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</si>
  <si>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</si>
  <si>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</si>
  <si>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</si>
  <si>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</si>
  <si>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</si>
  <si>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</si>
  <si>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</si>
  <si>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</si>
  <si>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</si>
  <si>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</si>
  <si>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</si>
  <si>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</si>
  <si>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</si>
  <si>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</si>
  <si>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</si>
  <si>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</si>
  <si>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</si>
  <si>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</si>
  <si>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</si>
  <si>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</si>
  <si>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</si>
  <si>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</si>
  <si>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</si>
  <si>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</si>
  <si>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</si>
  <si>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</si>
  <si>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</si>
  <si>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</si>
  <si>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</si>
  <si>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</si>
  <si>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</si>
  <si>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</si>
  <si>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</si>
  <si>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</si>
  <si>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</si>
  <si>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</si>
  <si>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</si>
  <si>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</si>
  <si>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</si>
  <si>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</si>
  <si>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</si>
  <si>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</si>
  <si>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</si>
  <si>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</si>
  <si>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</si>
  <si>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</si>
  <si>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</si>
  <si>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</si>
  <si>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</si>
  <si>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</si>
  <si>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</si>
  <si>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</si>
  <si>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</si>
  <si>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</si>
  <si>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</si>
  <si>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</si>
  <si>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</si>
  <si>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</si>
  <si>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</si>
  <si>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</si>
  <si>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</si>
  <si>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</si>
  <si>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</si>
  <si>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</si>
  <si>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</si>
  <si>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</si>
  <si>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</si>
  <si>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</si>
  <si>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</si>
  <si>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</si>
  <si>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</si>
  <si>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</si>
  <si>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</si>
  <si>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</si>
  <si>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</si>
  <si>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</si>
  <si>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</si>
  <si>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</si>
  <si>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</si>
  <si>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</si>
  <si>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</si>
  <si>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</si>
  <si>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</si>
  <si>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</si>
  <si>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Emaciación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</si>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</sst>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19</v>
      </c>
      <c r="B1" s="29" t="s">
        <v>0</v>
      </c>
      <c r="C1" s="29" t="s">
        <v>24</v>
      </c>
    </row>
    <row r="2" spans="1:3" ht="15.9" customHeight="1" x14ac:dyDescent="0.3">
      <c r="A2" s="8" t="s">
        <v>55</v>
      </c>
      <c r="B2" s="29"/>
      <c r="C2" s="29"/>
    </row>
    <row r="3" spans="1:3" ht="15.9" customHeight="1" x14ac:dyDescent="0.3">
      <c r="A3" s="1"/>
      <c r="B3" s="5" t="s">
        <v>18</v>
      </c>
      <c r="C3" s="41">
        <v>2024</v>
      </c>
    </row>
    <row r="4" spans="1:3" ht="15.9" customHeight="1" x14ac:dyDescent="0.3">
      <c r="A4" s="1"/>
      <c r="B4" s="5" t="s">
        <v>26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50</v>
      </c>
    </row>
    <row r="7" spans="1:3" ht="15" customHeight="1" x14ac:dyDescent="0.25">
      <c r="B7" s="11" t="s">
        <v>23</v>
      </c>
      <c r="C7" s="43">
        <v>2233111.875</v>
      </c>
    </row>
    <row r="8" spans="1:3" ht="15" customHeight="1" x14ac:dyDescent="0.25">
      <c r="B8" s="5" t="s">
        <v>44</v>
      </c>
      <c r="C8" s="44">
        <v>0.495</v>
      </c>
    </row>
    <row r="9" spans="1:3" ht="15" customHeight="1" x14ac:dyDescent="0.25">
      <c r="B9" s="5" t="s">
        <v>43</v>
      </c>
      <c r="C9" s="45">
        <v>1</v>
      </c>
    </row>
    <row r="10" spans="1:3" ht="15" customHeight="1" x14ac:dyDescent="0.25">
      <c r="B10" s="5" t="s">
        <v>56</v>
      </c>
      <c r="C10" s="45">
        <v>0.39810878753662099</v>
      </c>
    </row>
    <row r="11" spans="1:3" ht="15" customHeight="1" x14ac:dyDescent="0.25">
      <c r="B11" s="5" t="s">
        <v>49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62</v>
      </c>
      <c r="C13" s="45">
        <v>0.755</v>
      </c>
    </row>
    <row r="14" spans="1:3" ht="15" customHeight="1" x14ac:dyDescent="0.25">
      <c r="B14" s="8"/>
    </row>
    <row r="15" spans="1:3" ht="15" customHeight="1" x14ac:dyDescent="0.3">
      <c r="A15" s="8" t="s">
        <v>28</v>
      </c>
      <c r="B15" s="14"/>
      <c r="C15" s="3"/>
    </row>
    <row r="16" spans="1:3" ht="15" customHeight="1" x14ac:dyDescent="0.25">
      <c r="B16" s="5" t="s">
        <v>33</v>
      </c>
      <c r="C16" s="45">
        <v>0.1</v>
      </c>
    </row>
    <row r="17" spans="1:3" ht="15" customHeight="1" x14ac:dyDescent="0.25">
      <c r="B17" s="5" t="s">
        <v>30</v>
      </c>
      <c r="C17" s="45">
        <v>0.01</v>
      </c>
    </row>
    <row r="18" spans="1:3" ht="15" customHeight="1" x14ac:dyDescent="0.25">
      <c r="B18" s="5" t="s">
        <v>31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34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12</v>
      </c>
    </row>
    <row r="23" spans="1:3" ht="15" customHeight="1" x14ac:dyDescent="0.25">
      <c r="B23" s="15" t="s">
        <v>45</v>
      </c>
      <c r="C23" s="45">
        <v>8.9200000000000002E-2</v>
      </c>
    </row>
    <row r="24" spans="1:3" ht="15" customHeight="1" x14ac:dyDescent="0.25">
      <c r="B24" s="15" t="s">
        <v>46</v>
      </c>
      <c r="C24" s="45">
        <v>0.50560000000000005</v>
      </c>
    </row>
    <row r="25" spans="1:3" ht="15" customHeight="1" x14ac:dyDescent="0.25">
      <c r="B25" s="15" t="s">
        <v>47</v>
      </c>
      <c r="C25" s="45">
        <v>0.33439999999999998</v>
      </c>
    </row>
    <row r="26" spans="1:3" ht="15" customHeight="1" x14ac:dyDescent="0.25">
      <c r="B26" s="15" t="s">
        <v>48</v>
      </c>
      <c r="C26" s="45">
        <v>7.0800000000000002E-2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22</v>
      </c>
      <c r="B28" s="15"/>
      <c r="C28" s="15"/>
    </row>
    <row r="29" spans="1:3" ht="14.25" customHeight="1" x14ac:dyDescent="0.25">
      <c r="B29" s="25" t="s">
        <v>27</v>
      </c>
      <c r="C29" s="45">
        <v>0.219379248368272</v>
      </c>
    </row>
    <row r="30" spans="1:3" ht="14.25" customHeight="1" x14ac:dyDescent="0.25">
      <c r="B30" s="25" t="s">
        <v>63</v>
      </c>
      <c r="C30" s="99">
        <v>3.6089788005909E-2</v>
      </c>
    </row>
    <row r="31" spans="1:3" ht="14.25" customHeight="1" x14ac:dyDescent="0.25">
      <c r="B31" s="25" t="s">
        <v>10</v>
      </c>
      <c r="C31" s="99">
        <v>9.1984534254138703E-2</v>
      </c>
    </row>
    <row r="32" spans="1:3" ht="14.25" customHeight="1" x14ac:dyDescent="0.25">
      <c r="B32" s="25" t="s">
        <v>11</v>
      </c>
      <c r="C32" s="99">
        <v>0.65254642937168006</v>
      </c>
    </row>
    <row r="33" spans="1:5" ht="13" customHeight="1" x14ac:dyDescent="0.25">
      <c r="B33" s="27" t="s">
        <v>60</v>
      </c>
      <c r="C33" s="48">
        <f>SUM(C29:C32)</f>
        <v>0.99999999999999978</v>
      </c>
    </row>
    <row r="34" spans="1:5" ht="15" customHeight="1" x14ac:dyDescent="0.25"/>
    <row r="35" spans="1:5" ht="15" customHeight="1" x14ac:dyDescent="0.3">
      <c r="A35" s="4" t="s">
        <v>20</v>
      </c>
    </row>
    <row r="36" spans="1:5" ht="15" customHeight="1" x14ac:dyDescent="0.25">
      <c r="A36" s="8" t="s">
        <v>37</v>
      </c>
      <c r="B36" s="5"/>
    </row>
    <row r="37" spans="1:5" ht="15" customHeight="1" x14ac:dyDescent="0.25">
      <c r="B37" s="11" t="s">
        <v>38</v>
      </c>
      <c r="C37" s="43">
        <v>29.24811</v>
      </c>
    </row>
    <row r="38" spans="1:5" ht="15" customHeight="1" x14ac:dyDescent="0.25">
      <c r="B38" s="11" t="s">
        <v>35</v>
      </c>
      <c r="C38" s="43">
        <v>55.173659999999998</v>
      </c>
      <c r="D38" s="12"/>
      <c r="E38" s="13"/>
    </row>
    <row r="39" spans="1:5" ht="15" customHeight="1" x14ac:dyDescent="0.25">
      <c r="B39" s="11" t="s">
        <v>61</v>
      </c>
      <c r="C39" s="43">
        <v>83.524249999999995</v>
      </c>
      <c r="D39" s="12"/>
      <c r="E39" s="12"/>
    </row>
    <row r="40" spans="1:5" ht="15" customHeight="1" x14ac:dyDescent="0.25">
      <c r="B40" s="11" t="s">
        <v>36</v>
      </c>
      <c r="C40" s="100">
        <v>5.23</v>
      </c>
    </row>
    <row r="41" spans="1:5" ht="15" customHeight="1" x14ac:dyDescent="0.25">
      <c r="B41" s="11" t="s">
        <v>32</v>
      </c>
      <c r="C41" s="45">
        <v>0.12</v>
      </c>
    </row>
    <row r="42" spans="1:5" ht="15" customHeight="1" x14ac:dyDescent="0.25">
      <c r="B42" s="11" t="s">
        <v>57</v>
      </c>
      <c r="C42" s="43">
        <v>20.004549999999998</v>
      </c>
    </row>
    <row r="43" spans="1:5" ht="15.75" customHeight="1" x14ac:dyDescent="0.25">
      <c r="D43" s="12"/>
    </row>
    <row r="44" spans="1:5" ht="15.75" customHeight="1" x14ac:dyDescent="0.25">
      <c r="A44" s="8" t="s">
        <v>21</v>
      </c>
      <c r="D44" s="12"/>
    </row>
    <row r="45" spans="1:5" ht="15.75" customHeight="1" x14ac:dyDescent="0.25">
      <c r="B45" s="11" t="s">
        <v>52</v>
      </c>
      <c r="C45" s="45">
        <v>5.8957000000000002E-3</v>
      </c>
      <c r="D45" s="12"/>
    </row>
    <row r="46" spans="1:5" ht="15.75" customHeight="1" x14ac:dyDescent="0.25">
      <c r="B46" s="11" t="s">
        <v>51</v>
      </c>
      <c r="C46" s="45">
        <v>6.3348000000000002E-2</v>
      </c>
      <c r="D46" s="12"/>
    </row>
    <row r="47" spans="1:5" ht="15.75" customHeight="1" x14ac:dyDescent="0.25">
      <c r="B47" s="11" t="s">
        <v>59</v>
      </c>
      <c r="C47" s="45">
        <v>7.5394799999999998E-2</v>
      </c>
      <c r="D47" s="12"/>
      <c r="E47" s="13"/>
    </row>
    <row r="48" spans="1:5" ht="15" customHeight="1" x14ac:dyDescent="0.25">
      <c r="B48" s="11" t="s">
        <v>58</v>
      </c>
      <c r="C48" s="46">
        <v>0.85536150000000011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25</v>
      </c>
      <c r="D50" s="12"/>
    </row>
    <row r="51" spans="1:4" ht="15.75" customHeight="1" x14ac:dyDescent="0.25">
      <c r="B51" s="11" t="s">
        <v>17</v>
      </c>
      <c r="C51" s="100">
        <v>3.3</v>
      </c>
      <c r="D51" s="12"/>
    </row>
    <row r="52" spans="1:4" ht="15" customHeight="1" x14ac:dyDescent="0.25">
      <c r="B52" s="11" t="s">
        <v>13</v>
      </c>
      <c r="C52" s="100">
        <v>3.3</v>
      </c>
    </row>
    <row r="53" spans="1:4" ht="15.75" customHeight="1" x14ac:dyDescent="0.25">
      <c r="B53" s="11" t="s">
        <v>16</v>
      </c>
      <c r="C53" s="100">
        <v>3.3</v>
      </c>
    </row>
    <row r="54" spans="1:4" ht="15.75" customHeight="1" x14ac:dyDescent="0.25">
      <c r="B54" s="11" t="s">
        <v>14</v>
      </c>
      <c r="C54" s="100">
        <v>3.3</v>
      </c>
    </row>
    <row r="55" spans="1:4" ht="15.75" customHeight="1" x14ac:dyDescent="0.25">
      <c r="B55" s="11" t="s">
        <v>15</v>
      </c>
      <c r="C55" s="100">
        <v>3.3</v>
      </c>
    </row>
    <row r="57" spans="1:4" ht="15.75" customHeight="1" x14ac:dyDescent="0.25">
      <c r="A57" s="8" t="s">
        <v>39</v>
      </c>
    </row>
    <row r="58" spans="1:4" ht="15.75" customHeight="1" x14ac:dyDescent="0.25">
      <c r="B58" s="5" t="s">
        <v>42</v>
      </c>
      <c r="C58" s="45">
        <v>2.181818181818182E-2</v>
      </c>
    </row>
    <row r="59" spans="1:4" ht="15.75" customHeight="1" x14ac:dyDescent="0.25">
      <c r="B59" s="11" t="s">
        <v>40</v>
      </c>
      <c r="C59" s="45">
        <v>0.41818299999999992</v>
      </c>
    </row>
    <row r="60" spans="1:4" ht="15.75" customHeight="1" x14ac:dyDescent="0.25">
      <c r="B60" s="11" t="s">
        <v>54</v>
      </c>
      <c r="C60" s="45">
        <v>4.5999999999999999E-2</v>
      </c>
    </row>
    <row r="61" spans="1:4" ht="15.75" customHeight="1" x14ac:dyDescent="0.25">
      <c r="B61" s="11" t="s">
        <v>53</v>
      </c>
      <c r="C61" s="45">
        <v>1.4E-2</v>
      </c>
    </row>
    <row r="62" spans="1:4" ht="15.75" customHeight="1" x14ac:dyDescent="0.25">
      <c r="B62" s="11" t="s">
        <v>64</v>
      </c>
      <c r="C62" s="44">
        <v>0.16890917</v>
      </c>
    </row>
    <row r="63" spans="1:4" ht="15.75" customHeight="1" x14ac:dyDescent="0.3">
      <c r="A63" s="4"/>
    </row>
  </sheetData>
  <sheetProtection algorithmName="SHA-512" hashValue="26hdNAqNK5lEL6sS3PplGOaw0OhH3NMJ3BVh9qJT/6Y6KfiEpicehB74hmV4SlAnCmUFq8FDq6jgNiquFF/FIw==" saltValue="lid1jlq4Bm6sMuHlPiaqJ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73</v>
      </c>
      <c r="B1" s="20" t="s">
        <v>66</v>
      </c>
      <c r="C1" s="18" t="s">
        <v>68</v>
      </c>
      <c r="D1" s="18" t="s">
        <v>69</v>
      </c>
      <c r="E1" s="18" t="s">
        <v>70</v>
      </c>
      <c r="F1" s="18" t="s">
        <v>71</v>
      </c>
      <c r="G1" s="18" t="s">
        <v>67</v>
      </c>
      <c r="H1" s="18" t="s">
        <v>65</v>
      </c>
      <c r="I1" s="18" t="s">
        <v>72</v>
      </c>
    </row>
    <row r="2" spans="1:9" ht="15.75" customHeight="1" x14ac:dyDescent="0.25">
      <c r="A2" s="5">
        <f>start_year</f>
        <v>2024</v>
      </c>
      <c r="B2" s="49">
        <v>493211</v>
      </c>
      <c r="C2" s="49">
        <v>884702.99999999988</v>
      </c>
      <c r="D2" s="49">
        <v>1158486</v>
      </c>
      <c r="E2" s="49">
        <v>852322</v>
      </c>
      <c r="F2" s="49">
        <v>520757.99999999988</v>
      </c>
      <c r="G2" s="17">
        <f t="shared" ref="G2:G13" si="0">C2+D2+E2+F2</f>
        <v>3416269</v>
      </c>
      <c r="H2" s="17">
        <f t="shared" ref="H2:H13" si="1">(B2 + stillbirth*B2/(1000-stillbirth))/(1-abortion)</f>
        <v>571907.80370923714</v>
      </c>
      <c r="I2" s="17">
        <f t="shared" ref="I2:I13" si="2">G2-H2</f>
        <v>2844361.1962907631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500276</v>
      </c>
      <c r="C3" s="50">
        <v>907771.50000000012</v>
      </c>
      <c r="D3" s="50">
        <v>1188181</v>
      </c>
      <c r="E3" s="50">
        <v>878944</v>
      </c>
      <c r="F3" s="50">
        <v>539119</v>
      </c>
      <c r="G3" s="17">
        <f t="shared" si="0"/>
        <v>3514015.5</v>
      </c>
      <c r="H3" s="17">
        <f t="shared" si="1"/>
        <v>580100.09591927647</v>
      </c>
      <c r="I3" s="17">
        <f t="shared" si="2"/>
        <v>2933915.4040807234</v>
      </c>
    </row>
    <row r="4" spans="1:9" ht="15.75" customHeight="1" x14ac:dyDescent="0.25">
      <c r="A4" s="5">
        <f t="shared" si="3"/>
        <v>2026</v>
      </c>
      <c r="B4" s="49">
        <v>506382</v>
      </c>
      <c r="C4" s="50">
        <v>931435.5</v>
      </c>
      <c r="D4" s="50">
        <v>1221378</v>
      </c>
      <c r="E4" s="50">
        <v>904027.5</v>
      </c>
      <c r="F4" s="50">
        <v>558052.5</v>
      </c>
      <c r="G4" s="17">
        <f t="shared" si="0"/>
        <v>3614893.5</v>
      </c>
      <c r="H4" s="17">
        <f t="shared" si="1"/>
        <v>587180.36997936154</v>
      </c>
      <c r="I4" s="17">
        <f t="shared" si="2"/>
        <v>3027713.1300206385</v>
      </c>
    </row>
    <row r="5" spans="1:9" ht="15.75" customHeight="1" x14ac:dyDescent="0.25">
      <c r="A5" s="5">
        <f t="shared" si="3"/>
        <v>2027</v>
      </c>
      <c r="B5" s="49">
        <v>512962</v>
      </c>
      <c r="C5" s="50">
        <v>956419.50000000012</v>
      </c>
      <c r="D5" s="50">
        <v>1256409.5</v>
      </c>
      <c r="E5" s="50">
        <v>928874</v>
      </c>
      <c r="F5" s="50">
        <v>577478</v>
      </c>
      <c r="G5" s="17">
        <f t="shared" si="0"/>
        <v>3719181</v>
      </c>
      <c r="H5" s="17">
        <f t="shared" si="1"/>
        <v>594810.27553379314</v>
      </c>
      <c r="I5" s="17">
        <f t="shared" si="2"/>
        <v>3124370.724466207</v>
      </c>
    </row>
    <row r="6" spans="1:9" ht="15.75" customHeight="1" x14ac:dyDescent="0.25">
      <c r="A6" s="5">
        <f t="shared" si="3"/>
        <v>2028</v>
      </c>
      <c r="B6" s="49">
        <v>519717</v>
      </c>
      <c r="C6" s="50">
        <v>984195.49999999977</v>
      </c>
      <c r="D6" s="50">
        <v>1291887</v>
      </c>
      <c r="E6" s="50">
        <v>953932</v>
      </c>
      <c r="F6" s="50">
        <v>597477</v>
      </c>
      <c r="G6" s="17">
        <f t="shared" si="0"/>
        <v>3827491.5</v>
      </c>
      <c r="H6" s="17">
        <f t="shared" si="1"/>
        <v>602643.10410828947</v>
      </c>
      <c r="I6" s="17">
        <f t="shared" si="2"/>
        <v>3224848.3958917107</v>
      </c>
    </row>
    <row r="7" spans="1:9" ht="15.75" customHeight="1" x14ac:dyDescent="0.25">
      <c r="A7" s="5">
        <f t="shared" si="3"/>
        <v>2029</v>
      </c>
      <c r="B7" s="49">
        <v>527200</v>
      </c>
      <c r="C7" s="50">
        <v>1014036</v>
      </c>
      <c r="D7" s="50">
        <v>1328074.5</v>
      </c>
      <c r="E7" s="50">
        <v>979690.99999999988</v>
      </c>
      <c r="F7" s="50">
        <v>617659</v>
      </c>
      <c r="G7" s="17">
        <f t="shared" si="0"/>
        <v>3939460.5</v>
      </c>
      <c r="H7" s="17">
        <f t="shared" si="1"/>
        <v>611320.09244625492</v>
      </c>
      <c r="I7" s="17">
        <f t="shared" si="2"/>
        <v>3328140.407553745</v>
      </c>
    </row>
    <row r="8" spans="1:9" ht="15.75" customHeight="1" x14ac:dyDescent="0.25">
      <c r="A8" s="5">
        <f t="shared" si="3"/>
        <v>2030</v>
      </c>
      <c r="B8" s="49">
        <v>533349</v>
      </c>
      <c r="C8" s="50">
        <v>1045271.5</v>
      </c>
      <c r="D8" s="50">
        <v>1365489.5</v>
      </c>
      <c r="E8" s="50">
        <v>1005936</v>
      </c>
      <c r="F8" s="50">
        <v>637238.5</v>
      </c>
      <c r="G8" s="17">
        <f t="shared" si="0"/>
        <v>4053935.5</v>
      </c>
      <c r="H8" s="17">
        <f t="shared" si="1"/>
        <v>618450.22759127</v>
      </c>
      <c r="I8" s="17">
        <f t="shared" si="2"/>
        <v>3435485.2724087299</v>
      </c>
    </row>
    <row r="9" spans="1:9" ht="15.75" customHeight="1" x14ac:dyDescent="0.25">
      <c r="A9" s="5">
        <f t="shared" si="3"/>
        <v>2031</v>
      </c>
      <c r="B9" s="49">
        <v>540373</v>
      </c>
      <c r="C9" s="50">
        <v>1077497.5</v>
      </c>
      <c r="D9" s="50">
        <v>1404243</v>
      </c>
      <c r="E9" s="50">
        <v>1032490.5</v>
      </c>
      <c r="F9" s="50">
        <v>656345</v>
      </c>
      <c r="G9" s="17">
        <f t="shared" si="0"/>
        <v>4170576</v>
      </c>
      <c r="H9" s="17">
        <f t="shared" si="1"/>
        <v>626594.97783660865</v>
      </c>
      <c r="I9" s="17">
        <f t="shared" si="2"/>
        <v>3543981.0221633911</v>
      </c>
    </row>
    <row r="10" spans="1:9" ht="15.75" customHeight="1" x14ac:dyDescent="0.25">
      <c r="A10" s="5">
        <f t="shared" si="3"/>
        <v>2032</v>
      </c>
      <c r="B10" s="49">
        <v>547302</v>
      </c>
      <c r="C10" s="50">
        <v>1109232</v>
      </c>
      <c r="D10" s="50">
        <v>1444209.5</v>
      </c>
      <c r="E10" s="50">
        <v>1060128.5</v>
      </c>
      <c r="F10" s="50">
        <v>675639.5</v>
      </c>
      <c r="G10" s="17">
        <f t="shared" si="0"/>
        <v>4289209.5</v>
      </c>
      <c r="H10" s="17">
        <f t="shared" si="1"/>
        <v>634629.56987105496</v>
      </c>
      <c r="I10" s="17">
        <f t="shared" si="2"/>
        <v>3654579.930128945</v>
      </c>
    </row>
    <row r="11" spans="1:9" ht="15.75" customHeight="1" x14ac:dyDescent="0.25">
      <c r="A11" s="5">
        <f t="shared" si="3"/>
        <v>2033</v>
      </c>
      <c r="B11" s="49">
        <v>556161</v>
      </c>
      <c r="C11" s="50">
        <v>1139330</v>
      </c>
      <c r="D11" s="50">
        <v>1485120</v>
      </c>
      <c r="E11" s="50">
        <v>1089361</v>
      </c>
      <c r="F11" s="50">
        <v>695352.5</v>
      </c>
      <c r="G11" s="17">
        <f t="shared" si="0"/>
        <v>4409163.5</v>
      </c>
      <c r="H11" s="17">
        <f t="shared" si="1"/>
        <v>644902.11292678595</v>
      </c>
      <c r="I11" s="17">
        <f t="shared" si="2"/>
        <v>3764261.3870732142</v>
      </c>
    </row>
    <row r="12" spans="1:9" ht="15.75" customHeight="1" x14ac:dyDescent="0.25">
      <c r="A12" s="5">
        <f t="shared" si="3"/>
        <v>2034</v>
      </c>
      <c r="B12" s="49">
        <v>561597</v>
      </c>
      <c r="C12" s="50">
        <v>1166945.5</v>
      </c>
      <c r="D12" s="50">
        <v>1527513.5</v>
      </c>
      <c r="E12" s="50">
        <v>1118105</v>
      </c>
      <c r="F12" s="50">
        <v>715631</v>
      </c>
      <c r="G12" s="17">
        <f t="shared" si="0"/>
        <v>4528195</v>
      </c>
      <c r="H12" s="17">
        <f t="shared" si="1"/>
        <v>651205.48171005188</v>
      </c>
      <c r="I12" s="17">
        <f t="shared" si="2"/>
        <v>3876989.5182899479</v>
      </c>
    </row>
    <row r="13" spans="1:9" ht="15.75" customHeight="1" x14ac:dyDescent="0.25">
      <c r="A13" s="5">
        <f t="shared" si="3"/>
        <v>2035</v>
      </c>
      <c r="B13" s="49">
        <v>567712</v>
      </c>
      <c r="C13" s="50">
        <v>1192136</v>
      </c>
      <c r="D13" s="50">
        <v>1571748.5</v>
      </c>
      <c r="E13" s="50">
        <v>1147382.5</v>
      </c>
      <c r="F13" s="50">
        <v>738398.5</v>
      </c>
      <c r="G13" s="17">
        <f t="shared" si="0"/>
        <v>4649665.5</v>
      </c>
      <c r="H13" s="17">
        <f t="shared" si="1"/>
        <v>658296.1918111688</v>
      </c>
      <c r="I13" s="17">
        <f t="shared" si="2"/>
        <v>3991369.3081888314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pUNssN+vvfr0Ky0OKpagW7M3zLIc1FQh1typQqAHh+uyG0lMJIPD5SF4A0Y0t0+AlGsAJbgybFyDUXjoiYF7Pw==" saltValue="GuedI2HbzOuMNKuggxpmoQ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82</v>
      </c>
      <c r="C2" s="29" t="s">
        <v>78</v>
      </c>
      <c r="D2" s="29"/>
      <c r="E2" s="29"/>
      <c r="F2" s="29"/>
      <c r="G2" s="29"/>
    </row>
    <row r="3" spans="1:8" ht="15.75" customHeight="1" x14ac:dyDescent="0.25">
      <c r="B3" s="19" t="s">
        <v>93</v>
      </c>
      <c r="C3" s="55">
        <v>2.0984399999999969E-2</v>
      </c>
    </row>
    <row r="4" spans="1:8" ht="15.75" customHeight="1" x14ac:dyDescent="0.25">
      <c r="B4" s="19" t="s">
        <v>97</v>
      </c>
      <c r="C4" s="101">
        <v>5.8862300000000048E-2</v>
      </c>
    </row>
    <row r="5" spans="1:8" ht="15.75" customHeight="1" x14ac:dyDescent="0.25">
      <c r="B5" s="19" t="s">
        <v>95</v>
      </c>
      <c r="C5" s="101">
        <v>8.1531899999999921E-2</v>
      </c>
    </row>
    <row r="6" spans="1:8" ht="15.75" customHeight="1" x14ac:dyDescent="0.25">
      <c r="B6" s="19" t="s">
        <v>91</v>
      </c>
      <c r="C6" s="101">
        <v>0.24317549999999971</v>
      </c>
    </row>
    <row r="7" spans="1:8" ht="15.75" customHeight="1" x14ac:dyDescent="0.25">
      <c r="B7" s="19" t="s">
        <v>96</v>
      </c>
      <c r="C7" s="101">
        <v>0.41259100000000032</v>
      </c>
    </row>
    <row r="8" spans="1:8" ht="15.75" customHeight="1" x14ac:dyDescent="0.25">
      <c r="B8" s="19" t="s">
        <v>98</v>
      </c>
      <c r="C8" s="101">
        <v>4.2646999999999859E-3</v>
      </c>
    </row>
    <row r="9" spans="1:8" ht="15.75" customHeight="1" x14ac:dyDescent="0.25">
      <c r="B9" s="19" t="s">
        <v>92</v>
      </c>
      <c r="C9" s="101">
        <v>6.8128800000000017E-2</v>
      </c>
    </row>
    <row r="10" spans="1:8" ht="15.75" customHeight="1" x14ac:dyDescent="0.25">
      <c r="B10" s="19" t="s">
        <v>94</v>
      </c>
      <c r="C10" s="101">
        <v>0.1104614</v>
      </c>
    </row>
    <row r="11" spans="1:8" ht="15.75" customHeight="1" x14ac:dyDescent="0.25">
      <c r="B11" s="27" t="s">
        <v>60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83</v>
      </c>
      <c r="B13" s="29" t="s">
        <v>82</v>
      </c>
      <c r="C13" s="102" t="s">
        <v>74</v>
      </c>
      <c r="D13" s="102" t="s">
        <v>77</v>
      </c>
      <c r="E13" s="102" t="s">
        <v>75</v>
      </c>
      <c r="F13" s="102" t="s">
        <v>76</v>
      </c>
      <c r="G13" s="19"/>
    </row>
    <row r="14" spans="1:8" ht="15.75" customHeight="1" x14ac:dyDescent="0.25">
      <c r="B14" s="19" t="s">
        <v>84</v>
      </c>
      <c r="C14" s="55">
        <v>0.1476401011076009</v>
      </c>
      <c r="D14" s="55">
        <v>0.1476401011076009</v>
      </c>
      <c r="E14" s="55">
        <v>0.1476401011076009</v>
      </c>
      <c r="F14" s="55">
        <v>0.1476401011076009</v>
      </c>
    </row>
    <row r="15" spans="1:8" ht="15.75" customHeight="1" x14ac:dyDescent="0.25">
      <c r="B15" s="19" t="s">
        <v>102</v>
      </c>
      <c r="C15" s="101">
        <v>0.2011911478036702</v>
      </c>
      <c r="D15" s="101">
        <v>0.2011911478036702</v>
      </c>
      <c r="E15" s="101">
        <v>0.2011911478036702</v>
      </c>
      <c r="F15" s="101">
        <v>0.2011911478036702</v>
      </c>
    </row>
    <row r="16" spans="1:8" ht="15.75" customHeight="1" x14ac:dyDescent="0.25">
      <c r="B16" s="19" t="s">
        <v>2</v>
      </c>
      <c r="C16" s="101">
        <v>3.3435292418148833E-2</v>
      </c>
      <c r="D16" s="101">
        <v>3.3435292418148833E-2</v>
      </c>
      <c r="E16" s="101">
        <v>3.3435292418148833E-2</v>
      </c>
      <c r="F16" s="101">
        <v>3.3435292418148833E-2</v>
      </c>
    </row>
    <row r="17" spans="1:8" ht="15.75" customHeight="1" x14ac:dyDescent="0.25">
      <c r="B17" s="19" t="s">
        <v>90</v>
      </c>
      <c r="C17" s="101">
        <v>3.015832246129279E-2</v>
      </c>
      <c r="D17" s="101">
        <v>3.015832246129279E-2</v>
      </c>
      <c r="E17" s="101">
        <v>3.015832246129279E-2</v>
      </c>
      <c r="F17" s="101">
        <v>3.015832246129279E-2</v>
      </c>
    </row>
    <row r="18" spans="1:8" ht="15.75" customHeight="1" x14ac:dyDescent="0.25">
      <c r="B18" s="19" t="s">
        <v>3</v>
      </c>
      <c r="C18" s="101">
        <v>0.4033046735168701</v>
      </c>
      <c r="D18" s="101">
        <v>0.4033046735168701</v>
      </c>
      <c r="E18" s="101">
        <v>0.4033046735168701</v>
      </c>
      <c r="F18" s="101">
        <v>0.4033046735168701</v>
      </c>
    </row>
    <row r="19" spans="1:8" ht="15.75" customHeight="1" x14ac:dyDescent="0.25">
      <c r="B19" s="19" t="s">
        <v>101</v>
      </c>
      <c r="C19" s="101">
        <v>9.5212102324277494E-3</v>
      </c>
      <c r="D19" s="101">
        <v>9.5212102324277494E-3</v>
      </c>
      <c r="E19" s="101">
        <v>9.5212102324277494E-3</v>
      </c>
      <c r="F19" s="101">
        <v>9.5212102324277494E-3</v>
      </c>
    </row>
    <row r="20" spans="1:8" ht="15.75" customHeight="1" x14ac:dyDescent="0.25">
      <c r="B20" s="19" t="s">
        <v>79</v>
      </c>
      <c r="C20" s="101">
        <v>1.192277409131451E-2</v>
      </c>
      <c r="D20" s="101">
        <v>1.192277409131451E-2</v>
      </c>
      <c r="E20" s="101">
        <v>1.192277409131451E-2</v>
      </c>
      <c r="F20" s="101">
        <v>1.192277409131451E-2</v>
      </c>
    </row>
    <row r="21" spans="1:8" ht="15.75" customHeight="1" x14ac:dyDescent="0.25">
      <c r="B21" s="19" t="s">
        <v>88</v>
      </c>
      <c r="C21" s="101">
        <v>5.6537733251141399E-2</v>
      </c>
      <c r="D21" s="101">
        <v>5.6537733251141399E-2</v>
      </c>
      <c r="E21" s="101">
        <v>5.6537733251141399E-2</v>
      </c>
      <c r="F21" s="101">
        <v>5.6537733251141399E-2</v>
      </c>
    </row>
    <row r="22" spans="1:8" ht="15.75" customHeight="1" x14ac:dyDescent="0.25">
      <c r="B22" s="19" t="s">
        <v>99</v>
      </c>
      <c r="C22" s="101">
        <v>0.1062887451175335</v>
      </c>
      <c r="D22" s="101">
        <v>0.1062887451175335</v>
      </c>
      <c r="E22" s="101">
        <v>0.1062887451175335</v>
      </c>
      <c r="F22" s="101">
        <v>0.1062887451175335</v>
      </c>
    </row>
    <row r="23" spans="1:8" ht="15.75" customHeight="1" x14ac:dyDescent="0.25">
      <c r="B23" s="27" t="s">
        <v>60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104</v>
      </c>
      <c r="B25" s="29" t="s">
        <v>82</v>
      </c>
      <c r="C25" s="29" t="s">
        <v>104</v>
      </c>
      <c r="D25" s="19"/>
      <c r="E25" s="19"/>
      <c r="F25" s="19"/>
      <c r="G25" s="19"/>
      <c r="H25" s="19"/>
    </row>
    <row r="26" spans="1:8" ht="15.75" customHeight="1" x14ac:dyDescent="0.25">
      <c r="B26" s="19" t="s">
        <v>81</v>
      </c>
      <c r="C26" s="55">
        <v>0.215159032</v>
      </c>
    </row>
    <row r="27" spans="1:8" ht="15.75" customHeight="1" x14ac:dyDescent="0.25">
      <c r="B27" s="19" t="s">
        <v>89</v>
      </c>
      <c r="C27" s="101">
        <v>1.8590265000000002E-2</v>
      </c>
    </row>
    <row r="28" spans="1:8" ht="15.75" customHeight="1" x14ac:dyDescent="0.25">
      <c r="B28" s="19" t="s">
        <v>103</v>
      </c>
      <c r="C28" s="101">
        <v>5.4018957999999999E-2</v>
      </c>
    </row>
    <row r="29" spans="1:8" ht="15.75" customHeight="1" x14ac:dyDescent="0.25">
      <c r="B29" s="19" t="s">
        <v>86</v>
      </c>
      <c r="C29" s="101">
        <v>0.129449545</v>
      </c>
    </row>
    <row r="30" spans="1:8" ht="15.75" customHeight="1" x14ac:dyDescent="0.25">
      <c r="B30" s="19" t="s">
        <v>4</v>
      </c>
      <c r="C30" s="101">
        <v>0.14082996</v>
      </c>
    </row>
    <row r="31" spans="1:8" ht="15.75" customHeight="1" x14ac:dyDescent="0.25">
      <c r="B31" s="19" t="s">
        <v>80</v>
      </c>
      <c r="C31" s="101">
        <v>8.710394199999999E-2</v>
      </c>
    </row>
    <row r="32" spans="1:8" ht="15.75" customHeight="1" x14ac:dyDescent="0.25">
      <c r="B32" s="19" t="s">
        <v>85</v>
      </c>
      <c r="C32" s="101">
        <v>1.6266652E-2</v>
      </c>
    </row>
    <row r="33" spans="2:3" ht="15.75" customHeight="1" x14ac:dyDescent="0.25">
      <c r="B33" s="19" t="s">
        <v>100</v>
      </c>
      <c r="C33" s="101">
        <v>8.3666946000000006E-2</v>
      </c>
    </row>
    <row r="34" spans="2:3" ht="15.75" customHeight="1" x14ac:dyDescent="0.25">
      <c r="B34" s="19" t="s">
        <v>87</v>
      </c>
      <c r="C34" s="101">
        <v>0.254914698</v>
      </c>
    </row>
    <row r="35" spans="2:3" ht="15.75" customHeight="1" x14ac:dyDescent="0.25">
      <c r="B35" s="27" t="s">
        <v>60</v>
      </c>
      <c r="C35" s="48">
        <f>SUM(C26:C34)</f>
        <v>0.99999999799999995</v>
      </c>
    </row>
  </sheetData>
  <sheetProtection algorithmName="SHA-512" hashValue="3cM+n9hiD4MKEQiNd65YbpDcKAERWZraqKzvmaougLtAqT0JRGyVo2mzY3jIBOikjEMzY9dwm0pqtdtDcavNZw==" saltValue="CFr70rGMhA6/1J8kt88oj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120</v>
      </c>
      <c r="C1" s="11" t="s">
        <v>78</v>
      </c>
      <c r="D1" s="11" t="s">
        <v>74</v>
      </c>
      <c r="E1" s="11" t="s">
        <v>77</v>
      </c>
      <c r="F1" s="11" t="s">
        <v>75</v>
      </c>
      <c r="G1" s="11" t="s">
        <v>76</v>
      </c>
    </row>
    <row r="2" spans="1:15" ht="15.75" customHeight="1" x14ac:dyDescent="0.25">
      <c r="A2" s="3" t="s">
        <v>121</v>
      </c>
      <c r="B2" s="5" t="s">
        <v>111</v>
      </c>
      <c r="C2" s="52">
        <f>IFERROR(1-_xlfn.NORM.DIST(_xlfn.NORM.INV(SUM(C4:C5), 0, 1) + 1, 0, 1, TRUE), "")</f>
        <v>0.48321991248159657</v>
      </c>
      <c r="D2" s="52">
        <f>IFERROR(1-_xlfn.NORM.DIST(_xlfn.NORM.INV(SUM(D4:D5), 0, 1) + 1, 0, 1, TRUE), "")</f>
        <v>0.48321991248159657</v>
      </c>
      <c r="E2" s="52">
        <f>IFERROR(1-_xlfn.NORM.DIST(_xlfn.NORM.INV(SUM(E4:E5), 0, 1) + 1, 0, 1, TRUE), "")</f>
        <v>0.42070843327853302</v>
      </c>
      <c r="F2" s="52">
        <f>IFERROR(1-_xlfn.NORM.DIST(_xlfn.NORM.INV(SUM(F4:F5), 0, 1) + 1, 0, 1, TRUE), "")</f>
        <v>0.27448072441437388</v>
      </c>
      <c r="G2" s="52">
        <f>IFERROR(1-_xlfn.NORM.DIST(_xlfn.NORM.INV(SUM(G4:G5), 0, 1) + 1, 0, 1, TRUE), "")</f>
        <v>0.24005114336615963</v>
      </c>
    </row>
    <row r="3" spans="1:15" ht="15.75" customHeight="1" x14ac:dyDescent="0.25">
      <c r="B3" s="5" t="s">
        <v>108</v>
      </c>
      <c r="C3" s="52">
        <f>IFERROR(_xlfn.NORM.DIST(_xlfn.NORM.INV(SUM(C4:C5), 0, 1) + 1, 0, 1, TRUE) - SUM(C4:C5), "")</f>
        <v>0.34773008751840345</v>
      </c>
      <c r="D3" s="52">
        <f>IFERROR(_xlfn.NORM.DIST(_xlfn.NORM.INV(SUM(D4:D5), 0, 1) + 1, 0, 1, TRUE) - SUM(D4:D5), "")</f>
        <v>0.34773008751840345</v>
      </c>
      <c r="E3" s="52">
        <f>IFERROR(_xlfn.NORM.DIST(_xlfn.NORM.INV(SUM(E4:E5), 0, 1) + 1, 0, 1, TRUE) - SUM(E4:E5), "")</f>
        <v>0.36741256672146694</v>
      </c>
      <c r="F3" s="52">
        <f>IFERROR(_xlfn.NORM.DIST(_xlfn.NORM.INV(SUM(F4:F5), 0, 1) + 1, 0, 1, TRUE) - SUM(F4:F5), "")</f>
        <v>0.38119247558562608</v>
      </c>
      <c r="G3" s="52">
        <f>IFERROR(_xlfn.NORM.DIST(_xlfn.NORM.INV(SUM(G4:G5), 0, 1) + 1, 0, 1, TRUE) - SUM(G4:G5), "")</f>
        <v>0.37551715663384039</v>
      </c>
    </row>
    <row r="4" spans="1:15" ht="15.75" customHeight="1" x14ac:dyDescent="0.25">
      <c r="B4" s="5" t="s">
        <v>110</v>
      </c>
      <c r="C4" s="45">
        <v>0.11396199999999999</v>
      </c>
      <c r="D4" s="53">
        <v>0.11396199999999999</v>
      </c>
      <c r="E4" s="53">
        <v>0.15460070000000001</v>
      </c>
      <c r="F4" s="53">
        <v>0.22727710000000001</v>
      </c>
      <c r="G4" s="53">
        <v>0.2411103</v>
      </c>
    </row>
    <row r="5" spans="1:15" ht="15.75" customHeight="1" x14ac:dyDescent="0.25">
      <c r="B5" s="5" t="s">
        <v>106</v>
      </c>
      <c r="C5" s="45">
        <v>5.5087999999999998E-2</v>
      </c>
      <c r="D5" s="53">
        <v>5.5087999999999998E-2</v>
      </c>
      <c r="E5" s="53">
        <v>5.7278299999999997E-2</v>
      </c>
      <c r="F5" s="53">
        <v>0.11704970000000001</v>
      </c>
      <c r="G5" s="53">
        <v>0.14332139999999999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122</v>
      </c>
      <c r="B8" s="5" t="s">
        <v>112</v>
      </c>
      <c r="C8" s="52">
        <f>IFERROR(1-_xlfn.NORM.DIST(_xlfn.NORM.INV(SUM(C10:C11), 0, 1) + 1, 0, 1, TRUE), "")</f>
        <v>0.69029906059379409</v>
      </c>
      <c r="D8" s="52">
        <f>IFERROR(1-_xlfn.NORM.DIST(_xlfn.NORM.INV(SUM(D10:D11), 0, 1) + 1, 0, 1, TRUE), "")</f>
        <v>0.69029906059379409</v>
      </c>
      <c r="E8" s="52">
        <f>IFERROR(1-_xlfn.NORM.DIST(_xlfn.NORM.INV(SUM(E10:E11), 0, 1) + 1, 0, 1, TRUE), "")</f>
        <v>0.62065285310597829</v>
      </c>
      <c r="F8" s="52">
        <f>IFERROR(1-_xlfn.NORM.DIST(_xlfn.NORM.INV(SUM(F10:F11), 0, 1) + 1, 0, 1, TRUE), "")</f>
        <v>0.67797610140566311</v>
      </c>
      <c r="G8" s="52">
        <f>IFERROR(1-_xlfn.NORM.DIST(_xlfn.NORM.INV(SUM(G10:G11), 0, 1) + 1, 0, 1, TRUE), "")</f>
        <v>0.81008996300694902</v>
      </c>
    </row>
    <row r="9" spans="1:15" ht="15.75" customHeight="1" x14ac:dyDescent="0.25">
      <c r="B9" s="5" t="s">
        <v>109</v>
      </c>
      <c r="C9" s="52">
        <f>IFERROR(_xlfn.NORM.DIST(_xlfn.NORM.INV(SUM(C10:C11), 0, 1) + 1, 0, 1, TRUE) - SUM(C10:C11), "")</f>
        <v>0.2424650394062059</v>
      </c>
      <c r="D9" s="52">
        <f>IFERROR(_xlfn.NORM.DIST(_xlfn.NORM.INV(SUM(D10:D11), 0, 1) + 1, 0, 1, TRUE) - SUM(D10:D11), "")</f>
        <v>0.2424650394062059</v>
      </c>
      <c r="E9" s="52">
        <f>IFERROR(_xlfn.NORM.DIST(_xlfn.NORM.INV(SUM(E10:E11), 0, 1) + 1, 0, 1, TRUE) - SUM(E10:E11), "")</f>
        <v>0.28377404689402175</v>
      </c>
      <c r="F9" s="52">
        <f>IFERROR(_xlfn.NORM.DIST(_xlfn.NORM.INV(SUM(F10:F11), 0, 1) + 1, 0, 1, TRUE) - SUM(F10:F11), "")</f>
        <v>0.2501596985943369</v>
      </c>
      <c r="G9" s="52">
        <f>IFERROR(_xlfn.NORM.DIST(_xlfn.NORM.INV(SUM(G10:G11), 0, 1) + 1, 0, 1, TRUE) - SUM(G10:G11), "")</f>
        <v>0.159735036993051</v>
      </c>
    </row>
    <row r="10" spans="1:15" ht="15.75" customHeight="1" x14ac:dyDescent="0.25">
      <c r="B10" s="5" t="s">
        <v>107</v>
      </c>
      <c r="C10" s="45">
        <v>4.7805800000000002E-2</v>
      </c>
      <c r="D10" s="53">
        <v>4.7805800000000002E-2</v>
      </c>
      <c r="E10" s="53">
        <v>7.5145600000000007E-2</v>
      </c>
      <c r="F10" s="53">
        <v>5.4266699999999987E-2</v>
      </c>
      <c r="G10" s="53">
        <v>2.5541999999999999E-2</v>
      </c>
    </row>
    <row r="11" spans="1:15" ht="15.75" customHeight="1" x14ac:dyDescent="0.25">
      <c r="B11" s="5" t="s">
        <v>119</v>
      </c>
      <c r="C11" s="45">
        <v>1.9430099999999999E-2</v>
      </c>
      <c r="D11" s="53">
        <v>1.9430099999999999E-2</v>
      </c>
      <c r="E11" s="53">
        <v>2.0427500000000001E-2</v>
      </c>
      <c r="F11" s="53">
        <v>1.7597499999999999E-2</v>
      </c>
      <c r="G11" s="53">
        <v>4.633E-3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105</v>
      </c>
      <c r="C13" s="11" t="s">
        <v>78</v>
      </c>
      <c r="D13" s="11" t="s">
        <v>74</v>
      </c>
      <c r="E13" s="11" t="s">
        <v>77</v>
      </c>
      <c r="F13" s="11" t="s">
        <v>75</v>
      </c>
      <c r="G13" s="11" t="s">
        <v>76</v>
      </c>
      <c r="H13" s="18" t="s">
        <v>113</v>
      </c>
      <c r="I13" s="18" t="s">
        <v>114</v>
      </c>
      <c r="J13" s="18" t="s">
        <v>115</v>
      </c>
      <c r="K13" s="18" t="s">
        <v>116</v>
      </c>
      <c r="L13" s="18" t="s">
        <v>68</v>
      </c>
      <c r="M13" s="18" t="s">
        <v>69</v>
      </c>
      <c r="N13" s="18" t="s">
        <v>70</v>
      </c>
      <c r="O13" s="18" t="s">
        <v>71</v>
      </c>
    </row>
    <row r="14" spans="1:15" ht="15.75" customHeight="1" x14ac:dyDescent="0.25">
      <c r="B14" s="11" t="s">
        <v>117</v>
      </c>
      <c r="C14" s="51">
        <v>0.6963869907500001</v>
      </c>
      <c r="D14" s="54">
        <v>0.68976179290899997</v>
      </c>
      <c r="E14" s="54">
        <v>0.68976179290899997</v>
      </c>
      <c r="F14" s="54">
        <v>0.61698490867699995</v>
      </c>
      <c r="G14" s="54">
        <v>0.61698490867699995</v>
      </c>
      <c r="H14" s="45">
        <v>0.55500000000000005</v>
      </c>
      <c r="I14" s="55">
        <v>0.55500000000000005</v>
      </c>
      <c r="J14" s="55">
        <v>0.55500000000000005</v>
      </c>
      <c r="K14" s="55">
        <v>0.55500000000000005</v>
      </c>
      <c r="L14" s="45">
        <v>0.46</v>
      </c>
      <c r="M14" s="55">
        <v>0.46</v>
      </c>
      <c r="N14" s="55">
        <v>0.46</v>
      </c>
      <c r="O14" s="55">
        <v>0.46</v>
      </c>
    </row>
    <row r="15" spans="1:15" ht="15.75" customHeight="1" x14ac:dyDescent="0.25">
      <c r="B15" s="11" t="s">
        <v>118</v>
      </c>
      <c r="C15" s="52">
        <f t="shared" ref="C15:O15" si="0">iron_deficiency_anaemia*C14</f>
        <v>0.29121720095280723</v>
      </c>
      <c r="D15" s="52">
        <f t="shared" si="0"/>
        <v>0.28844665584406426</v>
      </c>
      <c r="E15" s="52">
        <f t="shared" si="0"/>
        <v>0.28844665584406426</v>
      </c>
      <c r="F15" s="52">
        <f t="shared" si="0"/>
        <v>0.25801260006527382</v>
      </c>
      <c r="G15" s="52">
        <f t="shared" si="0"/>
        <v>0.25801260006527382</v>
      </c>
      <c r="H15" s="52">
        <f t="shared" si="0"/>
        <v>0.23209156499999997</v>
      </c>
      <c r="I15" s="52">
        <f t="shared" si="0"/>
        <v>0.23209156499999997</v>
      </c>
      <c r="J15" s="52">
        <f t="shared" si="0"/>
        <v>0.23209156499999997</v>
      </c>
      <c r="K15" s="52">
        <f t="shared" si="0"/>
        <v>0.23209156499999997</v>
      </c>
      <c r="L15" s="52">
        <f t="shared" si="0"/>
        <v>0.19236417999999997</v>
      </c>
      <c r="M15" s="52">
        <f t="shared" si="0"/>
        <v>0.19236417999999997</v>
      </c>
      <c r="N15" s="52">
        <f t="shared" si="0"/>
        <v>0.19236417999999997</v>
      </c>
      <c r="O15" s="52">
        <f t="shared" si="0"/>
        <v>0.19236417999999997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jsetlkiR2mzpLsC4nksPAURROGjaSBmKwBn78pIXwArRtFbPYzlvpWS0rBLT5UZ8jdAuPSs5niPO/sYo43gaaA==" saltValue="L7AckjHMDbz3b+jJH+lun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120</v>
      </c>
      <c r="C1" s="8" t="s">
        <v>78</v>
      </c>
      <c r="D1" s="8" t="s">
        <v>74</v>
      </c>
      <c r="E1" s="8" t="s">
        <v>77</v>
      </c>
      <c r="F1" s="8" t="s">
        <v>75</v>
      </c>
      <c r="G1" s="8" t="s">
        <v>76</v>
      </c>
    </row>
    <row r="2" spans="1:7" x14ac:dyDescent="0.25">
      <c r="A2" s="3" t="s">
        <v>123</v>
      </c>
      <c r="B2" s="3" t="s">
        <v>124</v>
      </c>
      <c r="C2" s="45">
        <v>0.63594139999999999</v>
      </c>
      <c r="D2" s="53">
        <v>0.35273559999999998</v>
      </c>
      <c r="E2" s="53">
        <v>0</v>
      </c>
      <c r="F2" s="53">
        <v>0</v>
      </c>
      <c r="G2" s="53">
        <v>0</v>
      </c>
    </row>
    <row r="3" spans="1:7" x14ac:dyDescent="0.25">
      <c r="B3" s="3" t="s">
        <v>127</v>
      </c>
      <c r="C3" s="53">
        <v>0.27326929999999999</v>
      </c>
      <c r="D3" s="53">
        <v>0.45041550000000002</v>
      </c>
      <c r="E3" s="53">
        <v>0</v>
      </c>
      <c r="F3" s="53">
        <v>0</v>
      </c>
      <c r="G3" s="53">
        <v>0</v>
      </c>
    </row>
    <row r="4" spans="1:7" x14ac:dyDescent="0.25">
      <c r="B4" s="3" t="s">
        <v>126</v>
      </c>
      <c r="C4" s="53">
        <v>4.2228500000000002E-2</v>
      </c>
      <c r="D4" s="53">
        <v>0.1642421</v>
      </c>
      <c r="E4" s="53">
        <v>0.9582254</v>
      </c>
      <c r="F4" s="53">
        <v>0.68788179999999999</v>
      </c>
      <c r="G4" s="53">
        <v>0</v>
      </c>
    </row>
    <row r="5" spans="1:7" x14ac:dyDescent="0.25">
      <c r="B5" s="3" t="s">
        <v>125</v>
      </c>
      <c r="C5" s="52">
        <v>4.8560800000000001E-2</v>
      </c>
      <c r="D5" s="52">
        <v>3.2606700000000002E-2</v>
      </c>
      <c r="E5" s="52">
        <f>1-SUM(E2:E4)</f>
        <v>4.1774599999999995E-2</v>
      </c>
      <c r="F5" s="52">
        <f>1-SUM(F2:F4)</f>
        <v>0.31211820000000001</v>
      </c>
      <c r="G5" s="52">
        <f>1-SUM(G2:G4)</f>
        <v>1</v>
      </c>
    </row>
  </sheetData>
  <sheetProtection algorithmName="SHA-512" hashValue="va1k7wSIDLjiebEJKXhj+uJnWA4ixaVX6ebAdEw/YzE2/mZIcHmOJunzhC44HavMiC/ZZagEzEiNckQlaZESwQ==" saltValue="mPbGK9x6cRCUWSlxVyi5K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135</v>
      </c>
      <c r="B1" s="4" t="s">
        <v>133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136</v>
      </c>
      <c r="B2" s="9" t="s">
        <v>130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138</v>
      </c>
      <c r="B4" s="9" t="s">
        <v>130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128</v>
      </c>
      <c r="B6" s="9" t="s">
        <v>130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104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139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134</v>
      </c>
      <c r="B10" s="11" t="s">
        <v>129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131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37</v>
      </c>
      <c r="B13" s="11" t="s">
        <v>137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132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cHJRzzr4YTNbmsDkr9gf7zZK3hrrWIjNCYpSqBoKdzkKmde+XBgUjLF3ouNHgP+gm4EckN8A/FMpOQyMgdF6Bw==" saltValue="J2gpVUC7STyXU05q+6u1YA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147</v>
      </c>
      <c r="B1" s="4" t="s">
        <v>145</v>
      </c>
    </row>
    <row r="2" spans="1:2" ht="13.25" customHeight="1" x14ac:dyDescent="0.25">
      <c r="A2" s="8" t="s">
        <v>144</v>
      </c>
      <c r="B2" s="41">
        <v>10</v>
      </c>
    </row>
    <row r="3" spans="1:2" ht="13.25" customHeight="1" x14ac:dyDescent="0.25">
      <c r="A3" s="8" t="s">
        <v>143</v>
      </c>
      <c r="B3" s="41">
        <v>10</v>
      </c>
    </row>
    <row r="4" spans="1:2" ht="13.25" customHeight="1" x14ac:dyDescent="0.25">
      <c r="A4" s="8" t="s">
        <v>142</v>
      </c>
      <c r="B4" s="41">
        <v>10</v>
      </c>
    </row>
    <row r="5" spans="1:2" ht="13.25" customHeight="1" x14ac:dyDescent="0.25">
      <c r="A5" s="8" t="s">
        <v>146</v>
      </c>
      <c r="B5" s="41">
        <v>10</v>
      </c>
    </row>
    <row r="6" spans="1:2" ht="13.25" customHeight="1" x14ac:dyDescent="0.25">
      <c r="A6" s="8" t="s">
        <v>140</v>
      </c>
      <c r="B6" s="41">
        <v>10</v>
      </c>
    </row>
    <row r="7" spans="1:2" ht="13.25" customHeight="1" x14ac:dyDescent="0.25">
      <c r="A7" s="8" t="s">
        <v>141</v>
      </c>
      <c r="B7" s="41">
        <v>10</v>
      </c>
    </row>
  </sheetData>
  <sheetProtection algorithmName="SHA-512" hashValue="1HNSONZAlY4cWTDEguw9E7P9tYGHcQ42ujo58RTeyDnMnim7EZhaQilV4WgX1l9/cky/dozqpqtb6m34sTLZeg==" saltValue="VtNaafgRc7yEHmYlXhKOa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154</v>
      </c>
      <c r="B1" s="36" t="s">
        <v>156</v>
      </c>
      <c r="C1" s="36" t="s">
        <v>150</v>
      </c>
      <c r="D1" s="36" t="s">
        <v>149</v>
      </c>
      <c r="E1" s="36" t="s">
        <v>155</v>
      </c>
    </row>
    <row r="2" spans="1:5" ht="13" customHeight="1" x14ac:dyDescent="0.3">
      <c r="A2" s="34" t="s">
        <v>151</v>
      </c>
      <c r="B2" s="32" t="s">
        <v>104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78</v>
      </c>
      <c r="C3" s="47"/>
      <c r="D3" s="47" t="s">
        <v>5</v>
      </c>
      <c r="E3" s="38" t="str">
        <f>IF(E$7="","",E$7)</f>
        <v/>
      </c>
    </row>
    <row r="4" spans="1:5" ht="13.25" customHeight="1" x14ac:dyDescent="0.25">
      <c r="B4" s="32" t="s">
        <v>74</v>
      </c>
      <c r="C4" s="47"/>
      <c r="D4" s="47" t="s">
        <v>5</v>
      </c>
      <c r="E4" s="38" t="str">
        <f>IF(E$7="","",E$7)</f>
        <v/>
      </c>
    </row>
    <row r="5" spans="1:5" ht="13.25" customHeight="1" x14ac:dyDescent="0.25">
      <c r="B5" s="32" t="s">
        <v>77</v>
      </c>
      <c r="C5" s="47"/>
      <c r="D5" s="47" t="s">
        <v>5</v>
      </c>
      <c r="E5" s="38" t="str">
        <f>IF(E$7="","",E$7)</f>
        <v/>
      </c>
    </row>
    <row r="6" spans="1:5" ht="13.25" customHeight="1" x14ac:dyDescent="0.25">
      <c r="B6" s="32" t="s">
        <v>75</v>
      </c>
      <c r="C6" s="47"/>
      <c r="D6" s="47" t="s">
        <v>5</v>
      </c>
      <c r="E6" s="38" t="str">
        <f>IF(E$7="","",E$7)</f>
        <v/>
      </c>
    </row>
    <row r="7" spans="1:5" ht="13.25" customHeight="1" x14ac:dyDescent="0.25">
      <c r="B7" s="32" t="s">
        <v>148</v>
      </c>
      <c r="C7" s="31"/>
      <c r="D7" s="30"/>
      <c r="E7" s="47"/>
    </row>
    <row r="9" spans="1:5" ht="13" customHeight="1" x14ac:dyDescent="0.3">
      <c r="A9" s="34" t="s">
        <v>152</v>
      </c>
      <c r="B9" s="32" t="s">
        <v>104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78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74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77</v>
      </c>
      <c r="C12" s="47"/>
      <c r="D12" s="47" t="s">
        <v>5</v>
      </c>
      <c r="E12" s="38" t="str">
        <f>IF(E$7="","",E$7)</f>
        <v/>
      </c>
    </row>
    <row r="13" spans="1:5" ht="13.25" customHeight="1" x14ac:dyDescent="0.25">
      <c r="B13" s="32" t="s">
        <v>75</v>
      </c>
      <c r="C13" s="47"/>
      <c r="D13" s="47" t="s">
        <v>5</v>
      </c>
      <c r="E13" s="38" t="str">
        <f>IF(E$7="","",E$7)</f>
        <v/>
      </c>
    </row>
    <row r="14" spans="1:5" ht="13.25" customHeight="1" x14ac:dyDescent="0.25">
      <c r="B14" s="32" t="s">
        <v>148</v>
      </c>
      <c r="C14" s="31"/>
      <c r="D14" s="30"/>
      <c r="E14" s="47"/>
    </row>
    <row r="16" spans="1:5" ht="13" customHeight="1" x14ac:dyDescent="0.3">
      <c r="A16" s="34" t="s">
        <v>153</v>
      </c>
      <c r="B16" s="32" t="s">
        <v>104</v>
      </c>
      <c r="C16" s="47"/>
      <c r="D16" s="47" t="s">
        <v>5</v>
      </c>
      <c r="E16" s="38" t="str">
        <f>IF(E$7="","",E$7)</f>
        <v/>
      </c>
    </row>
    <row r="17" spans="2:5" ht="13.25" customHeight="1" x14ac:dyDescent="0.25">
      <c r="B17" s="32" t="s">
        <v>78</v>
      </c>
      <c r="C17" s="47"/>
      <c r="D17" s="47" t="s">
        <v>5</v>
      </c>
      <c r="E17" s="38" t="str">
        <f>IF(E$7="","",E$7)</f>
        <v/>
      </c>
    </row>
    <row r="18" spans="2:5" ht="13.25" customHeight="1" x14ac:dyDescent="0.25">
      <c r="B18" s="32" t="s">
        <v>74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77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75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148</v>
      </c>
      <c r="C21" s="31"/>
      <c r="D21" s="30"/>
      <c r="E21" s="47"/>
    </row>
  </sheetData>
  <sheetProtection algorithmName="SHA-512" hashValue="6CFgWI76FJoA9Ua68/Dzejvt8fH3sXHuJF2fcY7Ykx+z2HsnLLhSlNJfpBsqnsTWER95cBYBU6Ho/vMv39tQSA==" saltValue="0mXzJnqug7+l+IDr/+PKY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159</v>
      </c>
      <c r="C1" s="40" t="s">
        <v>161</v>
      </c>
      <c r="D1" s="40" t="s">
        <v>157</v>
      </c>
    </row>
    <row r="2" spans="1:4" ht="13" customHeight="1" x14ac:dyDescent="0.3">
      <c r="A2" s="40" t="s">
        <v>163</v>
      </c>
      <c r="B2" s="32" t="s">
        <v>164</v>
      </c>
      <c r="C2" s="32" t="s">
        <v>162</v>
      </c>
      <c r="D2" s="47"/>
    </row>
    <row r="3" spans="1:4" ht="13" customHeight="1" x14ac:dyDescent="0.3">
      <c r="A3" s="40" t="s">
        <v>160</v>
      </c>
      <c r="B3" s="32" t="s">
        <v>150</v>
      </c>
      <c r="C3" s="32" t="s">
        <v>158</v>
      </c>
      <c r="D3" s="47"/>
    </row>
  </sheetData>
  <sheetProtection algorithmName="SHA-512" hashValue="4uSn6801VreP8pKHco/2c4efZ9EfingfL3TDwnt9I/+Lk2ri+9MWBgz2SGGY5BjGun1ts2b6XEs7QKAS2uto2w==" saltValue="IwsTMf/EpzbPa7eK06R6O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163</v>
      </c>
      <c r="B1" s="22" t="str">
        <f>"Cobertura de referencia ("&amp;start_year&amp;")"</f>
        <v>Cobertura de referencia (2024)</v>
      </c>
      <c r="C1" s="22" t="s">
        <v>194</v>
      </c>
      <c r="D1" s="22" t="s">
        <v>195</v>
      </c>
      <c r="E1" s="22" t="s">
        <v>168</v>
      </c>
      <c r="F1" s="22" t="s">
        <v>187</v>
      </c>
      <c r="G1" s="22" t="s">
        <v>186</v>
      </c>
    </row>
    <row r="2" spans="1:7" ht="15.75" customHeight="1" x14ac:dyDescent="0.25">
      <c r="A2" s="5" t="s">
        <v>165</v>
      </c>
      <c r="B2" s="45">
        <v>0</v>
      </c>
      <c r="C2" s="98">
        <v>0.95</v>
      </c>
      <c r="D2" s="56">
        <v>65.60734264525216</v>
      </c>
      <c r="E2" s="56" t="s">
        <v>183</v>
      </c>
      <c r="F2" s="98">
        <v>1</v>
      </c>
      <c r="G2" s="98">
        <v>1</v>
      </c>
    </row>
    <row r="3" spans="1:7" ht="15.75" customHeight="1" x14ac:dyDescent="0.25">
      <c r="A3" s="5" t="s">
        <v>166</v>
      </c>
      <c r="B3" s="45">
        <v>0</v>
      </c>
      <c r="C3" s="98">
        <v>0.95</v>
      </c>
      <c r="D3" s="56">
        <v>15.04224757621275</v>
      </c>
      <c r="E3" s="56" t="s">
        <v>183</v>
      </c>
      <c r="F3" s="98">
        <v>1</v>
      </c>
      <c r="G3" s="98">
        <v>1</v>
      </c>
    </row>
    <row r="4" spans="1:7" ht="15.75" customHeight="1" x14ac:dyDescent="0.25">
      <c r="A4" s="5" t="s">
        <v>167</v>
      </c>
      <c r="B4" s="98">
        <v>0</v>
      </c>
      <c r="C4" s="98">
        <v>0.95</v>
      </c>
      <c r="D4" s="56">
        <v>7.2861200073283072</v>
      </c>
      <c r="E4" s="56" t="s">
        <v>183</v>
      </c>
      <c r="F4" s="98">
        <v>1</v>
      </c>
      <c r="G4" s="98">
        <v>1</v>
      </c>
    </row>
    <row r="5" spans="1:7" ht="15.75" customHeight="1" x14ac:dyDescent="0.25">
      <c r="A5" s="5" t="s">
        <v>169</v>
      </c>
      <c r="B5" s="98">
        <v>0</v>
      </c>
      <c r="C5" s="98">
        <v>0.95</v>
      </c>
      <c r="D5" s="56">
        <v>0.27811116005214492</v>
      </c>
      <c r="E5" s="56" t="s">
        <v>183</v>
      </c>
      <c r="F5" s="98">
        <v>1</v>
      </c>
      <c r="G5" s="98">
        <v>1</v>
      </c>
    </row>
    <row r="6" spans="1:7" ht="15.75" customHeight="1" x14ac:dyDescent="0.25">
      <c r="A6" s="5" t="s">
        <v>170</v>
      </c>
      <c r="B6" s="98">
        <v>0</v>
      </c>
      <c r="C6" s="98">
        <v>0.95</v>
      </c>
      <c r="D6" s="56">
        <v>99.99</v>
      </c>
      <c r="E6" s="56" t="s">
        <v>183</v>
      </c>
      <c r="F6" s="98">
        <v>1</v>
      </c>
      <c r="G6" s="98">
        <v>1</v>
      </c>
    </row>
    <row r="7" spans="1:7" ht="15.75" customHeight="1" x14ac:dyDescent="0.25">
      <c r="A7" s="5" t="s">
        <v>171</v>
      </c>
      <c r="B7" s="98">
        <v>0</v>
      </c>
      <c r="C7" s="98">
        <v>0.95</v>
      </c>
      <c r="D7" s="56">
        <v>0.19283527130965261</v>
      </c>
      <c r="E7" s="56" t="s">
        <v>183</v>
      </c>
      <c r="F7" s="98">
        <v>1</v>
      </c>
      <c r="G7" s="98">
        <v>1</v>
      </c>
    </row>
    <row r="8" spans="1:7" ht="15.75" customHeight="1" x14ac:dyDescent="0.25">
      <c r="A8" s="5" t="s">
        <v>172</v>
      </c>
      <c r="B8" s="98">
        <v>0</v>
      </c>
      <c r="C8" s="98">
        <v>0.95</v>
      </c>
      <c r="D8" s="56">
        <v>0.70706266146872643</v>
      </c>
      <c r="E8" s="56" t="s">
        <v>183</v>
      </c>
      <c r="F8" s="98">
        <v>1</v>
      </c>
      <c r="G8" s="98">
        <v>1</v>
      </c>
    </row>
    <row r="9" spans="1:7" ht="15.75" customHeight="1" x14ac:dyDescent="0.25">
      <c r="A9" s="5" t="s">
        <v>173</v>
      </c>
      <c r="B9" s="98">
        <v>0.5</v>
      </c>
      <c r="C9" s="98">
        <v>0.95</v>
      </c>
      <c r="D9" s="56">
        <v>0.32567734710074681</v>
      </c>
      <c r="E9" s="56" t="s">
        <v>183</v>
      </c>
      <c r="F9" s="98">
        <v>1</v>
      </c>
      <c r="G9" s="98">
        <v>1</v>
      </c>
    </row>
    <row r="10" spans="1:7" ht="15.75" customHeight="1" x14ac:dyDescent="0.25">
      <c r="A10" s="11" t="s">
        <v>174</v>
      </c>
      <c r="B10" s="45">
        <v>0.47062090000000001</v>
      </c>
      <c r="C10" s="98">
        <v>0.95</v>
      </c>
      <c r="D10" s="56">
        <v>13.5103361384934</v>
      </c>
      <c r="E10" s="56" t="s">
        <v>183</v>
      </c>
      <c r="F10" s="98">
        <v>1</v>
      </c>
      <c r="G10" s="98">
        <v>1</v>
      </c>
    </row>
    <row r="11" spans="1:7" ht="15.75" customHeight="1" x14ac:dyDescent="0.25">
      <c r="A11" s="11" t="s">
        <v>175</v>
      </c>
      <c r="B11" s="98">
        <v>0</v>
      </c>
      <c r="C11" s="98">
        <v>0.95</v>
      </c>
      <c r="D11" s="56">
        <v>13.5103361384934</v>
      </c>
      <c r="E11" s="56" t="s">
        <v>183</v>
      </c>
      <c r="F11" s="98">
        <v>1</v>
      </c>
      <c r="G11" s="98">
        <v>1</v>
      </c>
    </row>
    <row r="12" spans="1:7" ht="15.75" customHeight="1" x14ac:dyDescent="0.25">
      <c r="A12" s="11" t="s">
        <v>176</v>
      </c>
      <c r="B12" s="98">
        <v>0</v>
      </c>
      <c r="C12" s="98">
        <v>0.95</v>
      </c>
      <c r="D12" s="56">
        <v>13.5103361384934</v>
      </c>
      <c r="E12" s="56" t="s">
        <v>183</v>
      </c>
      <c r="F12" s="98">
        <v>1</v>
      </c>
      <c r="G12" s="98">
        <v>1</v>
      </c>
    </row>
    <row r="13" spans="1:7" ht="15.75" customHeight="1" x14ac:dyDescent="0.25">
      <c r="A13" s="11" t="s">
        <v>177</v>
      </c>
      <c r="B13" s="98">
        <v>0</v>
      </c>
      <c r="C13" s="98">
        <v>0.95</v>
      </c>
      <c r="D13" s="56">
        <v>13.5103361384934</v>
      </c>
      <c r="E13" s="56" t="s">
        <v>183</v>
      </c>
      <c r="F13" s="98">
        <v>1</v>
      </c>
      <c r="G13" s="98">
        <v>1</v>
      </c>
    </row>
    <row r="14" spans="1:7" ht="15.75" customHeight="1" x14ac:dyDescent="0.25">
      <c r="A14" s="5" t="s">
        <v>178</v>
      </c>
      <c r="B14" s="45">
        <v>0.47062090000000001</v>
      </c>
      <c r="C14" s="98">
        <v>0.95</v>
      </c>
      <c r="D14" s="56">
        <v>13.5103361384934</v>
      </c>
      <c r="E14" s="56" t="s">
        <v>183</v>
      </c>
      <c r="F14" s="98">
        <v>1</v>
      </c>
      <c r="G14" s="98">
        <v>1</v>
      </c>
    </row>
    <row r="15" spans="1:7" ht="15.75" customHeight="1" x14ac:dyDescent="0.25">
      <c r="A15" s="5" t="s">
        <v>179</v>
      </c>
      <c r="B15" s="98">
        <v>0</v>
      </c>
      <c r="C15" s="98">
        <v>0.95</v>
      </c>
      <c r="D15" s="56">
        <v>13.5103361384934</v>
      </c>
      <c r="E15" s="56" t="s">
        <v>183</v>
      </c>
      <c r="F15" s="98">
        <v>1</v>
      </c>
      <c r="G15" s="98">
        <v>1</v>
      </c>
    </row>
    <row r="16" spans="1:7" ht="15.75" customHeight="1" x14ac:dyDescent="0.25">
      <c r="A16" s="5" t="s">
        <v>180</v>
      </c>
      <c r="B16" s="45">
        <v>0.72296099999999996</v>
      </c>
      <c r="C16" s="98">
        <v>0.95</v>
      </c>
      <c r="D16" s="56">
        <v>2.503642449664842</v>
      </c>
      <c r="E16" s="56" t="s">
        <v>183</v>
      </c>
      <c r="F16" s="98">
        <v>1</v>
      </c>
      <c r="G16" s="98">
        <v>1</v>
      </c>
    </row>
    <row r="17" spans="1:7" ht="15.75" customHeight="1" x14ac:dyDescent="0.25">
      <c r="A17" s="5" t="s">
        <v>181</v>
      </c>
      <c r="B17" s="98">
        <v>0.12681000000000001</v>
      </c>
      <c r="C17" s="98">
        <v>0.95</v>
      </c>
      <c r="D17" s="56">
        <v>0.1369044839662158</v>
      </c>
      <c r="E17" s="56" t="s">
        <v>183</v>
      </c>
      <c r="F17" s="98">
        <v>1</v>
      </c>
      <c r="G17" s="98">
        <v>1</v>
      </c>
    </row>
    <row r="18" spans="1:7" ht="15.9" customHeight="1" x14ac:dyDescent="0.25">
      <c r="A18" s="5" t="s">
        <v>151</v>
      </c>
      <c r="B18" s="98">
        <v>0.51300000000000001</v>
      </c>
      <c r="C18" s="98">
        <v>0.95</v>
      </c>
      <c r="D18" s="56">
        <v>7.2861200073283072</v>
      </c>
      <c r="E18" s="56" t="s">
        <v>183</v>
      </c>
      <c r="F18" s="98">
        <v>1</v>
      </c>
      <c r="G18" s="98">
        <v>1</v>
      </c>
    </row>
    <row r="19" spans="1:7" ht="15.75" customHeight="1" x14ac:dyDescent="0.25">
      <c r="A19" s="5" t="s">
        <v>152</v>
      </c>
      <c r="B19" s="98">
        <v>0.35273559999999998</v>
      </c>
      <c r="C19" s="98">
        <v>0.95</v>
      </c>
      <c r="D19" s="56">
        <v>7.2861200073283072</v>
      </c>
      <c r="E19" s="56" t="s">
        <v>183</v>
      </c>
      <c r="F19" s="98">
        <v>1</v>
      </c>
      <c r="G19" s="98">
        <v>1</v>
      </c>
    </row>
    <row r="20" spans="1:7" ht="15.75" customHeight="1" x14ac:dyDescent="0.25">
      <c r="A20" s="5" t="s">
        <v>153</v>
      </c>
      <c r="B20" s="98">
        <v>0</v>
      </c>
      <c r="C20" s="98">
        <v>0.95</v>
      </c>
      <c r="D20" s="56">
        <v>99.99</v>
      </c>
      <c r="E20" s="56" t="s">
        <v>183</v>
      </c>
      <c r="F20" s="98">
        <v>1</v>
      </c>
      <c r="G20" s="98">
        <v>1</v>
      </c>
    </row>
    <row r="21" spans="1:7" ht="15.75" customHeight="1" x14ac:dyDescent="0.25">
      <c r="A21" s="5" t="s">
        <v>182</v>
      </c>
      <c r="B21" s="45">
        <v>0</v>
      </c>
      <c r="C21" s="98">
        <v>0.95</v>
      </c>
      <c r="D21" s="56">
        <v>7.4846345450640612</v>
      </c>
      <c r="E21" s="56" t="s">
        <v>183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23.038760198171971</v>
      </c>
      <c r="E22" s="56" t="s">
        <v>183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0.83967060000000004</v>
      </c>
      <c r="C23" s="98">
        <v>0.95</v>
      </c>
      <c r="D23" s="56">
        <v>4.4426820703529186</v>
      </c>
      <c r="E23" s="56" t="s">
        <v>183</v>
      </c>
      <c r="F23" s="98">
        <v>1</v>
      </c>
      <c r="G23" s="98">
        <v>1</v>
      </c>
    </row>
    <row r="24" spans="1:7" ht="15.75" customHeight="1" x14ac:dyDescent="0.25">
      <c r="A24" s="5" t="s">
        <v>188</v>
      </c>
      <c r="B24" s="45">
        <v>0.46026228261281199</v>
      </c>
      <c r="C24" s="98">
        <v>0.95</v>
      </c>
      <c r="D24" s="56">
        <v>99.99</v>
      </c>
      <c r="E24" s="56" t="s">
        <v>183</v>
      </c>
      <c r="F24" s="98">
        <v>1</v>
      </c>
      <c r="G24" s="98">
        <v>1</v>
      </c>
    </row>
    <row r="25" spans="1:7" ht="15.75" customHeight="1" x14ac:dyDescent="0.25">
      <c r="A25" s="5" t="s">
        <v>189</v>
      </c>
      <c r="B25" s="98">
        <v>0</v>
      </c>
      <c r="C25" s="98">
        <v>0.95</v>
      </c>
      <c r="D25" s="56">
        <v>99.99</v>
      </c>
      <c r="E25" s="56" t="s">
        <v>183</v>
      </c>
      <c r="F25" s="98">
        <v>1</v>
      </c>
      <c r="G25" s="98">
        <v>1</v>
      </c>
    </row>
    <row r="26" spans="1:7" ht="15.75" customHeight="1" x14ac:dyDescent="0.25">
      <c r="A26" s="5" t="s">
        <v>190</v>
      </c>
      <c r="B26" s="45">
        <v>1.6E-2</v>
      </c>
      <c r="C26" s="98">
        <v>0.95</v>
      </c>
      <c r="D26" s="56">
        <v>3.4665816434934871</v>
      </c>
      <c r="E26" s="56" t="s">
        <v>183</v>
      </c>
      <c r="F26" s="98">
        <v>1</v>
      </c>
      <c r="G26" s="98">
        <v>1</v>
      </c>
    </row>
    <row r="27" spans="1:7" ht="15.75" customHeight="1" x14ac:dyDescent="0.25">
      <c r="A27" s="5" t="s">
        <v>191</v>
      </c>
      <c r="B27" s="45">
        <v>0</v>
      </c>
      <c r="C27" s="98">
        <v>0.95</v>
      </c>
      <c r="D27" s="56">
        <v>13.803307962555669</v>
      </c>
      <c r="E27" s="56" t="s">
        <v>183</v>
      </c>
      <c r="F27" s="98">
        <v>1</v>
      </c>
      <c r="G27" s="98">
        <v>1</v>
      </c>
    </row>
    <row r="28" spans="1:7" ht="15.75" customHeight="1" x14ac:dyDescent="0.25">
      <c r="A28" s="5" t="s">
        <v>192</v>
      </c>
      <c r="B28" s="45">
        <v>0.2215608</v>
      </c>
      <c r="C28" s="98">
        <v>0.95</v>
      </c>
      <c r="D28" s="56">
        <v>99.99</v>
      </c>
      <c r="E28" s="56" t="s">
        <v>183</v>
      </c>
      <c r="F28" s="98">
        <v>1</v>
      </c>
      <c r="G28" s="98">
        <v>1</v>
      </c>
    </row>
    <row r="29" spans="1:7" ht="15.75" customHeight="1" x14ac:dyDescent="0.25">
      <c r="A29" s="5" t="s">
        <v>193</v>
      </c>
      <c r="B29" s="45">
        <v>0.2588009</v>
      </c>
      <c r="C29" s="98">
        <v>0.95</v>
      </c>
      <c r="D29" s="56">
        <v>88.005851455993124</v>
      </c>
      <c r="E29" s="56" t="s">
        <v>183</v>
      </c>
      <c r="F29" s="98">
        <v>1</v>
      </c>
      <c r="G29" s="98">
        <v>1</v>
      </c>
    </row>
    <row r="30" spans="1:7" ht="15.75" customHeight="1" x14ac:dyDescent="0.25">
      <c r="A30" s="5" t="s">
        <v>204</v>
      </c>
      <c r="B30" s="98">
        <v>0</v>
      </c>
      <c r="C30" s="98">
        <v>0.95</v>
      </c>
      <c r="D30" s="56">
        <v>99</v>
      </c>
      <c r="E30" s="56" t="s">
        <v>183</v>
      </c>
      <c r="F30" s="98">
        <v>1</v>
      </c>
      <c r="G30" s="98">
        <v>1</v>
      </c>
    </row>
    <row r="31" spans="1:7" ht="15.75" customHeight="1" x14ac:dyDescent="0.25">
      <c r="A31" s="5" t="s">
        <v>164</v>
      </c>
      <c r="B31" s="45">
        <v>7.9000000000000008E-3</v>
      </c>
      <c r="C31" s="98">
        <v>0.95</v>
      </c>
      <c r="D31" s="56">
        <v>180.94215297303569</v>
      </c>
      <c r="E31" s="56" t="s">
        <v>183</v>
      </c>
      <c r="F31" s="98">
        <v>1</v>
      </c>
      <c r="G31" s="98">
        <v>1</v>
      </c>
    </row>
    <row r="32" spans="1:7" ht="15.75" customHeight="1" x14ac:dyDescent="0.25">
      <c r="A32" s="5" t="s">
        <v>196</v>
      </c>
      <c r="B32" s="45">
        <v>0.8</v>
      </c>
      <c r="C32" s="98">
        <v>0.95</v>
      </c>
      <c r="D32" s="56">
        <v>0.65266805708153031</v>
      </c>
      <c r="E32" s="56" t="s">
        <v>183</v>
      </c>
      <c r="F32" s="98">
        <v>1</v>
      </c>
      <c r="G32" s="98">
        <v>1</v>
      </c>
    </row>
    <row r="33" spans="1:7" ht="15.75" customHeight="1" x14ac:dyDescent="0.25">
      <c r="A33" s="5" t="s">
        <v>197</v>
      </c>
      <c r="B33" s="45">
        <v>0.1213046</v>
      </c>
      <c r="C33" s="98">
        <v>0.95</v>
      </c>
      <c r="D33" s="56">
        <v>99.99</v>
      </c>
      <c r="E33" s="56" t="s">
        <v>183</v>
      </c>
      <c r="F33" s="98">
        <v>1</v>
      </c>
      <c r="G33" s="98">
        <v>1</v>
      </c>
    </row>
    <row r="34" spans="1:7" ht="15.75" customHeight="1" x14ac:dyDescent="0.25">
      <c r="A34" s="5" t="s">
        <v>198</v>
      </c>
      <c r="B34" s="45">
        <v>0.31415670000000001</v>
      </c>
      <c r="C34" s="98">
        <v>0.95</v>
      </c>
      <c r="D34" s="56">
        <v>99.99</v>
      </c>
      <c r="E34" s="56" t="s">
        <v>183</v>
      </c>
      <c r="F34" s="98">
        <v>1</v>
      </c>
      <c r="G34" s="98">
        <v>1</v>
      </c>
    </row>
    <row r="35" spans="1:7" ht="15.75" customHeight="1" x14ac:dyDescent="0.25">
      <c r="A35" s="5" t="s">
        <v>199</v>
      </c>
      <c r="B35" s="98">
        <v>0</v>
      </c>
      <c r="C35" s="98">
        <v>0.95</v>
      </c>
      <c r="D35" s="56">
        <v>99.99</v>
      </c>
      <c r="E35" s="56" t="s">
        <v>183</v>
      </c>
      <c r="F35" s="98">
        <v>1</v>
      </c>
      <c r="G35" s="98">
        <v>1</v>
      </c>
    </row>
    <row r="36" spans="1:7" ht="15.75" customHeight="1" x14ac:dyDescent="0.25">
      <c r="A36" s="5" t="s">
        <v>200</v>
      </c>
      <c r="B36" s="45">
        <v>1.2729E-3</v>
      </c>
      <c r="C36" s="98">
        <v>0.95</v>
      </c>
      <c r="D36" s="56">
        <v>99.99</v>
      </c>
      <c r="E36" s="56" t="s">
        <v>183</v>
      </c>
      <c r="F36" s="98">
        <v>1</v>
      </c>
      <c r="G36" s="98">
        <v>1</v>
      </c>
    </row>
    <row r="37" spans="1:7" ht="15.75" customHeight="1" x14ac:dyDescent="0.25">
      <c r="A37" s="5" t="s">
        <v>201</v>
      </c>
      <c r="B37" s="45">
        <v>0.38746140000000001</v>
      </c>
      <c r="C37" s="98">
        <v>0.95</v>
      </c>
      <c r="D37" s="56">
        <v>99.99</v>
      </c>
      <c r="E37" s="56" t="s">
        <v>183</v>
      </c>
      <c r="F37" s="98">
        <v>1</v>
      </c>
      <c r="G37" s="98">
        <v>1</v>
      </c>
    </row>
    <row r="38" spans="1:7" ht="15.75" customHeight="1" x14ac:dyDescent="0.25">
      <c r="A38" s="5" t="s">
        <v>202</v>
      </c>
      <c r="B38" s="45">
        <v>0.105</v>
      </c>
      <c r="C38" s="98">
        <v>0.95</v>
      </c>
      <c r="D38" s="56">
        <v>2.4488574538288082</v>
      </c>
      <c r="E38" s="56" t="s">
        <v>183</v>
      </c>
      <c r="F38" s="98">
        <v>1</v>
      </c>
      <c r="G38" s="98">
        <v>1</v>
      </c>
    </row>
    <row r="39" spans="1:7" ht="15.75" customHeight="1" x14ac:dyDescent="0.25">
      <c r="A39" s="5" t="s">
        <v>203</v>
      </c>
      <c r="B39" s="45">
        <v>0</v>
      </c>
      <c r="C39" s="98">
        <v>0.95</v>
      </c>
      <c r="D39" s="56">
        <v>3.4277904548683669</v>
      </c>
      <c r="E39" s="56" t="s">
        <v>183</v>
      </c>
      <c r="F39" s="98">
        <v>1</v>
      </c>
      <c r="G39" s="98">
        <v>1</v>
      </c>
    </row>
  </sheetData>
  <sheetProtection algorithmName="SHA-512" hashValue="8S3dzPs2QvrZNt1ElfJFtVVm6K9hQt/0v5Krc5v1dhxWKYxmeeoZ57n2j/lmE9qhNTkpm7mfw+6eiO19zIq4iA==" saltValue="+/VtKZuNZZH/7rq2ppyCy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7" sqref="B7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163</v>
      </c>
      <c r="B1" s="4" t="s">
        <v>205</v>
      </c>
      <c r="C1" s="4" t="s">
        <v>206</v>
      </c>
    </row>
    <row r="2" spans="1:3" ht="13.25" customHeight="1" x14ac:dyDescent="0.25">
      <c r="A2" s="57" t="s">
        <v>178</v>
      </c>
      <c r="B2" s="47" t="s">
        <v>191</v>
      </c>
      <c r="C2" s="47"/>
    </row>
    <row r="3" spans="1:3" ht="13.25" customHeight="1" x14ac:dyDescent="0.25">
      <c r="A3" s="57" t="s">
        <v>179</v>
      </c>
      <c r="B3" s="47" t="s">
        <v>191</v>
      </c>
      <c r="C3" s="47"/>
    </row>
    <row r="4" spans="1:3" ht="13.25" customHeight="1" x14ac:dyDescent="0.25">
      <c r="A4" s="57" t="s">
        <v>193</v>
      </c>
      <c r="B4" s="47" t="s">
        <v>184</v>
      </c>
      <c r="C4" s="47"/>
    </row>
    <row r="5" spans="1:3" ht="13.25" customHeight="1" x14ac:dyDescent="0.25">
      <c r="A5" s="57" t="s">
        <v>190</v>
      </c>
      <c r="B5" s="47" t="s">
        <v>184</v>
      </c>
      <c r="C5" s="47"/>
    </row>
    <row r="6" spans="1:3" ht="13.25" customHeight="1" x14ac:dyDescent="0.25">
      <c r="A6" s="57" t="s">
        <v>193</v>
      </c>
      <c r="B6" s="58" t="s">
        <v>204</v>
      </c>
      <c r="C6" s="58"/>
    </row>
    <row r="7" spans="1:3" ht="13.25" customHeight="1" x14ac:dyDescent="0.25">
      <c r="A7" s="57" t="s">
        <v>190</v>
      </c>
      <c r="B7" s="58" t="s">
        <v>204</v>
      </c>
      <c r="C7" s="58"/>
    </row>
    <row r="8" spans="1:3" ht="13.25" customHeight="1" x14ac:dyDescent="0.25">
      <c r="A8" s="57" t="s">
        <v>203</v>
      </c>
      <c r="B8" s="58" t="s">
        <v>204</v>
      </c>
      <c r="C8" s="58"/>
    </row>
    <row r="9" spans="1:3" ht="13.25" customHeight="1" x14ac:dyDescent="0.25">
      <c r="A9" s="57"/>
      <c r="B9" s="58"/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ht="13.25" customHeight="1" x14ac:dyDescent="0.25">
      <c r="A17" s="59"/>
      <c r="B17" s="58"/>
      <c r="C17" s="58"/>
    </row>
    <row r="18" spans="1:3" ht="13.25" customHeight="1" x14ac:dyDescent="0.25">
      <c r="A18" s="59"/>
      <c r="B18" s="58"/>
      <c r="C18" s="58"/>
    </row>
    <row r="19" spans="1:3" ht="13.25" customHeight="1" x14ac:dyDescent="0.25">
      <c r="A19" s="57"/>
      <c r="B19" s="58"/>
      <c r="C19" s="58"/>
    </row>
    <row r="20" spans="1:3" ht="13.25" customHeight="1" x14ac:dyDescent="0.25">
      <c r="A20" s="57"/>
      <c r="B20" s="58"/>
      <c r="C20" s="58"/>
    </row>
  </sheetData>
  <sheetProtection algorithmName="SHA-512" hashValue="St/6NzKyHYgDh0KjNPXG+EQXStF6qklqfFHj7Ofd9Jgw69kB1GEP2xo+EEm5dqn89s/PRcNrJmbrMrzvd0gw1g==" saltValue="vrGAJBSRyt3QxZXXeLF7E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163</v>
      </c>
    </row>
    <row r="2" spans="1:1" ht="13.25" customHeight="1" x14ac:dyDescent="0.25">
      <c r="A2" s="33" t="s">
        <v>170</v>
      </c>
    </row>
    <row r="3" spans="1:1" ht="13.25" customHeight="1" x14ac:dyDescent="0.25">
      <c r="A3" s="33" t="s">
        <v>180</v>
      </c>
    </row>
    <row r="4" spans="1:1" ht="13.25" customHeight="1" x14ac:dyDescent="0.25">
      <c r="A4" s="33" t="s">
        <v>185</v>
      </c>
    </row>
    <row r="5" spans="1:1" ht="13.25" customHeight="1" x14ac:dyDescent="0.25">
      <c r="A5" s="33" t="s">
        <v>197</v>
      </c>
    </row>
    <row r="6" spans="1:1" ht="13.25" customHeight="1" x14ac:dyDescent="0.25">
      <c r="A6" s="33" t="s">
        <v>198</v>
      </c>
    </row>
    <row r="7" spans="1:1" ht="13.25" customHeight="1" x14ac:dyDescent="0.25">
      <c r="A7" s="33" t="s">
        <v>199</v>
      </c>
    </row>
    <row r="8" spans="1:1" ht="13.25" customHeight="1" x14ac:dyDescent="0.25">
      <c r="A8" s="33" t="s">
        <v>200</v>
      </c>
    </row>
    <row r="9" spans="1:1" ht="13.25" customHeight="1" x14ac:dyDescent="0.25">
      <c r="A9" s="33" t="s">
        <v>201</v>
      </c>
    </row>
    <row r="10" spans="1:1" ht="13.25" customHeight="1" x14ac:dyDescent="0.25">
      <c r="A10" s="33" t="s">
        <v>164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ht="13.25" customHeight="1" x14ac:dyDescent="0.25">
      <c r="A17" s="33"/>
    </row>
    <row r="18" spans="1:1" ht="13.25" customHeight="1" x14ac:dyDescent="0.25">
      <c r="A18" s="33"/>
    </row>
    <row r="19" spans="1:1" ht="13.25" customHeight="1" x14ac:dyDescent="0.25">
      <c r="A19" s="33"/>
    </row>
  </sheetData>
  <sheetProtection algorithmName="SHA-512" hashValue="FAZySjwoezN60h3IqXSMPRuJR2QCJpHWIyyw0A0YP+AjwiYnvwrVnAcc4LCvCRLwaWBA3NYchKhtx0NS3Old2A==" saltValue="RMi5JdvfwJ+WrdsDlMHVd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208</v>
      </c>
      <c r="B1" t="s">
        <v>78</v>
      </c>
      <c r="C1" t="s">
        <v>74</v>
      </c>
      <c r="D1" t="s">
        <v>77</v>
      </c>
      <c r="E1" t="s">
        <v>75</v>
      </c>
      <c r="F1" t="s">
        <v>76</v>
      </c>
    </row>
    <row r="2" spans="1:6" ht="15.75" customHeight="1" x14ac:dyDescent="0.25">
      <c r="A2" s="3" t="s">
        <v>84</v>
      </c>
      <c r="B2" s="21">
        <f>'Entradas de población-año base'!C51</f>
        <v>3.3</v>
      </c>
      <c r="C2" s="21">
        <f>'Entradas de población-año base'!C52</f>
        <v>3.3</v>
      </c>
      <c r="D2" s="21">
        <f>'Entradas de población-año base'!C53</f>
        <v>3.3</v>
      </c>
      <c r="E2" s="21">
        <f>'Entradas de población-año base'!C54</f>
        <v>3.3</v>
      </c>
      <c r="F2" s="21">
        <f>'Entradas de población-año base'!C55</f>
        <v>3.3</v>
      </c>
    </row>
    <row r="3" spans="1:6" ht="15.75" customHeight="1" x14ac:dyDescent="0.25">
      <c r="A3" s="3" t="s">
        <v>6</v>
      </c>
      <c r="B3" s="21">
        <f>frac_mam_1month * 2.6</f>
        <v>0.12429508000000002</v>
      </c>
      <c r="C3" s="21">
        <f>frac_mam_1_5months * 2.6</f>
        <v>0.12429508000000002</v>
      </c>
      <c r="D3" s="21">
        <f>frac_mam_6_11months * 2.6</f>
        <v>0.19537856000000003</v>
      </c>
      <c r="E3" s="21">
        <f>frac_mam_12_23months * 2.6</f>
        <v>0.14109341999999997</v>
      </c>
      <c r="F3" s="21">
        <f>frac_mam_24_59months * 2.6</f>
        <v>6.6409200000000002E-2</v>
      </c>
    </row>
    <row r="4" spans="1:6" ht="15.75" customHeight="1" x14ac:dyDescent="0.25">
      <c r="A4" s="3" t="s">
        <v>207</v>
      </c>
      <c r="B4" s="21">
        <f>frac_sam_1month * 2.6</f>
        <v>5.0518259999999995E-2</v>
      </c>
      <c r="C4" s="21">
        <f>frac_sam_1_5months * 2.6</f>
        <v>5.0518259999999995E-2</v>
      </c>
      <c r="D4" s="21">
        <f>frac_sam_6_11months * 2.6</f>
        <v>5.3111500000000006E-2</v>
      </c>
      <c r="E4" s="21">
        <f>frac_sam_12_23months * 2.6</f>
        <v>4.5753499999999996E-2</v>
      </c>
      <c r="F4" s="21">
        <f>frac_sam_24_59months * 2.6</f>
        <v>1.2045800000000001E-2</v>
      </c>
    </row>
  </sheetData>
  <sheetProtection algorithmName="SHA-512" hashValue="YEBuoTfnhe9iNtMREahvZ2OaaPZ2MiqMyW+tk5111ZvThjOsz7svPsyR0Q86Me3N+5SA+qG/+vV3n5zk50mWOg==" saltValue="0KVsCfoGbT0vLBV3RP4tZ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">
      <c r="A2" s="4" t="s">
        <v>83</v>
      </c>
      <c r="B2" s="5" t="s">
        <v>167</v>
      </c>
      <c r="C2" s="60">
        <v>0</v>
      </c>
      <c r="D2" s="60">
        <f>food_insecure</f>
        <v>0.495</v>
      </c>
      <c r="E2" s="60">
        <f>food_insecure</f>
        <v>0.495</v>
      </c>
      <c r="F2" s="60">
        <f>food_insecure</f>
        <v>0.495</v>
      </c>
      <c r="G2" s="60">
        <f>food_insecure</f>
        <v>0.495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169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182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0.495</v>
      </c>
      <c r="F5" s="60">
        <f>food_insecure</f>
        <v>0.495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190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192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193</v>
      </c>
      <c r="C8" s="60">
        <v>0</v>
      </c>
      <c r="D8" s="60">
        <v>0</v>
      </c>
      <c r="E8" s="60">
        <f>food_insecure</f>
        <v>0.495</v>
      </c>
      <c r="F8" s="60">
        <f>food_insecure</f>
        <v>0.495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204</v>
      </c>
      <c r="C9" s="60">
        <v>0</v>
      </c>
      <c r="D9" s="60">
        <v>0</v>
      </c>
      <c r="E9" s="60">
        <f>food_insecure</f>
        <v>0.495</v>
      </c>
      <c r="F9" s="60">
        <f>food_insecure</f>
        <v>0.495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164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202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104</v>
      </c>
      <c r="B15" s="9" t="s">
        <v>165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0.495</v>
      </c>
      <c r="I15" s="60">
        <f>food_insecure</f>
        <v>0.495</v>
      </c>
      <c r="J15" s="60">
        <f>food_insecure</f>
        <v>0.495</v>
      </c>
      <c r="K15" s="60">
        <f>food_insecure</f>
        <v>0.495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166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178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179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180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1</v>
      </c>
      <c r="I19" s="60">
        <f>frac_malaria_risk</f>
        <v>1</v>
      </c>
      <c r="J19" s="60">
        <f>frac_malaria_risk</f>
        <v>1</v>
      </c>
      <c r="K19" s="60">
        <f>frac_malaria_risk</f>
        <v>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188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189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191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211</v>
      </c>
      <c r="B24" s="11" t="s">
        <v>170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0.755</v>
      </c>
      <c r="M24" s="60">
        <f>famplan_unmet_need</f>
        <v>0.755</v>
      </c>
      <c r="N24" s="60">
        <f>famplan_unmet_need</f>
        <v>0.755</v>
      </c>
      <c r="O24" s="60">
        <f>famplan_unmet_need</f>
        <v>0.755</v>
      </c>
    </row>
    <row r="25" spans="1:15" ht="15.75" customHeight="1" x14ac:dyDescent="0.25">
      <c r="B25" s="11" t="s">
        <v>174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0.35749328564262395</v>
      </c>
      <c r="M25" s="60">
        <f>(1-food_insecure)*(0.49)+food_insecure*(0.7)</f>
        <v>0.59394999999999998</v>
      </c>
      <c r="N25" s="60">
        <f>(1-food_insecure)*(0.49)+food_insecure*(0.7)</f>
        <v>0.59394999999999998</v>
      </c>
      <c r="O25" s="60">
        <f>(1-food_insecure)*(0.49)+food_insecure*(0.7)</f>
        <v>0.59394999999999998</v>
      </c>
    </row>
    <row r="26" spans="1:15" ht="15.75" customHeight="1" x14ac:dyDescent="0.25">
      <c r="B26" s="11" t="s">
        <v>175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0.15321140813255313</v>
      </c>
      <c r="M26" s="60">
        <f>(1-food_insecure)*(0.21)+food_insecure*(0.3)</f>
        <v>0.25455</v>
      </c>
      <c r="N26" s="60">
        <f>(1-food_insecure)*(0.21)+food_insecure*(0.3)</f>
        <v>0.25455</v>
      </c>
      <c r="O26" s="60">
        <f>(1-food_insecure)*(0.21)+food_insecure*(0.3)</f>
        <v>0.25455</v>
      </c>
    </row>
    <row r="27" spans="1:15" ht="15.75" customHeight="1" x14ac:dyDescent="0.25">
      <c r="B27" s="11" t="s">
        <v>176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9.118651868820192E-2</v>
      </c>
      <c r="M27" s="60">
        <f>(1-food_insecure)*(0.3)</f>
        <v>0.1515</v>
      </c>
      <c r="N27" s="60">
        <f>(1-food_insecure)*(0.3)</f>
        <v>0.1515</v>
      </c>
      <c r="O27" s="60">
        <f>(1-food_insecure)*(0.3)</f>
        <v>0.1515</v>
      </c>
    </row>
    <row r="28" spans="1:15" ht="15.75" customHeight="1" x14ac:dyDescent="0.25">
      <c r="B28" s="11" t="s">
        <v>177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0.39810878753662099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171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172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173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181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1</v>
      </c>
      <c r="D34" s="60">
        <f t="shared" si="3"/>
        <v>1</v>
      </c>
      <c r="E34" s="60">
        <f t="shared" si="3"/>
        <v>1</v>
      </c>
      <c r="F34" s="60">
        <f t="shared" si="3"/>
        <v>1</v>
      </c>
      <c r="G34" s="60">
        <f t="shared" si="3"/>
        <v>1</v>
      </c>
      <c r="H34" s="60">
        <f t="shared" si="3"/>
        <v>1</v>
      </c>
      <c r="I34" s="60">
        <f t="shared" si="3"/>
        <v>1</v>
      </c>
      <c r="J34" s="60">
        <f t="shared" si="3"/>
        <v>1</v>
      </c>
      <c r="K34" s="60">
        <f t="shared" si="3"/>
        <v>1</v>
      </c>
      <c r="L34" s="60">
        <f t="shared" si="3"/>
        <v>1</v>
      </c>
      <c r="M34" s="60">
        <f t="shared" si="3"/>
        <v>1</v>
      </c>
      <c r="N34" s="60">
        <f t="shared" si="3"/>
        <v>1</v>
      </c>
      <c r="O34" s="60">
        <f t="shared" si="3"/>
        <v>1</v>
      </c>
    </row>
    <row r="35" spans="2:15" ht="15.75" customHeight="1" x14ac:dyDescent="0.25">
      <c r="B35" s="9" t="s">
        <v>197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200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201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bWmoKuHkDm3FQU8j3jMUPTSdJmT3T0cXb9HxlstGyruarNG1lNKPvL7RUcVtTLmBND+fJjo5SevAxBCQPTpyTw==" saltValue="EU3pAhCubHtM2/nbKPjVj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183</v>
      </c>
    </row>
    <row r="2" spans="1:1" x14ac:dyDescent="0.25">
      <c r="A2" s="8" t="s">
        <v>213</v>
      </c>
    </row>
    <row r="3" spans="1:1" x14ac:dyDescent="0.25">
      <c r="A3" s="8" t="s">
        <v>212</v>
      </c>
    </row>
    <row r="4" spans="1:1" x14ac:dyDescent="0.25">
      <c r="A4" s="8" t="s">
        <v>214</v>
      </c>
    </row>
  </sheetData>
  <sheetProtection algorithmName="SHA-512" hashValue="2ElaOBEajgPiClGvlYuzpJFEFj2tPGQ5NSNMjO8Gw0PYq8fex2DRwkWCUNQXePDkpjCLQyqJNjHtHBYD9Izgcg==" saltValue="uqC73jUhEMxY+aT9/YBme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223</v>
      </c>
      <c r="B1" s="4" t="s">
        <v>216</v>
      </c>
      <c r="C1" s="4" t="s">
        <v>227</v>
      </c>
      <c r="D1" s="4" t="s">
        <v>145</v>
      </c>
      <c r="E1" s="4" t="s">
        <v>225</v>
      </c>
    </row>
    <row r="2" spans="1:5" ht="14" customHeight="1" x14ac:dyDescent="0.3">
      <c r="A2" s="28" t="s">
        <v>215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222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Fe3oUfIhFlV3ZeCWPmnmaKuH1NhRrY8+ErP6PH0fUS4xQGqkbG0ShKO3tuVjHKgMsd6ncQRL57yA7b8R7wjH/g==" saltValue="EBkS2ZTqyyFctmDfWGmJZ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5">
      <c r="A2" s="4" t="s">
        <v>83</v>
      </c>
      <c r="B2" s="5" t="s">
        <v>167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169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152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153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182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190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192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193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164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202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104</v>
      </c>
      <c r="B18" s="5" t="s">
        <v>165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166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178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179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180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188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189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191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211</v>
      </c>
      <c r="B27" s="5" t="s">
        <v>170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174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175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176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177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171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172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173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181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200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201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l+Y6FN3U3Jzgz/QQQZvoIG4vMLinfPlKpUxa2iJsCknJxW0at+GQBzaYv18Ew3Xvg7wSsNPuPog7CFU/ekm+sQ==" saltValue="z0OzM9oRTY+Zpou1D+xma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ht="13.25" customHeight="1" x14ac:dyDescent="0.25">
      <c r="A2" s="5" t="s">
        <v>165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ht="13.25" customHeight="1" x14ac:dyDescent="0.25">
      <c r="A3" s="5" t="s">
        <v>166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ht="13.25" customHeight="1" x14ac:dyDescent="0.25">
      <c r="A4" s="5" t="s">
        <v>167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169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170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ht="13.25" customHeight="1" x14ac:dyDescent="0.25">
      <c r="A7" s="5" t="s">
        <v>171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ht="13.25" customHeight="1" x14ac:dyDescent="0.25">
      <c r="A8" s="5" t="s">
        <v>172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ht="13.25" customHeight="1" x14ac:dyDescent="0.25">
      <c r="A9" s="5" t="s">
        <v>173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ht="13.25" customHeight="1" x14ac:dyDescent="0.25">
      <c r="A10" s="11" t="s">
        <v>174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175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176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177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178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ht="13.25" customHeight="1" x14ac:dyDescent="0.25">
      <c r="A15" s="5" t="s">
        <v>179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ht="13.25" customHeight="1" x14ac:dyDescent="0.25">
      <c r="A16" s="5" t="s">
        <v>180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ht="13.25" customHeight="1" x14ac:dyDescent="0.25">
      <c r="A17" s="5" t="s">
        <v>181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ht="13.25" customHeight="1" x14ac:dyDescent="0.25">
      <c r="A18" s="5" t="s">
        <v>151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ht="13.25" customHeight="1" x14ac:dyDescent="0.25">
      <c r="A19" s="5" t="s">
        <v>152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ht="13.25" customHeight="1" x14ac:dyDescent="0.25">
      <c r="A20" s="5" t="s">
        <v>153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ht="13.25" customHeight="1" x14ac:dyDescent="0.25">
      <c r="A21" s="5" t="s">
        <v>182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184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188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189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190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191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192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193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204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164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196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197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198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199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200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201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202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203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Af+RHjt3aKW60JWS4pj/hHA4glC/LWYqVHtHp2uwvmdPHvh7m/UbYLUvW89bfvm4phC2ezoTj1bi9jxR4XEQzA==" saltValue="xNScJnsy8lTnM7kJ8wswd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ht="13.25" customHeight="1" x14ac:dyDescent="0.25">
      <c r="A2" s="8" t="s">
        <v>78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ht="13.25" customHeight="1" x14ac:dyDescent="0.25">
      <c r="A3" s="8" t="s">
        <v>74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ht="13.25" customHeight="1" x14ac:dyDescent="0.25">
      <c r="A4" s="8" t="s">
        <v>77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ht="13.25" customHeight="1" x14ac:dyDescent="0.25">
      <c r="A5" s="8" t="s">
        <v>75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ht="13.25" customHeight="1" x14ac:dyDescent="0.25">
      <c r="A6" s="8" t="s">
        <v>76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ht="13.25" customHeight="1" x14ac:dyDescent="0.25">
      <c r="A7" s="8" t="s">
        <v>113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ht="13.25" customHeight="1" x14ac:dyDescent="0.25">
      <c r="A8" s="8" t="s">
        <v>114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ht="13.25" customHeight="1" x14ac:dyDescent="0.25">
      <c r="A9" s="8" t="s">
        <v>115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ht="13.25" customHeight="1" x14ac:dyDescent="0.25">
      <c r="A10" s="8" t="s">
        <v>116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ht="13.25" customHeight="1" x14ac:dyDescent="0.25">
      <c r="A11" s="8" t="s">
        <v>68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ht="13.25" customHeight="1" x14ac:dyDescent="0.25">
      <c r="A12" s="8" t="s">
        <v>69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ht="13.25" customHeight="1" x14ac:dyDescent="0.25">
      <c r="A13" s="8" t="s">
        <v>70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ht="13.25" customHeight="1" x14ac:dyDescent="0.25">
      <c r="A14" s="8" t="s">
        <v>71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Nn7xqNnuQUL31rlCzgOw06kDpzV7SWtTOVbZVItbV8RxQrm+76BzBhbRZJqidkHBgGa7nKjfbq8cFZxv7HifHA==" saltValue="tSzo56PsA/FmKOQGA3b/8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27" zoomScale="85" zoomScaleNormal="85" workbookViewId="0">
      <selection activeCell="D8" sqref="D8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234</v>
      </c>
      <c r="B1" s="4" t="s">
        <v>156</v>
      </c>
      <c r="C1" s="4" t="s">
        <v>160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10" ht="13" customHeight="1" x14ac:dyDescent="0.3">
      <c r="A2" s="4" t="s">
        <v>236</v>
      </c>
      <c r="B2" s="103" t="s">
        <v>104</v>
      </c>
      <c r="C2" s="8" t="s">
        <v>150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149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78</v>
      </c>
      <c r="C5" s="8" t="s">
        <v>150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149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74</v>
      </c>
      <c r="C8" s="8" t="s">
        <v>150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149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77</v>
      </c>
      <c r="C11" s="8" t="s">
        <v>150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149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75</v>
      </c>
      <c r="C14" s="8" t="s">
        <v>150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ht="13.25" customHeight="1" x14ac:dyDescent="0.25">
      <c r="B15" s="104"/>
      <c r="C15" s="8" t="s">
        <v>149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ht="13.25" customHeight="1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148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242</v>
      </c>
      <c r="B19" s="103" t="s">
        <v>104</v>
      </c>
      <c r="C19" s="8" t="s">
        <v>150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ht="13.25" customHeight="1" x14ac:dyDescent="0.25">
      <c r="B20" s="104"/>
      <c r="C20" s="8" t="s">
        <v>149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ht="13.25" customHeight="1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ht="13.25" customHeight="1" x14ac:dyDescent="0.25">
      <c r="B22" s="103" t="s">
        <v>78</v>
      </c>
      <c r="C22" s="8" t="s">
        <v>150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ht="13.25" customHeight="1" x14ac:dyDescent="0.25">
      <c r="B23" s="104"/>
      <c r="C23" s="8" t="s">
        <v>149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ht="13.25" customHeight="1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ht="13.25" customHeight="1" x14ac:dyDescent="0.25">
      <c r="B25" s="103" t="s">
        <v>74</v>
      </c>
      <c r="C25" s="8" t="s">
        <v>150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ht="13.25" customHeight="1" x14ac:dyDescent="0.25">
      <c r="B26" s="104"/>
      <c r="C26" s="8" t="s">
        <v>149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ht="13.25" customHeight="1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ht="13.25" customHeight="1" x14ac:dyDescent="0.25">
      <c r="B28" s="103" t="s">
        <v>77</v>
      </c>
      <c r="C28" s="8" t="s">
        <v>150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ht="13.25" customHeight="1" x14ac:dyDescent="0.25">
      <c r="B29" s="104"/>
      <c r="C29" s="8" t="s">
        <v>149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ht="13.25" customHeight="1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ht="13.25" customHeight="1" x14ac:dyDescent="0.25">
      <c r="B31" s="103" t="s">
        <v>75</v>
      </c>
      <c r="C31" s="8" t="s">
        <v>150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ht="13.25" customHeight="1" x14ac:dyDescent="0.25">
      <c r="B32" s="104"/>
      <c r="C32" s="8" t="s">
        <v>149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ht="13.25" customHeight="1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148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ht="13.25" customHeight="1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239</v>
      </c>
      <c r="B36" s="103" t="s">
        <v>104</v>
      </c>
      <c r="C36" s="8" t="s">
        <v>150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ht="13.25" customHeight="1" x14ac:dyDescent="0.25">
      <c r="B37" s="104"/>
      <c r="C37" s="8" t="s">
        <v>149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ht="13.25" customHeight="1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ht="13.25" customHeight="1" x14ac:dyDescent="0.25">
      <c r="B39" s="103" t="s">
        <v>78</v>
      </c>
      <c r="C39" s="8" t="s">
        <v>150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ht="13.25" customHeight="1" x14ac:dyDescent="0.25">
      <c r="B40" s="104"/>
      <c r="C40" s="8" t="s">
        <v>149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ht="13.25" customHeight="1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ht="13.25" customHeight="1" x14ac:dyDescent="0.25">
      <c r="B42" s="103" t="s">
        <v>74</v>
      </c>
      <c r="C42" s="8" t="s">
        <v>150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ht="13.25" customHeight="1" x14ac:dyDescent="0.25">
      <c r="B43" s="104"/>
      <c r="C43" s="8" t="s">
        <v>149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ht="13.25" customHeight="1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ht="13.25" customHeight="1" x14ac:dyDescent="0.25">
      <c r="B45" s="103" t="s">
        <v>77</v>
      </c>
      <c r="C45" s="8" t="s">
        <v>150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ht="13.25" customHeight="1" x14ac:dyDescent="0.25">
      <c r="B46" s="104"/>
      <c r="C46" s="8" t="s">
        <v>149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ht="13.25" customHeight="1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ht="13.25" customHeight="1" x14ac:dyDescent="0.25">
      <c r="B48" s="103" t="s">
        <v>75</v>
      </c>
      <c r="C48" s="8" t="s">
        <v>150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ht="13.25" customHeight="1" x14ac:dyDescent="0.25">
      <c r="B49" s="104"/>
      <c r="C49" s="8" t="s">
        <v>149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ht="13.25" customHeight="1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148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234</v>
      </c>
      <c r="B54" s="4" t="s">
        <v>156</v>
      </c>
      <c r="C54" s="4" t="s">
        <v>160</v>
      </c>
      <c r="D54" s="4" t="s">
        <v>78</v>
      </c>
      <c r="E54" s="4" t="s">
        <v>74</v>
      </c>
      <c r="F54" s="4" t="s">
        <v>77</v>
      </c>
      <c r="G54" s="4" t="s">
        <v>75</v>
      </c>
      <c r="H54" s="4" t="s">
        <v>76</v>
      </c>
    </row>
    <row r="55" spans="1:8" ht="13" customHeight="1" x14ac:dyDescent="0.3">
      <c r="A55" s="4" t="s">
        <v>237</v>
      </c>
      <c r="B55" s="103" t="s">
        <v>104</v>
      </c>
      <c r="C55" s="8" t="s">
        <v>150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ht="13.25" customHeight="1" x14ac:dyDescent="0.25">
      <c r="B56" s="104"/>
      <c r="C56" s="8" t="s">
        <v>149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ht="13.25" customHeight="1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ht="13.25" customHeight="1" x14ac:dyDescent="0.25">
      <c r="B58" s="103" t="s">
        <v>78</v>
      </c>
      <c r="C58" s="8" t="s">
        <v>150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ht="13.25" customHeight="1" x14ac:dyDescent="0.25">
      <c r="B59" s="104"/>
      <c r="C59" s="8" t="s">
        <v>149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ht="13.25" customHeight="1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ht="13.25" customHeight="1" x14ac:dyDescent="0.25">
      <c r="B61" s="103" t="s">
        <v>74</v>
      </c>
      <c r="C61" s="8" t="s">
        <v>150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ht="13.25" customHeight="1" x14ac:dyDescent="0.25">
      <c r="B62" s="104"/>
      <c r="C62" s="8" t="s">
        <v>149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ht="13.25" customHeight="1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ht="13.25" customHeight="1" x14ac:dyDescent="0.25">
      <c r="B64" s="103" t="s">
        <v>77</v>
      </c>
      <c r="C64" s="8" t="s">
        <v>150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ht="13.25" customHeight="1" x14ac:dyDescent="0.25">
      <c r="B65" s="104"/>
      <c r="C65" s="8" t="s">
        <v>149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ht="13.25" customHeight="1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ht="13.25" customHeight="1" x14ac:dyDescent="0.25">
      <c r="B67" s="103" t="s">
        <v>75</v>
      </c>
      <c r="C67" s="8" t="s">
        <v>150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ht="13.25" customHeight="1" x14ac:dyDescent="0.25">
      <c r="B68" s="104"/>
      <c r="C68" s="8" t="s">
        <v>149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ht="13.25" customHeight="1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148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ht="13.25" customHeight="1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243</v>
      </c>
      <c r="B72" s="103" t="s">
        <v>104</v>
      </c>
      <c r="C72" s="8" t="s">
        <v>150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ht="13.25" customHeight="1" x14ac:dyDescent="0.25">
      <c r="B73" s="104"/>
      <c r="C73" s="8" t="s">
        <v>149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ht="13.25" customHeight="1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ht="13.25" customHeight="1" x14ac:dyDescent="0.25">
      <c r="B75" s="103" t="s">
        <v>78</v>
      </c>
      <c r="C75" s="8" t="s">
        <v>150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ht="13.25" customHeight="1" x14ac:dyDescent="0.25">
      <c r="B76" s="104"/>
      <c r="C76" s="8" t="s">
        <v>149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ht="13.25" customHeight="1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ht="13.25" customHeight="1" x14ac:dyDescent="0.25">
      <c r="B78" s="103" t="s">
        <v>74</v>
      </c>
      <c r="C78" s="8" t="s">
        <v>150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ht="13.25" customHeight="1" x14ac:dyDescent="0.25">
      <c r="B79" s="104"/>
      <c r="C79" s="8" t="s">
        <v>149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ht="13.25" customHeight="1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ht="13.25" customHeight="1" x14ac:dyDescent="0.25">
      <c r="B81" s="103" t="s">
        <v>77</v>
      </c>
      <c r="C81" s="8" t="s">
        <v>150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ht="13.25" customHeight="1" x14ac:dyDescent="0.25">
      <c r="B82" s="104"/>
      <c r="C82" s="8" t="s">
        <v>149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ht="13.25" customHeight="1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ht="13.25" customHeight="1" x14ac:dyDescent="0.25">
      <c r="B84" s="103" t="s">
        <v>75</v>
      </c>
      <c r="C84" s="8" t="s">
        <v>150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ht="13.25" customHeight="1" x14ac:dyDescent="0.25">
      <c r="B85" s="104"/>
      <c r="C85" s="8" t="s">
        <v>149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ht="13.25" customHeight="1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148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ht="13.25" customHeight="1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240</v>
      </c>
      <c r="B89" s="103" t="s">
        <v>104</v>
      </c>
      <c r="C89" s="8" t="s">
        <v>150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ht="13.25" customHeight="1" x14ac:dyDescent="0.25">
      <c r="B90" s="104"/>
      <c r="C90" s="8" t="s">
        <v>149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ht="13.25" customHeight="1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ht="13.25" customHeight="1" x14ac:dyDescent="0.25">
      <c r="B92" s="103" t="s">
        <v>78</v>
      </c>
      <c r="C92" s="8" t="s">
        <v>150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ht="13.25" customHeight="1" x14ac:dyDescent="0.25">
      <c r="B93" s="104"/>
      <c r="C93" s="8" t="s">
        <v>149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ht="13.25" customHeight="1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ht="13.25" customHeight="1" x14ac:dyDescent="0.25">
      <c r="B95" s="103" t="s">
        <v>74</v>
      </c>
      <c r="C95" s="8" t="s">
        <v>150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ht="13.25" customHeight="1" x14ac:dyDescent="0.25">
      <c r="B96" s="104"/>
      <c r="C96" s="8" t="s">
        <v>149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ht="13.25" customHeight="1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ht="13.25" customHeight="1" x14ac:dyDescent="0.25">
      <c r="B98" s="103" t="s">
        <v>77</v>
      </c>
      <c r="C98" s="8" t="s">
        <v>150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ht="13.25" customHeight="1" x14ac:dyDescent="0.25">
      <c r="B99" s="104"/>
      <c r="C99" s="8" t="s">
        <v>149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ht="13.25" customHeight="1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ht="13.25" customHeight="1" x14ac:dyDescent="0.25">
      <c r="B101" s="103" t="s">
        <v>75</v>
      </c>
      <c r="C101" s="8" t="s">
        <v>150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ht="13.25" customHeight="1" x14ac:dyDescent="0.25">
      <c r="B102" s="104"/>
      <c r="C102" s="8" t="s">
        <v>149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ht="13.25" customHeight="1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148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245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234</v>
      </c>
      <c r="B107" s="4" t="s">
        <v>156</v>
      </c>
      <c r="C107" s="4" t="s">
        <v>160</v>
      </c>
      <c r="D107" s="4" t="s">
        <v>78</v>
      </c>
      <c r="E107" s="4" t="s">
        <v>74</v>
      </c>
      <c r="F107" s="4" t="s">
        <v>77</v>
      </c>
      <c r="G107" s="4" t="s">
        <v>75</v>
      </c>
      <c r="H107" s="4" t="s">
        <v>76</v>
      </c>
    </row>
    <row r="108" spans="1:8" ht="13" customHeight="1" x14ac:dyDescent="0.3">
      <c r="A108" s="4" t="s">
        <v>238</v>
      </c>
      <c r="B108" s="103" t="s">
        <v>104</v>
      </c>
      <c r="C108" s="8" t="s">
        <v>150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ht="13.25" customHeight="1" x14ac:dyDescent="0.25">
      <c r="B109" s="104"/>
      <c r="C109" s="8" t="s">
        <v>149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ht="13.25" customHeight="1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ht="13.25" customHeight="1" x14ac:dyDescent="0.25">
      <c r="B111" s="103" t="s">
        <v>78</v>
      </c>
      <c r="C111" s="8" t="s">
        <v>150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ht="13.25" customHeight="1" x14ac:dyDescent="0.25">
      <c r="B112" s="104"/>
      <c r="C112" s="8" t="s">
        <v>149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ht="13.25" customHeight="1" x14ac:dyDescent="0.25">
      <c r="B113" s="104"/>
      <c r="C113" s="8" t="s">
        <v>155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ht="13.25" customHeight="1" x14ac:dyDescent="0.25">
      <c r="B114" s="103" t="s">
        <v>74</v>
      </c>
      <c r="C114" s="8" t="s">
        <v>150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ht="13.25" customHeight="1" x14ac:dyDescent="0.25">
      <c r="B115" s="104"/>
      <c r="C115" s="8" t="s">
        <v>149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ht="13.25" customHeight="1" x14ac:dyDescent="0.25">
      <c r="B116" s="104"/>
      <c r="C116" s="8" t="s">
        <v>155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ht="13.25" customHeight="1" x14ac:dyDescent="0.25">
      <c r="B117" s="103" t="s">
        <v>77</v>
      </c>
      <c r="C117" s="8" t="s">
        <v>150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ht="13.25" customHeight="1" x14ac:dyDescent="0.25">
      <c r="B118" s="104"/>
      <c r="C118" s="8" t="s">
        <v>149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ht="13.25" customHeight="1" x14ac:dyDescent="0.25">
      <c r="B119" s="104"/>
      <c r="C119" s="8" t="s">
        <v>155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ht="13.25" customHeight="1" x14ac:dyDescent="0.25">
      <c r="B120" s="103" t="s">
        <v>75</v>
      </c>
      <c r="C120" s="8" t="s">
        <v>150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ht="13.25" customHeight="1" x14ac:dyDescent="0.25">
      <c r="B121" s="104"/>
      <c r="C121" s="8" t="s">
        <v>149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ht="13.25" customHeight="1" x14ac:dyDescent="0.25">
      <c r="B122" s="104"/>
      <c r="C122" s="8" t="s">
        <v>155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customHeight="1" x14ac:dyDescent="0.25">
      <c r="B123" s="65" t="s">
        <v>148</v>
      </c>
      <c r="C123" s="8" t="s">
        <v>155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ht="13.25" customHeight="1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244</v>
      </c>
      <c r="B125" s="103" t="s">
        <v>104</v>
      </c>
      <c r="C125" s="8" t="s">
        <v>150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ht="13.25" customHeight="1" x14ac:dyDescent="0.25">
      <c r="B126" s="104"/>
      <c r="C126" s="8" t="s">
        <v>149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ht="13.25" customHeight="1" x14ac:dyDescent="0.25">
      <c r="B127" s="104"/>
      <c r="C127" s="8" t="s">
        <v>155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ht="13.25" customHeight="1" x14ac:dyDescent="0.25">
      <c r="B128" s="103" t="s">
        <v>78</v>
      </c>
      <c r="C128" s="8" t="s">
        <v>150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ht="13.25" customHeight="1" x14ac:dyDescent="0.25">
      <c r="B129" s="104"/>
      <c r="C129" s="8" t="s">
        <v>149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ht="13.25" customHeight="1" x14ac:dyDescent="0.25">
      <c r="B130" s="104"/>
      <c r="C130" s="8" t="s">
        <v>155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ht="13.25" customHeight="1" x14ac:dyDescent="0.25">
      <c r="B131" s="103" t="s">
        <v>74</v>
      </c>
      <c r="C131" s="8" t="s">
        <v>150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ht="13.25" customHeight="1" x14ac:dyDescent="0.25">
      <c r="B132" s="104"/>
      <c r="C132" s="8" t="s">
        <v>149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ht="13.25" customHeight="1" x14ac:dyDescent="0.25">
      <c r="B133" s="104"/>
      <c r="C133" s="8" t="s">
        <v>155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ht="13.25" customHeight="1" x14ac:dyDescent="0.25">
      <c r="B134" s="103" t="s">
        <v>77</v>
      </c>
      <c r="C134" s="8" t="s">
        <v>150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ht="13.25" customHeight="1" x14ac:dyDescent="0.25">
      <c r="B135" s="104"/>
      <c r="C135" s="8" t="s">
        <v>149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ht="13.25" customHeight="1" x14ac:dyDescent="0.25">
      <c r="B136" s="104"/>
      <c r="C136" s="8" t="s">
        <v>155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ht="13.25" customHeight="1" x14ac:dyDescent="0.25">
      <c r="B137" s="103" t="s">
        <v>75</v>
      </c>
      <c r="C137" s="8" t="s">
        <v>150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ht="13.25" customHeight="1" x14ac:dyDescent="0.25">
      <c r="B138" s="104"/>
      <c r="C138" s="8" t="s">
        <v>149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ht="13.25" customHeight="1" x14ac:dyDescent="0.25">
      <c r="B139" s="104"/>
      <c r="C139" s="8" t="s">
        <v>155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customHeight="1" x14ac:dyDescent="0.25">
      <c r="B140" s="65" t="s">
        <v>148</v>
      </c>
      <c r="C140" s="8" t="s">
        <v>155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ht="13.25" customHeight="1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241</v>
      </c>
      <c r="B142" s="103" t="s">
        <v>104</v>
      </c>
      <c r="C142" s="8" t="s">
        <v>150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ht="13.25" customHeight="1" x14ac:dyDescent="0.25">
      <c r="B143" s="104"/>
      <c r="C143" s="8" t="s">
        <v>149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ht="13.25" customHeight="1" x14ac:dyDescent="0.25">
      <c r="B144" s="104"/>
      <c r="C144" s="8" t="s">
        <v>155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ht="13.25" customHeight="1" x14ac:dyDescent="0.25">
      <c r="B145" s="103" t="s">
        <v>78</v>
      </c>
      <c r="C145" s="8" t="s">
        <v>150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ht="13.25" customHeight="1" x14ac:dyDescent="0.25">
      <c r="B146" s="104"/>
      <c r="C146" s="8" t="s">
        <v>149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ht="13.25" customHeight="1" x14ac:dyDescent="0.25">
      <c r="B147" s="104"/>
      <c r="C147" s="8" t="s">
        <v>155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ht="13.25" customHeight="1" x14ac:dyDescent="0.25">
      <c r="B148" s="103" t="s">
        <v>74</v>
      </c>
      <c r="C148" s="8" t="s">
        <v>150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ht="13.25" customHeight="1" x14ac:dyDescent="0.25">
      <c r="B149" s="104"/>
      <c r="C149" s="8" t="s">
        <v>149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ht="13.25" customHeight="1" x14ac:dyDescent="0.25">
      <c r="B150" s="104"/>
      <c r="C150" s="8" t="s">
        <v>155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ht="13.25" customHeight="1" x14ac:dyDescent="0.25">
      <c r="B151" s="103" t="s">
        <v>77</v>
      </c>
      <c r="C151" s="8" t="s">
        <v>150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04"/>
      <c r="C152" s="8" t="s">
        <v>149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04"/>
      <c r="C153" s="8" t="s">
        <v>155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03" t="s">
        <v>75</v>
      </c>
      <c r="C154" s="8" t="s">
        <v>150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04"/>
      <c r="C155" s="8" t="s">
        <v>149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04"/>
      <c r="C156" s="8" t="s">
        <v>155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customHeight="1" x14ac:dyDescent="0.25">
      <c r="B157" s="65" t="s">
        <v>148</v>
      </c>
      <c r="C157" s="8" t="s">
        <v>155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hyR93GtmtdP2zQptzVZLCmdYgfMKtgqnDsAm/Ba4ANmPSSs6R/qULY19UEj99SON9ZYBGFFPjyxt1Ih+Z0BJ6Q==" saltValue="4M244pN16jPEJX72N3tAKw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42" zoomScale="85" zoomScaleNormal="85" workbookViewId="0">
      <selection activeCell="C9" sqref="C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248</v>
      </c>
    </row>
    <row r="2" spans="1:6" ht="15.75" customHeight="1" x14ac:dyDescent="0.3">
      <c r="B2" s="69"/>
      <c r="C2" s="26" t="s">
        <v>58</v>
      </c>
      <c r="D2" s="70" t="s">
        <v>59</v>
      </c>
      <c r="E2" s="70" t="s">
        <v>51</v>
      </c>
      <c r="F2" s="70" t="s">
        <v>52</v>
      </c>
    </row>
    <row r="3" spans="1:6" ht="15.75" customHeight="1" x14ac:dyDescent="0.3">
      <c r="A3" s="4" t="s">
        <v>255</v>
      </c>
      <c r="B3" s="14"/>
      <c r="C3" s="71"/>
      <c r="D3" s="72"/>
      <c r="E3" s="72"/>
      <c r="F3" s="72"/>
    </row>
    <row r="4" spans="1:6" ht="15.75" customHeight="1" x14ac:dyDescent="0.25">
      <c r="B4" s="5" t="s">
        <v>27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63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10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11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252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261</v>
      </c>
      <c r="C11" s="74"/>
      <c r="D11" s="75"/>
      <c r="E11" s="75"/>
      <c r="F11" s="75"/>
    </row>
    <row r="12" spans="1:6" ht="15.75" customHeight="1" x14ac:dyDescent="0.3">
      <c r="A12" s="4" t="s">
        <v>249</v>
      </c>
      <c r="C12" s="73"/>
      <c r="D12" s="64"/>
      <c r="E12" s="64"/>
      <c r="F12" s="64"/>
    </row>
    <row r="13" spans="1:6" ht="15.75" customHeight="1" x14ac:dyDescent="0.25">
      <c r="B13" s="11" t="s">
        <v>264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119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258</v>
      </c>
      <c r="B17" s="14"/>
      <c r="C17" s="77"/>
      <c r="D17" s="78"/>
      <c r="E17" s="78"/>
      <c r="F17" s="78"/>
    </row>
    <row r="18" spans="1:6" ht="15.75" customHeight="1" x14ac:dyDescent="0.25">
      <c r="B18" s="5" t="s">
        <v>93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95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96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98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92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94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248</v>
      </c>
    </row>
    <row r="29" spans="1:6" ht="15.75" customHeight="1" x14ac:dyDescent="0.3">
      <c r="B29" s="69"/>
      <c r="C29" s="26" t="s">
        <v>58</v>
      </c>
      <c r="D29" s="70" t="s">
        <v>59</v>
      </c>
      <c r="E29" s="70" t="s">
        <v>51</v>
      </c>
      <c r="F29" s="70" t="s">
        <v>52</v>
      </c>
    </row>
    <row r="30" spans="1:6" ht="15.75" customHeight="1" x14ac:dyDescent="0.3">
      <c r="A30" s="4" t="s">
        <v>256</v>
      </c>
      <c r="B30" s="14"/>
      <c r="C30" s="71"/>
      <c r="D30" s="72"/>
      <c r="E30" s="72"/>
      <c r="F30" s="72"/>
    </row>
    <row r="31" spans="1:6" ht="15.75" customHeight="1" x14ac:dyDescent="0.25">
      <c r="B31" s="5" t="s">
        <v>27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63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10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11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261</v>
      </c>
      <c r="B38" s="68"/>
      <c r="C38" s="74"/>
      <c r="D38" s="75"/>
      <c r="E38" s="75"/>
      <c r="F38" s="75"/>
    </row>
    <row r="39" spans="1:6" ht="15.75" customHeight="1" x14ac:dyDescent="0.3">
      <c r="A39" s="4" t="s">
        <v>250</v>
      </c>
      <c r="C39" s="73"/>
      <c r="D39" s="64"/>
      <c r="E39" s="64"/>
      <c r="F39" s="64"/>
    </row>
    <row r="40" spans="1:6" ht="15.75" customHeight="1" x14ac:dyDescent="0.25">
      <c r="B40" s="11" t="s">
        <v>265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246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262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259</v>
      </c>
      <c r="B44" s="14"/>
      <c r="C44" s="77"/>
      <c r="D44" s="78"/>
      <c r="E44" s="78"/>
      <c r="F44" s="78"/>
    </row>
    <row r="45" spans="1:6" ht="15.75" customHeight="1" x14ac:dyDescent="0.25">
      <c r="B45" s="5" t="s">
        <v>93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95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96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98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92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94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245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248</v>
      </c>
    </row>
    <row r="56" spans="1:6" ht="15.75" customHeight="1" x14ac:dyDescent="0.3">
      <c r="B56" s="69"/>
      <c r="C56" s="26" t="s">
        <v>58</v>
      </c>
      <c r="D56" s="70" t="s">
        <v>59</v>
      </c>
      <c r="E56" s="70" t="s">
        <v>51</v>
      </c>
      <c r="F56" s="70" t="s">
        <v>52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63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10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11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261</v>
      </c>
      <c r="B65" s="68"/>
      <c r="C65" s="74"/>
      <c r="D65" s="75"/>
      <c r="E65" s="75"/>
      <c r="F65" s="75"/>
    </row>
    <row r="66" spans="1:6" ht="15.75" customHeight="1" x14ac:dyDescent="0.3">
      <c r="A66" s="4" t="s">
        <v>251</v>
      </c>
      <c r="C66" s="73"/>
      <c r="D66" s="64"/>
      <c r="E66" s="64"/>
      <c r="F66" s="64"/>
    </row>
    <row r="67" spans="1:6" ht="15.75" customHeight="1" x14ac:dyDescent="0.25">
      <c r="B67" s="11" t="s">
        <v>266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247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263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260</v>
      </c>
      <c r="B71" s="14"/>
      <c r="C71" s="77"/>
      <c r="D71" s="78"/>
      <c r="E71" s="78"/>
      <c r="F71" s="78"/>
    </row>
    <row r="72" spans="1:6" ht="15.75" customHeight="1" x14ac:dyDescent="0.25">
      <c r="B72" s="5" t="s">
        <v>93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95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96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98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92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94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Jdo3nFCPH8yC0et8BAkNWvmbfeM0jih86TC9zhUtUMxqT3OHzsm+ap/fOxyaxHDfc4Zlmnv9kPWygAemiYCcXA==" saltValue="7aC4eyCFcvGdEi0j0c82C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8" sqref="D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278</v>
      </c>
    </row>
    <row r="2" spans="1:16" ht="13" customHeight="1" x14ac:dyDescent="0.3">
      <c r="A2" s="39" t="s">
        <v>230</v>
      </c>
      <c r="B2" s="1" t="s">
        <v>270</v>
      </c>
      <c r="C2" s="1" t="s">
        <v>271</v>
      </c>
      <c r="D2" s="70" t="s">
        <v>78</v>
      </c>
      <c r="E2" s="70" t="s">
        <v>74</v>
      </c>
      <c r="F2" s="70" t="s">
        <v>77</v>
      </c>
      <c r="G2" s="70" t="s">
        <v>75</v>
      </c>
      <c r="H2" s="70" t="s">
        <v>76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84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273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274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272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102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273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274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272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273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274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272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273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274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272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273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274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272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99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273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274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272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279</v>
      </c>
    </row>
    <row r="29" spans="1:16" ht="13" customHeight="1" x14ac:dyDescent="0.3">
      <c r="A29" s="39" t="s">
        <v>282</v>
      </c>
      <c r="B29" s="4" t="s">
        <v>270</v>
      </c>
      <c r="C29" s="4" t="s">
        <v>281</v>
      </c>
      <c r="D29" s="70" t="s">
        <v>78</v>
      </c>
      <c r="E29" s="70" t="s">
        <v>74</v>
      </c>
      <c r="F29" s="70" t="s">
        <v>77</v>
      </c>
      <c r="G29" s="70" t="s">
        <v>75</v>
      </c>
      <c r="H29" s="70" t="s">
        <v>76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84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273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102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273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273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273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273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99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273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276</v>
      </c>
    </row>
    <row r="56" spans="1:16" ht="26" customHeight="1" x14ac:dyDescent="0.3">
      <c r="A56" s="39" t="s">
        <v>105</v>
      </c>
      <c r="B56" s="4" t="s">
        <v>270</v>
      </c>
      <c r="C56" s="69" t="s">
        <v>267</v>
      </c>
      <c r="D56" s="70" t="s">
        <v>113</v>
      </c>
      <c r="E56" s="70" t="s">
        <v>114</v>
      </c>
      <c r="F56" s="70" t="s">
        <v>115</v>
      </c>
      <c r="G56" s="70" t="s">
        <v>116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81</v>
      </c>
      <c r="C57" s="3" t="s">
        <v>275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268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89</v>
      </c>
      <c r="C59" s="3" t="s">
        <v>275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268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275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268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277</v>
      </c>
    </row>
    <row r="65" spans="1:16" ht="26" customHeight="1" x14ac:dyDescent="0.3">
      <c r="A65" s="39" t="s">
        <v>123</v>
      </c>
      <c r="B65" s="4" t="s">
        <v>270</v>
      </c>
      <c r="C65" s="69" t="s">
        <v>269</v>
      </c>
      <c r="D65" s="70" t="s">
        <v>78</v>
      </c>
      <c r="E65" s="70" t="s">
        <v>74</v>
      </c>
      <c r="F65" s="70" t="s">
        <v>77</v>
      </c>
      <c r="G65" s="70" t="s">
        <v>75</v>
      </c>
      <c r="H65" s="81" t="s">
        <v>76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93</v>
      </c>
      <c r="C66" s="3" t="s">
        <v>124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127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126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125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124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127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126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125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95</v>
      </c>
      <c r="C74" s="3" t="s">
        <v>124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127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126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125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96</v>
      </c>
      <c r="C78" s="3" t="s">
        <v>124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127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126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125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84</v>
      </c>
      <c r="C82" s="3" t="s">
        <v>124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127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126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125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102</v>
      </c>
      <c r="C86" s="3" t="s">
        <v>124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127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126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125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124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127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126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125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124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127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126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125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101</v>
      </c>
      <c r="C98" s="3" t="s">
        <v>124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127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126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125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84</v>
      </c>
      <c r="B104" s="82" t="s">
        <v>125</v>
      </c>
      <c r="C104" s="69" t="s">
        <v>269</v>
      </c>
      <c r="D104" s="70" t="s">
        <v>78</v>
      </c>
      <c r="E104" s="70" t="s">
        <v>74</v>
      </c>
      <c r="F104" s="70" t="s">
        <v>77</v>
      </c>
      <c r="G104" s="70" t="s">
        <v>75</v>
      </c>
      <c r="H104" s="81" t="s">
        <v>76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124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127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126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125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278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230</v>
      </c>
      <c r="B112" s="1" t="s">
        <v>270</v>
      </c>
      <c r="C112" s="1" t="s">
        <v>271</v>
      </c>
      <c r="D112" s="70" t="s">
        <v>78</v>
      </c>
      <c r="E112" s="70" t="s">
        <v>74</v>
      </c>
      <c r="F112" s="70" t="s">
        <v>77</v>
      </c>
      <c r="G112" s="70" t="s">
        <v>75</v>
      </c>
      <c r="H112" s="70" t="s">
        <v>76</v>
      </c>
    </row>
    <row r="113" spans="1:8" ht="13" customHeight="1" x14ac:dyDescent="0.3">
      <c r="A113" s="4"/>
      <c r="B113" s="8" t="s">
        <v>84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273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274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272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102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273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274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272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273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274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272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273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274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272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273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274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272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99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273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274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272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279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282</v>
      </c>
      <c r="B139" s="4" t="s">
        <v>270</v>
      </c>
      <c r="C139" s="4" t="s">
        <v>281</v>
      </c>
      <c r="D139" s="70" t="s">
        <v>78</v>
      </c>
      <c r="E139" s="70" t="s">
        <v>74</v>
      </c>
      <c r="F139" s="70" t="s">
        <v>77</v>
      </c>
      <c r="G139" s="70" t="s">
        <v>75</v>
      </c>
      <c r="H139" s="70" t="s">
        <v>76</v>
      </c>
    </row>
    <row r="140" spans="1:8" ht="13" customHeight="1" x14ac:dyDescent="0.3">
      <c r="A140" s="4"/>
      <c r="B140" s="8" t="s">
        <v>84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273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102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273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273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273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273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99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273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276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105</v>
      </c>
      <c r="B166" s="4" t="s">
        <v>270</v>
      </c>
      <c r="C166" s="69" t="s">
        <v>267</v>
      </c>
      <c r="D166" s="70" t="s">
        <v>113</v>
      </c>
      <c r="E166" s="70" t="s">
        <v>114</v>
      </c>
      <c r="F166" s="70" t="s">
        <v>115</v>
      </c>
      <c r="G166" s="70" t="s">
        <v>116</v>
      </c>
      <c r="H166" s="79"/>
    </row>
    <row r="167" spans="1:8" ht="13" customHeight="1" x14ac:dyDescent="0.3">
      <c r="A167" s="4"/>
      <c r="B167" s="8" t="s">
        <v>81</v>
      </c>
      <c r="C167" s="3" t="s">
        <v>275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268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89</v>
      </c>
      <c r="C169" s="3" t="s">
        <v>275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268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275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268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277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123</v>
      </c>
      <c r="B175" s="4" t="s">
        <v>270</v>
      </c>
      <c r="C175" s="69" t="s">
        <v>269</v>
      </c>
      <c r="D175" s="70" t="s">
        <v>78</v>
      </c>
      <c r="E175" s="70" t="s">
        <v>74</v>
      </c>
      <c r="F175" s="70" t="s">
        <v>77</v>
      </c>
      <c r="G175" s="70" t="s">
        <v>75</v>
      </c>
      <c r="H175" s="81" t="s">
        <v>76</v>
      </c>
    </row>
    <row r="176" spans="1:8" ht="13" customHeight="1" x14ac:dyDescent="0.3">
      <c r="A176" s="82"/>
      <c r="B176" s="8" t="s">
        <v>93</v>
      </c>
      <c r="C176" s="3" t="s">
        <v>124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127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126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125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124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127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126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125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95</v>
      </c>
      <c r="C184" s="3" t="s">
        <v>124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127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126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125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96</v>
      </c>
      <c r="C188" s="3" t="s">
        <v>124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127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126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125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84</v>
      </c>
      <c r="C192" s="3" t="s">
        <v>124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127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126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125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102</v>
      </c>
      <c r="C196" s="3" t="s">
        <v>124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127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126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125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124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127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126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125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124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127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126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125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101</v>
      </c>
      <c r="C208" s="3" t="s">
        <v>124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127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126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125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84</v>
      </c>
      <c r="B214" s="82" t="s">
        <v>125</v>
      </c>
      <c r="C214" s="69" t="s">
        <v>269</v>
      </c>
      <c r="D214" s="70" t="s">
        <v>78</v>
      </c>
      <c r="E214" s="70" t="s">
        <v>74</v>
      </c>
      <c r="F214" s="70" t="s">
        <v>77</v>
      </c>
      <c r="G214" s="70" t="s">
        <v>75</v>
      </c>
      <c r="H214" s="81" t="s">
        <v>76</v>
      </c>
    </row>
    <row r="215" spans="1:9" ht="13" customHeight="1" x14ac:dyDescent="0.3">
      <c r="A215" s="4"/>
      <c r="C215" s="3" t="s">
        <v>124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127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126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125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245</v>
      </c>
      <c r="H220" s="92"/>
    </row>
    <row r="221" spans="1:9" ht="13" customHeight="1" x14ac:dyDescent="0.3">
      <c r="A221" s="67" t="s">
        <v>278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230</v>
      </c>
      <c r="B222" s="1" t="s">
        <v>270</v>
      </c>
      <c r="C222" s="1" t="s">
        <v>271</v>
      </c>
      <c r="D222" s="70" t="s">
        <v>78</v>
      </c>
      <c r="E222" s="70" t="s">
        <v>74</v>
      </c>
      <c r="F222" s="70" t="s">
        <v>77</v>
      </c>
      <c r="G222" s="70" t="s">
        <v>75</v>
      </c>
      <c r="H222" s="70" t="s">
        <v>76</v>
      </c>
      <c r="I222" s="79"/>
    </row>
    <row r="223" spans="1:9" ht="13" customHeight="1" x14ac:dyDescent="0.3">
      <c r="A223" s="4"/>
      <c r="B223" s="8" t="s">
        <v>84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273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274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272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102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273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274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272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273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274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272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273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274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272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273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274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272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99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273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274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272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282</v>
      </c>
      <c r="B249" s="4" t="s">
        <v>270</v>
      </c>
      <c r="C249" s="4" t="s">
        <v>281</v>
      </c>
      <c r="D249" s="70" t="s">
        <v>78</v>
      </c>
      <c r="E249" s="70" t="s">
        <v>74</v>
      </c>
      <c r="F249" s="70" t="s">
        <v>77</v>
      </c>
      <c r="G249" s="70" t="s">
        <v>75</v>
      </c>
      <c r="H249" s="70" t="s">
        <v>76</v>
      </c>
      <c r="I249" s="79"/>
    </row>
    <row r="250" spans="1:9" ht="13" customHeight="1" x14ac:dyDescent="0.3">
      <c r="A250" s="4"/>
      <c r="B250" s="8" t="s">
        <v>84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273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102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273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273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273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273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99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273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276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105</v>
      </c>
      <c r="B276" s="4" t="s">
        <v>270</v>
      </c>
      <c r="C276" s="69" t="s">
        <v>267</v>
      </c>
      <c r="D276" s="70" t="s">
        <v>113</v>
      </c>
      <c r="E276" s="70" t="s">
        <v>114</v>
      </c>
      <c r="F276" s="70" t="s">
        <v>115</v>
      </c>
      <c r="G276" s="70" t="s">
        <v>116</v>
      </c>
      <c r="H276" s="79"/>
    </row>
    <row r="277" spans="1:9" ht="13" customHeight="1" x14ac:dyDescent="0.3">
      <c r="A277" s="4"/>
      <c r="B277" s="8" t="s">
        <v>81</v>
      </c>
      <c r="C277" s="3" t="s">
        <v>275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268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89</v>
      </c>
      <c r="C279" s="3" t="s">
        <v>275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268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275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268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277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123</v>
      </c>
      <c r="B285" s="4" t="s">
        <v>270</v>
      </c>
      <c r="C285" s="69" t="s">
        <v>269</v>
      </c>
      <c r="D285" s="70" t="s">
        <v>78</v>
      </c>
      <c r="E285" s="70" t="s">
        <v>74</v>
      </c>
      <c r="F285" s="70" t="s">
        <v>77</v>
      </c>
      <c r="G285" s="70" t="s">
        <v>75</v>
      </c>
      <c r="H285" s="81" t="s">
        <v>76</v>
      </c>
      <c r="I285" s="79"/>
    </row>
    <row r="286" spans="1:9" ht="13" customHeight="1" x14ac:dyDescent="0.3">
      <c r="A286" s="82"/>
      <c r="B286" s="8" t="s">
        <v>93</v>
      </c>
      <c r="C286" s="3" t="s">
        <v>124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127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126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125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124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127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126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125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95</v>
      </c>
      <c r="C294" s="3" t="s">
        <v>124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127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126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125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96</v>
      </c>
      <c r="C298" s="3" t="s">
        <v>124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127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126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125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84</v>
      </c>
      <c r="C302" s="3" t="s">
        <v>124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127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126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125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102</v>
      </c>
      <c r="C306" s="3" t="s">
        <v>124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127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126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125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124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127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126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125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124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127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126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125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101</v>
      </c>
      <c r="C318" s="3" t="s">
        <v>124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127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126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125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84</v>
      </c>
      <c r="B324" s="82" t="s">
        <v>125</v>
      </c>
      <c r="C324" s="69" t="s">
        <v>269</v>
      </c>
      <c r="D324" s="70" t="s">
        <v>78</v>
      </c>
      <c r="E324" s="70" t="s">
        <v>74</v>
      </c>
      <c r="F324" s="70" t="s">
        <v>77</v>
      </c>
      <c r="G324" s="70" t="s">
        <v>75</v>
      </c>
      <c r="H324" s="81" t="s">
        <v>76</v>
      </c>
      <c r="I324" s="79"/>
    </row>
    <row r="325" spans="1:9" ht="13" customHeight="1" x14ac:dyDescent="0.3">
      <c r="A325" s="4"/>
      <c r="C325" s="3" t="s">
        <v>124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127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126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125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R6KGlyTPNpC8U7VkkzGg1M3/KZIeEz1F/j7NbSJ5AkPJzBUYQiS5PZDR6bOajp7cNXGo3bD6JpCMon/XthPugQ==" saltValue="EZJOcEb94XLODbkA5ub84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35" zoomScale="70" zoomScaleNormal="70" workbookViewId="0">
      <selection activeCell="C8" sqref="C8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313</v>
      </c>
    </row>
    <row r="2" spans="1:7" ht="14.25" customHeight="1" x14ac:dyDescent="0.3">
      <c r="A2" s="82" t="s">
        <v>208</v>
      </c>
      <c r="B2" s="1"/>
      <c r="C2" s="4" t="s">
        <v>78</v>
      </c>
      <c r="D2" s="4" t="s">
        <v>74</v>
      </c>
      <c r="E2" s="4" t="s">
        <v>77</v>
      </c>
      <c r="F2" s="4" t="s">
        <v>75</v>
      </c>
      <c r="G2" s="4" t="s">
        <v>76</v>
      </c>
    </row>
    <row r="3" spans="1:7" ht="14.25" customHeight="1" x14ac:dyDescent="0.25">
      <c r="B3" s="11" t="s">
        <v>300</v>
      </c>
      <c r="C3" s="90" t="s">
        <v>8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286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283</v>
      </c>
    </row>
    <row r="6" spans="1:7" ht="14.25" customHeight="1" x14ac:dyDescent="0.25">
      <c r="B6" s="5" t="s">
        <v>193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204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307</v>
      </c>
    </row>
    <row r="12" spans="1:7" ht="14.25" customHeight="1" x14ac:dyDescent="0.3">
      <c r="A12" s="14"/>
      <c r="B12" s="11" t="s">
        <v>182</v>
      </c>
      <c r="C12" s="90">
        <v>1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314</v>
      </c>
    </row>
    <row r="15" spans="1:7" ht="14.25" customHeight="1" x14ac:dyDescent="0.3">
      <c r="A15" s="82" t="s">
        <v>282</v>
      </c>
      <c r="B15" s="5" t="s">
        <v>294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291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105</v>
      </c>
      <c r="B17" s="11" t="s">
        <v>297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310</v>
      </c>
    </row>
    <row r="20" spans="1:7" s="14" customFormat="1" ht="14.25" customHeight="1" x14ac:dyDescent="0.3">
      <c r="C20" s="4" t="s">
        <v>68</v>
      </c>
      <c r="D20" s="4" t="s">
        <v>69</v>
      </c>
      <c r="E20" s="4" t="s">
        <v>70</v>
      </c>
      <c r="F20" s="4" t="s">
        <v>71</v>
      </c>
    </row>
    <row r="21" spans="1:7" x14ac:dyDescent="0.25">
      <c r="B21" s="11" t="s">
        <v>170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313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208</v>
      </c>
      <c r="B25" s="1"/>
      <c r="C25" s="4" t="s">
        <v>78</v>
      </c>
      <c r="D25" s="4" t="s">
        <v>74</v>
      </c>
      <c r="E25" s="4" t="s">
        <v>77</v>
      </c>
      <c r="F25" s="4" t="s">
        <v>75</v>
      </c>
      <c r="G25" s="4" t="s">
        <v>76</v>
      </c>
    </row>
    <row r="26" spans="1:7" x14ac:dyDescent="0.25">
      <c r="B26" s="11" t="s">
        <v>301</v>
      </c>
      <c r="C26" s="90" t="s">
        <v>8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287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284</v>
      </c>
    </row>
    <row r="29" spans="1:7" x14ac:dyDescent="0.25">
      <c r="B29" s="5" t="s">
        <v>315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305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319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317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308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303</v>
      </c>
      <c r="C35" s="90">
        <v>1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314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282</v>
      </c>
      <c r="B38" s="5" t="s">
        <v>295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292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105</v>
      </c>
      <c r="B40" s="11" t="s">
        <v>298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311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68</v>
      </c>
      <c r="D43" s="4" t="s">
        <v>69</v>
      </c>
      <c r="E43" s="4" t="s">
        <v>70</v>
      </c>
      <c r="F43" s="4" t="s">
        <v>71</v>
      </c>
      <c r="G43" s="14"/>
    </row>
    <row r="44" spans="1:7" x14ac:dyDescent="0.25">
      <c r="B44" s="11" t="s">
        <v>289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245</v>
      </c>
    </row>
    <row r="47" spans="1:7" ht="13" customHeight="1" x14ac:dyDescent="0.3">
      <c r="A47" s="67" t="s">
        <v>313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208</v>
      </c>
      <c r="B48" s="1"/>
      <c r="C48" s="4" t="s">
        <v>78</v>
      </c>
      <c r="D48" s="4" t="s">
        <v>74</v>
      </c>
      <c r="E48" s="4" t="s">
        <v>77</v>
      </c>
      <c r="F48" s="4" t="s">
        <v>75</v>
      </c>
      <c r="G48" s="4" t="s">
        <v>76</v>
      </c>
    </row>
    <row r="49" spans="1:7" x14ac:dyDescent="0.25">
      <c r="B49" s="11" t="s">
        <v>302</v>
      </c>
      <c r="C49" s="90" t="s">
        <v>8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288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285</v>
      </c>
    </row>
    <row r="52" spans="1:7" x14ac:dyDescent="0.25">
      <c r="B52" s="5" t="s">
        <v>316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320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318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309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304</v>
      </c>
      <c r="C58" s="90">
        <v>1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314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282</v>
      </c>
      <c r="B61" s="5" t="s">
        <v>296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293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105</v>
      </c>
      <c r="B63" s="11" t="s">
        <v>299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312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68</v>
      </c>
      <c r="D66" s="4" t="s">
        <v>69</v>
      </c>
      <c r="E66" s="4" t="s">
        <v>70</v>
      </c>
      <c r="F66" s="4" t="s">
        <v>71</v>
      </c>
      <c r="G66" s="14"/>
    </row>
    <row r="67" spans="1:7" x14ac:dyDescent="0.25">
      <c r="B67" s="11" t="s">
        <v>290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pXialB/BmBhczhrMy0GbgBvwvM/QMrxFIukVueY/uQlEpUWA/7lTDQQrkH/oCTpw67K4XC2tyWqEodCcctSYOQ==" saltValue="CeqkwefvaMFzkSAeYJmBF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8" sqref="C8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163</v>
      </c>
      <c r="B1" s="4"/>
      <c r="C1" s="4" t="s">
        <v>52</v>
      </c>
      <c r="D1" s="4" t="s">
        <v>59</v>
      </c>
      <c r="E1" s="4" t="s">
        <v>51</v>
      </c>
      <c r="F1" s="1" t="s">
        <v>58</v>
      </c>
    </row>
    <row r="2" spans="1:6" ht="15.75" customHeight="1" x14ac:dyDescent="0.25">
      <c r="A2" s="5" t="s">
        <v>165</v>
      </c>
      <c r="B2" s="5" t="s">
        <v>322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178</v>
      </c>
      <c r="B4" s="5" t="s">
        <v>322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179</v>
      </c>
      <c r="B6" s="5" t="s">
        <v>322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180</v>
      </c>
      <c r="B8" s="5" t="s">
        <v>322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322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191</v>
      </c>
      <c r="B12" s="5" t="s">
        <v>322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163</v>
      </c>
      <c r="B16" s="4"/>
      <c r="C16" s="4" t="s">
        <v>52</v>
      </c>
      <c r="D16" s="4" t="s">
        <v>59</v>
      </c>
      <c r="E16" s="4" t="s">
        <v>51</v>
      </c>
      <c r="F16" s="1" t="s">
        <v>58</v>
      </c>
    </row>
    <row r="17" spans="1:6" ht="15.75" customHeight="1" x14ac:dyDescent="0.25">
      <c r="A17" s="5" t="s">
        <v>165</v>
      </c>
      <c r="B17" s="5" t="s">
        <v>322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178</v>
      </c>
      <c r="B19" s="5" t="s">
        <v>322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179</v>
      </c>
      <c r="B21" s="5" t="s">
        <v>322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180</v>
      </c>
      <c r="B23" s="5" t="s">
        <v>322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322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191</v>
      </c>
      <c r="B27" s="5" t="s">
        <v>322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245</v>
      </c>
    </row>
    <row r="31" spans="1:6" ht="15.75" customHeight="1" x14ac:dyDescent="0.3">
      <c r="A31" s="1" t="s">
        <v>163</v>
      </c>
      <c r="B31" s="4"/>
      <c r="C31" s="4" t="s">
        <v>52</v>
      </c>
      <c r="D31" s="4" t="s">
        <v>59</v>
      </c>
      <c r="E31" s="4" t="s">
        <v>51</v>
      </c>
      <c r="F31" s="1" t="s">
        <v>58</v>
      </c>
    </row>
    <row r="32" spans="1:6" ht="15.75" customHeight="1" x14ac:dyDescent="0.25">
      <c r="A32" s="5" t="s">
        <v>165</v>
      </c>
      <c r="B32" s="5" t="s">
        <v>322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178</v>
      </c>
      <c r="B34" s="5" t="s">
        <v>322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179</v>
      </c>
      <c r="B36" s="5" t="s">
        <v>322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180</v>
      </c>
      <c r="B38" s="5" t="s">
        <v>322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322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191</v>
      </c>
      <c r="B42" s="5" t="s">
        <v>322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j6yb74OsFzZ1Cd9e353DpeMA78MKl+EWzV755YM1J5ePJ9xrU7f+QCzYl4Mo5I230l3TNaLMm7SkZ3liCX8G+A==" saltValue="XRG4mZWfOxqgag6elltgs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C8" sqref="C8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78</v>
      </c>
      <c r="D1" s="70" t="s">
        <v>74</v>
      </c>
      <c r="E1" s="70" t="s">
        <v>77</v>
      </c>
      <c r="F1" s="70" t="s">
        <v>75</v>
      </c>
      <c r="G1" s="70" t="s">
        <v>76</v>
      </c>
      <c r="H1" s="70" t="s">
        <v>68</v>
      </c>
      <c r="I1" s="70" t="s">
        <v>69</v>
      </c>
      <c r="J1" s="70" t="s">
        <v>70</v>
      </c>
      <c r="K1" s="70" t="s">
        <v>71</v>
      </c>
      <c r="L1" s="70" t="s">
        <v>113</v>
      </c>
      <c r="M1" s="70" t="s">
        <v>114</v>
      </c>
      <c r="N1" s="70" t="s">
        <v>115</v>
      </c>
      <c r="O1" s="70" t="s">
        <v>116</v>
      </c>
    </row>
    <row r="2" spans="1:15" ht="13" customHeight="1" x14ac:dyDescent="0.3">
      <c r="A2" s="4" t="s">
        <v>326</v>
      </c>
    </row>
    <row r="3" spans="1:15" x14ac:dyDescent="0.25">
      <c r="B3" s="11" t="s">
        <v>169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174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175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176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177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178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179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180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190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191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171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172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173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181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78</v>
      </c>
      <c r="D24" s="70" t="s">
        <v>74</v>
      </c>
      <c r="E24" s="70" t="s">
        <v>77</v>
      </c>
      <c r="F24" s="70" t="s">
        <v>75</v>
      </c>
      <c r="G24" s="70" t="s">
        <v>76</v>
      </c>
      <c r="H24" s="70" t="s">
        <v>68</v>
      </c>
      <c r="I24" s="70" t="s">
        <v>69</v>
      </c>
      <c r="J24" s="70" t="s">
        <v>70</v>
      </c>
      <c r="K24" s="70" t="s">
        <v>71</v>
      </c>
      <c r="L24" s="70" t="s">
        <v>113</v>
      </c>
      <c r="M24" s="70" t="s">
        <v>114</v>
      </c>
      <c r="N24" s="70" t="s">
        <v>115</v>
      </c>
      <c r="O24" s="70" t="s">
        <v>116</v>
      </c>
    </row>
    <row r="25" spans="1:15" ht="13" customHeight="1" x14ac:dyDescent="0.3">
      <c r="A25" s="4" t="s">
        <v>327</v>
      </c>
    </row>
    <row r="26" spans="1:15" x14ac:dyDescent="0.25">
      <c r="B26" s="11" t="s">
        <v>169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174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175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176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177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178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179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180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190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191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324</v>
      </c>
      <c r="B40" s="11"/>
    </row>
    <row r="41" spans="1:15" x14ac:dyDescent="0.25">
      <c r="B41" s="5" t="s">
        <v>171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172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173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181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245</v>
      </c>
    </row>
    <row r="47" spans="1:15" ht="26" customHeight="1" x14ac:dyDescent="0.3">
      <c r="A47" s="4"/>
      <c r="B47" s="4"/>
      <c r="C47" s="70" t="s">
        <v>78</v>
      </c>
      <c r="D47" s="70" t="s">
        <v>74</v>
      </c>
      <c r="E47" s="70" t="s">
        <v>77</v>
      </c>
      <c r="F47" s="70" t="s">
        <v>75</v>
      </c>
      <c r="G47" s="70" t="s">
        <v>76</v>
      </c>
      <c r="H47" s="70" t="s">
        <v>68</v>
      </c>
      <c r="I47" s="70" t="s">
        <v>69</v>
      </c>
      <c r="J47" s="70" t="s">
        <v>70</v>
      </c>
      <c r="K47" s="70" t="s">
        <v>71</v>
      </c>
      <c r="L47" s="70" t="s">
        <v>113</v>
      </c>
      <c r="M47" s="70" t="s">
        <v>114</v>
      </c>
      <c r="N47" s="70" t="s">
        <v>115</v>
      </c>
      <c r="O47" s="70" t="s">
        <v>116</v>
      </c>
    </row>
    <row r="48" spans="1:15" ht="13" customHeight="1" x14ac:dyDescent="0.3">
      <c r="A48" s="4" t="s">
        <v>328</v>
      </c>
    </row>
    <row r="49" spans="1:15" x14ac:dyDescent="0.25">
      <c r="B49" s="11" t="s">
        <v>169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174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175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176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177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178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179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180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190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191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325</v>
      </c>
      <c r="B63" s="11"/>
    </row>
    <row r="64" spans="1:15" x14ac:dyDescent="0.25">
      <c r="B64" s="5" t="s">
        <v>171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172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173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181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cY+07Iv1jcQqHHtYj9TsIMdpu0FuPomWE38WV/MrW/nejPDBqeIKm2yU092TexlkF5JvAR2ZUgJmpcBYXsf/TA==" saltValue="xAUNN61umbKWNv3MteeeY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</row>
    <row r="2" spans="1:7" ht="13" customHeight="1" x14ac:dyDescent="0.3">
      <c r="A2" s="4" t="s">
        <v>333</v>
      </c>
    </row>
    <row r="3" spans="1:7" ht="13.25" customHeight="1" x14ac:dyDescent="0.25">
      <c r="B3" s="11" t="s">
        <v>164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330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162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329</v>
      </c>
    </row>
    <row r="8" spans="1:7" ht="13" customHeight="1" x14ac:dyDescent="0.3">
      <c r="A8" s="4"/>
      <c r="B8" s="1"/>
      <c r="C8" s="4" t="s">
        <v>78</v>
      </c>
      <c r="D8" s="4" t="s">
        <v>74</v>
      </c>
      <c r="E8" s="4" t="s">
        <v>77</v>
      </c>
      <c r="F8" s="4" t="s">
        <v>75</v>
      </c>
      <c r="G8" s="4" t="s">
        <v>76</v>
      </c>
    </row>
    <row r="9" spans="1:7" ht="13" customHeight="1" x14ac:dyDescent="0.3">
      <c r="A9" s="4" t="s">
        <v>334</v>
      </c>
    </row>
    <row r="10" spans="1:7" ht="13.25" customHeight="1" x14ac:dyDescent="0.25">
      <c r="B10" s="11" t="s">
        <v>164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331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162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336</v>
      </c>
    </row>
    <row r="15" spans="1:7" ht="13" customHeight="1" x14ac:dyDescent="0.3">
      <c r="A15" s="4"/>
      <c r="B15" s="1"/>
      <c r="C15" s="4" t="s">
        <v>78</v>
      </c>
      <c r="D15" s="4" t="s">
        <v>74</v>
      </c>
      <c r="E15" s="4" t="s">
        <v>77</v>
      </c>
      <c r="F15" s="4" t="s">
        <v>75</v>
      </c>
      <c r="G15" s="4" t="s">
        <v>76</v>
      </c>
    </row>
    <row r="16" spans="1:7" ht="13" customHeight="1" x14ac:dyDescent="0.3">
      <c r="A16" s="4" t="s">
        <v>335</v>
      </c>
    </row>
    <row r="17" spans="1:7" ht="13.25" customHeight="1" x14ac:dyDescent="0.25">
      <c r="B17" s="11" t="s">
        <v>164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332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162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W+rrjvV77+HA9/NryyHhr+wVJsh6wXQpoJg5si/17Nt2+yuiTl5rNoT1+OWdeW5RmOIA5GguXQLtpjhQ3NFhng==" saltValue="CsP4VV/Sx6c//ex7reQev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22" zoomScale="80" zoomScaleNormal="80" workbookViewId="0">
      <selection activeCell="D8" sqref="D8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163</v>
      </c>
      <c r="B1" s="4" t="s">
        <v>340</v>
      </c>
      <c r="C1" s="82" t="s">
        <v>9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8" ht="13.25" customHeight="1" x14ac:dyDescent="0.25">
      <c r="A2" s="5" t="s">
        <v>196</v>
      </c>
      <c r="B2" s="5" t="s">
        <v>84</v>
      </c>
      <c r="C2" s="5" t="s">
        <v>337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338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193</v>
      </c>
      <c r="B5" s="5" t="s">
        <v>207</v>
      </c>
      <c r="C5" s="5" t="s">
        <v>337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338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6</v>
      </c>
      <c r="C7" s="5" t="s">
        <v>337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338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184</v>
      </c>
      <c r="B9" s="5" t="s">
        <v>207</v>
      </c>
      <c r="C9" s="5" t="s">
        <v>337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338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6</v>
      </c>
      <c r="C11" s="5" t="s">
        <v>337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338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204</v>
      </c>
      <c r="B13" s="5" t="s">
        <v>207</v>
      </c>
      <c r="C13" s="5" t="s">
        <v>337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338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6</v>
      </c>
      <c r="C15" s="5" t="s">
        <v>337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338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167</v>
      </c>
      <c r="B17" s="5" t="s">
        <v>207</v>
      </c>
      <c r="C17" s="5" t="s">
        <v>337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338</v>
      </c>
      <c r="D18" s="90">
        <v>0</v>
      </c>
      <c r="E18" s="90">
        <v>0</v>
      </c>
      <c r="F18" s="90">
        <f>MIN(MAX(1-0.89/(1-frac_sam_6_11months+(frac_sam_6_11months*0.89)),0),1)</f>
        <v>0.10799564391176075</v>
      </c>
      <c r="G18" s="90">
        <f>MIN(MAX(1-0.89/(1-frac_sam_12_23months+(frac_sam_12_23months*0.89)),0),1)</f>
        <v>0.10827386342427692</v>
      </c>
      <c r="H18" s="90">
        <f>MIN(MAX(1-0.89/(1-frac_sam_24_59months+(frac_sam_24_59months*0.89)),0),1)</f>
        <v>0.10954619802890142</v>
      </c>
    </row>
    <row r="19" spans="1:8" ht="13.25" customHeight="1" x14ac:dyDescent="0.25">
      <c r="B19" s="5" t="s">
        <v>6</v>
      </c>
      <c r="C19" s="5" t="s">
        <v>337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338</v>
      </c>
      <c r="D20" s="90">
        <v>0</v>
      </c>
      <c r="E20" s="90">
        <v>0</v>
      </c>
      <c r="F20" s="90">
        <f>MIN(MAX(1-0.89/(1-frac_mam_6_11months+(frac_mam_6_11months*0.89)),0),1)</f>
        <v>0.10258192785697662</v>
      </c>
      <c r="G20" s="90">
        <f>MIN(MAX(1-0.89/(1-frac_mam_12_23months+(frac_mam_12_23months*0.89)),0),1)</f>
        <v>0.10465538626950788</v>
      </c>
      <c r="H20" s="90">
        <f>MIN(MAX(1-0.89/(1-frac_mam_24_59months+(frac_mam_24_59months*0.89)),0),1)</f>
        <v>0.10749239277659295</v>
      </c>
    </row>
    <row r="21" spans="1:8" ht="13.25" customHeight="1" x14ac:dyDescent="0.25">
      <c r="A21" s="5" t="s">
        <v>173</v>
      </c>
      <c r="B21" s="5" t="s">
        <v>92</v>
      </c>
      <c r="C21" s="5" t="s">
        <v>337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ht="13.25" customHeight="1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ht="13.25" customHeight="1" x14ac:dyDescent="0.25">
      <c r="A23" s="5" t="s">
        <v>171</v>
      </c>
      <c r="B23" s="5" t="s">
        <v>92</v>
      </c>
      <c r="C23" s="5" t="s">
        <v>337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ht="13.25" customHeight="1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ht="13.25" customHeight="1" x14ac:dyDescent="0.25">
      <c r="A25" s="5" t="s">
        <v>172</v>
      </c>
      <c r="B25" s="5" t="s">
        <v>92</v>
      </c>
      <c r="C25" s="5" t="s">
        <v>337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ht="13.25" customHeight="1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ht="13.25" customHeight="1" x14ac:dyDescent="0.25">
      <c r="A27" s="5" t="s">
        <v>200</v>
      </c>
      <c r="B27" s="5" t="s">
        <v>84</v>
      </c>
      <c r="C27" s="5" t="s">
        <v>337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ht="13.25" customHeight="1" x14ac:dyDescent="0.25">
      <c r="C28" s="5" t="s">
        <v>339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ht="13.25" customHeight="1" x14ac:dyDescent="0.25">
      <c r="C29" s="5" t="s">
        <v>338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ht="13.25" customHeight="1" x14ac:dyDescent="0.25">
      <c r="A30" s="5" t="s">
        <v>201</v>
      </c>
      <c r="B30" s="5" t="s">
        <v>84</v>
      </c>
      <c r="C30" s="5" t="s">
        <v>337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ht="13.25" customHeight="1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ht="13.25" customHeight="1" x14ac:dyDescent="0.25">
      <c r="C32" s="5" t="s">
        <v>338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ht="13.25" customHeight="1" x14ac:dyDescent="0.25">
      <c r="A33" s="5" t="s">
        <v>199</v>
      </c>
      <c r="B33" s="5" t="s">
        <v>84</v>
      </c>
      <c r="C33" s="5" t="s">
        <v>337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ht="13.25" customHeight="1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ht="13.25" customHeight="1" x14ac:dyDescent="0.25">
      <c r="C35" s="5" t="s">
        <v>338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ht="13.25" customHeight="1" x14ac:dyDescent="0.25">
      <c r="A36" s="5" t="s">
        <v>198</v>
      </c>
      <c r="B36" s="5" t="s">
        <v>84</v>
      </c>
      <c r="C36" s="5" t="s">
        <v>337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ht="13.25" customHeight="1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ht="13.25" customHeight="1" x14ac:dyDescent="0.25">
      <c r="C38" s="5" t="s">
        <v>338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ht="13.25" customHeight="1" x14ac:dyDescent="0.25">
      <c r="A39" s="5" t="s">
        <v>197</v>
      </c>
      <c r="B39" s="5" t="s">
        <v>84</v>
      </c>
      <c r="C39" s="5" t="s">
        <v>337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ht="13.25" customHeight="1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ht="13.25" customHeight="1" x14ac:dyDescent="0.25">
      <c r="C41" s="5" t="s">
        <v>338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ht="13.25" customHeight="1" x14ac:dyDescent="0.25">
      <c r="A42" s="5" t="s">
        <v>203</v>
      </c>
      <c r="B42" s="5" t="s">
        <v>84</v>
      </c>
      <c r="C42" s="5" t="s">
        <v>337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ht="13.25" customHeight="1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ht="13.25" customHeight="1" x14ac:dyDescent="0.25">
      <c r="C44" s="5" t="s">
        <v>338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ht="13.25" customHeight="1" x14ac:dyDescent="0.25">
      <c r="B45" s="5" t="s">
        <v>102</v>
      </c>
      <c r="C45" s="5" t="s">
        <v>337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ht="13.25" customHeight="1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ht="13.25" customHeight="1" x14ac:dyDescent="0.25">
      <c r="C47" s="5" t="s">
        <v>338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192</v>
      </c>
      <c r="B48" s="5" t="s">
        <v>84</v>
      </c>
      <c r="C48" s="5" t="s">
        <v>337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202</v>
      </c>
      <c r="B50" s="5" t="s">
        <v>84</v>
      </c>
      <c r="C50" s="5" t="s">
        <v>337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182</v>
      </c>
      <c r="B52" s="5" t="s">
        <v>96</v>
      </c>
      <c r="C52" s="5" t="s">
        <v>337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329</v>
      </c>
      <c r="B55" s="97"/>
      <c r="C55" s="97"/>
    </row>
    <row r="56" spans="1:8" ht="13" customHeight="1" x14ac:dyDescent="0.3">
      <c r="A56" s="4" t="s">
        <v>163</v>
      </c>
      <c r="B56" s="4" t="s">
        <v>340</v>
      </c>
      <c r="C56" s="82" t="s">
        <v>9</v>
      </c>
      <c r="D56" s="4" t="s">
        <v>78</v>
      </c>
      <c r="E56" s="4" t="s">
        <v>74</v>
      </c>
      <c r="F56" s="4" t="s">
        <v>77</v>
      </c>
      <c r="G56" s="4" t="s">
        <v>75</v>
      </c>
      <c r="H56" s="4" t="s">
        <v>76</v>
      </c>
    </row>
    <row r="57" spans="1:8" x14ac:dyDescent="0.25">
      <c r="A57" s="5" t="s">
        <v>196</v>
      </c>
      <c r="B57" s="5" t="s">
        <v>84</v>
      </c>
      <c r="C57" s="5" t="s">
        <v>337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338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193</v>
      </c>
      <c r="B60" s="5" t="s">
        <v>207</v>
      </c>
      <c r="C60" s="5" t="s">
        <v>337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338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337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338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207</v>
      </c>
      <c r="C64" s="5" t="s">
        <v>337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338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337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338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204</v>
      </c>
      <c r="B68" s="5" t="s">
        <v>207</v>
      </c>
      <c r="C68" s="5" t="s">
        <v>337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338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337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338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167</v>
      </c>
      <c r="B72" s="5" t="s">
        <v>207</v>
      </c>
      <c r="C72" s="5" t="s">
        <v>337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338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9.7977264305665335E-3</v>
      </c>
      <c r="G73" s="90">
        <f>MIN(MAX(1-0.99/(1-frac_sam_12_23months+(frac_sam_12_23months*0.99)),0),1)</f>
        <v>9.8257540870755333E-3</v>
      </c>
      <c r="H73" s="90">
        <f>MIN(MAX(1-0.99/(1-frac_sam_24_59months+(frac_sam_24_59months*0.99)),0),1)</f>
        <v>9.9541311748974071E-3</v>
      </c>
    </row>
    <row r="74" spans="1:8" x14ac:dyDescent="0.25">
      <c r="B74" s="5" t="s">
        <v>6</v>
      </c>
      <c r="C74" s="5" t="s">
        <v>337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338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9.2554991003318543E-3</v>
      </c>
      <c r="G75" s="90">
        <f>MIN(MAX(1-0.99/(1-frac_mam_12_23months+(frac_mam_12_23months*0.99)),0),1)</f>
        <v>9.4624679691053259E-3</v>
      </c>
      <c r="H75" s="90">
        <f>MIN(MAX(1-0.99/(1-frac_mam_24_59months+(frac_mam_24_59months*0.99)),0),1)</f>
        <v>9.7470695965163889E-3</v>
      </c>
    </row>
    <row r="76" spans="1:8" x14ac:dyDescent="0.25">
      <c r="A76" s="5" t="s">
        <v>173</v>
      </c>
      <c r="B76" s="5" t="s">
        <v>92</v>
      </c>
      <c r="C76" s="5" t="s">
        <v>337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171</v>
      </c>
      <c r="B78" s="5" t="s">
        <v>92</v>
      </c>
      <c r="C78" s="5" t="s">
        <v>337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172</v>
      </c>
      <c r="B80" s="5" t="s">
        <v>92</v>
      </c>
      <c r="C80" s="5" t="s">
        <v>337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200</v>
      </c>
      <c r="B82" s="5" t="s">
        <v>84</v>
      </c>
      <c r="C82" s="5" t="s">
        <v>337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338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201</v>
      </c>
      <c r="B85" s="5" t="s">
        <v>84</v>
      </c>
      <c r="C85" s="5" t="s">
        <v>337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338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199</v>
      </c>
      <c r="B88" s="5" t="s">
        <v>84</v>
      </c>
      <c r="C88" s="5" t="s">
        <v>337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338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198</v>
      </c>
      <c r="B91" s="5" t="s">
        <v>84</v>
      </c>
      <c r="C91" s="5" t="s">
        <v>337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338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197</v>
      </c>
      <c r="B94" s="5" t="s">
        <v>84</v>
      </c>
      <c r="C94" s="5" t="s">
        <v>337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338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203</v>
      </c>
      <c r="B97" s="5" t="s">
        <v>84</v>
      </c>
      <c r="C97" s="5" t="s">
        <v>337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338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102</v>
      </c>
      <c r="C100" s="5" t="s">
        <v>337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338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192</v>
      </c>
      <c r="B103" s="5" t="s">
        <v>84</v>
      </c>
      <c r="C103" s="5" t="s">
        <v>337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202</v>
      </c>
      <c r="B105" s="5" t="s">
        <v>84</v>
      </c>
      <c r="C105" s="5" t="s">
        <v>337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182</v>
      </c>
      <c r="B107" s="5" t="s">
        <v>96</v>
      </c>
      <c r="C107" s="5" t="s">
        <v>337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336</v>
      </c>
      <c r="B110" s="97"/>
      <c r="C110" s="97"/>
    </row>
    <row r="111" spans="1:8" ht="13" customHeight="1" x14ac:dyDescent="0.3">
      <c r="A111" s="4" t="s">
        <v>163</v>
      </c>
      <c r="B111" s="4" t="s">
        <v>340</v>
      </c>
      <c r="C111" s="82" t="s">
        <v>9</v>
      </c>
      <c r="D111" s="4" t="s">
        <v>78</v>
      </c>
      <c r="E111" s="4" t="s">
        <v>74</v>
      </c>
      <c r="F111" s="4" t="s">
        <v>77</v>
      </c>
      <c r="G111" s="4" t="s">
        <v>75</v>
      </c>
      <c r="H111" s="4" t="s">
        <v>76</v>
      </c>
    </row>
    <row r="112" spans="1:8" x14ac:dyDescent="0.25">
      <c r="A112" s="5" t="s">
        <v>196</v>
      </c>
      <c r="B112" s="5" t="s">
        <v>84</v>
      </c>
      <c r="C112" s="5" t="s">
        <v>337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338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193</v>
      </c>
      <c r="B115" s="5" t="s">
        <v>207</v>
      </c>
      <c r="C115" s="5" t="s">
        <v>337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338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337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338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207</v>
      </c>
      <c r="C119" s="5" t="s">
        <v>337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338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337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338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204</v>
      </c>
      <c r="B123" s="5" t="s">
        <v>207</v>
      </c>
      <c r="C123" s="5" t="s">
        <v>337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338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337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338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167</v>
      </c>
      <c r="B127" s="5" t="s">
        <v>207</v>
      </c>
      <c r="C127" s="5" t="s">
        <v>337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338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0.19671819217412734</v>
      </c>
      <c r="G128" s="90">
        <f>MIN(MAX(1-0.8/(1-frac_sam_12_23months+(frac_sam_12_23months*0.8)),0),1)</f>
        <v>0.19717445549611856</v>
      </c>
      <c r="H128" s="90">
        <f>MIN(MAX(1-0.8/(1-frac_sam_24_59months+(frac_sam_24_59months*0.8)),0),1)</f>
        <v>0.19925803249290786</v>
      </c>
    </row>
    <row r="129" spans="1:8" x14ac:dyDescent="0.25">
      <c r="B129" s="5" t="s">
        <v>6</v>
      </c>
      <c r="C129" s="5" t="s">
        <v>337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338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0.187793247248081</v>
      </c>
      <c r="G130" s="90">
        <f>MIN(MAX(1-0.8/(1-frac_mam_12_23months+(frac_mam_12_23months*0.8)),0),1)</f>
        <v>0.19122205801109404</v>
      </c>
      <c r="H130" s="90">
        <f>MIN(MAX(1-0.8/(1-frac_mam_24_59months+(frac_mam_24_59months*0.8)),0),1)</f>
        <v>0.1958922962059384</v>
      </c>
    </row>
    <row r="131" spans="1:8" x14ac:dyDescent="0.25">
      <c r="A131" s="5" t="s">
        <v>173</v>
      </c>
      <c r="B131" s="5" t="s">
        <v>92</v>
      </c>
      <c r="C131" s="5" t="s">
        <v>337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171</v>
      </c>
      <c r="B133" s="5" t="s">
        <v>92</v>
      </c>
      <c r="C133" s="5" t="s">
        <v>337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172</v>
      </c>
      <c r="B135" s="5" t="s">
        <v>92</v>
      </c>
      <c r="C135" s="5" t="s">
        <v>337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200</v>
      </c>
      <c r="B137" s="5" t="s">
        <v>84</v>
      </c>
      <c r="C137" s="5" t="s">
        <v>337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338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201</v>
      </c>
      <c r="B140" s="5" t="s">
        <v>84</v>
      </c>
      <c r="C140" s="5" t="s">
        <v>337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338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199</v>
      </c>
      <c r="B143" s="5" t="s">
        <v>84</v>
      </c>
      <c r="C143" s="5" t="s">
        <v>337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338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198</v>
      </c>
      <c r="B146" s="5" t="s">
        <v>84</v>
      </c>
      <c r="C146" s="5" t="s">
        <v>337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338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197</v>
      </c>
      <c r="B149" s="5" t="s">
        <v>84</v>
      </c>
      <c r="C149" s="5" t="s">
        <v>337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338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203</v>
      </c>
      <c r="B152" s="5" t="s">
        <v>84</v>
      </c>
      <c r="C152" s="5" t="s">
        <v>337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338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102</v>
      </c>
      <c r="C155" s="5" t="s">
        <v>337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338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192</v>
      </c>
      <c r="B158" s="5" t="s">
        <v>84</v>
      </c>
      <c r="C158" s="5" t="s">
        <v>337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202</v>
      </c>
      <c r="B160" s="5" t="s">
        <v>84</v>
      </c>
      <c r="C160" s="5" t="s">
        <v>337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182</v>
      </c>
      <c r="B162" s="5" t="s">
        <v>96</v>
      </c>
      <c r="C162" s="5" t="s">
        <v>337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iH3Oez6xELgz7zzaXXZsO3ASH5iF4MLRyPIxwFwomkWMTlY+/+wUW/3FDTl5zT79rhDKgw94iAzkqa7syVi3bQ==" saltValue="veYwgOxlKUF4SelIl190e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11" sqref="D11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163</v>
      </c>
      <c r="B1" s="1" t="s">
        <v>340</v>
      </c>
      <c r="C1" s="1"/>
      <c r="D1" s="4" t="s">
        <v>113</v>
      </c>
      <c r="E1" s="4" t="s">
        <v>114</v>
      </c>
      <c r="F1" s="4" t="s">
        <v>115</v>
      </c>
      <c r="G1" s="4" t="s">
        <v>116</v>
      </c>
      <c r="H1" s="4"/>
    </row>
    <row r="2" spans="1:8" ht="13.25" customHeight="1" x14ac:dyDescent="0.25">
      <c r="A2" s="3" t="s">
        <v>166</v>
      </c>
      <c r="B2" s="8" t="s">
        <v>86</v>
      </c>
      <c r="C2" s="3" t="s">
        <v>337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339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189</v>
      </c>
      <c r="B4" s="8" t="s">
        <v>86</v>
      </c>
      <c r="C4" s="3" t="s">
        <v>337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188</v>
      </c>
      <c r="B6" s="8" t="s">
        <v>86</v>
      </c>
      <c r="C6" s="3" t="s">
        <v>337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329</v>
      </c>
    </row>
    <row r="10" spans="1:8" ht="13" customHeight="1" x14ac:dyDescent="0.3">
      <c r="A10" s="1" t="s">
        <v>163</v>
      </c>
      <c r="B10" s="1" t="s">
        <v>340</v>
      </c>
      <c r="C10" s="1"/>
      <c r="D10" s="4" t="s">
        <v>113</v>
      </c>
      <c r="E10" s="4" t="s">
        <v>114</v>
      </c>
      <c r="F10" s="4" t="s">
        <v>115</v>
      </c>
      <c r="G10" s="4" t="s">
        <v>116</v>
      </c>
    </row>
    <row r="11" spans="1:8" ht="13.25" customHeight="1" x14ac:dyDescent="0.25">
      <c r="A11" s="3" t="s">
        <v>166</v>
      </c>
      <c r="B11" s="8" t="s">
        <v>86</v>
      </c>
      <c r="C11" s="3" t="s">
        <v>337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189</v>
      </c>
      <c r="B13" s="8" t="s">
        <v>86</v>
      </c>
      <c r="C13" s="3" t="s">
        <v>337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188</v>
      </c>
      <c r="B15" s="8" t="s">
        <v>86</v>
      </c>
      <c r="C15" s="3" t="s">
        <v>337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336</v>
      </c>
    </row>
    <row r="19" spans="1:7" ht="13" customHeight="1" x14ac:dyDescent="0.3">
      <c r="A19" s="1" t="s">
        <v>163</v>
      </c>
      <c r="B19" s="1" t="s">
        <v>340</v>
      </c>
      <c r="C19" s="1"/>
      <c r="D19" s="4" t="s">
        <v>113</v>
      </c>
      <c r="E19" s="4" t="s">
        <v>114</v>
      </c>
      <c r="F19" s="4" t="s">
        <v>115</v>
      </c>
      <c r="G19" s="4" t="s">
        <v>116</v>
      </c>
    </row>
    <row r="20" spans="1:7" ht="13.25" customHeight="1" x14ac:dyDescent="0.25">
      <c r="A20" s="3" t="s">
        <v>166</v>
      </c>
      <c r="B20" s="8" t="s">
        <v>86</v>
      </c>
      <c r="C20" s="3" t="s">
        <v>337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ht="13.25" customHeight="1" x14ac:dyDescent="0.25">
      <c r="C21" s="8" t="s">
        <v>339</v>
      </c>
      <c r="D21" s="90">
        <v>0</v>
      </c>
      <c r="E21" s="90">
        <v>0</v>
      </c>
      <c r="F21" s="90">
        <v>0</v>
      </c>
      <c r="G21" s="90">
        <v>0</v>
      </c>
    </row>
    <row r="22" spans="1:7" ht="13.25" customHeight="1" x14ac:dyDescent="0.25">
      <c r="A22" s="3" t="s">
        <v>189</v>
      </c>
      <c r="B22" s="8" t="s">
        <v>86</v>
      </c>
      <c r="C22" s="3" t="s">
        <v>337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ht="13.25" customHeight="1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ht="13.25" customHeight="1" x14ac:dyDescent="0.25">
      <c r="A24" s="3" t="s">
        <v>188</v>
      </c>
      <c r="B24" s="8" t="s">
        <v>86</v>
      </c>
      <c r="C24" s="3" t="s">
        <v>337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ht="13.25" customHeight="1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isQ/+a0UHxrZXp3zzSe5jwLbiiqcJyoRD+PZhexryGntMQaZyQeuJhS1JJ0YAGiN/EuhfVbk4XR/srgnICd+2A==" saltValue="z52Fh36e2aLVTDaeyBWn+Q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Pérdida económica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Riesgos desenlace de nacimiento</vt:lpstr>
      <vt:lpstr>Riesgos relativos</vt:lpstr>
      <vt:lpstr>Razón de momios</vt:lpstr>
      <vt:lpstr>Resultados de nacimiento- prog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lang=es</cp:keywords>
  <cp:lastModifiedBy>Tharindu Wickramaarachchi</cp:lastModifiedBy>
  <dcterms:created xsi:type="dcterms:W3CDTF">2017-08-01T10:42:13Z</dcterms:created>
  <dcterms:modified xsi:type="dcterms:W3CDTF">2024-08-06T07:15:08Z</dcterms:modified>
</cp:coreProperties>
</file>