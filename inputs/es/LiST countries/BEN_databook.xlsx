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CE1E584-900F-4A74-933E-DBFFC751D9FA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A37" i="2"/>
  <c r="A2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<sst xmlns="http://schemas.openxmlformats.org/spreadsheetml/2006/main" count="2159" uniqueCount="372">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</sst>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2200874</v>
      </c>
    </row>
    <row r="8" spans="1:3" ht="15" customHeight="1" x14ac:dyDescent="0.25">
      <c r="B8" s="5" t="s">
        <v>63</v>
      </c>
      <c r="C8" s="44">
        <v>0.55000000000000004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0.39810580000000001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8.9200000000000002E-2</v>
      </c>
    </row>
    <row r="24" spans="1:3" ht="15" customHeight="1" x14ac:dyDescent="0.25">
      <c r="B24" s="15" t="s">
        <v>65</v>
      </c>
      <c r="C24" s="45">
        <v>0.50560000000000005</v>
      </c>
    </row>
    <row r="25" spans="1:3" ht="15" customHeight="1" x14ac:dyDescent="0.25">
      <c r="B25" s="15" t="s">
        <v>66</v>
      </c>
      <c r="C25" s="45">
        <v>0.33439999999999998</v>
      </c>
    </row>
    <row r="26" spans="1:3" ht="15" customHeight="1" x14ac:dyDescent="0.25">
      <c r="B26" s="15" t="s">
        <v>67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0.219379248368272</v>
      </c>
    </row>
    <row r="30" spans="1:3" ht="14.25" customHeight="1" x14ac:dyDescent="0.25">
      <c r="B30" s="25" t="s">
        <v>82</v>
      </c>
      <c r="C30" s="99">
        <v>3.6089788005909E-2</v>
      </c>
    </row>
    <row r="31" spans="1:3" ht="14.25" customHeight="1" x14ac:dyDescent="0.25">
      <c r="B31" s="25" t="s">
        <v>29</v>
      </c>
      <c r="C31" s="99">
        <v>9.1984534254138703E-2</v>
      </c>
    </row>
    <row r="32" spans="1:3" ht="14.25" customHeight="1" x14ac:dyDescent="0.25">
      <c r="B32" s="25" t="s">
        <v>30</v>
      </c>
      <c r="C32" s="99">
        <v>0.65254642937168006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29.24811</v>
      </c>
    </row>
    <row r="38" spans="1:5" ht="15" customHeight="1" x14ac:dyDescent="0.25">
      <c r="B38" s="11" t="s">
        <v>54</v>
      </c>
      <c r="C38" s="43">
        <v>55.173659999999998</v>
      </c>
      <c r="D38" s="12"/>
      <c r="E38" s="13"/>
    </row>
    <row r="39" spans="1:5" ht="15" customHeight="1" x14ac:dyDescent="0.25">
      <c r="B39" s="11" t="s">
        <v>80</v>
      </c>
      <c r="C39" s="43">
        <v>83.524249999999995</v>
      </c>
      <c r="D39" s="12"/>
      <c r="E39" s="12"/>
    </row>
    <row r="40" spans="1:5" ht="15" customHeight="1" x14ac:dyDescent="0.25">
      <c r="B40" s="11" t="s">
        <v>55</v>
      </c>
      <c r="C40" s="100">
        <v>5.23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5.8957000000000002E-3</v>
      </c>
      <c r="D45" s="12"/>
    </row>
    <row r="46" spans="1:5" ht="15.75" customHeight="1" x14ac:dyDescent="0.25">
      <c r="B46" s="11" t="s">
        <v>70</v>
      </c>
      <c r="C46" s="45">
        <v>6.3348000000000002E-2</v>
      </c>
      <c r="D46" s="12"/>
    </row>
    <row r="47" spans="1:5" ht="15.75" customHeight="1" x14ac:dyDescent="0.25">
      <c r="B47" s="11" t="s">
        <v>78</v>
      </c>
      <c r="C47" s="45">
        <v>7.5394799999999998E-2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2.548</v>
      </c>
      <c r="D51" s="12"/>
    </row>
    <row r="52" spans="1:4" ht="15" customHeight="1" x14ac:dyDescent="0.25">
      <c r="B52" s="11" t="s">
        <v>32</v>
      </c>
      <c r="C52" s="100">
        <v>2.548</v>
      </c>
    </row>
    <row r="53" spans="1:4" ht="15.75" customHeight="1" x14ac:dyDescent="0.25">
      <c r="B53" s="11" t="s">
        <v>35</v>
      </c>
      <c r="C53" s="100">
        <v>4.7839999999999998</v>
      </c>
    </row>
    <row r="54" spans="1:4" ht="15.75" customHeight="1" x14ac:dyDescent="0.25">
      <c r="B54" s="11" t="s">
        <v>33</v>
      </c>
      <c r="C54" s="100">
        <v>4.2639999999999993</v>
      </c>
    </row>
    <row r="55" spans="1:4" ht="15.75" customHeight="1" x14ac:dyDescent="0.25">
      <c r="B55" s="11" t="s">
        <v>34</v>
      </c>
      <c r="C55" s="100">
        <v>1.7766666666666671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0.41818299999999992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0.16890917</v>
      </c>
    </row>
    <row r="63" spans="1:4" ht="15.75" customHeight="1" x14ac:dyDescent="0.3">
      <c r="A63" s="4"/>
    </row>
  </sheetData>
  <sheetProtection algorithmName="SHA-512" hashValue="lb0Wvma84C2iAHL/XbxQld26xklsZAxhuU9WZVzu0XdI9tImH8ZDzBz/mmczWyh7A/08CJHBi8cboeeHevoAcQ==" saltValue="xeF6iMANt7R9L7BtG3ZiM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D4eTSMCpuAKU3UWH9rl7MNL0ddJ52FiC6izpf00JTJMccitIcx7Z5q61kLghUqwNgtUcaTCToU4g/LmTHVYZA==" saltValue="0Rmje7VyAqalUndo5snD+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2.0984399999999969E-2</v>
      </c>
    </row>
    <row r="4" spans="1:8" ht="15.75" customHeight="1" x14ac:dyDescent="0.25">
      <c r="B4" s="19" t="s">
        <v>116</v>
      </c>
      <c r="C4" s="101">
        <v>5.8862300000000048E-2</v>
      </c>
    </row>
    <row r="5" spans="1:8" ht="15.75" customHeight="1" x14ac:dyDescent="0.25">
      <c r="B5" s="19" t="s">
        <v>114</v>
      </c>
      <c r="C5" s="101">
        <v>8.1531899999999921E-2</v>
      </c>
    </row>
    <row r="6" spans="1:8" ht="15.75" customHeight="1" x14ac:dyDescent="0.25">
      <c r="B6" s="19" t="s">
        <v>110</v>
      </c>
      <c r="C6" s="101">
        <v>0.24317549999999971</v>
      </c>
    </row>
    <row r="7" spans="1:8" ht="15.75" customHeight="1" x14ac:dyDescent="0.25">
      <c r="B7" s="19" t="s">
        <v>115</v>
      </c>
      <c r="C7" s="101">
        <v>0.41259100000000032</v>
      </c>
    </row>
    <row r="8" spans="1:8" ht="15.75" customHeight="1" x14ac:dyDescent="0.25">
      <c r="B8" s="19" t="s">
        <v>117</v>
      </c>
      <c r="C8" s="101">
        <v>4.2646999999999859E-3</v>
      </c>
    </row>
    <row r="9" spans="1:8" ht="15.75" customHeight="1" x14ac:dyDescent="0.25">
      <c r="B9" s="19" t="s">
        <v>111</v>
      </c>
      <c r="C9" s="101">
        <v>6.8128800000000017E-2</v>
      </c>
    </row>
    <row r="10" spans="1:8" ht="15.75" customHeight="1" x14ac:dyDescent="0.25">
      <c r="B10" s="19" t="s">
        <v>113</v>
      </c>
      <c r="C10" s="101">
        <v>0.1104614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121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2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109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3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120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98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107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118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0.215159032</v>
      </c>
    </row>
    <row r="27" spans="1:8" ht="15.75" customHeight="1" x14ac:dyDescent="0.25">
      <c r="B27" s="19" t="s">
        <v>108</v>
      </c>
      <c r="C27" s="101">
        <v>1.8590265000000002E-2</v>
      </c>
    </row>
    <row r="28" spans="1:8" ht="15.75" customHeight="1" x14ac:dyDescent="0.25">
      <c r="B28" s="19" t="s">
        <v>122</v>
      </c>
      <c r="C28" s="101">
        <v>5.4018957999999999E-2</v>
      </c>
    </row>
    <row r="29" spans="1:8" ht="15.75" customHeight="1" x14ac:dyDescent="0.25">
      <c r="B29" s="19" t="s">
        <v>105</v>
      </c>
      <c r="C29" s="101">
        <v>0.129449545</v>
      </c>
    </row>
    <row r="30" spans="1:8" ht="15.75" customHeight="1" x14ac:dyDescent="0.25">
      <c r="B30" s="19" t="s">
        <v>4</v>
      </c>
      <c r="C30" s="101">
        <v>0.14082996</v>
      </c>
    </row>
    <row r="31" spans="1:8" ht="15.75" customHeight="1" x14ac:dyDescent="0.25">
      <c r="B31" s="19" t="s">
        <v>99</v>
      </c>
      <c r="C31" s="101">
        <v>8.710394199999999E-2</v>
      </c>
    </row>
    <row r="32" spans="1:8" ht="15.75" customHeight="1" x14ac:dyDescent="0.25">
      <c r="B32" s="19" t="s">
        <v>104</v>
      </c>
      <c r="C32" s="101">
        <v>1.6266652E-2</v>
      </c>
    </row>
    <row r="33" spans="2:3" ht="15.75" customHeight="1" x14ac:dyDescent="0.25">
      <c r="B33" s="19" t="s">
        <v>119</v>
      </c>
      <c r="C33" s="101">
        <v>8.3666946000000006E-2</v>
      </c>
    </row>
    <row r="34" spans="2:3" ht="15.75" customHeight="1" x14ac:dyDescent="0.25">
      <c r="B34" s="19" t="s">
        <v>106</v>
      </c>
      <c r="C34" s="101">
        <v>0.254914698</v>
      </c>
    </row>
    <row r="35" spans="2:3" ht="15.75" customHeight="1" x14ac:dyDescent="0.25">
      <c r="B35" s="27" t="s">
        <v>79</v>
      </c>
      <c r="C35" s="48">
        <f>SUM(C26:C34)</f>
        <v>0.99999999799999995</v>
      </c>
    </row>
  </sheetData>
  <sheetProtection algorithmName="SHA-512" hashValue="iWYmByu9iiVZgYzzCiyNqGkQQlKRAKNEWsMCvhLd2fyvxC4sYnnNCySzbnDpaiqbWm7Jcnc8PyWW4iTgrsTMxA==" saltValue="7bVKbf8DVJlwycy9ZEZ0F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129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125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126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138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h5Rt7JSw/K7UWiMilSaKw036kbVOcA1lmJdPDRyBYCe4SY3laF/FrmRJSOUJ7s0d8PoPBR5qFS2pWRnY8ZmtQ==" saltValue="42I/rqJtZL1pUr7YcBTK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CSc45ZG3BjK8c9Q9osGrUuzak0xz37AkDN0qkQ4wapITnwOLdKcpg28ID7q67LwLIIQU+XY2eP0gO3M3KQbBuw==" saltValue="9uQR3cUahqeIRkepcxRGs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roaDcSjobSD4yoCIgi7JcDel53aiOy3PT/upjkyzLqUu9vrh6PgNAyzn0emJH8WIU4RloSCmMDx5Sb1AZex/Q==" saltValue="B8QRT8pkORnq7BMrVySpu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1302.85103626824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0.36139000000000004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0.57291999999999998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1.7548573585507706E-2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90871.948980000001</v>
      </c>
      <c r="C22" s="109">
        <v>89731.852239999993</v>
      </c>
      <c r="D22" s="109">
        <v>89084.03658</v>
      </c>
      <c r="E22" s="109">
        <v>88542.940669999996</v>
      </c>
      <c r="F22" s="109">
        <v>87825.714470000006</v>
      </c>
      <c r="G22" s="109">
        <v>86953.420490000004</v>
      </c>
      <c r="H22" s="109">
        <v>85853.185249999995</v>
      </c>
      <c r="I22" s="109">
        <v>84392.828039999993</v>
      </c>
      <c r="J22" s="109">
        <v>82343.688899999994</v>
      </c>
      <c r="K22" s="109">
        <v>79614.204289999994</v>
      </c>
      <c r="L22" s="109">
        <v>75674.562900000004</v>
      </c>
      <c r="M22" s="109">
        <v>70395.728099999993</v>
      </c>
      <c r="N22" s="109">
        <v>62947.162109999997</v>
      </c>
      <c r="O22" s="109">
        <v>53443.230250000001</v>
      </c>
    </row>
  </sheetData>
  <sheetProtection algorithmName="SHA-512" hashValue="pSAXeGfqffB/mVPeFZ9lu8AELTJm4ERsNnwo4IhGfc6EStmPsC95hCVKykTXVqZT8RPN+HjU8RtOhGn984GeDQ==" saltValue="4fP+Os+u3DsKVoYsKvQPE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AAOKX7uosh+xF6cQqvC/cnH9WP/AfL0o1yprtWJMzaC68tO/XkKR91lRDeR5SufthLKljtcovSJq+2f6Sigu0g==" saltValue="Fspl+OqjLRxUTo/EalaC+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XbA75o7ogQ2zdyxTzf3poqgNqcCONSuRRl+gpg5o5sgXYFveaLzr9jGZ4DH3vERxSdEkBx0oTl8iBpnyFu33w==" saltValue="aqPh5LOKmIKv4sYfC9bQ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18.025735670419653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18.025735670419653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5.2668836507008754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0.56149571024496792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0.70706266146872643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0.23003335421429147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0.47062090000000001</v>
      </c>
      <c r="C10" s="98">
        <v>0.95</v>
      </c>
      <c r="D10" s="56">
        <v>13.5103361384934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13.5103361384934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13.5103361384934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13.5103361384934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0.47062090000000001</v>
      </c>
      <c r="C14" s="98">
        <v>0.95</v>
      </c>
      <c r="D14" s="56">
        <v>13.5103361384934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13.5103361384934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0.72296099999999996</v>
      </c>
      <c r="C16" s="98">
        <v>0.95</v>
      </c>
      <c r="D16" s="56">
        <v>2.8407188685968858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0.12681000000000001</v>
      </c>
      <c r="C17" s="98">
        <v>0.95</v>
      </c>
      <c r="D17" s="56">
        <v>0.35500000000000004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0.51300000000000001</v>
      </c>
      <c r="C18" s="98">
        <v>0.95</v>
      </c>
      <c r="D18" s="56">
        <v>5.2668836507008754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0.35273559999999998</v>
      </c>
      <c r="C19" s="98">
        <v>0.95</v>
      </c>
      <c r="D19" s="56">
        <v>7.2861200073283072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2.1939130069251829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5.2668836507008754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0.83967060000000004</v>
      </c>
      <c r="C23" s="98">
        <v>0.95</v>
      </c>
      <c r="D23" s="56">
        <v>4.4426820703529186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0.46026228261281199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1.55E-2</v>
      </c>
      <c r="C26" s="98">
        <v>0.95</v>
      </c>
      <c r="D26" s="56">
        <v>3.8681355531509101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13.457928721749347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0.2215608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0.2588009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44.783843336315748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7.9000000000000008E-3</v>
      </c>
      <c r="C31" s="98">
        <v>0.95</v>
      </c>
      <c r="D31" s="56">
        <v>126.62714253872848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</v>
      </c>
      <c r="C32" s="98">
        <v>0.95</v>
      </c>
      <c r="D32" s="56">
        <v>0.46210405728622134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0.1213046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0.31415670000000001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1.2729E-3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0.38746140000000001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0.105</v>
      </c>
      <c r="C38" s="98">
        <v>0.95</v>
      </c>
      <c r="D38" s="56">
        <v>4.0706758054007581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3.4125000000000001</v>
      </c>
      <c r="E39" s="56" t="s">
        <v>212</v>
      </c>
      <c r="F39" s="98">
        <v>1</v>
      </c>
      <c r="G39" s="98">
        <v>1</v>
      </c>
    </row>
  </sheetData>
  <sheetProtection algorithmName="SHA-512" hashValue="NM+jrtuesypDxWW8O+5VEv1yvlxQ6oiDuAZM6a4HUsUUY0n4t8g9yuj1RM+J1MSl1VHyShD8PoW4cJAaLCt5+w==" saltValue="tovL0Qs8chZLYG9TWzGi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eaf1VLNBgpD7UJoXxQEFYS0JEcl81+dE798IZnnnq8SxJwwUM8jkzBfoxT9pGR/qTD8AQt+qk9VfkgU64n47Q==" saltValue="5x2vuUggBvmob+1ZKQSR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QoBRZgGsbS3VZ5F16ZT1roLJnLZcqDfk8O1gdvf5LzyvqwHv5X+aYoIQgs30fEXZEBiNu6n81zypaQFf+wVSQ==" saltValue="ZJbQu8jz0c06K7j5Lzj8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2.548</v>
      </c>
      <c r="C2" s="21">
        <f>'Entradas de población-año base'!C52</f>
        <v>2.548</v>
      </c>
      <c r="D2" s="21">
        <f>'Entradas de población-año base'!C53</f>
        <v>4.7839999999999998</v>
      </c>
      <c r="E2" s="21">
        <f>'Entradas de población-año base'!C54</f>
        <v>4.2639999999999993</v>
      </c>
      <c r="F2" s="21">
        <f>'Entradas de población-año base'!C55</f>
        <v>1.7766666666666671</v>
      </c>
    </row>
    <row r="3" spans="1:6" ht="15.75" customHeight="1" x14ac:dyDescent="0.25">
      <c r="A3" s="3" t="s">
        <v>6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236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sheetProtection algorithmName="SHA-512" hashValue="Ugl0V3WILBClScpiZ1enepTFvTn/S7Eqy3S/oNAzZR2wz+HA64H3GSs5mCl7MitHiKRF5umvVUQ+Oamn9IPhEg==" saltValue="BT/rEZIdNtpMG7Yo3Qh+V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W/9brEjmLopGw5CZ2ZffUoU3t5uqAdsX+eshEyaA6OwaA2erJjRpzgLkRGpB3DInFqdwaSXtOp9WmanH32Qpg==" saltValue="Vz3L8RyGGOs41cgrZev/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5Ve0Y0Wv0f84odJ+m0nFJ7guapECoouAXawW0kbGUtMF48PYSMBAB/piudLiFBaF2krHVoON05MRvbqU3wmZ5A==" saltValue="zG9E7hGzynP+QGneL+SQJ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XU6/jQ0oj7V36CjKseutUI+XmubJX6fYyED6DTBMqhhUOscI5ffRWYoTUa9fkFvJHmdotwM6bKm3DwJQGCFfAg==" saltValue="Mi3UMFvlZMLstGk0hmnj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vFYhbAut1b1iAhtn+zT3GPD9gpN1zT45YPEHIOGMGxxiVNRSL5+j7XnmJwitp7ORbivurRf075TDqMUmORx5Q==" saltValue="eww32gdc0mAqaGxg8eVE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6W4W8LATFMHo0tIG6IZRuE1++rHvRwgvGjdDcPEOOSdFLwVlk2IrE5X1ik2PqdzVcDizCpst9AinZ0ryPLJjQ==" saltValue="xkHjxObXFMrv6RQ4y+6WJ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DFBigYEoNqN7pfOinHvuMy0h33R40LVYjTwO/VqVQPXek6K7/cYxe6WbpJHFI7jspiLsD9SAJXWrhtHTp4QuDA==" saltValue="P1Ka+x/NhYKgexNjBA6y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gtTl95V6i+rM+8WOgTGg0Cbip/Fg22tzWSAkw1njuEwcmXSV3gWX3KdzeAmS9gvt1keWjdLXcaODiinR9MOXQ==" saltValue="XfeyjZW6/BS4cC9Ii1H5p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v6ibdQXz22FT/f938idIwFVJBsp7Gqx/k49a/1Z3hIxmAyAf27bIHwgSRVN88igJBD2nwr2o3w2PsHQ8GgGjMA==" saltValue="NxHeh7o35G0+y/nPhDbp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I0VOuO2Uk4Wd4nfUGkSEQG23o7a+QKxod9tHOqFvuGXcUV/ogJHHd1KdYj6DdG4L3Syp+c1sm7aV5yC5gd/xEw==" saltValue="bEXPqjffxaXvXPmoybFh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vK4dNp2xmEiHSmSiT3rWqQ8HBU2B+foKnx79fbRGjtrNixmc9Plfm+Y0P1OSzChz3yiEd7xYUaZcvnzNFAqfQ==" saltValue="HRTbGd+joWdVALtClp3M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bdxtq1tqg75yoUXdHEJX8kx+TWI+yEI9oY8R2mZ5k0xCPeRlzWMd6cdhe07ZpWcXiZzmbFDD0SR3vSQGNcziA==" saltValue="RhWnsqGq5cV3LNRJDBzm+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CwpsEZCpYxEjz/0j90DKMAE6/IyycM2ZEd4KhFzzNrtgpaN2rIrRcHV8bmoKzo0Wvutge912Yq0TjeZWZN4lw==" saltValue="ir4wmdwygTEhrZEwODBj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UMrXVby4XH2lS6IVcdpacm8vK8qze8ybVL9YezGz34kQH96cOwiRZ5RlNl2ulaa9jDVQUluyC+73Twpv7sgDQ==" saltValue="PRiJB+gys0ULsRdUernR+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MqpLz8JM/X2w00ShG2qCtRYXWLab6IvbWMBCLDKGv6zORwWRtTYHIt1SQMOfSgektKDJw/c4CiYGVmhxhBWVA==" saltValue="WEdjRr1ywTO3Xs/QWLkK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WoP/rgBT9QPY35CmOs3R+rVCszr4peVC/3fXXnqsfHlM6oOpv01flPx3m+XSRt2M9BHpGCk4L9yjbWTYygADw==" saltValue="ojLeiAknVkhPH/z17Mzl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2025-07-08T03:09:38Z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