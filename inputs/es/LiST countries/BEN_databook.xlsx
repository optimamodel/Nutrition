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882ACF6-0F14-439A-B00A-C55DCE59AD0A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<sst xmlns="http://schemas.openxmlformats.org/spreadsheetml/2006/main" count="2102" uniqueCount="341">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</sst>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2233111.875</v>
      </c>
    </row>
    <row r="8" spans="1:3" ht="15" customHeight="1" x14ac:dyDescent="0.25">
      <c r="B8" s="5" t="s">
        <v>44</v>
      </c>
      <c r="C8" s="44">
        <v>0.495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0.39810878753662099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0.755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8.9200000000000002E-2</v>
      </c>
    </row>
    <row r="24" spans="1:3" ht="15" customHeight="1" x14ac:dyDescent="0.25">
      <c r="B24" s="15" t="s">
        <v>46</v>
      </c>
      <c r="C24" s="45">
        <v>0.50560000000000005</v>
      </c>
    </row>
    <row r="25" spans="1:3" ht="15" customHeight="1" x14ac:dyDescent="0.25">
      <c r="B25" s="15" t="s">
        <v>47</v>
      </c>
      <c r="C25" s="45">
        <v>0.33439999999999998</v>
      </c>
    </row>
    <row r="26" spans="1:3" ht="15" customHeight="1" x14ac:dyDescent="0.25">
      <c r="B26" s="15" t="s">
        <v>48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0.219379248368272</v>
      </c>
    </row>
    <row r="30" spans="1:3" ht="14.25" customHeight="1" x14ac:dyDescent="0.25">
      <c r="B30" s="25" t="s">
        <v>63</v>
      </c>
      <c r="C30" s="99">
        <v>3.6089788005909E-2</v>
      </c>
    </row>
    <row r="31" spans="1:3" ht="14.25" customHeight="1" x14ac:dyDescent="0.25">
      <c r="B31" s="25" t="s">
        <v>10</v>
      </c>
      <c r="C31" s="99">
        <v>9.1984534254138703E-2</v>
      </c>
    </row>
    <row r="32" spans="1:3" ht="14.25" customHeight="1" x14ac:dyDescent="0.25">
      <c r="B32" s="25" t="s">
        <v>11</v>
      </c>
      <c r="C32" s="99">
        <v>0.65254642937168006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29.24811</v>
      </c>
    </row>
    <row r="38" spans="1:5" ht="15" customHeight="1" x14ac:dyDescent="0.25">
      <c r="B38" s="11" t="s">
        <v>35</v>
      </c>
      <c r="C38" s="43">
        <v>55.173659999999998</v>
      </c>
      <c r="D38" s="12"/>
      <c r="E38" s="13"/>
    </row>
    <row r="39" spans="1:5" ht="15" customHeight="1" x14ac:dyDescent="0.25">
      <c r="B39" s="11" t="s">
        <v>61</v>
      </c>
      <c r="C39" s="43">
        <v>83.524249999999995</v>
      </c>
      <c r="D39" s="12"/>
      <c r="E39" s="12"/>
    </row>
    <row r="40" spans="1:5" ht="15" customHeight="1" x14ac:dyDescent="0.25">
      <c r="B40" s="11" t="s">
        <v>36</v>
      </c>
      <c r="C40" s="100">
        <v>5.23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5.8957000000000002E-3</v>
      </c>
      <c r="D45" s="12"/>
    </row>
    <row r="46" spans="1:5" ht="15.75" customHeight="1" x14ac:dyDescent="0.25">
      <c r="B46" s="11" t="s">
        <v>51</v>
      </c>
      <c r="C46" s="45">
        <v>6.3348000000000002E-2</v>
      </c>
      <c r="D46" s="12"/>
    </row>
    <row r="47" spans="1:5" ht="15.75" customHeight="1" x14ac:dyDescent="0.25">
      <c r="B47" s="11" t="s">
        <v>59</v>
      </c>
      <c r="C47" s="45">
        <v>7.5394799999999998E-2</v>
      </c>
      <c r="D47" s="12"/>
      <c r="E47" s="13"/>
    </row>
    <row r="48" spans="1:5" ht="15" customHeight="1" x14ac:dyDescent="0.25">
      <c r="B48" s="11" t="s">
        <v>58</v>
      </c>
      <c r="C48" s="46">
        <v>0.85536150000000011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0.41818299999999992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0.16890917</v>
      </c>
    </row>
    <row r="63" spans="1:4" ht="15.75" customHeight="1" x14ac:dyDescent="0.3">
      <c r="A63" s="4"/>
    </row>
  </sheetData>
  <sheetProtection algorithmName="SHA-512" hashValue="b95S38tHWNRM/h3tj7SNaLC7aBG0Y0aTw00EmcZ/VOvuLueMweUA3v6RYNpVqs8hbIxbrNZiORmEsTvZNxhilA==" saltValue="c+tNndG12pPd7vbFQCmb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493211</v>
      </c>
      <c r="C2" s="49">
        <v>884702.99999999988</v>
      </c>
      <c r="D2" s="49">
        <v>1158486</v>
      </c>
      <c r="E2" s="49">
        <v>852322</v>
      </c>
      <c r="F2" s="49">
        <v>520757.99999999988</v>
      </c>
      <c r="G2" s="17">
        <f t="shared" ref="G2:G13" si="0">C2+D2+E2+F2</f>
        <v>3416269</v>
      </c>
      <c r="H2" s="17">
        <f t="shared" ref="H2:H13" si="1">(B2 + stillbirth*B2/(1000-stillbirth))/(1-abortion)</f>
        <v>571907.80370923714</v>
      </c>
      <c r="I2" s="17">
        <f t="shared" ref="I2:I13" si="2">G2-H2</f>
        <v>2844361.1962907631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500276</v>
      </c>
      <c r="C3" s="50">
        <v>907771.50000000012</v>
      </c>
      <c r="D3" s="50">
        <v>1188181</v>
      </c>
      <c r="E3" s="50">
        <v>878944</v>
      </c>
      <c r="F3" s="50">
        <v>539119</v>
      </c>
      <c r="G3" s="17">
        <f t="shared" si="0"/>
        <v>3514015.5</v>
      </c>
      <c r="H3" s="17">
        <f t="shared" si="1"/>
        <v>580100.09591927647</v>
      </c>
      <c r="I3" s="17">
        <f t="shared" si="2"/>
        <v>2933915.4040807234</v>
      </c>
    </row>
    <row r="4" spans="1:9" ht="15.75" customHeight="1" x14ac:dyDescent="0.25">
      <c r="A4" s="5">
        <f t="shared" si="3"/>
        <v>2026</v>
      </c>
      <c r="B4" s="49">
        <v>506382</v>
      </c>
      <c r="C4" s="50">
        <v>931435.5</v>
      </c>
      <c r="D4" s="50">
        <v>1221378</v>
      </c>
      <c r="E4" s="50">
        <v>904027.5</v>
      </c>
      <c r="F4" s="50">
        <v>558052.5</v>
      </c>
      <c r="G4" s="17">
        <f t="shared" si="0"/>
        <v>3614893.5</v>
      </c>
      <c r="H4" s="17">
        <f t="shared" si="1"/>
        <v>587180.36997936154</v>
      </c>
      <c r="I4" s="17">
        <f t="shared" si="2"/>
        <v>3027713.1300206385</v>
      </c>
    </row>
    <row r="5" spans="1:9" ht="15.75" customHeight="1" x14ac:dyDescent="0.25">
      <c r="A5" s="5">
        <f t="shared" si="3"/>
        <v>2027</v>
      </c>
      <c r="B5" s="49">
        <v>512962</v>
      </c>
      <c r="C5" s="50">
        <v>956419.50000000012</v>
      </c>
      <c r="D5" s="50">
        <v>1256409.5</v>
      </c>
      <c r="E5" s="50">
        <v>928874</v>
      </c>
      <c r="F5" s="50">
        <v>577478</v>
      </c>
      <c r="G5" s="17">
        <f t="shared" si="0"/>
        <v>3719181</v>
      </c>
      <c r="H5" s="17">
        <f t="shared" si="1"/>
        <v>594810.27553379314</v>
      </c>
      <c r="I5" s="17">
        <f t="shared" si="2"/>
        <v>3124370.724466207</v>
      </c>
    </row>
    <row r="6" spans="1:9" ht="15.75" customHeight="1" x14ac:dyDescent="0.25">
      <c r="A6" s="5">
        <f t="shared" si="3"/>
        <v>2028</v>
      </c>
      <c r="B6" s="49">
        <v>519717</v>
      </c>
      <c r="C6" s="50">
        <v>984195.49999999977</v>
      </c>
      <c r="D6" s="50">
        <v>1291887</v>
      </c>
      <c r="E6" s="50">
        <v>953932</v>
      </c>
      <c r="F6" s="50">
        <v>597477</v>
      </c>
      <c r="G6" s="17">
        <f t="shared" si="0"/>
        <v>3827491.5</v>
      </c>
      <c r="H6" s="17">
        <f t="shared" si="1"/>
        <v>602643.10410828947</v>
      </c>
      <c r="I6" s="17">
        <f t="shared" si="2"/>
        <v>3224848.3958917107</v>
      </c>
    </row>
    <row r="7" spans="1:9" ht="15.75" customHeight="1" x14ac:dyDescent="0.25">
      <c r="A7" s="5">
        <f t="shared" si="3"/>
        <v>2029</v>
      </c>
      <c r="B7" s="49">
        <v>527200</v>
      </c>
      <c r="C7" s="50">
        <v>1014036</v>
      </c>
      <c r="D7" s="50">
        <v>1328074.5</v>
      </c>
      <c r="E7" s="50">
        <v>979690.99999999988</v>
      </c>
      <c r="F7" s="50">
        <v>617659</v>
      </c>
      <c r="G7" s="17">
        <f t="shared" si="0"/>
        <v>3939460.5</v>
      </c>
      <c r="H7" s="17">
        <f t="shared" si="1"/>
        <v>611320.09244625492</v>
      </c>
      <c r="I7" s="17">
        <f t="shared" si="2"/>
        <v>3328140.407553745</v>
      </c>
    </row>
    <row r="8" spans="1:9" ht="15.75" customHeight="1" x14ac:dyDescent="0.25">
      <c r="A8" s="5">
        <f t="shared" si="3"/>
        <v>2030</v>
      </c>
      <c r="B8" s="49">
        <v>533349</v>
      </c>
      <c r="C8" s="50">
        <v>1045271.5</v>
      </c>
      <c r="D8" s="50">
        <v>1365489.5</v>
      </c>
      <c r="E8" s="50">
        <v>1005936</v>
      </c>
      <c r="F8" s="50">
        <v>637238.5</v>
      </c>
      <c r="G8" s="17">
        <f t="shared" si="0"/>
        <v>4053935.5</v>
      </c>
      <c r="H8" s="17">
        <f t="shared" si="1"/>
        <v>618450.22759127</v>
      </c>
      <c r="I8" s="17">
        <f t="shared" si="2"/>
        <v>3435485.2724087299</v>
      </c>
    </row>
    <row r="9" spans="1:9" ht="15.75" customHeight="1" x14ac:dyDescent="0.25">
      <c r="A9" s="5">
        <f t="shared" si="3"/>
        <v>2031</v>
      </c>
      <c r="B9" s="49">
        <v>540373</v>
      </c>
      <c r="C9" s="50">
        <v>1077497.5</v>
      </c>
      <c r="D9" s="50">
        <v>1404243</v>
      </c>
      <c r="E9" s="50">
        <v>1032490.5</v>
      </c>
      <c r="F9" s="50">
        <v>656345</v>
      </c>
      <c r="G9" s="17">
        <f t="shared" si="0"/>
        <v>4170576</v>
      </c>
      <c r="H9" s="17">
        <f t="shared" si="1"/>
        <v>626594.97783660865</v>
      </c>
      <c r="I9" s="17">
        <f t="shared" si="2"/>
        <v>3543981.0221633911</v>
      </c>
    </row>
    <row r="10" spans="1:9" ht="15.75" customHeight="1" x14ac:dyDescent="0.25">
      <c r="A10" s="5">
        <f t="shared" si="3"/>
        <v>2032</v>
      </c>
      <c r="B10" s="49">
        <v>547302</v>
      </c>
      <c r="C10" s="50">
        <v>1109232</v>
      </c>
      <c r="D10" s="50">
        <v>1444209.5</v>
      </c>
      <c r="E10" s="50">
        <v>1060128.5</v>
      </c>
      <c r="F10" s="50">
        <v>675639.5</v>
      </c>
      <c r="G10" s="17">
        <f t="shared" si="0"/>
        <v>4289209.5</v>
      </c>
      <c r="H10" s="17">
        <f t="shared" si="1"/>
        <v>634629.56987105496</v>
      </c>
      <c r="I10" s="17">
        <f t="shared" si="2"/>
        <v>3654579.930128945</v>
      </c>
    </row>
    <row r="11" spans="1:9" ht="15.75" customHeight="1" x14ac:dyDescent="0.25">
      <c r="A11" s="5">
        <f t="shared" si="3"/>
        <v>2033</v>
      </c>
      <c r="B11" s="49">
        <v>556161</v>
      </c>
      <c r="C11" s="50">
        <v>1139330</v>
      </c>
      <c r="D11" s="50">
        <v>1485120</v>
      </c>
      <c r="E11" s="50">
        <v>1089361</v>
      </c>
      <c r="F11" s="50">
        <v>695352.5</v>
      </c>
      <c r="G11" s="17">
        <f t="shared" si="0"/>
        <v>4409163.5</v>
      </c>
      <c r="H11" s="17">
        <f t="shared" si="1"/>
        <v>644902.11292678595</v>
      </c>
      <c r="I11" s="17">
        <f t="shared" si="2"/>
        <v>3764261.3870732142</v>
      </c>
    </row>
    <row r="12" spans="1:9" ht="15.75" customHeight="1" x14ac:dyDescent="0.25">
      <c r="A12" s="5">
        <f t="shared" si="3"/>
        <v>2034</v>
      </c>
      <c r="B12" s="49">
        <v>561597</v>
      </c>
      <c r="C12" s="50">
        <v>1166945.5</v>
      </c>
      <c r="D12" s="50">
        <v>1527513.5</v>
      </c>
      <c r="E12" s="50">
        <v>1118105</v>
      </c>
      <c r="F12" s="50">
        <v>715631</v>
      </c>
      <c r="G12" s="17">
        <f t="shared" si="0"/>
        <v>4528195</v>
      </c>
      <c r="H12" s="17">
        <f t="shared" si="1"/>
        <v>651205.48171005188</v>
      </c>
      <c r="I12" s="17">
        <f t="shared" si="2"/>
        <v>3876989.5182899479</v>
      </c>
    </row>
    <row r="13" spans="1:9" ht="15.75" customHeight="1" x14ac:dyDescent="0.25">
      <c r="A13" s="5">
        <f t="shared" si="3"/>
        <v>2035</v>
      </c>
      <c r="B13" s="49">
        <v>567712</v>
      </c>
      <c r="C13" s="50">
        <v>1192136</v>
      </c>
      <c r="D13" s="50">
        <v>1571748.5</v>
      </c>
      <c r="E13" s="50">
        <v>1147382.5</v>
      </c>
      <c r="F13" s="50">
        <v>738398.5</v>
      </c>
      <c r="G13" s="17">
        <f t="shared" si="0"/>
        <v>4649665.5</v>
      </c>
      <c r="H13" s="17">
        <f t="shared" si="1"/>
        <v>658296.1918111688</v>
      </c>
      <c r="I13" s="17">
        <f t="shared" si="2"/>
        <v>3991369.3081888314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frI3/xZGuRKi8DJdLUcYX2dP6ozYCYQw8j0YPdoBZ6rAT3w4HhuQeZWlk7x0NkNeXJ8fny+WoeNZhb7zgaXAQ==" saltValue="gZS8cz5//zD7yxwezNXKd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2.0984399999999969E-2</v>
      </c>
    </row>
    <row r="4" spans="1:8" ht="15.75" customHeight="1" x14ac:dyDescent="0.25">
      <c r="B4" s="19" t="s">
        <v>97</v>
      </c>
      <c r="C4" s="101">
        <v>5.8862300000000048E-2</v>
      </c>
    </row>
    <row r="5" spans="1:8" ht="15.75" customHeight="1" x14ac:dyDescent="0.25">
      <c r="B5" s="19" t="s">
        <v>95</v>
      </c>
      <c r="C5" s="101">
        <v>8.1531899999999921E-2</v>
      </c>
    </row>
    <row r="6" spans="1:8" ht="15.75" customHeight="1" x14ac:dyDescent="0.25">
      <c r="B6" s="19" t="s">
        <v>91</v>
      </c>
      <c r="C6" s="101">
        <v>0.24317549999999971</v>
      </c>
    </row>
    <row r="7" spans="1:8" ht="15.75" customHeight="1" x14ac:dyDescent="0.25">
      <c r="B7" s="19" t="s">
        <v>96</v>
      </c>
      <c r="C7" s="101">
        <v>0.41259100000000032</v>
      </c>
    </row>
    <row r="8" spans="1:8" ht="15.75" customHeight="1" x14ac:dyDescent="0.25">
      <c r="B8" s="19" t="s">
        <v>98</v>
      </c>
      <c r="C8" s="101">
        <v>4.2646999999999859E-3</v>
      </c>
    </row>
    <row r="9" spans="1:8" ht="15.75" customHeight="1" x14ac:dyDescent="0.25">
      <c r="B9" s="19" t="s">
        <v>92</v>
      </c>
      <c r="C9" s="101">
        <v>6.8128800000000017E-2</v>
      </c>
    </row>
    <row r="10" spans="1:8" ht="15.75" customHeight="1" x14ac:dyDescent="0.25">
      <c r="B10" s="19" t="s">
        <v>94</v>
      </c>
      <c r="C10" s="101">
        <v>0.1104614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102</v>
      </c>
      <c r="C15" s="101">
        <v>0.2011911478036702</v>
      </c>
      <c r="D15" s="101">
        <v>0.2011911478036702</v>
      </c>
      <c r="E15" s="101">
        <v>0.2011911478036702</v>
      </c>
      <c r="F15" s="101">
        <v>0.2011911478036702</v>
      </c>
    </row>
    <row r="16" spans="1:8" ht="15.75" customHeight="1" x14ac:dyDescent="0.25">
      <c r="B16" s="19" t="s">
        <v>2</v>
      </c>
      <c r="C16" s="101">
        <v>3.3435292418148833E-2</v>
      </c>
      <c r="D16" s="101">
        <v>3.3435292418148833E-2</v>
      </c>
      <c r="E16" s="101">
        <v>3.3435292418148833E-2</v>
      </c>
      <c r="F16" s="101">
        <v>3.3435292418148833E-2</v>
      </c>
    </row>
    <row r="17" spans="1:8" ht="15.75" customHeight="1" x14ac:dyDescent="0.25">
      <c r="B17" s="19" t="s">
        <v>90</v>
      </c>
      <c r="C17" s="101">
        <v>3.015832246129279E-2</v>
      </c>
      <c r="D17" s="101">
        <v>3.015832246129279E-2</v>
      </c>
      <c r="E17" s="101">
        <v>3.015832246129279E-2</v>
      </c>
      <c r="F17" s="101">
        <v>3.015832246129279E-2</v>
      </c>
    </row>
    <row r="18" spans="1:8" ht="15.75" customHeight="1" x14ac:dyDescent="0.25">
      <c r="B18" s="19" t="s">
        <v>3</v>
      </c>
      <c r="C18" s="101">
        <v>0.4033046735168701</v>
      </c>
      <c r="D18" s="101">
        <v>0.4033046735168701</v>
      </c>
      <c r="E18" s="101">
        <v>0.4033046735168701</v>
      </c>
      <c r="F18" s="101">
        <v>0.4033046735168701</v>
      </c>
    </row>
    <row r="19" spans="1:8" ht="15.75" customHeight="1" x14ac:dyDescent="0.25">
      <c r="B19" s="19" t="s">
        <v>101</v>
      </c>
      <c r="C19" s="101">
        <v>9.5212102324277494E-3</v>
      </c>
      <c r="D19" s="101">
        <v>9.5212102324277494E-3</v>
      </c>
      <c r="E19" s="101">
        <v>9.5212102324277494E-3</v>
      </c>
      <c r="F19" s="101">
        <v>9.5212102324277494E-3</v>
      </c>
    </row>
    <row r="20" spans="1:8" ht="15.75" customHeight="1" x14ac:dyDescent="0.25">
      <c r="B20" s="19" t="s">
        <v>79</v>
      </c>
      <c r="C20" s="101">
        <v>1.192277409131451E-2</v>
      </c>
      <c r="D20" s="101">
        <v>1.192277409131451E-2</v>
      </c>
      <c r="E20" s="101">
        <v>1.192277409131451E-2</v>
      </c>
      <c r="F20" s="101">
        <v>1.192277409131451E-2</v>
      </c>
    </row>
    <row r="21" spans="1:8" ht="15.75" customHeight="1" x14ac:dyDescent="0.25">
      <c r="B21" s="19" t="s">
        <v>88</v>
      </c>
      <c r="C21" s="101">
        <v>5.6537733251141399E-2</v>
      </c>
      <c r="D21" s="101">
        <v>5.6537733251141399E-2</v>
      </c>
      <c r="E21" s="101">
        <v>5.6537733251141399E-2</v>
      </c>
      <c r="F21" s="101">
        <v>5.6537733251141399E-2</v>
      </c>
    </row>
    <row r="22" spans="1:8" ht="15.75" customHeight="1" x14ac:dyDescent="0.25">
      <c r="B22" s="19" t="s">
        <v>99</v>
      </c>
      <c r="C22" s="101">
        <v>0.1062887451175335</v>
      </c>
      <c r="D22" s="101">
        <v>0.1062887451175335</v>
      </c>
      <c r="E22" s="101">
        <v>0.1062887451175335</v>
      </c>
      <c r="F22" s="101">
        <v>0.1062887451175335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0.215159032</v>
      </c>
    </row>
    <row r="27" spans="1:8" ht="15.75" customHeight="1" x14ac:dyDescent="0.25">
      <c r="B27" s="19" t="s">
        <v>89</v>
      </c>
      <c r="C27" s="101">
        <v>1.8590265000000002E-2</v>
      </c>
    </row>
    <row r="28" spans="1:8" ht="15.75" customHeight="1" x14ac:dyDescent="0.25">
      <c r="B28" s="19" t="s">
        <v>103</v>
      </c>
      <c r="C28" s="101">
        <v>5.4018957999999999E-2</v>
      </c>
    </row>
    <row r="29" spans="1:8" ht="15.75" customHeight="1" x14ac:dyDescent="0.25">
      <c r="B29" s="19" t="s">
        <v>86</v>
      </c>
      <c r="C29" s="101">
        <v>0.129449545</v>
      </c>
    </row>
    <row r="30" spans="1:8" ht="15.75" customHeight="1" x14ac:dyDescent="0.25">
      <c r="B30" s="19" t="s">
        <v>4</v>
      </c>
      <c r="C30" s="101">
        <v>0.14082996</v>
      </c>
    </row>
    <row r="31" spans="1:8" ht="15.75" customHeight="1" x14ac:dyDescent="0.25">
      <c r="B31" s="19" t="s">
        <v>80</v>
      </c>
      <c r="C31" s="101">
        <v>8.710394199999999E-2</v>
      </c>
    </row>
    <row r="32" spans="1:8" ht="15.75" customHeight="1" x14ac:dyDescent="0.25">
      <c r="B32" s="19" t="s">
        <v>85</v>
      </c>
      <c r="C32" s="101">
        <v>1.6266652E-2</v>
      </c>
    </row>
    <row r="33" spans="2:3" ht="15.75" customHeight="1" x14ac:dyDescent="0.25">
      <c r="B33" s="19" t="s">
        <v>100</v>
      </c>
      <c r="C33" s="101">
        <v>8.3666946000000006E-2</v>
      </c>
    </row>
    <row r="34" spans="2:3" ht="15.75" customHeight="1" x14ac:dyDescent="0.25">
      <c r="B34" s="19" t="s">
        <v>87</v>
      </c>
      <c r="C34" s="101">
        <v>0.254914698</v>
      </c>
    </row>
    <row r="35" spans="2:3" ht="15.75" customHeight="1" x14ac:dyDescent="0.25">
      <c r="B35" s="27" t="s">
        <v>60</v>
      </c>
      <c r="C35" s="48">
        <f>SUM(C26:C34)</f>
        <v>0.99999999799999995</v>
      </c>
    </row>
  </sheetData>
  <sheetProtection algorithmName="SHA-512" hashValue="XdW9xaSPMqHIhIJsplV3YFwcaEzuVKZeBt3+kiPMJVcrDD4/lcdgFkzc5O0mZ/xmGvoZ9GlC6AXy7xG4nIao3Q==" saltValue="/CRji0S91aSvOZFN9lHg4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110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106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107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119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lplhmxxerTp+7vOBUwR2T269e4H4tvgZs21uPcs9jB7He7yNfdSvScy0AU6rZ8J3Bc5GijDcvirmqIECaFczw==" saltValue="r5a20k+ahfM4TEvSfZVp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125</v>
      </c>
      <c r="C5" s="52">
        <v>4.8560800000000001E-2</v>
      </c>
      <c r="D5" s="52">
        <v>3.2606700000000002E-2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3b2IAEUHppK3JnPTPJ5IBHLqiWIMbT4oL0o6fMUKx+xQK8jSv4nZNP150OcIJHbB6AAy5ad2Sam30qYz5WHkZw==" saltValue="3XFMPd/+Dcaps2RWT32i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o6FjrpTfRzmrdYaAIxt/PChjcmaKmTVb1KGzg9LuZe7bXFur851jKZQV3BV6HB7YVot2APTX5oSm5AVXR0jeA==" saltValue="qFfQ0kW1YP/kE4ZC2ueCC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ycsaLaMgLoSrUOPseNRAGGt+8xeY0JHbvMOIhvJsnD1pCiedo4kJ1g7cE/Y6UJNpIhXq9gHk9zoNxAB1DXrRMA==" saltValue="bCnU7G41FKPoDsaf5Y47g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I6N2kMBJ1fGXdJaJ7dOyJu4oZ3DmNR2w5Lc/f3EUssKPB65nux1TcxeWfQuiiIo3Y6syplB2g7DC/l/7b3Fg9g==" saltValue="dpLz6562f27znF4nX5d3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6Zb/djxUxYTWwvbEsITVffTvx9HfsOdPXFpTjBSc4V5bTz5yT1ZNqLxyeN4i04OQfMZIqZoUDhHVSLqrefZOGA==" saltValue="JmDM6d+QDEZQUEx4PqQgM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36.632258166992372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0.19779983982423099</v>
      </c>
      <c r="C3" s="98">
        <v>0.95</v>
      </c>
      <c r="D3" s="56">
        <v>42.492624238472807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78.944041068564843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0.27811116005214492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0.47062090000000001</v>
      </c>
      <c r="C10" s="98">
        <v>0.95</v>
      </c>
      <c r="D10" s="56">
        <v>13.5103361384934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0.47062090000000001</v>
      </c>
      <c r="C11" s="98">
        <v>0.95</v>
      </c>
      <c r="D11" s="56">
        <v>13.5103361384934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0.47062090000000001</v>
      </c>
      <c r="C12" s="98">
        <v>0.95</v>
      </c>
      <c r="D12" s="56">
        <v>13.5103361384934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0.47062090000000001</v>
      </c>
      <c r="C13" s="98">
        <v>0.95</v>
      </c>
      <c r="D13" s="56">
        <v>13.5103361384934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0.47062090000000001</v>
      </c>
      <c r="C14" s="98">
        <v>0.95</v>
      </c>
      <c r="D14" s="56">
        <v>13.5103361384934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0.47062090000000001</v>
      </c>
      <c r="C15" s="98">
        <v>0.95</v>
      </c>
      <c r="D15" s="56">
        <v>13.5103361384934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0.24957385245606781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0.12681000000000001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0.17111061783835499</v>
      </c>
      <c r="C18" s="98">
        <v>0.95</v>
      </c>
      <c r="D18" s="56">
        <v>1.920909267166234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0.194935</v>
      </c>
      <c r="C19" s="98">
        <v>0.95</v>
      </c>
      <c r="D19" s="56">
        <v>1.920909267166234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0.38746140000000001</v>
      </c>
      <c r="C21" s="98">
        <v>0.95</v>
      </c>
      <c r="D21" s="56">
        <v>2.660933893201082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23.038760198171971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4.4426820703529186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0.79123374107525191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0.47062090000000001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19.51310336956082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0.71892547543524499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64.812241154722187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0.8</v>
      </c>
      <c r="C31" s="98">
        <v>0.95</v>
      </c>
      <c r="D31" s="56">
        <v>0.72392879504544738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0.48179068639555001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0.2588009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0.2215608</v>
      </c>
      <c r="C38" s="98">
        <v>0.95</v>
      </c>
      <c r="D38" s="56">
        <v>2.654961354727436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GxFkPwEMSH1L+EMl8xcuAfU6FNsEDdQA5gjrppVSfPUzhrVUynNnkmOeonSa0YWkgAzYWWm5p+Mv1rpmRQcEfw==" saltValue="82vD9YQtBhk8W5vA32Q0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UwSsLbZa0xuYRcpUqPXaW4c+FvHavRPpCb4xBWs0zn4O1ysPbc7XD3fjhEkhQKvIYs15Bw+rJa4oCFfACAlWQ==" saltValue="Km+UT65LgWXoQ/QmROJ2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iw5ff8tSJdP0UPp8o1OuksETcuVg/eNOkkwSnh9GIzokjpMtJc/aivXv0WQGYH4TUe0WYIsezNPkoFj9RN2aQ==" saltValue="AJMaxtxXhddpo7pB8dVLu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207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sheetProtection algorithmName="SHA-512" hashValue="lvg80+tkR/MlhXrDBG1EjEEcVPBEZmasZ9tET6SgkX7e4Fftv4470MU49bFnFB6ANYxx6WbHrkudhq9fVb7GDw==" saltValue="7B6GL6njT5P1J3kdtD+N7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0.495</v>
      </c>
      <c r="E2" s="60">
        <f>food_insecure</f>
        <v>0.495</v>
      </c>
      <c r="F2" s="60">
        <f>food_insecure</f>
        <v>0.495</v>
      </c>
      <c r="G2" s="60">
        <f>food_insecure</f>
        <v>0.495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0.495</v>
      </c>
      <c r="F5" s="60">
        <f>food_insecure</f>
        <v>0.495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0.495</v>
      </c>
      <c r="F8" s="60">
        <f>food_insecure</f>
        <v>0.495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0.495</v>
      </c>
      <c r="F9" s="60">
        <f>food_insecure</f>
        <v>0.495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0.495</v>
      </c>
      <c r="I15" s="60">
        <f>food_insecure</f>
        <v>0.495</v>
      </c>
      <c r="J15" s="60">
        <f>food_insecure</f>
        <v>0.495</v>
      </c>
      <c r="K15" s="60">
        <f>food_insecure</f>
        <v>0.495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0.755</v>
      </c>
      <c r="M24" s="60">
        <f>famplan_unmet_need</f>
        <v>0.755</v>
      </c>
      <c r="N24" s="60">
        <f>famplan_unmet_need</f>
        <v>0.755</v>
      </c>
      <c r="O24" s="60">
        <f>famplan_unmet_need</f>
        <v>0.755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0.35749328564262395</v>
      </c>
      <c r="M25" s="60">
        <f>(1-food_insecure)*(0.49)+food_insecure*(0.7)</f>
        <v>0.59394999999999998</v>
      </c>
      <c r="N25" s="60">
        <f>(1-food_insecure)*(0.49)+food_insecure*(0.7)</f>
        <v>0.59394999999999998</v>
      </c>
      <c r="O25" s="60">
        <f>(1-food_insecure)*(0.49)+food_insecure*(0.7)</f>
        <v>0.59394999999999998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0.15321140813255313</v>
      </c>
      <c r="M26" s="60">
        <f>(1-food_insecure)*(0.21)+food_insecure*(0.3)</f>
        <v>0.25455</v>
      </c>
      <c r="N26" s="60">
        <f>(1-food_insecure)*(0.21)+food_insecure*(0.3)</f>
        <v>0.25455</v>
      </c>
      <c r="O26" s="60">
        <f>(1-food_insecure)*(0.21)+food_insecure*(0.3)</f>
        <v>0.25455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9.118651868820192E-2</v>
      </c>
      <c r="M27" s="60">
        <f>(1-food_insecure)*(0.3)</f>
        <v>0.1515</v>
      </c>
      <c r="N27" s="60">
        <f>(1-food_insecure)*(0.3)</f>
        <v>0.1515</v>
      </c>
      <c r="O27" s="60">
        <f>(1-food_insecure)*(0.3)</f>
        <v>0.1515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0.39810878753662099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bcD35ZmL06T8+QbGCIcD72IldSI54ZWt4/x/N/cmtp3y687c7s8C6J3IDRIs6K6iCRSLq3ig3kGfX9q7LOgjQ==" saltValue="uffjnEuUoeR14kX1hTs++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pwAsU5xrbFm9WZgaMeD2orSlZ/1RZ3FA+ppRzicuNgE9qPzs0eyVGAGCEb3nbOpe+nZEkMr64dWouSFlAQjSLA==" saltValue="9qqxelNVORCEaWG0yIut0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434KWIJkofUsLTOHgDkUA+UGRnCPivoavBoeFtiVLzxReXTkLUINhJdBu3awhp/gER9XBmolxwCTLSJ191CPw==" saltValue="Y9BhmFcmLTKg06UYMOGu6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AH7MpXGffUopuCJvH1fFn/i5Pib14OWAR07YQEcaNBTt94Qo6NNrNJ1hjUKPoVA74h8ZQhKpBkp8bSHsl3KXQ==" saltValue="IKyXpmYNVRbYeKJxZ15t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3l+FHJJA8YSzwkeVLOb6uH7kXj84mg6JAqZc5S4D1lsNV4MW2Cm0pk7NrPFhx4ohZUgMO9AdA+jOcTW+aqKD+g==" saltValue="PlsYLMTdGZ6KgjbfIwomo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i7JLtIbwrkcn5f9y/3RZXyCr93pLbGnMQtbqhr5LEeaSeZRSIkmRaoOjmhzOwq7kqHBACONu0idQtwE4+2r8Q==" saltValue="zr5q4T6Bqch6GGpfnYxTS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sZvtVPNbzY/OZu3ElSBQbqoQfyYkM/T9qNfuW4xcvrPiCrjsDLHVykTsnKmbjYUaZD0T1nYbc1BwOrUGdZicWg==" saltValue="losI+M/gvDQ4vwpXFMlxS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6x/QWiqYuvhtdQB5Hv2ErVR1FYQTdwsv+kDLjdrVallXKoD95PnJ3uWK25VLM1SKe8m0o66nycDV7zJmoBYpA==" saltValue="M13vP3RtYxpbN4h6QW0X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v09EyWcnuUFnxzGB1RN4hG592+lbAGu5NyOCIa4HEXnt/0rYDZCir0qlpCFVntCkTa0miKwHoFRh/KmHxywcw==" saltValue="DzAw/8Uly2pfKWPcdKRu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GG0sj97hHCzbcUTqdBV1EDxjnxTCD3v7qggxSxObEm5i/F1+SOQk0rlc6zRGysMW4tQyvMgd+kJK5JdNCDNNg==" saltValue="4rnPRkSED5lo0ibU4bVn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/3mB79kuVG1M3WLFk/HYMgBRpPn1XXlfSo316zR9280XSLoAP06Fbel2yu8SIjrsyz1A7TZs4uMbX9OpwtvFTA==" saltValue="3qQCa1QPK17TcB0G8+Fc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QljLSDL/XIGLxvsjn1G8CbXWllYnj8XoUHaj0SY9DSbdK3+XDQ4erTe0BduhokF7lpnZ7muqfu37MFTISwU2Q==" saltValue="AYZww9XZFM2ZMx1HyE5j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0QT7o4eYEPaGHnl9sTPV9zTeFSLpsICdNffElh5+9tyCp6iFzC59sD0e4aTv85zuglaucLdTu31J8rQwSa02w==" saltValue="k5caI57wMIaQkCE4/+08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cVCxMbfgO6h22XY862dT0i00tSnGPqjF9W3C9Fo+vxZWSZO0j8G419ayZ4uga5k1QVaHnV37lVuLnhKr/4MaQ==" saltValue="JRWnzuMoVG0k51H3G4ha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1EmE4rVSxlK+WQT2f8yY7Knomx5LsW14yTEJOpKN0E1xerRPZGXDeHcEjh2i2eVHHFkmOsC0w0YfECCLsCj3lg==" saltValue="/BekqpwqTromDTqJpXV8L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2024-05-16T23:18:53Z</dcterms:modified>
</cp:coreProperties>
</file>