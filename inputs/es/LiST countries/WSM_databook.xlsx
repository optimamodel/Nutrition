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549CBA68-B704-4BB6-A1EF-B30ADEF12DEC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19" i="2" l="1"/>
  <c r="A35" i="2"/>
  <c r="A22" i="2"/>
  <c r="A24" i="2"/>
  <c r="A31" i="2"/>
  <c r="A36" i="2"/>
  <c r="I4" i="2"/>
  <c r="I8" i="2"/>
  <c r="I12" i="2"/>
  <c r="A25" i="2"/>
  <c r="A26" i="2"/>
  <c r="I39" i="2"/>
  <c r="A34" i="2"/>
  <c r="A40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<sst xmlns="http://schemas.openxmlformats.org/spreadsheetml/2006/main" count="2159" uniqueCount="372">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</sst>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26870</v>
      </c>
    </row>
    <row r="8" spans="1:3" ht="15" customHeight="1" x14ac:dyDescent="0.25">
      <c r="B8" s="5" t="s">
        <v>63</v>
      </c>
      <c r="C8" s="44">
        <v>1.0999999999999999E-2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0.81079986572265594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0.60599999999999998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3.4700000000000002E-2</v>
      </c>
    </row>
    <row r="24" spans="1:3" ht="15" customHeight="1" x14ac:dyDescent="0.25">
      <c r="B24" s="15" t="s">
        <v>65</v>
      </c>
      <c r="C24" s="45">
        <v>0.47039999999999998</v>
      </c>
    </row>
    <row r="25" spans="1:3" ht="15" customHeight="1" x14ac:dyDescent="0.25">
      <c r="B25" s="15" t="s">
        <v>66</v>
      </c>
      <c r="C25" s="45">
        <v>0.44009999999999999</v>
      </c>
    </row>
    <row r="26" spans="1:3" ht="15" customHeight="1" x14ac:dyDescent="0.25">
      <c r="B26" s="15" t="s">
        <v>67</v>
      </c>
      <c r="C26" s="45">
        <v>5.4799999999999988E-2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0.35185775257007201</v>
      </c>
    </row>
    <row r="30" spans="1:3" ht="14.25" customHeight="1" x14ac:dyDescent="0.25">
      <c r="B30" s="25" t="s">
        <v>82</v>
      </c>
      <c r="C30" s="99">
        <v>2.3858720907234902E-2</v>
      </c>
    </row>
    <row r="31" spans="1:3" ht="14.25" customHeight="1" x14ac:dyDescent="0.25">
      <c r="B31" s="25" t="s">
        <v>29</v>
      </c>
      <c r="C31" s="99">
        <v>3.4342930038455802E-2</v>
      </c>
    </row>
    <row r="32" spans="1:3" ht="14.25" customHeight="1" x14ac:dyDescent="0.25">
      <c r="B32" s="25" t="s">
        <v>30</v>
      </c>
      <c r="C32" s="99">
        <v>0.58994059648423802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6.5631199999999996</v>
      </c>
    </row>
    <row r="38" spans="1:5" ht="15" customHeight="1" x14ac:dyDescent="0.25">
      <c r="B38" s="11" t="s">
        <v>54</v>
      </c>
      <c r="C38" s="43">
        <v>14.3725</v>
      </c>
      <c r="D38" s="12"/>
      <c r="E38" s="13"/>
    </row>
    <row r="39" spans="1:5" ht="15" customHeight="1" x14ac:dyDescent="0.25">
      <c r="B39" s="11" t="s">
        <v>80</v>
      </c>
      <c r="C39" s="43">
        <v>16.718489999999999</v>
      </c>
      <c r="D39" s="12"/>
      <c r="E39" s="12"/>
    </row>
    <row r="40" spans="1:5" ht="15" customHeight="1" x14ac:dyDescent="0.25">
      <c r="B40" s="11" t="s">
        <v>55</v>
      </c>
      <c r="C40" s="100">
        <v>0.59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7.6169099999999998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6.1190999999999997E-3</v>
      </c>
      <c r="D45" s="12"/>
    </row>
    <row r="46" spans="1:5" ht="15.75" customHeight="1" x14ac:dyDescent="0.25">
      <c r="B46" s="11" t="s">
        <v>70</v>
      </c>
      <c r="C46" s="45">
        <v>6.5748799999999996E-2</v>
      </c>
      <c r="D46" s="12"/>
    </row>
    <row r="47" spans="1:5" ht="15.75" customHeight="1" x14ac:dyDescent="0.25">
      <c r="B47" s="11" t="s">
        <v>78</v>
      </c>
      <c r="C47" s="45">
        <v>7.5182200000000005E-2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2.2000000000000002</v>
      </c>
      <c r="D51" s="12"/>
    </row>
    <row r="52" spans="1:4" ht="15" customHeight="1" x14ac:dyDescent="0.25">
      <c r="B52" s="11" t="s">
        <v>32</v>
      </c>
      <c r="C52" s="100">
        <v>2.2000000000000002</v>
      </c>
    </row>
    <row r="53" spans="1:4" ht="15.75" customHeight="1" x14ac:dyDescent="0.25">
      <c r="B53" s="11" t="s">
        <v>35</v>
      </c>
      <c r="C53" s="100">
        <v>2.2000000000000002</v>
      </c>
    </row>
    <row r="54" spans="1:4" ht="15.75" customHeight="1" x14ac:dyDescent="0.25">
      <c r="B54" s="11" t="s">
        <v>33</v>
      </c>
      <c r="C54" s="100">
        <v>2.2000000000000002</v>
      </c>
    </row>
    <row r="55" spans="1:4" ht="15.75" customHeight="1" x14ac:dyDescent="0.25">
      <c r="B55" s="11" t="s">
        <v>34</v>
      </c>
      <c r="C55" s="100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0.57259000000000004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vrmYuz287PLOOsyIK1j291/9Gq9dOQL24j3I1GXO+jtFWDRZcDf9SXOeK9g9JggeBiI7hCHMqK8fTplfh+mqw==" saltValue="CWsHyuqRC/c1+mwCjFS9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5444</v>
      </c>
      <c r="C2" s="49">
        <v>10751</v>
      </c>
      <c r="D2" s="49">
        <v>15079.5</v>
      </c>
      <c r="E2" s="49">
        <v>12395</v>
      </c>
      <c r="F2" s="49">
        <v>10020</v>
      </c>
      <c r="G2" s="17">
        <f t="shared" ref="G2:G13" si="0">C2+D2+E2+F2</f>
        <v>48245.5</v>
      </c>
      <c r="H2" s="17">
        <f t="shared" ref="H2:H13" si="1">(B2 + stillbirth*B2/(1000-stillbirth))/(1-abortion)</f>
        <v>6233.8462824508997</v>
      </c>
      <c r="I2" s="17">
        <f t="shared" ref="I2:I13" si="2">G2-H2</f>
        <v>42011.653717549103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5400</v>
      </c>
      <c r="C3" s="50">
        <v>11233</v>
      </c>
      <c r="D3" s="50">
        <v>15103</v>
      </c>
      <c r="E3" s="50">
        <v>12378.499999999998</v>
      </c>
      <c r="F3" s="50">
        <v>10097.5</v>
      </c>
      <c r="G3" s="17">
        <f t="shared" si="0"/>
        <v>48812</v>
      </c>
      <c r="H3" s="17">
        <f t="shared" si="1"/>
        <v>6183.4625138197753</v>
      </c>
      <c r="I3" s="17">
        <f t="shared" si="2"/>
        <v>42628.537486180227</v>
      </c>
    </row>
    <row r="4" spans="1:9" ht="15.75" customHeight="1" x14ac:dyDescent="0.25">
      <c r="A4" s="5">
        <f t="shared" si="3"/>
        <v>2026</v>
      </c>
      <c r="B4" s="49">
        <v>5373</v>
      </c>
      <c r="C4" s="50">
        <v>11698.5</v>
      </c>
      <c r="D4" s="50">
        <v>15221</v>
      </c>
      <c r="E4" s="50">
        <v>12376.000000000002</v>
      </c>
      <c r="F4" s="50">
        <v>10179.5</v>
      </c>
      <c r="G4" s="17">
        <f t="shared" si="0"/>
        <v>49475</v>
      </c>
      <c r="H4" s="17">
        <f t="shared" si="1"/>
        <v>6152.5452012506767</v>
      </c>
      <c r="I4" s="17">
        <f t="shared" si="2"/>
        <v>43322.454798749321</v>
      </c>
    </row>
    <row r="5" spans="1:9" ht="15.75" customHeight="1" x14ac:dyDescent="0.25">
      <c r="A5" s="5">
        <f t="shared" si="3"/>
        <v>2027</v>
      </c>
      <c r="B5" s="49">
        <v>5376</v>
      </c>
      <c r="C5" s="50">
        <v>12219</v>
      </c>
      <c r="D5" s="50">
        <v>15468.499999999998</v>
      </c>
      <c r="E5" s="50">
        <v>12314</v>
      </c>
      <c r="F5" s="50">
        <v>10251.999999999998</v>
      </c>
      <c r="G5" s="17">
        <f t="shared" si="0"/>
        <v>50253.5</v>
      </c>
      <c r="H5" s="17">
        <f t="shared" si="1"/>
        <v>6155.9804582027991</v>
      </c>
      <c r="I5" s="17">
        <f t="shared" si="2"/>
        <v>44097.519541797199</v>
      </c>
    </row>
    <row r="6" spans="1:9" ht="15.75" customHeight="1" x14ac:dyDescent="0.25">
      <c r="A6" s="5">
        <f t="shared" si="3"/>
        <v>2028</v>
      </c>
      <c r="B6" s="49">
        <v>5402</v>
      </c>
      <c r="C6" s="50">
        <v>12660.5</v>
      </c>
      <c r="D6" s="50">
        <v>15959</v>
      </c>
      <c r="E6" s="50">
        <v>12163</v>
      </c>
      <c r="F6" s="50">
        <v>10276</v>
      </c>
      <c r="G6" s="17">
        <f t="shared" si="0"/>
        <v>51058.5</v>
      </c>
      <c r="H6" s="17">
        <f t="shared" si="1"/>
        <v>6185.7526851211896</v>
      </c>
      <c r="I6" s="17">
        <f t="shared" si="2"/>
        <v>44872.747314878812</v>
      </c>
    </row>
    <row r="7" spans="1:9" ht="15.75" customHeight="1" x14ac:dyDescent="0.25">
      <c r="A7" s="5">
        <f t="shared" si="3"/>
        <v>2029</v>
      </c>
      <c r="B7" s="49">
        <v>5456</v>
      </c>
      <c r="C7" s="50">
        <v>12937</v>
      </c>
      <c r="D7" s="50">
        <v>16620</v>
      </c>
      <c r="E7" s="50">
        <v>11998.999999999998</v>
      </c>
      <c r="F7" s="50">
        <v>10241.5</v>
      </c>
      <c r="G7" s="17">
        <f t="shared" si="0"/>
        <v>51797.5</v>
      </c>
      <c r="H7" s="17">
        <f t="shared" si="1"/>
        <v>6247.5873102593878</v>
      </c>
      <c r="I7" s="17">
        <f t="shared" si="2"/>
        <v>45549.912689740609</v>
      </c>
    </row>
    <row r="8" spans="1:9" ht="15.75" customHeight="1" x14ac:dyDescent="0.25">
      <c r="A8" s="5">
        <f t="shared" si="3"/>
        <v>2030</v>
      </c>
      <c r="B8" s="49">
        <v>5525</v>
      </c>
      <c r="C8" s="50">
        <v>13141</v>
      </c>
      <c r="D8" s="50">
        <v>17330</v>
      </c>
      <c r="E8" s="50">
        <v>11807.500000000002</v>
      </c>
      <c r="F8" s="50">
        <v>10243.500000000002</v>
      </c>
      <c r="G8" s="17">
        <f t="shared" si="0"/>
        <v>52522</v>
      </c>
      <c r="H8" s="17">
        <f t="shared" si="1"/>
        <v>6326.5982201581965</v>
      </c>
      <c r="I8" s="17">
        <f t="shared" si="2"/>
        <v>46195.401779841806</v>
      </c>
    </row>
    <row r="9" spans="1:9" ht="15.75" customHeight="1" x14ac:dyDescent="0.25">
      <c r="A9" s="5">
        <f t="shared" si="3"/>
        <v>2031</v>
      </c>
      <c r="B9" s="49">
        <v>5604</v>
      </c>
      <c r="C9" s="50">
        <v>13246</v>
      </c>
      <c r="D9" s="50">
        <v>18192</v>
      </c>
      <c r="E9" s="50">
        <v>11591.999999999998</v>
      </c>
      <c r="F9" s="50">
        <v>10294.5</v>
      </c>
      <c r="G9" s="17">
        <f t="shared" si="0"/>
        <v>53324.5</v>
      </c>
      <c r="H9" s="17">
        <f t="shared" si="1"/>
        <v>6417.0599865640779</v>
      </c>
      <c r="I9" s="17">
        <f t="shared" si="2"/>
        <v>46907.440013435924</v>
      </c>
    </row>
    <row r="10" spans="1:9" ht="15.75" customHeight="1" x14ac:dyDescent="0.25">
      <c r="A10" s="5">
        <f t="shared" si="3"/>
        <v>2032</v>
      </c>
      <c r="B10" s="49">
        <v>5703</v>
      </c>
      <c r="C10" s="50">
        <v>13277.5</v>
      </c>
      <c r="D10" s="50">
        <v>19187.5</v>
      </c>
      <c r="E10" s="50">
        <v>11350</v>
      </c>
      <c r="F10" s="50">
        <v>10389.5</v>
      </c>
      <c r="G10" s="17">
        <f t="shared" si="0"/>
        <v>54204.5</v>
      </c>
      <c r="H10" s="17">
        <f t="shared" si="1"/>
        <v>6530.4234659841077</v>
      </c>
      <c r="I10" s="17">
        <f t="shared" si="2"/>
        <v>47674.076534015891</v>
      </c>
    </row>
    <row r="11" spans="1:9" ht="15.75" customHeight="1" x14ac:dyDescent="0.25">
      <c r="A11" s="5">
        <f t="shared" si="3"/>
        <v>2033</v>
      </c>
      <c r="B11" s="49">
        <v>5800</v>
      </c>
      <c r="C11" s="50">
        <v>13310.5</v>
      </c>
      <c r="D11" s="50">
        <v>20123.5</v>
      </c>
      <c r="E11" s="50">
        <v>11223</v>
      </c>
      <c r="F11" s="50">
        <v>10438.5</v>
      </c>
      <c r="G11" s="17">
        <f t="shared" si="0"/>
        <v>55095.5</v>
      </c>
      <c r="H11" s="17">
        <f t="shared" si="1"/>
        <v>6641.4967741027212</v>
      </c>
      <c r="I11" s="17">
        <f t="shared" si="2"/>
        <v>48454.003225897279</v>
      </c>
    </row>
    <row r="12" spans="1:9" ht="15.75" customHeight="1" x14ac:dyDescent="0.25">
      <c r="A12" s="5">
        <f t="shared" si="3"/>
        <v>2034</v>
      </c>
      <c r="B12" s="49">
        <v>5904</v>
      </c>
      <c r="C12" s="50">
        <v>13312</v>
      </c>
      <c r="D12" s="50">
        <v>20931.5</v>
      </c>
      <c r="E12" s="50">
        <v>11259</v>
      </c>
      <c r="F12" s="50">
        <v>10429</v>
      </c>
      <c r="G12" s="17">
        <f t="shared" si="0"/>
        <v>55931.5</v>
      </c>
      <c r="H12" s="17">
        <f t="shared" si="1"/>
        <v>6760.5856817762879</v>
      </c>
      <c r="I12" s="17">
        <f t="shared" si="2"/>
        <v>49170.914318223709</v>
      </c>
    </row>
    <row r="13" spans="1:9" ht="15.75" customHeight="1" x14ac:dyDescent="0.25">
      <c r="A13" s="5">
        <f t="shared" si="3"/>
        <v>2035</v>
      </c>
      <c r="B13" s="49">
        <v>6003</v>
      </c>
      <c r="C13" s="50">
        <v>13227.5</v>
      </c>
      <c r="D13" s="50">
        <v>21662.5</v>
      </c>
      <c r="E13" s="50">
        <v>11349.499999999998</v>
      </c>
      <c r="F13" s="50">
        <v>10446.5</v>
      </c>
      <c r="G13" s="17">
        <f t="shared" si="0"/>
        <v>56686</v>
      </c>
      <c r="H13" s="17">
        <f t="shared" si="1"/>
        <v>6873.9491611963167</v>
      </c>
      <c r="I13" s="17">
        <f t="shared" si="2"/>
        <v>49812.050838803683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3l0dc99lOwX+8EG/o9a/HDYekmNabRhOZBEKV9o4TIVbNUCLRi6CGPl1O9RoISqWXE1Cagp7VFT1GjpAauGAA==" saltValue="jCIA5OA9LUD/oL7170x9y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7.2663600000000161E-2</v>
      </c>
    </row>
    <row r="5" spans="1:8" ht="15.75" customHeight="1" x14ac:dyDescent="0.25">
      <c r="B5" s="19" t="s">
        <v>114</v>
      </c>
      <c r="C5" s="101">
        <v>3.2022400000000013E-2</v>
      </c>
    </row>
    <row r="6" spans="1:8" ht="15.75" customHeight="1" x14ac:dyDescent="0.25">
      <c r="B6" s="19" t="s">
        <v>110</v>
      </c>
      <c r="C6" s="101">
        <v>0.18112940000000011</v>
      </c>
    </row>
    <row r="7" spans="1:8" ht="15.75" customHeight="1" x14ac:dyDescent="0.25">
      <c r="B7" s="19" t="s">
        <v>115</v>
      </c>
      <c r="C7" s="101">
        <v>0.43143469999999928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0.18141010000000021</v>
      </c>
    </row>
    <row r="10" spans="1:8" ht="15.75" customHeight="1" x14ac:dyDescent="0.25">
      <c r="B10" s="19" t="s">
        <v>113</v>
      </c>
      <c r="C10" s="101">
        <v>0.1013398000000002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5.9773070306148287E-3</v>
      </c>
      <c r="D14" s="55">
        <v>5.9773070306148287E-3</v>
      </c>
      <c r="E14" s="55">
        <v>5.9773070306148287E-3</v>
      </c>
      <c r="F14" s="55">
        <v>5.9773070306148287E-3</v>
      </c>
    </row>
    <row r="15" spans="1:8" ht="15.75" customHeight="1" x14ac:dyDescent="0.25">
      <c r="B15" s="19" t="s">
        <v>121</v>
      </c>
      <c r="C15" s="101">
        <v>0.14201342044077259</v>
      </c>
      <c r="D15" s="101">
        <v>0.14201342044077259</v>
      </c>
      <c r="E15" s="101">
        <v>0.14201342044077259</v>
      </c>
      <c r="F15" s="101">
        <v>0.14201342044077259</v>
      </c>
    </row>
    <row r="16" spans="1:8" ht="15.75" customHeight="1" x14ac:dyDescent="0.25">
      <c r="B16" s="19" t="s">
        <v>2</v>
      </c>
      <c r="C16" s="101">
        <v>1.5148673316420749E-3</v>
      </c>
      <c r="D16" s="101">
        <v>1.5148673316420749E-3</v>
      </c>
      <c r="E16" s="101">
        <v>1.5148673316420749E-3</v>
      </c>
      <c r="F16" s="101">
        <v>1.5148673316420749E-3</v>
      </c>
    </row>
    <row r="17" spans="1:8" ht="15.75" customHeight="1" x14ac:dyDescent="0.25">
      <c r="B17" s="19" t="s">
        <v>109</v>
      </c>
      <c r="C17" s="101">
        <v>0.79207380330936872</v>
      </c>
      <c r="D17" s="101">
        <v>0.79207380330936872</v>
      </c>
      <c r="E17" s="101">
        <v>0.79207380330936872</v>
      </c>
      <c r="F17" s="101">
        <v>0.79207380330936872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7.4143769382759572E-3</v>
      </c>
      <c r="D19" s="101">
        <v>7.4143769382759572E-3</v>
      </c>
      <c r="E19" s="101">
        <v>7.4143769382759572E-3</v>
      </c>
      <c r="F19" s="101">
        <v>7.4143769382759572E-3</v>
      </c>
    </row>
    <row r="20" spans="1:8" ht="15.75" customHeight="1" x14ac:dyDescent="0.25">
      <c r="B20" s="19" t="s">
        <v>98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107</v>
      </c>
      <c r="C21" s="101">
        <v>2.638911729579237E-2</v>
      </c>
      <c r="D21" s="101">
        <v>2.638911729579237E-2</v>
      </c>
      <c r="E21" s="101">
        <v>2.638911729579237E-2</v>
      </c>
      <c r="F21" s="101">
        <v>2.638911729579237E-2</v>
      </c>
    </row>
    <row r="22" spans="1:8" ht="15.75" customHeight="1" x14ac:dyDescent="0.25">
      <c r="B22" s="19" t="s">
        <v>118</v>
      </c>
      <c r="C22" s="101">
        <v>2.4617107653533501E-2</v>
      </c>
      <c r="D22" s="101">
        <v>2.4617107653533501E-2</v>
      </c>
      <c r="E22" s="101">
        <v>2.4617107653533501E-2</v>
      </c>
      <c r="F22" s="101">
        <v>2.4617107653533501E-2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4.7837044999999988E-2</v>
      </c>
    </row>
    <row r="27" spans="1:8" ht="15.75" customHeight="1" x14ac:dyDescent="0.25">
      <c r="B27" s="19" t="s">
        <v>108</v>
      </c>
      <c r="C27" s="101">
        <v>1.836863E-2</v>
      </c>
    </row>
    <row r="28" spans="1:8" ht="15.75" customHeight="1" x14ac:dyDescent="0.25">
      <c r="B28" s="19" t="s">
        <v>122</v>
      </c>
      <c r="C28" s="101">
        <v>0.231175139</v>
      </c>
    </row>
    <row r="29" spans="1:8" ht="15.75" customHeight="1" x14ac:dyDescent="0.25">
      <c r="B29" s="19" t="s">
        <v>105</v>
      </c>
      <c r="C29" s="101">
        <v>0.138527135</v>
      </c>
    </row>
    <row r="30" spans="1:8" ht="15.75" customHeight="1" x14ac:dyDescent="0.25">
      <c r="B30" s="19" t="s">
        <v>4</v>
      </c>
      <c r="C30" s="101">
        <v>4.9111505E-2</v>
      </c>
    </row>
    <row r="31" spans="1:8" ht="15.75" customHeight="1" x14ac:dyDescent="0.25">
      <c r="B31" s="19" t="s">
        <v>99</v>
      </c>
      <c r="C31" s="101">
        <v>6.9658183999999998E-2</v>
      </c>
    </row>
    <row r="32" spans="1:8" ht="15.75" customHeight="1" x14ac:dyDescent="0.25">
      <c r="B32" s="19" t="s">
        <v>104</v>
      </c>
      <c r="C32" s="101">
        <v>0.14941447299999999</v>
      </c>
    </row>
    <row r="33" spans="2:3" ht="15.75" customHeight="1" x14ac:dyDescent="0.25">
      <c r="B33" s="19" t="s">
        <v>119</v>
      </c>
      <c r="C33" s="101">
        <v>0.122223571</v>
      </c>
    </row>
    <row r="34" spans="2:3" ht="15.75" customHeight="1" x14ac:dyDescent="0.25">
      <c r="B34" s="19" t="s">
        <v>106</v>
      </c>
      <c r="C34" s="101">
        <v>0.173684317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bRdRobZC45EuUJhUg0Hl88DoL0KP3fpFl9Pss/kcxCi5M68iGqqbSkD/kF+FIW7CSNRrQLgP++qmpXeFTeFX0w==" saltValue="Xst/pU391qBYPxbNWD3Wi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0.82676394554305221</v>
      </c>
      <c r="D2" s="52">
        <f>IFERROR(1-_xlfn.NORM.DIST(_xlfn.NORM.INV(SUM(D4:D5), 0, 1) + 1, 0, 1, TRUE), "")</f>
        <v>0.82676394554305221</v>
      </c>
      <c r="E2" s="52">
        <f>IFERROR(1-_xlfn.NORM.DIST(_xlfn.NORM.INV(SUM(E4:E5), 0, 1) + 1, 0, 1, TRUE), "")</f>
        <v>0.65915750323456745</v>
      </c>
      <c r="F2" s="52">
        <f>IFERROR(1-_xlfn.NORM.DIST(_xlfn.NORM.INV(SUM(F4:F5), 0, 1) + 1, 0, 1, TRUE), "")</f>
        <v>0.62498946478788864</v>
      </c>
      <c r="G2" s="52">
        <f>IFERROR(1-_xlfn.NORM.DIST(_xlfn.NORM.INV(SUM(G4:G5), 0, 1) + 1, 0, 1, TRUE), "")</f>
        <v>0.67909768924145342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0.14713445445694781</v>
      </c>
      <c r="D3" s="52">
        <f>IFERROR(_xlfn.NORM.DIST(_xlfn.NORM.INV(SUM(D4:D5), 0, 1) + 1, 0, 1, TRUE) - SUM(D4:D5), "")</f>
        <v>0.14713445445694781</v>
      </c>
      <c r="E3" s="52">
        <f>IFERROR(_xlfn.NORM.DIST(_xlfn.NORM.INV(SUM(E4:E5), 0, 1) + 1, 0, 1, TRUE) - SUM(E4:E5), "")</f>
        <v>0.26159699676543252</v>
      </c>
      <c r="F3" s="52">
        <f>IFERROR(_xlfn.NORM.DIST(_xlfn.NORM.INV(SUM(F4:F5), 0, 1) + 1, 0, 1, TRUE) - SUM(F4:F5), "")</f>
        <v>0.28136103521211137</v>
      </c>
      <c r="G3" s="52">
        <f>IFERROR(_xlfn.NORM.DIST(_xlfn.NORM.INV(SUM(G4:G5), 0, 1) + 1, 0, 1, TRUE) - SUM(G4:G5), "")</f>
        <v>0.24946601075854657</v>
      </c>
    </row>
    <row r="4" spans="1:15" ht="15.75" customHeight="1" x14ac:dyDescent="0.25">
      <c r="B4" s="5" t="s">
        <v>129</v>
      </c>
      <c r="C4" s="45">
        <v>1.8525300000000001E-2</v>
      </c>
      <c r="D4" s="53">
        <v>1.8525300000000001E-2</v>
      </c>
      <c r="E4" s="53">
        <v>1.41817E-2</v>
      </c>
      <c r="F4" s="53">
        <v>5.7010900000000003E-2</v>
      </c>
      <c r="G4" s="53">
        <v>3.7941599999999999E-2</v>
      </c>
    </row>
    <row r="5" spans="1:15" ht="15.75" customHeight="1" x14ac:dyDescent="0.25">
      <c r="B5" s="5" t="s">
        <v>125</v>
      </c>
      <c r="C5" s="45">
        <v>7.5763000000000002E-3</v>
      </c>
      <c r="D5" s="53">
        <v>7.5763000000000002E-3</v>
      </c>
      <c r="E5" s="53">
        <v>6.5063800000000005E-2</v>
      </c>
      <c r="F5" s="53">
        <v>3.66386E-2</v>
      </c>
      <c r="G5" s="53">
        <v>3.3494700000000002E-2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0.62961648186943653</v>
      </c>
      <c r="D8" s="52">
        <f>IFERROR(1-_xlfn.NORM.DIST(_xlfn.NORM.INV(SUM(D10:D11), 0, 1) + 1, 0, 1, TRUE), "")</f>
        <v>0.62961648186943653</v>
      </c>
      <c r="E8" s="52">
        <f>IFERROR(1-_xlfn.NORM.DIST(_xlfn.NORM.INV(SUM(E10:E11), 0, 1) + 1, 0, 1, TRUE), "")</f>
        <v>0.78987108124984162</v>
      </c>
      <c r="F8" s="52">
        <f>IFERROR(1-_xlfn.NORM.DIST(_xlfn.NORM.INV(SUM(F10:F11), 0, 1) + 1, 0, 1, TRUE), "")</f>
        <v>0.79331829205928583</v>
      </c>
      <c r="G8" s="52">
        <f>IFERROR(1-_xlfn.NORM.DIST(_xlfn.NORM.INV(SUM(G10:G11), 0, 1) + 1, 0, 1, TRUE), "")</f>
        <v>0.86184988827977049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0.27876231813056351</v>
      </c>
      <c r="D9" s="52">
        <f>IFERROR(_xlfn.NORM.DIST(_xlfn.NORM.INV(SUM(D10:D11), 0, 1) + 1, 0, 1, TRUE) - SUM(D10:D11), "")</f>
        <v>0.27876231813056351</v>
      </c>
      <c r="E9" s="52">
        <f>IFERROR(_xlfn.NORM.DIST(_xlfn.NORM.INV(SUM(E10:E11), 0, 1) + 1, 0, 1, TRUE) - SUM(E10:E11), "")</f>
        <v>0.17466771875015838</v>
      </c>
      <c r="F9" s="52">
        <f>IFERROR(_xlfn.NORM.DIST(_xlfn.NORM.INV(SUM(F10:F11), 0, 1) + 1, 0, 1, TRUE) - SUM(F10:F11), "")</f>
        <v>0.17214880794071416</v>
      </c>
      <c r="G9" s="52">
        <f>IFERROR(_xlfn.NORM.DIST(_xlfn.NORM.INV(SUM(G10:G11), 0, 1) + 1, 0, 1, TRUE) - SUM(G10:G11), "")</f>
        <v>0.11978131172022953</v>
      </c>
    </row>
    <row r="10" spans="1:15" ht="15.75" customHeight="1" x14ac:dyDescent="0.25">
      <c r="B10" s="5" t="s">
        <v>126</v>
      </c>
      <c r="C10" s="45">
        <v>4.0578700000000002E-2</v>
      </c>
      <c r="D10" s="53">
        <v>4.0578700000000002E-2</v>
      </c>
      <c r="E10" s="53">
        <v>3.1065300000000001E-2</v>
      </c>
      <c r="F10" s="53">
        <v>2.3253699999999999E-2</v>
      </c>
      <c r="G10" s="53">
        <v>1.16712E-2</v>
      </c>
    </row>
    <row r="11" spans="1:15" ht="15.75" customHeight="1" x14ac:dyDescent="0.25">
      <c r="B11" s="5" t="s">
        <v>138</v>
      </c>
      <c r="C11" s="45">
        <v>5.1042499999999998E-2</v>
      </c>
      <c r="D11" s="53">
        <v>5.1042499999999998E-2</v>
      </c>
      <c r="E11" s="53">
        <v>4.3958999999999986E-3</v>
      </c>
      <c r="F11" s="53">
        <v>1.12792E-2</v>
      </c>
      <c r="G11" s="53">
        <v>6.6976000000000006E-3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0.55150138500000001</v>
      </c>
      <c r="D14" s="54">
        <v>0.53403163124999997</v>
      </c>
      <c r="E14" s="54">
        <v>0.53403163124999997</v>
      </c>
      <c r="F14" s="54">
        <v>0.32995192879599999</v>
      </c>
      <c r="G14" s="54">
        <v>0.32995192879599999</v>
      </c>
      <c r="H14" s="45">
        <v>0.42499999999999999</v>
      </c>
      <c r="I14" s="55">
        <v>0.42499999999999999</v>
      </c>
      <c r="J14" s="55">
        <v>0.42499999999999999</v>
      </c>
      <c r="K14" s="55">
        <v>0.42499999999999999</v>
      </c>
      <c r="L14" s="45">
        <v>0.30499999999999999</v>
      </c>
      <c r="M14" s="55">
        <v>0.30499999999999999</v>
      </c>
      <c r="N14" s="55">
        <v>0.30499999999999999</v>
      </c>
      <c r="O14" s="55">
        <v>0.30499999999999999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0.31578417803715003</v>
      </c>
      <c r="D15" s="52">
        <f t="shared" si="0"/>
        <v>0.30578117173743752</v>
      </c>
      <c r="E15" s="52">
        <f t="shared" si="0"/>
        <v>0.30578117173743752</v>
      </c>
      <c r="F15" s="52">
        <f t="shared" si="0"/>
        <v>0.18892717490930164</v>
      </c>
      <c r="G15" s="52">
        <f t="shared" si="0"/>
        <v>0.18892717490930164</v>
      </c>
      <c r="H15" s="52">
        <f t="shared" si="0"/>
        <v>0.24335075</v>
      </c>
      <c r="I15" s="52">
        <f t="shared" si="0"/>
        <v>0.24335075</v>
      </c>
      <c r="J15" s="52">
        <f t="shared" si="0"/>
        <v>0.24335075</v>
      </c>
      <c r="K15" s="52">
        <f t="shared" si="0"/>
        <v>0.24335075</v>
      </c>
      <c r="L15" s="52">
        <f t="shared" si="0"/>
        <v>0.17463995000000002</v>
      </c>
      <c r="M15" s="52">
        <f t="shared" si="0"/>
        <v>0.17463995000000002</v>
      </c>
      <c r="N15" s="52">
        <f t="shared" si="0"/>
        <v>0.17463995000000002</v>
      </c>
      <c r="O15" s="52">
        <f t="shared" si="0"/>
        <v>0.17463995000000002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2HoXbG+YBeenlst+O1JzmqnAUj+jJkRjzkSlON+UCOTslU5MNOlvsbg8x2ROOKOABlAuQXdjHc8yrQVck8eBQ==" saltValue="6QzblqnS5SaE5vkovPaf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0.71186269999999996</v>
      </c>
      <c r="D2" s="53">
        <v>0.50451279999999998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</v>
      </c>
      <c r="D3" s="53">
        <v>8.512829999999999E-2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0.13968539999999999</v>
      </c>
      <c r="D4" s="53">
        <v>0.21177399999999999</v>
      </c>
      <c r="E4" s="53">
        <v>0.6588117</v>
      </c>
      <c r="F4" s="53">
        <v>0.4976312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0.14845190000000008</v>
      </c>
      <c r="D5" s="52">
        <f t="shared" si="0"/>
        <v>0.19858490000000006</v>
      </c>
      <c r="E5" s="52">
        <f>1-SUM(E2:E4)</f>
        <v>0.3411883</v>
      </c>
      <c r="F5" s="52">
        <f>1-SUM(F2:F4)</f>
        <v>0.50236879999999995</v>
      </c>
      <c r="G5" s="52">
        <f>1-SUM(G2:G4)</f>
        <v>1</v>
      </c>
    </row>
  </sheetData>
  <sheetProtection algorithmName="SHA-512" hashValue="p0eJvw1T696IpY5ySdgxUOw6lZ+ZeA7hiIs7zBLoH70RdBtTCM3gtt6mYYELqeiTdQoUNhkyuh7WSdflI7ataw==" saltValue="mQCP/bQ5duipyQ8lnndOt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056oGZTaewensXuHbY55pqO8eR/Jjc0DBe80mPdb7RN2oQIs5W2KfzImuGzmME0uoY9uICIGiu1Y8whKYe21lg==" saltValue="JUqDVKe6tuFZsaUq0HUOS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3745.5603674631302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0.41102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0.44403999999999999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1.5164553535832142E-2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98795.523879999993</v>
      </c>
      <c r="C22" s="109">
        <v>98616.626480000006</v>
      </c>
      <c r="D22" s="109">
        <v>98448.280549999996</v>
      </c>
      <c r="E22" s="109">
        <v>98027.963820000004</v>
      </c>
      <c r="F22" s="109">
        <v>97282.981140000004</v>
      </c>
      <c r="G22" s="109">
        <v>96369.177590000007</v>
      </c>
      <c r="H22" s="109">
        <v>95232.656879999995</v>
      </c>
      <c r="I22" s="109">
        <v>93732.445389999993</v>
      </c>
      <c r="J22" s="109">
        <v>91606.786500000002</v>
      </c>
      <c r="K22" s="109">
        <v>88546.744749999998</v>
      </c>
      <c r="L22" s="109">
        <v>84224.197490000006</v>
      </c>
      <c r="M22" s="109">
        <v>78261.861390000005</v>
      </c>
      <c r="N22" s="109">
        <v>70276.234450000004</v>
      </c>
      <c r="O22" s="109">
        <v>60248.059719999997</v>
      </c>
    </row>
  </sheetData>
  <sheetProtection algorithmName="SHA-512" hashValue="Ztt1vkuocqjNiVXdYwbT6rvFYZRskUPNUoYQ0F6+0vDDN0U3RjkDZOGt705C2l9ZKu1mO88ERoZsnp7aWkBdzA==" saltValue="cyMLRK8RXeKrzlP+9Rd59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yuLmbuUTTqVqF+o2NBl/lhsQ92GFHX/acdBYkiY1yNf0dY/i2Kh8Xb6o1EWY9vMC4kjOsyPAmUM9ZFdUyQCxdQ==" saltValue="TUkDU/xkP00Ukt4JT8Zth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ePR6S/ZdOfy4u07cmUICuKIVtDptCWeRZNWnuMI7l9Bc4hzLIR1JZNNyBjjcHUj36TTjTWtNitSqjZiA7EUKXQ==" saltValue="vi5VH+YvnVcx36tn+L1yD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23.266651740020471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23.266651740020471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0.80999999999999994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1.1645825935762411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1.1113E-2</v>
      </c>
      <c r="C10" s="98">
        <v>0.95</v>
      </c>
      <c r="D10" s="56">
        <v>12.99613066460511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12.99613066460511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12.99613066460511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12.99613066460511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1.1113E-2</v>
      </c>
      <c r="C14" s="98">
        <v>0.95</v>
      </c>
      <c r="D14" s="56">
        <v>12.99613066460511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12.99613066460511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1.57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0.1369044839662158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0.50451279999999998</v>
      </c>
      <c r="C18" s="98">
        <v>0.95</v>
      </c>
      <c r="D18" s="56">
        <v>8.0823886898669404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0.50451279999999998</v>
      </c>
      <c r="C19" s="98">
        <v>0.95</v>
      </c>
      <c r="D19" s="56">
        <v>9.2940558205318631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8.32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0.80999999999999994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4.2693071752319298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0.62744799530607998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1.1113E-2</v>
      </c>
      <c r="C26" s="98">
        <v>0.95</v>
      </c>
      <c r="D26" s="56">
        <v>8.469314227226203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14.964151740020471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0.58558969999999999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0.2004783</v>
      </c>
      <c r="C29" s="98">
        <v>0.95</v>
      </c>
      <c r="D29" s="56">
        <v>111.9883457710268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118.83755373592631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0.69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0.7196437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0.1203943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1.57512E-2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0.88436999999999999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0.33004980000000012</v>
      </c>
      <c r="C38" s="98">
        <v>0.95</v>
      </c>
      <c r="D38" s="56">
        <v>3.45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3.07</v>
      </c>
      <c r="E39" s="56" t="s">
        <v>212</v>
      </c>
      <c r="F39" s="98">
        <v>1</v>
      </c>
      <c r="G39" s="98">
        <v>1</v>
      </c>
    </row>
  </sheetData>
  <sheetProtection algorithmName="SHA-512" hashValue="LuzjiVckU3+lg5Y5nNMh4eD28gbWv9L1vMxggMDuJXYlEjJ5djtcAcy14AXfFPy69uUdkVs+kddRckSAo0m/pQ==" saltValue="zEmxDV1hQjjRAyy3GP1Z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xR2r9TtzJoSlepETFL7intOEWQv/nWQhMl1/w0qO85sfqCxSU1a1uVOH2iZ/4mH0h48mt4afqSv3yPookJ20Q==" saltValue="mbKhgIopoPv4PadZOUbpP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z4z9OdzHzrL6qjxvGPZYdv2A2kqR3fpqXZ6NcIpuPv+RmT5Zuiie0SiV/fITbQer2kGd8qiVNTlWAv70wGJVHw==" saltValue="Nu1jaO6ji2fr+dwff7mf7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0.10550462000000001</v>
      </c>
      <c r="C3" s="21">
        <f>frac_mam_1_5months * 2.6</f>
        <v>0.10550462000000001</v>
      </c>
      <c r="D3" s="21">
        <f>frac_mam_6_11months * 2.6</f>
        <v>8.0769779999999999E-2</v>
      </c>
      <c r="E3" s="21">
        <f>frac_mam_12_23months * 2.6</f>
        <v>6.0459619999999999E-2</v>
      </c>
      <c r="F3" s="21">
        <f>frac_mam_24_59months * 2.6</f>
        <v>3.034512E-2</v>
      </c>
    </row>
    <row r="4" spans="1:6" ht="15.75" customHeight="1" x14ac:dyDescent="0.25">
      <c r="A4" s="3" t="s">
        <v>236</v>
      </c>
      <c r="B4" s="21">
        <f>frac_sam_1month * 2.6</f>
        <v>0.13271050000000001</v>
      </c>
      <c r="C4" s="21">
        <f>frac_sam_1_5months * 2.6</f>
        <v>0.13271050000000001</v>
      </c>
      <c r="D4" s="21">
        <f>frac_sam_6_11months * 2.6</f>
        <v>1.1429339999999996E-2</v>
      </c>
      <c r="E4" s="21">
        <f>frac_sam_12_23months * 2.6</f>
        <v>2.9325919999999998E-2</v>
      </c>
      <c r="F4" s="21">
        <f>frac_sam_24_59months * 2.6</f>
        <v>1.7413760000000004E-2</v>
      </c>
    </row>
  </sheetData>
  <sheetProtection algorithmName="SHA-512" hashValue="TS5UKg9IxAGR256VUvmyeUgeHnri64AIiDA/xCem5uqqkda9h48eGfECrvQK5BaKRYf1hDqItfzqGgfyGYch4Q==" saltValue="Uwdh8fXPrJg4jB6kTOGgx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1.0999999999999999E-2</v>
      </c>
      <c r="F2" s="60">
        <f>food_insecure</f>
        <v>1.0999999999999999E-2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1.0999999999999999E-2</v>
      </c>
      <c r="F5" s="60">
        <f>food_insecure</f>
        <v>1.0999999999999999E-2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1.0999999999999999E-2</v>
      </c>
      <c r="F8" s="60">
        <f>food_insecure</f>
        <v>1.0999999999999999E-2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1.0999999999999999E-2</v>
      </c>
      <c r="F9" s="60">
        <f>food_insecure</f>
        <v>1.0999999999999999E-2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1.0999999999999999E-2</v>
      </c>
      <c r="I15" s="60">
        <f t="shared" si="0"/>
        <v>1.0999999999999999E-2</v>
      </c>
      <c r="J15" s="60">
        <f t="shared" si="0"/>
        <v>1.0999999999999999E-2</v>
      </c>
      <c r="K15" s="60">
        <f t="shared" si="0"/>
        <v>1.0999999999999999E-2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1.0999999999999999E-2</v>
      </c>
      <c r="I16" s="60">
        <f t="shared" si="0"/>
        <v>1.0999999999999999E-2</v>
      </c>
      <c r="J16" s="60">
        <f t="shared" si="0"/>
        <v>1.0999999999999999E-2</v>
      </c>
      <c r="K16" s="60">
        <f t="shared" si="0"/>
        <v>1.0999999999999999E-2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0.60599999999999998</v>
      </c>
      <c r="M24" s="60">
        <f>famplan_unmet_need</f>
        <v>0.60599999999999998</v>
      </c>
      <c r="N24" s="60">
        <f>famplan_unmet_need</f>
        <v>0.60599999999999998</v>
      </c>
      <c r="O24" s="60">
        <f>famplan_unmet_need</f>
        <v>0.60599999999999998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9.3145118106079255E-2</v>
      </c>
      <c r="M25" s="60">
        <f>(1-food_insecure)*(0.49)+food_insecure*(0.7)</f>
        <v>0.49230999999999997</v>
      </c>
      <c r="N25" s="60">
        <f>(1-food_insecure)*(0.49)+food_insecure*(0.7)</f>
        <v>0.49230999999999997</v>
      </c>
      <c r="O25" s="60">
        <f>(1-food_insecure)*(0.49)+food_insecure*(0.7)</f>
        <v>0.49230999999999997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3.9919336331176822E-2</v>
      </c>
      <c r="M26" s="60">
        <f>(1-food_insecure)*(0.21)+food_insecure*(0.3)</f>
        <v>0.21098999999999998</v>
      </c>
      <c r="N26" s="60">
        <f>(1-food_insecure)*(0.21)+food_insecure*(0.3)</f>
        <v>0.21098999999999998</v>
      </c>
      <c r="O26" s="60">
        <f>(1-food_insecure)*(0.21)+food_insecure*(0.3)</f>
        <v>0.21098999999999998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5.6135679840087972E-2</v>
      </c>
      <c r="M27" s="60">
        <f>(1-food_insecure)*(0.3)</f>
        <v>0.29669999999999996</v>
      </c>
      <c r="N27" s="60">
        <f>(1-food_insecure)*(0.3)</f>
        <v>0.29669999999999996</v>
      </c>
      <c r="O27" s="60">
        <f>(1-food_insecure)*(0.3)</f>
        <v>0.29669999999999996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0.81079986572265594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VUK/tsU1yMEllYMunlfLI3m2ekgcKvjg9ADUQT8vBHYKA/pL6rSTSbgayXMd7IkehBt2ue307TcU9Cu5vE+tw==" saltValue="jocdy1ybhMUo2JlZw19OF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XDEJflZeKsalIf9Scxnd5ypAsTTq04Tp0ixI2ooM2nbDu68GsnEX50FB10Wd8eF+AbncgXrZK2liiwc35KTXAw==" saltValue="kONEFnkoSxtHuHukj3GoB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DL+YtzxVzGK7Y+lecpkqgemHx9rqf7vb5Ay5+/Z55w+cysK806Y/Q6PV2CbR+8PiETHXdyH1bLUXGNam9E7FQ==" saltValue="wyWC6Lmt/5YA2omRy/JAg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SmP8Oe97MrbqyNmnmxEq9d/uJE79dOR/Nu8EXjh53dAM0mmCavqrAm7zkhGudBLBMVOFlJgvTLnG6t9bah1VQ==" saltValue="WZRolBMtiMIld5pCPKCVU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dEZJMUJxSBL7Lg+xzzxPrDuerRbvzC28KfSG3WP8QJiT9tuKESm9ie7t9phhEmN1XDEHYbGkTJsRx5R8dDv9ng==" saltValue="gUfn07ITVEz0dQfNeYS35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VTuwpfhHY53bTWzFuSqnrw23yzsEJ43LXsLExd1SkanwxTDhyN0+MuLlFOpIHGKhlbJxS3nDRPDTY1DxHZmkIA==" saltValue="/n7Wx1eeb6UKYe540T5VQ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uCwyqekAoOmFgBVoLbEsz2mZL1GEno+RbNaclU5NPAnbkXc/cpGP0FfDnuHT3Hl3aThZL8QOD3UzO0NzDWotg==" saltValue="dZileRWgHKq+AJCjWmJOR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z1aJ7LhUe3tNxaiExGzhZkmQiA0MkJN30GtJ3e6UyiHOWdz6OPHicHnIpqDpIxWY4PPBEoZSBb4s6K7uzYjAYA==" saltValue="leG9z09cA207HV+1apBW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9SDOn870Jl+aZc6O4mjRCvJeUZ/o6HKkP0TYuaVAspGGvFJwpZXA5Br2VonWcIQef43Fx6EQHQjqD5p7OtVExg==" saltValue="6GFBPSqdzOVHyHMfwASg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epnGVZyL5J1wrqBbLp6SJRF5VkvvVYOuhjSk3HzG5XT/fXbtg8ETwFjdLtmEsGxTd3h2VRVX1NNgURFkYBLAQ==" saltValue="gJwW0Nd796hhMrlpmK/x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22gPBo1rVPKgwwD9+7Wep5/AY4kw5JSnG9WQKMt8zlD9/lHZuKto5RQRNeQuKhX70gV/8dkAnWNRAhJNWwwhjQ==" saltValue="OSFxg8mqPljNe2PcF0ZS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AR091PecWt1FtJlFC82dL4CgRAdorPXYGgbfVzfK454XH7ZZUsjofmzwjHZPJzBgi/CFRfyFpQcPBqborzHMg==" saltValue="kN8Vkhqq0xB2I48G1bv0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ACO5U6ZZ7P/qjK8obgjNzoovj5hOpduVpuWhimWn/QLupqasZ/ss9aoLxVdVls+0XiOmrmlZ38s5ZhPdvhZnJQ==" saltValue="xh/4nv6kO44NpbiWrja7e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j3JsXcEg1st8hUI2zE4Z9rb3S/mQjyjk1pBMkDoWgBSZq2ExgU3Ubsb37X5tynHpiwvTDyMLhfkTZ2FwqaMIw==" saltValue="V4v58MkgBZQRTfAv9VSa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iY6RIrPATSaLEGTk15QSsXfRl/Yv3chrpDJx3cKYZ6Qy5ZGqylTVyr4OovFtJpl2PtPeDivJKEEfqNiaeqdgEg==" saltValue="x5Ca7Dy7goMoSbGiHSMq/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2025-07-04T02:56:44Z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