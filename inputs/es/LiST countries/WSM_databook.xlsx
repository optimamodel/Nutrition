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16DAF94-46E2-4B67-B2B5-94A48699C80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1" i="2"/>
  <c r="A29" i="2"/>
  <c r="A28" i="2"/>
  <c r="A27" i="2"/>
  <c r="A23" i="2"/>
  <c r="A21" i="2"/>
  <c r="A20" i="2"/>
  <c r="A19" i="2"/>
  <c r="A18" i="2"/>
  <c r="A15" i="2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5" i="2" l="1"/>
  <c r="I9" i="2"/>
  <c r="I13" i="2"/>
  <c r="A26" i="2"/>
  <c r="A37" i="2"/>
  <c r="A16" i="2"/>
  <c r="A24" i="2"/>
  <c r="A32" i="2"/>
  <c r="A17" i="2"/>
  <c r="A25" i="2"/>
  <c r="A33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<sst xmlns="http://schemas.openxmlformats.org/spreadsheetml/2006/main" count="2101" uniqueCount="341">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</sst>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29873.677734375029</v>
      </c>
    </row>
    <row r="8" spans="1:3" ht="15" customHeight="1" x14ac:dyDescent="0.25">
      <c r="B8" s="5" t="s">
        <v>44</v>
      </c>
      <c r="C8" s="44">
        <v>1.0999999999999999E-2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0.81079986572265594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3.4700000000000002E-2</v>
      </c>
    </row>
    <row r="24" spans="1:3" ht="15" customHeight="1" x14ac:dyDescent="0.25">
      <c r="B24" s="15" t="s">
        <v>46</v>
      </c>
      <c r="C24" s="45">
        <v>0.47039999999999998</v>
      </c>
    </row>
    <row r="25" spans="1:3" ht="15" customHeight="1" x14ac:dyDescent="0.25">
      <c r="B25" s="15" t="s">
        <v>47</v>
      </c>
      <c r="C25" s="45">
        <v>0.44009999999999999</v>
      </c>
    </row>
    <row r="26" spans="1:3" ht="15" customHeight="1" x14ac:dyDescent="0.25">
      <c r="B26" s="15" t="s">
        <v>48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6.5631199999999996</v>
      </c>
    </row>
    <row r="38" spans="1:5" ht="15" customHeight="1" x14ac:dyDescent="0.25">
      <c r="B38" s="11" t="s">
        <v>35</v>
      </c>
      <c r="C38" s="43">
        <v>14.3725</v>
      </c>
      <c r="D38" s="12"/>
      <c r="E38" s="13"/>
    </row>
    <row r="39" spans="1:5" ht="15" customHeight="1" x14ac:dyDescent="0.25">
      <c r="B39" s="11" t="s">
        <v>61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6.1190999999999997E-3</v>
      </c>
      <c r="D45" s="12"/>
    </row>
    <row r="46" spans="1:5" ht="15.75" customHeight="1" x14ac:dyDescent="0.25">
      <c r="B46" s="11" t="s">
        <v>51</v>
      </c>
      <c r="C46" s="45">
        <v>6.5748799999999996E-2</v>
      </c>
      <c r="D46" s="12"/>
    </row>
    <row r="47" spans="1:5" ht="15.75" customHeight="1" x14ac:dyDescent="0.25">
      <c r="B47" s="11" t="s">
        <v>59</v>
      </c>
      <c r="C47" s="45">
        <v>7.5182200000000005E-2</v>
      </c>
      <c r="D47" s="12"/>
      <c r="E47" s="13"/>
    </row>
    <row r="48" spans="1:5" ht="15" customHeight="1" x14ac:dyDescent="0.25">
      <c r="B48" s="11" t="s">
        <v>58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0.57259000000000004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/6Jqg/kHXo+LuzhGLQVXSadO3bpd5XIVRva5VVuiSC4cPRBWEWBE+2v7/yVF43b/q+sg9CITRy9YZ3FMTo1cLA==" saltValue="htFfHggrmJUmjX+iqfU3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6017</v>
      </c>
      <c r="C2" s="49">
        <v>13475.5</v>
      </c>
      <c r="D2" s="49">
        <v>17368.5</v>
      </c>
      <c r="E2" s="49">
        <v>13245</v>
      </c>
      <c r="F2" s="49">
        <v>9776</v>
      </c>
      <c r="G2" s="17">
        <f t="shared" ref="G2:G13" si="0">C2+D2+E2+F2</f>
        <v>53865</v>
      </c>
      <c r="H2" s="17">
        <f t="shared" ref="H2:H13" si="1">(B2 + stillbirth*B2/(1000-stillbirth))/(1-abortion)</f>
        <v>6889.9803603062192</v>
      </c>
      <c r="I2" s="17">
        <f t="shared" ref="I2:I13" si="2">G2-H2</f>
        <v>46975.019639693783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6015</v>
      </c>
      <c r="C3" s="50">
        <v>13898.5</v>
      </c>
      <c r="D3" s="50">
        <v>17478.5</v>
      </c>
      <c r="E3" s="50">
        <v>13599</v>
      </c>
      <c r="F3" s="50">
        <v>9752</v>
      </c>
      <c r="G3" s="17">
        <f t="shared" si="0"/>
        <v>54728</v>
      </c>
      <c r="H3" s="17">
        <f t="shared" si="1"/>
        <v>6887.6901890048057</v>
      </c>
      <c r="I3" s="17">
        <f t="shared" si="2"/>
        <v>47840.309810995197</v>
      </c>
    </row>
    <row r="4" spans="1:9" ht="15.75" customHeight="1" x14ac:dyDescent="0.25">
      <c r="A4" s="5">
        <f t="shared" si="3"/>
        <v>2026</v>
      </c>
      <c r="B4" s="49">
        <v>6059</v>
      </c>
      <c r="C4" s="50">
        <v>14336</v>
      </c>
      <c r="D4" s="50">
        <v>17658.5</v>
      </c>
      <c r="E4" s="50">
        <v>13935.5</v>
      </c>
      <c r="F4" s="50">
        <v>9702.5</v>
      </c>
      <c r="G4" s="17">
        <f t="shared" si="0"/>
        <v>55632.5</v>
      </c>
      <c r="H4" s="17">
        <f t="shared" si="1"/>
        <v>6938.0739576359301</v>
      </c>
      <c r="I4" s="17">
        <f t="shared" si="2"/>
        <v>48694.426042364066</v>
      </c>
    </row>
    <row r="5" spans="1:9" ht="15.75" customHeight="1" x14ac:dyDescent="0.25">
      <c r="A5" s="5">
        <f t="shared" si="3"/>
        <v>2027</v>
      </c>
      <c r="B5" s="49">
        <v>6053</v>
      </c>
      <c r="C5" s="50">
        <v>14772.5</v>
      </c>
      <c r="D5" s="50">
        <v>17899</v>
      </c>
      <c r="E5" s="50">
        <v>14251</v>
      </c>
      <c r="F5" s="50">
        <v>9651</v>
      </c>
      <c r="G5" s="17">
        <f t="shared" si="0"/>
        <v>56573.5</v>
      </c>
      <c r="H5" s="17">
        <f t="shared" si="1"/>
        <v>6931.2034437316852</v>
      </c>
      <c r="I5" s="17">
        <f t="shared" si="2"/>
        <v>49642.296556268317</v>
      </c>
    </row>
    <row r="6" spans="1:9" ht="15.75" customHeight="1" x14ac:dyDescent="0.25">
      <c r="A6" s="5">
        <f t="shared" si="3"/>
        <v>2028</v>
      </c>
      <c r="B6" s="49">
        <v>6096</v>
      </c>
      <c r="C6" s="50">
        <v>15174.5</v>
      </c>
      <c r="D6" s="50">
        <v>18216</v>
      </c>
      <c r="E6" s="50">
        <v>14528.5</v>
      </c>
      <c r="F6" s="50">
        <v>9600.5</v>
      </c>
      <c r="G6" s="17">
        <f t="shared" si="0"/>
        <v>57519.5</v>
      </c>
      <c r="H6" s="17">
        <f t="shared" si="1"/>
        <v>6980.4421267121015</v>
      </c>
      <c r="I6" s="17">
        <f t="shared" si="2"/>
        <v>50539.0578732879</v>
      </c>
    </row>
    <row r="7" spans="1:9" ht="15.75" customHeight="1" x14ac:dyDescent="0.25">
      <c r="A7" s="5">
        <f t="shared" si="3"/>
        <v>2029</v>
      </c>
      <c r="B7" s="49">
        <v>6140</v>
      </c>
      <c r="C7" s="50">
        <v>15511.5</v>
      </c>
      <c r="D7" s="50">
        <v>18630.5</v>
      </c>
      <c r="E7" s="50">
        <v>14741</v>
      </c>
      <c r="F7" s="50">
        <v>9563.5</v>
      </c>
      <c r="G7" s="17">
        <f t="shared" si="0"/>
        <v>58446.5</v>
      </c>
      <c r="H7" s="17">
        <f t="shared" si="1"/>
        <v>7030.825895343226</v>
      </c>
      <c r="I7" s="17">
        <f t="shared" si="2"/>
        <v>51415.674104656777</v>
      </c>
    </row>
    <row r="8" spans="1:9" ht="15.75" customHeight="1" x14ac:dyDescent="0.25">
      <c r="A8" s="5">
        <f t="shared" si="3"/>
        <v>2030</v>
      </c>
      <c r="B8" s="49">
        <v>6200</v>
      </c>
      <c r="C8" s="50">
        <v>15770.5</v>
      </c>
      <c r="D8" s="50">
        <v>19142.5</v>
      </c>
      <c r="E8" s="50">
        <v>14880.5</v>
      </c>
      <c r="F8" s="50">
        <v>9574</v>
      </c>
      <c r="G8" s="17">
        <f t="shared" si="0"/>
        <v>59367.5</v>
      </c>
      <c r="H8" s="17">
        <f t="shared" si="1"/>
        <v>7099.5310343856681</v>
      </c>
      <c r="I8" s="17">
        <f t="shared" si="2"/>
        <v>52267.968965614331</v>
      </c>
    </row>
    <row r="9" spans="1:9" ht="15.75" customHeight="1" x14ac:dyDescent="0.25">
      <c r="A9" s="5">
        <f t="shared" si="3"/>
        <v>2031</v>
      </c>
      <c r="B9" s="49">
        <v>6249</v>
      </c>
      <c r="C9" s="50">
        <v>15951</v>
      </c>
      <c r="D9" s="50">
        <v>19744.5</v>
      </c>
      <c r="E9" s="50">
        <v>14905</v>
      </c>
      <c r="F9" s="50">
        <v>9656</v>
      </c>
      <c r="G9" s="17">
        <f t="shared" si="0"/>
        <v>60256.5</v>
      </c>
      <c r="H9" s="17">
        <f t="shared" si="1"/>
        <v>7155.6402312703294</v>
      </c>
      <c r="I9" s="17">
        <f t="shared" si="2"/>
        <v>53100.859768729671</v>
      </c>
    </row>
    <row r="10" spans="1:9" ht="15.75" customHeight="1" x14ac:dyDescent="0.25">
      <c r="A10" s="5">
        <f t="shared" si="3"/>
        <v>2032</v>
      </c>
      <c r="B10" s="49">
        <v>6306</v>
      </c>
      <c r="C10" s="50">
        <v>16067.5</v>
      </c>
      <c r="D10" s="50">
        <v>20402.5</v>
      </c>
      <c r="E10" s="50">
        <v>14866</v>
      </c>
      <c r="F10" s="50">
        <v>9864</v>
      </c>
      <c r="G10" s="17">
        <f t="shared" si="0"/>
        <v>61200</v>
      </c>
      <c r="H10" s="17">
        <f t="shared" si="1"/>
        <v>7220.9101133606491</v>
      </c>
      <c r="I10" s="17">
        <f t="shared" si="2"/>
        <v>53979.089886639355</v>
      </c>
    </row>
    <row r="11" spans="1:9" ht="15.75" customHeight="1" x14ac:dyDescent="0.25">
      <c r="A11" s="5">
        <f t="shared" si="3"/>
        <v>2033</v>
      </c>
      <c r="B11" s="49">
        <v>6369</v>
      </c>
      <c r="C11" s="50">
        <v>16143</v>
      </c>
      <c r="D11" s="50">
        <v>21057</v>
      </c>
      <c r="E11" s="50">
        <v>14864</v>
      </c>
      <c r="F11" s="50">
        <v>10170.5</v>
      </c>
      <c r="G11" s="17">
        <f t="shared" si="0"/>
        <v>62234.5</v>
      </c>
      <c r="H11" s="17">
        <f t="shared" si="1"/>
        <v>7293.0505093552129</v>
      </c>
      <c r="I11" s="17">
        <f t="shared" si="2"/>
        <v>54941.449490644787</v>
      </c>
    </row>
    <row r="12" spans="1:9" ht="15.75" customHeight="1" x14ac:dyDescent="0.25">
      <c r="A12" s="5">
        <f t="shared" si="3"/>
        <v>2034</v>
      </c>
      <c r="B12" s="49">
        <v>6438</v>
      </c>
      <c r="C12" s="50">
        <v>16195</v>
      </c>
      <c r="D12" s="50">
        <v>21675</v>
      </c>
      <c r="E12" s="50">
        <v>14911.5</v>
      </c>
      <c r="F12" s="50">
        <v>10506</v>
      </c>
      <c r="G12" s="17">
        <f t="shared" si="0"/>
        <v>63287.5</v>
      </c>
      <c r="H12" s="17">
        <f t="shared" si="1"/>
        <v>7372.0614192540206</v>
      </c>
      <c r="I12" s="17">
        <f t="shared" si="2"/>
        <v>55915.438580745977</v>
      </c>
    </row>
    <row r="13" spans="1:9" ht="15.75" customHeight="1" x14ac:dyDescent="0.25">
      <c r="A13" s="5">
        <f t="shared" si="3"/>
        <v>2035</v>
      </c>
      <c r="B13" s="49">
        <v>6501</v>
      </c>
      <c r="C13" s="50">
        <v>16232</v>
      </c>
      <c r="D13" s="50">
        <v>22250.5</v>
      </c>
      <c r="E13" s="50">
        <v>15021.5</v>
      </c>
      <c r="F13" s="50">
        <v>10860</v>
      </c>
      <c r="G13" s="17">
        <f t="shared" si="0"/>
        <v>64364</v>
      </c>
      <c r="H13" s="17">
        <f t="shared" si="1"/>
        <v>7444.2018152485853</v>
      </c>
      <c r="I13" s="17">
        <f t="shared" si="2"/>
        <v>56919.798184751417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NyFrklXIUU9zPU/LJB51atHUpSBhZfePiJ6z6v7NxcKRWi50vyfVamGXkcRgjgnQLN/mClsac3WzsPcjlNnOA==" saltValue="cne9J5mQP1gWLNLEnRwt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7.2663600000000161E-2</v>
      </c>
    </row>
    <row r="5" spans="1:8" ht="15.75" customHeight="1" x14ac:dyDescent="0.25">
      <c r="B5" s="19" t="s">
        <v>95</v>
      </c>
      <c r="C5" s="101">
        <v>3.2022400000000013E-2</v>
      </c>
    </row>
    <row r="6" spans="1:8" ht="15.75" customHeight="1" x14ac:dyDescent="0.25">
      <c r="B6" s="19" t="s">
        <v>91</v>
      </c>
      <c r="C6" s="101">
        <v>0.18112940000000011</v>
      </c>
    </row>
    <row r="7" spans="1:8" ht="15.75" customHeight="1" x14ac:dyDescent="0.25">
      <c r="B7" s="19" t="s">
        <v>96</v>
      </c>
      <c r="C7" s="101">
        <v>0.43143469999999928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0.18141010000000021</v>
      </c>
    </row>
    <row r="10" spans="1:8" ht="15.75" customHeight="1" x14ac:dyDescent="0.25">
      <c r="B10" s="19" t="s">
        <v>94</v>
      </c>
      <c r="C10" s="101">
        <v>0.1013398000000002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102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2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90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99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4.7837044999999988E-2</v>
      </c>
    </row>
    <row r="27" spans="1:8" ht="15.75" customHeight="1" x14ac:dyDescent="0.25">
      <c r="B27" s="19" t="s">
        <v>89</v>
      </c>
      <c r="C27" s="101">
        <v>1.836863E-2</v>
      </c>
    </row>
    <row r="28" spans="1:8" ht="15.75" customHeight="1" x14ac:dyDescent="0.25">
      <c r="B28" s="19" t="s">
        <v>103</v>
      </c>
      <c r="C28" s="101">
        <v>0.231175139</v>
      </c>
    </row>
    <row r="29" spans="1:8" ht="15.75" customHeight="1" x14ac:dyDescent="0.25">
      <c r="B29" s="19" t="s">
        <v>86</v>
      </c>
      <c r="C29" s="101">
        <v>0.138527135</v>
      </c>
    </row>
    <row r="30" spans="1:8" ht="15.75" customHeight="1" x14ac:dyDescent="0.25">
      <c r="B30" s="19" t="s">
        <v>4</v>
      </c>
      <c r="C30" s="101">
        <v>4.9111505E-2</v>
      </c>
    </row>
    <row r="31" spans="1:8" ht="15.75" customHeight="1" x14ac:dyDescent="0.25">
      <c r="B31" s="19" t="s">
        <v>80</v>
      </c>
      <c r="C31" s="101">
        <v>6.9658183999999998E-2</v>
      </c>
    </row>
    <row r="32" spans="1:8" ht="15.75" customHeight="1" x14ac:dyDescent="0.25">
      <c r="B32" s="19" t="s">
        <v>85</v>
      </c>
      <c r="C32" s="101">
        <v>0.14941447299999999</v>
      </c>
    </row>
    <row r="33" spans="2:3" ht="15.75" customHeight="1" x14ac:dyDescent="0.25">
      <c r="B33" s="19" t="s">
        <v>100</v>
      </c>
      <c r="C33" s="101">
        <v>0.122223571</v>
      </c>
    </row>
    <row r="34" spans="2:3" ht="15.75" customHeight="1" x14ac:dyDescent="0.25">
      <c r="B34" s="19" t="s">
        <v>87</v>
      </c>
      <c r="C34" s="101">
        <v>0.173684317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tIiHCjQniyBdhqCixP5Sc0bUJfKLwR/JZICen5JqsjqGWcV5xbFAVXF+wzzTtVDWResOlQBVAiwmR23BW1G+jg==" saltValue="w8MMMakafdMGOAJYIqao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110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106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107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119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kLv629DOe5R1xqT980hbxSwrwnfBx1ZJeLy2EyDELC+S1Kb81zfu0HVkEmZhHp0e4v07vjUlFp7/6MImbXlyA==" saltValue="jKmZ0QcNTX8FPj9/0eQ0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125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UEshZi+oXO+iAVTDR/0Hyzv0xY+EJ/P9Uejb01XBrZCBxZzpt8IbYy97ooNcU+fFnCTCM8kMiGSZR1CLBYZvUw==" saltValue="WX0veuHDx4kb7AEiTL+m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wz25Oh10hm3uGt615VygRytX9VzhjpNJRyzwd/IqHnFRZ6IyUkvZcygyyBWqbUh+djYR84svdqdr4o0NiQIWg==" saltValue="7WTCaq807ZDUvgh0jwma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XZU6oxCSX/zhR50pAt6jJm5QACHM93JhFQ+YeeZytqoRfXvuLEn5BtZjoDLbAnP3TuOS2+6APWf1uhESf4V0xA==" saltValue="NtbjepOCBzn5fDAe3xV4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ORTkS0NAomC03DvnyuiHsDAM8wwsNgRT4YiA7OM4yapg5o3oIyOh2bYWxLs6RINkovaZw6fRRc8ZA3xJBM8xA==" saltValue="43UgQlSnznmcgMMiJ5f4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VY/1zj3yPXY1FZRV+SVW7D7LmJmas1g9u4WR7bUmzf55rtnhscRS360dLj1zfyma0dU0C7kxkBoguLEQd/r9oA==" saltValue="jfmv1aUvSFTSRRfBElFBn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57.302229105544832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39.863831220809203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403.00131444088152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1.1645825935762411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1.1113E-2</v>
      </c>
      <c r="C10" s="98">
        <v>0.95</v>
      </c>
      <c r="D10" s="56">
        <v>12.99613066460511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12.99613066460511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12.99613066460511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12.99613066460511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1.1113E-2</v>
      </c>
      <c r="C14" s="98">
        <v>0.95</v>
      </c>
      <c r="D14" s="56">
        <v>12.99613066460511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12.99613066460511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0.70289646450045573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0.50451279999999998</v>
      </c>
      <c r="C18" s="98">
        <v>0.95</v>
      </c>
      <c r="D18" s="56">
        <v>9.2940558205318631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0.50451279999999998</v>
      </c>
      <c r="C19" s="98">
        <v>0.95</v>
      </c>
      <c r="D19" s="56">
        <v>9.2940558205318631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17.806239734868129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0.62744799530607998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1.1113E-2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18.370182834175559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0.58558969999999999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0.2004783</v>
      </c>
      <c r="C29" s="98">
        <v>0.95</v>
      </c>
      <c r="D29" s="56">
        <v>111.9883457710268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1.255919796850113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1.507574989137179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0.7196437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0.1203943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1.57512E-2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0.88436999999999999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0.33004980000000012</v>
      </c>
      <c r="C38" s="98">
        <v>0.95</v>
      </c>
      <c r="D38" s="56">
        <v>5.6275122920448464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4P7wvhK3ZHI3d8ljmOgppiHZOQ/nOOy0+gNiMr/dqDoNZiJoBtpk0B+XTMo23qzyJM5uN2qL9q9Chob8I1lRg==" saltValue="/HdVLENAZPcdggYflIEj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CInxDUA6/IHvTxmnAZDcB2OvsIQrPIJIneq1aNa0GM57PhUNBetk5wMS2Mit4ZUXkZQzlea1+BY3t9gGfpECw==" saltValue="TLKT47qIUq5iZ/WsUin3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307A04jG6X7893e5STGGp0U/pumudaKu6e991q3QY9mHp3z5bi9udZO4B8SEbX4YgyanX/PwxdbLbK/IDVqgA==" saltValue="Tl7jseQBN71kNNczfSuN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207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O0w3NDUIUT138rwQtcGJbhg6rcTetKdEn1i6mQmqfV/JK6xYu5A/UoftYh6+7G5RsXbYvLZSud7en/lChk37xg==" saltValue="2tIf3FEsM2+ajUacqBkZ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rsVEyse8hCBaLF6yBR8ha+v6cGuDaVcANdHB/KL59SgaNEgoVxbn4pGmIhyibnYH7HwRpRzn7kGD0TDz199Iw==" saltValue="6slDwZk7FvBJog4NU+rp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4xq8W/m7WIv/3IEgdXlWZ7pKNZunPZWT4GvIM+E94mU8b+lj8x95kHygKzvOY9Dg2XuW6MRS4lYEeNRxxn30Q==" saltValue="U5DVAKlHUOUacM1/qUFM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8H5Vlag6FJ5kWI3PVZH1EkiVsfN7tOmx0k0Hh9RHLJFbTd645bQZtqZBH5OaUj4ikeoWljqk7p142OcoibO3w==" saltValue="9XMXxl913YCgbwxrtsNIK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b9+0EA6Tk5CexB2ESs1NhZTSo/uVroxo1t/ZSFth3N2QollQuvAGVRjR5y/ryxvZAgf07DDK0/9UEAn4wXgYA==" saltValue="W633vbleM+BZVMCviP6O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o10vb/iEcLqNzWH4NBWGnRRZAFtZSzztSYRNe4I+93sB54EvMLnaVFbTNb4vGyfBJAIpEGp3bs+O11skSlt8w==" saltValue="k19+Znc/X/fvCY6hi5h6s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VHqTFSgHDhVhXg+kK9KCEfxI9VAhVdd7ITZIkwqa9NAizDCNAHNuahs1VJH5Goke3V80EDxcLuG47bktIYE4A==" saltValue="tG/zDpF9mCeferVmUAue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HTfkednfyIIu6nmusWSpc3YcSVN8YPVzxAPKdjrnMaX27N9PhQARpl4AU/nPxp4sOP40z+qeuIO7XpUg0cL2A==" saltValue="oZ19mDYalaY1vmAuOMcpp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qtX6xQrMajcMhpLcoSq8trSqvRIfmtF0456aiudY/isqP/H3isd1QmP+Qhu0wQalGAElLL4VoKB+8o4FEcnXw==" saltValue="S27iFJmsdf7NVQ7cbFDd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9iKuLr20sPXBRsnUAv+mNXB93uVn2OX+sXpA+QCw134KgORbZkcMF6/ZhAAdK2qrY1lbDww73Lb3gpwLMT94A==" saltValue="rYed0lWkGq95r7S8P5UL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3AzQHZLycA+h5jjE23AJUVzyiLwyc/taikudRAL4dQ8mALDtzTLcuttaWrfOrGG6VFPyQS3hQSHXfcEWneXDw==" saltValue="u/x64ec3GyG16xKvVncs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KpZ8miCg2NzxmaTlJ3ifcaVcvIfaEXSLSLnkk4k77DgFHP4HlBOYA1GEE9yMX3P2IGwFjFeeMmp+64JkZ9RuQ==" saltValue="/NE64vxIfHTPUIGDxXe6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LWjDa0LeyJB3Id5KtiKSryAWsIac5vgxHffFaOn402Zn2gH4egI34arawzPFREA7Mpu+OB16bZ1+Y/G7uAsCg==" saltValue="EhJdzmAG1O/GzQAKtd+6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AigKrsAAc/YUxoAj2J35u5KcT5s40/j2lgg5c9mIYiopjl9krOouwPy/yhshJ5I10nEwRXTU/RyUIBJRcoK9A==" saltValue="m5pXszZ4E0Bqx3XQgAzz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q2ePWlYO5yzSjuwLuTskojqhSmasDdz9v9l2WJI4zqf4kEM8lDIk/bjjzJoOHE0hnMZrL2Ai4c7Z2VkU83G5g==" saltValue="Dzk9JHRuaok83Q0gEIsC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kyoLZxtI1Z1aHqKfbhIKuSOUROwk33g1T/msaS5bbx42d1Yop/uW99es2U9fZcbhAlK4A46Q9iqIQHI/iKa1g==" saltValue="KAl7RJwSZ2IUZ7ULwsD/H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2024-08-06T08:33:38Z</dcterms:modified>
</cp:coreProperties>
</file>