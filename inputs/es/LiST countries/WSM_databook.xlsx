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F1E69640-1CE6-4BCF-ACC2-2F0C1AB15153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A35" i="2"/>
  <c r="A22" i="2"/>
  <c r="A24" i="2"/>
  <c r="A31" i="2"/>
  <c r="A36" i="2"/>
  <c r="I4" i="2"/>
  <c r="I8" i="2"/>
  <c r="I12" i="2"/>
  <c r="A25" i="2"/>
  <c r="A26" i="2"/>
  <c r="I39" i="2"/>
  <c r="A34" i="2"/>
  <c r="A40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<sst xmlns="http://schemas.openxmlformats.org/spreadsheetml/2006/main" count="2159" uniqueCount="372">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</sst>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26870</v>
      </c>
    </row>
    <row r="8" spans="1:3" ht="15" customHeight="1" x14ac:dyDescent="0.25">
      <c r="B8" s="5" t="s">
        <v>63</v>
      </c>
      <c r="C8" s="44">
        <v>1.0999999999999999E-2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0.81079986572265594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3.4700000000000002E-2</v>
      </c>
    </row>
    <row r="24" spans="1:3" ht="15" customHeight="1" x14ac:dyDescent="0.25">
      <c r="B24" s="15" t="s">
        <v>65</v>
      </c>
      <c r="C24" s="45">
        <v>0.47039999999999998</v>
      </c>
    </row>
    <row r="25" spans="1:3" ht="15" customHeight="1" x14ac:dyDescent="0.25">
      <c r="B25" s="15" t="s">
        <v>66</v>
      </c>
      <c r="C25" s="45">
        <v>0.44009999999999999</v>
      </c>
    </row>
    <row r="26" spans="1:3" ht="15" customHeight="1" x14ac:dyDescent="0.25">
      <c r="B26" s="15" t="s">
        <v>67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6.5631199999999996</v>
      </c>
    </row>
    <row r="38" spans="1:5" ht="15" customHeight="1" x14ac:dyDescent="0.25">
      <c r="B38" s="11" t="s">
        <v>54</v>
      </c>
      <c r="C38" s="43">
        <v>14.3725</v>
      </c>
      <c r="D38" s="12"/>
      <c r="E38" s="13"/>
    </row>
    <row r="39" spans="1:5" ht="15" customHeight="1" x14ac:dyDescent="0.25">
      <c r="B39" s="11" t="s">
        <v>80</v>
      </c>
      <c r="C39" s="43">
        <v>16.718489999999999</v>
      </c>
      <c r="D39" s="12"/>
      <c r="E39" s="12"/>
    </row>
    <row r="40" spans="1:5" ht="15" customHeight="1" x14ac:dyDescent="0.25">
      <c r="B40" s="11" t="s">
        <v>55</v>
      </c>
      <c r="C40" s="100">
        <v>0.59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6.1190999999999997E-3</v>
      </c>
      <c r="D45" s="12"/>
    </row>
    <row r="46" spans="1:5" ht="15.75" customHeight="1" x14ac:dyDescent="0.25">
      <c r="B46" s="11" t="s">
        <v>70</v>
      </c>
      <c r="C46" s="45">
        <v>6.5748799999999996E-2</v>
      </c>
      <c r="D46" s="12"/>
    </row>
    <row r="47" spans="1:5" ht="15.75" customHeight="1" x14ac:dyDescent="0.25">
      <c r="B47" s="11" t="s">
        <v>78</v>
      </c>
      <c r="C47" s="45">
        <v>7.5182200000000005E-2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0.57259000000000004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vrmYuz287PLOOsyIK1j291/9Gq9dOQL24j3I1GXO+jtFWDRZcDf9SXOeK9g9JggeBiI7hCHMqK8fTplfh+mqw==" saltValue="CWsHyuqRC/c1+mwCjFS9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5444</v>
      </c>
      <c r="C2" s="49">
        <v>10751</v>
      </c>
      <c r="D2" s="49">
        <v>15079.5</v>
      </c>
      <c r="E2" s="49">
        <v>12395</v>
      </c>
      <c r="F2" s="49">
        <v>10020</v>
      </c>
      <c r="G2" s="17">
        <f t="shared" ref="G2:G13" si="0">C2+D2+E2+F2</f>
        <v>48245.5</v>
      </c>
      <c r="H2" s="17">
        <f t="shared" ref="H2:H13" si="1">(B2 + stillbirth*B2/(1000-stillbirth))/(1-abortion)</f>
        <v>6233.8462824508997</v>
      </c>
      <c r="I2" s="17">
        <f t="shared" ref="I2:I13" si="2">G2-H2</f>
        <v>42011.653717549103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5400</v>
      </c>
      <c r="C3" s="50">
        <v>11233</v>
      </c>
      <c r="D3" s="50">
        <v>15103</v>
      </c>
      <c r="E3" s="50">
        <v>12378.499999999998</v>
      </c>
      <c r="F3" s="50">
        <v>10097.5</v>
      </c>
      <c r="G3" s="17">
        <f t="shared" si="0"/>
        <v>48812</v>
      </c>
      <c r="H3" s="17">
        <f t="shared" si="1"/>
        <v>6183.4625138197753</v>
      </c>
      <c r="I3" s="17">
        <f t="shared" si="2"/>
        <v>42628.537486180227</v>
      </c>
    </row>
    <row r="4" spans="1:9" ht="15.75" customHeight="1" x14ac:dyDescent="0.25">
      <c r="A4" s="5">
        <f t="shared" si="3"/>
        <v>2026</v>
      </c>
      <c r="B4" s="49">
        <v>5373</v>
      </c>
      <c r="C4" s="50">
        <v>11698.5</v>
      </c>
      <c r="D4" s="50">
        <v>15221</v>
      </c>
      <c r="E4" s="50">
        <v>12376.000000000002</v>
      </c>
      <c r="F4" s="50">
        <v>10179.5</v>
      </c>
      <c r="G4" s="17">
        <f t="shared" si="0"/>
        <v>49475</v>
      </c>
      <c r="H4" s="17">
        <f t="shared" si="1"/>
        <v>6152.5452012506767</v>
      </c>
      <c r="I4" s="17">
        <f t="shared" si="2"/>
        <v>43322.454798749321</v>
      </c>
    </row>
    <row r="5" spans="1:9" ht="15.75" customHeight="1" x14ac:dyDescent="0.25">
      <c r="A5" s="5">
        <f t="shared" si="3"/>
        <v>2027</v>
      </c>
      <c r="B5" s="49">
        <v>5376</v>
      </c>
      <c r="C5" s="50">
        <v>12219</v>
      </c>
      <c r="D5" s="50">
        <v>15468.499999999998</v>
      </c>
      <c r="E5" s="50">
        <v>12314</v>
      </c>
      <c r="F5" s="50">
        <v>10251.999999999998</v>
      </c>
      <c r="G5" s="17">
        <f t="shared" si="0"/>
        <v>50253.5</v>
      </c>
      <c r="H5" s="17">
        <f t="shared" si="1"/>
        <v>6155.9804582027991</v>
      </c>
      <c r="I5" s="17">
        <f t="shared" si="2"/>
        <v>44097.519541797199</v>
      </c>
    </row>
    <row r="6" spans="1:9" ht="15.75" customHeight="1" x14ac:dyDescent="0.25">
      <c r="A6" s="5">
        <f t="shared" si="3"/>
        <v>2028</v>
      </c>
      <c r="B6" s="49">
        <v>5402</v>
      </c>
      <c r="C6" s="50">
        <v>12660.5</v>
      </c>
      <c r="D6" s="50">
        <v>15959</v>
      </c>
      <c r="E6" s="50">
        <v>12163</v>
      </c>
      <c r="F6" s="50">
        <v>10276</v>
      </c>
      <c r="G6" s="17">
        <f t="shared" si="0"/>
        <v>51058.5</v>
      </c>
      <c r="H6" s="17">
        <f t="shared" si="1"/>
        <v>6185.7526851211896</v>
      </c>
      <c r="I6" s="17">
        <f t="shared" si="2"/>
        <v>44872.747314878812</v>
      </c>
    </row>
    <row r="7" spans="1:9" ht="15.75" customHeight="1" x14ac:dyDescent="0.25">
      <c r="A7" s="5">
        <f t="shared" si="3"/>
        <v>2029</v>
      </c>
      <c r="B7" s="49">
        <v>5456</v>
      </c>
      <c r="C7" s="50">
        <v>12937</v>
      </c>
      <c r="D7" s="50">
        <v>16620</v>
      </c>
      <c r="E7" s="50">
        <v>11998.999999999998</v>
      </c>
      <c r="F7" s="50">
        <v>10241.5</v>
      </c>
      <c r="G7" s="17">
        <f t="shared" si="0"/>
        <v>51797.5</v>
      </c>
      <c r="H7" s="17">
        <f t="shared" si="1"/>
        <v>6247.5873102593878</v>
      </c>
      <c r="I7" s="17">
        <f t="shared" si="2"/>
        <v>45549.912689740609</v>
      </c>
    </row>
    <row r="8" spans="1:9" ht="15.75" customHeight="1" x14ac:dyDescent="0.25">
      <c r="A8" s="5">
        <f t="shared" si="3"/>
        <v>2030</v>
      </c>
      <c r="B8" s="49">
        <v>5525</v>
      </c>
      <c r="C8" s="50">
        <v>13141</v>
      </c>
      <c r="D8" s="50">
        <v>17330</v>
      </c>
      <c r="E8" s="50">
        <v>11807.500000000002</v>
      </c>
      <c r="F8" s="50">
        <v>10243.500000000002</v>
      </c>
      <c r="G8" s="17">
        <f t="shared" si="0"/>
        <v>52522</v>
      </c>
      <c r="H8" s="17">
        <f t="shared" si="1"/>
        <v>6326.5982201581965</v>
      </c>
      <c r="I8" s="17">
        <f t="shared" si="2"/>
        <v>46195.401779841806</v>
      </c>
    </row>
    <row r="9" spans="1:9" ht="15.75" customHeight="1" x14ac:dyDescent="0.25">
      <c r="A9" s="5">
        <f t="shared" si="3"/>
        <v>2031</v>
      </c>
      <c r="B9" s="49">
        <v>5604</v>
      </c>
      <c r="C9" s="50">
        <v>13246</v>
      </c>
      <c r="D9" s="50">
        <v>18192</v>
      </c>
      <c r="E9" s="50">
        <v>11591.999999999998</v>
      </c>
      <c r="F9" s="50">
        <v>10294.5</v>
      </c>
      <c r="G9" s="17">
        <f t="shared" si="0"/>
        <v>53324.5</v>
      </c>
      <c r="H9" s="17">
        <f t="shared" si="1"/>
        <v>6417.0599865640779</v>
      </c>
      <c r="I9" s="17">
        <f t="shared" si="2"/>
        <v>46907.440013435924</v>
      </c>
    </row>
    <row r="10" spans="1:9" ht="15.75" customHeight="1" x14ac:dyDescent="0.25">
      <c r="A10" s="5">
        <f t="shared" si="3"/>
        <v>2032</v>
      </c>
      <c r="B10" s="49">
        <v>5703</v>
      </c>
      <c r="C10" s="50">
        <v>13277.5</v>
      </c>
      <c r="D10" s="50">
        <v>19187.5</v>
      </c>
      <c r="E10" s="50">
        <v>11350</v>
      </c>
      <c r="F10" s="50">
        <v>10389.5</v>
      </c>
      <c r="G10" s="17">
        <f t="shared" si="0"/>
        <v>54204.5</v>
      </c>
      <c r="H10" s="17">
        <f t="shared" si="1"/>
        <v>6530.4234659841077</v>
      </c>
      <c r="I10" s="17">
        <f t="shared" si="2"/>
        <v>47674.076534015891</v>
      </c>
    </row>
    <row r="11" spans="1:9" ht="15.75" customHeight="1" x14ac:dyDescent="0.25">
      <c r="A11" s="5">
        <f t="shared" si="3"/>
        <v>2033</v>
      </c>
      <c r="B11" s="49">
        <v>5800</v>
      </c>
      <c r="C11" s="50">
        <v>13310.5</v>
      </c>
      <c r="D11" s="50">
        <v>20123.5</v>
      </c>
      <c r="E11" s="50">
        <v>11223</v>
      </c>
      <c r="F11" s="50">
        <v>10438.5</v>
      </c>
      <c r="G11" s="17">
        <f t="shared" si="0"/>
        <v>55095.5</v>
      </c>
      <c r="H11" s="17">
        <f t="shared" si="1"/>
        <v>6641.4967741027212</v>
      </c>
      <c r="I11" s="17">
        <f t="shared" si="2"/>
        <v>48454.003225897279</v>
      </c>
    </row>
    <row r="12" spans="1:9" ht="15.75" customHeight="1" x14ac:dyDescent="0.25">
      <c r="A12" s="5">
        <f t="shared" si="3"/>
        <v>2034</v>
      </c>
      <c r="B12" s="49">
        <v>5904</v>
      </c>
      <c r="C12" s="50">
        <v>13312</v>
      </c>
      <c r="D12" s="50">
        <v>20931.5</v>
      </c>
      <c r="E12" s="50">
        <v>11259</v>
      </c>
      <c r="F12" s="50">
        <v>10429</v>
      </c>
      <c r="G12" s="17">
        <f t="shared" si="0"/>
        <v>55931.5</v>
      </c>
      <c r="H12" s="17">
        <f t="shared" si="1"/>
        <v>6760.5856817762879</v>
      </c>
      <c r="I12" s="17">
        <f t="shared" si="2"/>
        <v>49170.914318223709</v>
      </c>
    </row>
    <row r="13" spans="1:9" ht="15.75" customHeight="1" x14ac:dyDescent="0.25">
      <c r="A13" s="5">
        <f t="shared" si="3"/>
        <v>2035</v>
      </c>
      <c r="B13" s="49">
        <v>6003</v>
      </c>
      <c r="C13" s="50">
        <v>13227.5</v>
      </c>
      <c r="D13" s="50">
        <v>21662.5</v>
      </c>
      <c r="E13" s="50">
        <v>11349.499999999998</v>
      </c>
      <c r="F13" s="50">
        <v>10446.5</v>
      </c>
      <c r="G13" s="17">
        <f t="shared" si="0"/>
        <v>56686</v>
      </c>
      <c r="H13" s="17">
        <f t="shared" si="1"/>
        <v>6873.9491611963167</v>
      </c>
      <c r="I13" s="17">
        <f t="shared" si="2"/>
        <v>49812.050838803683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3l0dc99lOwX+8EG/o9a/HDYekmNabRhOZBEKV9o4TIVbNUCLRi6CGPl1O9RoISqWXE1Cagp7VFT1GjpAauGAA==" saltValue="jCIA5OA9LUD/oL7170x9y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7.2663600000000161E-2</v>
      </c>
    </row>
    <row r="5" spans="1:8" ht="15.75" customHeight="1" x14ac:dyDescent="0.25">
      <c r="B5" s="19" t="s">
        <v>114</v>
      </c>
      <c r="C5" s="101">
        <v>3.2022400000000013E-2</v>
      </c>
    </row>
    <row r="6" spans="1:8" ht="15.75" customHeight="1" x14ac:dyDescent="0.25">
      <c r="B6" s="19" t="s">
        <v>110</v>
      </c>
      <c r="C6" s="101">
        <v>0.18112940000000011</v>
      </c>
    </row>
    <row r="7" spans="1:8" ht="15.75" customHeight="1" x14ac:dyDescent="0.25">
      <c r="B7" s="19" t="s">
        <v>115</v>
      </c>
      <c r="C7" s="101">
        <v>0.43143469999999928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0.18141010000000021</v>
      </c>
    </row>
    <row r="10" spans="1:8" ht="15.75" customHeight="1" x14ac:dyDescent="0.25">
      <c r="B10" s="19" t="s">
        <v>113</v>
      </c>
      <c r="C10" s="101">
        <v>0.1013398000000002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121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2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109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118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4.7837044999999988E-2</v>
      </c>
    </row>
    <row r="27" spans="1:8" ht="15.75" customHeight="1" x14ac:dyDescent="0.25">
      <c r="B27" s="19" t="s">
        <v>108</v>
      </c>
      <c r="C27" s="101">
        <v>1.836863E-2</v>
      </c>
    </row>
    <row r="28" spans="1:8" ht="15.75" customHeight="1" x14ac:dyDescent="0.25">
      <c r="B28" s="19" t="s">
        <v>122</v>
      </c>
      <c r="C28" s="101">
        <v>0.231175139</v>
      </c>
    </row>
    <row r="29" spans="1:8" ht="15.75" customHeight="1" x14ac:dyDescent="0.25">
      <c r="B29" s="19" t="s">
        <v>105</v>
      </c>
      <c r="C29" s="101">
        <v>0.138527135</v>
      </c>
    </row>
    <row r="30" spans="1:8" ht="15.75" customHeight="1" x14ac:dyDescent="0.25">
      <c r="B30" s="19" t="s">
        <v>4</v>
      </c>
      <c r="C30" s="101">
        <v>4.9111505E-2</v>
      </c>
    </row>
    <row r="31" spans="1:8" ht="15.75" customHeight="1" x14ac:dyDescent="0.25">
      <c r="B31" s="19" t="s">
        <v>99</v>
      </c>
      <c r="C31" s="101">
        <v>6.9658183999999998E-2</v>
      </c>
    </row>
    <row r="32" spans="1:8" ht="15.75" customHeight="1" x14ac:dyDescent="0.25">
      <c r="B32" s="19" t="s">
        <v>104</v>
      </c>
      <c r="C32" s="101">
        <v>0.14941447299999999</v>
      </c>
    </row>
    <row r="33" spans="2:3" ht="15.75" customHeight="1" x14ac:dyDescent="0.25">
      <c r="B33" s="19" t="s">
        <v>119</v>
      </c>
      <c r="C33" s="101">
        <v>0.122223571</v>
      </c>
    </row>
    <row r="34" spans="2:3" ht="15.75" customHeight="1" x14ac:dyDescent="0.25">
      <c r="B34" s="19" t="s">
        <v>106</v>
      </c>
      <c r="C34" s="101">
        <v>0.173684317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bRdRobZC45EuUJhUg0Hl88DoL0KP3fpFl9Pss/kcxCi5M68iGqqbSkD/kF+FIW7CSNRrQLgP++qmpXeFTeFX0w==" saltValue="Xst/pU391qBYPxbNWD3W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129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125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126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138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2HoXbG+YBeenlst+O1JzmqnAUj+jJkRjzkSlON+UCOTslU5MNOlvsbg8x2ROOKOABlAuQXdjHc8yrQVck8eBQ==" saltValue="6QzblqnS5SaE5vkovPaf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p0eJvw1T696IpY5ySdgxUOw6lZ+ZeA7hiIs7zBLoH70RdBtTCM3gtt6mYYELqeiTdQoUNhkyuh7WSdflI7ataw==" saltValue="mQCP/bQ5duipyQ8lnndO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56oGZTaewensXuHbY55pqO8eR/Jjc0DBe80mPdb7RN2oQIs5W2KfzImuGzmME0uoY9uICIGiu1Y8whKYe21lg==" saltValue="JUqDVKe6tuFZsaUq0HUOS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3745.5603674631302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0.41102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0.44403999999999999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1.5164553535832142E-2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98795.523879999993</v>
      </c>
      <c r="C22" s="109">
        <v>98616.626480000006</v>
      </c>
      <c r="D22" s="109">
        <v>98448.280549999996</v>
      </c>
      <c r="E22" s="109">
        <v>98027.963820000004</v>
      </c>
      <c r="F22" s="109">
        <v>97282.981140000004</v>
      </c>
      <c r="G22" s="109">
        <v>96369.177590000007</v>
      </c>
      <c r="H22" s="109">
        <v>95232.656879999995</v>
      </c>
      <c r="I22" s="109">
        <v>93732.445389999993</v>
      </c>
      <c r="J22" s="109">
        <v>91606.786500000002</v>
      </c>
      <c r="K22" s="109">
        <v>88546.744749999998</v>
      </c>
      <c r="L22" s="109">
        <v>84224.197490000006</v>
      </c>
      <c r="M22" s="109">
        <v>78261.861390000005</v>
      </c>
      <c r="N22" s="109">
        <v>70276.234450000004</v>
      </c>
      <c r="O22" s="109">
        <v>60248.059719999997</v>
      </c>
    </row>
  </sheetData>
  <sheetProtection algorithmName="SHA-512" hashValue="Ztt1vkuocqjNiVXdYwbT6rvFYZRskUPNUoYQ0F6+0vDDN0U3RjkDZOGt705C2l9ZKu1mO88ERoZsnp7aWkBdzA==" saltValue="cyMLRK8RXeKrzlP+9Rd59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yuLmbuUTTqVqF+o2NBl/lhsQ92GFHX/acdBYkiY1yNf0dY/i2Kh8Xb6o1EWY9vMC4kjOsyPAmUM9ZFdUyQCxdQ==" saltValue="TUkDU/xkP00Ukt4JT8Zth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ePR6S/ZdOfy4u07cmUICuKIVtDptCWeRZNWnuMI7l9Bc4hzLIR1JZNNyBjjcHUj36TTjTWtNitSqjZiA7EUKXQ==" saltValue="vi5VH+YvnVcx36tn+L1yD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1.1645825935762411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1.1113E-2</v>
      </c>
      <c r="C10" s="98">
        <v>0.95</v>
      </c>
      <c r="D10" s="56">
        <v>12.99613066460511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12.99613066460511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12.99613066460511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12.99613066460511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1.1113E-2</v>
      </c>
      <c r="C14" s="98">
        <v>0.95</v>
      </c>
      <c r="D14" s="56">
        <v>12.99613066460511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12.99613066460511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0.50451279999999998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0.50451279999999998</v>
      </c>
      <c r="C19" s="98">
        <v>0.95</v>
      </c>
      <c r="D19" s="56">
        <v>9.2940558205318631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4.2693071752319298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0.62744799530607998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1.1113E-2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0.58558969999999999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0.2004783</v>
      </c>
      <c r="C29" s="98">
        <v>0.95</v>
      </c>
      <c r="D29" s="56">
        <v>111.9883457710268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0.7196437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0.1203943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1.57512E-2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0.88436999999999999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0.33004980000000012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LuzjiVckU3+lg5Y5nNMh4eD28gbWv9L1vMxggMDuJXYlEjJ5djtcAcy14AXfFPy69uUdkVs+kddRckSAo0m/pQ==" saltValue="zEmxDV1hQjjRAyy3GP1Z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xR2r9TtzJoSlepETFL7intOEWQv/nWQhMl1/w0qO85sfqCxSU1a1uVOH2iZ/4mH0h48mt4afqSv3yPookJ20Q==" saltValue="mbKhgIopoPv4PadZOUbp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4z9OdzHzrL6qjxvGPZYdv2A2kqR3fpqXZ6NcIpuPv+RmT5Zuiie0SiV/fITbQer2kGd8qiVNTlWAv70wGJVHw==" saltValue="Nu1jaO6ji2fr+dwff7mf7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236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TS5UKg9IxAGR256VUvmyeUgeHnri64AIiDA/xCem5uqqkda9h48eGfECrvQK5BaKRYf1hDqItfzqGgfyGYch4Q==" saltValue="Uwdh8fXPrJg4jB6kTOGgx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1.0999999999999999E-2</v>
      </c>
      <c r="F2" s="60">
        <f>food_insecure</f>
        <v>1.0999999999999999E-2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1.0999999999999999E-2</v>
      </c>
      <c r="I15" s="60">
        <f t="shared" si="0"/>
        <v>1.0999999999999999E-2</v>
      </c>
      <c r="J15" s="60">
        <f t="shared" si="0"/>
        <v>1.0999999999999999E-2</v>
      </c>
      <c r="K15" s="60">
        <f t="shared" si="0"/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1.0999999999999999E-2</v>
      </c>
      <c r="I16" s="60">
        <f t="shared" si="0"/>
        <v>1.0999999999999999E-2</v>
      </c>
      <c r="J16" s="60">
        <f t="shared" si="0"/>
        <v>1.0999999999999999E-2</v>
      </c>
      <c r="K16" s="60">
        <f t="shared" si="0"/>
        <v>1.0999999999999999E-2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VUK/tsU1yMEllYMunlfLI3m2ekgcKvjg9ADUQT8vBHYKA/pL6rSTSbgayXMd7IkehBt2ue307TcU9Cu5vE+tw==" saltValue="jocdy1ybhMUo2JlZw19OF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XDEJflZeKsalIf9Scxnd5ypAsTTq04Tp0ixI2ooM2nbDu68GsnEX50FB10Wd8eF+AbncgXrZK2liiwc35KTXAw==" saltValue="kONEFnkoSxtHuHukj3GoB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DL+YtzxVzGK7Y+lecpkqgemHx9rqf7vb5Ay5+/Z55w+cysK806Y/Q6PV2CbR+8PiETHXdyH1bLUXGNam9E7FQ==" saltValue="wyWC6Lmt/5YA2omRy/JAg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SmP8Oe97MrbqyNmnmxEq9d/uJE79dOR/Nu8EXjh53dAM0mmCavqrAm7zkhGudBLBMVOFlJgvTLnG6t9bah1VQ==" saltValue="WZRolBMtiMIld5pCPKCVU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dEZJMUJxSBL7Lg+xzzxPrDuerRbvzC28KfSG3WP8QJiT9tuKESm9ie7t9phhEmN1XDEHYbGkTJsRx5R8dDv9ng==" saltValue="gUfn07ITVEz0dQfNeYS35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VTuwpfhHY53bTWzFuSqnrw23yzsEJ43LXsLExd1SkanwxTDhyN0+MuLlFOpIHGKhlbJxS3nDRPDTY1DxHZmkIA==" saltValue="/n7Wx1eeb6UKYe540T5VQ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uCwyqekAoOmFgBVoLbEsz2mZL1GEno+RbNaclU5NPAnbkXc/cpGP0FfDnuHT3Hl3aThZL8QOD3UzO0NzDWotg==" saltValue="dZileRWgHKq+AJCjWmJOR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z1aJ7LhUe3tNxaiExGzhZkmQiA0MkJN30GtJ3e6UyiHOWdz6OPHicHnIpqDpIxWY4PPBEoZSBb4s6K7uzYjAYA==" saltValue="leG9z09cA207HV+1apBW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9SDOn870Jl+aZc6O4mjRCvJeUZ/o6HKkP0TYuaVAspGGvFJwpZXA5Br2VonWcIQef43Fx6EQHQjqD5p7OtVExg==" saltValue="6GFBPSqdzOVHyHMfwASg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epnGVZyL5J1wrqBbLp6SJRF5VkvvVYOuhjSk3HzG5XT/fXbtg8ETwFjdLtmEsGxTd3h2VRVX1NNgURFkYBLAQ==" saltValue="gJwW0Nd796hhMrlpmK/x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2gPBo1rVPKgwwD9+7Wep5/AY4kw5JSnG9WQKMt8zlD9/lHZuKto5RQRNeQuKhX70gV/8dkAnWNRAhJNWwwhjQ==" saltValue="OSFxg8mqPljNe2PcF0ZS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AR091PecWt1FtJlFC82dL4CgRAdorPXYGgbfVzfK454XH7ZZUsjofmzwjHZPJzBgi/CFRfyFpQcPBqborzHMg==" saltValue="kN8Vkhqq0xB2I48G1bv0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CO5U6ZZ7P/qjK8obgjNzoovj5hOpduVpuWhimWn/QLupqasZ/ss9aoLxVdVls+0XiOmrmlZ38s5ZhPdvhZnJQ==" saltValue="xh/4nv6kO44NpbiWrja7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j3JsXcEg1st8hUI2zE4Z9rb3S/mQjyjk1pBMkDoWgBSZq2ExgU3Ubsb37X5tynHpiwvTDyMLhfkTZ2FwqaMIw==" saltValue="V4v58MkgBZQRTfAv9VSa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Y6RIrPATSaLEGTk15QSsXfRl/Yv3chrpDJx3cKYZ6Qy5ZGqylTVyr4OovFtJpl2PtPeDivJKEEfqNiaeqdgEg==" saltValue="x5Ca7Dy7goMoSbGiHSMq/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