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956F817-E78F-4100-8BED-F953EEE27E8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8" i="2" l="1"/>
  <c r="A15" i="2"/>
  <c r="A31" i="2"/>
  <c r="A16" i="2"/>
  <c r="A32" i="2"/>
  <c r="A17" i="2"/>
  <c r="A33" i="2"/>
  <c r="A20" i="2"/>
  <c r="A36" i="2"/>
  <c r="A23" i="2"/>
  <c r="A24" i="2"/>
  <c r="A3" i="2"/>
  <c r="A18" i="2"/>
  <c r="A26" i="2"/>
  <c r="A34" i="2"/>
  <c r="A39" i="2"/>
  <c r="A19" i="2"/>
  <c r="A27" i="2"/>
  <c r="A35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<sst xmlns="http://schemas.openxmlformats.org/spreadsheetml/2006/main" count="2101" uniqueCount="341">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</sst>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370044.08984375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0.64993591308593812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3.5799999999999998E-2</v>
      </c>
    </row>
    <row r="24" spans="1:3" ht="15" customHeight="1" x14ac:dyDescent="0.25">
      <c r="B24" s="15" t="s">
        <v>46</v>
      </c>
      <c r="C24" s="45">
        <v>0.50009999999999999</v>
      </c>
    </row>
    <row r="25" spans="1:3" ht="15" customHeight="1" x14ac:dyDescent="0.25">
      <c r="B25" s="15" t="s">
        <v>47</v>
      </c>
      <c r="C25" s="45">
        <v>0.41830000000000001</v>
      </c>
    </row>
    <row r="26" spans="1:3" ht="15" customHeight="1" x14ac:dyDescent="0.25">
      <c r="B26" s="15" t="s">
        <v>48</v>
      </c>
      <c r="C26" s="45">
        <v>4.58E-2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0.34453989050682299</v>
      </c>
    </row>
    <row r="30" spans="1:3" ht="14.25" customHeight="1" x14ac:dyDescent="0.25">
      <c r="B30" s="25" t="s">
        <v>63</v>
      </c>
      <c r="C30" s="99">
        <v>4.9975046177627103E-2</v>
      </c>
    </row>
    <row r="31" spans="1:3" ht="14.25" customHeight="1" x14ac:dyDescent="0.25">
      <c r="B31" s="25" t="s">
        <v>10</v>
      </c>
      <c r="C31" s="99">
        <v>6.4980512501330898E-2</v>
      </c>
    </row>
    <row r="32" spans="1:3" ht="14.25" customHeight="1" x14ac:dyDescent="0.25">
      <c r="B32" s="25" t="s">
        <v>11</v>
      </c>
      <c r="C32" s="99">
        <v>0.540504550814219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4.7846799999999998</v>
      </c>
    </row>
    <row r="38" spans="1:5" ht="15" customHeight="1" x14ac:dyDescent="0.25">
      <c r="B38" s="11" t="s">
        <v>35</v>
      </c>
      <c r="C38" s="43">
        <v>7.0508600000000001</v>
      </c>
      <c r="D38" s="12"/>
      <c r="E38" s="13"/>
    </row>
    <row r="39" spans="1:5" ht="15" customHeight="1" x14ac:dyDescent="0.25">
      <c r="B39" s="11" t="s">
        <v>61</v>
      </c>
      <c r="C39" s="43">
        <v>8.2388399999999997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5.9434800000000001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7.4982E-3</v>
      </c>
      <c r="D45" s="12"/>
    </row>
    <row r="46" spans="1:5" ht="15.75" customHeight="1" x14ac:dyDescent="0.25">
      <c r="B46" s="11" t="s">
        <v>51</v>
      </c>
      <c r="C46" s="45">
        <v>7.9942600000000003E-2</v>
      </c>
      <c r="D46" s="12"/>
    </row>
    <row r="47" spans="1:5" ht="15.75" customHeight="1" x14ac:dyDescent="0.25">
      <c r="B47" s="11" t="s">
        <v>59</v>
      </c>
      <c r="C47" s="45">
        <v>5.4437800000000001E-2</v>
      </c>
      <c r="D47" s="12"/>
      <c r="E47" s="13"/>
    </row>
    <row r="48" spans="1:5" ht="15" customHeight="1" x14ac:dyDescent="0.25">
      <c r="B48" s="11" t="s">
        <v>58</v>
      </c>
      <c r="C48" s="46">
        <v>0.85812140000000003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0.60774699999999993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9.2394466000000008E-2</v>
      </c>
    </row>
    <row r="63" spans="1:4" ht="15.75" customHeight="1" x14ac:dyDescent="0.3">
      <c r="A63" s="4"/>
    </row>
  </sheetData>
  <sheetProtection algorithmName="SHA-512" hashValue="nclPpr5aCG0GeZ3/uc9OEFceqkdU/BzPa0p06wh9DcgPh+YT6yQbkL8QBI5AN4rMT/H8ccsX41or6DsrANXEiA==" saltValue="PwYalsCZB5W301IVF1zc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70456</v>
      </c>
      <c r="C2" s="49">
        <v>282210</v>
      </c>
      <c r="D2" s="49">
        <v>338719.5</v>
      </c>
      <c r="E2" s="49">
        <v>320445.5</v>
      </c>
      <c r="F2" s="49">
        <v>299199.5</v>
      </c>
      <c r="G2" s="17">
        <f t="shared" ref="G2:G13" si="0">C2+D2+E2+F2</f>
        <v>1240574.5</v>
      </c>
      <c r="H2" s="17">
        <f t="shared" ref="H2:H13" si="1">(B2 + stillbirth*B2/(1000-stillbirth))/(1-abortion)</f>
        <v>80542.338139521846</v>
      </c>
      <c r="I2" s="17">
        <f t="shared" ref="I2:I13" si="2">G2-H2</f>
        <v>1160032.1618604781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65661</v>
      </c>
      <c r="C3" s="50">
        <v>285232</v>
      </c>
      <c r="D3" s="50">
        <v>316999.5</v>
      </c>
      <c r="E3" s="50">
        <v>300684.5</v>
      </c>
      <c r="F3" s="50">
        <v>294000</v>
      </c>
      <c r="G3" s="17">
        <f t="shared" si="0"/>
        <v>1196916</v>
      </c>
      <c r="H3" s="17">
        <f t="shared" si="1"/>
        <v>75060.895659406495</v>
      </c>
      <c r="I3" s="17">
        <f t="shared" si="2"/>
        <v>1121855.1043405936</v>
      </c>
    </row>
    <row r="4" spans="1:9" ht="15.75" customHeight="1" x14ac:dyDescent="0.25">
      <c r="A4" s="5">
        <f t="shared" si="3"/>
        <v>2026</v>
      </c>
      <c r="B4" s="49">
        <v>61647</v>
      </c>
      <c r="C4" s="50">
        <v>289738.5</v>
      </c>
      <c r="D4" s="50">
        <v>301010</v>
      </c>
      <c r="E4" s="50">
        <v>282039</v>
      </c>
      <c r="F4" s="50">
        <v>288163.5</v>
      </c>
      <c r="G4" s="17">
        <f t="shared" si="0"/>
        <v>1160951</v>
      </c>
      <c r="H4" s="17">
        <f t="shared" si="1"/>
        <v>70472.259556135788</v>
      </c>
      <c r="I4" s="17">
        <f t="shared" si="2"/>
        <v>1090478.7404438641</v>
      </c>
    </row>
    <row r="5" spans="1:9" ht="15.75" customHeight="1" x14ac:dyDescent="0.25">
      <c r="A5" s="5">
        <f t="shared" si="3"/>
        <v>2027</v>
      </c>
      <c r="B5" s="49">
        <v>58319</v>
      </c>
      <c r="C5" s="50">
        <v>294804.99999999988</v>
      </c>
      <c r="D5" s="50">
        <v>292462</v>
      </c>
      <c r="E5" s="50">
        <v>265322.5</v>
      </c>
      <c r="F5" s="50">
        <v>281739</v>
      </c>
      <c r="G5" s="17">
        <f t="shared" si="0"/>
        <v>1134328.5</v>
      </c>
      <c r="H5" s="17">
        <f t="shared" si="1"/>
        <v>66667.829822283049</v>
      </c>
      <c r="I5" s="17">
        <f t="shared" si="2"/>
        <v>1067660.670177717</v>
      </c>
    </row>
    <row r="6" spans="1:9" ht="15.75" customHeight="1" x14ac:dyDescent="0.25">
      <c r="A6" s="5">
        <f t="shared" si="3"/>
        <v>2028</v>
      </c>
      <c r="B6" s="49">
        <v>56139</v>
      </c>
      <c r="C6" s="50">
        <v>299002</v>
      </c>
      <c r="D6" s="50">
        <v>291184</v>
      </c>
      <c r="E6" s="50">
        <v>250329</v>
      </c>
      <c r="F6" s="50">
        <v>274759.5</v>
      </c>
      <c r="G6" s="17">
        <f t="shared" si="0"/>
        <v>1115274.5</v>
      </c>
      <c r="H6" s="17">
        <f t="shared" si="1"/>
        <v>64175.745441333842</v>
      </c>
      <c r="I6" s="17">
        <f t="shared" si="2"/>
        <v>1051098.7545586661</v>
      </c>
    </row>
    <row r="7" spans="1:9" ht="15.75" customHeight="1" x14ac:dyDescent="0.25">
      <c r="A7" s="5">
        <f t="shared" si="3"/>
        <v>2029</v>
      </c>
      <c r="B7" s="49">
        <v>54688</v>
      </c>
      <c r="C7" s="50">
        <v>300760</v>
      </c>
      <c r="D7" s="50">
        <v>295872.5</v>
      </c>
      <c r="E7" s="50">
        <v>236395.5</v>
      </c>
      <c r="F7" s="50">
        <v>267203.5</v>
      </c>
      <c r="G7" s="17">
        <f t="shared" si="0"/>
        <v>1100231.5</v>
      </c>
      <c r="H7" s="17">
        <f t="shared" si="1"/>
        <v>62517.023222637828</v>
      </c>
      <c r="I7" s="17">
        <f t="shared" si="2"/>
        <v>1037714.4767773622</v>
      </c>
    </row>
    <row r="8" spans="1:9" ht="15.75" customHeight="1" x14ac:dyDescent="0.25">
      <c r="A8" s="5">
        <f t="shared" si="3"/>
        <v>2030</v>
      </c>
      <c r="B8" s="49">
        <v>54038</v>
      </c>
      <c r="C8" s="50">
        <v>299066.5</v>
      </c>
      <c r="D8" s="50">
        <v>306469</v>
      </c>
      <c r="E8" s="50">
        <v>223838</v>
      </c>
      <c r="F8" s="50">
        <v>259326.99999999991</v>
      </c>
      <c r="G8" s="17">
        <f t="shared" si="0"/>
        <v>1088700.5</v>
      </c>
      <c r="H8" s="17">
        <f t="shared" si="1"/>
        <v>61773.970540244714</v>
      </c>
      <c r="I8" s="17">
        <f t="shared" si="2"/>
        <v>1026926.5294597553</v>
      </c>
    </row>
    <row r="9" spans="1:9" ht="15.75" customHeight="1" x14ac:dyDescent="0.25">
      <c r="A9" s="5">
        <f t="shared" si="3"/>
        <v>2031</v>
      </c>
      <c r="B9" s="49">
        <v>54251</v>
      </c>
      <c r="C9" s="50">
        <v>293204.00000000012</v>
      </c>
      <c r="D9" s="50">
        <v>322344.5</v>
      </c>
      <c r="E9" s="50">
        <v>213103</v>
      </c>
      <c r="F9" s="50">
        <v>251300.5</v>
      </c>
      <c r="G9" s="17">
        <f t="shared" si="0"/>
        <v>1079952</v>
      </c>
      <c r="H9" s="17">
        <f t="shared" si="1"/>
        <v>62017.463188475078</v>
      </c>
      <c r="I9" s="17">
        <f t="shared" si="2"/>
        <v>1017934.5368115249</v>
      </c>
    </row>
    <row r="10" spans="1:9" ht="15.75" customHeight="1" x14ac:dyDescent="0.25">
      <c r="A10" s="5">
        <f t="shared" si="3"/>
        <v>2032</v>
      </c>
      <c r="B10" s="49">
        <v>54916</v>
      </c>
      <c r="C10" s="50">
        <v>282983.5</v>
      </c>
      <c r="D10" s="50">
        <v>342069.5</v>
      </c>
      <c r="E10" s="50">
        <v>204670</v>
      </c>
      <c r="F10" s="50">
        <v>243235.5</v>
      </c>
      <c r="G10" s="17">
        <f t="shared" si="0"/>
        <v>1072958.5</v>
      </c>
      <c r="H10" s="17">
        <f t="shared" si="1"/>
        <v>62777.663240461872</v>
      </c>
      <c r="I10" s="17">
        <f t="shared" si="2"/>
        <v>1010180.8367595382</v>
      </c>
    </row>
    <row r="11" spans="1:9" ht="15.75" customHeight="1" x14ac:dyDescent="0.25">
      <c r="A11" s="5">
        <f t="shared" si="3"/>
        <v>2033</v>
      </c>
      <c r="B11" s="49">
        <v>56091</v>
      </c>
      <c r="C11" s="50">
        <v>268404</v>
      </c>
      <c r="D11" s="50">
        <v>363723.5</v>
      </c>
      <c r="E11" s="50">
        <v>198991</v>
      </c>
      <c r="F11" s="50">
        <v>235201</v>
      </c>
      <c r="G11" s="17">
        <f t="shared" si="0"/>
        <v>1066319.5</v>
      </c>
      <c r="H11" s="17">
        <f t="shared" si="1"/>
        <v>64120.873858634041</v>
      </c>
      <c r="I11" s="17">
        <f t="shared" si="2"/>
        <v>1002198.626141366</v>
      </c>
    </row>
    <row r="12" spans="1:9" ht="15.75" customHeight="1" x14ac:dyDescent="0.25">
      <c r="A12" s="5">
        <f t="shared" si="3"/>
        <v>2034</v>
      </c>
      <c r="B12" s="49">
        <v>57599</v>
      </c>
      <c r="C12" s="50">
        <v>252906</v>
      </c>
      <c r="D12" s="50">
        <v>385509</v>
      </c>
      <c r="E12" s="50">
        <v>196599.5</v>
      </c>
      <c r="F12" s="50">
        <v>227298.5</v>
      </c>
      <c r="G12" s="17">
        <f t="shared" si="0"/>
        <v>1062313</v>
      </c>
      <c r="H12" s="17">
        <f t="shared" si="1"/>
        <v>65844.756081786065</v>
      </c>
      <c r="I12" s="17">
        <f t="shared" si="2"/>
        <v>996468.24391821399</v>
      </c>
    </row>
    <row r="13" spans="1:9" ht="15.75" customHeight="1" x14ac:dyDescent="0.25">
      <c r="A13" s="5">
        <f t="shared" si="3"/>
        <v>2035</v>
      </c>
      <c r="B13" s="49">
        <v>59616</v>
      </c>
      <c r="C13" s="50">
        <v>238810.5</v>
      </c>
      <c r="D13" s="50">
        <v>405859.5</v>
      </c>
      <c r="E13" s="50">
        <v>198086</v>
      </c>
      <c r="F13" s="50">
        <v>219727</v>
      </c>
      <c r="G13" s="17">
        <f t="shared" si="0"/>
        <v>1062483</v>
      </c>
      <c r="H13" s="17">
        <f t="shared" si="1"/>
        <v>68150.505713150531</v>
      </c>
      <c r="I13" s="17">
        <f t="shared" si="2"/>
        <v>994332.49428684951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ITBCn5uZzyDzpfHqG3sl6WtpP/uMhS9NNQF4nYeCCbNdXOGEZ74eWP1bt9ii8CNe9u0RjxR+zTNpa+pgTYw9g==" saltValue="CCnu5V24zsHEMTuqzwL6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5.6525200000000053E-2</v>
      </c>
    </row>
    <row r="5" spans="1:8" ht="15.75" customHeight="1" x14ac:dyDescent="0.25">
      <c r="B5" s="19" t="s">
        <v>95</v>
      </c>
      <c r="C5" s="101">
        <v>2.0757499999999939E-2</v>
      </c>
    </row>
    <row r="6" spans="1:8" ht="15.75" customHeight="1" x14ac:dyDescent="0.25">
      <c r="B6" s="19" t="s">
        <v>91</v>
      </c>
      <c r="C6" s="101">
        <v>0.1493135000000001</v>
      </c>
    </row>
    <row r="7" spans="1:8" ht="15.75" customHeight="1" x14ac:dyDescent="0.25">
      <c r="B7" s="19" t="s">
        <v>96</v>
      </c>
      <c r="C7" s="101">
        <v>0.40648640000000003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0.28011749999999969</v>
      </c>
    </row>
    <row r="10" spans="1:8" ht="15.75" customHeight="1" x14ac:dyDescent="0.25">
      <c r="B10" s="19" t="s">
        <v>94</v>
      </c>
      <c r="C10" s="101">
        <v>8.6799900000000124E-2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8.9097416942887971E-3</v>
      </c>
      <c r="D14" s="55">
        <v>8.9097416942887971E-3</v>
      </c>
      <c r="E14" s="55">
        <v>8.9097416942887971E-3</v>
      </c>
      <c r="F14" s="55">
        <v>8.9097416942887971E-3</v>
      </c>
    </row>
    <row r="15" spans="1:8" ht="15.75" customHeight="1" x14ac:dyDescent="0.25">
      <c r="B15" s="19" t="s">
        <v>102</v>
      </c>
      <c r="C15" s="101">
        <v>0.25881244885449461</v>
      </c>
      <c r="D15" s="101">
        <v>0.25881244885449461</v>
      </c>
      <c r="E15" s="101">
        <v>0.25881244885449461</v>
      </c>
      <c r="F15" s="101">
        <v>0.25881244885449461</v>
      </c>
    </row>
    <row r="16" spans="1:8" ht="15.75" customHeight="1" x14ac:dyDescent="0.25">
      <c r="B16" s="19" t="s">
        <v>2</v>
      </c>
      <c r="C16" s="101">
        <v>1.4258279955122469E-2</v>
      </c>
      <c r="D16" s="101">
        <v>1.4258279955122469E-2</v>
      </c>
      <c r="E16" s="101">
        <v>1.4258279955122469E-2</v>
      </c>
      <c r="F16" s="101">
        <v>1.4258279955122469E-2</v>
      </c>
    </row>
    <row r="17" spans="1:8" ht="15.75" customHeight="1" x14ac:dyDescent="0.25">
      <c r="B17" s="19" t="s">
        <v>90</v>
      </c>
      <c r="C17" s="101">
        <v>0.40664903343666348</v>
      </c>
      <c r="D17" s="101">
        <v>0.40664903343666348</v>
      </c>
      <c r="E17" s="101">
        <v>0.40664903343666348</v>
      </c>
      <c r="F17" s="101">
        <v>0.40664903343666348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2.8834362732976088E-2</v>
      </c>
      <c r="D19" s="101">
        <v>2.8834362732976088E-2</v>
      </c>
      <c r="E19" s="101">
        <v>2.8834362732976088E-2</v>
      </c>
      <c r="F19" s="101">
        <v>2.8834362732976088E-2</v>
      </c>
    </row>
    <row r="20" spans="1:8" ht="15.75" customHeight="1" x14ac:dyDescent="0.25">
      <c r="B20" s="19" t="s">
        <v>79</v>
      </c>
      <c r="C20" s="101">
        <v>1.2534723612182681E-2</v>
      </c>
      <c r="D20" s="101">
        <v>1.2534723612182681E-2</v>
      </c>
      <c r="E20" s="101">
        <v>1.2534723612182681E-2</v>
      </c>
      <c r="F20" s="101">
        <v>1.2534723612182681E-2</v>
      </c>
    </row>
    <row r="21" spans="1:8" ht="15.75" customHeight="1" x14ac:dyDescent="0.25">
      <c r="B21" s="19" t="s">
        <v>88</v>
      </c>
      <c r="C21" s="101">
        <v>0.23122407885254981</v>
      </c>
      <c r="D21" s="101">
        <v>0.23122407885254981</v>
      </c>
      <c r="E21" s="101">
        <v>0.23122407885254981</v>
      </c>
      <c r="F21" s="101">
        <v>0.23122407885254981</v>
      </c>
    </row>
    <row r="22" spans="1:8" ht="15.75" customHeight="1" x14ac:dyDescent="0.25">
      <c r="B22" s="19" t="s">
        <v>99</v>
      </c>
      <c r="C22" s="101">
        <v>3.8777330861722123E-2</v>
      </c>
      <c r="D22" s="101">
        <v>3.8777330861722123E-2</v>
      </c>
      <c r="E22" s="101">
        <v>3.8777330861722123E-2</v>
      </c>
      <c r="F22" s="101">
        <v>3.8777330861722123E-2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4.5249643999999999E-2</v>
      </c>
    </row>
    <row r="27" spans="1:8" ht="15.75" customHeight="1" x14ac:dyDescent="0.25">
      <c r="B27" s="19" t="s">
        <v>89</v>
      </c>
      <c r="C27" s="101">
        <v>5.4447637999999993E-2</v>
      </c>
    </row>
    <row r="28" spans="1:8" ht="15.75" customHeight="1" x14ac:dyDescent="0.25">
      <c r="B28" s="19" t="s">
        <v>103</v>
      </c>
      <c r="C28" s="101">
        <v>9.8457505000000001E-2</v>
      </c>
    </row>
    <row r="29" spans="1:8" ht="15.75" customHeight="1" x14ac:dyDescent="0.25">
      <c r="B29" s="19" t="s">
        <v>86</v>
      </c>
      <c r="C29" s="101">
        <v>0.11500012900000001</v>
      </c>
    </row>
    <row r="30" spans="1:8" ht="15.75" customHeight="1" x14ac:dyDescent="0.25">
      <c r="B30" s="19" t="s">
        <v>4</v>
      </c>
      <c r="C30" s="101">
        <v>5.0745075000000001E-2</v>
      </c>
    </row>
    <row r="31" spans="1:8" ht="15.75" customHeight="1" x14ac:dyDescent="0.25">
      <c r="B31" s="19" t="s">
        <v>80</v>
      </c>
      <c r="C31" s="101">
        <v>3.6627643000000001E-2</v>
      </c>
    </row>
    <row r="32" spans="1:8" ht="15.75" customHeight="1" x14ac:dyDescent="0.25">
      <c r="B32" s="19" t="s">
        <v>85</v>
      </c>
      <c r="C32" s="101">
        <v>0.18180017400000001</v>
      </c>
    </row>
    <row r="33" spans="2:3" ht="15.75" customHeight="1" x14ac:dyDescent="0.25">
      <c r="B33" s="19" t="s">
        <v>100</v>
      </c>
      <c r="C33" s="101">
        <v>0.15539587599999999</v>
      </c>
    </row>
    <row r="34" spans="2:3" ht="15.75" customHeight="1" x14ac:dyDescent="0.25">
      <c r="B34" s="19" t="s">
        <v>87</v>
      </c>
      <c r="C34" s="101">
        <v>0.26227631499999998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+3ECffRDVk59oBHgl9iftNjgiOvW21vpN0UI26ZaTbkwfx+hgCIibwyfjai0MAup9FPYlL/SdlEkpMzQK9IsHA==" saltValue="bNwzPI5G1SwluVPMCJZQ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0.52348004516135949</v>
      </c>
      <c r="D2" s="52">
        <f>IFERROR(1-_xlfn.NORM.DIST(_xlfn.NORM.INV(SUM(D4:D5), 0, 1) + 1, 0, 1, TRUE), "")</f>
        <v>0.52348004516135949</v>
      </c>
      <c r="E2" s="52">
        <f>IFERROR(1-_xlfn.NORM.DIST(_xlfn.NORM.INV(SUM(E4:E5), 0, 1) + 1, 0, 1, TRUE), "")</f>
        <v>0.54262584524980317</v>
      </c>
      <c r="F2" s="52">
        <f>IFERROR(1-_xlfn.NORM.DIST(_xlfn.NORM.INV(SUM(F4:F5), 0, 1) + 1, 0, 1, TRUE), "")</f>
        <v>0.43500875746349121</v>
      </c>
      <c r="G2" s="52">
        <f>IFERROR(1-_xlfn.NORM.DIST(_xlfn.NORM.INV(SUM(G4:G5), 0, 1) + 1, 0, 1, TRUE), "")</f>
        <v>0.43747390115367946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0.33169496198149778</v>
      </c>
      <c r="D3" s="52">
        <f>IFERROR(_xlfn.NORM.DIST(_xlfn.NORM.INV(SUM(D4:D5), 0, 1) + 1, 0, 1, TRUE) - SUM(D4:D5), "")</f>
        <v>0.33169496198149778</v>
      </c>
      <c r="E3" s="52">
        <f>IFERROR(_xlfn.NORM.DIST(_xlfn.NORM.INV(SUM(E4:E5), 0, 1) + 1, 0, 1, TRUE) - SUM(E4:E5), "")</f>
        <v>0.32323827260733978</v>
      </c>
      <c r="F3" s="52">
        <f>IFERROR(_xlfn.NORM.DIST(_xlfn.NORM.INV(SUM(F4:F5), 0, 1) + 1, 0, 1, TRUE) - SUM(F4:F5), "")</f>
        <v>0.36351609610793739</v>
      </c>
      <c r="G3" s="52">
        <f>IFERROR(_xlfn.NORM.DIST(_xlfn.NORM.INV(SUM(G4:G5), 0, 1) + 1, 0, 1, TRUE) - SUM(G4:G5), "")</f>
        <v>0.36280645956060614</v>
      </c>
    </row>
    <row r="4" spans="1:15" ht="15.75" customHeight="1" x14ac:dyDescent="0.25">
      <c r="B4" s="5" t="s">
        <v>110</v>
      </c>
      <c r="C4" s="45">
        <v>7.8018074999999992E-2</v>
      </c>
      <c r="D4" s="53">
        <v>7.8018074999999992E-2</v>
      </c>
      <c r="E4" s="53">
        <v>7.6574760714285692E-2</v>
      </c>
      <c r="F4" s="53">
        <v>0.113136875</v>
      </c>
      <c r="G4" s="53">
        <v>0.117410317857143</v>
      </c>
    </row>
    <row r="5" spans="1:15" ht="15.75" customHeight="1" x14ac:dyDescent="0.25">
      <c r="B5" s="5" t="s">
        <v>106</v>
      </c>
      <c r="C5" s="45">
        <v>6.6806917857142795E-2</v>
      </c>
      <c r="D5" s="53">
        <v>6.6806917857142795E-2</v>
      </c>
      <c r="E5" s="53">
        <v>5.75611214285714E-2</v>
      </c>
      <c r="F5" s="53">
        <v>8.833827142857141E-2</v>
      </c>
      <c r="G5" s="53">
        <v>8.2309321428571405E-2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0.60412081188896594</v>
      </c>
      <c r="D8" s="52">
        <f>IFERROR(1-_xlfn.NORM.DIST(_xlfn.NORM.INV(SUM(D10:D11), 0, 1) + 1, 0, 1, TRUE), "")</f>
        <v>0.60412081188896594</v>
      </c>
      <c r="E8" s="52">
        <f>IFERROR(1-_xlfn.NORM.DIST(_xlfn.NORM.INV(SUM(E10:E11), 0, 1) + 1, 0, 1, TRUE), "")</f>
        <v>0.65634661995348842</v>
      </c>
      <c r="F8" s="52">
        <f>IFERROR(1-_xlfn.NORM.DIST(_xlfn.NORM.INV(SUM(F10:F11), 0, 1) + 1, 0, 1, TRUE), "")</f>
        <v>0.70726524983458217</v>
      </c>
      <c r="G8" s="52">
        <f>IFERROR(1-_xlfn.NORM.DIST(_xlfn.NORM.INV(SUM(G10:G11), 0, 1) + 1, 0, 1, TRUE), "")</f>
        <v>0.73948997109811798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0.29276919181473776</v>
      </c>
      <c r="D9" s="52">
        <f>IFERROR(_xlfn.NORM.DIST(_xlfn.NORM.INV(SUM(D10:D11), 0, 1) + 1, 0, 1, TRUE) - SUM(D10:D11), "")</f>
        <v>0.29276919181473776</v>
      </c>
      <c r="E9" s="52">
        <f>IFERROR(_xlfn.NORM.DIST(_xlfn.NORM.INV(SUM(E10:E11), 0, 1) + 1, 0, 1, TRUE) - SUM(E10:E11), "")</f>
        <v>0.26327227634280792</v>
      </c>
      <c r="F9" s="52">
        <f>IFERROR(_xlfn.NORM.DIST(_xlfn.NORM.INV(SUM(F10:F11), 0, 1) + 1, 0, 1, TRUE) - SUM(F10:F11), "")</f>
        <v>0.23161155144746914</v>
      </c>
      <c r="G9" s="52">
        <f>IFERROR(_xlfn.NORM.DIST(_xlfn.NORM.INV(SUM(G10:G11), 0, 1) + 1, 0, 1, TRUE) - SUM(G10:G11), "")</f>
        <v>0.21019158445743746</v>
      </c>
    </row>
    <row r="10" spans="1:15" ht="15.75" customHeight="1" x14ac:dyDescent="0.25">
      <c r="B10" s="5" t="s">
        <v>107</v>
      </c>
      <c r="C10" s="45">
        <v>5.5754911111111097E-2</v>
      </c>
      <c r="D10" s="53">
        <v>5.5754911111111097E-2</v>
      </c>
      <c r="E10" s="53">
        <v>4.8520040740740712E-2</v>
      </c>
      <c r="F10" s="53">
        <v>3.7735233333333298E-2</v>
      </c>
      <c r="G10" s="53">
        <v>3.2035677777777799E-2</v>
      </c>
    </row>
    <row r="11" spans="1:15" ht="15.75" customHeight="1" x14ac:dyDescent="0.25">
      <c r="B11" s="5" t="s">
        <v>119</v>
      </c>
      <c r="C11" s="45">
        <v>4.7355085185185199E-2</v>
      </c>
      <c r="D11" s="53">
        <v>4.7355085185185199E-2</v>
      </c>
      <c r="E11" s="53">
        <v>3.1861062962962997E-2</v>
      </c>
      <c r="F11" s="53">
        <v>2.3387965384615399E-2</v>
      </c>
      <c r="G11" s="53">
        <v>1.82827666666667E-2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0.27132991649999999</v>
      </c>
      <c r="D14" s="54">
        <v>0.26430615274399999</v>
      </c>
      <c r="E14" s="54">
        <v>0.26430615274399999</v>
      </c>
      <c r="F14" s="54">
        <v>0.223280819125</v>
      </c>
      <c r="G14" s="54">
        <v>0.223280819125</v>
      </c>
      <c r="H14" s="45">
        <v>0.35199999999999998</v>
      </c>
      <c r="I14" s="55">
        <v>0.35199999999999998</v>
      </c>
      <c r="J14" s="55">
        <v>0.35199999999999998</v>
      </c>
      <c r="K14" s="55">
        <v>0.35199999999999998</v>
      </c>
      <c r="L14" s="45">
        <v>0.311</v>
      </c>
      <c r="M14" s="55">
        <v>0.311</v>
      </c>
      <c r="N14" s="55">
        <v>0.311</v>
      </c>
      <c r="O14" s="55">
        <v>0.311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0.16489994276312547</v>
      </c>
      <c r="D15" s="52">
        <f t="shared" si="0"/>
        <v>0.16063127141170774</v>
      </c>
      <c r="E15" s="52">
        <f t="shared" si="0"/>
        <v>0.16063127141170774</v>
      </c>
      <c r="F15" s="52">
        <f t="shared" si="0"/>
        <v>0.13569824798076136</v>
      </c>
      <c r="G15" s="52">
        <f t="shared" si="0"/>
        <v>0.13569824798076136</v>
      </c>
      <c r="H15" s="52">
        <f t="shared" si="0"/>
        <v>0.21392694399999995</v>
      </c>
      <c r="I15" s="52">
        <f t="shared" si="0"/>
        <v>0.21392694399999995</v>
      </c>
      <c r="J15" s="52">
        <f t="shared" si="0"/>
        <v>0.21392694399999995</v>
      </c>
      <c r="K15" s="52">
        <f t="shared" si="0"/>
        <v>0.21392694399999995</v>
      </c>
      <c r="L15" s="52">
        <f t="shared" si="0"/>
        <v>0.18900931699999998</v>
      </c>
      <c r="M15" s="52">
        <f t="shared" si="0"/>
        <v>0.18900931699999998</v>
      </c>
      <c r="N15" s="52">
        <f t="shared" si="0"/>
        <v>0.18900931699999998</v>
      </c>
      <c r="O15" s="52">
        <f t="shared" si="0"/>
        <v>0.18900931699999998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FQ/UomFi42gHsmCeixSdoLNWOJqSh4Ho4NKHq48DizsIEKZtrj67Fn1lkkhlk2w0R4z2aFTUXQ4KwjCwmF87w==" saltValue="I/Y+2mBfXiRnTiA+Wio6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0.486382325</v>
      </c>
      <c r="D2" s="53">
        <v>0.26502471875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0.22718172187499999</v>
      </c>
      <c r="D3" s="53">
        <v>0.23974491249999999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0.2311166375</v>
      </c>
      <c r="D4" s="53">
        <v>0.38933495624999997</v>
      </c>
      <c r="E4" s="53">
        <v>0.75684774375000008</v>
      </c>
      <c r="F4" s="53">
        <v>0.44418370624999998</v>
      </c>
      <c r="G4" s="53">
        <v>0</v>
      </c>
    </row>
    <row r="5" spans="1:7" x14ac:dyDescent="0.25">
      <c r="B5" s="3" t="s">
        <v>125</v>
      </c>
      <c r="C5" s="52">
        <v>5.5319325000000003E-2</v>
      </c>
      <c r="D5" s="52">
        <v>0.10589541875</v>
      </c>
      <c r="E5" s="52">
        <f>1-SUM(E2:E4)</f>
        <v>0.24315225624999992</v>
      </c>
      <c r="F5" s="52">
        <f>1-SUM(F2:F4)</f>
        <v>0.55581629374999997</v>
      </c>
      <c r="G5" s="52">
        <f>1-SUM(G2:G4)</f>
        <v>1</v>
      </c>
    </row>
  </sheetData>
  <sheetProtection algorithmName="SHA-512" hashValue="6mDS4/pw1Ruljdk3jExuz9nBz5pNgirOcy8RepnQSjHEh+JEvQUi0gJDwV5FuON1vkf7y9BDZ6YeBagzGQBinA==" saltValue="3n9mCBpxDTGGPQPYajwv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19CZsedy0Ix8mRtAGInh2YV8KTOdwQBY0BYTx1IsSSDNV2CiNSn9RqYlpiok65RpW1YT5maX7vGzijyREN3/g==" saltValue="JgUrupYpNu7/eVqLfEKm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5EJ6EIu1atFCIQ9Y87nxuxP7DQPz06wkVHu9Frh/KEtBhxvnxpBYbyTiCvMIEDn+dECE7C4ferkKHD6ZZ9RHew==" saltValue="r+TJWAWpOPAKpryNISJU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n89uYvFoQKHAIJG2uv+9ctXZtiXRK3V4w75/Dr0PTonD4id8amEpAh1W26Dt/6SuAR3b+vigStf86aYQx0cnVQ==" saltValue="TR+SqJVWCmQ93xsxV6ozA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K92h+36UDU9LmRunogXFSp/vS2dicD+QoWEXHMmhtqOscvCmVyvcXRprnVX5DFlipkQ1zCPl0Yte6ImJ+5ZIA==" saltValue="NIk43uG1xsy9CbHyzDAK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84.265913517575598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40.468189781356223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825.72943905266402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3.0877576700030751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13.600489225152121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13.600489225152121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13.600489225152121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13.600489225152121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13.600489225152121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13.600489225152121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1.307255025047471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18.912221099022862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18.912221099022862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36.461053003308884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23.778563587053029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4.6470312755738146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19.16115761564345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0.44400000000000001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173.52890625098581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2.636409199155751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2.8673817503679651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0.9017522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4.8852293917660123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IRenHqs7N8S2HMXzBoYCzSEbBf5avbnUgX63epgiiT1GaHLathHuOrBSm3n+qmzTAv4ZYbxmNYpaCBGh5qWE+w==" saltValue="jibc8X37BNhnBNxR+8DQ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7jj/IRXojWbAKzpkd4vGljIfyKxFfYkxIVzEX7P9VDw1msVsxmlOEupzTBxdTfYvOx5IBnb75gI4Ii+/yiQFw==" saltValue="1+ou4uFWXINttBNZuFlI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IAf67juoyAo0UMjXUZcjcSSX8WTXfRnH0b5CH2IcbAN+3Ty7kjflgH88sLhtiBDxJAs5kiriaiDQDamCxwXvg==" saltValue="mOsk7oGpzbp2MT3zD8tY5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0.14496276888888884</v>
      </c>
      <c r="C3" s="21">
        <f>frac_mam_1_5months * 2.6</f>
        <v>0.14496276888888884</v>
      </c>
      <c r="D3" s="21">
        <f>frac_mam_6_11months * 2.6</f>
        <v>0.12615210592592585</v>
      </c>
      <c r="E3" s="21">
        <f>frac_mam_12_23months * 2.6</f>
        <v>9.8111606666666573E-2</v>
      </c>
      <c r="F3" s="21">
        <f>frac_mam_24_59months * 2.6</f>
        <v>8.3292762222222275E-2</v>
      </c>
    </row>
    <row r="4" spans="1:6" ht="15.75" customHeight="1" x14ac:dyDescent="0.25">
      <c r="A4" s="3" t="s">
        <v>207</v>
      </c>
      <c r="B4" s="21">
        <f>frac_sam_1month * 2.6</f>
        <v>0.12312322148148153</v>
      </c>
      <c r="C4" s="21">
        <f>frac_sam_1_5months * 2.6</f>
        <v>0.12312322148148153</v>
      </c>
      <c r="D4" s="21">
        <f>frac_sam_6_11months * 2.6</f>
        <v>8.2838763703703799E-2</v>
      </c>
      <c r="E4" s="21">
        <f>frac_sam_12_23months * 2.6</f>
        <v>6.0808710000000037E-2</v>
      </c>
      <c r="F4" s="21">
        <f>frac_sam_24_59months * 2.6</f>
        <v>4.753519333333342E-2</v>
      </c>
    </row>
  </sheetData>
  <sheetProtection algorithmName="SHA-512" hashValue="2nkRz93BDBlekiEPAPR1acQns3UMJAoUx5+tbHIKt6G905xG8htS5NZ9dlnNzZcK1TqliECTylgepZlMQu/Glw==" saltValue="3xZlOGRuOOvpDlV/SYqa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0.1726341044616696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7.3986044769286968E-2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0.10344393768310528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0.64993591308593812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dbgo07/3Ns9JNj1TNvr198IkT+1FLQe7P5eobZ71G7WZxRG+gBowxH5yI1vr07hKzoG/SNk7uP6SnDxzukSUA==" saltValue="q3US2hxWg0pzKSjag+gu6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e/lDHEO+TaBuozGRlTodssVz7bn2vqbIph/u5knD9D1N8SoMg/so19DxqumAl5kXUTSvmQtOUheVWgQIT148A==" saltValue="AAD6ORl733a0XjYG2oxv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kc1alU0PG+4Nq0y7ghR0cowMXwm6C9cznNdY/TNtlcZ+F/LoVrqKbdgT9iHtEfALnTfcLoZubPURMh1rH8k/g==" saltValue="eTRqetT1Rg2cCOa5lB/vH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0/9oMEqXl1Gry3fBLt0wIV1kECtd8ifzrfu5Pi36n27T9dRZg/yGhDM8q9Qlce6Bt0e2BglZC0Ys3yQlCWbog==" saltValue="T+sNnha2XPNiUlzqg3Bh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B2nmnp/HS6QL33+EYhuVKeC0BYKKsNeUPRT9Eo+tsTP/znpWH6upSFWiY9FY/g0xIMgL2DzBJ/Cw8l+6tOuKw==" saltValue="G+bqMG9Z338AKuSaQoyM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3dNh4z9OmQEVkJw+ZWS/5MR/lv1He63Ym9Xwt2Sx7b5Z9y7FspnvMuca/MLzCBC482xVOvedK98CojCZ0xATpw==" saltValue="OQHhEsWt9dQeDAAkmo32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U5wXEYCPWKe6EC022T04inXzN9oSW0GmA3dr80is8CRqXG1BhtKvd68booYmI7RedYBkm38ZfeTfQFUSf9TyQ==" saltValue="L86mQuzg+MZZAsJySha+J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O20c8AFWxvG5ykvXJxcDg+iCxPoCdMaLkoDk+tnKJL0gLkDkZF2ymBfeO3AXOFcnhMqz/KNUET5ay3C1GYcLA==" saltValue="numo6iXWZZ48DDBL/F8m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TAAF78z8dgbULNci9pRtHg+3y787KVCFrRO2fp00iFYJn6d/wlBQ9csU8DGquzk81yqKJs0WYMwWeQiRZhluw==" saltValue="VM9YyF0pahBqoTZE1tcD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l3SF8UnBATLjavehj0lH0+DZgyYdwE40LIV/zuczXIJYa9+HJ9WTOpVP4/QcYwpIyIBCAFeNeBR6BrjbC8hKg==" saltValue="QPUy+DaEUIV65CKP5IUb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o98LxxZ7kUB7L2LQvlBlMy1GU3bd2XC2NWRiOXuUuC7rSm/P5gButVQqeidRhP6WtsWapgPubqf5fOqEKpwaw==" saltValue="BOC6zgv8fJ7dnExQoXab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YmWnUm45pbsU/+MiwcOzU+73nBMCumYOIeTjtDqcdzzttOdqNdgmvssno3Flmue7Q0ewIeurHooOWrRi1j9MA==" saltValue="RLfA8gE6gMobpFr0IavS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zaxBuOpC6jVCUyfBFmPs1TH0bc7L42kGyTeuF5pTIIuEateeFgpi9VODRXXKbuWw6we+rO7Eu8nGeWxY6+5SQ==" saltValue="HYWnh15LYQVvaUuX3lLyu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0.10686983158168928</v>
      </c>
      <c r="G18" s="90">
        <f>MIN(MAX(1-0.89/(1-frac_sam_12_23months+(frac_sam_12_23months*0.89)),0),1)</f>
        <v>0.10770441238524231</v>
      </c>
      <c r="H18" s="90">
        <f>MIN(MAX(1-0.89/(1-frac_sam_24_59months+(frac_sam_24_59months*0.89)),0),1)</f>
        <v>0.10820651024832184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0.10522439965592334</v>
      </c>
      <c r="G20" s="90">
        <f>MIN(MAX(1-0.89/(1-frac_mam_12_23months+(frac_mam_12_23months*0.89)),0),1)</f>
        <v>0.10629032224554458</v>
      </c>
      <c r="H20" s="90">
        <f>MIN(MAX(1-0.89/(1-frac_mam_24_59months+(frac_mam_24_59months*0.89)),0),1)</f>
        <v>0.10685261600179852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9.6844749470309521E-3</v>
      </c>
      <c r="G73" s="90">
        <f>MIN(MAX(1-0.99/(1-frac_sam_12_23months+(frac_sam_12_23months*0.99)),0),1)</f>
        <v>9.7684049773285597E-3</v>
      </c>
      <c r="H73" s="90">
        <f>MIN(MAX(1-0.99/(1-frac_sam_24_59months+(frac_sam_24_59months*0.99)),0),1)</f>
        <v>9.818967512252641E-3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9.5194184182874064E-3</v>
      </c>
      <c r="G75" s="90">
        <f>MIN(MAX(1-0.99/(1-frac_mam_12_23months+(frac_mam_12_23months*0.99)),0),1)</f>
        <v>9.6262801659485753E-3</v>
      </c>
      <c r="H75" s="90">
        <f>MIN(MAX(1-0.99/(1-frac_mam_24_59months+(frac_mam_24_59months*0.99)),0),1)</f>
        <v>9.6827451552601307E-3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0.19486953752835823</v>
      </c>
      <c r="G128" s="90">
        <f>MIN(MAX(1-0.8/(1-frac_sam_12_23months+(frac_sam_12_23months*0.8)),0),1)</f>
        <v>0.19624033937595486</v>
      </c>
      <c r="H128" s="90">
        <f>MIN(MAX(1-0.8/(1-frac_sam_24_59months+(frac_sam_24_59months*0.8)),0),1)</f>
        <v>0.19706402177235838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0.19216072105472093</v>
      </c>
      <c r="G130" s="90">
        <f>MIN(MAX(1-0.8/(1-frac_mam_12_23months+(frac_mam_12_23months*0.8)),0),1)</f>
        <v>0.19391644982963185</v>
      </c>
      <c r="H130" s="90">
        <f>MIN(MAX(1-0.8/(1-frac_mam_24_59months+(frac_mam_24_59months*0.8)),0),1)</f>
        <v>0.19484123867243097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8MGw9RX34IGAzK0rJM2fOatmISdMqB4/MoOjtbQY26D0fHyTSMaSnpCojw5iYlCUA90r7GrEvUoOEM3jvzfdg==" saltValue="ieEOXkTs46DAviwQcuf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Fb25hoIKQm2YeY0U1T2JH4kIpN/kPRd6yxto6/DH5kckPIMAUU9QlMIYD5GWtU8WpptRuHYqKyyem4hwaR9IQ==" saltValue="KToe1XBymir0CnrmpTZK5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2024-08-06T07:52:27Z</dcterms:modified>
</cp:coreProperties>
</file>