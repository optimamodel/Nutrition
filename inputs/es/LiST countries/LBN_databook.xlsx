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DA0FDA22-9C0E-4366-96E0-4D7542907240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A25" i="2" l="1"/>
  <c r="A26" i="2"/>
  <c r="I39" i="2"/>
  <c r="A31" i="2"/>
  <c r="A40" i="2"/>
  <c r="A34" i="2"/>
  <c r="I2" i="2"/>
  <c r="I6" i="2"/>
  <c r="A19" i="2"/>
  <c r="A35" i="2"/>
  <c r="A22" i="2"/>
  <c r="A36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<sst xmlns="http://schemas.openxmlformats.org/spreadsheetml/2006/main" count="2159" uniqueCount="372">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</sst>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454169.5</v>
      </c>
    </row>
    <row r="8" spans="1:3" ht="15" customHeight="1" x14ac:dyDescent="0.25">
      <c r="B8" s="5" t="s">
        <v>63</v>
      </c>
      <c r="C8" s="44">
        <v>1.4999999999999999E-2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0.64993591308593812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0.36399999999999999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3.5799999999999998E-2</v>
      </c>
    </row>
    <row r="24" spans="1:3" ht="15" customHeight="1" x14ac:dyDescent="0.25">
      <c r="B24" s="15" t="s">
        <v>65</v>
      </c>
      <c r="C24" s="45">
        <v>0.50009999999999999</v>
      </c>
    </row>
    <row r="25" spans="1:3" ht="15" customHeight="1" x14ac:dyDescent="0.25">
      <c r="B25" s="15" t="s">
        <v>66</v>
      </c>
      <c r="C25" s="45">
        <v>0.41830000000000001</v>
      </c>
    </row>
    <row r="26" spans="1:3" ht="15" customHeight="1" x14ac:dyDescent="0.25">
      <c r="B26" s="15" t="s">
        <v>67</v>
      </c>
      <c r="C26" s="45">
        <v>4.58E-2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0.34453989050682299</v>
      </c>
    </row>
    <row r="30" spans="1:3" ht="14.25" customHeight="1" x14ac:dyDescent="0.25">
      <c r="B30" s="25" t="s">
        <v>82</v>
      </c>
      <c r="C30" s="99">
        <v>4.9975046177627103E-2</v>
      </c>
    </row>
    <row r="31" spans="1:3" ht="14.25" customHeight="1" x14ac:dyDescent="0.25">
      <c r="B31" s="25" t="s">
        <v>29</v>
      </c>
      <c r="C31" s="99">
        <v>6.4980512501330898E-2</v>
      </c>
    </row>
    <row r="32" spans="1:3" ht="14.25" customHeight="1" x14ac:dyDescent="0.25">
      <c r="B32" s="25" t="s">
        <v>30</v>
      </c>
      <c r="C32" s="99">
        <v>0.540504550814219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4.7846799999999998</v>
      </c>
    </row>
    <row r="38" spans="1:5" ht="15" customHeight="1" x14ac:dyDescent="0.25">
      <c r="B38" s="11" t="s">
        <v>54</v>
      </c>
      <c r="C38" s="43">
        <v>7.0508600000000001</v>
      </c>
      <c r="D38" s="12"/>
      <c r="E38" s="13"/>
    </row>
    <row r="39" spans="1:5" ht="15" customHeight="1" x14ac:dyDescent="0.25">
      <c r="B39" s="11" t="s">
        <v>80</v>
      </c>
      <c r="C39" s="43">
        <v>8.2388399999999997</v>
      </c>
      <c r="D39" s="12"/>
      <c r="E39" s="12"/>
    </row>
    <row r="40" spans="1:5" ht="15" customHeight="1" x14ac:dyDescent="0.25">
      <c r="B40" s="11" t="s">
        <v>55</v>
      </c>
      <c r="C40" s="100">
        <v>0.21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5.9434800000000001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7.4982E-3</v>
      </c>
      <c r="D45" s="12"/>
    </row>
    <row r="46" spans="1:5" ht="15.75" customHeight="1" x14ac:dyDescent="0.25">
      <c r="B46" s="11" t="s">
        <v>70</v>
      </c>
      <c r="C46" s="45">
        <v>7.9942600000000003E-2</v>
      </c>
      <c r="D46" s="12"/>
    </row>
    <row r="47" spans="1:5" ht="15.75" customHeight="1" x14ac:dyDescent="0.25">
      <c r="B47" s="11" t="s">
        <v>78</v>
      </c>
      <c r="C47" s="45">
        <v>5.4437800000000001E-2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2.9</v>
      </c>
      <c r="D51" s="12"/>
    </row>
    <row r="52" spans="1:4" ht="15" customHeight="1" x14ac:dyDescent="0.25">
      <c r="B52" s="11" t="s">
        <v>32</v>
      </c>
      <c r="C52" s="100">
        <v>2.9</v>
      </c>
    </row>
    <row r="53" spans="1:4" ht="15.75" customHeight="1" x14ac:dyDescent="0.25">
      <c r="B53" s="11" t="s">
        <v>35</v>
      </c>
      <c r="C53" s="100">
        <v>2.9</v>
      </c>
    </row>
    <row r="54" spans="1:4" ht="15.75" customHeight="1" x14ac:dyDescent="0.25">
      <c r="B54" s="11" t="s">
        <v>33</v>
      </c>
      <c r="C54" s="100">
        <v>2.9</v>
      </c>
    </row>
    <row r="55" spans="1:4" ht="15.75" customHeight="1" x14ac:dyDescent="0.25">
      <c r="B55" s="11" t="s">
        <v>34</v>
      </c>
      <c r="C55" s="100">
        <v>2.9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2.0689655172413789E-2</v>
      </c>
    </row>
    <row r="59" spans="1:4" ht="15.75" customHeight="1" x14ac:dyDescent="0.25">
      <c r="B59" s="11" t="s">
        <v>59</v>
      </c>
      <c r="C59" s="45">
        <v>0.60774699999999993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9.2394466000000008E-2</v>
      </c>
    </row>
    <row r="63" spans="1:4" ht="15.75" customHeight="1" x14ac:dyDescent="0.3">
      <c r="A63" s="4"/>
    </row>
  </sheetData>
  <sheetProtection algorithmName="SHA-512" hashValue="jM34F1vm38eE6UH0nqCa3ZTJng2TaYRDihit/yZJVNv8mZp9fLC1cvLg9XWPiOVd2zVZXH0Q7bFj6ZuvCPt8wA==" saltValue="AGPGue+Xq8v5QIOYVc0u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92653</v>
      </c>
      <c r="C2" s="49">
        <v>251772</v>
      </c>
      <c r="D2" s="49">
        <v>435135</v>
      </c>
      <c r="E2" s="49">
        <v>384785.49999999994</v>
      </c>
      <c r="F2" s="49">
        <v>360382.5</v>
      </c>
      <c r="G2" s="17">
        <f t="shared" ref="G2:G13" si="0">C2+D2+E2+F2</f>
        <v>1432075</v>
      </c>
      <c r="H2" s="17">
        <f t="shared" ref="H2:H13" si="1">(B2 + stillbirth*B2/(1000-stillbirth))/(1-abortion)</f>
        <v>105917.01566426021</v>
      </c>
      <c r="I2" s="17">
        <f t="shared" ref="I2:I13" si="2">G2-H2</f>
        <v>1326157.9843357399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92538</v>
      </c>
      <c r="C3" s="50">
        <v>257649.99999999997</v>
      </c>
      <c r="D3" s="50">
        <v>439494</v>
      </c>
      <c r="E3" s="50">
        <v>386786</v>
      </c>
      <c r="F3" s="50">
        <v>363163</v>
      </c>
      <c r="G3" s="17">
        <f t="shared" si="0"/>
        <v>1447093</v>
      </c>
      <c r="H3" s="17">
        <f t="shared" si="1"/>
        <v>105785.55249737528</v>
      </c>
      <c r="I3" s="17">
        <f t="shared" si="2"/>
        <v>1341307.4475026247</v>
      </c>
    </row>
    <row r="4" spans="1:9" ht="15.75" customHeight="1" x14ac:dyDescent="0.25">
      <c r="A4" s="5">
        <f t="shared" si="3"/>
        <v>2026</v>
      </c>
      <c r="B4" s="49">
        <v>92671</v>
      </c>
      <c r="C4" s="50">
        <v>263767.5</v>
      </c>
      <c r="D4" s="50">
        <v>445381.49999999994</v>
      </c>
      <c r="E4" s="50">
        <v>389937</v>
      </c>
      <c r="F4" s="50">
        <v>365568.5</v>
      </c>
      <c r="G4" s="17">
        <f t="shared" si="0"/>
        <v>1464654.5</v>
      </c>
      <c r="H4" s="17">
        <f t="shared" si="1"/>
        <v>105937.59250777264</v>
      </c>
      <c r="I4" s="17">
        <f t="shared" si="2"/>
        <v>1358716.9074922274</v>
      </c>
    </row>
    <row r="5" spans="1:9" ht="15.75" customHeight="1" x14ac:dyDescent="0.25">
      <c r="A5" s="5">
        <f t="shared" si="3"/>
        <v>2027</v>
      </c>
      <c r="B5" s="49">
        <v>93054</v>
      </c>
      <c r="C5" s="50">
        <v>269367</v>
      </c>
      <c r="D5" s="50">
        <v>452350.5</v>
      </c>
      <c r="E5" s="50">
        <v>393847.99999999994</v>
      </c>
      <c r="F5" s="50">
        <v>367454.5</v>
      </c>
      <c r="G5" s="17">
        <f t="shared" si="0"/>
        <v>1483020</v>
      </c>
      <c r="H5" s="17">
        <f t="shared" si="1"/>
        <v>106375.42201139813</v>
      </c>
      <c r="I5" s="17">
        <f t="shared" si="2"/>
        <v>1376644.5779886018</v>
      </c>
    </row>
    <row r="6" spans="1:9" ht="15.75" customHeight="1" x14ac:dyDescent="0.25">
      <c r="A6" s="5">
        <f t="shared" si="3"/>
        <v>2028</v>
      </c>
      <c r="B6" s="49">
        <v>93476</v>
      </c>
      <c r="C6" s="50">
        <v>273691.5</v>
      </c>
      <c r="D6" s="50">
        <v>460368</v>
      </c>
      <c r="E6" s="50">
        <v>398256.5</v>
      </c>
      <c r="F6" s="50">
        <v>368990</v>
      </c>
      <c r="G6" s="17">
        <f t="shared" si="0"/>
        <v>1501306</v>
      </c>
      <c r="H6" s="17">
        <f t="shared" si="1"/>
        <v>106857.83467596718</v>
      </c>
      <c r="I6" s="17">
        <f t="shared" si="2"/>
        <v>1394448.1653240328</v>
      </c>
    </row>
    <row r="7" spans="1:9" ht="15.75" customHeight="1" x14ac:dyDescent="0.25">
      <c r="A7" s="5">
        <f t="shared" si="3"/>
        <v>2029</v>
      </c>
      <c r="B7" s="49">
        <v>94046</v>
      </c>
      <c r="C7" s="50">
        <v>276032.5</v>
      </c>
      <c r="D7" s="50">
        <v>469549</v>
      </c>
      <c r="E7" s="50">
        <v>403005.5</v>
      </c>
      <c r="F7" s="50">
        <v>370445.50000000006</v>
      </c>
      <c r="G7" s="17">
        <f t="shared" si="0"/>
        <v>1519032.5</v>
      </c>
      <c r="H7" s="17">
        <f t="shared" si="1"/>
        <v>107509.43472052729</v>
      </c>
      <c r="I7" s="17">
        <f t="shared" si="2"/>
        <v>1411523.0652794726</v>
      </c>
    </row>
    <row r="8" spans="1:9" ht="15.75" customHeight="1" x14ac:dyDescent="0.25">
      <c r="A8" s="5">
        <f t="shared" si="3"/>
        <v>2030</v>
      </c>
      <c r="B8" s="49">
        <v>94877</v>
      </c>
      <c r="C8" s="50">
        <v>275676</v>
      </c>
      <c r="D8" s="50">
        <v>479762</v>
      </c>
      <c r="E8" s="50">
        <v>407863.5</v>
      </c>
      <c r="F8" s="50">
        <v>371924.49999999994</v>
      </c>
      <c r="G8" s="17">
        <f t="shared" si="0"/>
        <v>1535226</v>
      </c>
      <c r="H8" s="17">
        <f t="shared" si="1"/>
        <v>108459.39899601758</v>
      </c>
      <c r="I8" s="17">
        <f t="shared" si="2"/>
        <v>1426766.6010039824</v>
      </c>
    </row>
    <row r="9" spans="1:9" ht="15.75" customHeight="1" x14ac:dyDescent="0.25">
      <c r="A9" s="5">
        <f t="shared" si="3"/>
        <v>2031</v>
      </c>
      <c r="B9" s="49">
        <v>95913</v>
      </c>
      <c r="C9" s="50">
        <v>271980</v>
      </c>
      <c r="D9" s="50">
        <v>490737.5</v>
      </c>
      <c r="E9" s="50">
        <v>412788</v>
      </c>
      <c r="F9" s="50">
        <v>373498</v>
      </c>
      <c r="G9" s="17">
        <f t="shared" si="0"/>
        <v>1549003.5</v>
      </c>
      <c r="H9" s="17">
        <f t="shared" si="1"/>
        <v>109643.71065595491</v>
      </c>
      <c r="I9" s="17">
        <f t="shared" si="2"/>
        <v>1439359.7893440451</v>
      </c>
    </row>
    <row r="10" spans="1:9" ht="15.75" customHeight="1" x14ac:dyDescent="0.25">
      <c r="A10" s="5">
        <f t="shared" si="3"/>
        <v>2032</v>
      </c>
      <c r="B10" s="49">
        <v>96874</v>
      </c>
      <c r="C10" s="50">
        <v>264659</v>
      </c>
      <c r="D10" s="50">
        <v>501490</v>
      </c>
      <c r="E10" s="50">
        <v>417655.99999999994</v>
      </c>
      <c r="F10" s="50">
        <v>375186.5</v>
      </c>
      <c r="G10" s="17">
        <f t="shared" si="0"/>
        <v>1558991.5</v>
      </c>
      <c r="H10" s="17">
        <f t="shared" si="1"/>
        <v>110742.28546792379</v>
      </c>
      <c r="I10" s="17">
        <f t="shared" si="2"/>
        <v>1448249.2145320761</v>
      </c>
    </row>
    <row r="11" spans="1:9" ht="15.75" customHeight="1" x14ac:dyDescent="0.25">
      <c r="A11" s="5">
        <f t="shared" si="3"/>
        <v>2033</v>
      </c>
      <c r="B11" s="49">
        <v>97646</v>
      </c>
      <c r="C11" s="50">
        <v>253850</v>
      </c>
      <c r="D11" s="50">
        <v>510861</v>
      </c>
      <c r="E11" s="50">
        <v>422400.49999999994</v>
      </c>
      <c r="F11" s="50">
        <v>377005.5</v>
      </c>
      <c r="G11" s="17">
        <f t="shared" si="0"/>
        <v>1564117</v>
      </c>
      <c r="H11" s="17">
        <f t="shared" si="1"/>
        <v>111624.80342301223</v>
      </c>
      <c r="I11" s="17">
        <f t="shared" si="2"/>
        <v>1452492.1965769879</v>
      </c>
    </row>
    <row r="12" spans="1:9" ht="15.75" customHeight="1" x14ac:dyDescent="0.25">
      <c r="A12" s="5">
        <f t="shared" si="3"/>
        <v>2034</v>
      </c>
      <c r="B12" s="49">
        <v>98210</v>
      </c>
      <c r="C12" s="50">
        <v>239935</v>
      </c>
      <c r="D12" s="50">
        <v>518679</v>
      </c>
      <c r="E12" s="50">
        <v>427576.5</v>
      </c>
      <c r="F12" s="50">
        <v>379244.5</v>
      </c>
      <c r="G12" s="17">
        <f t="shared" si="0"/>
        <v>1565435</v>
      </c>
      <c r="H12" s="17">
        <f t="shared" si="1"/>
        <v>112269.54451973487</v>
      </c>
      <c r="I12" s="17">
        <f t="shared" si="2"/>
        <v>1453165.4554802652</v>
      </c>
    </row>
    <row r="13" spans="1:9" ht="15.75" customHeight="1" x14ac:dyDescent="0.25">
      <c r="A13" s="5">
        <f t="shared" si="3"/>
        <v>2035</v>
      </c>
      <c r="B13" s="49">
        <v>98780</v>
      </c>
      <c r="C13" s="50">
        <v>228145.5</v>
      </c>
      <c r="D13" s="50">
        <v>524135</v>
      </c>
      <c r="E13" s="50">
        <v>433310</v>
      </c>
      <c r="F13" s="50">
        <v>382060.5</v>
      </c>
      <c r="G13" s="17">
        <f t="shared" si="0"/>
        <v>1567651</v>
      </c>
      <c r="H13" s="17">
        <f t="shared" si="1"/>
        <v>112921.14456429498</v>
      </c>
      <c r="I13" s="17">
        <f t="shared" si="2"/>
        <v>1454729.855435705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RryryLVImyOKq8QnJyYg+5pkVzPiOPC8lD8zktMfdZpM6jtvJn4s7msuSBmj8h4zEpWdQqABPFAtda7SIEqkOA==" saltValue="/K3KyRj88smIGywa8kAkr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101">
        <v>5.6525200000000053E-2</v>
      </c>
    </row>
    <row r="5" spans="1:8" ht="15.75" customHeight="1" x14ac:dyDescent="0.25">
      <c r="B5" s="19" t="s">
        <v>114</v>
      </c>
      <c r="C5" s="101">
        <v>2.0757499999999939E-2</v>
      </c>
    </row>
    <row r="6" spans="1:8" ht="15.75" customHeight="1" x14ac:dyDescent="0.25">
      <c r="B6" s="19" t="s">
        <v>110</v>
      </c>
      <c r="C6" s="101">
        <v>0.1493135000000001</v>
      </c>
    </row>
    <row r="7" spans="1:8" ht="15.75" customHeight="1" x14ac:dyDescent="0.25">
      <c r="B7" s="19" t="s">
        <v>115</v>
      </c>
      <c r="C7" s="101">
        <v>0.40648640000000003</v>
      </c>
    </row>
    <row r="8" spans="1:8" ht="15.75" customHeight="1" x14ac:dyDescent="0.25">
      <c r="B8" s="19" t="s">
        <v>117</v>
      </c>
      <c r="C8" s="101">
        <v>0</v>
      </c>
    </row>
    <row r="9" spans="1:8" ht="15.75" customHeight="1" x14ac:dyDescent="0.25">
      <c r="B9" s="19" t="s">
        <v>111</v>
      </c>
      <c r="C9" s="101">
        <v>0.28011749999999969</v>
      </c>
    </row>
    <row r="10" spans="1:8" ht="15.75" customHeight="1" x14ac:dyDescent="0.25">
      <c r="B10" s="19" t="s">
        <v>113</v>
      </c>
      <c r="C10" s="101">
        <v>8.6799900000000124E-2</v>
      </c>
    </row>
    <row r="11" spans="1:8" ht="15.75" customHeight="1" x14ac:dyDescent="0.25">
      <c r="B11" s="27" t="s">
        <v>79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8.9097416942887971E-3</v>
      </c>
      <c r="D14" s="55">
        <v>8.9097416942887971E-3</v>
      </c>
      <c r="E14" s="55">
        <v>8.9097416942887971E-3</v>
      </c>
      <c r="F14" s="55">
        <v>8.9097416942887971E-3</v>
      </c>
    </row>
    <row r="15" spans="1:8" ht="15.75" customHeight="1" x14ac:dyDescent="0.25">
      <c r="B15" s="19" t="s">
        <v>121</v>
      </c>
      <c r="C15" s="101">
        <v>0.25881244885449461</v>
      </c>
      <c r="D15" s="101">
        <v>0.25881244885449461</v>
      </c>
      <c r="E15" s="101">
        <v>0.25881244885449461</v>
      </c>
      <c r="F15" s="101">
        <v>0.25881244885449461</v>
      </c>
    </row>
    <row r="16" spans="1:8" ht="15.75" customHeight="1" x14ac:dyDescent="0.25">
      <c r="B16" s="19" t="s">
        <v>2</v>
      </c>
      <c r="C16" s="101">
        <v>1.4258279955122469E-2</v>
      </c>
      <c r="D16" s="101">
        <v>1.4258279955122469E-2</v>
      </c>
      <c r="E16" s="101">
        <v>1.4258279955122469E-2</v>
      </c>
      <c r="F16" s="101">
        <v>1.4258279955122469E-2</v>
      </c>
    </row>
    <row r="17" spans="1:8" ht="15.75" customHeight="1" x14ac:dyDescent="0.25">
      <c r="B17" s="19" t="s">
        <v>109</v>
      </c>
      <c r="C17" s="101">
        <v>0.40664903343666348</v>
      </c>
      <c r="D17" s="101">
        <v>0.40664903343666348</v>
      </c>
      <c r="E17" s="101">
        <v>0.40664903343666348</v>
      </c>
      <c r="F17" s="101">
        <v>0.40664903343666348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2.8834362732976088E-2</v>
      </c>
      <c r="D19" s="101">
        <v>2.8834362732976088E-2</v>
      </c>
      <c r="E19" s="101">
        <v>2.8834362732976088E-2</v>
      </c>
      <c r="F19" s="101">
        <v>2.8834362732976088E-2</v>
      </c>
    </row>
    <row r="20" spans="1:8" ht="15.75" customHeight="1" x14ac:dyDescent="0.25">
      <c r="B20" s="19" t="s">
        <v>98</v>
      </c>
      <c r="C20" s="101">
        <v>1.2534723612182681E-2</v>
      </c>
      <c r="D20" s="101">
        <v>1.2534723612182681E-2</v>
      </c>
      <c r="E20" s="101">
        <v>1.2534723612182681E-2</v>
      </c>
      <c r="F20" s="101">
        <v>1.2534723612182681E-2</v>
      </c>
    </row>
    <row r="21" spans="1:8" ht="15.75" customHeight="1" x14ac:dyDescent="0.25">
      <c r="B21" s="19" t="s">
        <v>107</v>
      </c>
      <c r="C21" s="101">
        <v>0.23122407885254981</v>
      </c>
      <c r="D21" s="101">
        <v>0.23122407885254981</v>
      </c>
      <c r="E21" s="101">
        <v>0.23122407885254981</v>
      </c>
      <c r="F21" s="101">
        <v>0.23122407885254981</v>
      </c>
    </row>
    <row r="22" spans="1:8" ht="15.75" customHeight="1" x14ac:dyDescent="0.25">
      <c r="B22" s="19" t="s">
        <v>118</v>
      </c>
      <c r="C22" s="101">
        <v>3.8777330861722123E-2</v>
      </c>
      <c r="D22" s="101">
        <v>3.8777330861722123E-2</v>
      </c>
      <c r="E22" s="101">
        <v>3.8777330861722123E-2</v>
      </c>
      <c r="F22" s="101">
        <v>3.8777330861722123E-2</v>
      </c>
    </row>
    <row r="23" spans="1:8" ht="15.75" customHeight="1" x14ac:dyDescent="0.25">
      <c r="B23" s="27" t="s">
        <v>79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4.5249643999999999E-2</v>
      </c>
    </row>
    <row r="27" spans="1:8" ht="15.75" customHeight="1" x14ac:dyDescent="0.25">
      <c r="B27" s="19" t="s">
        <v>108</v>
      </c>
      <c r="C27" s="101">
        <v>5.4447637999999993E-2</v>
      </c>
    </row>
    <row r="28" spans="1:8" ht="15.75" customHeight="1" x14ac:dyDescent="0.25">
      <c r="B28" s="19" t="s">
        <v>122</v>
      </c>
      <c r="C28" s="101">
        <v>9.8457505000000001E-2</v>
      </c>
    </row>
    <row r="29" spans="1:8" ht="15.75" customHeight="1" x14ac:dyDescent="0.25">
      <c r="B29" s="19" t="s">
        <v>105</v>
      </c>
      <c r="C29" s="101">
        <v>0.11500012900000001</v>
      </c>
    </row>
    <row r="30" spans="1:8" ht="15.75" customHeight="1" x14ac:dyDescent="0.25">
      <c r="B30" s="19" t="s">
        <v>4</v>
      </c>
      <c r="C30" s="101">
        <v>5.0745075000000001E-2</v>
      </c>
    </row>
    <row r="31" spans="1:8" ht="15.75" customHeight="1" x14ac:dyDescent="0.25">
      <c r="B31" s="19" t="s">
        <v>99</v>
      </c>
      <c r="C31" s="101">
        <v>3.6627643000000001E-2</v>
      </c>
    </row>
    <row r="32" spans="1:8" ht="15.75" customHeight="1" x14ac:dyDescent="0.25">
      <c r="B32" s="19" t="s">
        <v>104</v>
      </c>
      <c r="C32" s="101">
        <v>0.18180017400000001</v>
      </c>
    </row>
    <row r="33" spans="2:3" ht="15.75" customHeight="1" x14ac:dyDescent="0.25">
      <c r="B33" s="19" t="s">
        <v>119</v>
      </c>
      <c r="C33" s="101">
        <v>0.15539587599999999</v>
      </c>
    </row>
    <row r="34" spans="2:3" ht="15.75" customHeight="1" x14ac:dyDescent="0.25">
      <c r="B34" s="19" t="s">
        <v>106</v>
      </c>
      <c r="C34" s="101">
        <v>0.26227631499999998</v>
      </c>
    </row>
    <row r="35" spans="2:3" ht="15.75" customHeight="1" x14ac:dyDescent="0.25">
      <c r="B35" s="27" t="s">
        <v>79</v>
      </c>
      <c r="C35" s="48">
        <f>SUM(C26:C34)</f>
        <v>0.99999999900000014</v>
      </c>
    </row>
  </sheetData>
  <sheetProtection algorithmName="SHA-512" hashValue="ckR8Z1SFp9tOc7SmqpRU4yDNDL11CjUrkoYs/ANPfArSnlljSL5i+4OijJMfY9MHYiuKc5XjRcgbXAWd9vF1iw==" saltValue="Ktt3MpgEvVWO+bZe7gZLY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0.52348004516135949</v>
      </c>
      <c r="D2" s="52">
        <f>IFERROR(1-_xlfn.NORM.DIST(_xlfn.NORM.INV(SUM(D4:D5), 0, 1) + 1, 0, 1, TRUE), "")</f>
        <v>0.52348004516135949</v>
      </c>
      <c r="E2" s="52">
        <f>IFERROR(1-_xlfn.NORM.DIST(_xlfn.NORM.INV(SUM(E4:E5), 0, 1) + 1, 0, 1, TRUE), "")</f>
        <v>0.54262584524980317</v>
      </c>
      <c r="F2" s="52">
        <f>IFERROR(1-_xlfn.NORM.DIST(_xlfn.NORM.INV(SUM(F4:F5), 0, 1) + 1, 0, 1, TRUE), "")</f>
        <v>0.43500875746349121</v>
      </c>
      <c r="G2" s="52">
        <f>IFERROR(1-_xlfn.NORM.DIST(_xlfn.NORM.INV(SUM(G4:G5), 0, 1) + 1, 0, 1, TRUE), "")</f>
        <v>0.43747390115367946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0.33169496198149778</v>
      </c>
      <c r="D3" s="52">
        <f>IFERROR(_xlfn.NORM.DIST(_xlfn.NORM.INV(SUM(D4:D5), 0, 1) + 1, 0, 1, TRUE) - SUM(D4:D5), "")</f>
        <v>0.33169496198149778</v>
      </c>
      <c r="E3" s="52">
        <f>IFERROR(_xlfn.NORM.DIST(_xlfn.NORM.INV(SUM(E4:E5), 0, 1) + 1, 0, 1, TRUE) - SUM(E4:E5), "")</f>
        <v>0.32323827260733978</v>
      </c>
      <c r="F3" s="52">
        <f>IFERROR(_xlfn.NORM.DIST(_xlfn.NORM.INV(SUM(F4:F5), 0, 1) + 1, 0, 1, TRUE) - SUM(F4:F5), "")</f>
        <v>0.36351609610793739</v>
      </c>
      <c r="G3" s="52">
        <f>IFERROR(_xlfn.NORM.DIST(_xlfn.NORM.INV(SUM(G4:G5), 0, 1) + 1, 0, 1, TRUE) - SUM(G4:G5), "")</f>
        <v>0.36280645956060614</v>
      </c>
    </row>
    <row r="4" spans="1:15" ht="15.75" customHeight="1" x14ac:dyDescent="0.25">
      <c r="B4" s="5" t="s">
        <v>129</v>
      </c>
      <c r="C4" s="45">
        <v>7.8018074999999992E-2</v>
      </c>
      <c r="D4" s="53">
        <v>7.8018074999999992E-2</v>
      </c>
      <c r="E4" s="53">
        <v>7.6574760714285692E-2</v>
      </c>
      <c r="F4" s="53">
        <v>0.113136875</v>
      </c>
      <c r="G4" s="53">
        <v>0.117410317857143</v>
      </c>
    </row>
    <row r="5" spans="1:15" ht="15.75" customHeight="1" x14ac:dyDescent="0.25">
      <c r="B5" s="5" t="s">
        <v>125</v>
      </c>
      <c r="C5" s="45">
        <v>6.6806917857142795E-2</v>
      </c>
      <c r="D5" s="53">
        <v>6.6806917857142795E-2</v>
      </c>
      <c r="E5" s="53">
        <v>5.75611214285714E-2</v>
      </c>
      <c r="F5" s="53">
        <v>8.833827142857141E-2</v>
      </c>
      <c r="G5" s="53">
        <v>8.2309321428571405E-2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0.60412081188896594</v>
      </c>
      <c r="D8" s="52">
        <f>IFERROR(1-_xlfn.NORM.DIST(_xlfn.NORM.INV(SUM(D10:D11), 0, 1) + 1, 0, 1, TRUE), "")</f>
        <v>0.60412081188896594</v>
      </c>
      <c r="E8" s="52">
        <f>IFERROR(1-_xlfn.NORM.DIST(_xlfn.NORM.INV(SUM(E10:E11), 0, 1) + 1, 0, 1, TRUE), "")</f>
        <v>0.65634661995348842</v>
      </c>
      <c r="F8" s="52">
        <f>IFERROR(1-_xlfn.NORM.DIST(_xlfn.NORM.INV(SUM(F10:F11), 0, 1) + 1, 0, 1, TRUE), "")</f>
        <v>0.70726524983458217</v>
      </c>
      <c r="G8" s="52">
        <f>IFERROR(1-_xlfn.NORM.DIST(_xlfn.NORM.INV(SUM(G10:G11), 0, 1) + 1, 0, 1, TRUE), "")</f>
        <v>0.73948997109811798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0.29276919181473776</v>
      </c>
      <c r="D9" s="52">
        <f>IFERROR(_xlfn.NORM.DIST(_xlfn.NORM.INV(SUM(D10:D11), 0, 1) + 1, 0, 1, TRUE) - SUM(D10:D11), "")</f>
        <v>0.29276919181473776</v>
      </c>
      <c r="E9" s="52">
        <f>IFERROR(_xlfn.NORM.DIST(_xlfn.NORM.INV(SUM(E10:E11), 0, 1) + 1, 0, 1, TRUE) - SUM(E10:E11), "")</f>
        <v>0.26327227634280792</v>
      </c>
      <c r="F9" s="52">
        <f>IFERROR(_xlfn.NORM.DIST(_xlfn.NORM.INV(SUM(F10:F11), 0, 1) + 1, 0, 1, TRUE) - SUM(F10:F11), "")</f>
        <v>0.23161155144746914</v>
      </c>
      <c r="G9" s="52">
        <f>IFERROR(_xlfn.NORM.DIST(_xlfn.NORM.INV(SUM(G10:G11), 0, 1) + 1, 0, 1, TRUE) - SUM(G10:G11), "")</f>
        <v>0.21019158445743746</v>
      </c>
    </row>
    <row r="10" spans="1:15" ht="15.75" customHeight="1" x14ac:dyDescent="0.25">
      <c r="B10" s="5" t="s">
        <v>126</v>
      </c>
      <c r="C10" s="45">
        <v>5.5754911111111097E-2</v>
      </c>
      <c r="D10" s="53">
        <v>5.5754911111111097E-2</v>
      </c>
      <c r="E10" s="53">
        <v>4.8520040740740712E-2</v>
      </c>
      <c r="F10" s="53">
        <v>3.7735233333333298E-2</v>
      </c>
      <c r="G10" s="53">
        <v>3.2035677777777799E-2</v>
      </c>
    </row>
    <row r="11" spans="1:15" ht="15.75" customHeight="1" x14ac:dyDescent="0.25">
      <c r="B11" s="5" t="s">
        <v>138</v>
      </c>
      <c r="C11" s="45">
        <v>4.7355085185185199E-2</v>
      </c>
      <c r="D11" s="53">
        <v>4.7355085185185199E-2</v>
      </c>
      <c r="E11" s="53">
        <v>3.1861062962962997E-2</v>
      </c>
      <c r="F11" s="53">
        <v>2.3387965384615399E-2</v>
      </c>
      <c r="G11" s="53">
        <v>1.82827666666667E-2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0.27132991649999999</v>
      </c>
      <c r="D14" s="54">
        <v>0.26430615274399999</v>
      </c>
      <c r="E14" s="54">
        <v>0.26430615274399999</v>
      </c>
      <c r="F14" s="54">
        <v>0.223280819125</v>
      </c>
      <c r="G14" s="54">
        <v>0.223280819125</v>
      </c>
      <c r="H14" s="45">
        <v>0.35199999999999998</v>
      </c>
      <c r="I14" s="55">
        <v>0.35199999999999998</v>
      </c>
      <c r="J14" s="55">
        <v>0.35199999999999998</v>
      </c>
      <c r="K14" s="55">
        <v>0.35199999999999998</v>
      </c>
      <c r="L14" s="45">
        <v>0.311</v>
      </c>
      <c r="M14" s="55">
        <v>0.311</v>
      </c>
      <c r="N14" s="55">
        <v>0.311</v>
      </c>
      <c r="O14" s="55">
        <v>0.311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0.16489994276312547</v>
      </c>
      <c r="D15" s="52">
        <f t="shared" si="0"/>
        <v>0.16063127141170774</v>
      </c>
      <c r="E15" s="52">
        <f t="shared" si="0"/>
        <v>0.16063127141170774</v>
      </c>
      <c r="F15" s="52">
        <f t="shared" si="0"/>
        <v>0.13569824798076136</v>
      </c>
      <c r="G15" s="52">
        <f t="shared" si="0"/>
        <v>0.13569824798076136</v>
      </c>
      <c r="H15" s="52">
        <f t="shared" si="0"/>
        <v>0.21392694399999995</v>
      </c>
      <c r="I15" s="52">
        <f t="shared" si="0"/>
        <v>0.21392694399999995</v>
      </c>
      <c r="J15" s="52">
        <f t="shared" si="0"/>
        <v>0.21392694399999995</v>
      </c>
      <c r="K15" s="52">
        <f t="shared" si="0"/>
        <v>0.21392694399999995</v>
      </c>
      <c r="L15" s="52">
        <f t="shared" si="0"/>
        <v>0.18900931699999998</v>
      </c>
      <c r="M15" s="52">
        <f t="shared" si="0"/>
        <v>0.18900931699999998</v>
      </c>
      <c r="N15" s="52">
        <f t="shared" si="0"/>
        <v>0.18900931699999998</v>
      </c>
      <c r="O15" s="52">
        <f t="shared" si="0"/>
        <v>0.18900931699999998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rFjeyduPfEjg8wpa27eLAtADk3OE9Y+jo7LgaK3b2IYM3hoY3ngcY9AXAStAzgg3HzTuIbTJZ4maFxyEFzV56g==" saltValue="1paVCRRomcNXp8wOup6+N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0.486382325</v>
      </c>
      <c r="D2" s="53">
        <v>0.26502471875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0.22718172187499999</v>
      </c>
      <c r="D3" s="53">
        <v>0.23974491249999999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0.2311166375</v>
      </c>
      <c r="D4" s="53">
        <v>0.38933495624999997</v>
      </c>
      <c r="E4" s="53">
        <v>0.75684774375000008</v>
      </c>
      <c r="F4" s="53">
        <v>0.44418370624999998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5.5319315625000032E-2</v>
      </c>
      <c r="D5" s="52">
        <f t="shared" si="0"/>
        <v>0.10589541250000001</v>
      </c>
      <c r="E5" s="52">
        <f>1-SUM(E2:E4)</f>
        <v>0.24315225624999992</v>
      </c>
      <c r="F5" s="52">
        <f>1-SUM(F2:F4)</f>
        <v>0.55581629374999997</v>
      </c>
      <c r="G5" s="52">
        <f>1-SUM(G2:G4)</f>
        <v>1</v>
      </c>
    </row>
  </sheetData>
  <sheetProtection algorithmName="SHA-512" hashValue="E25pP3XnYYQvYiXOkxwNaO3ttVwgrh+vTGVo7nf4dDlJxa4HleGxzTSytDVGARMiIi0GCZtYmkWsWw3qWc2B/w==" saltValue="xPD1g7FH97m9zMrQxbYJo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DjNRP4qK4Xe/tfeiXq6o6mMQPdENEa8iqIK+6eflzQvwgCyYT8U43+Z8qwzGERok0nZRM5VK2pe6g6umrLZrJg==" saltValue="oHQgkDj6OIOEvGzBSckI8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4136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0.43676999999999999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0.31269999999999998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1.3525069731570312E-2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99255.509529999996</v>
      </c>
      <c r="C22" s="109">
        <v>99166.540599999993</v>
      </c>
      <c r="D22" s="109">
        <v>99070.554749999996</v>
      </c>
      <c r="E22" s="109">
        <v>98797.755000000005</v>
      </c>
      <c r="F22" s="109">
        <v>98430.130239999999</v>
      </c>
      <c r="G22" s="109">
        <v>98054.465500000006</v>
      </c>
      <c r="H22" s="109">
        <v>97621.17482</v>
      </c>
      <c r="I22" s="109">
        <v>97035.077579999997</v>
      </c>
      <c r="J22" s="109">
        <v>96146.403990000006</v>
      </c>
      <c r="K22" s="109">
        <v>94717.728489999994</v>
      </c>
      <c r="L22" s="109">
        <v>92388.470140000005</v>
      </c>
      <c r="M22" s="109">
        <v>88674.684370000003</v>
      </c>
      <c r="N22" s="109">
        <v>83066.922630000001</v>
      </c>
      <c r="O22" s="109">
        <v>75063.25576</v>
      </c>
    </row>
  </sheetData>
  <sheetProtection algorithmName="SHA-512" hashValue="v10cC4DfhDfqWXBzXa0uQm/vRJxjdzJSJ5jrMOYjairJagpyG1bQmFmNPHBxoTMuYjIK4ZWdV9IxYd+QojUKxg==" saltValue="h698XIZfFLREqZfzdHhhw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x7t19WrohP7Y1Ws0WSnCcvQgB6yEyrD8fUeBymlUz2mz9HHnwkqxUpgwRBkK7H6GFj3vV92lFYMuGJ8n5aqypA==" saltValue="9AJIuU23DPPMI6T58HiyG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PecWI7kcZHzbrhTZe4oBo2vvcXs5taTallYXC6/wv5WP6YE0C2a4e14J8YarL6UWFTdWUhRQ5pW6AM5mM/OILg==" saltValue="ON753T3TK48eFQtrMDL2S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7.4289688625382997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0.4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13.600489225152121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13.600489225152121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13.600489225152121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13.600489225152121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</v>
      </c>
      <c r="C14" s="98">
        <v>0.95</v>
      </c>
      <c r="D14" s="56">
        <v>13.600489225152121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13.600489225152121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7.992352075384429E-2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</v>
      </c>
      <c r="C18" s="98">
        <v>0.95</v>
      </c>
      <c r="D18" s="56">
        <v>7.4289688625382997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</v>
      </c>
      <c r="C19" s="98">
        <v>0.95</v>
      </c>
      <c r="D19" s="56">
        <v>18.912221099022862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7.4289688625382997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4.6470312755738146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2.9567118730808599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17.846880984952122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0.44400000000000001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</v>
      </c>
      <c r="C29" s="98">
        <v>0.95</v>
      </c>
      <c r="D29" s="56">
        <v>173.52890625098581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173.50469037871034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0.53033228587019021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0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0.9017522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</v>
      </c>
      <c r="C38" s="98">
        <v>0.95</v>
      </c>
      <c r="D38" s="56">
        <v>2.6612563971340846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f8d18rpWNuL4kWwCiDCyrkbZz47otLUdRe3XQNsGPM0WJs/sWk5jdVg/eotMt8AyMELvG2aAPlpyIFajrsE4iQ==" saltValue="84fRzJ6WVoJKagGqD9qb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+N8st9NJ2lti8H8nI92HkmHMIw3dWxSVzBWH4QXbAOBsjmw3c9R7sZODvgS7vwsl8n9/9OOLkV1FI8D8SbI1Fw==" saltValue="sFreUbWUqXC5uQNsLIVCY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H9StsOHMGI40eAgeRF+Mzf5ROgw9sAJ/eMtu4a8wkjmg6HnDAfhcrB7dtRagTZG6wDod18wpbNYM6T0ug9klxQ==" saltValue="UScpvOrlbzzJbVM6XKJ/Z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2.9</v>
      </c>
      <c r="C2" s="21">
        <f>'Entradas de población-año base'!C52</f>
        <v>2.9</v>
      </c>
      <c r="D2" s="21">
        <f>'Entradas de población-año base'!C53</f>
        <v>2.9</v>
      </c>
      <c r="E2" s="21">
        <f>'Entradas de población-año base'!C54</f>
        <v>2.9</v>
      </c>
      <c r="F2" s="21">
        <f>'Entradas de población-año base'!C55</f>
        <v>2.9</v>
      </c>
    </row>
    <row r="3" spans="1:6" ht="15.75" customHeight="1" x14ac:dyDescent="0.25">
      <c r="A3" s="3" t="s">
        <v>6</v>
      </c>
      <c r="B3" s="21">
        <f>frac_mam_1month * 2.6</f>
        <v>0.14496276888888884</v>
      </c>
      <c r="C3" s="21">
        <f>frac_mam_1_5months * 2.6</f>
        <v>0.14496276888888884</v>
      </c>
      <c r="D3" s="21">
        <f>frac_mam_6_11months * 2.6</f>
        <v>0.12615210592592585</v>
      </c>
      <c r="E3" s="21">
        <f>frac_mam_12_23months * 2.6</f>
        <v>9.8111606666666573E-2</v>
      </c>
      <c r="F3" s="21">
        <f>frac_mam_24_59months * 2.6</f>
        <v>8.3292762222222275E-2</v>
      </c>
    </row>
    <row r="4" spans="1:6" ht="15.75" customHeight="1" x14ac:dyDescent="0.25">
      <c r="A4" s="3" t="s">
        <v>236</v>
      </c>
      <c r="B4" s="21">
        <f>frac_sam_1month * 2.6</f>
        <v>0.12312322148148153</v>
      </c>
      <c r="C4" s="21">
        <f>frac_sam_1_5months * 2.6</f>
        <v>0.12312322148148153</v>
      </c>
      <c r="D4" s="21">
        <f>frac_sam_6_11months * 2.6</f>
        <v>8.2838763703703799E-2</v>
      </c>
      <c r="E4" s="21">
        <f>frac_sam_12_23months * 2.6</f>
        <v>6.0808710000000037E-2</v>
      </c>
      <c r="F4" s="21">
        <f>frac_sam_24_59months * 2.6</f>
        <v>4.753519333333342E-2</v>
      </c>
    </row>
  </sheetData>
  <sheetProtection algorithmName="SHA-512" hashValue="QeO/25J0NtyyzUuhqKHpjfkKWO0tNp1UtrqsBudd2i2l+g3CjW1DEfCkZmvDExh6G3cAJ/f9z+DQce8TxIa3Xw==" saltValue="jQ7lfzwa2FKSG7Lc5KzW7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1.4999999999999999E-2</v>
      </c>
      <c r="F2" s="60">
        <f>food_insecure</f>
        <v>1.4999999999999999E-2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1.4999999999999999E-2</v>
      </c>
      <c r="I15" s="60">
        <f t="shared" si="0"/>
        <v>1.4999999999999999E-2</v>
      </c>
      <c r="J15" s="60">
        <f t="shared" si="0"/>
        <v>1.4999999999999999E-2</v>
      </c>
      <c r="K15" s="60">
        <f t="shared" si="0"/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1.4999999999999999E-2</v>
      </c>
      <c r="I16" s="60">
        <f t="shared" si="0"/>
        <v>1.4999999999999999E-2</v>
      </c>
      <c r="J16" s="60">
        <f t="shared" si="0"/>
        <v>1.4999999999999999E-2</v>
      </c>
      <c r="K16" s="60">
        <f t="shared" si="0"/>
        <v>1.4999999999999999E-2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0.36399999999999999</v>
      </c>
      <c r="M24" s="60">
        <f>famplan_unmet_need</f>
        <v>0.36399999999999999</v>
      </c>
      <c r="N24" s="60">
        <f>famplan_unmet_need</f>
        <v>0.36399999999999999</v>
      </c>
      <c r="O24" s="60">
        <f>famplan_unmet_need</f>
        <v>0.36399999999999999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0.1726341044616696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7.3986044769286968E-2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0.10344393768310528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0.64993591308593812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sN2u5lyC+QFfDhC3bqskiGi/4wdEFvm7G7/GeQG+eE2AkF/whE9Py8hNNMCZ7VMzOt7+6vLf53xY2FxzR0CcdQ==" saltValue="A5Q4GYBnglRaxfVr203Bw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XQzGnFBRVSlyu/oJPnxmH//6IPMyO10EfgoxAy9JEW3Qp8nd82ljV/oDhMvAYXFZD4y+huEr8+cHCNnDgeuYIw==" saltValue="S2E55RwKVEpOufYq2NPZk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cpv/9h/Xw4JlKVwUSzyItW9B1IshcqSlRqJ5WjGnPniBsw3CyBp9mGZVETX5dEcTrgGZinQg1Bw2B9M47KEL2w==" saltValue="gkfMPhL0qTqWs17oWKBJi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yJXwOL0KR0UgHFYg1jIqNMXX/tIbgZ6mpJ8Fvh9uKBqnhWEffLzJnRE15u5Q6MnxQKYZBWXwKFwRNpKpc1wsrA==" saltValue="/lu93nUcB5AU6TMkpQrkG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eXRLEiV23/o4Ah2SWZv7SyMLf7iBwLv9VOgmUpjkYGkz98BmpWsf751rZ47NgPU0mh667XyLEdItAHV1TgsoeA==" saltValue="0qnEnNZz3GYd2bGToCM4i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5qiIEXkRbkq4G5Vsj19IOmAeyNi/ocmX7jwKr37WmjfA7oWJ0CXs4wm+9GQt58/bn1SZAGzn2VRdmqTDGAEESg==" saltValue="CmORnEIJGossdSuqiih4o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I8v1F4QAiCmkgFYzrN322wrr5vnBOPZ45OjvHoO+mxlj3Q3YK+NHgJUv+HvyB1x+iJiORLRsnBLPJKFmzNRzHg==" saltValue="FGu1bWO5CGt2wk3e+bRei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FTipEkeP9EmfE4TeftqumPu55GEqQYMQjLopKVyPyc8y1/jwRVMK0W/eQCaTVs/UAMPA52p4UxELTB/PoV2NNQ==" saltValue="rWnLzkidwByNBcdr+mR0J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DtNWvmMuqU6Lz1S6UGlqt7g/+U/KS1Aog859Ch8GLhR/qlHvjp+6T7uZp88m0y+J4Yd84s/YFKAbUeRq8BScOg==" saltValue="7xfGiU2AFqAKCAjCxFUx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quTt6t8cxtlQDKsuoxmGgZwg2Cg7AYO/u04h7FFCJbJcy+UXbKBPZ36F6L7l6MxiUof4DPJ4w04DTTQWKPUOjg==" saltValue="HvxuOePMPFplPZoGjvkxY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ddOfsluPKcb4JVMeoqOyVC/g+HNs/gmIAZyoLr7DDvZnkeBXT7yYWPA2dRzXm8yUbdsJZKRiZ5kmQQ0u1xXlxw==" saltValue="tE+0935jcAKPZQbHHYmy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yzyT8a5A2GEwrREtU/NVp7joqsUnGXCUEfgtAN7z+IV93K5BLXUku/f6ixebeQB9+UO53JeI2cx4wPEFN7onmA==" saltValue="GkixLtFB5J8dB0nlY0c/2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2OJYwgq9HVmysrU8tZZMy8Y5Y3smKf2arIaLLiTzPkE59+p+mQnUAH5DaXRMXPRIQnuVmnNc3/F8u2r5cHqDqw==" saltValue="ssrltLgmRnyePtTgUnpYL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LoQRcR2TQJr4eNpq+hAl6ISOIx8yunvfKgv/MSNcR2GiaETHNIlAdKSRkNKe170g1w9jiGLFWERHt6hl/5gT9Q==" saltValue="KXtdV+KKBQF9jUBj4Lku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zOFNfnA03ND59bH6CtTHhJSh061EaBEHWQPz12VDkilsobzHnHyI4X/xLeaNFL1H3zGrF4SqToIx97MjtSynYw==" saltValue="0B+AJ43JdcGRDYhQsLZgx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2025-07-04T01:46:54Z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