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EA9909C9-14D2-4465-924A-ADE2DDBCE8A0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38" i="2" l="1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<sst xmlns="http://schemas.openxmlformats.org/spreadsheetml/2006/main" count="2169" uniqueCount="373">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</sst>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454169.5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0.64993591308593812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3.5799999999999998E-2</v>
      </c>
    </row>
    <row r="24" spans="1:3" ht="15" customHeight="1" x14ac:dyDescent="0.25">
      <c r="B24" s="15" t="s">
        <v>65</v>
      </c>
      <c r="C24" s="45">
        <v>0.50009999999999999</v>
      </c>
    </row>
    <row r="25" spans="1:3" ht="15" customHeight="1" x14ac:dyDescent="0.25">
      <c r="B25" s="15" t="s">
        <v>66</v>
      </c>
      <c r="C25" s="45">
        <v>0.41830000000000001</v>
      </c>
    </row>
    <row r="26" spans="1:3" ht="15" customHeight="1" x14ac:dyDescent="0.25">
      <c r="B26" s="15" t="s">
        <v>67</v>
      </c>
      <c r="C26" s="45">
        <v>4.58E-2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0.34453989050682299</v>
      </c>
    </row>
    <row r="30" spans="1:3" ht="14.25" customHeight="1" x14ac:dyDescent="0.25">
      <c r="B30" s="25" t="s">
        <v>82</v>
      </c>
      <c r="C30" s="97">
        <v>4.9975046177627103E-2</v>
      </c>
    </row>
    <row r="31" spans="1:3" ht="14.25" customHeight="1" x14ac:dyDescent="0.25">
      <c r="B31" s="25" t="s">
        <v>29</v>
      </c>
      <c r="C31" s="97">
        <v>6.4980512501330898E-2</v>
      </c>
    </row>
    <row r="32" spans="1:3" ht="14.25" customHeight="1" x14ac:dyDescent="0.25">
      <c r="B32" s="25" t="s">
        <v>30</v>
      </c>
      <c r="C32" s="97">
        <v>0.540504550814219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4.7846799999999998</v>
      </c>
    </row>
    <row r="38" spans="1:5" ht="15" customHeight="1" x14ac:dyDescent="0.25">
      <c r="B38" s="11" t="s">
        <v>54</v>
      </c>
      <c r="C38" s="43">
        <v>7.0508600000000001</v>
      </c>
      <c r="D38" s="12"/>
      <c r="E38" s="13"/>
    </row>
    <row r="39" spans="1:5" ht="15" customHeight="1" x14ac:dyDescent="0.25">
      <c r="B39" s="11" t="s">
        <v>80</v>
      </c>
      <c r="C39" s="43">
        <v>8.2388399999999997</v>
      </c>
      <c r="D39" s="12"/>
      <c r="E39" s="12"/>
    </row>
    <row r="40" spans="1:5" ht="15" customHeight="1" x14ac:dyDescent="0.25">
      <c r="B40" s="11" t="s">
        <v>55</v>
      </c>
      <c r="C40" s="98">
        <v>0.21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5.9434800000000001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7.4982E-3</v>
      </c>
      <c r="D45" s="12"/>
    </row>
    <row r="46" spans="1:5" ht="15.75" customHeight="1" x14ac:dyDescent="0.25">
      <c r="B46" s="11" t="s">
        <v>70</v>
      </c>
      <c r="C46" s="45">
        <v>7.9942600000000003E-2</v>
      </c>
      <c r="D46" s="12"/>
    </row>
    <row r="47" spans="1:5" ht="15.75" customHeight="1" x14ac:dyDescent="0.25">
      <c r="B47" s="11" t="s">
        <v>78</v>
      </c>
      <c r="C47" s="45">
        <v>5.4437800000000001E-2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2.9</v>
      </c>
      <c r="D51" s="12"/>
    </row>
    <row r="52" spans="1:4" ht="15" customHeight="1" x14ac:dyDescent="0.25">
      <c r="B52" s="11" t="s">
        <v>32</v>
      </c>
      <c r="C52" s="98">
        <v>2.9</v>
      </c>
    </row>
    <row r="53" spans="1:4" ht="15.75" customHeight="1" x14ac:dyDescent="0.25">
      <c r="B53" s="11" t="s">
        <v>35</v>
      </c>
      <c r="C53" s="98">
        <v>2.9</v>
      </c>
    </row>
    <row r="54" spans="1:4" ht="15.75" customHeight="1" x14ac:dyDescent="0.25">
      <c r="B54" s="11" t="s">
        <v>33</v>
      </c>
      <c r="C54" s="98">
        <v>2.9</v>
      </c>
    </row>
    <row r="55" spans="1:4" ht="15.75" customHeight="1" x14ac:dyDescent="0.25">
      <c r="B55" s="11" t="s">
        <v>34</v>
      </c>
      <c r="C55" s="98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0.60774699999999993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9.2394466000000008E-2</v>
      </c>
    </row>
    <row r="63" spans="1:4" ht="15.75" customHeight="1" x14ac:dyDescent="0.3">
      <c r="A63" s="4"/>
    </row>
  </sheetData>
  <sheetProtection algorithmName="SHA-512" hashValue="yvP+eZdak7GP1cT6l9A5ewiEoi20nr2SlI/S+h0r+dpv+FX8BwSbB8wCA1RKAxwbECgDEJtVyay/75OzwEDOgg==" saltValue="Vn3a1ETUW7Xvfbn2z3jD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92653</v>
      </c>
      <c r="C2" s="49">
        <v>251772</v>
      </c>
      <c r="D2" s="49">
        <v>435135</v>
      </c>
      <c r="E2" s="49">
        <v>384785.49999999994</v>
      </c>
      <c r="F2" s="49">
        <v>360382.5</v>
      </c>
      <c r="G2" s="17">
        <f t="shared" ref="G2:G13" si="0">C2+D2+E2+F2</f>
        <v>1432075</v>
      </c>
      <c r="H2" s="17">
        <f t="shared" ref="H2:H13" si="1">(B2 + stillbirth*B2/(1000-stillbirth))/(1-abortion)</f>
        <v>105917.01566426021</v>
      </c>
      <c r="I2" s="17">
        <f t="shared" ref="I2:I13" si="2">G2-H2</f>
        <v>1326157.9843357399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92538</v>
      </c>
      <c r="C3" s="50">
        <v>257649.99999999997</v>
      </c>
      <c r="D3" s="50">
        <v>439494</v>
      </c>
      <c r="E3" s="50">
        <v>386786</v>
      </c>
      <c r="F3" s="50">
        <v>363163</v>
      </c>
      <c r="G3" s="17">
        <f t="shared" si="0"/>
        <v>1447093</v>
      </c>
      <c r="H3" s="17">
        <f t="shared" si="1"/>
        <v>105785.55249737528</v>
      </c>
      <c r="I3" s="17">
        <f t="shared" si="2"/>
        <v>1341307.4475026247</v>
      </c>
    </row>
    <row r="4" spans="1:9" ht="15.75" customHeight="1" x14ac:dyDescent="0.25">
      <c r="A4" s="5">
        <f t="shared" si="3"/>
        <v>2026</v>
      </c>
      <c r="B4" s="49">
        <v>92671</v>
      </c>
      <c r="C4" s="50">
        <v>263767.5</v>
      </c>
      <c r="D4" s="50">
        <v>445381.49999999994</v>
      </c>
      <c r="E4" s="50">
        <v>389937</v>
      </c>
      <c r="F4" s="50">
        <v>365568.5</v>
      </c>
      <c r="G4" s="17">
        <f t="shared" si="0"/>
        <v>1464654.5</v>
      </c>
      <c r="H4" s="17">
        <f t="shared" si="1"/>
        <v>105937.59250777264</v>
      </c>
      <c r="I4" s="17">
        <f t="shared" si="2"/>
        <v>1358716.9074922274</v>
      </c>
    </row>
    <row r="5" spans="1:9" ht="15.75" customHeight="1" x14ac:dyDescent="0.25">
      <c r="A5" s="5">
        <f t="shared" si="3"/>
        <v>2027</v>
      </c>
      <c r="B5" s="49">
        <v>93054</v>
      </c>
      <c r="C5" s="50">
        <v>269367</v>
      </c>
      <c r="D5" s="50">
        <v>452350.5</v>
      </c>
      <c r="E5" s="50">
        <v>393847.99999999994</v>
      </c>
      <c r="F5" s="50">
        <v>367454.5</v>
      </c>
      <c r="G5" s="17">
        <f t="shared" si="0"/>
        <v>1483020</v>
      </c>
      <c r="H5" s="17">
        <f t="shared" si="1"/>
        <v>106375.42201139813</v>
      </c>
      <c r="I5" s="17">
        <f t="shared" si="2"/>
        <v>1376644.5779886018</v>
      </c>
    </row>
    <row r="6" spans="1:9" ht="15.75" customHeight="1" x14ac:dyDescent="0.25">
      <c r="A6" s="5">
        <f t="shared" si="3"/>
        <v>2028</v>
      </c>
      <c r="B6" s="49">
        <v>93476</v>
      </c>
      <c r="C6" s="50">
        <v>273691.5</v>
      </c>
      <c r="D6" s="50">
        <v>460368</v>
      </c>
      <c r="E6" s="50">
        <v>398256.5</v>
      </c>
      <c r="F6" s="50">
        <v>368990</v>
      </c>
      <c r="G6" s="17">
        <f t="shared" si="0"/>
        <v>1501306</v>
      </c>
      <c r="H6" s="17">
        <f t="shared" si="1"/>
        <v>106857.83467596718</v>
      </c>
      <c r="I6" s="17">
        <f t="shared" si="2"/>
        <v>1394448.1653240328</v>
      </c>
    </row>
    <row r="7" spans="1:9" ht="15.75" customHeight="1" x14ac:dyDescent="0.25">
      <c r="A7" s="5">
        <f t="shared" si="3"/>
        <v>2029</v>
      </c>
      <c r="B7" s="49">
        <v>94046</v>
      </c>
      <c r="C7" s="50">
        <v>276032.5</v>
      </c>
      <c r="D7" s="50">
        <v>469549</v>
      </c>
      <c r="E7" s="50">
        <v>403005.5</v>
      </c>
      <c r="F7" s="50">
        <v>370445.50000000006</v>
      </c>
      <c r="G7" s="17">
        <f t="shared" si="0"/>
        <v>1519032.5</v>
      </c>
      <c r="H7" s="17">
        <f t="shared" si="1"/>
        <v>107509.43472052729</v>
      </c>
      <c r="I7" s="17">
        <f t="shared" si="2"/>
        <v>1411523.0652794726</v>
      </c>
    </row>
    <row r="8" spans="1:9" ht="15.75" customHeight="1" x14ac:dyDescent="0.25">
      <c r="A8" s="5">
        <f t="shared" si="3"/>
        <v>2030</v>
      </c>
      <c r="B8" s="49">
        <v>94877</v>
      </c>
      <c r="C8" s="50">
        <v>275676</v>
      </c>
      <c r="D8" s="50">
        <v>479762</v>
      </c>
      <c r="E8" s="50">
        <v>407863.5</v>
      </c>
      <c r="F8" s="50">
        <v>371924.49999999994</v>
      </c>
      <c r="G8" s="17">
        <f t="shared" si="0"/>
        <v>1535226</v>
      </c>
      <c r="H8" s="17">
        <f t="shared" si="1"/>
        <v>108459.39899601758</v>
      </c>
      <c r="I8" s="17">
        <f t="shared" si="2"/>
        <v>1426766.6010039824</v>
      </c>
    </row>
    <row r="9" spans="1:9" ht="15.75" customHeight="1" x14ac:dyDescent="0.25">
      <c r="A9" s="5">
        <f t="shared" si="3"/>
        <v>2031</v>
      </c>
      <c r="B9" s="49">
        <v>95913</v>
      </c>
      <c r="C9" s="50">
        <v>271980</v>
      </c>
      <c r="D9" s="50">
        <v>490737.5</v>
      </c>
      <c r="E9" s="50">
        <v>412788</v>
      </c>
      <c r="F9" s="50">
        <v>373498</v>
      </c>
      <c r="G9" s="17">
        <f t="shared" si="0"/>
        <v>1549003.5</v>
      </c>
      <c r="H9" s="17">
        <f t="shared" si="1"/>
        <v>109643.71065595491</v>
      </c>
      <c r="I9" s="17">
        <f t="shared" si="2"/>
        <v>1439359.7893440451</v>
      </c>
    </row>
    <row r="10" spans="1:9" ht="15.75" customHeight="1" x14ac:dyDescent="0.25">
      <c r="A10" s="5">
        <f t="shared" si="3"/>
        <v>2032</v>
      </c>
      <c r="B10" s="49">
        <v>96874</v>
      </c>
      <c r="C10" s="50">
        <v>264659</v>
      </c>
      <c r="D10" s="50">
        <v>501490</v>
      </c>
      <c r="E10" s="50">
        <v>417655.99999999994</v>
      </c>
      <c r="F10" s="50">
        <v>375186.5</v>
      </c>
      <c r="G10" s="17">
        <f t="shared" si="0"/>
        <v>1558991.5</v>
      </c>
      <c r="H10" s="17">
        <f t="shared" si="1"/>
        <v>110742.28546792379</v>
      </c>
      <c r="I10" s="17">
        <f t="shared" si="2"/>
        <v>1448249.2145320761</v>
      </c>
    </row>
    <row r="11" spans="1:9" ht="15.75" customHeight="1" x14ac:dyDescent="0.25">
      <c r="A11" s="5">
        <f t="shared" si="3"/>
        <v>2033</v>
      </c>
      <c r="B11" s="49">
        <v>97646</v>
      </c>
      <c r="C11" s="50">
        <v>253850</v>
      </c>
      <c r="D11" s="50">
        <v>510861</v>
      </c>
      <c r="E11" s="50">
        <v>422400.49999999994</v>
      </c>
      <c r="F11" s="50">
        <v>377005.5</v>
      </c>
      <c r="G11" s="17">
        <f t="shared" si="0"/>
        <v>1564117</v>
      </c>
      <c r="H11" s="17">
        <f t="shared" si="1"/>
        <v>111624.80342301223</v>
      </c>
      <c r="I11" s="17">
        <f t="shared" si="2"/>
        <v>1452492.1965769879</v>
      </c>
    </row>
    <row r="12" spans="1:9" ht="15.75" customHeight="1" x14ac:dyDescent="0.25">
      <c r="A12" s="5">
        <f t="shared" si="3"/>
        <v>2034</v>
      </c>
      <c r="B12" s="49">
        <v>98210</v>
      </c>
      <c r="C12" s="50">
        <v>239935</v>
      </c>
      <c r="D12" s="50">
        <v>518679</v>
      </c>
      <c r="E12" s="50">
        <v>427576.5</v>
      </c>
      <c r="F12" s="50">
        <v>379244.5</v>
      </c>
      <c r="G12" s="17">
        <f t="shared" si="0"/>
        <v>1565435</v>
      </c>
      <c r="H12" s="17">
        <f t="shared" si="1"/>
        <v>112269.54451973487</v>
      </c>
      <c r="I12" s="17">
        <f t="shared" si="2"/>
        <v>1453165.4554802652</v>
      </c>
    </row>
    <row r="13" spans="1:9" ht="15.75" customHeight="1" x14ac:dyDescent="0.25">
      <c r="A13" s="5">
        <f t="shared" si="3"/>
        <v>2035</v>
      </c>
      <c r="B13" s="49">
        <v>98780</v>
      </c>
      <c r="C13" s="50">
        <v>228145.5</v>
      </c>
      <c r="D13" s="50">
        <v>524135</v>
      </c>
      <c r="E13" s="50">
        <v>433310</v>
      </c>
      <c r="F13" s="50">
        <v>382060.5</v>
      </c>
      <c r="G13" s="17">
        <f t="shared" si="0"/>
        <v>1567651</v>
      </c>
      <c r="H13" s="17">
        <f t="shared" si="1"/>
        <v>112921.14456429498</v>
      </c>
      <c r="I13" s="17">
        <f t="shared" si="2"/>
        <v>1454729.855435705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bW+KqGtgYpIGzgrtKiqJ3KS0425gMcATZkFX6044oJV63y5hWZl5n03ghN5ciKVkEday3BmmQAzeMDKgaS+Pw==" saltValue="mC1oHzZWBn3blif45e3fj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5.6525200000000053E-2</v>
      </c>
    </row>
    <row r="5" spans="1:8" ht="15.75" customHeight="1" x14ac:dyDescent="0.25">
      <c r="B5" s="19" t="s">
        <v>114</v>
      </c>
      <c r="C5" s="99">
        <v>2.0757499999999939E-2</v>
      </c>
    </row>
    <row r="6" spans="1:8" ht="15.75" customHeight="1" x14ac:dyDescent="0.25">
      <c r="B6" s="19" t="s">
        <v>110</v>
      </c>
      <c r="C6" s="99">
        <v>0.1493135000000001</v>
      </c>
    </row>
    <row r="7" spans="1:8" ht="15.75" customHeight="1" x14ac:dyDescent="0.25">
      <c r="B7" s="19" t="s">
        <v>115</v>
      </c>
      <c r="C7" s="99">
        <v>0.40648640000000003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0.28011749999999969</v>
      </c>
    </row>
    <row r="10" spans="1:8" ht="15.75" customHeight="1" x14ac:dyDescent="0.25">
      <c r="B10" s="19" t="s">
        <v>113</v>
      </c>
      <c r="C10" s="99">
        <v>8.6799900000000124E-2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8.9097416942887971E-3</v>
      </c>
      <c r="D14" s="55">
        <v>8.9097416942887971E-3</v>
      </c>
      <c r="E14" s="55">
        <v>8.9097416942887971E-3</v>
      </c>
      <c r="F14" s="55">
        <v>8.9097416942887971E-3</v>
      </c>
    </row>
    <row r="15" spans="1:8" ht="15.75" customHeight="1" x14ac:dyDescent="0.25">
      <c r="B15" s="19" t="s">
        <v>121</v>
      </c>
      <c r="C15" s="99">
        <v>0.25881244885449461</v>
      </c>
      <c r="D15" s="99">
        <v>0.25881244885449461</v>
      </c>
      <c r="E15" s="99">
        <v>0.25881244885449461</v>
      </c>
      <c r="F15" s="99">
        <v>0.25881244885449461</v>
      </c>
    </row>
    <row r="16" spans="1:8" ht="15.75" customHeight="1" x14ac:dyDescent="0.25">
      <c r="B16" s="19" t="s">
        <v>2</v>
      </c>
      <c r="C16" s="99">
        <v>1.4258279955122469E-2</v>
      </c>
      <c r="D16" s="99">
        <v>1.4258279955122469E-2</v>
      </c>
      <c r="E16" s="99">
        <v>1.4258279955122469E-2</v>
      </c>
      <c r="F16" s="99">
        <v>1.4258279955122469E-2</v>
      </c>
    </row>
    <row r="17" spans="1:8" ht="15.75" customHeight="1" x14ac:dyDescent="0.25">
      <c r="B17" s="19" t="s">
        <v>109</v>
      </c>
      <c r="C17" s="99">
        <v>0.40664903343666348</v>
      </c>
      <c r="D17" s="99">
        <v>0.40664903343666348</v>
      </c>
      <c r="E17" s="99">
        <v>0.40664903343666348</v>
      </c>
      <c r="F17" s="99">
        <v>0.40664903343666348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2.8834362732976088E-2</v>
      </c>
      <c r="D19" s="99">
        <v>2.8834362732976088E-2</v>
      </c>
      <c r="E19" s="99">
        <v>2.8834362732976088E-2</v>
      </c>
      <c r="F19" s="99">
        <v>2.8834362732976088E-2</v>
      </c>
    </row>
    <row r="20" spans="1:8" ht="15.75" customHeight="1" x14ac:dyDescent="0.25">
      <c r="B20" s="19" t="s">
        <v>98</v>
      </c>
      <c r="C20" s="99">
        <v>1.2534723612182681E-2</v>
      </c>
      <c r="D20" s="99">
        <v>1.2534723612182681E-2</v>
      </c>
      <c r="E20" s="99">
        <v>1.2534723612182681E-2</v>
      </c>
      <c r="F20" s="99">
        <v>1.2534723612182681E-2</v>
      </c>
    </row>
    <row r="21" spans="1:8" ht="15.75" customHeight="1" x14ac:dyDescent="0.25">
      <c r="B21" s="19" t="s">
        <v>107</v>
      </c>
      <c r="C21" s="99">
        <v>0.23122407885254981</v>
      </c>
      <c r="D21" s="99">
        <v>0.23122407885254981</v>
      </c>
      <c r="E21" s="99">
        <v>0.23122407885254981</v>
      </c>
      <c r="F21" s="99">
        <v>0.23122407885254981</v>
      </c>
    </row>
    <row r="22" spans="1:8" ht="15.75" customHeight="1" x14ac:dyDescent="0.25">
      <c r="B22" s="19" t="s">
        <v>118</v>
      </c>
      <c r="C22" s="99">
        <v>3.8777330861722123E-2</v>
      </c>
      <c r="D22" s="99">
        <v>3.8777330861722123E-2</v>
      </c>
      <c r="E22" s="99">
        <v>3.8777330861722123E-2</v>
      </c>
      <c r="F22" s="99">
        <v>3.8777330861722123E-2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4.5249643999999999E-2</v>
      </c>
    </row>
    <row r="27" spans="1:8" ht="15.75" customHeight="1" x14ac:dyDescent="0.25">
      <c r="B27" s="19" t="s">
        <v>108</v>
      </c>
      <c r="C27" s="99">
        <v>5.4447637999999993E-2</v>
      </c>
    </row>
    <row r="28" spans="1:8" ht="15.75" customHeight="1" x14ac:dyDescent="0.25">
      <c r="B28" s="19" t="s">
        <v>122</v>
      </c>
      <c r="C28" s="99">
        <v>9.8457505000000001E-2</v>
      </c>
    </row>
    <row r="29" spans="1:8" ht="15.75" customHeight="1" x14ac:dyDescent="0.25">
      <c r="B29" s="19" t="s">
        <v>105</v>
      </c>
      <c r="C29" s="99">
        <v>0.11500012900000001</v>
      </c>
    </row>
    <row r="30" spans="1:8" ht="15.75" customHeight="1" x14ac:dyDescent="0.25">
      <c r="B30" s="19" t="s">
        <v>4</v>
      </c>
      <c r="C30" s="99">
        <v>5.0745075000000001E-2</v>
      </c>
    </row>
    <row r="31" spans="1:8" ht="15.75" customHeight="1" x14ac:dyDescent="0.25">
      <c r="B31" s="19" t="s">
        <v>99</v>
      </c>
      <c r="C31" s="99">
        <v>3.6627643000000001E-2</v>
      </c>
    </row>
    <row r="32" spans="1:8" ht="15.75" customHeight="1" x14ac:dyDescent="0.25">
      <c r="B32" s="19" t="s">
        <v>104</v>
      </c>
      <c r="C32" s="99">
        <v>0.18180017400000001</v>
      </c>
    </row>
    <row r="33" spans="2:3" ht="15.75" customHeight="1" x14ac:dyDescent="0.25">
      <c r="B33" s="19" t="s">
        <v>119</v>
      </c>
      <c r="C33" s="99">
        <v>0.15539587599999999</v>
      </c>
    </row>
    <row r="34" spans="2:3" ht="15.75" customHeight="1" x14ac:dyDescent="0.25">
      <c r="B34" s="19" t="s">
        <v>106</v>
      </c>
      <c r="C34" s="99">
        <v>0.26227631499999998</v>
      </c>
    </row>
    <row r="35" spans="2:3" ht="15.75" customHeight="1" x14ac:dyDescent="0.25">
      <c r="B35" s="27" t="s">
        <v>79</v>
      </c>
      <c r="C35" s="48">
        <f>SUM(C26:C34)</f>
        <v>0.99999999900000014</v>
      </c>
    </row>
  </sheetData>
  <sheetProtection algorithmName="SHA-512" hashValue="TR5t/D8tlxDOvMYBgXPlxyQHOxpQYlpUz+EyrKNOkOJme9BMnlkC8MyvcfHrW8KVIFm4MPSIpXiqbpZ1hJW8mw==" saltValue="WAHci5bntbSI0DkIPlq34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0.52348004516135949</v>
      </c>
      <c r="D2" s="52">
        <f>IFERROR(1-_xlfn.NORM.DIST(_xlfn.NORM.INV(SUM(D4:D5), 0, 1) + 1, 0, 1, TRUE), "")</f>
        <v>0.52348004516135949</v>
      </c>
      <c r="E2" s="52">
        <f>IFERROR(1-_xlfn.NORM.DIST(_xlfn.NORM.INV(SUM(E4:E5), 0, 1) + 1, 0, 1, TRUE), "")</f>
        <v>0.54262584524980317</v>
      </c>
      <c r="F2" s="52">
        <f>IFERROR(1-_xlfn.NORM.DIST(_xlfn.NORM.INV(SUM(F4:F5), 0, 1) + 1, 0, 1, TRUE), "")</f>
        <v>0.43500875746349121</v>
      </c>
      <c r="G2" s="52">
        <f>IFERROR(1-_xlfn.NORM.DIST(_xlfn.NORM.INV(SUM(G4:G5), 0, 1) + 1, 0, 1, TRUE), "")</f>
        <v>0.43747390115367946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0.33169496198149778</v>
      </c>
      <c r="D3" s="52">
        <f>IFERROR(_xlfn.NORM.DIST(_xlfn.NORM.INV(SUM(D4:D5), 0, 1) + 1, 0, 1, TRUE) - SUM(D4:D5), "")</f>
        <v>0.33169496198149778</v>
      </c>
      <c r="E3" s="52">
        <f>IFERROR(_xlfn.NORM.DIST(_xlfn.NORM.INV(SUM(E4:E5), 0, 1) + 1, 0, 1, TRUE) - SUM(E4:E5), "")</f>
        <v>0.32323827260733978</v>
      </c>
      <c r="F3" s="52">
        <f>IFERROR(_xlfn.NORM.DIST(_xlfn.NORM.INV(SUM(F4:F5), 0, 1) + 1, 0, 1, TRUE) - SUM(F4:F5), "")</f>
        <v>0.36351609610793739</v>
      </c>
      <c r="G3" s="52">
        <f>IFERROR(_xlfn.NORM.DIST(_xlfn.NORM.INV(SUM(G4:G5), 0, 1) + 1, 0, 1, TRUE) - SUM(G4:G5), "")</f>
        <v>0.36280645956060614</v>
      </c>
    </row>
    <row r="4" spans="1:15" ht="15.75" customHeight="1" x14ac:dyDescent="0.25">
      <c r="B4" s="5" t="s">
        <v>129</v>
      </c>
      <c r="C4" s="45">
        <v>7.8018074999999992E-2</v>
      </c>
      <c r="D4" s="53">
        <v>7.8018074999999992E-2</v>
      </c>
      <c r="E4" s="53">
        <v>7.6574760714285692E-2</v>
      </c>
      <c r="F4" s="53">
        <v>0.113136875</v>
      </c>
      <c r="G4" s="53">
        <v>0.117410317857143</v>
      </c>
    </row>
    <row r="5" spans="1:15" ht="15.75" customHeight="1" x14ac:dyDescent="0.25">
      <c r="B5" s="5" t="s">
        <v>125</v>
      </c>
      <c r="C5" s="45">
        <v>6.6806917857142795E-2</v>
      </c>
      <c r="D5" s="53">
        <v>6.6806917857142795E-2</v>
      </c>
      <c r="E5" s="53">
        <v>5.75611214285714E-2</v>
      </c>
      <c r="F5" s="53">
        <v>8.833827142857141E-2</v>
      </c>
      <c r="G5" s="53">
        <v>8.2309321428571405E-2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0.60412081188896594</v>
      </c>
      <c r="D8" s="52">
        <f>IFERROR(1-_xlfn.NORM.DIST(_xlfn.NORM.INV(SUM(D10:D11), 0, 1) + 1, 0, 1, TRUE), "")</f>
        <v>0.60412081188896594</v>
      </c>
      <c r="E8" s="52">
        <f>IFERROR(1-_xlfn.NORM.DIST(_xlfn.NORM.INV(SUM(E10:E11), 0, 1) + 1, 0, 1, TRUE), "")</f>
        <v>0.65634661995348842</v>
      </c>
      <c r="F8" s="52">
        <f>IFERROR(1-_xlfn.NORM.DIST(_xlfn.NORM.INV(SUM(F10:F11), 0, 1) + 1, 0, 1, TRUE), "")</f>
        <v>0.70726524983458217</v>
      </c>
      <c r="G8" s="52">
        <f>IFERROR(1-_xlfn.NORM.DIST(_xlfn.NORM.INV(SUM(G10:G11), 0, 1) + 1, 0, 1, TRUE), "")</f>
        <v>0.73948997109811798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0.29276919181473776</v>
      </c>
      <c r="D9" s="52">
        <f>IFERROR(_xlfn.NORM.DIST(_xlfn.NORM.INV(SUM(D10:D11), 0, 1) + 1, 0, 1, TRUE) - SUM(D10:D11), "")</f>
        <v>0.29276919181473776</v>
      </c>
      <c r="E9" s="52">
        <f>IFERROR(_xlfn.NORM.DIST(_xlfn.NORM.INV(SUM(E10:E11), 0, 1) + 1, 0, 1, TRUE) - SUM(E10:E11), "")</f>
        <v>0.26327227634280792</v>
      </c>
      <c r="F9" s="52">
        <f>IFERROR(_xlfn.NORM.DIST(_xlfn.NORM.INV(SUM(F10:F11), 0, 1) + 1, 0, 1, TRUE) - SUM(F10:F11), "")</f>
        <v>0.23161155144746914</v>
      </c>
      <c r="G9" s="52">
        <f>IFERROR(_xlfn.NORM.DIST(_xlfn.NORM.INV(SUM(G10:G11), 0, 1) + 1, 0, 1, TRUE) - SUM(G10:G11), "")</f>
        <v>0.21019158445743746</v>
      </c>
    </row>
    <row r="10" spans="1:15" ht="15.75" customHeight="1" x14ac:dyDescent="0.25">
      <c r="B10" s="5" t="s">
        <v>126</v>
      </c>
      <c r="C10" s="45">
        <v>5.5754911111111097E-2</v>
      </c>
      <c r="D10" s="53">
        <v>5.5754911111111097E-2</v>
      </c>
      <c r="E10" s="53">
        <v>4.8520040740740712E-2</v>
      </c>
      <c r="F10" s="53">
        <v>3.7735233333333298E-2</v>
      </c>
      <c r="G10" s="53">
        <v>3.2035677777777799E-2</v>
      </c>
    </row>
    <row r="11" spans="1:15" ht="15.75" customHeight="1" x14ac:dyDescent="0.25">
      <c r="B11" s="5" t="s">
        <v>138</v>
      </c>
      <c r="C11" s="45">
        <v>4.7355085185185199E-2</v>
      </c>
      <c r="D11" s="53">
        <v>4.7355085185185199E-2</v>
      </c>
      <c r="E11" s="53">
        <v>3.1861062962962997E-2</v>
      </c>
      <c r="F11" s="53">
        <v>2.3387965384615399E-2</v>
      </c>
      <c r="G11" s="53">
        <v>1.82827666666667E-2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0.27132991649999999</v>
      </c>
      <c r="D14" s="54">
        <v>0.26430615274399999</v>
      </c>
      <c r="E14" s="54">
        <v>0.26430615274399999</v>
      </c>
      <c r="F14" s="54">
        <v>0.223280819125</v>
      </c>
      <c r="G14" s="54">
        <v>0.223280819125</v>
      </c>
      <c r="H14" s="45">
        <v>0.35199999999999998</v>
      </c>
      <c r="I14" s="55">
        <v>0.35199999999999998</v>
      </c>
      <c r="J14" s="55">
        <v>0.35199999999999998</v>
      </c>
      <c r="K14" s="55">
        <v>0.35199999999999998</v>
      </c>
      <c r="L14" s="45">
        <v>0.311</v>
      </c>
      <c r="M14" s="55">
        <v>0.311</v>
      </c>
      <c r="N14" s="55">
        <v>0.311</v>
      </c>
      <c r="O14" s="55">
        <v>0.311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0.16489994276312547</v>
      </c>
      <c r="D15" s="52">
        <f t="shared" si="0"/>
        <v>0.16063127141170774</v>
      </c>
      <c r="E15" s="52">
        <f t="shared" si="0"/>
        <v>0.16063127141170774</v>
      </c>
      <c r="F15" s="52">
        <f t="shared" si="0"/>
        <v>0.13569824798076136</v>
      </c>
      <c r="G15" s="52">
        <f t="shared" si="0"/>
        <v>0.13569824798076136</v>
      </c>
      <c r="H15" s="52">
        <f t="shared" si="0"/>
        <v>0.21392694399999995</v>
      </c>
      <c r="I15" s="52">
        <f t="shared" si="0"/>
        <v>0.21392694399999995</v>
      </c>
      <c r="J15" s="52">
        <f t="shared" si="0"/>
        <v>0.21392694399999995</v>
      </c>
      <c r="K15" s="52">
        <f t="shared" si="0"/>
        <v>0.21392694399999995</v>
      </c>
      <c r="L15" s="52">
        <f t="shared" si="0"/>
        <v>0.18900931699999998</v>
      </c>
      <c r="M15" s="52">
        <f t="shared" si="0"/>
        <v>0.18900931699999998</v>
      </c>
      <c r="N15" s="52">
        <f t="shared" si="0"/>
        <v>0.18900931699999998</v>
      </c>
      <c r="O15" s="52">
        <f t="shared" si="0"/>
        <v>0.18900931699999998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FmGKbfU0dCSM/5zvBEk8Vbt1uuZH+RAtoSZwpcrVloxYNrEBtJSLH5rPgbXVTdcdygPeMwIBhTmjpOQVcKpeQ==" saltValue="XvWNO57WLRi5rNKL0XO4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0.486382325</v>
      </c>
      <c r="D2" s="53">
        <v>0.26502471875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0.22718172187499999</v>
      </c>
      <c r="D3" s="53">
        <v>0.23974491249999999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0.2311166375</v>
      </c>
      <c r="D4" s="53">
        <v>0.38933495624999997</v>
      </c>
      <c r="E4" s="53">
        <v>0.75684774375000008</v>
      </c>
      <c r="F4" s="53">
        <v>0.44418370624999998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5.5319315625000032E-2</v>
      </c>
      <c r="D5" s="52">
        <f t="shared" si="0"/>
        <v>0.10589541250000001</v>
      </c>
      <c r="E5" s="52">
        <f>1-SUM(E2:E4)</f>
        <v>0.24315225624999992</v>
      </c>
      <c r="F5" s="52">
        <f>1-SUM(F2:F4)</f>
        <v>0.55581629374999997</v>
      </c>
      <c r="G5" s="52">
        <f>1-SUM(G2:G4)</f>
        <v>1</v>
      </c>
    </row>
  </sheetData>
  <sheetProtection algorithmName="SHA-512" hashValue="vU/7QH8/93TggsFTRPaUFn1105kbJaLVJ0BTZjuVLivz5aLYMKwDc7BgXPF3zka6T/oDUVhg31rkqLNK/fK/Zg==" saltValue="eUkiGUS0/OmlB6WqlziTe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T4v9d53c/9LXfV77wv6mn26xlLBVnuzNQspElXngAwM0SOsKQt+gTtoCkRMNSfT/oPMLDk3VK69mRSBCJYrNw==" saltValue="ye2sxJiWeoNTygIydEcLd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4136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0.43676999999999999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0.31269999999999998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1.3525069731570312E-2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99255.509529999996</v>
      </c>
      <c r="C22" s="107">
        <v>99166.540599999993</v>
      </c>
      <c r="D22" s="107">
        <v>99070.554749999996</v>
      </c>
      <c r="E22" s="107">
        <v>98797.755000000005</v>
      </c>
      <c r="F22" s="107">
        <v>98430.130239999999</v>
      </c>
      <c r="G22" s="107">
        <v>98054.465500000006</v>
      </c>
      <c r="H22" s="107">
        <v>97621.17482</v>
      </c>
      <c r="I22" s="107">
        <v>97035.077579999997</v>
      </c>
      <c r="J22" s="107">
        <v>96146.403990000006</v>
      </c>
      <c r="K22" s="107">
        <v>94717.728489999994</v>
      </c>
      <c r="L22" s="107">
        <v>92388.470140000005</v>
      </c>
      <c r="M22" s="107">
        <v>88674.684370000003</v>
      </c>
      <c r="N22" s="107">
        <v>83066.922630000001</v>
      </c>
      <c r="O22" s="107">
        <v>75063.25576</v>
      </c>
    </row>
  </sheetData>
  <sheetProtection algorithmName="SHA-512" hashValue="2EjoK0QJFOOBFtinXEJ0STsPlzZ+x1IxTU70hZmuvzRIyH6KqLAejHlHZEa5xTzdtk0XFXJZqypC6b4NcN9FCQ==" saltValue="S2z7hs6GyefimsSqNtX/U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pwcgwdBIfWLui58NdplY2gRTD/HvbQy8+mUOhZLVO2zmIIX+bLVfF9dlQLSr8ZTtXvij3kV/oGK+KgJ6g9oGYw==" saltValue="dltoIierEZfFL/tbCNJYO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ETk2/yv4cU6BRLL5Fup1MunbUkcDzHaEY7wvLVt5F0CobbQIx/XCaD9ZD2ZT7tC4ugYOo5U+NqgBEW6pMTrbDA==" saltValue="u8eKnPsOpZSS3Pxcks7ka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13.600489225152121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13.600489225152121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13.600489225152121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13.600489225152121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13.600489225152121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13.600489225152121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</v>
      </c>
      <c r="C19" s="96">
        <v>0.95</v>
      </c>
      <c r="D19" s="56">
        <v>18.912221099022862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4.6470312755738146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0.44400000000000001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173.52890625098581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0.9017522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skVj7m4yK5HiiLhw8N7271cyrtKKE0byZAv5yqhvfo9XGJILOzovJIl+6MfrRAFPZ/2avYtzhiC178fQAW/0Sw==" saltValue="kDh2Wbb5BzrQQ6GTTzOx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fwcvzSH8uMN1oB+urFC3VWqqRWeKU6TGFImvMGYbU3mVko8Rr4+krjbPwMOCOsY5hMTrmpj9gauhFLekyJYsYg==" saltValue="UznHKNMl5WD4VyMtz6Ale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tLlVzgeCoCV74JoVWV4XU0SFRYnAIgktMYm1RfTPHhjDKodHLvPkTwlyI8J0Lf949pJNrhaS839c8oyj6ZYyw==" saltValue="p/aamfVsW8fugtNo1MQE2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0.14496276888888884</v>
      </c>
      <c r="C3" s="21">
        <f>frac_mam_1_5months * 2.6</f>
        <v>0.14496276888888884</v>
      </c>
      <c r="D3" s="21">
        <f>frac_mam_6_11months * 2.6</f>
        <v>0.12615210592592585</v>
      </c>
      <c r="E3" s="21">
        <f>frac_mam_12_23months * 2.6</f>
        <v>9.8111606666666573E-2</v>
      </c>
      <c r="F3" s="21">
        <f>frac_mam_24_59months * 2.6</f>
        <v>8.3292762222222275E-2</v>
      </c>
    </row>
    <row r="4" spans="1:6" ht="15.75" customHeight="1" x14ac:dyDescent="0.25">
      <c r="A4" s="3" t="s">
        <v>236</v>
      </c>
      <c r="B4" s="21">
        <f>frac_sam_1month * 2.6</f>
        <v>0.12312322148148153</v>
      </c>
      <c r="C4" s="21">
        <f>frac_sam_1_5months * 2.6</f>
        <v>0.12312322148148153</v>
      </c>
      <c r="D4" s="21">
        <f>frac_sam_6_11months * 2.6</f>
        <v>8.2838763703703799E-2</v>
      </c>
      <c r="E4" s="21">
        <f>frac_sam_12_23months * 2.6</f>
        <v>6.0808710000000037E-2</v>
      </c>
      <c r="F4" s="21">
        <f>frac_sam_24_59months * 2.6</f>
        <v>4.753519333333342E-2</v>
      </c>
    </row>
  </sheetData>
  <sheetProtection algorithmName="SHA-512" hashValue="Cd+/ViZlYbSkUA6TrFCJl1paprqPgFcsDr+yGakgyAeaRW3wU2GOT3TS/zA/4EV+zB2viXbCO0IhTODPrxXEQw==" saltValue="h3JL2UyOFw8jIQGWWlYKk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0.1726341044616696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7.3986044769286968E-2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0.10344393768310528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0.64993591308593812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noz5tIBY3TnkMhEy5Z7mvnsRzFBd0vEN6JfTVBP2r8pTqZfwq4NpYZ3H5X3T2ttwDwiCfLAUuPRpFteeOiJmA==" saltValue="2BgSPVqSIZ2EWAM07Q4CU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se7CQk+Sl6JyUtKNnoJ11QFTRvYIn5fgq0Xf9/M8Cj7JlaUV4LXTNuQIpzRpOQoqX4+HR0xOKmbsH7Q+6+2HPQ==" saltValue="8rpOh3boRbjo6CtN5lC3q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KJSTSLYmlKUsQAeKm3qJO3dONSeVUQy17P3TQXaj7H46wiyffaYgq+ZAgv0M0l0xkhed8PTtykaxsO7PQUAdA==" saltValue="zy4A2hVqQLHQLOunID3T/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wd+/p0RjbFiN4/RTrBjQ+AxJj5EbxSG6SRU4J/vBC5rrJK3rvOLIQa076Mwsb79olMMasPBz/+EtTxp+PQrPA==" saltValue="5ByT9fW7cdpVPXBdF41lO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doxMcsFXhK9LeAsIZFzs4by5BBASuhzWhwk+XvhxYfG+b6pMi0D6FNUnp0GXHBtDFLVE8BPR/8RiCkLfgQmxCA==" saltValue="R1yBtf2kIODyZKnbra+bW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r1H8ne+VuyXSVCcdBOKCDq60SUoDMUVdMI1TscdftsFBVdF/8lx20rCo7ugl3EzscNNm0K9Swdw8jGlQtGSqtA==" saltValue="u5UAq3N0eA4yuE0NRzQal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hbnZl8l/KISl6tfU4csgrK4AOV6mvyYD9gpLjOH8U6bC56bq9WO8zSyQuggx1TFoUo/orWixIGJgcW5OYtAvw==" saltValue="VyPEYnsbl66lcljlE3FKR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7ML9r/BidQM9aGgCu0SzQR7SE3Tu95MUfkFj8OIVryfhOAMMt+7r6/dpMPTTr5/kkhSefs0iQhW7QxW6l4SVNQ==" saltValue="1hYYZLnHElge4GG9vJV/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8n7N0Gnn/4h5X/UUBc2z/swwpPO6H8neMusnymxLzKeWEK9iqnmuofCm0wQ2IzpWBID2iR/4knLwMw4ifhppHA==" saltValue="7t9AXBVv4mzNzeh6ie7K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GAGxJZN8Y6YwCC+3ZuK+eIBy8GKzAK5vMX8lLUhJ4rulvLsUjWzWR0dTGQY0Dej65G2M8GdPdINXQEwmFbr0g==" saltValue="S/wAUZ8RE8htTc2VkFDd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uoEN+EAnvKpaK9TjyJrX+6I4jZX7gY2tTPEThcXnXlsfla7CMko8/of+Ra6b9gZZH0wa7qCxA4IOJEllySoUw==" saltValue="spIVvCgJJJhq3ZuQzx3m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8ad/Q6YasJdKiyCZBtO80EKE8K1HJvXNHca526R4DYQT7HlDs3LL5HTfsQCtG2ZZeqXbs5Vi0rWV9XAjUoDPg==" saltValue="qJdMDe9ihkFX+7+fCrhy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WlcPGWtSj3rh3hceBUi62DnjQfPR/MUklPf8TuN8PSg0mOQf10dlOl/Kedgji/K2xRoIvvuQ67vb22FT2M1OA==" saltValue="oarCSotff5Vrs/Q8pVsx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folkA15X3uyNDHI+ZfuMb4Bg+p0bm9PE61Qm8SVZ2d13Xltwl5mmG6ROXSfGkWdWaCrREQQYvTfRW/i2FgKimw==" saltValue="ovI/09uYzWbCV36KYpIe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Gpb9sdt12Xo1fw0Ng6smoPzU3Pnjj8513uQeTFx2zw2AfTQ/Mn9D0vf1E/v+LxKCaE0TJHNa1DK7NKkD6pqURg==" saltValue="RdqE7Dna6oiFHENlilBPP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2025-07-30T00:22:50Z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