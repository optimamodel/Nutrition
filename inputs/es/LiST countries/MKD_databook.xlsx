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B996C0FB-C695-4B49-AE78-473C7831A260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7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2" i="2" l="1"/>
  <c r="A23" i="2"/>
  <c r="A24" i="2"/>
  <c r="A26" i="2"/>
  <c r="A31" i="2"/>
  <c r="A36" i="2"/>
  <c r="I4" i="2"/>
  <c r="I8" i="2"/>
  <c r="I12" i="2"/>
  <c r="A25" i="2"/>
  <c r="A34" i="2"/>
  <c r="A40" i="2"/>
  <c r="I2" i="2"/>
  <c r="I6" i="2"/>
  <c r="A19" i="2"/>
  <c r="A3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<sst xmlns="http://schemas.openxmlformats.org/spreadsheetml/2006/main" count="2159" uniqueCount="372">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</sst>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87556.5</v>
      </c>
    </row>
    <row r="8" spans="1:3" ht="15" customHeight="1" x14ac:dyDescent="0.25">
      <c r="B8" s="5" t="s">
        <v>63</v>
      </c>
      <c r="C8" s="44">
        <v>0.40899999999999997</v>
      </c>
    </row>
    <row r="9" spans="1:3" ht="15" customHeight="1" x14ac:dyDescent="0.25">
      <c r="B9" s="5" t="s">
        <v>62</v>
      </c>
      <c r="C9" s="45">
        <v>1</v>
      </c>
    </row>
    <row r="10" spans="1:3" ht="15" customHeight="1" x14ac:dyDescent="0.25">
      <c r="B10" s="5" t="s">
        <v>75</v>
      </c>
      <c r="C10" s="45">
        <v>0.91188728330000002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0.77700000000000002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5.2499999999999998E-2</v>
      </c>
    </row>
    <row r="24" spans="1:3" ht="15" customHeight="1" x14ac:dyDescent="0.25">
      <c r="B24" s="15" t="s">
        <v>65</v>
      </c>
      <c r="C24" s="45">
        <v>0.53039999999999998</v>
      </c>
    </row>
    <row r="25" spans="1:3" ht="15" customHeight="1" x14ac:dyDescent="0.25">
      <c r="B25" s="15" t="s">
        <v>66</v>
      </c>
      <c r="C25" s="45">
        <v>0.39929999999999999</v>
      </c>
    </row>
    <row r="26" spans="1:3" ht="15" customHeight="1" x14ac:dyDescent="0.25">
      <c r="B26" s="15" t="s">
        <v>67</v>
      </c>
      <c r="C26" s="45">
        <v>1.78E-2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0.26912377197565901</v>
      </c>
    </row>
    <row r="30" spans="1:3" ht="14.25" customHeight="1" x14ac:dyDescent="0.25">
      <c r="B30" s="25" t="s">
        <v>82</v>
      </c>
      <c r="C30" s="99">
        <v>4.10301351064883E-2</v>
      </c>
    </row>
    <row r="31" spans="1:3" ht="14.25" customHeight="1" x14ac:dyDescent="0.25">
      <c r="B31" s="25" t="s">
        <v>29</v>
      </c>
      <c r="C31" s="99">
        <v>6.6332842080041601E-2</v>
      </c>
    </row>
    <row r="32" spans="1:3" ht="14.25" customHeight="1" x14ac:dyDescent="0.25">
      <c r="B32" s="25" t="s">
        <v>30</v>
      </c>
      <c r="C32" s="99">
        <v>0.62351325083781095</v>
      </c>
    </row>
    <row r="33" spans="1:5" ht="13.25" customHeight="1" x14ac:dyDescent="0.25">
      <c r="B33" s="27" t="s">
        <v>79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29.927250000000001</v>
      </c>
    </row>
    <row r="38" spans="1:5" ht="15" customHeight="1" x14ac:dyDescent="0.25">
      <c r="B38" s="11" t="s">
        <v>54</v>
      </c>
      <c r="C38" s="43">
        <v>56.723050000000001</v>
      </c>
      <c r="D38" s="12"/>
      <c r="E38" s="13"/>
    </row>
    <row r="39" spans="1:5" ht="15" customHeight="1" x14ac:dyDescent="0.25">
      <c r="B39" s="11" t="s">
        <v>80</v>
      </c>
      <c r="C39" s="43">
        <v>76.040170000000003</v>
      </c>
      <c r="D39" s="12"/>
      <c r="E39" s="12"/>
    </row>
    <row r="40" spans="1:5" ht="15" customHeight="1" x14ac:dyDescent="0.25">
      <c r="B40" s="11" t="s">
        <v>55</v>
      </c>
      <c r="C40" s="100">
        <v>6.52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22.862100000000002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7.9130999999999993E-3</v>
      </c>
      <c r="D45" s="12"/>
    </row>
    <row r="46" spans="1:5" ht="15.75" customHeight="1" x14ac:dyDescent="0.25">
      <c r="B46" s="11" t="s">
        <v>70</v>
      </c>
      <c r="C46" s="45">
        <v>8.50249E-2</v>
      </c>
      <c r="D46" s="12"/>
    </row>
    <row r="47" spans="1:5" ht="15.75" customHeight="1" x14ac:dyDescent="0.25">
      <c r="B47" s="11" t="s">
        <v>78</v>
      </c>
      <c r="C47" s="45">
        <v>7.3475499999999999E-2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3.3</v>
      </c>
      <c r="D51" s="12"/>
    </row>
    <row r="52" spans="1:4" ht="15" customHeight="1" x14ac:dyDescent="0.25">
      <c r="B52" s="11" t="s">
        <v>32</v>
      </c>
      <c r="C52" s="100">
        <v>3.3</v>
      </c>
    </row>
    <row r="53" spans="1:4" ht="15.75" customHeight="1" x14ac:dyDescent="0.25">
      <c r="B53" s="11" t="s">
        <v>35</v>
      </c>
      <c r="C53" s="100">
        <v>3.3</v>
      </c>
    </row>
    <row r="54" spans="1:4" ht="15.75" customHeight="1" x14ac:dyDescent="0.25">
      <c r="B54" s="11" t="s">
        <v>33</v>
      </c>
      <c r="C54" s="100">
        <v>3.3</v>
      </c>
    </row>
    <row r="55" spans="1:4" ht="15.75" customHeight="1" x14ac:dyDescent="0.25">
      <c r="B55" s="11" t="s">
        <v>34</v>
      </c>
      <c r="C55" s="100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0.44132399999999999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9.0528536000000007E-2</v>
      </c>
    </row>
    <row r="63" spans="1:4" ht="15.75" customHeight="1" x14ac:dyDescent="0.3">
      <c r="A63" s="4"/>
    </row>
  </sheetData>
  <sheetProtection algorithmName="SHA-512" hashValue="m7DwdQN0Iy81ZMFPhKmOuc6x3Ml3ogz+zpz1KPmDlbNIA7TPv2JHTtZHGk3CQwz2KBjvJAE9wTAKQSrIe5pWcw==" saltValue="jBMpZZXAXTtvoK5Wke+/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16587</v>
      </c>
      <c r="C2" s="49">
        <v>50754.5</v>
      </c>
      <c r="D2" s="49">
        <v>106482</v>
      </c>
      <c r="E2" s="49">
        <v>121574.5</v>
      </c>
      <c r="F2" s="49">
        <v>129269.5</v>
      </c>
      <c r="G2" s="17">
        <f t="shared" ref="G2:G13" si="0">C2+D2+E2+F2</f>
        <v>408080.5</v>
      </c>
      <c r="H2" s="17">
        <f t="shared" ref="H2:H13" si="1">(B2 + stillbirth*B2/(1000-stillbirth))/(1-abortion)</f>
        <v>19289.870586703917</v>
      </c>
      <c r="I2" s="17">
        <f t="shared" ref="I2:I13" si="2">G2-H2</f>
        <v>388790.62941329606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16312.999999999998</v>
      </c>
      <c r="C3" s="50">
        <v>51348.5</v>
      </c>
      <c r="D3" s="50">
        <v>104091.00000000001</v>
      </c>
      <c r="E3" s="50">
        <v>119781</v>
      </c>
      <c r="F3" s="50">
        <v>128437.99999999999</v>
      </c>
      <c r="G3" s="17">
        <f t="shared" si="0"/>
        <v>403658.5</v>
      </c>
      <c r="H3" s="17">
        <f t="shared" si="1"/>
        <v>18971.221973889253</v>
      </c>
      <c r="I3" s="17">
        <f t="shared" si="2"/>
        <v>384687.27802611073</v>
      </c>
    </row>
    <row r="4" spans="1:9" ht="15.75" customHeight="1" x14ac:dyDescent="0.25">
      <c r="A4" s="5">
        <f t="shared" si="3"/>
        <v>2026</v>
      </c>
      <c r="B4" s="49">
        <v>16027.000000000002</v>
      </c>
      <c r="C4" s="50">
        <v>51880</v>
      </c>
      <c r="D4" s="50">
        <v>101888.5</v>
      </c>
      <c r="E4" s="50">
        <v>117789</v>
      </c>
      <c r="F4" s="50">
        <v>127561</v>
      </c>
      <c r="G4" s="17">
        <f t="shared" si="0"/>
        <v>399118.5</v>
      </c>
      <c r="H4" s="17">
        <f t="shared" si="1"/>
        <v>18638.617947374678</v>
      </c>
      <c r="I4" s="17">
        <f t="shared" si="2"/>
        <v>380479.8820526253</v>
      </c>
    </row>
    <row r="5" spans="1:9" ht="15.75" customHeight="1" x14ac:dyDescent="0.25">
      <c r="A5" s="5">
        <f t="shared" si="3"/>
        <v>2027</v>
      </c>
      <c r="B5" s="49">
        <v>15783</v>
      </c>
      <c r="C5" s="50">
        <v>52317.5</v>
      </c>
      <c r="D5" s="50">
        <v>100140.5</v>
      </c>
      <c r="E5" s="50">
        <v>115426.5</v>
      </c>
      <c r="F5" s="50">
        <v>126931</v>
      </c>
      <c r="G5" s="17">
        <f t="shared" si="0"/>
        <v>394815.5</v>
      </c>
      <c r="H5" s="17">
        <f t="shared" si="1"/>
        <v>18354.857868809788</v>
      </c>
      <c r="I5" s="17">
        <f t="shared" si="2"/>
        <v>376460.64213119022</v>
      </c>
    </row>
    <row r="6" spans="1:9" ht="15.75" customHeight="1" x14ac:dyDescent="0.25">
      <c r="A6" s="5">
        <f t="shared" si="3"/>
        <v>2028</v>
      </c>
      <c r="B6" s="49">
        <v>15559</v>
      </c>
      <c r="C6" s="50">
        <v>52835</v>
      </c>
      <c r="D6" s="50">
        <v>99015</v>
      </c>
      <c r="E6" s="50">
        <v>112821.5</v>
      </c>
      <c r="F6" s="50">
        <v>126280</v>
      </c>
      <c r="G6" s="17">
        <f t="shared" si="0"/>
        <v>390951.5</v>
      </c>
      <c r="H6" s="17">
        <f t="shared" si="1"/>
        <v>18094.356813078091</v>
      </c>
      <c r="I6" s="17">
        <f t="shared" si="2"/>
        <v>372857.14318692189</v>
      </c>
    </row>
    <row r="7" spans="1:9" ht="15.75" customHeight="1" x14ac:dyDescent="0.25">
      <c r="A7" s="5">
        <f t="shared" si="3"/>
        <v>2029</v>
      </c>
      <c r="B7" s="49">
        <v>15328</v>
      </c>
      <c r="C7" s="50">
        <v>53169</v>
      </c>
      <c r="D7" s="50">
        <v>98423.499999999985</v>
      </c>
      <c r="E7" s="50">
        <v>110362</v>
      </c>
      <c r="F7" s="50">
        <v>125260</v>
      </c>
      <c r="G7" s="17">
        <f t="shared" si="0"/>
        <v>387214.5</v>
      </c>
      <c r="H7" s="17">
        <f t="shared" si="1"/>
        <v>17825.715099354777</v>
      </c>
      <c r="I7" s="17">
        <f t="shared" si="2"/>
        <v>369388.7849006452</v>
      </c>
    </row>
    <row r="8" spans="1:9" ht="15.75" customHeight="1" x14ac:dyDescent="0.25">
      <c r="A8" s="5">
        <f t="shared" si="3"/>
        <v>2030</v>
      </c>
      <c r="B8" s="49">
        <v>15121</v>
      </c>
      <c r="C8" s="50">
        <v>53143.5</v>
      </c>
      <c r="D8" s="50">
        <v>97894</v>
      </c>
      <c r="E8" s="50">
        <v>108140.99999999999</v>
      </c>
      <c r="F8" s="50">
        <v>123948.5</v>
      </c>
      <c r="G8" s="17">
        <f t="shared" si="0"/>
        <v>383127</v>
      </c>
      <c r="H8" s="17">
        <f t="shared" si="1"/>
        <v>17584.984213031286</v>
      </c>
      <c r="I8" s="17">
        <f t="shared" si="2"/>
        <v>365542.0157869687</v>
      </c>
    </row>
    <row r="9" spans="1:9" ht="15.75" customHeight="1" x14ac:dyDescent="0.25">
      <c r="A9" s="5">
        <f t="shared" si="3"/>
        <v>2031</v>
      </c>
      <c r="B9" s="49">
        <v>14935</v>
      </c>
      <c r="C9" s="50">
        <v>53019</v>
      </c>
      <c r="D9" s="50">
        <v>97340</v>
      </c>
      <c r="E9" s="50">
        <v>105814</v>
      </c>
      <c r="F9" s="50">
        <v>122560</v>
      </c>
      <c r="G9" s="17">
        <f t="shared" si="0"/>
        <v>378733</v>
      </c>
      <c r="H9" s="17">
        <f t="shared" si="1"/>
        <v>17368.675300682644</v>
      </c>
      <c r="I9" s="17">
        <f t="shared" si="2"/>
        <v>361364.32469931734</v>
      </c>
    </row>
    <row r="10" spans="1:9" ht="15.75" customHeight="1" x14ac:dyDescent="0.25">
      <c r="A10" s="5">
        <f t="shared" si="3"/>
        <v>2032</v>
      </c>
      <c r="B10" s="49">
        <v>14773</v>
      </c>
      <c r="C10" s="50">
        <v>52705.5</v>
      </c>
      <c r="D10" s="50">
        <v>96941</v>
      </c>
      <c r="E10" s="50">
        <v>103591.5</v>
      </c>
      <c r="F10" s="50">
        <v>121044.5</v>
      </c>
      <c r="G10" s="17">
        <f t="shared" si="0"/>
        <v>374282.5</v>
      </c>
      <c r="H10" s="17">
        <f t="shared" si="1"/>
        <v>17180.27721573383</v>
      </c>
      <c r="I10" s="17">
        <f t="shared" si="2"/>
        <v>357102.22278426617</v>
      </c>
    </row>
    <row r="11" spans="1:9" ht="15.75" customHeight="1" x14ac:dyDescent="0.25">
      <c r="A11" s="5">
        <f t="shared" si="3"/>
        <v>2033</v>
      </c>
      <c r="B11" s="49">
        <v>14626</v>
      </c>
      <c r="C11" s="50">
        <v>51749.5</v>
      </c>
      <c r="D11" s="50">
        <v>97017</v>
      </c>
      <c r="E11" s="50">
        <v>101451</v>
      </c>
      <c r="F11" s="50">
        <v>119346</v>
      </c>
      <c r="G11" s="17">
        <f t="shared" si="0"/>
        <v>369563.5</v>
      </c>
      <c r="H11" s="17">
        <f t="shared" si="1"/>
        <v>17009.323397909902</v>
      </c>
      <c r="I11" s="17">
        <f t="shared" si="2"/>
        <v>352554.17660209013</v>
      </c>
    </row>
    <row r="12" spans="1:9" ht="15.75" customHeight="1" x14ac:dyDescent="0.25">
      <c r="A12" s="5">
        <f t="shared" si="3"/>
        <v>2034</v>
      </c>
      <c r="B12" s="49">
        <v>14509</v>
      </c>
      <c r="C12" s="50">
        <v>50186</v>
      </c>
      <c r="D12" s="50">
        <v>97653.500000000015</v>
      </c>
      <c r="E12" s="50">
        <v>99204.5</v>
      </c>
      <c r="F12" s="50">
        <v>117628.99999999999</v>
      </c>
      <c r="G12" s="17">
        <f t="shared" si="0"/>
        <v>364673</v>
      </c>
      <c r="H12" s="17">
        <f t="shared" si="1"/>
        <v>16873.258114335757</v>
      </c>
      <c r="I12" s="17">
        <f t="shared" si="2"/>
        <v>347799.74188566423</v>
      </c>
    </row>
    <row r="13" spans="1:9" ht="15.75" customHeight="1" x14ac:dyDescent="0.25">
      <c r="A13" s="5">
        <f t="shared" si="3"/>
        <v>2035</v>
      </c>
      <c r="B13" s="49">
        <v>14413</v>
      </c>
      <c r="C13" s="50">
        <v>48462</v>
      </c>
      <c r="D13" s="50">
        <v>98369</v>
      </c>
      <c r="E13" s="50">
        <v>97006.499999999985</v>
      </c>
      <c r="F13" s="50">
        <v>115941.5</v>
      </c>
      <c r="G13" s="17">
        <f t="shared" si="0"/>
        <v>359779</v>
      </c>
      <c r="H13" s="17">
        <f t="shared" si="1"/>
        <v>16761.614804736455</v>
      </c>
      <c r="I13" s="17">
        <f t="shared" si="2"/>
        <v>343017.38519526355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0pFaBxcnOlusRK/FEZrG8+b5yDa3W/TlHrK4b4nzmBjL1DE9aC4aQarFhhxDQS87ZoSM1aTIUN0Cfa94vi2XAQ==" saltValue="fqJjfvFbvVU/m63x95xhr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2.0916002091600189E-2</v>
      </c>
    </row>
    <row r="4" spans="1:8" ht="15.75" customHeight="1" x14ac:dyDescent="0.25">
      <c r="B4" s="19" t="s">
        <v>116</v>
      </c>
      <c r="C4" s="101">
        <v>6.5774706577470685E-2</v>
      </c>
    </row>
    <row r="5" spans="1:8" ht="15.75" customHeight="1" x14ac:dyDescent="0.25">
      <c r="B5" s="19" t="s">
        <v>114</v>
      </c>
      <c r="C5" s="101">
        <v>9.6632509663250973E-2</v>
      </c>
    </row>
    <row r="6" spans="1:8" ht="15.75" customHeight="1" x14ac:dyDescent="0.25">
      <c r="B6" s="19" t="s">
        <v>110</v>
      </c>
      <c r="C6" s="101">
        <v>0.25245662524566231</v>
      </c>
    </row>
    <row r="7" spans="1:8" ht="15.75" customHeight="1" x14ac:dyDescent="0.25">
      <c r="B7" s="19" t="s">
        <v>115</v>
      </c>
      <c r="C7" s="101">
        <v>0.39333373933337429</v>
      </c>
    </row>
    <row r="8" spans="1:8" ht="15.75" customHeight="1" x14ac:dyDescent="0.25">
      <c r="B8" s="19" t="s">
        <v>117</v>
      </c>
      <c r="C8" s="101">
        <v>3.4550003455000359E-3</v>
      </c>
    </row>
    <row r="9" spans="1:8" ht="15.75" customHeight="1" x14ac:dyDescent="0.25">
      <c r="B9" s="19" t="s">
        <v>111</v>
      </c>
      <c r="C9" s="101">
        <v>5.8309405830940547E-2</v>
      </c>
    </row>
    <row r="10" spans="1:8" ht="15.75" customHeight="1" x14ac:dyDescent="0.25">
      <c r="B10" s="19" t="s">
        <v>113</v>
      </c>
      <c r="C10" s="101">
        <v>0.1091220109122009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9.2706938129159491E-2</v>
      </c>
      <c r="D14" s="55">
        <v>9.2706938129159491E-2</v>
      </c>
      <c r="E14" s="55">
        <v>9.2706938129159491E-2</v>
      </c>
      <c r="F14" s="55">
        <v>9.2706938129159491E-2</v>
      </c>
    </row>
    <row r="15" spans="1:8" ht="15.75" customHeight="1" x14ac:dyDescent="0.25">
      <c r="B15" s="19" t="s">
        <v>121</v>
      </c>
      <c r="C15" s="101">
        <v>0.1345887809257377</v>
      </c>
      <c r="D15" s="101">
        <v>0.1345887809257377</v>
      </c>
      <c r="E15" s="101">
        <v>0.1345887809257377</v>
      </c>
      <c r="F15" s="101">
        <v>0.1345887809257377</v>
      </c>
    </row>
    <row r="16" spans="1:8" ht="15.75" customHeight="1" x14ac:dyDescent="0.25">
      <c r="B16" s="19" t="s">
        <v>2</v>
      </c>
      <c r="C16" s="101">
        <v>1.8017639370382608E-2</v>
      </c>
      <c r="D16" s="101">
        <v>1.8017639370382608E-2</v>
      </c>
      <c r="E16" s="101">
        <v>1.8017639370382608E-2</v>
      </c>
      <c r="F16" s="101">
        <v>1.8017639370382608E-2</v>
      </c>
    </row>
    <row r="17" spans="1:8" ht="15.75" customHeight="1" x14ac:dyDescent="0.25">
      <c r="B17" s="19" t="s">
        <v>109</v>
      </c>
      <c r="C17" s="101">
        <v>0.2417018345573996</v>
      </c>
      <c r="D17" s="101">
        <v>0.2417018345573996</v>
      </c>
      <c r="E17" s="101">
        <v>0.2417018345573996</v>
      </c>
      <c r="F17" s="101">
        <v>0.2417018345573996</v>
      </c>
    </row>
    <row r="18" spans="1:8" ht="15.75" customHeight="1" x14ac:dyDescent="0.25">
      <c r="B18" s="19" t="s">
        <v>3</v>
      </c>
      <c r="C18" s="101">
        <v>0.33724276611699389</v>
      </c>
      <c r="D18" s="101">
        <v>0.33724276611699389</v>
      </c>
      <c r="E18" s="101">
        <v>0.33724276611699389</v>
      </c>
      <c r="F18" s="101">
        <v>0.33724276611699389</v>
      </c>
    </row>
    <row r="19" spans="1:8" ht="15.75" customHeight="1" x14ac:dyDescent="0.25">
      <c r="B19" s="19" t="s">
        <v>120</v>
      </c>
      <c r="C19" s="101">
        <v>1.3011294343433301E-2</v>
      </c>
      <c r="D19" s="101">
        <v>1.3011294343433301E-2</v>
      </c>
      <c r="E19" s="101">
        <v>1.3011294343433301E-2</v>
      </c>
      <c r="F19" s="101">
        <v>1.3011294343433301E-2</v>
      </c>
    </row>
    <row r="20" spans="1:8" ht="15.75" customHeight="1" x14ac:dyDescent="0.25">
      <c r="B20" s="19" t="s">
        <v>98</v>
      </c>
      <c r="C20" s="101">
        <v>1.8809148277049541E-2</v>
      </c>
      <c r="D20" s="101">
        <v>1.8809148277049541E-2</v>
      </c>
      <c r="E20" s="101">
        <v>1.8809148277049541E-2</v>
      </c>
      <c r="F20" s="101">
        <v>1.8809148277049541E-2</v>
      </c>
    </row>
    <row r="21" spans="1:8" ht="15.75" customHeight="1" x14ac:dyDescent="0.25">
      <c r="B21" s="19" t="s">
        <v>107</v>
      </c>
      <c r="C21" s="101">
        <v>5.8069678944985201E-2</v>
      </c>
      <c r="D21" s="101">
        <v>5.8069678944985201E-2</v>
      </c>
      <c r="E21" s="101">
        <v>5.8069678944985201E-2</v>
      </c>
      <c r="F21" s="101">
        <v>5.8069678944985201E-2</v>
      </c>
    </row>
    <row r="22" spans="1:8" ht="15.75" customHeight="1" x14ac:dyDescent="0.25">
      <c r="B22" s="19" t="s">
        <v>118</v>
      </c>
      <c r="C22" s="101">
        <v>8.585191933485864E-2</v>
      </c>
      <c r="D22" s="101">
        <v>8.585191933485864E-2</v>
      </c>
      <c r="E22" s="101">
        <v>8.585191933485864E-2</v>
      </c>
      <c r="F22" s="101">
        <v>8.585191933485864E-2</v>
      </c>
    </row>
    <row r="23" spans="1:8" ht="15.75" customHeight="1" x14ac:dyDescent="0.25">
      <c r="B23" s="27" t="s">
        <v>79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8.7635818000000004E-2</v>
      </c>
    </row>
    <row r="27" spans="1:8" ht="15.75" customHeight="1" x14ac:dyDescent="0.25">
      <c r="B27" s="19" t="s">
        <v>108</v>
      </c>
      <c r="C27" s="101">
        <v>8.6621349999999996E-3</v>
      </c>
    </row>
    <row r="28" spans="1:8" ht="15.75" customHeight="1" x14ac:dyDescent="0.25">
      <c r="B28" s="19" t="s">
        <v>122</v>
      </c>
      <c r="C28" s="101">
        <v>0.15441808500000001</v>
      </c>
    </row>
    <row r="29" spans="1:8" ht="15.75" customHeight="1" x14ac:dyDescent="0.25">
      <c r="B29" s="19" t="s">
        <v>105</v>
      </c>
      <c r="C29" s="101">
        <v>0.167759189</v>
      </c>
    </row>
    <row r="30" spans="1:8" ht="15.75" customHeight="1" x14ac:dyDescent="0.25">
      <c r="B30" s="19" t="s">
        <v>4</v>
      </c>
      <c r="C30" s="101">
        <v>0.10583751800000001</v>
      </c>
    </row>
    <row r="31" spans="1:8" ht="15.75" customHeight="1" x14ac:dyDescent="0.25">
      <c r="B31" s="19" t="s">
        <v>99</v>
      </c>
      <c r="C31" s="101">
        <v>0.109709026</v>
      </c>
    </row>
    <row r="32" spans="1:8" ht="15.75" customHeight="1" x14ac:dyDescent="0.25">
      <c r="B32" s="19" t="s">
        <v>104</v>
      </c>
      <c r="C32" s="101">
        <v>1.8596574000000001E-2</v>
      </c>
    </row>
    <row r="33" spans="2:3" ht="15.75" customHeight="1" x14ac:dyDescent="0.25">
      <c r="B33" s="19" t="s">
        <v>119</v>
      </c>
      <c r="C33" s="101">
        <v>8.3747772999999998E-2</v>
      </c>
    </row>
    <row r="34" spans="2:3" ht="15.75" customHeight="1" x14ac:dyDescent="0.25">
      <c r="B34" s="19" t="s">
        <v>106</v>
      </c>
      <c r="C34" s="101">
        <v>0.26363388300000001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hprHsYy3KfDPAFE3Zz7fMbp8oBeypc8odVH1PJzoOvlCLv9kEAedAEb8nPtL9UP21bHy2VovbEXv/N1ESML27A==" saltValue="5Qu+W+QLMKlRTh4nGrVtg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0.42176252158510186</v>
      </c>
      <c r="D2" s="52">
        <f>IFERROR(1-_xlfn.NORM.DIST(_xlfn.NORM.INV(SUM(D4:D5), 0, 1) + 1, 0, 1, TRUE), "")</f>
        <v>0.42176252158510186</v>
      </c>
      <c r="E2" s="52">
        <f>IFERROR(1-_xlfn.NORM.DIST(_xlfn.NORM.INV(SUM(E4:E5), 0, 1) + 1, 0, 1, TRUE), "")</f>
        <v>0.46852623488852618</v>
      </c>
      <c r="F2" s="52">
        <f>IFERROR(1-_xlfn.NORM.DIST(_xlfn.NORM.INV(SUM(F4:F5), 0, 1) + 1, 0, 1, TRUE), "")</f>
        <v>0.32537675126277632</v>
      </c>
      <c r="G2" s="52">
        <f>IFERROR(1-_xlfn.NORM.DIST(_xlfn.NORM.INV(SUM(G4:G5), 0, 1) + 1, 0, 1, TRUE), "")</f>
        <v>0.2805763942323688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0.36713837841489816</v>
      </c>
      <c r="D3" s="52">
        <f>IFERROR(_xlfn.NORM.DIST(_xlfn.NORM.INV(SUM(D4:D5), 0, 1) + 1, 0, 1, TRUE) - SUM(D4:D5), "")</f>
        <v>0.36713837841489816</v>
      </c>
      <c r="E3" s="52">
        <f>IFERROR(_xlfn.NORM.DIST(_xlfn.NORM.INV(SUM(E4:E5), 0, 1) + 1, 0, 1, TRUE) - SUM(E4:E5), "")</f>
        <v>0.35295506511147379</v>
      </c>
      <c r="F3" s="52">
        <f>IFERROR(_xlfn.NORM.DIST(_xlfn.NORM.INV(SUM(F4:F5), 0, 1) + 1, 0, 1, TRUE) - SUM(F4:F5), "")</f>
        <v>0.38253154873722367</v>
      </c>
      <c r="G3" s="52">
        <f>IFERROR(_xlfn.NORM.DIST(_xlfn.NORM.INV(SUM(G4:G5), 0, 1) + 1, 0, 1, TRUE) - SUM(G4:G5), "")</f>
        <v>0.3817680057676312</v>
      </c>
    </row>
    <row r="4" spans="1:15" ht="15.75" customHeight="1" x14ac:dyDescent="0.25">
      <c r="B4" s="5" t="s">
        <v>129</v>
      </c>
      <c r="C4" s="45">
        <v>0.1787648</v>
      </c>
      <c r="D4" s="53">
        <v>0.1787648</v>
      </c>
      <c r="E4" s="53">
        <v>0.122308</v>
      </c>
      <c r="F4" s="53">
        <v>0.2067544</v>
      </c>
      <c r="G4" s="53">
        <v>0.21243629999999999</v>
      </c>
    </row>
    <row r="5" spans="1:15" ht="15.75" customHeight="1" x14ac:dyDescent="0.25">
      <c r="B5" s="5" t="s">
        <v>125</v>
      </c>
      <c r="C5" s="45">
        <v>3.2334300000000003E-2</v>
      </c>
      <c r="D5" s="53">
        <v>3.2334300000000003E-2</v>
      </c>
      <c r="E5" s="53">
        <v>5.6210700000000002E-2</v>
      </c>
      <c r="F5" s="53">
        <v>8.5337300000000005E-2</v>
      </c>
      <c r="G5" s="53">
        <v>0.12521930000000001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0.81251844812205365</v>
      </c>
      <c r="D8" s="52">
        <f>IFERROR(1-_xlfn.NORM.DIST(_xlfn.NORM.INV(SUM(D10:D11), 0, 1) + 1, 0, 1, TRUE), "")</f>
        <v>0.81251844812205365</v>
      </c>
      <c r="E8" s="52">
        <f>IFERROR(1-_xlfn.NORM.DIST(_xlfn.NORM.INV(SUM(E10:E11), 0, 1) + 1, 0, 1, TRUE), "")</f>
        <v>0.68966781197978855</v>
      </c>
      <c r="F8" s="52">
        <f>IFERROR(1-_xlfn.NORM.DIST(_xlfn.NORM.INV(SUM(F10:F11), 0, 1) + 1, 0, 1, TRUE), "")</f>
        <v>0.71071162649463626</v>
      </c>
      <c r="G8" s="52">
        <f>IFERROR(1-_xlfn.NORM.DIST(_xlfn.NORM.INV(SUM(G10:G11), 0, 1) + 1, 0, 1, TRUE), "")</f>
        <v>0.85889993172838319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0.15791585187794632</v>
      </c>
      <c r="D9" s="52">
        <f>IFERROR(_xlfn.NORM.DIST(_xlfn.NORM.INV(SUM(D10:D11), 0, 1) + 1, 0, 1, TRUE) - SUM(D10:D11), "")</f>
        <v>0.15791585187794632</v>
      </c>
      <c r="E9" s="52">
        <f>IFERROR(_xlfn.NORM.DIST(_xlfn.NORM.INV(SUM(E10:E11), 0, 1) + 1, 0, 1, TRUE) - SUM(E10:E11), "")</f>
        <v>0.24286308802021145</v>
      </c>
      <c r="F9" s="52">
        <f>IFERROR(_xlfn.NORM.DIST(_xlfn.NORM.INV(SUM(F10:F11), 0, 1) + 1, 0, 1, TRUE) - SUM(F10:F11), "")</f>
        <v>0.22937067350536375</v>
      </c>
      <c r="G9" s="52">
        <f>IFERROR(_xlfn.NORM.DIST(_xlfn.NORM.INV(SUM(G10:G11), 0, 1) + 1, 0, 1, TRUE) - SUM(G10:G11), "")</f>
        <v>0.12212486827161681</v>
      </c>
    </row>
    <row r="10" spans="1:15" ht="15.75" customHeight="1" x14ac:dyDescent="0.25">
      <c r="B10" s="5" t="s">
        <v>126</v>
      </c>
      <c r="C10" s="45">
        <v>2.4425599999999999E-2</v>
      </c>
      <c r="D10" s="53">
        <v>2.4425599999999999E-2</v>
      </c>
      <c r="E10" s="53">
        <v>5.5061499999999999E-2</v>
      </c>
      <c r="F10" s="53">
        <v>4.9736099999999998E-2</v>
      </c>
      <c r="G10" s="53">
        <v>1.7181100000000001E-2</v>
      </c>
    </row>
    <row r="11" spans="1:15" ht="15.75" customHeight="1" x14ac:dyDescent="0.25">
      <c r="B11" s="5" t="s">
        <v>138</v>
      </c>
      <c r="C11" s="45">
        <v>5.1400999999999999E-3</v>
      </c>
      <c r="D11" s="53">
        <v>5.1400999999999999E-3</v>
      </c>
      <c r="E11" s="53">
        <v>1.24076E-2</v>
      </c>
      <c r="F11" s="53">
        <v>1.0181600000000001E-2</v>
      </c>
      <c r="G11" s="53">
        <v>1.7941000000000001E-3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0.46848806900000001</v>
      </c>
      <c r="D14" s="54">
        <v>0.46448791111799997</v>
      </c>
      <c r="E14" s="54">
        <v>0.46448791111799997</v>
      </c>
      <c r="F14" s="54">
        <v>0.24134989067099999</v>
      </c>
      <c r="G14" s="54">
        <v>0.24134989067099999</v>
      </c>
      <c r="H14" s="45">
        <v>0.377</v>
      </c>
      <c r="I14" s="55">
        <v>0.377</v>
      </c>
      <c r="J14" s="55">
        <v>0.377</v>
      </c>
      <c r="K14" s="55">
        <v>0.377</v>
      </c>
      <c r="L14" s="45">
        <v>0.34399999999999997</v>
      </c>
      <c r="M14" s="55">
        <v>0.34399999999999997</v>
      </c>
      <c r="N14" s="55">
        <v>0.34399999999999997</v>
      </c>
      <c r="O14" s="55">
        <v>0.34399999999999997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0.20675502856335601</v>
      </c>
      <c r="D15" s="52">
        <f t="shared" si="0"/>
        <v>0.20498966288624021</v>
      </c>
      <c r="E15" s="52">
        <f t="shared" si="0"/>
        <v>0.20498966288624021</v>
      </c>
      <c r="F15" s="52">
        <f t="shared" si="0"/>
        <v>0.1065134991504884</v>
      </c>
      <c r="G15" s="52">
        <f t="shared" si="0"/>
        <v>0.1065134991504884</v>
      </c>
      <c r="H15" s="52">
        <f t="shared" si="0"/>
        <v>0.166379148</v>
      </c>
      <c r="I15" s="52">
        <f t="shared" si="0"/>
        <v>0.166379148</v>
      </c>
      <c r="J15" s="52">
        <f t="shared" si="0"/>
        <v>0.166379148</v>
      </c>
      <c r="K15" s="52">
        <f t="shared" si="0"/>
        <v>0.166379148</v>
      </c>
      <c r="L15" s="52">
        <f t="shared" si="0"/>
        <v>0.15181545599999999</v>
      </c>
      <c r="M15" s="52">
        <f t="shared" si="0"/>
        <v>0.15181545599999999</v>
      </c>
      <c r="N15" s="52">
        <f t="shared" si="0"/>
        <v>0.15181545599999999</v>
      </c>
      <c r="O15" s="52">
        <f t="shared" si="0"/>
        <v>0.15181545599999999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mvWCfKcFLKqVnT9p1vwJMTfAcWBPI5A7jCndcAEu3vhVjwn7irEK4GNuLIdIB2d1r+X9RN36dbJvS7D/hcdXaw==" saltValue="jCtZLIl9dMn1934kgqGv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0.72640950000000004</v>
      </c>
      <c r="D2" s="53">
        <v>0.51254100000000002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0.19447390000000001</v>
      </c>
      <c r="D3" s="53">
        <v>0.24950230000000001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5.7415900000000013E-2</v>
      </c>
      <c r="D4" s="53">
        <v>0.17059009999999999</v>
      </c>
      <c r="E4" s="53">
        <v>0.93401460000000003</v>
      </c>
      <c r="F4" s="53">
        <v>0.67999700000000007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2.1700700000000017E-2</v>
      </c>
      <c r="D5" s="52">
        <f t="shared" si="0"/>
        <v>6.7366600000000054E-2</v>
      </c>
      <c r="E5" s="52">
        <f>1-SUM(E2:E4)</f>
        <v>6.5985399999999972E-2</v>
      </c>
      <c r="F5" s="52">
        <f>1-SUM(F2:F4)</f>
        <v>0.32000299999999993</v>
      </c>
      <c r="G5" s="52">
        <f>1-SUM(G2:G4)</f>
        <v>1</v>
      </c>
    </row>
  </sheetData>
  <sheetProtection algorithmName="SHA-512" hashValue="/9nRrP8BXccH3ksA69tmcxSqFo/4PqIsPS1/8iybol2Jj1Oar4nc11AnRyi+nW58QFZMCpO4Ptwp4cIbs14/Cg==" saltValue="PSREnJGWRpBfwTmHHmtyn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4FoTsUX7vuygeqsB2s9jAZNR7dS8Wsz5q3GyakqwB+6w0sV/eoh5N03db2FLbvtJiZhSwuJPbgaZHz0QW3YtiQ==" saltValue="aF0o+WwVMlH4Z2HCBJ6UV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6591.4713141196098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0.44453999999999999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0.52200000000000002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1.36053957796782E-2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99375.544299999994</v>
      </c>
      <c r="C22" s="109">
        <v>99318.174350000001</v>
      </c>
      <c r="D22" s="109">
        <v>99242.881469999993</v>
      </c>
      <c r="E22" s="109">
        <v>99079.807920000007</v>
      </c>
      <c r="F22" s="109">
        <v>98916.524059999996</v>
      </c>
      <c r="G22" s="109">
        <v>98643.334419999999</v>
      </c>
      <c r="H22" s="109">
        <v>98326.637579999995</v>
      </c>
      <c r="I22" s="109">
        <v>97868.540059999999</v>
      </c>
      <c r="J22" s="109">
        <v>97065.066229999997</v>
      </c>
      <c r="K22" s="109">
        <v>95570.499760000006</v>
      </c>
      <c r="L22" s="109">
        <v>93157.068350000001</v>
      </c>
      <c r="M22" s="109">
        <v>88846.140799999994</v>
      </c>
      <c r="N22" s="109">
        <v>82464.116550000006</v>
      </c>
      <c r="O22" s="109">
        <v>73456.697150000007</v>
      </c>
    </row>
  </sheetData>
  <sheetProtection algorithmName="SHA-512" hashValue="NIdBGLYtmN/cKaJVHbTqkQ1eORc86yAsddy00PulcrenztCc0imS00DGzu9cS1tAdP1B4d9kmx/PdEdGTXlpIA==" saltValue="Ozt0DY3sdVUHPv1VDmhmD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iyS8pSASUvppD2WF7UTKYevjfBJjTzd8f8PzzcKXMQcY/2kYDnutbsDPMJXOfIk0aPrKZo8Hu6sXxcoTSlRjbw==" saltValue="b20JtjE7ZQ6U5iA0H4xaY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UZdkY3137WFv98TjL0Se0ZpDUkNmE2nBKdmUCKvn51i90REVTpRlzCl61SKGobySR3FOk91wF384AqpNZGE5Yw==" saltValue="Ap6d8gvhQGQeApfYXkObU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12.008526100307062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12.008526100307062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8.8894216990788131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0.40262538382804508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0.42978100000000002</v>
      </c>
      <c r="C10" s="98">
        <v>0.95</v>
      </c>
      <c r="D10" s="56">
        <v>13.16871016477951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13.16871016477951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13.16871016477951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13.16871016477951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0.42978100000000002</v>
      </c>
      <c r="C14" s="98">
        <v>0.95</v>
      </c>
      <c r="D14" s="56">
        <v>13.16871016477951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13.16871016477951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0.84899999999999998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0.157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0.51254100000000002</v>
      </c>
      <c r="C18" s="98">
        <v>0.95</v>
      </c>
      <c r="D18" s="56">
        <v>8.8894216990788131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0.51254100000000002</v>
      </c>
      <c r="C19" s="98">
        <v>0.95</v>
      </c>
      <c r="D19" s="56">
        <v>12.04060110790949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8.8894216990788131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0.53483530000000001</v>
      </c>
      <c r="C23" s="98">
        <v>0.95</v>
      </c>
      <c r="D23" s="56">
        <v>4.3771693628409292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0.57084762680907997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0.42978100000000002</v>
      </c>
      <c r="C26" s="98">
        <v>0.95</v>
      </c>
      <c r="D26" s="56">
        <v>5.1498336745138182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11.470990276356194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0.54128999999999994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8.6074300000000006E-2</v>
      </c>
      <c r="C29" s="98">
        <v>0.95</v>
      </c>
      <c r="D29" s="56">
        <v>129.56175311793481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170.92419651995908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0.5</v>
      </c>
      <c r="C32" s="98">
        <v>0.95</v>
      </c>
      <c r="D32" s="56">
        <v>1.1057036847492325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3.4401899999999999E-2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0.1875019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1.9946800000000001E-2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5.4970400000000003E-2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0.2335767</v>
      </c>
      <c r="C38" s="98">
        <v>0.95</v>
      </c>
      <c r="D38" s="56">
        <v>2.6374181166837261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Cw367+eOh68REiICuxYtK1VWQhMEMD4ErKDU3OLSZlfaqZgaIh5yKBZG72nNu8Vni8lUscAzjx+ZuVcwCP0CCw==" saltValue="QfoVKUn7DX1/TY90PBrR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QxwwuLWypLjrFtSDOCYaWwxqrn4ocTYyVixcyhVNtrT/gJ732vLcl2jPu4qSR98mhUQRSLQ4FhWALP2PLYz2BA==" saltValue="Rs/zH0ny9oPVzrvsYW33b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RAqMyidEzoFcLCk+7+oxQusjDdiEnopC2qNFocVjxsDk5V4Yl6B2VfcZzdkIK6BZEUEjK/TAKjTz4LAnQlBa6Q==" saltValue="hcjubnyElEdfmJgDi/jmf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6.3506560000000004E-2</v>
      </c>
      <c r="C3" s="21">
        <f>frac_mam_1_5months * 2.6</f>
        <v>6.3506560000000004E-2</v>
      </c>
      <c r="D3" s="21">
        <f>frac_mam_6_11months * 2.6</f>
        <v>0.14315990000000001</v>
      </c>
      <c r="E3" s="21">
        <f>frac_mam_12_23months * 2.6</f>
        <v>0.12931386</v>
      </c>
      <c r="F3" s="21">
        <f>frac_mam_24_59months * 2.6</f>
        <v>4.4670860000000007E-2</v>
      </c>
    </row>
    <row r="4" spans="1:6" ht="15.75" customHeight="1" x14ac:dyDescent="0.25">
      <c r="A4" s="3" t="s">
        <v>236</v>
      </c>
      <c r="B4" s="21">
        <f>frac_sam_1month * 2.6</f>
        <v>1.3364259999999999E-2</v>
      </c>
      <c r="C4" s="21">
        <f>frac_sam_1_5months * 2.6</f>
        <v>1.3364259999999999E-2</v>
      </c>
      <c r="D4" s="21">
        <f>frac_sam_6_11months * 2.6</f>
        <v>3.2259759999999998E-2</v>
      </c>
      <c r="E4" s="21">
        <f>frac_sam_12_23months * 2.6</f>
        <v>2.6472160000000002E-2</v>
      </c>
      <c r="F4" s="21">
        <f>frac_sam_24_59months * 2.6</f>
        <v>4.6646600000000002E-3</v>
      </c>
    </row>
  </sheetData>
  <sheetProtection algorithmName="SHA-512" hashValue="cRZkBNMj+ihZaMDJQQsgvG/2myerEtsgyp0ZVCSND1EptatweZvCE7IBL3YBHTmsamWgdqMEFfYg8nsDJ7UfqA==" saltValue="rqQXxGe7oaHS+IHaApbl7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0.40899999999999997</v>
      </c>
      <c r="F2" s="60">
        <f>food_insecure</f>
        <v>0.40899999999999997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0.40899999999999997</v>
      </c>
      <c r="F5" s="60">
        <f>food_insecure</f>
        <v>0.40899999999999997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0.40899999999999997</v>
      </c>
      <c r="F8" s="60">
        <f>food_insecure</f>
        <v>0.40899999999999997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0.40899999999999997</v>
      </c>
      <c r="F9" s="60">
        <f>food_insecure</f>
        <v>0.40899999999999997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0.40899999999999997</v>
      </c>
      <c r="I15" s="60">
        <f t="shared" si="0"/>
        <v>0.40899999999999997</v>
      </c>
      <c r="J15" s="60">
        <f t="shared" si="0"/>
        <v>0.40899999999999997</v>
      </c>
      <c r="K15" s="60">
        <f t="shared" si="0"/>
        <v>0.40899999999999997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0.40899999999999997</v>
      </c>
      <c r="I16" s="60">
        <f t="shared" si="0"/>
        <v>0.40899999999999997</v>
      </c>
      <c r="J16" s="60">
        <f t="shared" si="0"/>
        <v>0.40899999999999997</v>
      </c>
      <c r="K16" s="60">
        <f t="shared" si="0"/>
        <v>0.40899999999999997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0.77700000000000002</v>
      </c>
      <c r="M24" s="60">
        <f>famplan_unmet_need</f>
        <v>0.77700000000000002</v>
      </c>
      <c r="N24" s="60">
        <f>famplan_unmet_need</f>
        <v>0.77700000000000002</v>
      </c>
      <c r="O24" s="60">
        <f>famplan_unmet_need</f>
        <v>0.77700000000000002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5.074323242036298E-2</v>
      </c>
      <c r="M25" s="60">
        <f>(1-food_insecure)*(0.49)+food_insecure*(0.7)</f>
        <v>0.5758899999999999</v>
      </c>
      <c r="N25" s="60">
        <f>(1-food_insecure)*(0.49)+food_insecure*(0.7)</f>
        <v>0.5758899999999999</v>
      </c>
      <c r="O25" s="60">
        <f>(1-food_insecure)*(0.49)+food_insecure*(0.7)</f>
        <v>0.5758899999999999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2.1747099608726995E-2</v>
      </c>
      <c r="M26" s="60">
        <f>(1-food_insecure)*(0.21)+food_insecure*(0.3)</f>
        <v>0.24680999999999997</v>
      </c>
      <c r="N26" s="60">
        <f>(1-food_insecure)*(0.21)+food_insecure*(0.3)</f>
        <v>0.24680999999999997</v>
      </c>
      <c r="O26" s="60">
        <f>(1-food_insecure)*(0.21)+food_insecure*(0.3)</f>
        <v>0.24680999999999997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1.5622384670909996E-2</v>
      </c>
      <c r="M27" s="60">
        <f>(1-food_insecure)*(0.3)</f>
        <v>0.17729999999999999</v>
      </c>
      <c r="N27" s="60">
        <f>(1-food_insecure)*(0.3)</f>
        <v>0.17729999999999999</v>
      </c>
      <c r="O27" s="60">
        <f>(1-food_insecure)*(0.3)</f>
        <v>0.17729999999999999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qqKKzCN2q1d5nU1CB0lndICbzprrVf9AtuncIUp6n1zzypt1Cq38vb52olD3ss9fBFeFj3bdw8JLVwQ7bXObOg==" saltValue="BuFGTZ+PHVQh58bwg/Ap4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ofAaVrRp6485UUx23VSWMCVZOBN1CMZ8RJU44/7YttXa8qNlGAJDGV5dbir5Y0y0SGQSkx9W4iyOxrOfszZePA==" saltValue="Jegp4Qiw671H92W73vBOB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Fm1DvxFKNK2J+ma/CdiFixK+Ro4SuGnS0jJZHq/jawKjRy9P5gwzxvrCqLXg4C5RPJ5vzoFiixCiZcrBVs5Sgw==" saltValue="iSL4L4ya9cg5/daCpBw6p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ysv+/D4/LiMJd34xYt3o1p5tdEnyzTIdibYBEC6xfTOC1iklNkTZR/n2VWnXwEnC6yOV9x5PJFyaNHEPU197NQ==" saltValue="wIthJvrLehsIGZnL8B07Y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NTp21t+YD9v7fPMnRGd3QzjRQW+F1QQHet4X6loB8jAKy2q/Qj574jDkI0foT7mMHIHrnuUIgCbOnzcVd1EZaA==" saltValue="Z+kcmEBWs8edsWNHLHGtj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7NZwnnkEnnJWbxM4tXjXyUiWl4jpmNHqVHzEDhoM+1ioNf678TEKhOuZyt92QskVtXEYWD0JDHB9HOzKmSOKQA==" saltValue="ogzXL8A45dmWgL9R6Anfu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+usLtRsR75S1B7H0gY/IMyZ4k7CS6NxBBVVotgFrArF1okbtxplnKjwlmV3sbF85s4EZ0uWK+Eh/1AtOhO1aaw==" saltValue="wpl+45fnTJjCOyVsLdn4R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zxjhdb+xd6RA3iuIn3HrFOUpLkha0kmkBTzO6g6OtctddG0DSmM3cUPNnSQj9O2j8A7H9ONefWR2/c5y8mbl6w==" saltValue="cVDcf/72czfw8PPTfI5s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LSxVFxxIVyN07sh8kIFr09diidG4XzxulP/9u3p0VRK6DyNOEAl2Ar12W1uIfhxFvp3nmAOO/DZV8oqpmR3jXg==" saltValue="V7/unXLcTW003ozEOPBT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d2t7GKRhrQgucJZc1AhLxB7EmB7dVuFSDK2hIuN126V7UKqzamIfaBCueLKm/NUOq3r74IrUB7x3ja67s2V/wA==" saltValue="x1Dq6b520HqMZJVB2GZ7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vczTKr9a2GM0lHnA7NcojwS5UtpuPaaIWGv9fzgESUvWYFkep30C9LwNH9udAokeoZJuqwznh0ZFdwL/3wrfog==" saltValue="1TCbgkTdWCIp8T9fj4DW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1vq5ZeXmJ5XXNmGL9RSng2dVhMFvm0YzLsTvo3IVo8Rm6KNeqWFscHjpUwt4MqNHEenMRRz5b1V3db2u1eH6/Q==" saltValue="GYRZnO+FnXrUMhXkTjvr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23/NfB1oa3EsZzz+UXpPZiM51svwXfPzX+aDBY6QCnqDvKQKMcXZBuTasaMJw0tYH9yXUk8qZnzjo7I6e6EXSg==" saltValue="4Ebx+WMpWPq1cpRkR8jKM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wRsbcOJ2PAqg2XSvRfkxRE6ZkFoj+ipdB3coGUlgSQXQTjYS3P/Sks/vATEn4FpJpPehRbpiYsBJH7d7UScJUQ==" saltValue="p7GPuyMOWmefgRW0YE8y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ScksXOGFwxdEcQHa8s/Kq3k4e/EUnh5mq6OotaUEbKKhcwC9GRPajD6ZOAtPgIkYViNX+wsg7w9HSicZ8GUyuQ==" saltValue="sxB/lcfGvddNhN8/FmGFd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2025-07-04T02:02:01Z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