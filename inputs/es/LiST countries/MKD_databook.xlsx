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1E9503DB-9AD4-4A87-AE3A-999C774C7BE7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A36" i="2"/>
  <c r="I38" i="2"/>
  <c r="I39" i="2"/>
  <c r="I6" i="2"/>
  <c r="I12" i="2"/>
  <c r="A35" i="2"/>
  <c r="I7" i="2"/>
  <c r="I13" i="2"/>
  <c r="A37" i="2"/>
  <c r="A22" i="2"/>
  <c r="I3" i="2"/>
  <c r="I9" i="2"/>
  <c r="A23" i="2"/>
  <c r="I2" i="2"/>
  <c r="A19" i="2"/>
  <c r="A24" i="2"/>
  <c r="A40" i="2"/>
  <c r="I4" i="2"/>
  <c r="A25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<sst xmlns="http://schemas.openxmlformats.org/spreadsheetml/2006/main" count="2169" uniqueCount="373">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</sst>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87556.5</v>
      </c>
    </row>
    <row r="8" spans="1:3" ht="15" customHeight="1" x14ac:dyDescent="0.25">
      <c r="B8" s="5" t="s">
        <v>63</v>
      </c>
      <c r="C8" s="44">
        <v>0.40899999999999997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0.91188728330000002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5.2499999999999998E-2</v>
      </c>
    </row>
    <row r="24" spans="1:3" ht="15" customHeight="1" x14ac:dyDescent="0.25">
      <c r="B24" s="15" t="s">
        <v>65</v>
      </c>
      <c r="C24" s="45">
        <v>0.53039999999999998</v>
      </c>
    </row>
    <row r="25" spans="1:3" ht="15" customHeight="1" x14ac:dyDescent="0.25">
      <c r="B25" s="15" t="s">
        <v>66</v>
      </c>
      <c r="C25" s="45">
        <v>0.39929999999999999</v>
      </c>
    </row>
    <row r="26" spans="1:3" ht="15" customHeight="1" x14ac:dyDescent="0.25">
      <c r="B26" s="15" t="s">
        <v>67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0.26912377197565901</v>
      </c>
    </row>
    <row r="30" spans="1:3" ht="14.25" customHeight="1" x14ac:dyDescent="0.25">
      <c r="B30" s="25" t="s">
        <v>82</v>
      </c>
      <c r="C30" s="97">
        <v>4.10301351064883E-2</v>
      </c>
    </row>
    <row r="31" spans="1:3" ht="14.25" customHeight="1" x14ac:dyDescent="0.25">
      <c r="B31" s="25" t="s">
        <v>29</v>
      </c>
      <c r="C31" s="97">
        <v>6.6332842080041601E-2</v>
      </c>
    </row>
    <row r="32" spans="1:3" ht="14.25" customHeight="1" x14ac:dyDescent="0.25">
      <c r="B32" s="25" t="s">
        <v>30</v>
      </c>
      <c r="C32" s="97">
        <v>0.62351325083781095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29.927250000000001</v>
      </c>
    </row>
    <row r="38" spans="1:5" ht="15" customHeight="1" x14ac:dyDescent="0.25">
      <c r="B38" s="11" t="s">
        <v>54</v>
      </c>
      <c r="C38" s="43">
        <v>56.723050000000001</v>
      </c>
      <c r="D38" s="12"/>
      <c r="E38" s="13"/>
    </row>
    <row r="39" spans="1:5" ht="15" customHeight="1" x14ac:dyDescent="0.25">
      <c r="B39" s="11" t="s">
        <v>80</v>
      </c>
      <c r="C39" s="43">
        <v>76.040170000000003</v>
      </c>
      <c r="D39" s="12"/>
      <c r="E39" s="12"/>
    </row>
    <row r="40" spans="1:5" ht="15" customHeight="1" x14ac:dyDescent="0.25">
      <c r="B40" s="11" t="s">
        <v>55</v>
      </c>
      <c r="C40" s="98">
        <v>6.52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78</v>
      </c>
      <c r="C47" s="45">
        <v>7.3475499999999999E-2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0.44132399999999999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aTPR05YIuyaekXuPF6YVtnNIHpgdRDvBos9b/MTf12wXyPDa/6koGqiuT7MXgIMB4jkz5ny1DvsL5ZMzJGT61A==" saltValue="zQAyVb+Qd4IEQ1husTa3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16587</v>
      </c>
      <c r="C2" s="49">
        <v>50754.5</v>
      </c>
      <c r="D2" s="49">
        <v>106482</v>
      </c>
      <c r="E2" s="49">
        <v>121574.5</v>
      </c>
      <c r="F2" s="49">
        <v>129269.5</v>
      </c>
      <c r="G2" s="17">
        <f t="shared" ref="G2:G13" si="0">C2+D2+E2+F2</f>
        <v>408080.5</v>
      </c>
      <c r="H2" s="17">
        <f t="shared" ref="H2:H13" si="1">(B2 + stillbirth*B2/(1000-stillbirth))/(1-abortion)</f>
        <v>19289.870586703917</v>
      </c>
      <c r="I2" s="17">
        <f t="shared" ref="I2:I13" si="2">G2-H2</f>
        <v>388790.62941329606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16312.999999999998</v>
      </c>
      <c r="C3" s="50">
        <v>51348.5</v>
      </c>
      <c r="D3" s="50">
        <v>104091.00000000001</v>
      </c>
      <c r="E3" s="50">
        <v>119781</v>
      </c>
      <c r="F3" s="50">
        <v>128437.99999999999</v>
      </c>
      <c r="G3" s="17">
        <f t="shared" si="0"/>
        <v>403658.5</v>
      </c>
      <c r="H3" s="17">
        <f t="shared" si="1"/>
        <v>18971.221973889253</v>
      </c>
      <c r="I3" s="17">
        <f t="shared" si="2"/>
        <v>384687.27802611073</v>
      </c>
    </row>
    <row r="4" spans="1:9" ht="15.75" customHeight="1" x14ac:dyDescent="0.25">
      <c r="A4" s="5">
        <f t="shared" si="3"/>
        <v>2026</v>
      </c>
      <c r="B4" s="49">
        <v>16027.000000000002</v>
      </c>
      <c r="C4" s="50">
        <v>51880</v>
      </c>
      <c r="D4" s="50">
        <v>101888.5</v>
      </c>
      <c r="E4" s="50">
        <v>117789</v>
      </c>
      <c r="F4" s="50">
        <v>127561</v>
      </c>
      <c r="G4" s="17">
        <f t="shared" si="0"/>
        <v>399118.5</v>
      </c>
      <c r="H4" s="17">
        <f t="shared" si="1"/>
        <v>18638.617947374678</v>
      </c>
      <c r="I4" s="17">
        <f t="shared" si="2"/>
        <v>380479.8820526253</v>
      </c>
    </row>
    <row r="5" spans="1:9" ht="15.75" customHeight="1" x14ac:dyDescent="0.25">
      <c r="A5" s="5">
        <f t="shared" si="3"/>
        <v>2027</v>
      </c>
      <c r="B5" s="49">
        <v>15783</v>
      </c>
      <c r="C5" s="50">
        <v>52317.5</v>
      </c>
      <c r="D5" s="50">
        <v>100140.5</v>
      </c>
      <c r="E5" s="50">
        <v>115426.5</v>
      </c>
      <c r="F5" s="50">
        <v>126931</v>
      </c>
      <c r="G5" s="17">
        <f t="shared" si="0"/>
        <v>394815.5</v>
      </c>
      <c r="H5" s="17">
        <f t="shared" si="1"/>
        <v>18354.857868809788</v>
      </c>
      <c r="I5" s="17">
        <f t="shared" si="2"/>
        <v>376460.64213119022</v>
      </c>
    </row>
    <row r="6" spans="1:9" ht="15.75" customHeight="1" x14ac:dyDescent="0.25">
      <c r="A6" s="5">
        <f t="shared" si="3"/>
        <v>2028</v>
      </c>
      <c r="B6" s="49">
        <v>15559</v>
      </c>
      <c r="C6" s="50">
        <v>52835</v>
      </c>
      <c r="D6" s="50">
        <v>99015</v>
      </c>
      <c r="E6" s="50">
        <v>112821.5</v>
      </c>
      <c r="F6" s="50">
        <v>126280</v>
      </c>
      <c r="G6" s="17">
        <f t="shared" si="0"/>
        <v>390951.5</v>
      </c>
      <c r="H6" s="17">
        <f t="shared" si="1"/>
        <v>18094.356813078091</v>
      </c>
      <c r="I6" s="17">
        <f t="shared" si="2"/>
        <v>372857.14318692189</v>
      </c>
    </row>
    <row r="7" spans="1:9" ht="15.75" customHeight="1" x14ac:dyDescent="0.25">
      <c r="A7" s="5">
        <f t="shared" si="3"/>
        <v>2029</v>
      </c>
      <c r="B7" s="49">
        <v>15328</v>
      </c>
      <c r="C7" s="50">
        <v>53169</v>
      </c>
      <c r="D7" s="50">
        <v>98423.499999999985</v>
      </c>
      <c r="E7" s="50">
        <v>110362</v>
      </c>
      <c r="F7" s="50">
        <v>125260</v>
      </c>
      <c r="G7" s="17">
        <f t="shared" si="0"/>
        <v>387214.5</v>
      </c>
      <c r="H7" s="17">
        <f t="shared" si="1"/>
        <v>17825.715099354777</v>
      </c>
      <c r="I7" s="17">
        <f t="shared" si="2"/>
        <v>369388.7849006452</v>
      </c>
    </row>
    <row r="8" spans="1:9" ht="15.75" customHeight="1" x14ac:dyDescent="0.25">
      <c r="A8" s="5">
        <f t="shared" si="3"/>
        <v>2030</v>
      </c>
      <c r="B8" s="49">
        <v>15121</v>
      </c>
      <c r="C8" s="50">
        <v>53143.5</v>
      </c>
      <c r="D8" s="50">
        <v>97894</v>
      </c>
      <c r="E8" s="50">
        <v>108140.99999999999</v>
      </c>
      <c r="F8" s="50">
        <v>123948.5</v>
      </c>
      <c r="G8" s="17">
        <f t="shared" si="0"/>
        <v>383127</v>
      </c>
      <c r="H8" s="17">
        <f t="shared" si="1"/>
        <v>17584.984213031286</v>
      </c>
      <c r="I8" s="17">
        <f t="shared" si="2"/>
        <v>365542.0157869687</v>
      </c>
    </row>
    <row r="9" spans="1:9" ht="15.75" customHeight="1" x14ac:dyDescent="0.25">
      <c r="A9" s="5">
        <f t="shared" si="3"/>
        <v>2031</v>
      </c>
      <c r="B9" s="49">
        <v>14935</v>
      </c>
      <c r="C9" s="50">
        <v>53019</v>
      </c>
      <c r="D9" s="50">
        <v>97340</v>
      </c>
      <c r="E9" s="50">
        <v>105814</v>
      </c>
      <c r="F9" s="50">
        <v>122560</v>
      </c>
      <c r="G9" s="17">
        <f t="shared" si="0"/>
        <v>378733</v>
      </c>
      <c r="H9" s="17">
        <f t="shared" si="1"/>
        <v>17368.675300682644</v>
      </c>
      <c r="I9" s="17">
        <f t="shared" si="2"/>
        <v>361364.32469931734</v>
      </c>
    </row>
    <row r="10" spans="1:9" ht="15.75" customHeight="1" x14ac:dyDescent="0.25">
      <c r="A10" s="5">
        <f t="shared" si="3"/>
        <v>2032</v>
      </c>
      <c r="B10" s="49">
        <v>14773</v>
      </c>
      <c r="C10" s="50">
        <v>52705.5</v>
      </c>
      <c r="D10" s="50">
        <v>96941</v>
      </c>
      <c r="E10" s="50">
        <v>103591.5</v>
      </c>
      <c r="F10" s="50">
        <v>121044.5</v>
      </c>
      <c r="G10" s="17">
        <f t="shared" si="0"/>
        <v>374282.5</v>
      </c>
      <c r="H10" s="17">
        <f t="shared" si="1"/>
        <v>17180.27721573383</v>
      </c>
      <c r="I10" s="17">
        <f t="shared" si="2"/>
        <v>357102.22278426617</v>
      </c>
    </row>
    <row r="11" spans="1:9" ht="15.75" customHeight="1" x14ac:dyDescent="0.25">
      <c r="A11" s="5">
        <f t="shared" si="3"/>
        <v>2033</v>
      </c>
      <c r="B11" s="49">
        <v>14626</v>
      </c>
      <c r="C11" s="50">
        <v>51749.5</v>
      </c>
      <c r="D11" s="50">
        <v>97017</v>
      </c>
      <c r="E11" s="50">
        <v>101451</v>
      </c>
      <c r="F11" s="50">
        <v>119346</v>
      </c>
      <c r="G11" s="17">
        <f t="shared" si="0"/>
        <v>369563.5</v>
      </c>
      <c r="H11" s="17">
        <f t="shared" si="1"/>
        <v>17009.323397909902</v>
      </c>
      <c r="I11" s="17">
        <f t="shared" si="2"/>
        <v>352554.17660209013</v>
      </c>
    </row>
    <row r="12" spans="1:9" ht="15.75" customHeight="1" x14ac:dyDescent="0.25">
      <c r="A12" s="5">
        <f t="shared" si="3"/>
        <v>2034</v>
      </c>
      <c r="B12" s="49">
        <v>14509</v>
      </c>
      <c r="C12" s="50">
        <v>50186</v>
      </c>
      <c r="D12" s="50">
        <v>97653.500000000015</v>
      </c>
      <c r="E12" s="50">
        <v>99204.5</v>
      </c>
      <c r="F12" s="50">
        <v>117628.99999999999</v>
      </c>
      <c r="G12" s="17">
        <f t="shared" si="0"/>
        <v>364673</v>
      </c>
      <c r="H12" s="17">
        <f t="shared" si="1"/>
        <v>16873.258114335757</v>
      </c>
      <c r="I12" s="17">
        <f t="shared" si="2"/>
        <v>347799.74188566423</v>
      </c>
    </row>
    <row r="13" spans="1:9" ht="15.75" customHeight="1" x14ac:dyDescent="0.25">
      <c r="A13" s="5">
        <f t="shared" si="3"/>
        <v>2035</v>
      </c>
      <c r="B13" s="49">
        <v>14413</v>
      </c>
      <c r="C13" s="50">
        <v>48462</v>
      </c>
      <c r="D13" s="50">
        <v>98369</v>
      </c>
      <c r="E13" s="50">
        <v>97006.499999999985</v>
      </c>
      <c r="F13" s="50">
        <v>115941.5</v>
      </c>
      <c r="G13" s="17">
        <f t="shared" si="0"/>
        <v>359779</v>
      </c>
      <c r="H13" s="17">
        <f t="shared" si="1"/>
        <v>16761.614804736455</v>
      </c>
      <c r="I13" s="17">
        <f t="shared" si="2"/>
        <v>343017.38519526355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2hdXoh0R2968lSDjck66LrMwGkWGDNz1n1uBz2a+B/jvgpT/I9dfiU3wWY0qH9f0VeEoBqMpZTXGFYrQpfXcw==" saltValue="0ZrM6ztNeS30HJOLA8C1m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2.0916002091600189E-2</v>
      </c>
    </row>
    <row r="4" spans="1:8" ht="15.75" customHeight="1" x14ac:dyDescent="0.25">
      <c r="B4" s="19" t="s">
        <v>116</v>
      </c>
      <c r="C4" s="99">
        <v>6.5774706577470685E-2</v>
      </c>
    </row>
    <row r="5" spans="1:8" ht="15.75" customHeight="1" x14ac:dyDescent="0.25">
      <c r="B5" s="19" t="s">
        <v>114</v>
      </c>
      <c r="C5" s="99">
        <v>9.6632509663250973E-2</v>
      </c>
    </row>
    <row r="6" spans="1:8" ht="15.75" customHeight="1" x14ac:dyDescent="0.25">
      <c r="B6" s="19" t="s">
        <v>110</v>
      </c>
      <c r="C6" s="99">
        <v>0.25245662524566231</v>
      </c>
    </row>
    <row r="7" spans="1:8" ht="15.75" customHeight="1" x14ac:dyDescent="0.25">
      <c r="B7" s="19" t="s">
        <v>115</v>
      </c>
      <c r="C7" s="99">
        <v>0.39333373933337429</v>
      </c>
    </row>
    <row r="8" spans="1:8" ht="15.75" customHeight="1" x14ac:dyDescent="0.25">
      <c r="B8" s="19" t="s">
        <v>117</v>
      </c>
      <c r="C8" s="99">
        <v>3.4550003455000359E-3</v>
      </c>
    </row>
    <row r="9" spans="1:8" ht="15.75" customHeight="1" x14ac:dyDescent="0.25">
      <c r="B9" s="19" t="s">
        <v>111</v>
      </c>
      <c r="C9" s="99">
        <v>5.8309405830940547E-2</v>
      </c>
    </row>
    <row r="10" spans="1:8" ht="15.75" customHeight="1" x14ac:dyDescent="0.25">
      <c r="B10" s="19" t="s">
        <v>113</v>
      </c>
      <c r="C10" s="99">
        <v>0.1091220109122009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121</v>
      </c>
      <c r="C15" s="99">
        <v>0.1345887809257377</v>
      </c>
      <c r="D15" s="99">
        <v>0.1345887809257377</v>
      </c>
      <c r="E15" s="99">
        <v>0.1345887809257377</v>
      </c>
      <c r="F15" s="99">
        <v>0.1345887809257377</v>
      </c>
    </row>
    <row r="16" spans="1:8" ht="15.75" customHeight="1" x14ac:dyDescent="0.25">
      <c r="B16" s="19" t="s">
        <v>2</v>
      </c>
      <c r="C16" s="99">
        <v>1.8017639370382608E-2</v>
      </c>
      <c r="D16" s="99">
        <v>1.8017639370382608E-2</v>
      </c>
      <c r="E16" s="99">
        <v>1.8017639370382608E-2</v>
      </c>
      <c r="F16" s="99">
        <v>1.8017639370382608E-2</v>
      </c>
    </row>
    <row r="17" spans="1:8" ht="15.75" customHeight="1" x14ac:dyDescent="0.25">
      <c r="B17" s="19" t="s">
        <v>109</v>
      </c>
      <c r="C17" s="99">
        <v>0.2417018345573996</v>
      </c>
      <c r="D17" s="99">
        <v>0.2417018345573996</v>
      </c>
      <c r="E17" s="99">
        <v>0.2417018345573996</v>
      </c>
      <c r="F17" s="99">
        <v>0.2417018345573996</v>
      </c>
    </row>
    <row r="18" spans="1:8" ht="15.75" customHeight="1" x14ac:dyDescent="0.25">
      <c r="B18" s="19" t="s">
        <v>3</v>
      </c>
      <c r="C18" s="99">
        <v>0.33724276611699389</v>
      </c>
      <c r="D18" s="99">
        <v>0.33724276611699389</v>
      </c>
      <c r="E18" s="99">
        <v>0.33724276611699389</v>
      </c>
      <c r="F18" s="99">
        <v>0.33724276611699389</v>
      </c>
    </row>
    <row r="19" spans="1:8" ht="15.75" customHeight="1" x14ac:dyDescent="0.25">
      <c r="B19" s="19" t="s">
        <v>120</v>
      </c>
      <c r="C19" s="99">
        <v>1.3011294343433301E-2</v>
      </c>
      <c r="D19" s="99">
        <v>1.3011294343433301E-2</v>
      </c>
      <c r="E19" s="99">
        <v>1.3011294343433301E-2</v>
      </c>
      <c r="F19" s="99">
        <v>1.3011294343433301E-2</v>
      </c>
    </row>
    <row r="20" spans="1:8" ht="15.75" customHeight="1" x14ac:dyDescent="0.25">
      <c r="B20" s="19" t="s">
        <v>98</v>
      </c>
      <c r="C20" s="99">
        <v>1.8809148277049541E-2</v>
      </c>
      <c r="D20" s="99">
        <v>1.8809148277049541E-2</v>
      </c>
      <c r="E20" s="99">
        <v>1.8809148277049541E-2</v>
      </c>
      <c r="F20" s="99">
        <v>1.8809148277049541E-2</v>
      </c>
    </row>
    <row r="21" spans="1:8" ht="15.75" customHeight="1" x14ac:dyDescent="0.25">
      <c r="B21" s="19" t="s">
        <v>107</v>
      </c>
      <c r="C21" s="99">
        <v>5.8069678944985201E-2</v>
      </c>
      <c r="D21" s="99">
        <v>5.8069678944985201E-2</v>
      </c>
      <c r="E21" s="99">
        <v>5.8069678944985201E-2</v>
      </c>
      <c r="F21" s="99">
        <v>5.8069678944985201E-2</v>
      </c>
    </row>
    <row r="22" spans="1:8" ht="15.75" customHeight="1" x14ac:dyDescent="0.25">
      <c r="B22" s="19" t="s">
        <v>118</v>
      </c>
      <c r="C22" s="99">
        <v>8.585191933485864E-2</v>
      </c>
      <c r="D22" s="99">
        <v>8.585191933485864E-2</v>
      </c>
      <c r="E22" s="99">
        <v>8.585191933485864E-2</v>
      </c>
      <c r="F22" s="99">
        <v>8.585191933485864E-2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8.7635818000000004E-2</v>
      </c>
    </row>
    <row r="27" spans="1:8" ht="15.75" customHeight="1" x14ac:dyDescent="0.25">
      <c r="B27" s="19" t="s">
        <v>108</v>
      </c>
      <c r="C27" s="99">
        <v>8.6621349999999996E-3</v>
      </c>
    </row>
    <row r="28" spans="1:8" ht="15.75" customHeight="1" x14ac:dyDescent="0.25">
      <c r="B28" s="19" t="s">
        <v>122</v>
      </c>
      <c r="C28" s="99">
        <v>0.15441808500000001</v>
      </c>
    </row>
    <row r="29" spans="1:8" ht="15.75" customHeight="1" x14ac:dyDescent="0.25">
      <c r="B29" s="19" t="s">
        <v>105</v>
      </c>
      <c r="C29" s="99">
        <v>0.167759189</v>
      </c>
    </row>
    <row r="30" spans="1:8" ht="15.75" customHeight="1" x14ac:dyDescent="0.25">
      <c r="B30" s="19" t="s">
        <v>4</v>
      </c>
      <c r="C30" s="99">
        <v>0.10583751800000001</v>
      </c>
    </row>
    <row r="31" spans="1:8" ht="15.75" customHeight="1" x14ac:dyDescent="0.25">
      <c r="B31" s="19" t="s">
        <v>99</v>
      </c>
      <c r="C31" s="99">
        <v>0.109709026</v>
      </c>
    </row>
    <row r="32" spans="1:8" ht="15.75" customHeight="1" x14ac:dyDescent="0.25">
      <c r="B32" s="19" t="s">
        <v>104</v>
      </c>
      <c r="C32" s="99">
        <v>1.8596574000000001E-2</v>
      </c>
    </row>
    <row r="33" spans="2:3" ht="15.75" customHeight="1" x14ac:dyDescent="0.25">
      <c r="B33" s="19" t="s">
        <v>119</v>
      </c>
      <c r="C33" s="99">
        <v>8.3747772999999998E-2</v>
      </c>
    </row>
    <row r="34" spans="2:3" ht="15.75" customHeight="1" x14ac:dyDescent="0.25">
      <c r="B34" s="19" t="s">
        <v>106</v>
      </c>
      <c r="C34" s="99">
        <v>0.26363388300000001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0PvA7MxPvVCvLQPbXq686SLY+PYwlw2Ph/RJ56KpI9SyxHOx7F0X4gb1jHEhMwgtX5HWxz8Td+rOciwI8WLvaA==" saltValue="OWIhMM+A9JdUb4TLY2HVm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129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125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126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Z0pN6AVXR7LJDJJuQbqmNRoXJiAFbVukBwRHqwWGLFsp281ynScbD7bzOqsT/CDM4PwlzEFrLTiklFPOLCW8A==" saltValue="RYpsw/u7N+6O0lYdOWAJ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s55G5gJ9OM3ulQOb24HX5o6WTgYFKjRV+4d+y+HNTFqAVVsj4wTPxF4UtuuLBgHbsyowQPvwJuwpONwo1kHoyQ==" saltValue="7Np2srBKLTv7Q/fo8zLL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nQmELKRv/abw0xnHbqsDdBUFcJRy3gSTB+M80G4xGwI4ZXVn2ecDwltfJxrDwv0iFXRz5LZ16yOq+rvcCk7xg==" saltValue="OlqjAAGGF0af9tp112ZwA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6591.4713141196098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0.44453999999999999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0.52200000000000002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1.36053957796782E-2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99375.544299999994</v>
      </c>
      <c r="C22" s="107">
        <v>99318.174350000001</v>
      </c>
      <c r="D22" s="107">
        <v>99242.881469999993</v>
      </c>
      <c r="E22" s="107">
        <v>99079.807920000007</v>
      </c>
      <c r="F22" s="107">
        <v>98916.524059999996</v>
      </c>
      <c r="G22" s="107">
        <v>98643.334419999999</v>
      </c>
      <c r="H22" s="107">
        <v>98326.637579999995</v>
      </c>
      <c r="I22" s="107">
        <v>97868.540059999999</v>
      </c>
      <c r="J22" s="107">
        <v>97065.066229999997</v>
      </c>
      <c r="K22" s="107">
        <v>95570.499760000006</v>
      </c>
      <c r="L22" s="107">
        <v>93157.068350000001</v>
      </c>
      <c r="M22" s="107">
        <v>88846.140799999994</v>
      </c>
      <c r="N22" s="107">
        <v>82464.116550000006</v>
      </c>
      <c r="O22" s="107">
        <v>73456.697150000007</v>
      </c>
    </row>
  </sheetData>
  <sheetProtection algorithmName="SHA-512" hashValue="oujkWJAd3D1cYZzpKOy45/TPjIIOpyUACzwTwfcJ8sQMpggoATDLlUtswJzXdeUahMKjX1drc7GZL2XssrtUrQ==" saltValue="s0HjKzNsTm8GcoyAx2RQa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7Rw8WqHdKoV/JMtIGIUhkKwnmAaAHQLrZhNUOG7IB0+Ezw2xoU+CTuqzconQslFzubeYrYn7MFa44BrBIKgebg==" saltValue="s0y1ph2K7FV/quMsUSYY8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IxUxD1izeQzTY/+wFkQMzZj1GKDaGPPjraQhawGzl83alKW7Fg88HNsoGap6HBY1PhFHrW28YBfsRL4IChUUQ==" saltValue="h3gmNaicuQW0WR2DJU/XB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0.42978100000000002</v>
      </c>
      <c r="C10" s="96">
        <v>0.95</v>
      </c>
      <c r="D10" s="56">
        <v>13.16871016477951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13.16871016477951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13.16871016477951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13.16871016477951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0.42978100000000002</v>
      </c>
      <c r="C14" s="96">
        <v>0.95</v>
      </c>
      <c r="D14" s="56">
        <v>13.16871016477951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13.16871016477951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0.84899999999999998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0.157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0.51254100000000002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0.51254100000000002</v>
      </c>
      <c r="C19" s="96">
        <v>0.95</v>
      </c>
      <c r="D19" s="56">
        <v>12.04060110790949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0.53483530000000001</v>
      </c>
      <c r="C23" s="96">
        <v>0.95</v>
      </c>
      <c r="D23" s="56">
        <v>4.3771693628409292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0.57084762680907997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0.42978100000000002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0.54128999999999994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8.6074300000000006E-2</v>
      </c>
      <c r="C29" s="96">
        <v>0.95</v>
      </c>
      <c r="D29" s="56">
        <v>129.56175311793481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0.5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3.4401899999999999E-2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0.1875019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1.9946800000000001E-2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5.4970400000000003E-2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0.2335767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m8nq2z6QpeGmEoruKDjba9X+pHkLG9YCB+FXihS9vdFScpr2PKxCUoeHAszDh2wlC0ac8d4b+Wd9VdE8+RdisA==" saltValue="QAlPDvfJKDIDPK3PPAaj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56FB6RxudCVUEIDBFdyG59skjIkrNK6d1r66qAPzysJdALdHx4gklYMhFCRY0xz0i1KromzUxXpJHeD2u9Meg==" saltValue="7uxvmZRxRYkmlx46VOhx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pRF9BaiUwoDOxEv8Ndxsw6KNaimKliHKcIHctLBe2BoFS561xN2FFWFOidcNQP9+Ze/qDftckcxe5CtzinoCQ==" saltValue="+P91nhOCMHAHYCsqHrR0H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236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w/iFywQ8T4sAzOj6Aq/ER8lu6or7N47M/aps+Yce1j9ULcEx/sfIacT/Gvo0Z/KXutjWVJGGDfvCModk5ZdXZQ==" saltValue="YIjDHhCw8fzF0z3rePzyn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jVkAmyxcCj3ifIOqbzEEqaWaJTc03LBDN1tCUjXvAcfoI1LqpqpAi5hkc01bvwvIwfFTBBWfqGaHzlKjpc1gw==" saltValue="Uwmx1HftkGr39ZN+LbPU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BB2Og04NQJ8GFbKqQt/EP14CLr216B41Ybl7hCDe87ypT7dyaInV20zoRuJ0PB7Mu5PCooJvjpK0gPQLE/fwVw==" saltValue="3S0Y3SkFK5V6BJbwXyn29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JTb8uo1SVIEvc7MtFp7X+mopU0vQWb9QMBgMi9KtSthqVoWwpDZhqSEp4BKn6xBgXBJmStlCi5R9GuT0CAkLA==" saltValue="ZfoANeuyPcV+xRjufMoef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CyB7NWq6Dqju6zchWPN82shaNHzaWB6T8BrwvuRTbGyzE7+O7qDvjivyF93BocukwwLgRnRwPuDoF0ofVxNZg==" saltValue="WIv2rfvZrlpMSIdXaneIA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5HLGnXFii70tdRRKY7np1sJNd8M22ecC9OZSOiNC9EXVzi6sp56EF40eUPAi+7ViueMyk98K1mevFK0Vh592TQ==" saltValue="5oqwE11MOxEKao+HrJG9M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7VgWQyXw9J8I+venhwwCd06Y29ebjinl5yea/T63TaskzO5b4LyjpNkW4rzHcsYmPMyD5seY0C+CfTV76pdWSQ==" saltValue="awfxOZ8ThvDlBK8/au/Cr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EMvMUoA4Ve/9t+j8jLWdHAQLzOFxnmHoBz7uI5nnoSmfOhsiIM/x2yqfQhqjDUDHVNMmBoWfoSErsGvSQ3fAA==" saltValue="ff5d/ZgEiId7tzTUd36uB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JM5TMmHcB/cZ2yLngLh+zZSdr2hgZx4xh5ASyZn2LWM1otL1otEiKBgNF14mbfHwf6o89ctjB7Y3cIpvgFnTFg==" saltValue="/NydFHBa+Uve25dc9cdQ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Y4XGD3Jyu4jetLbuLL476NZ69w2JtGktQUgqB65T0G1xgh+JrUSShCWfhoxTwl5RpJX+Gml4vp5SxiJ4fmjjIA==" saltValue="MjvyqHQYA9g49mncFUiz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NUWuFKVCSOksjN/GB4hdKISAO/+M7EWqogkaCp47McZXIgI0MZqifMxjhdEE2kL3RdWas18+cp3tkZ3JT2IIw==" saltValue="nSECK5NrvMHGdUt3yWfu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+EvGmLM2GZk1a0UXR9E1ka4YIahhLIxZXdo/7M/40iJthdHDSjSS1azcNjKrq77hREC+4dsOJB6STjaadmJuQ==" saltValue="CLzLQtPssd7SVDPfZn8A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2w3wsZkG40SAVEr61zXeDYXXSuBqUMteEOe6/4nTU+8kkKGBy6ewad+xOgCOJd2WM0G+BCLXHaTm4qBQCWWbw==" saltValue="SwURSd8K8wqelb/d4A9b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ZKLKO0r+0KBx6wRIIqr51DG7LrRWbPAKQ+Nd2HSC0RcrAnThj95DSuaDQJT49jcLQQJQjTtTHXJUk66kz489w==" saltValue="vVZgO/Uzieu7OzPAxIFD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VQDlhFcFa6gc45iwyTbqljBNPSTpuA1FvAz4OEPHQzdNB0HMSLIczKwvhkmB+2dIdtuiDtL5ISmww+tYvtcwg==" saltValue="GXnd4xLoAKtSRi99KtF2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7vbxWzc+VjDuwT1r4TEqQVeSsaUjUzVn2OCv5iV2wR03r+y49gpB6soBloxF1zFu1SEJ/wvCXbHZy8B/rsS2A==" saltValue="D7gpQX2HWtGLidTWr/zo6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2026-04-29T02:58:03Z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