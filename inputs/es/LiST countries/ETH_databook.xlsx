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1DDF3165-89BB-4548-BE5E-B74329A27BBC}" xr6:coauthVersionLast="47" xr6:coauthVersionMax="47" xr10:uidLastSave="{00000000-0000-0000-0000-000000000000}"/>
  <bookViews>
    <workbookView xWindow="20" yWindow="20" windowWidth="19180" windowHeight="1018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A37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3" i="2" l="1"/>
  <c r="I3" i="2"/>
  <c r="I7" i="2"/>
  <c r="A26" i="2"/>
  <c r="A22" i="2"/>
  <c r="A36" i="2"/>
  <c r="I4" i="2"/>
  <c r="I8" i="2"/>
  <c r="I12" i="2"/>
  <c r="A25" i="2"/>
  <c r="A31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<sst xmlns="http://schemas.openxmlformats.org/spreadsheetml/2006/main" count="2159" uniqueCount="372">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</sst>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18796069.5</v>
      </c>
    </row>
    <row r="8" spans="1:3" ht="15" customHeight="1" x14ac:dyDescent="0.25">
      <c r="B8" s="5" t="s">
        <v>63</v>
      </c>
      <c r="C8" s="44">
        <v>0.23499999999999999</v>
      </c>
    </row>
    <row r="9" spans="1:3" ht="15" customHeight="1" x14ac:dyDescent="0.25">
      <c r="B9" s="5" t="s">
        <v>62</v>
      </c>
      <c r="C9" s="45">
        <v>0.14000000000000001</v>
      </c>
    </row>
    <row r="10" spans="1:3" ht="15" customHeight="1" x14ac:dyDescent="0.25">
      <c r="B10" s="5" t="s">
        <v>75</v>
      </c>
      <c r="C10" s="45">
        <v>0.30312600000000001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0.192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8.4900000000000003E-2</v>
      </c>
    </row>
    <row r="24" spans="1:3" ht="15" customHeight="1" x14ac:dyDescent="0.25">
      <c r="B24" s="15" t="s">
        <v>65</v>
      </c>
      <c r="C24" s="45">
        <v>0.46400000000000002</v>
      </c>
    </row>
    <row r="25" spans="1:3" ht="15" customHeight="1" x14ac:dyDescent="0.25">
      <c r="B25" s="15" t="s">
        <v>66</v>
      </c>
      <c r="C25" s="45">
        <v>0.35129999999999989</v>
      </c>
    </row>
    <row r="26" spans="1:3" ht="15" customHeight="1" x14ac:dyDescent="0.25">
      <c r="B26" s="15" t="s">
        <v>67</v>
      </c>
      <c r="C26" s="45">
        <v>9.98E-2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0.18812535867607999</v>
      </c>
    </row>
    <row r="30" spans="1:3" ht="14.25" customHeight="1" x14ac:dyDescent="0.25">
      <c r="B30" s="25" t="s">
        <v>82</v>
      </c>
      <c r="C30" s="99">
        <v>7.529214782846369E-2</v>
      </c>
    </row>
    <row r="31" spans="1:3" ht="14.25" customHeight="1" x14ac:dyDescent="0.25">
      <c r="B31" s="25" t="s">
        <v>29</v>
      </c>
      <c r="C31" s="99">
        <v>0.10030682254742999</v>
      </c>
    </row>
    <row r="32" spans="1:3" ht="14.25" customHeight="1" x14ac:dyDescent="0.25">
      <c r="B32" s="25" t="s">
        <v>30</v>
      </c>
      <c r="C32" s="99">
        <v>0.63627567094802595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26.188870000000001</v>
      </c>
    </row>
    <row r="38" spans="1:5" ht="15" customHeight="1" x14ac:dyDescent="0.25">
      <c r="B38" s="11" t="s">
        <v>54</v>
      </c>
      <c r="C38" s="43">
        <v>34.274819999999998</v>
      </c>
      <c r="D38" s="12"/>
      <c r="E38" s="13"/>
    </row>
    <row r="39" spans="1:5" ht="15" customHeight="1" x14ac:dyDescent="0.25">
      <c r="B39" s="11" t="s">
        <v>80</v>
      </c>
      <c r="C39" s="43">
        <v>46.81147</v>
      </c>
      <c r="D39" s="12"/>
      <c r="E39" s="12"/>
    </row>
    <row r="40" spans="1:5" ht="15" customHeight="1" x14ac:dyDescent="0.25">
      <c r="B40" s="11" t="s">
        <v>55</v>
      </c>
      <c r="C40" s="100">
        <v>2.67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20.564900000000002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1.10796E-2</v>
      </c>
      <c r="D45" s="12"/>
    </row>
    <row r="46" spans="1:5" ht="15.75" customHeight="1" x14ac:dyDescent="0.25">
      <c r="B46" s="11" t="s">
        <v>70</v>
      </c>
      <c r="C46" s="45">
        <v>0.1180031</v>
      </c>
      <c r="D46" s="12"/>
    </row>
    <row r="47" spans="1:5" ht="15.75" customHeight="1" x14ac:dyDescent="0.25">
      <c r="B47" s="11" t="s">
        <v>78</v>
      </c>
      <c r="C47" s="45">
        <v>0.15551380000000001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1.976</v>
      </c>
      <c r="D51" s="12"/>
    </row>
    <row r="52" spans="1:4" ht="15" customHeight="1" x14ac:dyDescent="0.25">
      <c r="B52" s="11" t="s">
        <v>32</v>
      </c>
      <c r="C52" s="100">
        <v>1.976</v>
      </c>
    </row>
    <row r="53" spans="1:4" ht="15.75" customHeight="1" x14ac:dyDescent="0.25">
      <c r="B53" s="11" t="s">
        <v>35</v>
      </c>
      <c r="C53" s="100">
        <v>5.8500000000000014</v>
      </c>
    </row>
    <row r="54" spans="1:4" ht="15.75" customHeight="1" x14ac:dyDescent="0.25">
      <c r="B54" s="11" t="s">
        <v>33</v>
      </c>
      <c r="C54" s="100">
        <v>4.6280000000000001</v>
      </c>
    </row>
    <row r="55" spans="1:4" ht="15.75" customHeight="1" x14ac:dyDescent="0.25">
      <c r="B55" s="11" t="s">
        <v>34</v>
      </c>
      <c r="C55" s="100">
        <v>2.3226666666666671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0.56030799999999992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2vM66MGt1WrDMFJ3SurTOJeQlHnChPfovVKn1fzSClCKD+pfzzCHaXC3eGPJHSYOXTNsCRwoE5yZjDmECXb8pA==" saltValue="4hI5UepYunbhAD2EwPdW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19653558</v>
      </c>
      <c r="C2" s="49">
        <v>4410061</v>
      </c>
      <c r="D2" s="49">
        <v>8584638.5</v>
      </c>
      <c r="E2" s="49">
        <v>15452382.5</v>
      </c>
      <c r="F2" s="49">
        <v>11976800</v>
      </c>
      <c r="G2" s="17">
        <f t="shared" ref="G2:G13" si="0">C2+D2+E2+F2</f>
        <v>40423882</v>
      </c>
      <c r="H2" s="17">
        <f t="shared" ref="H2:H13" si="1">(B2 + stillbirth*B2/(1000-stillbirth))/(1-abortion)</f>
        <v>22802520.183689184</v>
      </c>
      <c r="I2" s="17">
        <f t="shared" ref="I2:I13" si="2">G2-H2</f>
        <v>17621361.816310816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4155828.0000000005</v>
      </c>
      <c r="C3" s="50">
        <v>7221408</v>
      </c>
      <c r="D3" s="50">
        <v>12191654.5</v>
      </c>
      <c r="E3" s="50">
        <v>8363976.5000000009</v>
      </c>
      <c r="F3" s="50">
        <v>5317700.5</v>
      </c>
      <c r="G3" s="17">
        <f t="shared" si="0"/>
        <v>33094739.5</v>
      </c>
      <c r="H3" s="17">
        <f t="shared" si="1"/>
        <v>4821689.378072951</v>
      </c>
      <c r="I3" s="17">
        <f t="shared" si="2"/>
        <v>28273050.121927049</v>
      </c>
    </row>
    <row r="4" spans="1:9" ht="15.75" customHeight="1" x14ac:dyDescent="0.25">
      <c r="A4" s="5">
        <f t="shared" si="3"/>
        <v>2026</v>
      </c>
      <c r="B4" s="49">
        <v>4176742</v>
      </c>
      <c r="C4" s="50">
        <v>7308247.5</v>
      </c>
      <c r="D4" s="50">
        <v>12557533.5</v>
      </c>
      <c r="E4" s="50">
        <v>8713901</v>
      </c>
      <c r="F4" s="50">
        <v>5477857</v>
      </c>
      <c r="G4" s="17">
        <f t="shared" si="0"/>
        <v>34057539</v>
      </c>
      <c r="H4" s="17">
        <f t="shared" si="1"/>
        <v>4845954.2927068137</v>
      </c>
      <c r="I4" s="17">
        <f t="shared" si="2"/>
        <v>29211584.707293186</v>
      </c>
    </row>
    <row r="5" spans="1:9" ht="15.75" customHeight="1" x14ac:dyDescent="0.25">
      <c r="A5" s="5">
        <f t="shared" si="3"/>
        <v>2027</v>
      </c>
      <c r="B5" s="49">
        <v>4213081</v>
      </c>
      <c r="C5" s="50">
        <v>7372853.5</v>
      </c>
      <c r="D5" s="50">
        <v>12930713</v>
      </c>
      <c r="E5" s="50">
        <v>9051049.5</v>
      </c>
      <c r="F5" s="50">
        <v>5661555</v>
      </c>
      <c r="G5" s="17">
        <f t="shared" si="0"/>
        <v>35016171</v>
      </c>
      <c r="H5" s="17">
        <f t="shared" si="1"/>
        <v>4888115.6550899046</v>
      </c>
      <c r="I5" s="17">
        <f t="shared" si="2"/>
        <v>30128055.344910096</v>
      </c>
    </row>
    <row r="6" spans="1:9" ht="15.75" customHeight="1" x14ac:dyDescent="0.25">
      <c r="A6" s="5">
        <f t="shared" si="3"/>
        <v>2028</v>
      </c>
      <c r="B6" s="49">
        <v>4246110</v>
      </c>
      <c r="C6" s="50">
        <v>7421398</v>
      </c>
      <c r="D6" s="50">
        <v>13301002.499999998</v>
      </c>
      <c r="E6" s="50">
        <v>9374526</v>
      </c>
      <c r="F6" s="50">
        <v>5872157.4999999991</v>
      </c>
      <c r="G6" s="17">
        <f t="shared" si="0"/>
        <v>35969084</v>
      </c>
      <c r="H6" s="17">
        <f t="shared" si="1"/>
        <v>4926436.6776318308</v>
      </c>
      <c r="I6" s="17">
        <f t="shared" si="2"/>
        <v>31042647.322368167</v>
      </c>
    </row>
    <row r="7" spans="1:9" ht="15.75" customHeight="1" x14ac:dyDescent="0.25">
      <c r="A7" s="5">
        <f t="shared" si="3"/>
        <v>2029</v>
      </c>
      <c r="B7" s="49">
        <v>4275107</v>
      </c>
      <c r="C7" s="50">
        <v>7457635.5</v>
      </c>
      <c r="D7" s="50">
        <v>13661325</v>
      </c>
      <c r="E7" s="50">
        <v>9686858.4999999981</v>
      </c>
      <c r="F7" s="50">
        <v>6101437.5</v>
      </c>
      <c r="G7" s="17">
        <f t="shared" si="0"/>
        <v>36907256.5</v>
      </c>
      <c r="H7" s="17">
        <f t="shared" si="1"/>
        <v>4960079.678953344</v>
      </c>
      <c r="I7" s="17">
        <f t="shared" si="2"/>
        <v>31947176.821046658</v>
      </c>
    </row>
    <row r="8" spans="1:9" ht="15.75" customHeight="1" x14ac:dyDescent="0.25">
      <c r="A8" s="5">
        <f t="shared" si="3"/>
        <v>2030</v>
      </c>
      <c r="B8" s="49">
        <v>4302510</v>
      </c>
      <c r="C8" s="50">
        <v>7510026</v>
      </c>
      <c r="D8" s="50">
        <v>13998336</v>
      </c>
      <c r="E8" s="50">
        <v>9998494.5</v>
      </c>
      <c r="F8" s="50">
        <v>6344748</v>
      </c>
      <c r="G8" s="17">
        <f t="shared" si="0"/>
        <v>37851604.5</v>
      </c>
      <c r="H8" s="17">
        <f t="shared" si="1"/>
        <v>4991873.2839888111</v>
      </c>
      <c r="I8" s="17">
        <f t="shared" si="2"/>
        <v>32859731.216011189</v>
      </c>
    </row>
    <row r="9" spans="1:9" ht="15.75" customHeight="1" x14ac:dyDescent="0.25">
      <c r="A9" s="5">
        <f t="shared" si="3"/>
        <v>2031</v>
      </c>
      <c r="B9" s="49">
        <v>4325561</v>
      </c>
      <c r="C9" s="50">
        <v>7597463.5</v>
      </c>
      <c r="D9" s="50">
        <v>14310022</v>
      </c>
      <c r="E9" s="50">
        <v>10311470.5</v>
      </c>
      <c r="F9" s="50">
        <v>6606360.0000000009</v>
      </c>
      <c r="G9" s="17">
        <f t="shared" si="0"/>
        <v>38825316</v>
      </c>
      <c r="H9" s="17">
        <f t="shared" si="1"/>
        <v>5018617.5962784337</v>
      </c>
      <c r="I9" s="17">
        <f t="shared" si="2"/>
        <v>33806698.403721564</v>
      </c>
    </row>
    <row r="10" spans="1:9" ht="15.75" customHeight="1" x14ac:dyDescent="0.25">
      <c r="A10" s="5">
        <f t="shared" si="3"/>
        <v>2032</v>
      </c>
      <c r="B10" s="49">
        <v>4344290</v>
      </c>
      <c r="C10" s="50">
        <v>7718890</v>
      </c>
      <c r="D10" s="50">
        <v>14596887.5</v>
      </c>
      <c r="E10" s="50">
        <v>10627870.5</v>
      </c>
      <c r="F10" s="50">
        <v>6888968</v>
      </c>
      <c r="G10" s="17">
        <f t="shared" si="0"/>
        <v>39832616</v>
      </c>
      <c r="H10" s="17">
        <f t="shared" si="1"/>
        <v>5040347.4225277221</v>
      </c>
      <c r="I10" s="17">
        <f t="shared" si="2"/>
        <v>34792268.577472277</v>
      </c>
    </row>
    <row r="11" spans="1:9" ht="15.75" customHeight="1" x14ac:dyDescent="0.25">
      <c r="A11" s="5">
        <f t="shared" si="3"/>
        <v>2033</v>
      </c>
      <c r="B11" s="49">
        <v>4361174</v>
      </c>
      <c r="C11" s="50">
        <v>7879458</v>
      </c>
      <c r="D11" s="50">
        <v>14850085</v>
      </c>
      <c r="E11" s="50">
        <v>10952232</v>
      </c>
      <c r="F11" s="50">
        <v>7198825.5</v>
      </c>
      <c r="G11" s="17">
        <f t="shared" si="0"/>
        <v>40880600.5</v>
      </c>
      <c r="H11" s="17">
        <f t="shared" si="1"/>
        <v>5059936.6363882059</v>
      </c>
      <c r="I11" s="17">
        <f t="shared" si="2"/>
        <v>35820663.863611795</v>
      </c>
    </row>
    <row r="12" spans="1:9" ht="15.75" customHeight="1" x14ac:dyDescent="0.25">
      <c r="A12" s="5">
        <f t="shared" si="3"/>
        <v>2034</v>
      </c>
      <c r="B12" s="49">
        <v>4378050</v>
      </c>
      <c r="C12" s="50">
        <v>8086428.5</v>
      </c>
      <c r="D12" s="50">
        <v>15064674.500000002</v>
      </c>
      <c r="E12" s="50">
        <v>11280195</v>
      </c>
      <c r="F12" s="50">
        <v>7533713</v>
      </c>
      <c r="G12" s="17">
        <f t="shared" si="0"/>
        <v>41965011</v>
      </c>
      <c r="H12" s="17">
        <f t="shared" si="1"/>
        <v>5079516.568460553</v>
      </c>
      <c r="I12" s="17">
        <f t="shared" si="2"/>
        <v>36885494.431539446</v>
      </c>
    </row>
    <row r="13" spans="1:9" ht="15.75" customHeight="1" x14ac:dyDescent="0.25">
      <c r="A13" s="5">
        <f t="shared" si="3"/>
        <v>2035</v>
      </c>
      <c r="B13" s="49">
        <v>4392233</v>
      </c>
      <c r="C13" s="50">
        <v>8330466.5</v>
      </c>
      <c r="D13" s="50">
        <v>15258237.000000002</v>
      </c>
      <c r="E13" s="50">
        <v>11618625.5</v>
      </c>
      <c r="F13" s="50">
        <v>7877997.4999999991</v>
      </c>
      <c r="G13" s="17">
        <f t="shared" si="0"/>
        <v>43085326.5</v>
      </c>
      <c r="H13" s="17">
        <f t="shared" si="1"/>
        <v>5095972.0186017063</v>
      </c>
      <c r="I13" s="17">
        <f t="shared" si="2"/>
        <v>37989354.481398292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hkn6ws99ev+oMUCjkP/hS3K6jr/roipDlpGR5NTt/S+89I9OURiUgYVGNSu+0cFBShqksWVTLCn4suTdVL1vnQ==" saltValue="eX1PqBnQQxKtIUe0GnGt1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1.9891899999999921E-2</v>
      </c>
    </row>
    <row r="4" spans="1:8" ht="15.75" customHeight="1" x14ac:dyDescent="0.25">
      <c r="B4" s="19" t="s">
        <v>116</v>
      </c>
      <c r="C4" s="101">
        <v>7.4515400000000037E-2</v>
      </c>
    </row>
    <row r="5" spans="1:8" ht="15.75" customHeight="1" x14ac:dyDescent="0.25">
      <c r="B5" s="19" t="s">
        <v>114</v>
      </c>
      <c r="C5" s="101">
        <v>0.11823790000000001</v>
      </c>
    </row>
    <row r="6" spans="1:8" ht="15.75" customHeight="1" x14ac:dyDescent="0.25">
      <c r="B6" s="19" t="s">
        <v>110</v>
      </c>
      <c r="C6" s="101">
        <v>0.25948660000000018</v>
      </c>
    </row>
    <row r="7" spans="1:8" ht="15.75" customHeight="1" x14ac:dyDescent="0.25">
      <c r="B7" s="19" t="s">
        <v>115</v>
      </c>
      <c r="C7" s="101">
        <v>0.36006529999999981</v>
      </c>
    </row>
    <row r="8" spans="1:8" ht="15.75" customHeight="1" x14ac:dyDescent="0.25">
      <c r="B8" s="19" t="s">
        <v>117</v>
      </c>
      <c r="C8" s="101">
        <v>4.5411999999999961E-3</v>
      </c>
    </row>
    <row r="9" spans="1:8" ht="15.75" customHeight="1" x14ac:dyDescent="0.25">
      <c r="B9" s="19" t="s">
        <v>111</v>
      </c>
      <c r="C9" s="101">
        <v>4.8583099999999983E-2</v>
      </c>
    </row>
    <row r="10" spans="1:8" ht="15.75" customHeight="1" x14ac:dyDescent="0.25">
      <c r="B10" s="19" t="s">
        <v>113</v>
      </c>
      <c r="C10" s="101">
        <v>0.11467859999999989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0.19474125172663101</v>
      </c>
      <c r="D14" s="55">
        <v>0.19474125172663101</v>
      </c>
      <c r="E14" s="55">
        <v>0.19474125172663101</v>
      </c>
      <c r="F14" s="55">
        <v>0.19474125172663101</v>
      </c>
    </row>
    <row r="15" spans="1:8" ht="15.75" customHeight="1" x14ac:dyDescent="0.25">
      <c r="B15" s="19" t="s">
        <v>121</v>
      </c>
      <c r="C15" s="101">
        <v>0.2728039497558219</v>
      </c>
      <c r="D15" s="101">
        <v>0.2728039497558219</v>
      </c>
      <c r="E15" s="101">
        <v>0.2728039497558219</v>
      </c>
      <c r="F15" s="101">
        <v>0.2728039497558219</v>
      </c>
    </row>
    <row r="16" spans="1:8" ht="15.75" customHeight="1" x14ac:dyDescent="0.25">
      <c r="B16" s="19" t="s">
        <v>2</v>
      </c>
      <c r="C16" s="101">
        <v>3.9761713379282131E-2</v>
      </c>
      <c r="D16" s="101">
        <v>3.9761713379282131E-2</v>
      </c>
      <c r="E16" s="101">
        <v>3.9761713379282131E-2</v>
      </c>
      <c r="F16" s="101">
        <v>3.9761713379282131E-2</v>
      </c>
    </row>
    <row r="17" spans="1:8" ht="15.75" customHeight="1" x14ac:dyDescent="0.25">
      <c r="B17" s="19" t="s">
        <v>109</v>
      </c>
      <c r="C17" s="101">
        <v>8.5734847111629542E-2</v>
      </c>
      <c r="D17" s="101">
        <v>8.5734847111629542E-2</v>
      </c>
      <c r="E17" s="101">
        <v>8.5734847111629542E-2</v>
      </c>
      <c r="F17" s="101">
        <v>8.5734847111629542E-2</v>
      </c>
    </row>
    <row r="18" spans="1:8" ht="15.75" customHeight="1" x14ac:dyDescent="0.25">
      <c r="B18" s="19" t="s">
        <v>3</v>
      </c>
      <c r="C18" s="101">
        <v>2.34600871035626E-2</v>
      </c>
      <c r="D18" s="101">
        <v>2.34600871035626E-2</v>
      </c>
      <c r="E18" s="101">
        <v>2.34600871035626E-2</v>
      </c>
      <c r="F18" s="101">
        <v>2.34600871035626E-2</v>
      </c>
    </row>
    <row r="19" spans="1:8" ht="15.75" customHeight="1" x14ac:dyDescent="0.25">
      <c r="B19" s="19" t="s">
        <v>120</v>
      </c>
      <c r="C19" s="101">
        <v>5.4515108223392533E-2</v>
      </c>
      <c r="D19" s="101">
        <v>5.4515108223392533E-2</v>
      </c>
      <c r="E19" s="101">
        <v>5.4515108223392533E-2</v>
      </c>
      <c r="F19" s="101">
        <v>5.4515108223392533E-2</v>
      </c>
    </row>
    <row r="20" spans="1:8" ht="15.75" customHeight="1" x14ac:dyDescent="0.25">
      <c r="B20" s="19" t="s">
        <v>98</v>
      </c>
      <c r="C20" s="101">
        <v>3.5370094976026271E-2</v>
      </c>
      <c r="D20" s="101">
        <v>3.5370094976026271E-2</v>
      </c>
      <c r="E20" s="101">
        <v>3.5370094976026271E-2</v>
      </c>
      <c r="F20" s="101">
        <v>3.5370094976026271E-2</v>
      </c>
    </row>
    <row r="21" spans="1:8" ht="15.75" customHeight="1" x14ac:dyDescent="0.25">
      <c r="B21" s="19" t="s">
        <v>107</v>
      </c>
      <c r="C21" s="101">
        <v>9.0345210755778893E-2</v>
      </c>
      <c r="D21" s="101">
        <v>9.0345210755778893E-2</v>
      </c>
      <c r="E21" s="101">
        <v>9.0345210755778893E-2</v>
      </c>
      <c r="F21" s="101">
        <v>9.0345210755778893E-2</v>
      </c>
    </row>
    <row r="22" spans="1:8" ht="15.75" customHeight="1" x14ac:dyDescent="0.25">
      <c r="B22" s="19" t="s">
        <v>118</v>
      </c>
      <c r="C22" s="101">
        <v>0.20326773696787509</v>
      </c>
      <c r="D22" s="101">
        <v>0.20326773696787509</v>
      </c>
      <c r="E22" s="101">
        <v>0.20326773696787509</v>
      </c>
      <c r="F22" s="101">
        <v>0.20326773696787509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8.7529259999999998E-2</v>
      </c>
    </row>
    <row r="27" spans="1:8" ht="15.75" customHeight="1" x14ac:dyDescent="0.25">
      <c r="B27" s="19" t="s">
        <v>108</v>
      </c>
      <c r="C27" s="101">
        <v>8.5087389999999995E-3</v>
      </c>
    </row>
    <row r="28" spans="1:8" ht="15.75" customHeight="1" x14ac:dyDescent="0.25">
      <c r="B28" s="19" t="s">
        <v>122</v>
      </c>
      <c r="C28" s="101">
        <v>0.15587014399999999</v>
      </c>
    </row>
    <row r="29" spans="1:8" ht="15.75" customHeight="1" x14ac:dyDescent="0.25">
      <c r="B29" s="19" t="s">
        <v>105</v>
      </c>
      <c r="C29" s="101">
        <v>0.16769983199999999</v>
      </c>
    </row>
    <row r="30" spans="1:8" ht="15.75" customHeight="1" x14ac:dyDescent="0.25">
      <c r="B30" s="19" t="s">
        <v>4</v>
      </c>
      <c r="C30" s="101">
        <v>0.106388358</v>
      </c>
    </row>
    <row r="31" spans="1:8" ht="15.75" customHeight="1" x14ac:dyDescent="0.25">
      <c r="B31" s="19" t="s">
        <v>99</v>
      </c>
      <c r="C31" s="101">
        <v>0.108993619</v>
      </c>
    </row>
    <row r="32" spans="1:8" ht="15.75" customHeight="1" x14ac:dyDescent="0.25">
      <c r="B32" s="19" t="s">
        <v>104</v>
      </c>
      <c r="C32" s="101">
        <v>1.8349142999999998E-2</v>
      </c>
    </row>
    <row r="33" spans="2:3" ht="15.75" customHeight="1" x14ac:dyDescent="0.25">
      <c r="B33" s="19" t="s">
        <v>119</v>
      </c>
      <c r="C33" s="101">
        <v>8.4419259999999982E-2</v>
      </c>
    </row>
    <row r="34" spans="2:3" ht="15.75" customHeight="1" x14ac:dyDescent="0.25">
      <c r="B34" s="19" t="s">
        <v>106</v>
      </c>
      <c r="C34" s="101">
        <v>0.26224164300000002</v>
      </c>
    </row>
    <row r="35" spans="2:3" ht="15.75" customHeight="1" x14ac:dyDescent="0.25">
      <c r="B35" s="27" t="s">
        <v>79</v>
      </c>
      <c r="C35" s="48">
        <f>SUM(C26:C34)</f>
        <v>0.99999999800000006</v>
      </c>
    </row>
  </sheetData>
  <sheetProtection algorithmName="SHA-512" hashValue="MmW2dW/QFEDMhecSB/uG3hr1cHV6J7LsXK9feyjyGZ4vvtlLtrYCslh8YZSRcEDeUrM8IeEEep2+vI/tjtmAfg==" saltValue="FNqCN7IXzHgBg2SFPsry4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0.47914592269961154</v>
      </c>
      <c r="D2" s="52">
        <f>IFERROR(1-_xlfn.NORM.DIST(_xlfn.NORM.INV(SUM(D4:D5), 0, 1) + 1, 0, 1, TRUE), "")</f>
        <v>0.47914592269961154</v>
      </c>
      <c r="E2" s="52">
        <f>IFERROR(1-_xlfn.NORM.DIST(_xlfn.NORM.INV(SUM(E4:E5), 0, 1) + 1, 0, 1, TRUE), "")</f>
        <v>0.3522229761152027</v>
      </c>
      <c r="F2" s="52">
        <f>IFERROR(1-_xlfn.NORM.DIST(_xlfn.NORM.INV(SUM(F4:F5), 0, 1) + 1, 0, 1, TRUE), "")</f>
        <v>0.29072013946907083</v>
      </c>
      <c r="G2" s="52">
        <f>IFERROR(1-_xlfn.NORM.DIST(_xlfn.NORM.INV(SUM(G4:G5), 0, 1) + 1, 0, 1, TRUE), "")</f>
        <v>0.2067584686377506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0.34921367730038844</v>
      </c>
      <c r="D3" s="52">
        <f>IFERROR(_xlfn.NORM.DIST(_xlfn.NORM.INV(SUM(D4:D5), 0, 1) + 1, 0, 1, TRUE) - SUM(D4:D5), "")</f>
        <v>0.34921367730038844</v>
      </c>
      <c r="E3" s="52">
        <f>IFERROR(_xlfn.NORM.DIST(_xlfn.NORM.INV(SUM(E4:E5), 0, 1) + 1, 0, 1, TRUE) - SUM(E4:E5), "")</f>
        <v>0.38037002388479729</v>
      </c>
      <c r="F3" s="52">
        <f>IFERROR(_xlfn.NORM.DIST(_xlfn.NORM.INV(SUM(F4:F5), 0, 1) + 1, 0, 1, TRUE) - SUM(F4:F5), "")</f>
        <v>0.38246226053092913</v>
      </c>
      <c r="G3" s="52">
        <f>IFERROR(_xlfn.NORM.DIST(_xlfn.NORM.INV(SUM(G4:G5), 0, 1) + 1, 0, 1, TRUE) - SUM(G4:G5), "")</f>
        <v>0.3655599313622494</v>
      </c>
    </row>
    <row r="4" spans="1:15" ht="15.75" customHeight="1" x14ac:dyDescent="0.25">
      <c r="B4" s="5" t="s">
        <v>129</v>
      </c>
      <c r="C4" s="45">
        <v>0.13184029999999999</v>
      </c>
      <c r="D4" s="53">
        <v>0.13184029999999999</v>
      </c>
      <c r="E4" s="53">
        <v>0.181427</v>
      </c>
      <c r="F4" s="53">
        <v>0.2362543</v>
      </c>
      <c r="G4" s="53">
        <v>0.27492490000000003</v>
      </c>
    </row>
    <row r="5" spans="1:15" ht="15.75" customHeight="1" x14ac:dyDescent="0.25">
      <c r="B5" s="5" t="s">
        <v>125</v>
      </c>
      <c r="C5" s="45">
        <v>3.9800099999999998E-2</v>
      </c>
      <c r="D5" s="53">
        <v>3.9800099999999998E-2</v>
      </c>
      <c r="E5" s="53">
        <v>8.5980000000000001E-2</v>
      </c>
      <c r="F5" s="53">
        <v>9.0563300000000013E-2</v>
      </c>
      <c r="G5" s="53">
        <v>0.1527567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0.62354203285300214</v>
      </c>
      <c r="D8" s="52">
        <f>IFERROR(1-_xlfn.NORM.DIST(_xlfn.NORM.INV(SUM(D10:D11), 0, 1) + 1, 0, 1, TRUE), "")</f>
        <v>0.62354203285300214</v>
      </c>
      <c r="E8" s="52">
        <f>IFERROR(1-_xlfn.NORM.DIST(_xlfn.NORM.INV(SUM(E10:E11), 0, 1) + 1, 0, 1, TRUE), "")</f>
        <v>0.70334224397497291</v>
      </c>
      <c r="F8" s="52">
        <f>IFERROR(1-_xlfn.NORM.DIST(_xlfn.NORM.INV(SUM(F10:F11), 0, 1) + 1, 0, 1, TRUE), "")</f>
        <v>0.66275009797296724</v>
      </c>
      <c r="G8" s="52">
        <f>IFERROR(1-_xlfn.NORM.DIST(_xlfn.NORM.INV(SUM(G10:G11), 0, 1) + 1, 0, 1, TRUE), "")</f>
        <v>0.69595062527720364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0.28216886714699779</v>
      </c>
      <c r="D9" s="52">
        <f>IFERROR(_xlfn.NORM.DIST(_xlfn.NORM.INV(SUM(D10:D11), 0, 1) + 1, 0, 1, TRUE) - SUM(D10:D11), "")</f>
        <v>0.28216886714699779</v>
      </c>
      <c r="E9" s="52">
        <f>IFERROR(_xlfn.NORM.DIST(_xlfn.NORM.INV(SUM(E10:E11), 0, 1) + 1, 0, 1, TRUE) - SUM(E10:E11), "")</f>
        <v>0.23414755602502707</v>
      </c>
      <c r="F9" s="52">
        <f>IFERROR(_xlfn.NORM.DIST(_xlfn.NORM.INV(SUM(F10:F11), 0, 1) + 1, 0, 1, TRUE) - SUM(F10:F11), "")</f>
        <v>0.25944320202703269</v>
      </c>
      <c r="G9" s="52">
        <f>IFERROR(_xlfn.NORM.DIST(_xlfn.NORM.INV(SUM(G10:G11), 0, 1) + 1, 0, 1, TRUE) - SUM(G10:G11), "")</f>
        <v>0.23888277472279631</v>
      </c>
    </row>
    <row r="10" spans="1:15" ht="15.75" customHeight="1" x14ac:dyDescent="0.25">
      <c r="B10" s="5" t="s">
        <v>126</v>
      </c>
      <c r="C10" s="45">
        <v>8.2523899999999997E-2</v>
      </c>
      <c r="D10" s="53">
        <v>8.2523899999999997E-2</v>
      </c>
      <c r="E10" s="53">
        <v>5.2588700000000002E-2</v>
      </c>
      <c r="F10" s="53">
        <v>6.4587400000000003E-2</v>
      </c>
      <c r="G10" s="53">
        <v>5.2879199999999987E-2</v>
      </c>
    </row>
    <row r="11" spans="1:15" ht="15.75" customHeight="1" x14ac:dyDescent="0.25">
      <c r="B11" s="5" t="s">
        <v>138</v>
      </c>
      <c r="C11" s="45">
        <v>1.17652E-2</v>
      </c>
      <c r="D11" s="53">
        <v>1.17652E-2</v>
      </c>
      <c r="E11" s="53">
        <v>9.9214999999999998E-3</v>
      </c>
      <c r="F11" s="53">
        <v>1.32193E-2</v>
      </c>
      <c r="G11" s="53">
        <v>1.22874E-2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0.90827927350000015</v>
      </c>
      <c r="D14" s="54">
        <v>0.900232278725</v>
      </c>
      <c r="E14" s="54">
        <v>0.900232278725</v>
      </c>
      <c r="F14" s="54">
        <v>0.62486000702099997</v>
      </c>
      <c r="G14" s="54">
        <v>0.62486000702099997</v>
      </c>
      <c r="H14" s="45">
        <v>0.24299999999999999</v>
      </c>
      <c r="I14" s="55">
        <v>0.24299999999999999</v>
      </c>
      <c r="J14" s="55">
        <v>0.24299999999999999</v>
      </c>
      <c r="K14" s="55">
        <v>0.24299999999999999</v>
      </c>
      <c r="L14" s="45">
        <v>0.23300000000000001</v>
      </c>
      <c r="M14" s="55">
        <v>0.23300000000000001</v>
      </c>
      <c r="N14" s="55">
        <v>0.23300000000000001</v>
      </c>
      <c r="O14" s="55">
        <v>0.23300000000000001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0.50891614317623801</v>
      </c>
      <c r="D15" s="52">
        <f t="shared" si="0"/>
        <v>0.50440734762784722</v>
      </c>
      <c r="E15" s="52">
        <f t="shared" si="0"/>
        <v>0.50440734762784722</v>
      </c>
      <c r="F15" s="52">
        <f t="shared" si="0"/>
        <v>0.35011406081392238</v>
      </c>
      <c r="G15" s="52">
        <f t="shared" si="0"/>
        <v>0.35011406081392238</v>
      </c>
      <c r="H15" s="52">
        <f t="shared" si="0"/>
        <v>0.13615484399999997</v>
      </c>
      <c r="I15" s="52">
        <f t="shared" si="0"/>
        <v>0.13615484399999997</v>
      </c>
      <c r="J15" s="52">
        <f t="shared" si="0"/>
        <v>0.13615484399999997</v>
      </c>
      <c r="K15" s="52">
        <f t="shared" si="0"/>
        <v>0.13615484399999997</v>
      </c>
      <c r="L15" s="52">
        <f t="shared" si="0"/>
        <v>0.13055176399999999</v>
      </c>
      <c r="M15" s="52">
        <f t="shared" si="0"/>
        <v>0.13055176399999999</v>
      </c>
      <c r="N15" s="52">
        <f t="shared" si="0"/>
        <v>0.13055176399999999</v>
      </c>
      <c r="O15" s="52">
        <f t="shared" si="0"/>
        <v>0.13055176399999999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UgQ0NKi+jXep0AHGxdx+7P35eNN0dmXsaQD5wDsLIEWQp//PhTsyDdtmwH9KOMKkDYtlMFrQdNQneQlM3H4fRA==" saltValue="08+8Oeotb7oGYtkHiG0zL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0.73135050000000001</v>
      </c>
      <c r="D2" s="53">
        <v>0.56024590000000007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0.1068197</v>
      </c>
      <c r="D3" s="53">
        <v>0.15972819999999999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8.53849E-2</v>
      </c>
      <c r="D4" s="53">
        <v>0.22809889999999999</v>
      </c>
      <c r="E4" s="53">
        <v>0.93737269999999995</v>
      </c>
      <c r="F4" s="53">
        <v>0.81075520000000001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7.6444900000000038E-2</v>
      </c>
      <c r="D5" s="52">
        <f t="shared" si="0"/>
        <v>5.1926999999999945E-2</v>
      </c>
      <c r="E5" s="52">
        <f>1-SUM(E2:E4)</f>
        <v>6.2627300000000052E-2</v>
      </c>
      <c r="F5" s="52">
        <f>1-SUM(F2:F4)</f>
        <v>0.18924479999999999</v>
      </c>
      <c r="G5" s="52">
        <f>1-SUM(G2:G4)</f>
        <v>1</v>
      </c>
    </row>
  </sheetData>
  <sheetProtection algorithmName="SHA-512" hashValue="avP1z+uNAow0fs0g1ERqv0WGbkYrP8Zlk0d3hesRnoPEcU5+34e+lTLgSHA5fYQwKcC+qDYNn+VS/CxTQqcM1g==" saltValue="YbrtadOJpDJqeHy0+P9Ui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OheT8/FamsAuk6tArxxD1Wz6Nyh/BYEmd9yFhuPZDlyRqJhA8gPdoNRUbpU7cziqh4a3Foi/QXw3ypTpRE0usQ==" saltValue="OItmth/qA39j+JkAZ82OM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1027.5859109596399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0.40490000000000004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0.77071000000000001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2.4687130139517139E-2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94939.810110000006</v>
      </c>
      <c r="C22" s="109">
        <v>94394.652409999995</v>
      </c>
      <c r="D22" s="109">
        <v>93918.992370000007</v>
      </c>
      <c r="E22" s="109">
        <v>93459.920029999994</v>
      </c>
      <c r="F22" s="109">
        <v>92872.787299999996</v>
      </c>
      <c r="G22" s="109">
        <v>92160.999639999995</v>
      </c>
      <c r="H22" s="109">
        <v>91258.673129999996</v>
      </c>
      <c r="I22" s="109">
        <v>90029.466419999997</v>
      </c>
      <c r="J22" s="109">
        <v>88278.746150000006</v>
      </c>
      <c r="K22" s="109">
        <v>85858.932950000002</v>
      </c>
      <c r="L22" s="109">
        <v>82450.769769999999</v>
      </c>
      <c r="M22" s="109">
        <v>77795.806060000003</v>
      </c>
      <c r="N22" s="109">
        <v>71063.838699999993</v>
      </c>
      <c r="O22" s="109">
        <v>61951.776660000003</v>
      </c>
    </row>
  </sheetData>
  <sheetProtection algorithmName="SHA-512" hashValue="eaNpFdjK0BQdU38jLYjo7fbc+4dGS2VBRzkTTQYxOMu64RqfCOllTeO3ZBm8HOd8m+jII1TZ2cS9zJvo+nknNg==" saltValue="7+qmaGFx8hVzwJw/7SMDu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I7GmB2UeRXl+Mhsjl0v4FrQ5L0W/N57KQMwiLrsL7aDLUDLl0NpvG/pVA1AzkOsHcF13sUTQtjLMvnUx6D2KSA==" saltValue="xtNRhAcYkYxDFvwe2gOis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pLun0Wh3TAwmLQQGQZh5MNo512pgqHNYAZPyVd+6QyMBbZGdz3byvI0508aGdos43VbFVBo7BZ4tRpNLV47WeA==" saltValue="pJM/OxCPJWrMpUYzOcnwB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0.1060524</v>
      </c>
      <c r="C10" s="98">
        <v>0.95</v>
      </c>
      <c r="D10" s="56">
        <v>15.05101211717766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15.05101211717766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15.05101211717766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15.05101211717766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6.8099999999999994E-2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15.05101211717766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7.4868999999999986E-3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0.182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0.56024590000000007</v>
      </c>
      <c r="C19" s="98">
        <v>0.95</v>
      </c>
      <c r="D19" s="56">
        <v>1.7327840647821271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0.70499999999999996</v>
      </c>
      <c r="C23" s="98">
        <v>0.95</v>
      </c>
      <c r="D23" s="56">
        <v>4.9325180741630454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0.34613380963715201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5.0999999999999997E-2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0.29529529999999998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0.13494429999999999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0.1201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0.73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8.32175E-2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0.36904579999999998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1.1650499999999999E-2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0.44068459999999998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0.16600000000000001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Zvrs3K1xGgpr5Njy5j4wIo+8a7OjTNKRCKdxes5brPHuJiMoeTdBrs8wB5o2o+tg5l1E0S+u0BayAHGrd4gndQ==" saltValue="JZmZgRLERefL9BmyIm4U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AvDwV2m9lwZ1dwBkwunccX8EIXpZxSJDB/nQ7m5vC8A1TiF3ty6WdtFPgMV9sWYdK/ohOxIgK6Ru2QAmscqNtw==" saltValue="f/BzAZ1P9i4WnauQCs0N8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wDacgrGOezRth4KBJEBxRlooLXBBZYS+POTC/5SrFEOEQkDnQ9cjea4V2yO4b1Delg3u8SedHvf6vdczaxVfqw==" saltValue="NFdVPq+Z10hox+hgzNzB6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1.976</v>
      </c>
      <c r="C2" s="21">
        <f>'Entradas de población-año base'!C52</f>
        <v>1.976</v>
      </c>
      <c r="D2" s="21">
        <f>'Entradas de población-año base'!C53</f>
        <v>5.8500000000000014</v>
      </c>
      <c r="E2" s="21">
        <f>'Entradas de población-año base'!C54</f>
        <v>4.6280000000000001</v>
      </c>
      <c r="F2" s="21">
        <f>'Entradas de población-año base'!C55</f>
        <v>2.3226666666666671</v>
      </c>
    </row>
    <row r="3" spans="1:6" ht="15.75" customHeight="1" x14ac:dyDescent="0.25">
      <c r="A3" s="3" t="s">
        <v>6</v>
      </c>
      <c r="B3" s="21">
        <f>frac_mam_1month * 2.6</f>
        <v>0.21456214000000001</v>
      </c>
      <c r="C3" s="21">
        <f>frac_mam_1_5months * 2.6</f>
        <v>0.21456214000000001</v>
      </c>
      <c r="D3" s="21">
        <f>frac_mam_6_11months * 2.6</f>
        <v>0.13673062</v>
      </c>
      <c r="E3" s="21">
        <f>frac_mam_12_23months * 2.6</f>
        <v>0.16792724000000001</v>
      </c>
      <c r="F3" s="21">
        <f>frac_mam_24_59months * 2.6</f>
        <v>0.13748591999999998</v>
      </c>
    </row>
    <row r="4" spans="1:6" ht="15.75" customHeight="1" x14ac:dyDescent="0.25">
      <c r="A4" s="3" t="s">
        <v>236</v>
      </c>
      <c r="B4" s="21">
        <f>frac_sam_1month * 2.6</f>
        <v>3.0589520000000002E-2</v>
      </c>
      <c r="C4" s="21">
        <f>frac_sam_1_5months * 2.6</f>
        <v>3.0589520000000002E-2</v>
      </c>
      <c r="D4" s="21">
        <f>frac_sam_6_11months * 2.6</f>
        <v>2.57959E-2</v>
      </c>
      <c r="E4" s="21">
        <f>frac_sam_12_23months * 2.6</f>
        <v>3.437018E-2</v>
      </c>
      <c r="F4" s="21">
        <f>frac_sam_24_59months * 2.6</f>
        <v>3.1947240000000002E-2</v>
      </c>
    </row>
  </sheetData>
  <sheetProtection algorithmName="SHA-512" hashValue="OKk1AWdVypkbcKzju6HzkaQKvNRvvXUDxYTgbJL5aItdqI7uORb3W6J/q4c48jLvX+VjGFUnBkOrQrHYNEPd/g==" saltValue="giDP2JOIiOuxtfeZVYPuO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0.23499999999999999</v>
      </c>
      <c r="F2" s="60">
        <f>food_insecure</f>
        <v>0.23499999999999999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0.23499999999999999</v>
      </c>
      <c r="F5" s="60">
        <f>food_insecure</f>
        <v>0.23499999999999999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4.3112727272727275E-2</v>
      </c>
      <c r="D7" s="60">
        <f>diarrhoea_1_5mo*frac_diarrhea_severe</f>
        <v>4.3112727272727275E-2</v>
      </c>
      <c r="E7" s="60">
        <f>diarrhoea_6_11mo*frac_diarrhea_severe</f>
        <v>0.12763636363636369</v>
      </c>
      <c r="F7" s="60">
        <f>diarrhoea_12_23mo*frac_diarrhea_severe</f>
        <v>0.10097454545454547</v>
      </c>
      <c r="G7" s="60">
        <f>diarrhoea_24_59mo*frac_diarrhea_severe</f>
        <v>5.0676363636363651E-2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0.23499999999999999</v>
      </c>
      <c r="F8" s="60">
        <f>food_insecure</f>
        <v>0.23499999999999999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0.23499999999999999</v>
      </c>
      <c r="F9" s="60">
        <f>food_insecure</f>
        <v>0.23499999999999999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4.3112727272727275E-2</v>
      </c>
      <c r="D12" s="60">
        <f>diarrhoea_1_5mo*frac_diarrhea_severe</f>
        <v>4.3112727272727275E-2</v>
      </c>
      <c r="E12" s="60">
        <f>diarrhoea_6_11mo*frac_diarrhea_severe</f>
        <v>0.12763636363636369</v>
      </c>
      <c r="F12" s="60">
        <f>diarrhoea_12_23mo*frac_diarrhea_severe</f>
        <v>0.10097454545454547</v>
      </c>
      <c r="G12" s="60">
        <f>diarrhoea_24_59mo*frac_diarrhea_severe</f>
        <v>5.0676363636363651E-2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0.23499999999999999</v>
      </c>
      <c r="I15" s="60">
        <f t="shared" si="0"/>
        <v>0.23499999999999999</v>
      </c>
      <c r="J15" s="60">
        <f t="shared" si="0"/>
        <v>0.23499999999999999</v>
      </c>
      <c r="K15" s="60">
        <f t="shared" si="0"/>
        <v>0.23499999999999999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0.23499999999999999</v>
      </c>
      <c r="I16" s="60">
        <f t="shared" si="0"/>
        <v>0.23499999999999999</v>
      </c>
      <c r="J16" s="60">
        <f t="shared" si="0"/>
        <v>0.23499999999999999</v>
      </c>
      <c r="K16" s="60">
        <f t="shared" si="0"/>
        <v>0.23499999999999999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0.14000000000000001</v>
      </c>
      <c r="I19" s="60">
        <f>frac_malaria_risk</f>
        <v>0.14000000000000001</v>
      </c>
      <c r="J19" s="60">
        <f>frac_malaria_risk</f>
        <v>0.14000000000000001</v>
      </c>
      <c r="K19" s="60">
        <f>frac_malaria_risk</f>
        <v>0.14000000000000001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0.192</v>
      </c>
      <c r="M24" s="60">
        <f>famplan_unmet_need</f>
        <v>0.192</v>
      </c>
      <c r="N24" s="60">
        <f>famplan_unmet_need</f>
        <v>0.192</v>
      </c>
      <c r="O24" s="60">
        <f>famplan_unmet_need</f>
        <v>0.192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0.37585899189999999</v>
      </c>
      <c r="M25" s="60">
        <f>(1-food_insecure)*(0.49)+food_insecure*(0.7)</f>
        <v>0.53935</v>
      </c>
      <c r="N25" s="60">
        <f>(1-food_insecure)*(0.49)+food_insecure*(0.7)</f>
        <v>0.53935</v>
      </c>
      <c r="O25" s="60">
        <f>(1-food_insecure)*(0.49)+food_insecure*(0.7)</f>
        <v>0.53935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0.16108242509999998</v>
      </c>
      <c r="M26" s="60">
        <f>(1-food_insecure)*(0.21)+food_insecure*(0.3)</f>
        <v>0.23114999999999997</v>
      </c>
      <c r="N26" s="60">
        <f>(1-food_insecure)*(0.21)+food_insecure*(0.3)</f>
        <v>0.23114999999999997</v>
      </c>
      <c r="O26" s="60">
        <f>(1-food_insecure)*(0.21)+food_insecure*(0.3)</f>
        <v>0.23114999999999997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0.15993258299999999</v>
      </c>
      <c r="M27" s="60">
        <f>(1-food_insecure)*(0.3)</f>
        <v>0.22949999999999998</v>
      </c>
      <c r="N27" s="60">
        <f>(1-food_insecure)*(0.3)</f>
        <v>0.22949999999999998</v>
      </c>
      <c r="O27" s="60">
        <f>(1-food_insecure)*(0.3)</f>
        <v>0.22949999999999998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0.30312600000000001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0.14000000000000001</v>
      </c>
      <c r="D34" s="60">
        <f t="shared" si="4"/>
        <v>0.14000000000000001</v>
      </c>
      <c r="E34" s="60">
        <f t="shared" si="4"/>
        <v>0.14000000000000001</v>
      </c>
      <c r="F34" s="60">
        <f t="shared" si="4"/>
        <v>0.14000000000000001</v>
      </c>
      <c r="G34" s="60">
        <f t="shared" si="4"/>
        <v>0.14000000000000001</v>
      </c>
      <c r="H34" s="60">
        <f t="shared" si="4"/>
        <v>0.14000000000000001</v>
      </c>
      <c r="I34" s="60">
        <f t="shared" si="4"/>
        <v>0.14000000000000001</v>
      </c>
      <c r="J34" s="60">
        <f t="shared" si="4"/>
        <v>0.14000000000000001</v>
      </c>
      <c r="K34" s="60">
        <f t="shared" si="4"/>
        <v>0.14000000000000001</v>
      </c>
      <c r="L34" s="60">
        <f t="shared" si="4"/>
        <v>0.14000000000000001</v>
      </c>
      <c r="M34" s="60">
        <f t="shared" si="4"/>
        <v>0.14000000000000001</v>
      </c>
      <c r="N34" s="60">
        <f t="shared" si="4"/>
        <v>0.14000000000000001</v>
      </c>
      <c r="O34" s="60">
        <f t="shared" si="4"/>
        <v>0.14000000000000001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wshJjEXrrl3GrdpJRwkyb8s6/I4xlIkcGbAfFrAo6Ia7ragcpfE0YgwOLT6DWYLGJAxzAV+eqPCljNUcKoWjw==" saltValue="C9dSOePqac85pPOiIFtlR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qZxNBH9QHlWwrAGVgnP6Tdcnirb4JJ0870bQn5wBRXTUd0ln3oph8vV+U7l2TXoeqMPkE/iOXwH1hGmVhFoTdg==" saltValue="TIkt4rh/Kh+8VJACSkYbV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73hfl0PlyR9sRgIkbqJhjM9U1z8dPZnj8RbkqYZZiY2xtm/AgxAGefk2VkGxnnPaWGLpuvwpXFqfr1SCL+aptw==" saltValue="4Vw2X/aYW1FWdniBSTuTe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E+RmSzuxk+YlVehU36MsNabvH8CmQYabBXGhD3v37zYEbxWlzrMtAgQf6qgjcvVEPuZYFQ72MQIHoMJXmpz+A==" saltValue="EEAL4vxn/uwrHwK1LReRQ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9l4H64j435AiX5s+LIQbVRgSxVMZH5VjetzmLIJLwriTzycAKNpseabHMPEgEBAMf5RdyBGeKdBNOGLoKGU4KA==" saltValue="NU9Qmf3Z/KGzlnaZwPrpT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VFLPiFFE74hYw8ShySB7y5bdLoUezRS/dgaWGodOJ0HN2qJunyza3KH+AlcZQ4rVwkFOSGlCI2iqQqUd1GFvuQ==" saltValue="IKAxButI0ICN/2rXkjH1h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3Icpi7RO9N1vamLbyz/YZa1VQlwmZFYLhwLH3P+KaGBPOlzd8e+0JG1C8tQf/cEeFdyCD59hDvYNbKKLg17oyw==" saltValue="EjUcZH6P4QdHUZlTQwyZM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N3B5tSiVYcwJV711UapuH6wX7G9fSKFtWwd/RHs6lK4u6rzySqQZym9eUaBhxLzbzDXz4JAuevpl6F1lnyjIZw==" saltValue="UiDKE82ecmnHinE2nW5q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uXpLnhEhm5IwS3zSLyOwaI04NW3F54tTCFas4GFMju0LkHGy7w2Q1RrFK9HXOFudnr3UYHXYOQ7FUxFOeFxnAg==" saltValue="1pWwTxCLDs//F8u+ZVSK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YYOBsPQjBR6e/KpbGMGw21a/CLBxxgHqCS0xwxqUWCJ5Z7HM7kAM63V3IqBm9RwSGHiRXbHeRjxQ/vh0Afg8g==" saltValue="FUvrTGIloA1Oyly3CZY1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jndM5yzL7KB73YBOs6mB5ubCdPnZ4soax0D/nR94phIz/lloGOhN50fSqO5hBZ0FJLxtEfx9kliqGnHWM4RFQ==" saltValue="9EFxrGP8kVrcvmlFLpy2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BYnEAtB8uaiZCg9b/qffFrGiLwU7jeQy26fmoDc8wYZAcXAKQuO5tcS9NBGFXaPINj/z1sAhO6CAWZj+Qo8eQ==" saltValue="hQM+kEMPsggbDfas/9+f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0u7OLRLjurfjXqda2P3IGrzmc1pBdCEo97WQKdgG3vJPt2Lj4otr3I9KCHLzRG/R9aRnZv3nF/pZHqdgnEbkGQ==" saltValue="BjBotTc4WzB2d707qoUq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5ArVsL8U1esCGQFRpB4FhWudg6SYPLdXgZsKnYEcJuz2WpSxkFOAF+JWOEMOgXHJOj/8fGthJI2Z+DBJmhKvkw==" saltValue="xUMY5itkT1uS/H9RtT/s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KKfVTTvLm7BxczqsoQ+5kr0LrGE7w4zQYjYSBsh8gSo7iwuxRAc1b6ATIFswkXPh1RFakOm7GhHDZAFhbkW8Yw==" saltValue="vhzqUocJcrKv+Wm/Ga/Gf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