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3F20BACD-5146-4260-AFA5-023975EC5BBB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25" i="2"/>
  <c r="H13" i="2"/>
  <c r="G13" i="2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I13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<sst xmlns="http://schemas.openxmlformats.org/spreadsheetml/2006/main" count="2159" uniqueCount="372">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</sst>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11187258.5</v>
      </c>
    </row>
    <row r="8" spans="1:3" ht="15" customHeight="1" x14ac:dyDescent="0.25">
      <c r="B8" s="5" t="s">
        <v>63</v>
      </c>
      <c r="C8" s="44">
        <v>0.26400000000000001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0.2731307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0.221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0.1169</v>
      </c>
    </row>
    <row r="24" spans="1:3" ht="15" customHeight="1" x14ac:dyDescent="0.25">
      <c r="B24" s="15" t="s">
        <v>65</v>
      </c>
      <c r="C24" s="45">
        <v>0.50690000000000002</v>
      </c>
    </row>
    <row r="25" spans="1:3" ht="15" customHeight="1" x14ac:dyDescent="0.25">
      <c r="B25" s="15" t="s">
        <v>66</v>
      </c>
      <c r="C25" s="45">
        <v>0.31080000000000002</v>
      </c>
    </row>
    <row r="26" spans="1:3" ht="15" customHeight="1" x14ac:dyDescent="0.25">
      <c r="B26" s="15" t="s">
        <v>67</v>
      </c>
      <c r="C26" s="45">
        <v>6.54E-2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0.32097876330389902</v>
      </c>
    </row>
    <row r="30" spans="1:3" ht="14.25" customHeight="1" x14ac:dyDescent="0.25">
      <c r="B30" s="25" t="s">
        <v>82</v>
      </c>
      <c r="C30" s="99">
        <v>0.11435649369624799</v>
      </c>
    </row>
    <row r="31" spans="1:3" ht="14.25" customHeight="1" x14ac:dyDescent="0.25">
      <c r="B31" s="25" t="s">
        <v>29</v>
      </c>
      <c r="C31" s="99">
        <v>0.128931423055959</v>
      </c>
    </row>
    <row r="32" spans="1:3" ht="14.25" customHeight="1" x14ac:dyDescent="0.25">
      <c r="B32" s="25" t="s">
        <v>30</v>
      </c>
      <c r="C32" s="99">
        <v>0.43573331994389503</v>
      </c>
    </row>
    <row r="33" spans="1:5" ht="13.25" customHeight="1" x14ac:dyDescent="0.25">
      <c r="B33" s="27" t="s">
        <v>79</v>
      </c>
      <c r="C33" s="48">
        <f>SUM(C29:C32)</f>
        <v>1.0000000000000011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13.569990000000001</v>
      </c>
    </row>
    <row r="38" spans="1:5" ht="15" customHeight="1" x14ac:dyDescent="0.25">
      <c r="B38" s="11" t="s">
        <v>54</v>
      </c>
      <c r="C38" s="43">
        <v>27.63936</v>
      </c>
      <c r="D38" s="12"/>
      <c r="E38" s="13"/>
    </row>
    <row r="39" spans="1:5" ht="15" customHeight="1" x14ac:dyDescent="0.25">
      <c r="B39" s="11" t="s">
        <v>80</v>
      </c>
      <c r="C39" s="43">
        <v>31.419</v>
      </c>
      <c r="D39" s="12"/>
      <c r="E39" s="12"/>
    </row>
    <row r="40" spans="1:5" ht="15" customHeight="1" x14ac:dyDescent="0.25">
      <c r="B40" s="11" t="s">
        <v>55</v>
      </c>
      <c r="C40" s="100">
        <v>0.17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9.1299799999999998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5.9144999999999996E-3</v>
      </c>
      <c r="D45" s="12"/>
    </row>
    <row r="46" spans="1:5" ht="15.75" customHeight="1" x14ac:dyDescent="0.25">
      <c r="B46" s="11" t="s">
        <v>70</v>
      </c>
      <c r="C46" s="45">
        <v>6.3550899999999994E-2</v>
      </c>
      <c r="D46" s="12"/>
    </row>
    <row r="47" spans="1:5" ht="15.75" customHeight="1" x14ac:dyDescent="0.25">
      <c r="B47" s="11" t="s">
        <v>78</v>
      </c>
      <c r="C47" s="45">
        <v>7.5376799999999994E-2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1.95</v>
      </c>
      <c r="D51" s="12"/>
    </row>
    <row r="52" spans="1:4" ht="15" customHeight="1" x14ac:dyDescent="0.25">
      <c r="B52" s="11" t="s">
        <v>32</v>
      </c>
      <c r="C52" s="100">
        <v>1.95</v>
      </c>
    </row>
    <row r="53" spans="1:4" ht="15.75" customHeight="1" x14ac:dyDescent="0.25">
      <c r="B53" s="11" t="s">
        <v>35</v>
      </c>
      <c r="C53" s="100">
        <v>4.8360000000000003</v>
      </c>
    </row>
    <row r="54" spans="1:4" ht="15.75" customHeight="1" x14ac:dyDescent="0.25">
      <c r="B54" s="11" t="s">
        <v>33</v>
      </c>
      <c r="C54" s="100">
        <v>3.952</v>
      </c>
    </row>
    <row r="55" spans="1:4" ht="15.75" customHeight="1" x14ac:dyDescent="0.25">
      <c r="B55" s="11" t="s">
        <v>34</v>
      </c>
      <c r="C55" s="100">
        <v>1.3606666666666669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0.58725400000000005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9.7035635879999999E-2</v>
      </c>
    </row>
    <row r="63" spans="1:4" ht="15.75" customHeight="1" x14ac:dyDescent="0.3">
      <c r="A63" s="4"/>
    </row>
  </sheetData>
  <sheetProtection algorithmName="SHA-512" hashValue="k9Q0jikWZCxMg3x078DofKc+W0n97YHBZJza4A2+cKf0IIOt/T/3uDkCYZWW01qjgdd3g7q1AgcRI5Y4SVsSJA==" saltValue="LxRws6n2GIQJo58AktTT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11226125</v>
      </c>
      <c r="C2" s="49">
        <v>2803251</v>
      </c>
      <c r="D2" s="49">
        <v>4916485.5</v>
      </c>
      <c r="E2" s="49">
        <v>7917039.5000000009</v>
      </c>
      <c r="F2" s="49">
        <v>5956140</v>
      </c>
      <c r="G2" s="17">
        <f t="shared" ref="G2:G13" si="0">C2+D2+E2+F2</f>
        <v>21592916</v>
      </c>
      <c r="H2" s="17">
        <f t="shared" ref="H2:H13" si="1">(B2 + stillbirth*B2/(1000-stillbirth))/(1-abortion)</f>
        <v>12874504.19306533</v>
      </c>
      <c r="I2" s="17">
        <f t="shared" ref="I2:I13" si="2">G2-H2</f>
        <v>8718411.8069346696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2385984</v>
      </c>
      <c r="C3" s="50">
        <v>3720956.5</v>
      </c>
      <c r="D3" s="50">
        <v>5877352.5</v>
      </c>
      <c r="E3" s="50">
        <v>4125888</v>
      </c>
      <c r="F3" s="50">
        <v>2894238.0000000005</v>
      </c>
      <c r="G3" s="17">
        <f t="shared" si="0"/>
        <v>16618435</v>
      </c>
      <c r="H3" s="17">
        <f t="shared" si="1"/>
        <v>2736328.0751449666</v>
      </c>
      <c r="I3" s="17">
        <f t="shared" si="2"/>
        <v>13882106.924855033</v>
      </c>
    </row>
    <row r="4" spans="1:9" ht="15.75" customHeight="1" x14ac:dyDescent="0.25">
      <c r="A4" s="5">
        <f t="shared" si="3"/>
        <v>2026</v>
      </c>
      <c r="B4" s="49">
        <v>2419272</v>
      </c>
      <c r="C4" s="50">
        <v>3793164.5</v>
      </c>
      <c r="D4" s="50">
        <v>6073421.5</v>
      </c>
      <c r="E4" s="50">
        <v>4258950</v>
      </c>
      <c r="F4" s="50">
        <v>2995191.5</v>
      </c>
      <c r="G4" s="17">
        <f t="shared" si="0"/>
        <v>17120727.5</v>
      </c>
      <c r="H4" s="17">
        <f t="shared" si="1"/>
        <v>2774503.8923195265</v>
      </c>
      <c r="I4" s="17">
        <f t="shared" si="2"/>
        <v>14346223.607680473</v>
      </c>
    </row>
    <row r="5" spans="1:9" ht="15.75" customHeight="1" x14ac:dyDescent="0.25">
      <c r="A5" s="5">
        <f t="shared" si="3"/>
        <v>2027</v>
      </c>
      <c r="B5" s="49">
        <v>2459538</v>
      </c>
      <c r="C5" s="50">
        <v>3860668</v>
      </c>
      <c r="D5" s="50">
        <v>6267362.9999999991</v>
      </c>
      <c r="E5" s="50">
        <v>4403649.5</v>
      </c>
      <c r="F5" s="50">
        <v>3096166.5000000005</v>
      </c>
      <c r="G5" s="17">
        <f t="shared" si="0"/>
        <v>17627847</v>
      </c>
      <c r="H5" s="17">
        <f t="shared" si="1"/>
        <v>2820682.3186098067</v>
      </c>
      <c r="I5" s="17">
        <f t="shared" si="2"/>
        <v>14807164.681390192</v>
      </c>
    </row>
    <row r="6" spans="1:9" ht="15.75" customHeight="1" x14ac:dyDescent="0.25">
      <c r="A6" s="5">
        <f t="shared" si="3"/>
        <v>2028</v>
      </c>
      <c r="B6" s="49">
        <v>2494507</v>
      </c>
      <c r="C6" s="50">
        <v>3934696</v>
      </c>
      <c r="D6" s="50">
        <v>6455538.5000000009</v>
      </c>
      <c r="E6" s="50">
        <v>4553597.5</v>
      </c>
      <c r="F6" s="50">
        <v>3197340.5000000005</v>
      </c>
      <c r="G6" s="17">
        <f t="shared" si="0"/>
        <v>18141172.5</v>
      </c>
      <c r="H6" s="17">
        <f t="shared" si="1"/>
        <v>2860785.9640909764</v>
      </c>
      <c r="I6" s="17">
        <f t="shared" si="2"/>
        <v>15280386.535909023</v>
      </c>
    </row>
    <row r="7" spans="1:9" ht="15.75" customHeight="1" x14ac:dyDescent="0.25">
      <c r="A7" s="5">
        <f t="shared" si="3"/>
        <v>2029</v>
      </c>
      <c r="B7" s="49">
        <v>2528941</v>
      </c>
      <c r="C7" s="50">
        <v>4028147</v>
      </c>
      <c r="D7" s="50">
        <v>6637328.5</v>
      </c>
      <c r="E7" s="50">
        <v>4707016.5</v>
      </c>
      <c r="F7" s="50">
        <v>3301018</v>
      </c>
      <c r="G7" s="17">
        <f t="shared" si="0"/>
        <v>18673510</v>
      </c>
      <c r="H7" s="17">
        <f t="shared" si="1"/>
        <v>2900276.0532699246</v>
      </c>
      <c r="I7" s="17">
        <f t="shared" si="2"/>
        <v>15773233.946730075</v>
      </c>
    </row>
    <row r="8" spans="1:9" ht="15.75" customHeight="1" x14ac:dyDescent="0.25">
      <c r="A8" s="5">
        <f t="shared" si="3"/>
        <v>2030</v>
      </c>
      <c r="B8" s="49">
        <v>2567418</v>
      </c>
      <c r="C8" s="50">
        <v>4139706</v>
      </c>
      <c r="D8" s="50">
        <v>6816209.5</v>
      </c>
      <c r="E8" s="50">
        <v>4866302.5</v>
      </c>
      <c r="F8" s="50">
        <v>3407693.5</v>
      </c>
      <c r="G8" s="17">
        <f t="shared" si="0"/>
        <v>19229911.5</v>
      </c>
      <c r="H8" s="17">
        <f t="shared" si="1"/>
        <v>2944402.79315894</v>
      </c>
      <c r="I8" s="17">
        <f t="shared" si="2"/>
        <v>16285508.706841059</v>
      </c>
    </row>
    <row r="9" spans="1:9" ht="15.75" customHeight="1" x14ac:dyDescent="0.25">
      <c r="A9" s="5">
        <f t="shared" si="3"/>
        <v>2031</v>
      </c>
      <c r="B9" s="49">
        <v>2604947</v>
      </c>
      <c r="C9" s="50">
        <v>4257185</v>
      </c>
      <c r="D9" s="50">
        <v>6995133.5</v>
      </c>
      <c r="E9" s="50">
        <v>5031657.5</v>
      </c>
      <c r="F9" s="50">
        <v>3516080.5</v>
      </c>
      <c r="G9" s="17">
        <f t="shared" si="0"/>
        <v>19800056.5</v>
      </c>
      <c r="H9" s="17">
        <f t="shared" si="1"/>
        <v>2987442.3342171009</v>
      </c>
      <c r="I9" s="17">
        <f t="shared" si="2"/>
        <v>16812614.165782899</v>
      </c>
    </row>
    <row r="10" spans="1:9" ht="15.75" customHeight="1" x14ac:dyDescent="0.25">
      <c r="A10" s="5">
        <f t="shared" si="3"/>
        <v>2032</v>
      </c>
      <c r="B10" s="49">
        <v>2647100</v>
      </c>
      <c r="C10" s="50">
        <v>4383812</v>
      </c>
      <c r="D10" s="50">
        <v>7170707</v>
      </c>
      <c r="E10" s="50">
        <v>5203170.5</v>
      </c>
      <c r="F10" s="50">
        <v>3627158.0000000005</v>
      </c>
      <c r="G10" s="17">
        <f t="shared" si="0"/>
        <v>20384847.5</v>
      </c>
      <c r="H10" s="17">
        <f t="shared" si="1"/>
        <v>3035784.8366612019</v>
      </c>
      <c r="I10" s="17">
        <f t="shared" si="2"/>
        <v>17349062.663338799</v>
      </c>
    </row>
    <row r="11" spans="1:9" ht="15.75" customHeight="1" x14ac:dyDescent="0.25">
      <c r="A11" s="5">
        <f t="shared" si="3"/>
        <v>2033</v>
      </c>
      <c r="B11" s="49">
        <v>2676718</v>
      </c>
      <c r="C11" s="50">
        <v>4523641</v>
      </c>
      <c r="D11" s="50">
        <v>7347722.5</v>
      </c>
      <c r="E11" s="50">
        <v>5379992</v>
      </c>
      <c r="F11" s="50">
        <v>3741170</v>
      </c>
      <c r="G11" s="17">
        <f t="shared" si="0"/>
        <v>20992525.5</v>
      </c>
      <c r="H11" s="17">
        <f t="shared" si="1"/>
        <v>3069751.772285935</v>
      </c>
      <c r="I11" s="17">
        <f t="shared" si="2"/>
        <v>17922773.727714065</v>
      </c>
    </row>
    <row r="12" spans="1:9" ht="15.75" customHeight="1" x14ac:dyDescent="0.25">
      <c r="A12" s="5">
        <f t="shared" si="3"/>
        <v>2034</v>
      </c>
      <c r="B12" s="49">
        <v>2715622</v>
      </c>
      <c r="C12" s="50">
        <v>4661204</v>
      </c>
      <c r="D12" s="50">
        <v>7533575.5</v>
      </c>
      <c r="E12" s="50">
        <v>5564419.5</v>
      </c>
      <c r="F12" s="50">
        <v>3856900.4999999995</v>
      </c>
      <c r="G12" s="17">
        <f t="shared" si="0"/>
        <v>21616099.5</v>
      </c>
      <c r="H12" s="17">
        <f t="shared" si="1"/>
        <v>3114368.2103825193</v>
      </c>
      <c r="I12" s="17">
        <f t="shared" si="2"/>
        <v>18501731.289617479</v>
      </c>
    </row>
    <row r="13" spans="1:9" ht="15.75" customHeight="1" x14ac:dyDescent="0.25">
      <c r="A13" s="5">
        <f t="shared" si="3"/>
        <v>2035</v>
      </c>
      <c r="B13" s="49">
        <v>2761758</v>
      </c>
      <c r="C13" s="50">
        <v>4789535</v>
      </c>
      <c r="D13" s="50">
        <v>7726864</v>
      </c>
      <c r="E13" s="50">
        <v>5758606</v>
      </c>
      <c r="F13" s="50">
        <v>3978458.5</v>
      </c>
      <c r="G13" s="17">
        <f t="shared" si="0"/>
        <v>22253463.5</v>
      </c>
      <c r="H13" s="17">
        <f t="shared" si="1"/>
        <v>3167278.5534841022</v>
      </c>
      <c r="I13" s="17">
        <f t="shared" si="2"/>
        <v>19086184.946515899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9WwMKDZWzeQVxnpTnV6BLi8dJqLN4z16LvaD1W8YtPo5N/HBJZGgK8Agqzf0KXYJbeWd8atU431MsdvcRUr8Q==" saltValue="M6muKGHuWLagHAnxgf8FR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3.0741955489755001E-3</v>
      </c>
    </row>
    <row r="4" spans="1:8" ht="15.75" customHeight="1" x14ac:dyDescent="0.25">
      <c r="B4" s="19" t="s">
        <v>116</v>
      </c>
      <c r="C4" s="101">
        <v>4.5714087306233192E-2</v>
      </c>
    </row>
    <row r="5" spans="1:8" ht="15.75" customHeight="1" x14ac:dyDescent="0.25">
      <c r="B5" s="19" t="s">
        <v>114</v>
      </c>
      <c r="C5" s="101">
        <v>6.2934905662831719E-2</v>
      </c>
    </row>
    <row r="6" spans="1:8" ht="15.75" customHeight="1" x14ac:dyDescent="0.25">
      <c r="B6" s="19" t="s">
        <v>110</v>
      </c>
      <c r="C6" s="101">
        <v>0.20706367546229029</v>
      </c>
    </row>
    <row r="7" spans="1:8" ht="15.75" customHeight="1" x14ac:dyDescent="0.25">
      <c r="B7" s="19" t="s">
        <v>115</v>
      </c>
      <c r="C7" s="101">
        <v>0.45319363919792882</v>
      </c>
    </row>
    <row r="8" spans="1:8" ht="15.75" customHeight="1" x14ac:dyDescent="0.25">
      <c r="B8" s="19" t="s">
        <v>117</v>
      </c>
      <c r="C8" s="101">
        <v>3.9374278179925862E-4</v>
      </c>
    </row>
    <row r="9" spans="1:8" ht="15.75" customHeight="1" x14ac:dyDescent="0.25">
      <c r="B9" s="19" t="s">
        <v>111</v>
      </c>
      <c r="C9" s="101">
        <v>0.12922187821010439</v>
      </c>
    </row>
    <row r="10" spans="1:8" ht="15.75" customHeight="1" x14ac:dyDescent="0.25">
      <c r="B10" s="19" t="s">
        <v>113</v>
      </c>
      <c r="C10" s="101">
        <v>9.8403875829836771E-2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0.1633072076199294</v>
      </c>
      <c r="D14" s="55">
        <v>0.1633072076199294</v>
      </c>
      <c r="E14" s="55">
        <v>0.1633072076199294</v>
      </c>
      <c r="F14" s="55">
        <v>0.1633072076199294</v>
      </c>
    </row>
    <row r="15" spans="1:8" ht="15.75" customHeight="1" x14ac:dyDescent="0.25">
      <c r="B15" s="19" t="s">
        <v>121</v>
      </c>
      <c r="C15" s="101">
        <v>0.40822241936014758</v>
      </c>
      <c r="D15" s="101">
        <v>0.40822241936014758</v>
      </c>
      <c r="E15" s="101">
        <v>0.40822241936014758</v>
      </c>
      <c r="F15" s="101">
        <v>0.40822241936014758</v>
      </c>
    </row>
    <row r="16" spans="1:8" ht="15.75" customHeight="1" x14ac:dyDescent="0.25">
      <c r="B16" s="19" t="s">
        <v>2</v>
      </c>
      <c r="C16" s="101">
        <v>2.46705865376926E-2</v>
      </c>
      <c r="D16" s="101">
        <v>2.46705865376926E-2</v>
      </c>
      <c r="E16" s="101">
        <v>2.46705865376926E-2</v>
      </c>
      <c r="F16" s="101">
        <v>2.46705865376926E-2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9.4156144041897885E-3</v>
      </c>
      <c r="D19" s="101">
        <v>9.4156144041897885E-3</v>
      </c>
      <c r="E19" s="101">
        <v>9.4156144041897885E-3</v>
      </c>
      <c r="F19" s="101">
        <v>9.4156144041897885E-3</v>
      </c>
    </row>
    <row r="20" spans="1:8" ht="15.75" customHeight="1" x14ac:dyDescent="0.25">
      <c r="B20" s="19" t="s">
        <v>98</v>
      </c>
      <c r="C20" s="101">
        <v>1.6199682475618121E-2</v>
      </c>
      <c r="D20" s="101">
        <v>1.6199682475618121E-2</v>
      </c>
      <c r="E20" s="101">
        <v>1.6199682475618121E-2</v>
      </c>
      <c r="F20" s="101">
        <v>1.6199682475618121E-2</v>
      </c>
    </row>
    <row r="21" spans="1:8" ht="15.75" customHeight="1" x14ac:dyDescent="0.25">
      <c r="B21" s="19" t="s">
        <v>107</v>
      </c>
      <c r="C21" s="101">
        <v>0.20382368632032299</v>
      </c>
      <c r="D21" s="101">
        <v>0.20382368632032299</v>
      </c>
      <c r="E21" s="101">
        <v>0.20382368632032299</v>
      </c>
      <c r="F21" s="101">
        <v>0.20382368632032299</v>
      </c>
    </row>
    <row r="22" spans="1:8" ht="15.75" customHeight="1" x14ac:dyDescent="0.25">
      <c r="B22" s="19" t="s">
        <v>118</v>
      </c>
      <c r="C22" s="101">
        <v>0.17436080328209949</v>
      </c>
      <c r="D22" s="101">
        <v>0.17436080328209949</v>
      </c>
      <c r="E22" s="101">
        <v>0.17436080328209949</v>
      </c>
      <c r="F22" s="101">
        <v>0.17436080328209949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5.4573182999999997E-2</v>
      </c>
    </row>
    <row r="27" spans="1:8" ht="15.75" customHeight="1" x14ac:dyDescent="0.25">
      <c r="B27" s="19" t="s">
        <v>108</v>
      </c>
      <c r="C27" s="101">
        <v>5.9409878999999999E-2</v>
      </c>
    </row>
    <row r="28" spans="1:8" ht="15.75" customHeight="1" x14ac:dyDescent="0.25">
      <c r="B28" s="19" t="s">
        <v>122</v>
      </c>
      <c r="C28" s="101">
        <v>0.12098242100000001</v>
      </c>
    </row>
    <row r="29" spans="1:8" ht="15.75" customHeight="1" x14ac:dyDescent="0.25">
      <c r="B29" s="19" t="s">
        <v>105</v>
      </c>
      <c r="C29" s="101">
        <v>0.13495797500000001</v>
      </c>
    </row>
    <row r="30" spans="1:8" ht="15.75" customHeight="1" x14ac:dyDescent="0.25">
      <c r="B30" s="19" t="s">
        <v>4</v>
      </c>
      <c r="C30" s="101">
        <v>8.1454253000000018E-2</v>
      </c>
    </row>
    <row r="31" spans="1:8" ht="15.75" customHeight="1" x14ac:dyDescent="0.25">
      <c r="B31" s="19" t="s">
        <v>99</v>
      </c>
      <c r="C31" s="101">
        <v>6.5903797E-2</v>
      </c>
    </row>
    <row r="32" spans="1:8" ht="15.75" customHeight="1" x14ac:dyDescent="0.25">
      <c r="B32" s="19" t="s">
        <v>104</v>
      </c>
      <c r="C32" s="101">
        <v>0.13216685</v>
      </c>
    </row>
    <row r="33" spans="2:3" ht="15.75" customHeight="1" x14ac:dyDescent="0.25">
      <c r="B33" s="19" t="s">
        <v>119</v>
      </c>
      <c r="C33" s="101">
        <v>0.12743632599999999</v>
      </c>
    </row>
    <row r="34" spans="2:3" ht="15.75" customHeight="1" x14ac:dyDescent="0.25">
      <c r="B34" s="19" t="s">
        <v>106</v>
      </c>
      <c r="C34" s="101">
        <v>0.22311531600000001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BqCWVsR4pdIzIgDYxaMcm+PJMXTKrfxk1IiGPXXZ3o5SFyUM5SWvng4sRDXIUNw7PJ47UipluuzrJ0bicSN6qA==" saltValue="x9CIX78IdCCjod5QCtlDG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0.69269518779269001</v>
      </c>
      <c r="D2" s="52">
        <f>IFERROR(1-_xlfn.NORM.DIST(_xlfn.NORM.INV(SUM(D4:D5), 0, 1) + 1, 0, 1, TRUE), "")</f>
        <v>0.69269518779269001</v>
      </c>
      <c r="E2" s="52">
        <f>IFERROR(1-_xlfn.NORM.DIST(_xlfn.NORM.INV(SUM(E4:E5), 0, 1) + 1, 0, 1, TRUE), "")</f>
        <v>0.68353608890151563</v>
      </c>
      <c r="F2" s="52">
        <f>IFERROR(1-_xlfn.NORM.DIST(_xlfn.NORM.INV(SUM(F4:F5), 0, 1) + 1, 0, 1, TRUE), "")</f>
        <v>0.47013527764712237</v>
      </c>
      <c r="G2" s="52">
        <f>IFERROR(1-_xlfn.NORM.DIST(_xlfn.NORM.INV(SUM(G4:G5), 0, 1) + 1, 0, 1, TRUE), "")</f>
        <v>0.42555735724829358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0.24095031220731</v>
      </c>
      <c r="D3" s="52">
        <f>IFERROR(_xlfn.NORM.DIST(_xlfn.NORM.INV(SUM(D4:D5), 0, 1) + 1, 0, 1, TRUE) - SUM(D4:D5), "")</f>
        <v>0.24095031220731</v>
      </c>
      <c r="E3" s="52">
        <f>IFERROR(_xlfn.NORM.DIST(_xlfn.NORM.INV(SUM(E4:E5), 0, 1) + 1, 0, 1, TRUE) - SUM(E4:E5), "")</f>
        <v>0.24670781109848439</v>
      </c>
      <c r="F3" s="52">
        <f>IFERROR(_xlfn.NORM.DIST(_xlfn.NORM.INV(SUM(F4:F5), 0, 1) + 1, 0, 1, TRUE) - SUM(F4:F5), "")</f>
        <v>0.3524000223528776</v>
      </c>
      <c r="G3" s="52">
        <f>IFERROR(_xlfn.NORM.DIST(_xlfn.NORM.INV(SUM(G4:G5), 0, 1) + 1, 0, 1, TRUE) - SUM(G4:G5), "")</f>
        <v>0.36613394275170641</v>
      </c>
    </row>
    <row r="4" spans="1:15" ht="15.75" customHeight="1" x14ac:dyDescent="0.25">
      <c r="B4" s="5" t="s">
        <v>129</v>
      </c>
      <c r="C4" s="45">
        <v>5.35565E-2</v>
      </c>
      <c r="D4" s="53">
        <v>5.35565E-2</v>
      </c>
      <c r="E4" s="53">
        <v>5.1997099999999997E-2</v>
      </c>
      <c r="F4" s="53">
        <v>0.1270577</v>
      </c>
      <c r="G4" s="53">
        <v>0.15624679999999999</v>
      </c>
    </row>
    <row r="5" spans="1:15" ht="15.75" customHeight="1" x14ac:dyDescent="0.25">
      <c r="B5" s="5" t="s">
        <v>125</v>
      </c>
      <c r="C5" s="45">
        <v>1.2798E-2</v>
      </c>
      <c r="D5" s="53">
        <v>1.2798E-2</v>
      </c>
      <c r="E5" s="53">
        <v>1.7759E-2</v>
      </c>
      <c r="F5" s="53">
        <v>5.0407E-2</v>
      </c>
      <c r="G5" s="53">
        <v>5.2061900000000001E-2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0.53697548759743674</v>
      </c>
      <c r="D8" s="52">
        <f>IFERROR(1-_xlfn.NORM.DIST(_xlfn.NORM.INV(SUM(D10:D11), 0, 1) + 1, 0, 1, TRUE), "")</f>
        <v>0.53697548759743674</v>
      </c>
      <c r="E8" s="52">
        <f>IFERROR(1-_xlfn.NORM.DIST(_xlfn.NORM.INV(SUM(E10:E11), 0, 1) + 1, 0, 1, TRUE), "")</f>
        <v>0.60945313934775447</v>
      </c>
      <c r="F8" s="52">
        <f>IFERROR(1-_xlfn.NORM.DIST(_xlfn.NORM.INV(SUM(F10:F11), 0, 1) + 1, 0, 1, TRUE), "")</f>
        <v>0.67786541738420714</v>
      </c>
      <c r="G8" s="52">
        <f>IFERROR(1-_xlfn.NORM.DIST(_xlfn.NORM.INV(SUM(G10:G11), 0, 1) + 1, 0, 1, TRUE), "")</f>
        <v>0.81277360377809094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0.32578741240256326</v>
      </c>
      <c r="D9" s="52">
        <f>IFERROR(_xlfn.NORM.DIST(_xlfn.NORM.INV(SUM(D10:D11), 0, 1) + 1, 0, 1, TRUE) - SUM(D10:D11), "")</f>
        <v>0.32578741240256326</v>
      </c>
      <c r="E9" s="52">
        <f>IFERROR(_xlfn.NORM.DIST(_xlfn.NORM.INV(SUM(E10:E11), 0, 1) + 1, 0, 1, TRUE) - SUM(E10:E11), "")</f>
        <v>0.28990346065224554</v>
      </c>
      <c r="F9" s="52">
        <f>IFERROR(_xlfn.NORM.DIST(_xlfn.NORM.INV(SUM(F10:F11), 0, 1) + 1, 0, 1, TRUE) - SUM(F10:F11), "")</f>
        <v>0.25022808261579293</v>
      </c>
      <c r="G9" s="52">
        <f>IFERROR(_xlfn.NORM.DIST(_xlfn.NORM.INV(SUM(G10:G11), 0, 1) + 1, 0, 1, TRUE) - SUM(G10:G11), "")</f>
        <v>0.15772439622190906</v>
      </c>
    </row>
    <row r="10" spans="1:15" ht="15.75" customHeight="1" x14ac:dyDescent="0.25">
      <c r="B10" s="5" t="s">
        <v>126</v>
      </c>
      <c r="C10" s="45">
        <v>8.0079399999999995E-2</v>
      </c>
      <c r="D10" s="53">
        <v>8.0079399999999995E-2</v>
      </c>
      <c r="E10" s="53">
        <v>6.7815399999999998E-2</v>
      </c>
      <c r="F10" s="53">
        <v>5.0678099999999997E-2</v>
      </c>
      <c r="G10" s="53">
        <v>2.08116E-2</v>
      </c>
    </row>
    <row r="11" spans="1:15" ht="15.75" customHeight="1" x14ac:dyDescent="0.25">
      <c r="B11" s="5" t="s">
        <v>138</v>
      </c>
      <c r="C11" s="45">
        <v>5.7157699999999999E-2</v>
      </c>
      <c r="D11" s="53">
        <v>5.7157699999999999E-2</v>
      </c>
      <c r="E11" s="53">
        <v>3.2828000000000003E-2</v>
      </c>
      <c r="F11" s="53">
        <v>2.1228400000000001E-2</v>
      </c>
      <c r="G11" s="53">
        <v>8.6904000000000009E-3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0.90404206074999993</v>
      </c>
      <c r="D14" s="54">
        <v>0.87950470141100001</v>
      </c>
      <c r="E14" s="54">
        <v>0.87950470141100001</v>
      </c>
      <c r="F14" s="54">
        <v>0.57788545592399998</v>
      </c>
      <c r="G14" s="54">
        <v>0.57788545592399998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0.30299999999999999</v>
      </c>
      <c r="M14" s="55">
        <v>0.30299999999999999</v>
      </c>
      <c r="N14" s="55">
        <v>0.30299999999999999</v>
      </c>
      <c r="O14" s="55">
        <v>0.30299999999999999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0.53090231634368046</v>
      </c>
      <c r="D15" s="52">
        <f t="shared" si="0"/>
        <v>0.5164926539224155</v>
      </c>
      <c r="E15" s="52">
        <f t="shared" si="0"/>
        <v>0.5164926539224155</v>
      </c>
      <c r="F15" s="52">
        <f t="shared" si="0"/>
        <v>0.3393655455331927</v>
      </c>
      <c r="G15" s="52">
        <f t="shared" si="0"/>
        <v>0.3393655455331927</v>
      </c>
      <c r="H15" s="52">
        <f t="shared" si="0"/>
        <v>0.19673009000000002</v>
      </c>
      <c r="I15" s="52">
        <f t="shared" si="0"/>
        <v>0.19673009000000002</v>
      </c>
      <c r="J15" s="52">
        <f t="shared" si="0"/>
        <v>0.19673009000000002</v>
      </c>
      <c r="K15" s="52">
        <f t="shared" si="0"/>
        <v>0.19673009000000002</v>
      </c>
      <c r="L15" s="52">
        <f t="shared" si="0"/>
        <v>0.17793796200000001</v>
      </c>
      <c r="M15" s="52">
        <f t="shared" si="0"/>
        <v>0.17793796200000001</v>
      </c>
      <c r="N15" s="52">
        <f t="shared" si="0"/>
        <v>0.17793796200000001</v>
      </c>
      <c r="O15" s="52">
        <f t="shared" si="0"/>
        <v>0.17793796200000001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X+Fz/34CCn4VaJv0llxAkGjMVHe/MaT/fsruiS5x++TzdowdmwV4A77Yt5SLAzK9ZIZF+c4TEycaScUKZz5lQ==" saltValue="ozJPGmihR9L14aGmAguB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0.55160949999999997</v>
      </c>
      <c r="D2" s="53">
        <v>0.31436900000000001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0.26624439999999999</v>
      </c>
      <c r="D3" s="53">
        <v>0.36587259999999999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0.12542239999999999</v>
      </c>
      <c r="D4" s="53">
        <v>0.27279639999999999</v>
      </c>
      <c r="E4" s="53">
        <v>0.90193730000000005</v>
      </c>
      <c r="F4" s="53">
        <v>0.57143710000000003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5.6723700000000044E-2</v>
      </c>
      <c r="D5" s="52">
        <f t="shared" si="0"/>
        <v>4.6961999999999948E-2</v>
      </c>
      <c r="E5" s="52">
        <f>1-SUM(E2:E4)</f>
        <v>9.8062699999999947E-2</v>
      </c>
      <c r="F5" s="52">
        <f>1-SUM(F2:F4)</f>
        <v>0.42856289999999997</v>
      </c>
      <c r="G5" s="52">
        <f>1-SUM(G2:G4)</f>
        <v>1</v>
      </c>
    </row>
  </sheetData>
  <sheetProtection algorithmName="SHA-512" hashValue="uuuK/WzeHockiZ0ZSmq/ZKyFdUF1L3DT/PSI/tXCHKfysbimrO/fY00c32Mrxe1HmzxPNz+GHMmBtFZlHaXwPA==" saltValue="qReYbWICk6DM/Sod0CM4Q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PuQjmHFCpB1zIWQURrViMM7LDZivldT4MNY3R8NIhURJlJNUxpBJrvFRZt0LOf5nQgdLsIzZfTMzTWPqs+1rsw==" saltValue="XZkGAqHC8f3+iC3TmfE5z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1192.76647949219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0.54902000000000006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0.78305000000000002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2.5664287235020775E-2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94933.443270000003</v>
      </c>
      <c r="C22" s="109">
        <v>94177.866850000006</v>
      </c>
      <c r="D22" s="109">
        <v>93852.443669999993</v>
      </c>
      <c r="E22" s="109">
        <v>93332.122340000002</v>
      </c>
      <c r="F22" s="109">
        <v>92616.516900000002</v>
      </c>
      <c r="G22" s="109">
        <v>91691.325100000002</v>
      </c>
      <c r="H22" s="109">
        <v>90462.714840000001</v>
      </c>
      <c r="I22" s="109">
        <v>88820.775750000001</v>
      </c>
      <c r="J22" s="109">
        <v>86592.444430000003</v>
      </c>
      <c r="K22" s="109">
        <v>83689.157200000001</v>
      </c>
      <c r="L22" s="109">
        <v>79765.358919999999</v>
      </c>
      <c r="M22" s="109">
        <v>74677.631829999998</v>
      </c>
      <c r="N22" s="109">
        <v>67594.334990000003</v>
      </c>
      <c r="O22" s="109">
        <v>58414.177989999996</v>
      </c>
    </row>
  </sheetData>
  <sheetProtection algorithmName="SHA-512" hashValue="ql24tUefkkQO9c9SlFoFNl0BGkQQgWkEzk0yOpSC653yih1jgA3Z/uIYGLZc+tOWqgXljJN9iq+UffaXaA54eQ==" saltValue="yroNq5CS3f3wOqTfp908u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QdZWsng4xvFnZ8Z4eQlKYzKnrjFp1A6jhxUvCeNuT5pqAWkQ74uCVd6iMK1yg5UuTJ12kUiamqoKCKd+Q58Zjw==" saltValue="0u/A+biM1Sj4U0Ch9Md4d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MuRZjFkWpb2A/EDpXmrkHMPNYpzoqnL45Mhy+bxljxsHHJ7zDaQPnK3XvosuWNYPsUmz9ilAugZByCn8augJMw==" saltValue="zeyTUkJsVGngKm8r32QsQ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12.73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2.1291837256908908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0.46280465114316638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0.78848199824391296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0.22197642864885933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2.19022E-2</v>
      </c>
      <c r="C10" s="98">
        <v>0.95</v>
      </c>
      <c r="D10" s="56">
        <v>14.21292537547621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14.21292537547621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14.21292537547621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14.21292537547621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0.38819999999999999</v>
      </c>
      <c r="C14" s="98">
        <v>0.95</v>
      </c>
      <c r="D14" s="56">
        <v>4.586811392844738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14.21292537547621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2.4996908648836405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0.58636119533868591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0.23</v>
      </c>
      <c r="C18" s="98">
        <v>0.95</v>
      </c>
      <c r="D18" s="56">
        <v>12.729008336227858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0.31436900000000001</v>
      </c>
      <c r="C19" s="98">
        <v>0.95</v>
      </c>
      <c r="D19" s="56">
        <v>2.121285075768927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10.472005904828066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12.73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1.96765E-2</v>
      </c>
      <c r="C23" s="98">
        <v>0.95</v>
      </c>
      <c r="D23" s="56">
        <v>4.6734447573928826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0.63038645218564004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1.4999999999999999E-2</v>
      </c>
      <c r="C26" s="98">
        <v>0.95</v>
      </c>
      <c r="D26" s="56">
        <v>5.6425060784994798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8.8360724993186164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0.61705699999999997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0.22507530000000001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57.448392612859095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109.20979506773186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0.95</v>
      </c>
      <c r="C32" s="98">
        <v>0.95</v>
      </c>
      <c r="D32" s="56">
        <v>0.48537686696769716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0.72953559999999995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0.52023419999999998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2.6733799999999999E-2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0.65150499999999989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0.19674449999999999</v>
      </c>
      <c r="C38" s="98">
        <v>0.95</v>
      </c>
      <c r="D38" s="56">
        <v>6.7103351858284128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13.111054247697034</v>
      </c>
      <c r="E39" s="56" t="s">
        <v>212</v>
      </c>
      <c r="F39" s="98">
        <v>1</v>
      </c>
      <c r="G39" s="98">
        <v>1</v>
      </c>
    </row>
  </sheetData>
  <sheetProtection algorithmName="SHA-512" hashValue="t5S8JfLc09GaYNvoQUljhK9oabQTtNu296FPcebOW/l9GxSmtkRe+Q4VONbJ8eVGO+/qm2LMRs39oMiKsFHjXQ==" saltValue="OEuBx9ERvJBoJSZM2ApI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QhQpn/hNdFAITf+4m6G0D5gRT5J6g23RTja14JnF9aS7oqRK7UXUPuNoozfObzGPNiLG4ppFmyoWmx+4L2ZpHg==" saltValue="dHjbvVePwzzhzj6IUtaTK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Ttq3FmEn2SXLnl9+KXQBT1THnDmTojnr+0NWstd9CIbuQtQCxvAfvjGs31Ut+9Xn7Dz4qyLiQV5F+DZcM5id7w==" saltValue="xVgUD7asoBYSftUOi0LnM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1.95</v>
      </c>
      <c r="C2" s="21">
        <f>'Entradas de población-año base'!C52</f>
        <v>1.95</v>
      </c>
      <c r="D2" s="21">
        <f>'Entradas de población-año base'!C53</f>
        <v>4.8360000000000003</v>
      </c>
      <c r="E2" s="21">
        <f>'Entradas de población-año base'!C54</f>
        <v>3.952</v>
      </c>
      <c r="F2" s="21">
        <f>'Entradas de población-año base'!C55</f>
        <v>1.3606666666666669</v>
      </c>
    </row>
    <row r="3" spans="1:6" ht="15.75" customHeight="1" x14ac:dyDescent="0.25">
      <c r="A3" s="3" t="s">
        <v>6</v>
      </c>
      <c r="B3" s="21">
        <f>frac_mam_1month * 2.6</f>
        <v>0.20820643999999999</v>
      </c>
      <c r="C3" s="21">
        <f>frac_mam_1_5months * 2.6</f>
        <v>0.20820643999999999</v>
      </c>
      <c r="D3" s="21">
        <f>frac_mam_6_11months * 2.6</f>
        <v>0.17632004000000001</v>
      </c>
      <c r="E3" s="21">
        <f>frac_mam_12_23months * 2.6</f>
        <v>0.13176305999999999</v>
      </c>
      <c r="F3" s="21">
        <f>frac_mam_24_59months * 2.6</f>
        <v>5.4110159999999997E-2</v>
      </c>
    </row>
    <row r="4" spans="1:6" ht="15.75" customHeight="1" x14ac:dyDescent="0.25">
      <c r="A4" s="3" t="s">
        <v>236</v>
      </c>
      <c r="B4" s="21">
        <f>frac_sam_1month * 2.6</f>
        <v>0.14861002000000001</v>
      </c>
      <c r="C4" s="21">
        <f>frac_sam_1_5months * 2.6</f>
        <v>0.14861002000000001</v>
      </c>
      <c r="D4" s="21">
        <f>frac_sam_6_11months * 2.6</f>
        <v>8.5352800000000006E-2</v>
      </c>
      <c r="E4" s="21">
        <f>frac_sam_12_23months * 2.6</f>
        <v>5.5193840000000008E-2</v>
      </c>
      <c r="F4" s="21">
        <f>frac_sam_24_59months * 2.6</f>
        <v>2.2595040000000004E-2</v>
      </c>
    </row>
  </sheetData>
  <sheetProtection algorithmName="SHA-512" hashValue="2LzBQ8DdyBzr7o5zuKGVRzHH2xmC/g87xgb/EIyXD25apOKhCDZXcIK9It4ZP8As24B733NgVVwevkZRYNsf4Q==" saltValue="+tLXfSOjta1Je4+nYnsCU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0.26400000000000001</v>
      </c>
      <c r="F2" s="60">
        <f>food_insecure</f>
        <v>0.26400000000000001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0.26400000000000001</v>
      </c>
      <c r="F5" s="60">
        <f>food_insecure</f>
        <v>0.26400000000000001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3.2035714285714292E-2</v>
      </c>
      <c r="D7" s="60">
        <f>diarrhoea_1_5mo*frac_diarrhea_severe</f>
        <v>3.2035714285714292E-2</v>
      </c>
      <c r="E7" s="60">
        <f>diarrhoea_6_11mo*frac_diarrhea_severe</f>
        <v>7.9448571428571452E-2</v>
      </c>
      <c r="F7" s="60">
        <f>diarrhoea_12_23mo*frac_diarrhea_severe</f>
        <v>6.4925714285714295E-2</v>
      </c>
      <c r="G7" s="60">
        <f>diarrhoea_24_59mo*frac_diarrhea_severe</f>
        <v>2.2353809523809533E-2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0.26400000000000001</v>
      </c>
      <c r="F8" s="60">
        <f>food_insecure</f>
        <v>0.26400000000000001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0.26400000000000001</v>
      </c>
      <c r="F9" s="60">
        <f>food_insecure</f>
        <v>0.26400000000000001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3.2035714285714292E-2</v>
      </c>
      <c r="D12" s="60">
        <f>diarrhoea_1_5mo*frac_diarrhea_severe</f>
        <v>3.2035714285714292E-2</v>
      </c>
      <c r="E12" s="60">
        <f>diarrhoea_6_11mo*frac_diarrhea_severe</f>
        <v>7.9448571428571452E-2</v>
      </c>
      <c r="F12" s="60">
        <f>diarrhoea_12_23mo*frac_diarrhea_severe</f>
        <v>6.4925714285714295E-2</v>
      </c>
      <c r="G12" s="60">
        <f>diarrhoea_24_59mo*frac_diarrhea_severe</f>
        <v>2.2353809523809533E-2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0.26400000000000001</v>
      </c>
      <c r="I15" s="60">
        <f t="shared" si="0"/>
        <v>0.26400000000000001</v>
      </c>
      <c r="J15" s="60">
        <f t="shared" si="0"/>
        <v>0.26400000000000001</v>
      </c>
      <c r="K15" s="60">
        <f t="shared" si="0"/>
        <v>0.26400000000000001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0.26400000000000001</v>
      </c>
      <c r="I16" s="60">
        <f t="shared" si="0"/>
        <v>0.26400000000000001</v>
      </c>
      <c r="J16" s="60">
        <f t="shared" si="0"/>
        <v>0.26400000000000001</v>
      </c>
      <c r="K16" s="60">
        <f t="shared" si="0"/>
        <v>0.26400000000000001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0.221</v>
      </c>
      <c r="M24" s="60">
        <f>famplan_unmet_need</f>
        <v>0.221</v>
      </c>
      <c r="N24" s="60">
        <f>famplan_unmet_need</f>
        <v>0.221</v>
      </c>
      <c r="O24" s="60">
        <f>famplan_unmet_need</f>
        <v>0.221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0.3964635909919999</v>
      </c>
      <c r="M25" s="60">
        <f>(1-food_insecure)*(0.49)+food_insecure*(0.7)</f>
        <v>0.54543999999999992</v>
      </c>
      <c r="N25" s="60">
        <f>(1-food_insecure)*(0.49)+food_insecure*(0.7)</f>
        <v>0.54543999999999992</v>
      </c>
      <c r="O25" s="60">
        <f>(1-food_insecure)*(0.49)+food_insecure*(0.7)</f>
        <v>0.54543999999999992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0.16991296756800001</v>
      </c>
      <c r="M26" s="60">
        <f>(1-food_insecure)*(0.21)+food_insecure*(0.3)</f>
        <v>0.23376000000000002</v>
      </c>
      <c r="N26" s="60">
        <f>(1-food_insecure)*(0.21)+food_insecure*(0.3)</f>
        <v>0.23376000000000002</v>
      </c>
      <c r="O26" s="60">
        <f>(1-food_insecure)*(0.21)+food_insecure*(0.3)</f>
        <v>0.23376000000000002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0.16049274143999998</v>
      </c>
      <c r="M27" s="60">
        <f>(1-food_insecure)*(0.3)</f>
        <v>0.2208</v>
      </c>
      <c r="N27" s="60">
        <f>(1-food_insecure)*(0.3)</f>
        <v>0.2208</v>
      </c>
      <c r="O27" s="60">
        <f>(1-food_insecure)*(0.3)</f>
        <v>0.2208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0.2731307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3OEOb34VpG1/yGlXaFYLsXFvceyu6aXYLa4xTQGOreq1aViH8hZ7BMOq39bzmLciLsJR3LpRm4Tnx2y/IOEqXw==" saltValue="O8MPjloWuicSRYIj5Fm+5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rIY9YoQegT5EEsFiNyIVtIssVCwuFgt3KTsdDIwEMQF/LhfcYaauM44YLF9m0QX7QaKov1BOZi1vjECyjdwPFg==" saltValue="6o16GwuSdoQGrIN6EGX2s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q3Cp1qyCeJpylWKI/+sHVGcoOn3h+4+FVMHH+8EgSXPoMjNVgBErZuFJYhC8WKQSPrH0IkoH05XDHjrtudOwJg==" saltValue="1rDXIvPplFslLDdCdHZKt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XnI34Q/YcQSISSbqtVjFriS6H7RPQ5WR25YsWlsm7T39TjodJyf56OmlaijJpb7PIM7kXmUcyHaiNnnNU7echw==" saltValue="K33FbBkcnhLAkWCIy5U8A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bYqVoFBj2LUvVr1JOefS0LJPjM0H/hFRRwDN8yn3OhagpzKi2rrj5L8+A4jcOOw4wAKkzueNvGSvmFPGCE7GQg==" saltValue="Ao1/J8w9AqrT97R456kLh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5TMTeXG9P1aGjXMRDh+mZzKdElxbvkHdoTS1gHxczLlUgWwQncFXzRDtRc65nxLrpo/cOT/8nrbqNY6bkTj32w==" saltValue="V+Ji7h4vwt3+3BKW/U+My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RPiJbjJHmddLAYH5ajfKl1vQDy+PUjaseRA9kg7+A2/gNREvvHALWEMVmSv3M3eQbDQ/4uySIazZldWbKF4uEg==" saltValue="KmHgg9lBrYc4fBt2RP+8w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23aOQxOYROGxR8tiGghBwfUPUnqAWxj+Fkz7aYJM7O9pS185GjE/3mihRrp6+5w2wpbCBbbZkWCt4PmCOuXU2w==" saltValue="j6QNFmTVkcyt28zA3Y+T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GVPOGDbNk3SEwnXpeNHoUAojsuTFJVWlAOOEsg/Q5zsuozx1cpqqGg2/hca2DQSxn3XMys0ZDbEl5U5nGPOzgw==" saltValue="Psc1AV84dEgSJMNSmjEM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dLc0+lMV37MhY3Zz6GK7QZOhBK0ol6qb1eEruiB+bxDIU8bVaRP5qQkEnGVp1/dTHZrAlD2y8xB+RTikOyKxhA==" saltValue="3fCXbEpcwngezsuOqs+o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Drz9NTBbThQRWeBmS9AbO+2cgWCziAlfZ75BA2sw02o94Ddjh2MXZ3YhdbVsl8uVogoRqQCcRd7tNGsuwex0A==" saltValue="d3tBoDW428d0nfG9AY7h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e6t5g2YCPmlcH9uzL0jN4Jqj9ZQZ5E/eYLZBBIFa7vWWMfJ5LxzJKUi2Aee3v9OFJNjp6nUYpx+M7XW3QoBIag==" saltValue="MamQxPPCoQEOjcSJCrE5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d8zOlUKJrjblyDXI9oLDSXAmNTOIXgLkQULXo+KfW40O9ii7fyYB30OVjPWX7jFnsL0YCWfVid3ovD6ySxBxQ==" saltValue="2jGcqoyxvVEj3V+cco/g/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iHBiiDhnayrXT60dhKo1joFpo5bnWDJwpB3rtjzWYiEmdcUzAcS2DrpUcL7zexb2c3UZ5TUf5bARuVG5a1e/ig==" saltValue="rGU6SyWrmt7RIdZiugMs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9TnHA67BjzO2BcjF0+Y4Md2k9CdrfShPl+cH45AvJfnZ/PqYQ4mzXt9i2OVd3LJeNGF4YRa6nZea9tIGiQFxRg==" saltValue="Ru0ooE0GVSprD70KaLT7X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2025-07-04T02:48:13Z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