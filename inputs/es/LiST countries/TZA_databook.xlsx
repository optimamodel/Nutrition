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4AF316B3-01F3-42E4-8397-2253525C1881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H13" i="2"/>
  <c r="G13" i="2"/>
  <c r="I13" i="2" s="1"/>
  <c r="H12" i="2"/>
  <c r="G12" i="2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A23" i="2" l="1"/>
  <c r="A31" i="2"/>
  <c r="I3" i="2"/>
  <c r="I7" i="2"/>
  <c r="I11" i="2"/>
  <c r="A37" i="2"/>
  <c r="A26" i="2"/>
  <c r="I39" i="2"/>
  <c r="A34" i="2"/>
  <c r="A40" i="2"/>
  <c r="I2" i="2"/>
  <c r="I6" i="2"/>
  <c r="A19" i="2"/>
  <c r="A35" i="2"/>
  <c r="A22" i="2"/>
  <c r="A36" i="2"/>
  <c r="A24" i="2"/>
  <c r="I4" i="2"/>
  <c r="I8" i="2"/>
  <c r="I12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<sst xmlns="http://schemas.openxmlformats.org/spreadsheetml/2006/main" count="2169" uniqueCount="373">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</sst>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11187258.5</v>
      </c>
    </row>
    <row r="8" spans="1:3" ht="15" customHeight="1" x14ac:dyDescent="0.25">
      <c r="B8" s="5" t="s">
        <v>63</v>
      </c>
      <c r="C8" s="44">
        <v>0.26400000000000001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0.2731307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0.221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0.1169</v>
      </c>
    </row>
    <row r="24" spans="1:3" ht="15" customHeight="1" x14ac:dyDescent="0.25">
      <c r="B24" s="15" t="s">
        <v>65</v>
      </c>
      <c r="C24" s="45">
        <v>0.50690000000000002</v>
      </c>
    </row>
    <row r="25" spans="1:3" ht="15" customHeight="1" x14ac:dyDescent="0.25">
      <c r="B25" s="15" t="s">
        <v>66</v>
      </c>
      <c r="C25" s="45">
        <v>0.31080000000000002</v>
      </c>
    </row>
    <row r="26" spans="1:3" ht="15" customHeight="1" x14ac:dyDescent="0.25">
      <c r="B26" s="15" t="s">
        <v>67</v>
      </c>
      <c r="C26" s="45">
        <v>6.54E-2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0.32097876330389902</v>
      </c>
    </row>
    <row r="30" spans="1:3" ht="14.25" customHeight="1" x14ac:dyDescent="0.25">
      <c r="B30" s="25" t="s">
        <v>82</v>
      </c>
      <c r="C30" s="97">
        <v>0.11435649369624799</v>
      </c>
    </row>
    <row r="31" spans="1:3" ht="14.25" customHeight="1" x14ac:dyDescent="0.25">
      <c r="B31" s="25" t="s">
        <v>29</v>
      </c>
      <c r="C31" s="97">
        <v>0.128931423055959</v>
      </c>
    </row>
    <row r="32" spans="1:3" ht="14.25" customHeight="1" x14ac:dyDescent="0.25">
      <c r="B32" s="25" t="s">
        <v>30</v>
      </c>
      <c r="C32" s="97">
        <v>0.43573331994389503</v>
      </c>
    </row>
    <row r="33" spans="1:5" ht="13.25" customHeight="1" x14ac:dyDescent="0.25">
      <c r="B33" s="27" t="s">
        <v>79</v>
      </c>
      <c r="C33" s="48">
        <f>SUM(C29:C32)</f>
        <v>1.0000000000000011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13.569990000000001</v>
      </c>
    </row>
    <row r="38" spans="1:5" ht="15" customHeight="1" x14ac:dyDescent="0.25">
      <c r="B38" s="11" t="s">
        <v>54</v>
      </c>
      <c r="C38" s="43">
        <v>27.63936</v>
      </c>
      <c r="D38" s="12"/>
      <c r="E38" s="13"/>
    </row>
    <row r="39" spans="1:5" ht="15" customHeight="1" x14ac:dyDescent="0.25">
      <c r="B39" s="11" t="s">
        <v>80</v>
      </c>
      <c r="C39" s="43">
        <v>31.419</v>
      </c>
      <c r="D39" s="12"/>
      <c r="E39" s="12"/>
    </row>
    <row r="40" spans="1:5" ht="15" customHeight="1" x14ac:dyDescent="0.25">
      <c r="B40" s="11" t="s">
        <v>55</v>
      </c>
      <c r="C40" s="98">
        <v>0.17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9.1299799999999998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5.9144999999999996E-3</v>
      </c>
      <c r="D45" s="12"/>
    </row>
    <row r="46" spans="1:5" ht="15.75" customHeight="1" x14ac:dyDescent="0.25">
      <c r="B46" s="11" t="s">
        <v>70</v>
      </c>
      <c r="C46" s="45">
        <v>6.3550899999999994E-2</v>
      </c>
      <c r="D46" s="12"/>
    </row>
    <row r="47" spans="1:5" ht="15.75" customHeight="1" x14ac:dyDescent="0.25">
      <c r="B47" s="11" t="s">
        <v>78</v>
      </c>
      <c r="C47" s="45">
        <v>7.5376799999999994E-2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1.95</v>
      </c>
      <c r="D51" s="12"/>
    </row>
    <row r="52" spans="1:4" ht="15" customHeight="1" x14ac:dyDescent="0.25">
      <c r="B52" s="11" t="s">
        <v>32</v>
      </c>
      <c r="C52" s="98">
        <v>1.95</v>
      </c>
    </row>
    <row r="53" spans="1:4" ht="15.75" customHeight="1" x14ac:dyDescent="0.25">
      <c r="B53" s="11" t="s">
        <v>35</v>
      </c>
      <c r="C53" s="98">
        <v>4.8360000000000003</v>
      </c>
    </row>
    <row r="54" spans="1:4" ht="15.75" customHeight="1" x14ac:dyDescent="0.25">
      <c r="B54" s="11" t="s">
        <v>33</v>
      </c>
      <c r="C54" s="98">
        <v>3.952</v>
      </c>
    </row>
    <row r="55" spans="1:4" ht="15.75" customHeight="1" x14ac:dyDescent="0.25">
      <c r="B55" s="11" t="s">
        <v>34</v>
      </c>
      <c r="C55" s="98">
        <v>1.3606666666666669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1.6428571428571431E-2</v>
      </c>
    </row>
    <row r="59" spans="1:4" ht="15.75" customHeight="1" x14ac:dyDescent="0.25">
      <c r="B59" s="11" t="s">
        <v>59</v>
      </c>
      <c r="C59" s="45">
        <v>0.58725400000000005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9.7035635879999999E-2</v>
      </c>
    </row>
    <row r="63" spans="1:4" ht="15.75" customHeight="1" x14ac:dyDescent="0.3">
      <c r="A63" s="4"/>
    </row>
  </sheetData>
  <sheetProtection algorithmName="SHA-512" hashValue="O+ImAE+gmm2k89HVBPZgt7fqf9i9cOYLl70Oh/ckaIkGGVJOcEFte13GY3+/MbUJFfRCZ0vg5B/MMGeaaKnE5w==" saltValue="g8azyE4XbFkSc+PYVRcp9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11226125</v>
      </c>
      <c r="C2" s="49">
        <v>2803251</v>
      </c>
      <c r="D2" s="49">
        <v>4916485.5</v>
      </c>
      <c r="E2" s="49">
        <v>7917039.5000000009</v>
      </c>
      <c r="F2" s="49">
        <v>5956140</v>
      </c>
      <c r="G2" s="17">
        <f t="shared" ref="G2:G13" si="0">C2+D2+E2+F2</f>
        <v>21592916</v>
      </c>
      <c r="H2" s="17">
        <f t="shared" ref="H2:H13" si="1">(B2 + stillbirth*B2/(1000-stillbirth))/(1-abortion)</f>
        <v>12874504.19306533</v>
      </c>
      <c r="I2" s="17">
        <f t="shared" ref="I2:I13" si="2">G2-H2</f>
        <v>8718411.8069346696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2385984</v>
      </c>
      <c r="C3" s="50">
        <v>3720956.5</v>
      </c>
      <c r="D3" s="50">
        <v>5877352.5</v>
      </c>
      <c r="E3" s="50">
        <v>4125888</v>
      </c>
      <c r="F3" s="50">
        <v>2894238.0000000005</v>
      </c>
      <c r="G3" s="17">
        <f t="shared" si="0"/>
        <v>16618435</v>
      </c>
      <c r="H3" s="17">
        <f t="shared" si="1"/>
        <v>2736328.0751449666</v>
      </c>
      <c r="I3" s="17">
        <f t="shared" si="2"/>
        <v>13882106.924855033</v>
      </c>
    </row>
    <row r="4" spans="1:9" ht="15.75" customHeight="1" x14ac:dyDescent="0.25">
      <c r="A4" s="5">
        <f t="shared" si="3"/>
        <v>2026</v>
      </c>
      <c r="B4" s="49">
        <v>2419272</v>
      </c>
      <c r="C4" s="50">
        <v>3793164.5</v>
      </c>
      <c r="D4" s="50">
        <v>6073421.5</v>
      </c>
      <c r="E4" s="50">
        <v>4258950</v>
      </c>
      <c r="F4" s="50">
        <v>2995191.5</v>
      </c>
      <c r="G4" s="17">
        <f t="shared" si="0"/>
        <v>17120727.5</v>
      </c>
      <c r="H4" s="17">
        <f t="shared" si="1"/>
        <v>2774503.8923195265</v>
      </c>
      <c r="I4" s="17">
        <f t="shared" si="2"/>
        <v>14346223.607680473</v>
      </c>
    </row>
    <row r="5" spans="1:9" ht="15.75" customHeight="1" x14ac:dyDescent="0.25">
      <c r="A5" s="5">
        <f t="shared" si="3"/>
        <v>2027</v>
      </c>
      <c r="B5" s="49">
        <v>2459538</v>
      </c>
      <c r="C5" s="50">
        <v>3860668</v>
      </c>
      <c r="D5" s="50">
        <v>6267362.9999999991</v>
      </c>
      <c r="E5" s="50">
        <v>4403649.5</v>
      </c>
      <c r="F5" s="50">
        <v>3096166.5000000005</v>
      </c>
      <c r="G5" s="17">
        <f t="shared" si="0"/>
        <v>17627847</v>
      </c>
      <c r="H5" s="17">
        <f t="shared" si="1"/>
        <v>2820682.3186098067</v>
      </c>
      <c r="I5" s="17">
        <f t="shared" si="2"/>
        <v>14807164.681390192</v>
      </c>
    </row>
    <row r="6" spans="1:9" ht="15.75" customHeight="1" x14ac:dyDescent="0.25">
      <c r="A6" s="5">
        <f t="shared" si="3"/>
        <v>2028</v>
      </c>
      <c r="B6" s="49">
        <v>2494507</v>
      </c>
      <c r="C6" s="50">
        <v>3934696</v>
      </c>
      <c r="D6" s="50">
        <v>6455538.5000000009</v>
      </c>
      <c r="E6" s="50">
        <v>4553597.5</v>
      </c>
      <c r="F6" s="50">
        <v>3197340.5000000005</v>
      </c>
      <c r="G6" s="17">
        <f t="shared" si="0"/>
        <v>18141172.5</v>
      </c>
      <c r="H6" s="17">
        <f t="shared" si="1"/>
        <v>2860785.9640909764</v>
      </c>
      <c r="I6" s="17">
        <f t="shared" si="2"/>
        <v>15280386.535909023</v>
      </c>
    </row>
    <row r="7" spans="1:9" ht="15.75" customHeight="1" x14ac:dyDescent="0.25">
      <c r="A7" s="5">
        <f t="shared" si="3"/>
        <v>2029</v>
      </c>
      <c r="B7" s="49">
        <v>2528941</v>
      </c>
      <c r="C7" s="50">
        <v>4028147</v>
      </c>
      <c r="D7" s="50">
        <v>6637328.5</v>
      </c>
      <c r="E7" s="50">
        <v>4707016.5</v>
      </c>
      <c r="F7" s="50">
        <v>3301018</v>
      </c>
      <c r="G7" s="17">
        <f t="shared" si="0"/>
        <v>18673510</v>
      </c>
      <c r="H7" s="17">
        <f t="shared" si="1"/>
        <v>2900276.0532699246</v>
      </c>
      <c r="I7" s="17">
        <f t="shared" si="2"/>
        <v>15773233.946730075</v>
      </c>
    </row>
    <row r="8" spans="1:9" ht="15.75" customHeight="1" x14ac:dyDescent="0.25">
      <c r="A8" s="5">
        <f t="shared" si="3"/>
        <v>2030</v>
      </c>
      <c r="B8" s="49">
        <v>2567418</v>
      </c>
      <c r="C8" s="50">
        <v>4139706</v>
      </c>
      <c r="D8" s="50">
        <v>6816209.5</v>
      </c>
      <c r="E8" s="50">
        <v>4866302.5</v>
      </c>
      <c r="F8" s="50">
        <v>3407693.5</v>
      </c>
      <c r="G8" s="17">
        <f t="shared" si="0"/>
        <v>19229911.5</v>
      </c>
      <c r="H8" s="17">
        <f t="shared" si="1"/>
        <v>2944402.79315894</v>
      </c>
      <c r="I8" s="17">
        <f t="shared" si="2"/>
        <v>16285508.706841059</v>
      </c>
    </row>
    <row r="9" spans="1:9" ht="15.75" customHeight="1" x14ac:dyDescent="0.25">
      <c r="A9" s="5">
        <f t="shared" si="3"/>
        <v>2031</v>
      </c>
      <c r="B9" s="49">
        <v>2604947</v>
      </c>
      <c r="C9" s="50">
        <v>4257185</v>
      </c>
      <c r="D9" s="50">
        <v>6995133.5</v>
      </c>
      <c r="E9" s="50">
        <v>5031657.5</v>
      </c>
      <c r="F9" s="50">
        <v>3516080.5</v>
      </c>
      <c r="G9" s="17">
        <f t="shared" si="0"/>
        <v>19800056.5</v>
      </c>
      <c r="H9" s="17">
        <f t="shared" si="1"/>
        <v>2987442.3342171009</v>
      </c>
      <c r="I9" s="17">
        <f t="shared" si="2"/>
        <v>16812614.165782899</v>
      </c>
    </row>
    <row r="10" spans="1:9" ht="15.75" customHeight="1" x14ac:dyDescent="0.25">
      <c r="A10" s="5">
        <f t="shared" si="3"/>
        <v>2032</v>
      </c>
      <c r="B10" s="49">
        <v>2647100</v>
      </c>
      <c r="C10" s="50">
        <v>4383812</v>
      </c>
      <c r="D10" s="50">
        <v>7170707</v>
      </c>
      <c r="E10" s="50">
        <v>5203170.5</v>
      </c>
      <c r="F10" s="50">
        <v>3627158.0000000005</v>
      </c>
      <c r="G10" s="17">
        <f t="shared" si="0"/>
        <v>20384847.5</v>
      </c>
      <c r="H10" s="17">
        <f t="shared" si="1"/>
        <v>3035784.8366612019</v>
      </c>
      <c r="I10" s="17">
        <f t="shared" si="2"/>
        <v>17349062.663338799</v>
      </c>
    </row>
    <row r="11" spans="1:9" ht="15.75" customHeight="1" x14ac:dyDescent="0.25">
      <c r="A11" s="5">
        <f t="shared" si="3"/>
        <v>2033</v>
      </c>
      <c r="B11" s="49">
        <v>2676718</v>
      </c>
      <c r="C11" s="50">
        <v>4523641</v>
      </c>
      <c r="D11" s="50">
        <v>7347722.5</v>
      </c>
      <c r="E11" s="50">
        <v>5379992</v>
      </c>
      <c r="F11" s="50">
        <v>3741170</v>
      </c>
      <c r="G11" s="17">
        <f t="shared" si="0"/>
        <v>20992525.5</v>
      </c>
      <c r="H11" s="17">
        <f t="shared" si="1"/>
        <v>3069751.772285935</v>
      </c>
      <c r="I11" s="17">
        <f t="shared" si="2"/>
        <v>17922773.727714065</v>
      </c>
    </row>
    <row r="12" spans="1:9" ht="15.75" customHeight="1" x14ac:dyDescent="0.25">
      <c r="A12" s="5">
        <f t="shared" si="3"/>
        <v>2034</v>
      </c>
      <c r="B12" s="49">
        <v>2715622</v>
      </c>
      <c r="C12" s="50">
        <v>4661204</v>
      </c>
      <c r="D12" s="50">
        <v>7533575.5</v>
      </c>
      <c r="E12" s="50">
        <v>5564419.5</v>
      </c>
      <c r="F12" s="50">
        <v>3856900.4999999995</v>
      </c>
      <c r="G12" s="17">
        <f t="shared" si="0"/>
        <v>21616099.5</v>
      </c>
      <c r="H12" s="17">
        <f t="shared" si="1"/>
        <v>3114368.2103825193</v>
      </c>
      <c r="I12" s="17">
        <f t="shared" si="2"/>
        <v>18501731.289617479</v>
      </c>
    </row>
    <row r="13" spans="1:9" ht="15.75" customHeight="1" x14ac:dyDescent="0.25">
      <c r="A13" s="5">
        <f t="shared" si="3"/>
        <v>2035</v>
      </c>
      <c r="B13" s="49">
        <v>2761758</v>
      </c>
      <c r="C13" s="50">
        <v>4789535</v>
      </c>
      <c r="D13" s="50">
        <v>7726864</v>
      </c>
      <c r="E13" s="50">
        <v>5758606</v>
      </c>
      <c r="F13" s="50">
        <v>3978458.5</v>
      </c>
      <c r="G13" s="17">
        <f t="shared" si="0"/>
        <v>22253463.5</v>
      </c>
      <c r="H13" s="17">
        <f t="shared" si="1"/>
        <v>3167278.5534841022</v>
      </c>
      <c r="I13" s="17">
        <f t="shared" si="2"/>
        <v>19086184.946515899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E0uFQTxaoLsxnJVTkA7GKL4d2jw1zPNbV9YedCR3rXpySfosJ4ijsGfUYKqlD9eOXBH5vRvv8gqPJzbwweTvgQ==" saltValue="trCM5pmYe7Sc7FmheyzkI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3.0741955489755001E-3</v>
      </c>
    </row>
    <row r="4" spans="1:8" ht="15.75" customHeight="1" x14ac:dyDescent="0.25">
      <c r="B4" s="19" t="s">
        <v>116</v>
      </c>
      <c r="C4" s="99">
        <v>4.5714087306233192E-2</v>
      </c>
    </row>
    <row r="5" spans="1:8" ht="15.75" customHeight="1" x14ac:dyDescent="0.25">
      <c r="B5" s="19" t="s">
        <v>114</v>
      </c>
      <c r="C5" s="99">
        <v>6.2934905662831719E-2</v>
      </c>
    </row>
    <row r="6" spans="1:8" ht="15.75" customHeight="1" x14ac:dyDescent="0.25">
      <c r="B6" s="19" t="s">
        <v>110</v>
      </c>
      <c r="C6" s="99">
        <v>0.20706367546229029</v>
      </c>
    </row>
    <row r="7" spans="1:8" ht="15.75" customHeight="1" x14ac:dyDescent="0.25">
      <c r="B7" s="19" t="s">
        <v>115</v>
      </c>
      <c r="C7" s="99">
        <v>0.45319363919792882</v>
      </c>
    </row>
    <row r="8" spans="1:8" ht="15.75" customHeight="1" x14ac:dyDescent="0.25">
      <c r="B8" s="19" t="s">
        <v>117</v>
      </c>
      <c r="C8" s="99">
        <v>3.9374278179925862E-4</v>
      </c>
    </row>
    <row r="9" spans="1:8" ht="15.75" customHeight="1" x14ac:dyDescent="0.25">
      <c r="B9" s="19" t="s">
        <v>111</v>
      </c>
      <c r="C9" s="99">
        <v>0.12922187821010439</v>
      </c>
    </row>
    <row r="10" spans="1:8" ht="15.75" customHeight="1" x14ac:dyDescent="0.25">
      <c r="B10" s="19" t="s">
        <v>113</v>
      </c>
      <c r="C10" s="99">
        <v>9.8403875829836771E-2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0.1633072076199294</v>
      </c>
      <c r="D14" s="55">
        <v>0.1633072076199294</v>
      </c>
      <c r="E14" s="55">
        <v>0.1633072076199294</v>
      </c>
      <c r="F14" s="55">
        <v>0.1633072076199294</v>
      </c>
    </row>
    <row r="15" spans="1:8" ht="15.75" customHeight="1" x14ac:dyDescent="0.25">
      <c r="B15" s="19" t="s">
        <v>121</v>
      </c>
      <c r="C15" s="99">
        <v>0.40822241936014758</v>
      </c>
      <c r="D15" s="99">
        <v>0.40822241936014758</v>
      </c>
      <c r="E15" s="99">
        <v>0.40822241936014758</v>
      </c>
      <c r="F15" s="99">
        <v>0.40822241936014758</v>
      </c>
    </row>
    <row r="16" spans="1:8" ht="15.75" customHeight="1" x14ac:dyDescent="0.25">
      <c r="B16" s="19" t="s">
        <v>2</v>
      </c>
      <c r="C16" s="99">
        <v>2.46705865376926E-2</v>
      </c>
      <c r="D16" s="99">
        <v>2.46705865376926E-2</v>
      </c>
      <c r="E16" s="99">
        <v>2.46705865376926E-2</v>
      </c>
      <c r="F16" s="99">
        <v>2.46705865376926E-2</v>
      </c>
    </row>
    <row r="17" spans="1:8" ht="15.75" customHeight="1" x14ac:dyDescent="0.25">
      <c r="B17" s="19" t="s">
        <v>109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3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120</v>
      </c>
      <c r="C19" s="99">
        <v>9.4156144041897885E-3</v>
      </c>
      <c r="D19" s="99">
        <v>9.4156144041897885E-3</v>
      </c>
      <c r="E19" s="99">
        <v>9.4156144041897885E-3</v>
      </c>
      <c r="F19" s="99">
        <v>9.4156144041897885E-3</v>
      </c>
    </row>
    <row r="20" spans="1:8" ht="15.75" customHeight="1" x14ac:dyDescent="0.25">
      <c r="B20" s="19" t="s">
        <v>98</v>
      </c>
      <c r="C20" s="99">
        <v>1.6199682475618121E-2</v>
      </c>
      <c r="D20" s="99">
        <v>1.6199682475618121E-2</v>
      </c>
      <c r="E20" s="99">
        <v>1.6199682475618121E-2</v>
      </c>
      <c r="F20" s="99">
        <v>1.6199682475618121E-2</v>
      </c>
    </row>
    <row r="21" spans="1:8" ht="15.75" customHeight="1" x14ac:dyDescent="0.25">
      <c r="B21" s="19" t="s">
        <v>107</v>
      </c>
      <c r="C21" s="99">
        <v>0.20382368632032299</v>
      </c>
      <c r="D21" s="99">
        <v>0.20382368632032299</v>
      </c>
      <c r="E21" s="99">
        <v>0.20382368632032299</v>
      </c>
      <c r="F21" s="99">
        <v>0.20382368632032299</v>
      </c>
    </row>
    <row r="22" spans="1:8" ht="15.75" customHeight="1" x14ac:dyDescent="0.25">
      <c r="B22" s="19" t="s">
        <v>118</v>
      </c>
      <c r="C22" s="99">
        <v>0.17436080328209949</v>
      </c>
      <c r="D22" s="99">
        <v>0.17436080328209949</v>
      </c>
      <c r="E22" s="99">
        <v>0.17436080328209949</v>
      </c>
      <c r="F22" s="99">
        <v>0.17436080328209949</v>
      </c>
    </row>
    <row r="23" spans="1:8" ht="15.75" customHeight="1" x14ac:dyDescent="0.25">
      <c r="B23" s="27" t="s">
        <v>79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5.4573182999999997E-2</v>
      </c>
    </row>
    <row r="27" spans="1:8" ht="15.75" customHeight="1" x14ac:dyDescent="0.25">
      <c r="B27" s="19" t="s">
        <v>108</v>
      </c>
      <c r="C27" s="99">
        <v>5.9409878999999999E-2</v>
      </c>
    </row>
    <row r="28" spans="1:8" ht="15.75" customHeight="1" x14ac:dyDescent="0.25">
      <c r="B28" s="19" t="s">
        <v>122</v>
      </c>
      <c r="C28" s="99">
        <v>0.12098242100000001</v>
      </c>
    </row>
    <row r="29" spans="1:8" ht="15.75" customHeight="1" x14ac:dyDescent="0.25">
      <c r="B29" s="19" t="s">
        <v>105</v>
      </c>
      <c r="C29" s="99">
        <v>0.13495797500000001</v>
      </c>
    </row>
    <row r="30" spans="1:8" ht="15.75" customHeight="1" x14ac:dyDescent="0.25">
      <c r="B30" s="19" t="s">
        <v>4</v>
      </c>
      <c r="C30" s="99">
        <v>8.1454253000000018E-2</v>
      </c>
    </row>
    <row r="31" spans="1:8" ht="15.75" customHeight="1" x14ac:dyDescent="0.25">
      <c r="B31" s="19" t="s">
        <v>99</v>
      </c>
      <c r="C31" s="99">
        <v>6.5903797E-2</v>
      </c>
    </row>
    <row r="32" spans="1:8" ht="15.75" customHeight="1" x14ac:dyDescent="0.25">
      <c r="B32" s="19" t="s">
        <v>104</v>
      </c>
      <c r="C32" s="99">
        <v>0.13216685</v>
      </c>
    </row>
    <row r="33" spans="2:3" ht="15.75" customHeight="1" x14ac:dyDescent="0.25">
      <c r="B33" s="19" t="s">
        <v>119</v>
      </c>
      <c r="C33" s="99">
        <v>0.12743632599999999</v>
      </c>
    </row>
    <row r="34" spans="2:3" ht="15.75" customHeight="1" x14ac:dyDescent="0.25">
      <c r="B34" s="19" t="s">
        <v>106</v>
      </c>
      <c r="C34" s="99">
        <v>0.22311531600000001</v>
      </c>
    </row>
    <row r="35" spans="2:3" ht="15.75" customHeight="1" x14ac:dyDescent="0.25">
      <c r="B35" s="27" t="s">
        <v>79</v>
      </c>
      <c r="C35" s="48">
        <f>SUM(C26:C34)</f>
        <v>1</v>
      </c>
    </row>
  </sheetData>
  <sheetProtection algorithmName="SHA-512" hashValue="6v5RLLvbohnVY7ke8nbs3AeIBPBvj1LESRFPNqU5E6pD0JXJXRTkweAHFSm0d+Usnvh/0Dew4lA2x0yNubj2LQ==" saltValue="ydZzMJcRWKQksbGuT2eMN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0.69269518779269001</v>
      </c>
      <c r="D2" s="52">
        <f>IFERROR(1-_xlfn.NORM.DIST(_xlfn.NORM.INV(SUM(D4:D5), 0, 1) + 1, 0, 1, TRUE), "")</f>
        <v>0.69269518779269001</v>
      </c>
      <c r="E2" s="52">
        <f>IFERROR(1-_xlfn.NORM.DIST(_xlfn.NORM.INV(SUM(E4:E5), 0, 1) + 1, 0, 1, TRUE), "")</f>
        <v>0.68353608890151563</v>
      </c>
      <c r="F2" s="52">
        <f>IFERROR(1-_xlfn.NORM.DIST(_xlfn.NORM.INV(SUM(F4:F5), 0, 1) + 1, 0, 1, TRUE), "")</f>
        <v>0.47013527764712237</v>
      </c>
      <c r="G2" s="52">
        <f>IFERROR(1-_xlfn.NORM.DIST(_xlfn.NORM.INV(SUM(G4:G5), 0, 1) + 1, 0, 1, TRUE), "")</f>
        <v>0.42555735724829358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0.24095031220731</v>
      </c>
      <c r="D3" s="52">
        <f>IFERROR(_xlfn.NORM.DIST(_xlfn.NORM.INV(SUM(D4:D5), 0, 1) + 1, 0, 1, TRUE) - SUM(D4:D5), "")</f>
        <v>0.24095031220731</v>
      </c>
      <c r="E3" s="52">
        <f>IFERROR(_xlfn.NORM.DIST(_xlfn.NORM.INV(SUM(E4:E5), 0, 1) + 1, 0, 1, TRUE) - SUM(E4:E5), "")</f>
        <v>0.24670781109848439</v>
      </c>
      <c r="F3" s="52">
        <f>IFERROR(_xlfn.NORM.DIST(_xlfn.NORM.INV(SUM(F4:F5), 0, 1) + 1, 0, 1, TRUE) - SUM(F4:F5), "")</f>
        <v>0.3524000223528776</v>
      </c>
      <c r="G3" s="52">
        <f>IFERROR(_xlfn.NORM.DIST(_xlfn.NORM.INV(SUM(G4:G5), 0, 1) + 1, 0, 1, TRUE) - SUM(G4:G5), "")</f>
        <v>0.36613394275170641</v>
      </c>
    </row>
    <row r="4" spans="1:15" ht="15.75" customHeight="1" x14ac:dyDescent="0.25">
      <c r="B4" s="5" t="s">
        <v>129</v>
      </c>
      <c r="C4" s="45">
        <v>5.35565E-2</v>
      </c>
      <c r="D4" s="53">
        <v>5.35565E-2</v>
      </c>
      <c r="E4" s="53">
        <v>5.1997099999999997E-2</v>
      </c>
      <c r="F4" s="53">
        <v>0.1270577</v>
      </c>
      <c r="G4" s="53">
        <v>0.15624679999999999</v>
      </c>
    </row>
    <row r="5" spans="1:15" ht="15.75" customHeight="1" x14ac:dyDescent="0.25">
      <c r="B5" s="5" t="s">
        <v>125</v>
      </c>
      <c r="C5" s="45">
        <v>1.2798E-2</v>
      </c>
      <c r="D5" s="53">
        <v>1.2798E-2</v>
      </c>
      <c r="E5" s="53">
        <v>1.7759E-2</v>
      </c>
      <c r="F5" s="53">
        <v>5.0407E-2</v>
      </c>
      <c r="G5" s="53">
        <v>5.2061900000000001E-2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0.53697548759743674</v>
      </c>
      <c r="D8" s="52">
        <f>IFERROR(1-_xlfn.NORM.DIST(_xlfn.NORM.INV(SUM(D10:D11), 0, 1) + 1, 0, 1, TRUE), "")</f>
        <v>0.53697548759743674</v>
      </c>
      <c r="E8" s="52">
        <f>IFERROR(1-_xlfn.NORM.DIST(_xlfn.NORM.INV(SUM(E10:E11), 0, 1) + 1, 0, 1, TRUE), "")</f>
        <v>0.60945313934775447</v>
      </c>
      <c r="F8" s="52">
        <f>IFERROR(1-_xlfn.NORM.DIST(_xlfn.NORM.INV(SUM(F10:F11), 0, 1) + 1, 0, 1, TRUE), "")</f>
        <v>0.67786541738420714</v>
      </c>
      <c r="G8" s="52">
        <f>IFERROR(1-_xlfn.NORM.DIST(_xlfn.NORM.INV(SUM(G10:G11), 0, 1) + 1, 0, 1, TRUE), "")</f>
        <v>0.81277360377809094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0.32578741240256326</v>
      </c>
      <c r="D9" s="52">
        <f>IFERROR(_xlfn.NORM.DIST(_xlfn.NORM.INV(SUM(D10:D11), 0, 1) + 1, 0, 1, TRUE) - SUM(D10:D11), "")</f>
        <v>0.32578741240256326</v>
      </c>
      <c r="E9" s="52">
        <f>IFERROR(_xlfn.NORM.DIST(_xlfn.NORM.INV(SUM(E10:E11), 0, 1) + 1, 0, 1, TRUE) - SUM(E10:E11), "")</f>
        <v>0.28990346065224554</v>
      </c>
      <c r="F9" s="52">
        <f>IFERROR(_xlfn.NORM.DIST(_xlfn.NORM.INV(SUM(F10:F11), 0, 1) + 1, 0, 1, TRUE) - SUM(F10:F11), "")</f>
        <v>0.25022808261579293</v>
      </c>
      <c r="G9" s="52">
        <f>IFERROR(_xlfn.NORM.DIST(_xlfn.NORM.INV(SUM(G10:G11), 0, 1) + 1, 0, 1, TRUE) - SUM(G10:G11), "")</f>
        <v>0.15772439622190906</v>
      </c>
    </row>
    <row r="10" spans="1:15" ht="15.75" customHeight="1" x14ac:dyDescent="0.25">
      <c r="B10" s="5" t="s">
        <v>126</v>
      </c>
      <c r="C10" s="45">
        <v>8.0079399999999995E-2</v>
      </c>
      <c r="D10" s="53">
        <v>8.0079399999999995E-2</v>
      </c>
      <c r="E10" s="53">
        <v>6.7815399999999998E-2</v>
      </c>
      <c r="F10" s="53">
        <v>5.0678099999999997E-2</v>
      </c>
      <c r="G10" s="53">
        <v>2.08116E-2</v>
      </c>
    </row>
    <row r="11" spans="1:15" ht="15.75" customHeight="1" x14ac:dyDescent="0.25">
      <c r="B11" s="5" t="s">
        <v>138</v>
      </c>
      <c r="C11" s="45">
        <v>5.7157699999999999E-2</v>
      </c>
      <c r="D11" s="53">
        <v>5.7157699999999999E-2</v>
      </c>
      <c r="E11" s="53">
        <v>3.2828000000000003E-2</v>
      </c>
      <c r="F11" s="53">
        <v>2.1228400000000001E-2</v>
      </c>
      <c r="G11" s="53">
        <v>8.6904000000000009E-3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0.90404206074999993</v>
      </c>
      <c r="D14" s="54">
        <v>0.87950470141100001</v>
      </c>
      <c r="E14" s="54">
        <v>0.87950470141100001</v>
      </c>
      <c r="F14" s="54">
        <v>0.57788545592399998</v>
      </c>
      <c r="G14" s="54">
        <v>0.57788545592399998</v>
      </c>
      <c r="H14" s="45">
        <v>0.33500000000000002</v>
      </c>
      <c r="I14" s="55">
        <v>0.33500000000000002</v>
      </c>
      <c r="J14" s="55">
        <v>0.33500000000000002</v>
      </c>
      <c r="K14" s="55">
        <v>0.33500000000000002</v>
      </c>
      <c r="L14" s="45">
        <v>0.30299999999999999</v>
      </c>
      <c r="M14" s="55">
        <v>0.30299999999999999</v>
      </c>
      <c r="N14" s="55">
        <v>0.30299999999999999</v>
      </c>
      <c r="O14" s="55">
        <v>0.30299999999999999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0.53090231634368046</v>
      </c>
      <c r="D15" s="52">
        <f t="shared" si="0"/>
        <v>0.5164926539224155</v>
      </c>
      <c r="E15" s="52">
        <f t="shared" si="0"/>
        <v>0.5164926539224155</v>
      </c>
      <c r="F15" s="52">
        <f t="shared" si="0"/>
        <v>0.3393655455331927</v>
      </c>
      <c r="G15" s="52">
        <f t="shared" si="0"/>
        <v>0.3393655455331927</v>
      </c>
      <c r="H15" s="52">
        <f t="shared" si="0"/>
        <v>0.19673009000000002</v>
      </c>
      <c r="I15" s="52">
        <f t="shared" si="0"/>
        <v>0.19673009000000002</v>
      </c>
      <c r="J15" s="52">
        <f t="shared" si="0"/>
        <v>0.19673009000000002</v>
      </c>
      <c r="K15" s="52">
        <f t="shared" si="0"/>
        <v>0.19673009000000002</v>
      </c>
      <c r="L15" s="52">
        <f t="shared" si="0"/>
        <v>0.17793796200000001</v>
      </c>
      <c r="M15" s="52">
        <f t="shared" si="0"/>
        <v>0.17793796200000001</v>
      </c>
      <c r="N15" s="52">
        <f t="shared" si="0"/>
        <v>0.17793796200000001</v>
      </c>
      <c r="O15" s="52">
        <f t="shared" si="0"/>
        <v>0.17793796200000001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c469Z1RZJo5MTFDmXZAvlVAMK32nW7No4XOkcphMLyyPSoWIC4gusmJbD4zaITD7RRODRJBXUvqedw66NOdUXQ==" saltValue="XdW32iJjl42F3nU4O5kj5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0.55160949999999997</v>
      </c>
      <c r="D2" s="53">
        <v>0.31436900000000001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0.26624439999999999</v>
      </c>
      <c r="D3" s="53">
        <v>0.36587259999999999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0.12542239999999999</v>
      </c>
      <c r="D4" s="53">
        <v>0.27279639999999999</v>
      </c>
      <c r="E4" s="53">
        <v>0.90193730000000005</v>
      </c>
      <c r="F4" s="53">
        <v>0.57143710000000003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5.6723700000000044E-2</v>
      </c>
      <c r="D5" s="52">
        <f t="shared" si="0"/>
        <v>4.6961999999999948E-2</v>
      </c>
      <c r="E5" s="52">
        <f>1-SUM(E2:E4)</f>
        <v>9.8062699999999947E-2</v>
      </c>
      <c r="F5" s="52">
        <f>1-SUM(F2:F4)</f>
        <v>0.42856289999999997</v>
      </c>
      <c r="G5" s="52">
        <f>1-SUM(G2:G4)</f>
        <v>1</v>
      </c>
    </row>
  </sheetData>
  <sheetProtection algorithmName="SHA-512" hashValue="dJuoZrzv31mxksUx3H1ALofNefMGl7qoydZ5eYKQtoc/tY3RWqdqmbwGOTdpZB2QY82XOuLPYthIxODutVlnIQ==" saltValue="4jwe9ZATJzajcQoE9Vqv9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fS6pEbh60xmj6t2y7Q2pBVASCi4vC8NbCz9g847oZ+VF+go3pBHissUTRZVENJCZAxu/sTdrQZhCmbu4v11fmA==" saltValue="1/tW8htmizQGkz/NJgi4A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1192.76647949219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0.54902000000000006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0.78305000000000002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2.5664287235020775E-2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94933.443270000003</v>
      </c>
      <c r="C22" s="107">
        <v>94177.866850000006</v>
      </c>
      <c r="D22" s="107">
        <v>93852.443669999993</v>
      </c>
      <c r="E22" s="107">
        <v>93332.122340000002</v>
      </c>
      <c r="F22" s="107">
        <v>92616.516900000002</v>
      </c>
      <c r="G22" s="107">
        <v>91691.325100000002</v>
      </c>
      <c r="H22" s="107">
        <v>90462.714840000001</v>
      </c>
      <c r="I22" s="107">
        <v>88820.775750000001</v>
      </c>
      <c r="J22" s="107">
        <v>86592.444430000003</v>
      </c>
      <c r="K22" s="107">
        <v>83689.157200000001</v>
      </c>
      <c r="L22" s="107">
        <v>79765.358919999999</v>
      </c>
      <c r="M22" s="107">
        <v>74677.631829999998</v>
      </c>
      <c r="N22" s="107">
        <v>67594.334990000003</v>
      </c>
      <c r="O22" s="107">
        <v>58414.177989999996</v>
      </c>
    </row>
  </sheetData>
  <sheetProtection algorithmName="SHA-512" hashValue="EKqyYyIWQcJTG+bGEnu8bkEQBrrWgDUu/9Fg8dtrKNDYPtoGrNh4Lv6sJA2LeEUDp3kNgGcmqnudZD6ijDRI1A==" saltValue="TqB87dCbBucgAU+0SAi03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zk4E8xVedTXGAIXfGa630DQslWwBCtsJJE5F/lMTl15dKlOk5iXHC1Yogv3Geh3MSGPoGPZNF224PcgL+bDVvw==" saltValue="xAFmPUXMVqvGJQV8o8G0j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QNpn2fyK9+wDaysMSm0B7Maw7pEZHvpyiJDNhC53WnOxwZxLvw8NH0jv3eChNxc6fCveMjZKdF29F/y/9+fWvw==" saltValue="4wMf2BBQbGy3rDrkBT4wf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19.75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19.75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12.73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2.1291837256908908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0.46280465114316638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0.78848199824391296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0.5</v>
      </c>
      <c r="C9" s="96">
        <v>0.95</v>
      </c>
      <c r="D9" s="56">
        <v>0.22197642864885933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2.19022E-2</v>
      </c>
      <c r="C10" s="96">
        <v>0.95</v>
      </c>
      <c r="D10" s="56">
        <v>14.21292537547621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14.21292537547621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14.21292537547621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14.21292537547621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0.38819999999999999</v>
      </c>
      <c r="C14" s="96">
        <v>0.95</v>
      </c>
      <c r="D14" s="56">
        <v>4.586811392844738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14.21292537547621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</v>
      </c>
      <c r="C16" s="96">
        <v>0.95</v>
      </c>
      <c r="D16" s="56">
        <v>2.4996908648836405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</v>
      </c>
      <c r="C17" s="96">
        <v>0.95</v>
      </c>
      <c r="D17" s="56">
        <v>0.58636119533868591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0.23</v>
      </c>
      <c r="C18" s="96">
        <v>0.95</v>
      </c>
      <c r="D18" s="56">
        <v>12.729008336227858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0.31436900000000001</v>
      </c>
      <c r="C19" s="96">
        <v>0.95</v>
      </c>
      <c r="D19" s="56">
        <v>2.121285075768927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10.472005904828066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12.73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1.96765E-2</v>
      </c>
      <c r="C23" s="96">
        <v>0.95</v>
      </c>
      <c r="D23" s="56">
        <v>4.6734447573928826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0.63038645218564004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1.4999999999999999E-2</v>
      </c>
      <c r="C26" s="96">
        <v>0.95</v>
      </c>
      <c r="D26" s="56">
        <v>5.6425060784994798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8.8360724993186164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0.61705699999999997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0.22507530000000001</v>
      </c>
      <c r="C29" s="96">
        <v>0.95</v>
      </c>
      <c r="D29" s="56">
        <v>88.005851455993124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57.448392612859095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</v>
      </c>
      <c r="C31" s="96">
        <v>0.95</v>
      </c>
      <c r="D31" s="56">
        <v>109.20979506773186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0.95</v>
      </c>
      <c r="C32" s="96">
        <v>0.95</v>
      </c>
      <c r="D32" s="56">
        <v>0.48537686696769716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0.72953559999999995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0.52023419999999998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2.6733799999999999E-2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0.65150499999999989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0.19674449999999999</v>
      </c>
      <c r="C38" s="96">
        <v>0.95</v>
      </c>
      <c r="D38" s="56">
        <v>6.7103351858284128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13.111054247697034</v>
      </c>
      <c r="E39" s="56" t="s">
        <v>212</v>
      </c>
      <c r="F39" s="96">
        <v>1</v>
      </c>
      <c r="G39" s="96">
        <v>1</v>
      </c>
    </row>
  </sheetData>
  <sheetProtection algorithmName="SHA-512" hashValue="ZaUeVYluYhEbPPZKVWZlLKxnp/N0A5G0hPiXaq1DSNEIMVwi1HE4nslZiOcWyBx6I0m0+9zIMZV2eB66JbFV6Q==" saltValue="keJL5ebCAMj+vtA4KNTeA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1SsVu9Nj/MJJ3OmnJBz3DfnKfcT4n+NFaMP1OZD66d1lUJ0yUsY8/ftrrdTZ7PyCnnAFvr6ikZd12J5HCIWo6g==" saltValue="g1fU1V1qoSJa398alINz8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fTqJykkTusueGMJszchfwMEocQKgutWqm4ur61FVTndwn/ymODItOM34CVFbEkbcsdhmXIlDSJok4sajhRHNgg==" saltValue="9bEXqlQPY0aaTcwulFLQ6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1.95</v>
      </c>
      <c r="C2" s="21">
        <f>'Entradas de población-año base'!C52</f>
        <v>1.95</v>
      </c>
      <c r="D2" s="21">
        <f>'Entradas de población-año base'!C53</f>
        <v>4.8360000000000003</v>
      </c>
      <c r="E2" s="21">
        <f>'Entradas de población-año base'!C54</f>
        <v>3.952</v>
      </c>
      <c r="F2" s="21">
        <f>'Entradas de población-año base'!C55</f>
        <v>1.3606666666666669</v>
      </c>
    </row>
    <row r="3" spans="1:6" ht="15.75" customHeight="1" x14ac:dyDescent="0.25">
      <c r="A3" s="3" t="s">
        <v>6</v>
      </c>
      <c r="B3" s="21">
        <f>frac_mam_1month * 2.6</f>
        <v>0.20820643999999999</v>
      </c>
      <c r="C3" s="21">
        <f>frac_mam_1_5months * 2.6</f>
        <v>0.20820643999999999</v>
      </c>
      <c r="D3" s="21">
        <f>frac_mam_6_11months * 2.6</f>
        <v>0.17632004000000001</v>
      </c>
      <c r="E3" s="21">
        <f>frac_mam_12_23months * 2.6</f>
        <v>0.13176305999999999</v>
      </c>
      <c r="F3" s="21">
        <f>frac_mam_24_59months * 2.6</f>
        <v>5.4110159999999997E-2</v>
      </c>
    </row>
    <row r="4" spans="1:6" ht="15.75" customHeight="1" x14ac:dyDescent="0.25">
      <c r="A4" s="3" t="s">
        <v>236</v>
      </c>
      <c r="B4" s="21">
        <f>frac_sam_1month * 2.6</f>
        <v>0.14861002000000001</v>
      </c>
      <c r="C4" s="21">
        <f>frac_sam_1_5months * 2.6</f>
        <v>0.14861002000000001</v>
      </c>
      <c r="D4" s="21">
        <f>frac_sam_6_11months * 2.6</f>
        <v>8.5352800000000006E-2</v>
      </c>
      <c r="E4" s="21">
        <f>frac_sam_12_23months * 2.6</f>
        <v>5.5193840000000008E-2</v>
      </c>
      <c r="F4" s="21">
        <f>frac_sam_24_59months * 2.6</f>
        <v>2.2595040000000004E-2</v>
      </c>
    </row>
  </sheetData>
  <sheetProtection algorithmName="SHA-512" hashValue="9sQsENYL0Cwnyibsunm9ZgKrKj6jLJiQAFR3RZ/DdsbjZJXz/RCHsBtuydQ57YFa+Ny1iHHqpOU7gSk9sJnSQQ==" saltValue="irVMcfjgkJ+yt2qThn3Sx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0.26400000000000001</v>
      </c>
      <c r="F2" s="60">
        <f>food_insecure</f>
        <v>0.26400000000000001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0.26400000000000001</v>
      </c>
      <c r="F5" s="60">
        <f>food_insecure</f>
        <v>0.26400000000000001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3.2035714285714292E-2</v>
      </c>
      <c r="D7" s="60">
        <f>diarrhoea_1_5mo*frac_diarrhea_severe</f>
        <v>3.2035714285714292E-2</v>
      </c>
      <c r="E7" s="60">
        <f>diarrhoea_6_11mo*frac_diarrhea_severe</f>
        <v>7.9448571428571452E-2</v>
      </c>
      <c r="F7" s="60">
        <f>diarrhoea_12_23mo*frac_diarrhea_severe</f>
        <v>6.4925714285714295E-2</v>
      </c>
      <c r="G7" s="60">
        <f>diarrhoea_24_59mo*frac_diarrhea_severe</f>
        <v>2.2353809523809533E-2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0.26400000000000001</v>
      </c>
      <c r="F8" s="60">
        <f>food_insecure</f>
        <v>0.26400000000000001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0.26400000000000001</v>
      </c>
      <c r="F9" s="60">
        <f>food_insecure</f>
        <v>0.26400000000000001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3.2035714285714292E-2</v>
      </c>
      <c r="D12" s="60">
        <f>diarrhoea_1_5mo*frac_diarrhea_severe</f>
        <v>3.2035714285714292E-2</v>
      </c>
      <c r="E12" s="60">
        <f>diarrhoea_6_11mo*frac_diarrhea_severe</f>
        <v>7.9448571428571452E-2</v>
      </c>
      <c r="F12" s="60">
        <f>diarrhoea_12_23mo*frac_diarrhea_severe</f>
        <v>6.4925714285714295E-2</v>
      </c>
      <c r="G12" s="60">
        <f>diarrhoea_24_59mo*frac_diarrhea_severe</f>
        <v>2.2353809523809533E-2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0.26400000000000001</v>
      </c>
      <c r="I15" s="60">
        <f t="shared" si="0"/>
        <v>0.26400000000000001</v>
      </c>
      <c r="J15" s="60">
        <f t="shared" si="0"/>
        <v>0.26400000000000001</v>
      </c>
      <c r="K15" s="60">
        <f t="shared" si="0"/>
        <v>0.26400000000000001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0.26400000000000001</v>
      </c>
      <c r="I16" s="60">
        <f t="shared" si="0"/>
        <v>0.26400000000000001</v>
      </c>
      <c r="J16" s="60">
        <f t="shared" si="0"/>
        <v>0.26400000000000001</v>
      </c>
      <c r="K16" s="60">
        <f t="shared" si="0"/>
        <v>0.26400000000000001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0.221</v>
      </c>
      <c r="M24" s="60">
        <f>famplan_unmet_need</f>
        <v>0.221</v>
      </c>
      <c r="N24" s="60">
        <f>famplan_unmet_need</f>
        <v>0.221</v>
      </c>
      <c r="O24" s="60">
        <f>famplan_unmet_need</f>
        <v>0.221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0.3964635909919999</v>
      </c>
      <c r="M25" s="60">
        <f>(1-food_insecure)*(0.49)+food_insecure*(0.7)</f>
        <v>0.54543999999999992</v>
      </c>
      <c r="N25" s="60">
        <f>(1-food_insecure)*(0.49)+food_insecure*(0.7)</f>
        <v>0.54543999999999992</v>
      </c>
      <c r="O25" s="60">
        <f>(1-food_insecure)*(0.49)+food_insecure*(0.7)</f>
        <v>0.54543999999999992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0.16991296756800001</v>
      </c>
      <c r="M26" s="60">
        <f>(1-food_insecure)*(0.21)+food_insecure*(0.3)</f>
        <v>0.23376000000000002</v>
      </c>
      <c r="N26" s="60">
        <f>(1-food_insecure)*(0.21)+food_insecure*(0.3)</f>
        <v>0.23376000000000002</v>
      </c>
      <c r="O26" s="60">
        <f>(1-food_insecure)*(0.21)+food_insecure*(0.3)</f>
        <v>0.23376000000000002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0.16049274143999998</v>
      </c>
      <c r="M27" s="60">
        <f>(1-food_insecure)*(0.3)</f>
        <v>0.2208</v>
      </c>
      <c r="N27" s="60">
        <f>(1-food_insecure)*(0.3)</f>
        <v>0.2208</v>
      </c>
      <c r="O27" s="60">
        <f>(1-food_insecure)*(0.3)</f>
        <v>0.2208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0.2731307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YOJBecdfBJCk+x5E3zRyZt0tWqtwULkxyYvpUQuLU3FYhb5wSKZ5iaS0yKK/nWgHZDZs3RdR5cu7Z45yGlvS9w==" saltValue="2M9G9fwmZaoOcUHERerWY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/bCHPTxF2SwhlJ7QqhI+TWrSIxJHWmi6VLCfGJnUKEECHswr7iekxtiQTgZicEY5WobHALzxGUqRfgNdap13jA==" saltValue="zsfvhOEFb2YfbTRHmxjpZ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29za4KpzRg25uQWz1cE+5S9IEmn50VP4T9eK3GUwlkmAj9Wl4CO7Yn0B943SkDWqkRdJRsItO9LTsUuw6MeAMg==" saltValue="fSbKEkJ6PmMsooKsqzcY0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qouVZ+xqJMyDfHiwoUeHo5dPgAe7B3S7KrPD4xLqqVPEZHTREqKVRCkqSbu9EPr14zlS3kngyUPC7YbClNHcng==" saltValue="c3BwrRbgXNr8VZsN1fVvu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Dx67YBB6l3eWYHvxFLVcG88SeqarOzwOzEHdHy5FzQfMIm6qJR4lHlTJn+MLib1TtTZGWmlai2AWgkgTkHs9LA==" saltValue="AsK/4KzKEGTPa8BqRgDQH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meulisN1Pxz+3yOBTSfZRlGUYJv73r0C2K1/3QdzjgoDarBmf5MF97VcNLiR/azu2Nr1nP5StgSeIjNrexsIUw==" saltValue="fYMhL3kZEdHSa0JdNaZtB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hvmBL2PKyxHg1YyOFGFILhkcE2XxXecyoJZptSMPJRbtQmAzvjTVcvzvHY5bF9sL3Jyk707j9dl/DsZgrND9fw==" saltValue="wHHeWzQWy2AZ4sBAf8TTdA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iNwBjChTFnQOCiQqgqxhuYSe2Go9lH37VghbPuYN+uixD5fKwG7ZvqRDrLlIsguidNolP3N0C50yIfu6YbiRUA==" saltValue="x8FOfOcBB/RVWcf87f45/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vI+M//2Wl6DsJBV80vfshlvzrkNoL6ovqtFBh0IbFv3ogQS7cpqbQhClTvCpUUCw5XaXVUT+ZWVKpSfxxtXW7w==" saltValue="cjbV5TmmYl5rPWyCaxrIq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OEHPccSjAi2UkzRayPYDbEKsGjRXpNI+cWO1l3EKKa/b6lZJLExANjjf/kGIKkgpucM1LjCl+zNpV+m1Y3fbAg==" saltValue="ByiCbGB3kojX/PorxD4d5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zzupr9jUEJlreMBWIXD2VoZT/hmfnpBPBW5W56FEyh1V1tGYzBT9U40x2WSdBsW4loRSuVj/LUpAO13j+tXOpw==" saltValue="td4NQrQjZNJGujXCBIpFB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qBzv2b9x/CyLCl7SFV9nbH+tTiQRbGF5DqAti8Tm6qHJqtMu1e3QvZNpqTPvUl725VFlaZVnDz/PlYWJCvMcug==" saltValue="IlsU1rFeNp27kMavB/MT3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BWxDKw3DH5sUk4KkKvD2bhiG1FP2owWIAbRC4CyZ4XZwf30cx4t4ylUAiqFxID1/LIKm7wy6pUewM2mElL1dWg==" saltValue="7A8RYM8RIK/niDO2eznkF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0/p8IkqTljI5FXOftHtx4RaIR4tkUWzTvfPen1vX3qRigU6N+MB2mh+i7O0soxM5jwO3rxz3cViqzbSHPVNwPQ==" saltValue="ZzS62tYBkFaeZ+Qh5ALBn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yWHacRYUFPZ2uytRL4tCNx8fDOgWIPR1arVul+o1AmU0ZkmOjDb2z/G4VVnaXZQyZEMQM6qMjW4+ZWselZXWXw==" saltValue="/WpDu61KOW21Qhvj8cORP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2025-07-30T01:22:29Z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