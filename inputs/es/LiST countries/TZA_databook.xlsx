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4E692BE0-895A-44B7-A7BE-260625BBD4DF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<sst xmlns="http://schemas.openxmlformats.org/spreadsheetml/2006/main" count="2102" uniqueCount="341">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</sst>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1263402.15625</v>
      </c>
    </row>
    <row r="8" spans="1:3" ht="15" customHeight="1" x14ac:dyDescent="0.25">
      <c r="B8" s="5" t="s">
        <v>44</v>
      </c>
      <c r="C8" s="44">
        <v>4.8000000000000001E-2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0.23430719375610401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0.47099999999999997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0.1169</v>
      </c>
    </row>
    <row r="24" spans="1:3" ht="15" customHeight="1" x14ac:dyDescent="0.25">
      <c r="B24" s="15" t="s">
        <v>46</v>
      </c>
      <c r="C24" s="45">
        <v>0.50690000000000002</v>
      </c>
    </row>
    <row r="25" spans="1:3" ht="15" customHeight="1" x14ac:dyDescent="0.25">
      <c r="B25" s="15" t="s">
        <v>47</v>
      </c>
      <c r="C25" s="45">
        <v>0.31080000000000002</v>
      </c>
    </row>
    <row r="26" spans="1:3" ht="15" customHeight="1" x14ac:dyDescent="0.25">
      <c r="B26" s="15" t="s">
        <v>48</v>
      </c>
      <c r="C26" s="45">
        <v>6.54E-2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0.32097876330389902</v>
      </c>
    </row>
    <row r="30" spans="1:3" ht="14.25" customHeight="1" x14ac:dyDescent="0.25">
      <c r="B30" s="25" t="s">
        <v>63</v>
      </c>
      <c r="C30" s="99">
        <v>0.11435649369624799</v>
      </c>
    </row>
    <row r="31" spans="1:3" ht="14.25" customHeight="1" x14ac:dyDescent="0.25">
      <c r="B31" s="25" t="s">
        <v>10</v>
      </c>
      <c r="C31" s="99">
        <v>0.128931423055959</v>
      </c>
    </row>
    <row r="32" spans="1:3" ht="14.25" customHeight="1" x14ac:dyDescent="0.25">
      <c r="B32" s="25" t="s">
        <v>11</v>
      </c>
      <c r="C32" s="99">
        <v>0.43573331994389503</v>
      </c>
    </row>
    <row r="33" spans="1:5" ht="13" customHeight="1" x14ac:dyDescent="0.25">
      <c r="B33" s="27" t="s">
        <v>60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13.569990000000001</v>
      </c>
    </row>
    <row r="38" spans="1:5" ht="15" customHeight="1" x14ac:dyDescent="0.25">
      <c r="B38" s="11" t="s">
        <v>35</v>
      </c>
      <c r="C38" s="43">
        <v>27.63936</v>
      </c>
      <c r="D38" s="12"/>
      <c r="E38" s="13"/>
    </row>
    <row r="39" spans="1:5" ht="15" customHeight="1" x14ac:dyDescent="0.25">
      <c r="B39" s="11" t="s">
        <v>61</v>
      </c>
      <c r="C39" s="43">
        <v>31.419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5.9144999999999996E-3</v>
      </c>
      <c r="D45" s="12"/>
    </row>
    <row r="46" spans="1:5" ht="15.75" customHeight="1" x14ac:dyDescent="0.25">
      <c r="B46" s="11" t="s">
        <v>51</v>
      </c>
      <c r="C46" s="45">
        <v>6.3550899999999994E-2</v>
      </c>
      <c r="D46" s="12"/>
    </row>
    <row r="47" spans="1:5" ht="15.75" customHeight="1" x14ac:dyDescent="0.25">
      <c r="B47" s="11" t="s">
        <v>59</v>
      </c>
      <c r="C47" s="45">
        <v>7.5376799999999994E-2</v>
      </c>
      <c r="D47" s="12"/>
      <c r="E47" s="13"/>
    </row>
    <row r="48" spans="1:5" ht="15" customHeight="1" x14ac:dyDescent="0.25">
      <c r="B48" s="11" t="s">
        <v>58</v>
      </c>
      <c r="C48" s="46">
        <v>0.85515780000000008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0.58725400000000005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0.10496649</v>
      </c>
    </row>
    <row r="63" spans="1:4" ht="15.75" customHeight="1" x14ac:dyDescent="0.3">
      <c r="A63" s="4"/>
    </row>
  </sheetData>
  <sheetProtection algorithmName="SHA-512" hashValue="659hVv7Yc9OwseBNgB1mjFKZbeZd8+GlaFnC43jDxy0s6PjihN431d89H7tEuSD5ojuHAg0BOjTCtUSg+phjYQ==" saltValue="XXgOn+z8VKETekdVOmlp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2416633</v>
      </c>
      <c r="C2" s="49">
        <v>4619149</v>
      </c>
      <c r="D2" s="49">
        <v>5806295</v>
      </c>
      <c r="E2" s="49">
        <v>4324552</v>
      </c>
      <c r="F2" s="49">
        <v>2611899</v>
      </c>
      <c r="G2" s="17">
        <f t="shared" ref="G2:G13" si="0">C2+D2+E2+F2</f>
        <v>17361895</v>
      </c>
      <c r="H2" s="17">
        <f t="shared" ref="H2:H13" si="1">(B2 + stillbirth*B2/(1000-stillbirth))/(1-abortion)</f>
        <v>2771477.3968399647</v>
      </c>
      <c r="I2" s="17">
        <f t="shared" ref="I2:I13" si="2">G2-H2</f>
        <v>14590417.603160035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2446942</v>
      </c>
      <c r="C3" s="50">
        <v>4724884</v>
      </c>
      <c r="D3" s="50">
        <v>6030799.5</v>
      </c>
      <c r="E3" s="50">
        <v>4403188</v>
      </c>
      <c r="F3" s="50">
        <v>2747410.5</v>
      </c>
      <c r="G3" s="17">
        <f t="shared" si="0"/>
        <v>17906282</v>
      </c>
      <c r="H3" s="17">
        <f t="shared" si="1"/>
        <v>2806236.7949036439</v>
      </c>
      <c r="I3" s="17">
        <f t="shared" si="2"/>
        <v>15100045.205096357</v>
      </c>
    </row>
    <row r="4" spans="1:9" ht="15.75" customHeight="1" x14ac:dyDescent="0.25">
      <c r="A4" s="5">
        <f t="shared" si="3"/>
        <v>2026</v>
      </c>
      <c r="B4" s="49">
        <v>2482397</v>
      </c>
      <c r="C4" s="50">
        <v>4819044.5</v>
      </c>
      <c r="D4" s="50">
        <v>6256111.5</v>
      </c>
      <c r="E4" s="50">
        <v>4493230.5</v>
      </c>
      <c r="F4" s="50">
        <v>2882318</v>
      </c>
      <c r="G4" s="17">
        <f t="shared" si="0"/>
        <v>18450704.5</v>
      </c>
      <c r="H4" s="17">
        <f t="shared" si="1"/>
        <v>2846897.8018107582</v>
      </c>
      <c r="I4" s="17">
        <f t="shared" si="2"/>
        <v>15603806.698189242</v>
      </c>
    </row>
    <row r="5" spans="1:9" ht="15.75" customHeight="1" x14ac:dyDescent="0.25">
      <c r="A5" s="5">
        <f t="shared" si="3"/>
        <v>2027</v>
      </c>
      <c r="B5" s="49">
        <v>2517660</v>
      </c>
      <c r="C5" s="50">
        <v>4920401</v>
      </c>
      <c r="D5" s="50">
        <v>6479876</v>
      </c>
      <c r="E5" s="50">
        <v>4592857.5</v>
      </c>
      <c r="F5" s="50">
        <v>3013574.5</v>
      </c>
      <c r="G5" s="17">
        <f t="shared" si="0"/>
        <v>19006709</v>
      </c>
      <c r="H5" s="17">
        <f t="shared" si="1"/>
        <v>2887338.6165495985</v>
      </c>
      <c r="I5" s="17">
        <f t="shared" si="2"/>
        <v>16119370.383450402</v>
      </c>
    </row>
    <row r="6" spans="1:9" ht="15.75" customHeight="1" x14ac:dyDescent="0.25">
      <c r="A6" s="5">
        <f t="shared" si="3"/>
        <v>2028</v>
      </c>
      <c r="B6" s="49">
        <v>2554608</v>
      </c>
      <c r="C6" s="50">
        <v>5042170.5</v>
      </c>
      <c r="D6" s="50">
        <v>6702982</v>
      </c>
      <c r="E6" s="50">
        <v>4699942</v>
      </c>
      <c r="F6" s="50">
        <v>3137718.5</v>
      </c>
      <c r="G6" s="17">
        <f t="shared" si="0"/>
        <v>19582813</v>
      </c>
      <c r="H6" s="17">
        <f t="shared" si="1"/>
        <v>2929711.8469318878</v>
      </c>
      <c r="I6" s="17">
        <f t="shared" si="2"/>
        <v>16653101.153068112</v>
      </c>
    </row>
    <row r="7" spans="1:9" ht="15.75" customHeight="1" x14ac:dyDescent="0.25">
      <c r="A7" s="5">
        <f t="shared" si="3"/>
        <v>2029</v>
      </c>
      <c r="B7" s="49">
        <v>2583691</v>
      </c>
      <c r="C7" s="50">
        <v>5175783</v>
      </c>
      <c r="D7" s="50">
        <v>6924557</v>
      </c>
      <c r="E7" s="50">
        <v>4818036.5</v>
      </c>
      <c r="F7" s="50">
        <v>3255143.5</v>
      </c>
      <c r="G7" s="17">
        <f t="shared" si="0"/>
        <v>20173520</v>
      </c>
      <c r="H7" s="17">
        <f t="shared" si="1"/>
        <v>2963065.226254398</v>
      </c>
      <c r="I7" s="17">
        <f t="shared" si="2"/>
        <v>17210454.773745604</v>
      </c>
    </row>
    <row r="8" spans="1:9" ht="15.75" customHeight="1" x14ac:dyDescent="0.25">
      <c r="A8" s="5">
        <f t="shared" si="3"/>
        <v>2030</v>
      </c>
      <c r="B8" s="49">
        <v>2618789</v>
      </c>
      <c r="C8" s="50">
        <v>5317584</v>
      </c>
      <c r="D8" s="50">
        <v>7141920.4999999991</v>
      </c>
      <c r="E8" s="50">
        <v>4950691</v>
      </c>
      <c r="F8" s="50">
        <v>3365886.5</v>
      </c>
      <c r="G8" s="17">
        <f t="shared" si="0"/>
        <v>20776082</v>
      </c>
      <c r="H8" s="17">
        <f t="shared" si="1"/>
        <v>3003316.8133486272</v>
      </c>
      <c r="I8" s="17">
        <f t="shared" si="2"/>
        <v>17772765.186651371</v>
      </c>
    </row>
    <row r="9" spans="1:9" ht="15.75" customHeight="1" x14ac:dyDescent="0.25">
      <c r="A9" s="5">
        <f t="shared" si="3"/>
        <v>2031</v>
      </c>
      <c r="B9" s="49">
        <v>2661087</v>
      </c>
      <c r="C9" s="50">
        <v>5470340</v>
      </c>
      <c r="D9" s="50">
        <v>7348283</v>
      </c>
      <c r="E9" s="50">
        <v>5101501.5</v>
      </c>
      <c r="F9" s="50">
        <v>3467196</v>
      </c>
      <c r="G9" s="17">
        <f t="shared" si="0"/>
        <v>21387320.5</v>
      </c>
      <c r="H9" s="17">
        <f t="shared" si="1"/>
        <v>3051825.6067531444</v>
      </c>
      <c r="I9" s="17">
        <f t="shared" si="2"/>
        <v>18335494.893246856</v>
      </c>
    </row>
    <row r="10" spans="1:9" ht="15.75" customHeight="1" x14ac:dyDescent="0.25">
      <c r="A10" s="5">
        <f t="shared" si="3"/>
        <v>2032</v>
      </c>
      <c r="B10" s="49">
        <v>2696627</v>
      </c>
      <c r="C10" s="50">
        <v>5633988.4999999991</v>
      </c>
      <c r="D10" s="50">
        <v>7542555</v>
      </c>
      <c r="E10" s="50">
        <v>5268999</v>
      </c>
      <c r="F10" s="50">
        <v>3559075</v>
      </c>
      <c r="G10" s="17">
        <f t="shared" si="0"/>
        <v>22004617.5</v>
      </c>
      <c r="H10" s="17">
        <f t="shared" si="1"/>
        <v>3092584.0945680887</v>
      </c>
      <c r="I10" s="17">
        <f t="shared" si="2"/>
        <v>18912033.405431911</v>
      </c>
    </row>
    <row r="11" spans="1:9" ht="15.75" customHeight="1" x14ac:dyDescent="0.25">
      <c r="A11" s="5">
        <f t="shared" si="3"/>
        <v>2033</v>
      </c>
      <c r="B11" s="49">
        <v>2737070</v>
      </c>
      <c r="C11" s="50">
        <v>5795246.4999999991</v>
      </c>
      <c r="D11" s="50">
        <v>7737675.5</v>
      </c>
      <c r="E11" s="50">
        <v>5455316.5</v>
      </c>
      <c r="F11" s="50">
        <v>3642969</v>
      </c>
      <c r="G11" s="17">
        <f t="shared" si="0"/>
        <v>22631207.5</v>
      </c>
      <c r="H11" s="17">
        <f t="shared" si="1"/>
        <v>3138965.5105134966</v>
      </c>
      <c r="I11" s="17">
        <f t="shared" si="2"/>
        <v>19492241.989486504</v>
      </c>
    </row>
    <row r="12" spans="1:9" ht="15.75" customHeight="1" x14ac:dyDescent="0.25">
      <c r="A12" s="5">
        <f t="shared" si="3"/>
        <v>2034</v>
      </c>
      <c r="B12" s="49">
        <v>2783878</v>
      </c>
      <c r="C12" s="50">
        <v>5941306.5000000009</v>
      </c>
      <c r="D12" s="50">
        <v>7943202.5</v>
      </c>
      <c r="E12" s="50">
        <v>5663874</v>
      </c>
      <c r="F12" s="50">
        <v>3717155</v>
      </c>
      <c r="G12" s="17">
        <f t="shared" si="0"/>
        <v>23265538</v>
      </c>
      <c r="H12" s="17">
        <f t="shared" si="1"/>
        <v>3192646.5262040393</v>
      </c>
      <c r="I12" s="17">
        <f t="shared" si="2"/>
        <v>20072891.473795962</v>
      </c>
    </row>
    <row r="13" spans="1:9" ht="15.75" customHeight="1" x14ac:dyDescent="0.25">
      <c r="A13" s="5">
        <f t="shared" si="3"/>
        <v>2035</v>
      </c>
      <c r="B13" s="49">
        <v>2811205</v>
      </c>
      <c r="C13" s="50">
        <v>6077727.9999999991</v>
      </c>
      <c r="D13" s="50">
        <v>8151855</v>
      </c>
      <c r="E13" s="50">
        <v>5886503.5</v>
      </c>
      <c r="F13" s="50">
        <v>3782645.5</v>
      </c>
      <c r="G13" s="17">
        <f t="shared" si="0"/>
        <v>23898732</v>
      </c>
      <c r="H13" s="17">
        <f t="shared" si="1"/>
        <v>3223986.0646542083</v>
      </c>
      <c r="I13" s="17">
        <f t="shared" si="2"/>
        <v>20674745.935345791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nQ3CaZANk0pp/zYiW6ZxU/jR8K4QUwfQCcY0T5degHe7tT7fVUuEHkdCJu0FnrKcG3N9bbcj9QlD5Qn3W8PkA==" saltValue="m55PVDff5pQvl2LEiHnQj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3.0741955489755001E-3</v>
      </c>
    </row>
    <row r="4" spans="1:8" ht="15.75" customHeight="1" x14ac:dyDescent="0.25">
      <c r="B4" s="19" t="s">
        <v>97</v>
      </c>
      <c r="C4" s="101">
        <v>4.5714087306233192E-2</v>
      </c>
    </row>
    <row r="5" spans="1:8" ht="15.75" customHeight="1" x14ac:dyDescent="0.25">
      <c r="B5" s="19" t="s">
        <v>95</v>
      </c>
      <c r="C5" s="101">
        <v>6.2934905662831719E-2</v>
      </c>
    </row>
    <row r="6" spans="1:8" ht="15.75" customHeight="1" x14ac:dyDescent="0.25">
      <c r="B6" s="19" t="s">
        <v>91</v>
      </c>
      <c r="C6" s="101">
        <v>0.20706367546229029</v>
      </c>
    </row>
    <row r="7" spans="1:8" ht="15.75" customHeight="1" x14ac:dyDescent="0.25">
      <c r="B7" s="19" t="s">
        <v>96</v>
      </c>
      <c r="C7" s="101">
        <v>0.45319363919792882</v>
      </c>
    </row>
    <row r="8" spans="1:8" ht="15.75" customHeight="1" x14ac:dyDescent="0.25">
      <c r="B8" s="19" t="s">
        <v>98</v>
      </c>
      <c r="C8" s="101">
        <v>3.9374278179925862E-4</v>
      </c>
    </row>
    <row r="9" spans="1:8" ht="15.75" customHeight="1" x14ac:dyDescent="0.25">
      <c r="B9" s="19" t="s">
        <v>92</v>
      </c>
      <c r="C9" s="101">
        <v>0.12922187821010439</v>
      </c>
    </row>
    <row r="10" spans="1:8" ht="15.75" customHeight="1" x14ac:dyDescent="0.25">
      <c r="B10" s="19" t="s">
        <v>94</v>
      </c>
      <c r="C10" s="101">
        <v>9.8403875829836771E-2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102</v>
      </c>
      <c r="C15" s="101">
        <v>0.40822241936014758</v>
      </c>
      <c r="D15" s="101">
        <v>0.40822241936014758</v>
      </c>
      <c r="E15" s="101">
        <v>0.40822241936014758</v>
      </c>
      <c r="F15" s="101">
        <v>0.40822241936014758</v>
      </c>
    </row>
    <row r="16" spans="1:8" ht="15.75" customHeight="1" x14ac:dyDescent="0.25">
      <c r="B16" s="19" t="s">
        <v>2</v>
      </c>
      <c r="C16" s="101">
        <v>2.46705865376926E-2</v>
      </c>
      <c r="D16" s="101">
        <v>2.46705865376926E-2</v>
      </c>
      <c r="E16" s="101">
        <v>2.46705865376926E-2</v>
      </c>
      <c r="F16" s="101">
        <v>2.46705865376926E-2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9.4156144041897885E-3</v>
      </c>
      <c r="D19" s="101">
        <v>9.4156144041897885E-3</v>
      </c>
      <c r="E19" s="101">
        <v>9.4156144041897885E-3</v>
      </c>
      <c r="F19" s="101">
        <v>9.4156144041897885E-3</v>
      </c>
    </row>
    <row r="20" spans="1:8" ht="15.75" customHeight="1" x14ac:dyDescent="0.25">
      <c r="B20" s="19" t="s">
        <v>79</v>
      </c>
      <c r="C20" s="101">
        <v>1.6199682475618121E-2</v>
      </c>
      <c r="D20" s="101">
        <v>1.6199682475618121E-2</v>
      </c>
      <c r="E20" s="101">
        <v>1.6199682475618121E-2</v>
      </c>
      <c r="F20" s="101">
        <v>1.6199682475618121E-2</v>
      </c>
    </row>
    <row r="21" spans="1:8" ht="15.75" customHeight="1" x14ac:dyDescent="0.25">
      <c r="B21" s="19" t="s">
        <v>88</v>
      </c>
      <c r="C21" s="101">
        <v>0.20382368632032299</v>
      </c>
      <c r="D21" s="101">
        <v>0.20382368632032299</v>
      </c>
      <c r="E21" s="101">
        <v>0.20382368632032299</v>
      </c>
      <c r="F21" s="101">
        <v>0.20382368632032299</v>
      </c>
    </row>
    <row r="22" spans="1:8" ht="15.75" customHeight="1" x14ac:dyDescent="0.25">
      <c r="B22" s="19" t="s">
        <v>99</v>
      </c>
      <c r="C22" s="101">
        <v>0.17436080328209949</v>
      </c>
      <c r="D22" s="101">
        <v>0.17436080328209949</v>
      </c>
      <c r="E22" s="101">
        <v>0.17436080328209949</v>
      </c>
      <c r="F22" s="101">
        <v>0.17436080328209949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5.4573182999999997E-2</v>
      </c>
    </row>
    <row r="27" spans="1:8" ht="15.75" customHeight="1" x14ac:dyDescent="0.25">
      <c r="B27" s="19" t="s">
        <v>89</v>
      </c>
      <c r="C27" s="101">
        <v>5.9409878999999999E-2</v>
      </c>
    </row>
    <row r="28" spans="1:8" ht="15.75" customHeight="1" x14ac:dyDescent="0.25">
      <c r="B28" s="19" t="s">
        <v>103</v>
      </c>
      <c r="C28" s="101">
        <v>0.12098242100000001</v>
      </c>
    </row>
    <row r="29" spans="1:8" ht="15.75" customHeight="1" x14ac:dyDescent="0.25">
      <c r="B29" s="19" t="s">
        <v>86</v>
      </c>
      <c r="C29" s="101">
        <v>0.13495797500000001</v>
      </c>
    </row>
    <row r="30" spans="1:8" ht="15.75" customHeight="1" x14ac:dyDescent="0.25">
      <c r="B30" s="19" t="s">
        <v>4</v>
      </c>
      <c r="C30" s="101">
        <v>8.1454253000000018E-2</v>
      </c>
    </row>
    <row r="31" spans="1:8" ht="15.75" customHeight="1" x14ac:dyDescent="0.25">
      <c r="B31" s="19" t="s">
        <v>80</v>
      </c>
      <c r="C31" s="101">
        <v>6.5903797E-2</v>
      </c>
    </row>
    <row r="32" spans="1:8" ht="15.75" customHeight="1" x14ac:dyDescent="0.25">
      <c r="B32" s="19" t="s">
        <v>85</v>
      </c>
      <c r="C32" s="101">
        <v>0.13216685</v>
      </c>
    </row>
    <row r="33" spans="2:3" ht="15.75" customHeight="1" x14ac:dyDescent="0.25">
      <c r="B33" s="19" t="s">
        <v>100</v>
      </c>
      <c r="C33" s="101">
        <v>0.12743632599999999</v>
      </c>
    </row>
    <row r="34" spans="2:3" ht="15.75" customHeight="1" x14ac:dyDescent="0.25">
      <c r="B34" s="19" t="s">
        <v>87</v>
      </c>
      <c r="C34" s="101">
        <v>0.22311531600000001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yrro8QsG9yC76DLdEq2MZfbuFrWr2ab/4xHsrRWo7EhKzDWZsu5g2DKY3z3unOTqlkzvPcCj9l3Sw74ykO5Dbw==" saltValue="jflpb3rOlTrRxVR9H5zav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110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106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107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119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0.90404206074999993</v>
      </c>
      <c r="D14" s="54">
        <v>0.87950470141100001</v>
      </c>
      <c r="E14" s="54">
        <v>0.87950470141100001</v>
      </c>
      <c r="F14" s="54">
        <v>0.57788545592399998</v>
      </c>
      <c r="G14" s="54">
        <v>0.57788545592399998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0.53090231634368046</v>
      </c>
      <c r="D15" s="52">
        <f t="shared" si="0"/>
        <v>0.5164926539224155</v>
      </c>
      <c r="E15" s="52">
        <f t="shared" si="0"/>
        <v>0.5164926539224155</v>
      </c>
      <c r="F15" s="52">
        <f t="shared" si="0"/>
        <v>0.3393655455331927</v>
      </c>
      <c r="G15" s="52">
        <f t="shared" si="0"/>
        <v>0.3393655455331927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03vBF98CgnC6ANzed5niWleiWNvlKOyx7w9WYZja7EFHXXpOnCDA0npStkyxfk04+5a/4c5Fma5j4tOlzGjPVQ==" saltValue="ekYIw/VHD+b7AvDBQPQa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125</v>
      </c>
      <c r="C5" s="52">
        <v>5.6723700000000002E-2</v>
      </c>
      <c r="D5" s="52">
        <v>4.6961899999999987E-2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z3UR1H1Kg6FQVzGIG3sNpFxnSVG8EkbH+9kaH7BkwNOdwandToXPlYUo+tj6V9fqE1oPrd1F43PghzfqlhA84Q==" saltValue="qgWxr0WVqaJSTcLW4OCSW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opfUdZcSsAt3pKu4gyUaJ6s0ZT0+PedR8QkFWYRKAn2/3szpBFL8N+48BA0vrZgOBPlUoAJEW5kjgLKrdEX+w==" saltValue="M8bjQL61SZge/vlWpoQk6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knWt07iNAgvWIMMzHlQfSAsZfeqf5yLaEUncsJ24qsKaHzo+PvtSJjtVq2+p4h3GPLtDbcGFJsgF8Plqs3HQ0g==" saltValue="wo9nj6CDBYPZXK3ov6zPi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Q91bNlTdXokSloItEqA1OogQz/9+XIhuxCupxb+3C7i5X1xB2caM6o22y9Uc+EB6CPTIi3P91vQfS4M5fjQA7Q==" saltValue="hi1JJQ5/j4IY80Jm2nU/P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7ZqjMfDtISAf9Znztubr8UM29Ovd8b8I7Gm8u1v4bch7ND+DA4z2TXzxu9Eibrx4+6xTj5rSEXZFAMSl4MLZBg==" saltValue="oVCAWfKBSFlWC0Y0+8q+V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37.19399420609443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0.2297651940206</v>
      </c>
      <c r="C3" s="98">
        <v>0.95</v>
      </c>
      <c r="D3" s="56">
        <v>44.687863506355853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87.750761200273303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0.21403234422682621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2.19022E-2</v>
      </c>
      <c r="C10" s="98">
        <v>0.95</v>
      </c>
      <c r="D10" s="56">
        <v>14.21292537547621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2.19022E-2</v>
      </c>
      <c r="C11" s="98">
        <v>0.95</v>
      </c>
      <c r="D11" s="56">
        <v>14.21292537547621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2.19022E-2</v>
      </c>
      <c r="C12" s="98">
        <v>0.95</v>
      </c>
      <c r="D12" s="56">
        <v>14.21292537547621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2.19022E-2</v>
      </c>
      <c r="C13" s="98">
        <v>0.95</v>
      </c>
      <c r="D13" s="56">
        <v>14.21292537547621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2.19022E-2</v>
      </c>
      <c r="C14" s="98">
        <v>0.95</v>
      </c>
      <c r="D14" s="56">
        <v>14.21292537547621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2.19022E-2</v>
      </c>
      <c r="C15" s="98">
        <v>0.95</v>
      </c>
      <c r="D15" s="56">
        <v>14.21292537547621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0.2692044645575572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0.11101765896826001</v>
      </c>
      <c r="C18" s="98">
        <v>0.95</v>
      </c>
      <c r="D18" s="56">
        <v>2.121285075768927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0.96748329999999994</v>
      </c>
      <c r="C19" s="98">
        <v>0.95</v>
      </c>
      <c r="D19" s="56">
        <v>2.121285075768927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0.65150499999999989</v>
      </c>
      <c r="C21" s="98">
        <v>0.95</v>
      </c>
      <c r="D21" s="56">
        <v>2.018086277984164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24.240556138631131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4.6734447573928826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0.84125521627911992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2.19022E-2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20.520932391194329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0.65971046931085997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66.094319306946403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0.95</v>
      </c>
      <c r="C31" s="98">
        <v>0.95</v>
      </c>
      <c r="D31" s="56">
        <v>0.87641819162715673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0.52185419969466551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0.95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0.22507530000000001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0.61705699999999997</v>
      </c>
      <c r="C38" s="98">
        <v>0.95</v>
      </c>
      <c r="D38" s="56">
        <v>3.1822727770799002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YTsdm4GtDAKM5RsyQaTthILLoZcwjrGDOD0gLuPbxXNj0KEJA4z/x6e7LPrHe7uOy19xe673WZEIDkI0HT1cGw==" saltValue="344PEsRtBejRKcB1yoWZ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5Ay/N1ldVUV5HSZMsC8ETLdC6W5edAydL6Ek9/Shvb4SVBQ9TIZ5Kj2BbdMy5sC3jM3DGVnN/+nW052Mo7bmNA==" saltValue="1HjMClyyKf6Ae+zqZsOhS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6sn+GgCFYSPnqlAS7y598L8HSlIVSEebfSPZvYgH0WpZTlXQKwtM7HeLw3XwO38NoXqBMAWljJ//Ccp4njFESg==" saltValue="ZGw3AYZyZZZYFgOHTmTQs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207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sheetProtection algorithmName="SHA-512" hashValue="B3F0r6fBPP6QbkQsx8boT1B45XVEYtJ40QtT27HgfDuE1dwGyheCO+x+z5/yeYHWbCcLgjvjJPBLKho9JDfXNw==" saltValue="aD/WDBb03+x0yJ3640crj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4.8000000000000001E-2</v>
      </c>
      <c r="E2" s="60">
        <f>food_insecure</f>
        <v>4.8000000000000001E-2</v>
      </c>
      <c r="F2" s="60">
        <f>food_insecure</f>
        <v>4.8000000000000001E-2</v>
      </c>
      <c r="G2" s="60">
        <f>food_insecure</f>
        <v>4.8000000000000001E-2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4.8000000000000001E-2</v>
      </c>
      <c r="I15" s="60">
        <f>food_insecure</f>
        <v>4.8000000000000001E-2</v>
      </c>
      <c r="J15" s="60">
        <f>food_insecure</f>
        <v>4.8000000000000001E-2</v>
      </c>
      <c r="K15" s="60">
        <f>food_insecure</f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0.47099999999999997</v>
      </c>
      <c r="M24" s="60">
        <f>famplan_unmet_need</f>
        <v>0.47099999999999997</v>
      </c>
      <c r="N24" s="60">
        <f>famplan_unmet_need</f>
        <v>0.47099999999999997</v>
      </c>
      <c r="O24" s="60">
        <f>famplan_unmet_need</f>
        <v>0.47099999999999997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0.38290765854644748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0.16410328223419177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0.21868186546325669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0.23430719375610398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03zDB3wSTS3cG2nFMWFBdv5yVbe3AIMFdgK8xzRz5sv9BFdCexoW9UJPCuNbMvFNKMQfI9LLIrmP//T8M/4cA==" saltValue="SSUHcQp+7HKSI2MjhBdH4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xNpMS7/PiHfTYuuW3xof5CND0D862I/dFrJvkYdOibqecPdmScwfW2rMlfk41epvgKzWIP916CcFropoS31MSg==" saltValue="jUcdHLAsuUy2dtCN3nwUU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8GFuCm0dDxQZwushn7p2DqQ7rfIvGMpZN+rPQIA0xgArOXD13H9xpUBvk87RnfTVI1jSUpUIi3J6JKdnf7HeQQ==" saltValue="FgZdFUPc9W0YzqKUJNi1I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BUvF9uqxvEvmE9on29U391XlhLn7r0mVchmrI/KEpEKCRFNEpUgJFrD2Jp1knJ5UfmmwSZXx4MOulTZNQsuwg==" saltValue="Tt8C5HX+SbcoFYPuDsGIx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YCeMEnd6Ev8o+uPusOE/klt7Kz5xTfmPovEygbc/hJ1LXChmJjwdvsh7eUCiA6Kl5SH3mYuvNFDhGUFsADsFOg==" saltValue="W7mxj2iblPHL+EmXcodMQ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RjBKG6+sH8MA+mCpI5yQnj6S5e24kt6ANSpzyjYhqwqs/i7rsEcj5GcZ/uJ6ae18yc7qHV5Nt2sMMS8grsO0QA==" saltValue="X5uu+t3hCIUw8Zg3GKYq3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9ny2gzx+K0P0JdUkTR3iLPVxT9q6wu62zAp9Ip+DCFatz65vc1LLpf+/7wHOA85C5vHNDlxj8MTDVjqNGkAYhg==" saltValue="zYHXpcNxlXfgmzP+qPjIu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JU2VGoiDat3rN/kba6tmim+lorlMeJ8Fp4rT0lPWt8aI8X+GK3wvqg24ErDKwyHvICFLSeHqN7OtfLZ5T8unA==" saltValue="3hZ/dP4dTqACJwUn5jQT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3Z3/Tlqc6Prn5Z6AE7xpqIYkjl/4Byts236tqTt3PwkrZl2Q549bcIe+eOLfpp51v4ahvLD6smJlWPASf5BCHQ==" saltValue="oIn61IzvTuJfDm0hxDfP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fH2mwEIMqkruG5DSn6O/c6JD9Uuc9AlKfPdPHuqxcY8zNZA+Yae8RjSEN7l3FQCIRv0huKArImCGMu8lx5bwmQ==" saltValue="Z3uLw88QX6p5S9pjoCQg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NiyAmClWPC1+3+zMHnr1jRu6x9MXd/6tSLcZV0e8ZneEBqzZ57qHTvxZWz7dBWbv3IEfh4thNPfCLIzuI56M6A==" saltValue="rnI8/HLxLkNDee3L3Dur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Dx0qCyiJH7u/Bqv95W5trK9rIa2njxRYyXj6kMFvBoOcP0pe6fX+QUglHbOmkpY8tThuXK6fFpgD6tDTkrLFw==" saltValue="XlsvrSjuQjvNVJaTtCY+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ypeLFjGlDIo3/vQX4sTdufvBeWynjOcbXPk8RJzhYIlTslCqyaog7dTYD6SNPJ012YnVbLWEaWDe/jdSZXvSQ==" saltValue="JoYJ2UvsHSBIajuLa3dpN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hqgKbdelcn4/z40+jrEjJo2iKPUuNTLnohojJeZXoBb94upS1ulm2KQ+XZliEelNdAlzU/KMkZBrbEYqm+8jw==" saltValue="aNuMiVoF71zsHzShtxFA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ZnN4PMJzMfPSDbZ+GjqGtht/AwSSjzdJ2EPHRkzPDLxMvJpmQQ8PfUKkvWNfYXfmJfOF4InG9FD6nqBEOx31CQ==" saltValue="dxwcUP4dJlLNhLmuFwLFg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2024-05-17T00:03:58Z</dcterms:modified>
</cp:coreProperties>
</file>