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1D451C2D-0806-4102-947D-A0B83C30E632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I38" i="2" s="1"/>
  <c r="A37" i="2"/>
  <c r="A36" i="2"/>
  <c r="A35" i="2"/>
  <c r="A29" i="2"/>
  <c r="A28" i="2"/>
  <c r="A27" i="2"/>
  <c r="A26" i="2"/>
  <c r="A20" i="2"/>
  <c r="A19" i="2"/>
  <c r="A18" i="2"/>
  <c r="A17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40" i="2" s="1"/>
  <c r="C33" i="1"/>
  <c r="C20" i="1"/>
  <c r="A31" i="2" l="1"/>
  <c r="A21" i="2"/>
  <c r="A23" i="2"/>
  <c r="A32" i="2"/>
  <c r="A39" i="2"/>
  <c r="A15" i="2"/>
  <c r="A24" i="2"/>
  <c r="A33" i="2"/>
  <c r="A3" i="2"/>
  <c r="A16" i="2"/>
  <c r="A25" i="2"/>
  <c r="A34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<sst xmlns="http://schemas.openxmlformats.org/spreadsheetml/2006/main" count="2101" uniqueCount="341">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</sst>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1263402.15625</v>
      </c>
    </row>
    <row r="8" spans="1:3" ht="15" customHeight="1" x14ac:dyDescent="0.25">
      <c r="B8" s="5" t="s">
        <v>44</v>
      </c>
      <c r="C8" s="44">
        <v>4.8000000000000001E-2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0.23430719375610401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0.47099999999999997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0.1169</v>
      </c>
    </row>
    <row r="24" spans="1:3" ht="15" customHeight="1" x14ac:dyDescent="0.25">
      <c r="B24" s="15" t="s">
        <v>46</v>
      </c>
      <c r="C24" s="45">
        <v>0.50690000000000002</v>
      </c>
    </row>
    <row r="25" spans="1:3" ht="15" customHeight="1" x14ac:dyDescent="0.25">
      <c r="B25" s="15" t="s">
        <v>47</v>
      </c>
      <c r="C25" s="45">
        <v>0.31080000000000002</v>
      </c>
    </row>
    <row r="26" spans="1:3" ht="15" customHeight="1" x14ac:dyDescent="0.25">
      <c r="B26" s="15" t="s">
        <v>48</v>
      </c>
      <c r="C26" s="45">
        <v>6.54E-2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0.32097876330389902</v>
      </c>
    </row>
    <row r="30" spans="1:3" ht="14.25" customHeight="1" x14ac:dyDescent="0.25">
      <c r="B30" s="25" t="s">
        <v>63</v>
      </c>
      <c r="C30" s="99">
        <v>0.11435649369624799</v>
      </c>
    </row>
    <row r="31" spans="1:3" ht="14.25" customHeight="1" x14ac:dyDescent="0.25">
      <c r="B31" s="25" t="s">
        <v>10</v>
      </c>
      <c r="C31" s="99">
        <v>0.128931423055959</v>
      </c>
    </row>
    <row r="32" spans="1:3" ht="14.25" customHeight="1" x14ac:dyDescent="0.25">
      <c r="B32" s="25" t="s">
        <v>11</v>
      </c>
      <c r="C32" s="99">
        <v>0.43573331994389503</v>
      </c>
    </row>
    <row r="33" spans="1:5" ht="13" customHeight="1" x14ac:dyDescent="0.25">
      <c r="B33" s="27" t="s">
        <v>60</v>
      </c>
      <c r="C33" s="48">
        <f>SUM(C29:C32)</f>
        <v>1.0000000000000011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13.569990000000001</v>
      </c>
    </row>
    <row r="38" spans="1:5" ht="15" customHeight="1" x14ac:dyDescent="0.25">
      <c r="B38" s="11" t="s">
        <v>35</v>
      </c>
      <c r="C38" s="43">
        <v>27.63936</v>
      </c>
      <c r="D38" s="12"/>
      <c r="E38" s="13"/>
    </row>
    <row r="39" spans="1:5" ht="15" customHeight="1" x14ac:dyDescent="0.25">
      <c r="B39" s="11" t="s">
        <v>61</v>
      </c>
      <c r="C39" s="43">
        <v>31.419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9.1299799999999998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5.9144999999999996E-3</v>
      </c>
      <c r="D45" s="12"/>
    </row>
    <row r="46" spans="1:5" ht="15.75" customHeight="1" x14ac:dyDescent="0.25">
      <c r="B46" s="11" t="s">
        <v>51</v>
      </c>
      <c r="C46" s="45">
        <v>6.3550899999999994E-2</v>
      </c>
      <c r="D46" s="12"/>
    </row>
    <row r="47" spans="1:5" ht="15.75" customHeight="1" x14ac:dyDescent="0.25">
      <c r="B47" s="11" t="s">
        <v>59</v>
      </c>
      <c r="C47" s="45">
        <v>7.5376799999999994E-2</v>
      </c>
      <c r="D47" s="12"/>
      <c r="E47" s="13"/>
    </row>
    <row r="48" spans="1:5" ht="15" customHeight="1" x14ac:dyDescent="0.25">
      <c r="B48" s="11" t="s">
        <v>58</v>
      </c>
      <c r="C48" s="46">
        <v>0.85515780000000008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2.8</v>
      </c>
      <c r="D51" s="12"/>
    </row>
    <row r="52" spans="1:4" ht="15" customHeight="1" x14ac:dyDescent="0.25">
      <c r="B52" s="11" t="s">
        <v>13</v>
      </c>
      <c r="C52" s="100">
        <v>2.8</v>
      </c>
    </row>
    <row r="53" spans="1:4" ht="15.75" customHeight="1" x14ac:dyDescent="0.25">
      <c r="B53" s="11" t="s">
        <v>16</v>
      </c>
      <c r="C53" s="100">
        <v>2.8</v>
      </c>
    </row>
    <row r="54" spans="1:4" ht="15.75" customHeight="1" x14ac:dyDescent="0.25">
      <c r="B54" s="11" t="s">
        <v>14</v>
      </c>
      <c r="C54" s="100">
        <v>2.8</v>
      </c>
    </row>
    <row r="55" spans="1:4" ht="15.75" customHeight="1" x14ac:dyDescent="0.25">
      <c r="B55" s="11" t="s">
        <v>15</v>
      </c>
      <c r="C55" s="100">
        <v>2.8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1.6428571428571431E-2</v>
      </c>
    </row>
    <row r="59" spans="1:4" ht="15.75" customHeight="1" x14ac:dyDescent="0.25">
      <c r="B59" s="11" t="s">
        <v>40</v>
      </c>
      <c r="C59" s="45">
        <v>0.58725400000000005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0.10496649</v>
      </c>
    </row>
    <row r="63" spans="1:4" ht="15.75" customHeight="1" x14ac:dyDescent="0.3">
      <c r="A63" s="4"/>
    </row>
  </sheetData>
  <sheetProtection algorithmName="SHA-512" hashValue="PjfE2Is9ZVzGO9c3+hFNqImKutTrrGMfK/Yhlx1C8QeznrPRuVlOtqZfg2CKfFL0m3RxJ3dO7HcCBzKhYU9kbw==" saltValue="TWvOz9FpW+Slhp54Zkpo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2416633</v>
      </c>
      <c r="C2" s="49">
        <v>4619149</v>
      </c>
      <c r="D2" s="49">
        <v>5806295</v>
      </c>
      <c r="E2" s="49">
        <v>4324552</v>
      </c>
      <c r="F2" s="49">
        <v>2611899</v>
      </c>
      <c r="G2" s="17">
        <f t="shared" ref="G2:G13" si="0">C2+D2+E2+F2</f>
        <v>17361895</v>
      </c>
      <c r="H2" s="17">
        <f t="shared" ref="H2:H13" si="1">(B2 + stillbirth*B2/(1000-stillbirth))/(1-abortion)</f>
        <v>2771477.3968399647</v>
      </c>
      <c r="I2" s="17">
        <f t="shared" ref="I2:I13" si="2">G2-H2</f>
        <v>14590417.603160035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2446942</v>
      </c>
      <c r="C3" s="50">
        <v>4724884</v>
      </c>
      <c r="D3" s="50">
        <v>6030799.5</v>
      </c>
      <c r="E3" s="50">
        <v>4403188</v>
      </c>
      <c r="F3" s="50">
        <v>2747410.5</v>
      </c>
      <c r="G3" s="17">
        <f t="shared" si="0"/>
        <v>17906282</v>
      </c>
      <c r="H3" s="17">
        <f t="shared" si="1"/>
        <v>2806236.7949036439</v>
      </c>
      <c r="I3" s="17">
        <f t="shared" si="2"/>
        <v>15100045.205096357</v>
      </c>
    </row>
    <row r="4" spans="1:9" ht="15.75" customHeight="1" x14ac:dyDescent="0.25">
      <c r="A4" s="5">
        <f t="shared" si="3"/>
        <v>2026</v>
      </c>
      <c r="B4" s="49">
        <v>2482397</v>
      </c>
      <c r="C4" s="50">
        <v>4819044.5</v>
      </c>
      <c r="D4" s="50">
        <v>6256111.5</v>
      </c>
      <c r="E4" s="50">
        <v>4493230.5</v>
      </c>
      <c r="F4" s="50">
        <v>2882318</v>
      </c>
      <c r="G4" s="17">
        <f t="shared" si="0"/>
        <v>18450704.5</v>
      </c>
      <c r="H4" s="17">
        <f t="shared" si="1"/>
        <v>2846897.8018107582</v>
      </c>
      <c r="I4" s="17">
        <f t="shared" si="2"/>
        <v>15603806.698189242</v>
      </c>
    </row>
    <row r="5" spans="1:9" ht="15.75" customHeight="1" x14ac:dyDescent="0.25">
      <c r="A5" s="5">
        <f t="shared" si="3"/>
        <v>2027</v>
      </c>
      <c r="B5" s="49">
        <v>2517660</v>
      </c>
      <c r="C5" s="50">
        <v>4920401</v>
      </c>
      <c r="D5" s="50">
        <v>6479876</v>
      </c>
      <c r="E5" s="50">
        <v>4592857.5</v>
      </c>
      <c r="F5" s="50">
        <v>3013574.5</v>
      </c>
      <c r="G5" s="17">
        <f t="shared" si="0"/>
        <v>19006709</v>
      </c>
      <c r="H5" s="17">
        <f t="shared" si="1"/>
        <v>2887338.6165495985</v>
      </c>
      <c r="I5" s="17">
        <f t="shared" si="2"/>
        <v>16119370.383450402</v>
      </c>
    </row>
    <row r="6" spans="1:9" ht="15.75" customHeight="1" x14ac:dyDescent="0.25">
      <c r="A6" s="5">
        <f t="shared" si="3"/>
        <v>2028</v>
      </c>
      <c r="B6" s="49">
        <v>2554608</v>
      </c>
      <c r="C6" s="50">
        <v>5042170.5</v>
      </c>
      <c r="D6" s="50">
        <v>6702982</v>
      </c>
      <c r="E6" s="50">
        <v>4699942</v>
      </c>
      <c r="F6" s="50">
        <v>3137718.5</v>
      </c>
      <c r="G6" s="17">
        <f t="shared" si="0"/>
        <v>19582813</v>
      </c>
      <c r="H6" s="17">
        <f t="shared" si="1"/>
        <v>2929711.8469318878</v>
      </c>
      <c r="I6" s="17">
        <f t="shared" si="2"/>
        <v>16653101.153068112</v>
      </c>
    </row>
    <row r="7" spans="1:9" ht="15.75" customHeight="1" x14ac:dyDescent="0.25">
      <c r="A7" s="5">
        <f t="shared" si="3"/>
        <v>2029</v>
      </c>
      <c r="B7" s="49">
        <v>2583691</v>
      </c>
      <c r="C7" s="50">
        <v>5175783</v>
      </c>
      <c r="D7" s="50">
        <v>6924557</v>
      </c>
      <c r="E7" s="50">
        <v>4818036.5</v>
      </c>
      <c r="F7" s="50">
        <v>3255143.5</v>
      </c>
      <c r="G7" s="17">
        <f t="shared" si="0"/>
        <v>20173520</v>
      </c>
      <c r="H7" s="17">
        <f t="shared" si="1"/>
        <v>2963065.226254398</v>
      </c>
      <c r="I7" s="17">
        <f t="shared" si="2"/>
        <v>17210454.773745604</v>
      </c>
    </row>
    <row r="8" spans="1:9" ht="15.75" customHeight="1" x14ac:dyDescent="0.25">
      <c r="A8" s="5">
        <f t="shared" si="3"/>
        <v>2030</v>
      </c>
      <c r="B8" s="49">
        <v>2618789</v>
      </c>
      <c r="C8" s="50">
        <v>5317584</v>
      </c>
      <c r="D8" s="50">
        <v>7141920.4999999991</v>
      </c>
      <c r="E8" s="50">
        <v>4950691</v>
      </c>
      <c r="F8" s="50">
        <v>3365886.5</v>
      </c>
      <c r="G8" s="17">
        <f t="shared" si="0"/>
        <v>20776082</v>
      </c>
      <c r="H8" s="17">
        <f t="shared" si="1"/>
        <v>3003316.8133486272</v>
      </c>
      <c r="I8" s="17">
        <f t="shared" si="2"/>
        <v>17772765.186651371</v>
      </c>
    </row>
    <row r="9" spans="1:9" ht="15.75" customHeight="1" x14ac:dyDescent="0.25">
      <c r="A9" s="5">
        <f t="shared" si="3"/>
        <v>2031</v>
      </c>
      <c r="B9" s="49">
        <v>2661087</v>
      </c>
      <c r="C9" s="50">
        <v>5470340</v>
      </c>
      <c r="D9" s="50">
        <v>7348283</v>
      </c>
      <c r="E9" s="50">
        <v>5101501.5</v>
      </c>
      <c r="F9" s="50">
        <v>3467196</v>
      </c>
      <c r="G9" s="17">
        <f t="shared" si="0"/>
        <v>21387320.5</v>
      </c>
      <c r="H9" s="17">
        <f t="shared" si="1"/>
        <v>3051825.6067531444</v>
      </c>
      <c r="I9" s="17">
        <f t="shared" si="2"/>
        <v>18335494.893246856</v>
      </c>
    </row>
    <row r="10" spans="1:9" ht="15.75" customHeight="1" x14ac:dyDescent="0.25">
      <c r="A10" s="5">
        <f t="shared" si="3"/>
        <v>2032</v>
      </c>
      <c r="B10" s="49">
        <v>2696627</v>
      </c>
      <c r="C10" s="50">
        <v>5633988.4999999991</v>
      </c>
      <c r="D10" s="50">
        <v>7542555</v>
      </c>
      <c r="E10" s="50">
        <v>5268999</v>
      </c>
      <c r="F10" s="50">
        <v>3559075</v>
      </c>
      <c r="G10" s="17">
        <f t="shared" si="0"/>
        <v>22004617.5</v>
      </c>
      <c r="H10" s="17">
        <f t="shared" si="1"/>
        <v>3092584.0945680887</v>
      </c>
      <c r="I10" s="17">
        <f t="shared" si="2"/>
        <v>18912033.405431911</v>
      </c>
    </row>
    <row r="11" spans="1:9" ht="15.75" customHeight="1" x14ac:dyDescent="0.25">
      <c r="A11" s="5">
        <f t="shared" si="3"/>
        <v>2033</v>
      </c>
      <c r="B11" s="49">
        <v>2737070</v>
      </c>
      <c r="C11" s="50">
        <v>5795246.4999999991</v>
      </c>
      <c r="D11" s="50">
        <v>7737675.5</v>
      </c>
      <c r="E11" s="50">
        <v>5455316.5</v>
      </c>
      <c r="F11" s="50">
        <v>3642969</v>
      </c>
      <c r="G11" s="17">
        <f t="shared" si="0"/>
        <v>22631207.5</v>
      </c>
      <c r="H11" s="17">
        <f t="shared" si="1"/>
        <v>3138965.5105134966</v>
      </c>
      <c r="I11" s="17">
        <f t="shared" si="2"/>
        <v>19492241.989486504</v>
      </c>
    </row>
    <row r="12" spans="1:9" ht="15.75" customHeight="1" x14ac:dyDescent="0.25">
      <c r="A12" s="5">
        <f t="shared" si="3"/>
        <v>2034</v>
      </c>
      <c r="B12" s="49">
        <v>2783878</v>
      </c>
      <c r="C12" s="50">
        <v>5941306.5000000009</v>
      </c>
      <c r="D12" s="50">
        <v>7943202.5</v>
      </c>
      <c r="E12" s="50">
        <v>5663874</v>
      </c>
      <c r="F12" s="50">
        <v>3717155</v>
      </c>
      <c r="G12" s="17">
        <f t="shared" si="0"/>
        <v>23265538</v>
      </c>
      <c r="H12" s="17">
        <f t="shared" si="1"/>
        <v>3192646.5262040393</v>
      </c>
      <c r="I12" s="17">
        <f t="shared" si="2"/>
        <v>20072891.473795962</v>
      </c>
    </row>
    <row r="13" spans="1:9" ht="15.75" customHeight="1" x14ac:dyDescent="0.25">
      <c r="A13" s="5">
        <f t="shared" si="3"/>
        <v>2035</v>
      </c>
      <c r="B13" s="49">
        <v>2811205</v>
      </c>
      <c r="C13" s="50">
        <v>6077727.9999999991</v>
      </c>
      <c r="D13" s="50">
        <v>8151855</v>
      </c>
      <c r="E13" s="50">
        <v>5886503.5</v>
      </c>
      <c r="F13" s="50">
        <v>3782645.5</v>
      </c>
      <c r="G13" s="17">
        <f t="shared" si="0"/>
        <v>23898732</v>
      </c>
      <c r="H13" s="17">
        <f t="shared" si="1"/>
        <v>3223986.0646542083</v>
      </c>
      <c r="I13" s="17">
        <f t="shared" si="2"/>
        <v>20674745.935345791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Ln4sVQXMLi3qOq/LaE391zHyP93TzrgXWqLchWDla9R28eM3Y9vsdW3CtXbjlsgBm8S/bk5NDvTbVsWTqPx+qg==" saltValue="ryiDQlmH9nwPYGoNjoCus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3.0741955489755001E-3</v>
      </c>
    </row>
    <row r="4" spans="1:8" ht="15.75" customHeight="1" x14ac:dyDescent="0.25">
      <c r="B4" s="19" t="s">
        <v>97</v>
      </c>
      <c r="C4" s="101">
        <v>4.5714087306233192E-2</v>
      </c>
    </row>
    <row r="5" spans="1:8" ht="15.75" customHeight="1" x14ac:dyDescent="0.25">
      <c r="B5" s="19" t="s">
        <v>95</v>
      </c>
      <c r="C5" s="101">
        <v>6.2934905662831719E-2</v>
      </c>
    </row>
    <row r="6" spans="1:8" ht="15.75" customHeight="1" x14ac:dyDescent="0.25">
      <c r="B6" s="19" t="s">
        <v>91</v>
      </c>
      <c r="C6" s="101">
        <v>0.20706367546229029</v>
      </c>
    </row>
    <row r="7" spans="1:8" ht="15.75" customHeight="1" x14ac:dyDescent="0.25">
      <c r="B7" s="19" t="s">
        <v>96</v>
      </c>
      <c r="C7" s="101">
        <v>0.45319363919792882</v>
      </c>
    </row>
    <row r="8" spans="1:8" ht="15.75" customHeight="1" x14ac:dyDescent="0.25">
      <c r="B8" s="19" t="s">
        <v>98</v>
      </c>
      <c r="C8" s="101">
        <v>3.9374278179925862E-4</v>
      </c>
    </row>
    <row r="9" spans="1:8" ht="15.75" customHeight="1" x14ac:dyDescent="0.25">
      <c r="B9" s="19" t="s">
        <v>92</v>
      </c>
      <c r="C9" s="101">
        <v>0.12922187821010439</v>
      </c>
    </row>
    <row r="10" spans="1:8" ht="15.75" customHeight="1" x14ac:dyDescent="0.25">
      <c r="B10" s="19" t="s">
        <v>94</v>
      </c>
      <c r="C10" s="101">
        <v>9.8403875829836771E-2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0.1633072076199294</v>
      </c>
      <c r="D14" s="55">
        <v>0.1633072076199294</v>
      </c>
      <c r="E14" s="55">
        <v>0.1633072076199294</v>
      </c>
      <c r="F14" s="55">
        <v>0.1633072076199294</v>
      </c>
    </row>
    <row r="15" spans="1:8" ht="15.75" customHeight="1" x14ac:dyDescent="0.25">
      <c r="B15" s="19" t="s">
        <v>102</v>
      </c>
      <c r="C15" s="101">
        <v>0.40822241936014758</v>
      </c>
      <c r="D15" s="101">
        <v>0.40822241936014758</v>
      </c>
      <c r="E15" s="101">
        <v>0.40822241936014758</v>
      </c>
      <c r="F15" s="101">
        <v>0.40822241936014758</v>
      </c>
    </row>
    <row r="16" spans="1:8" ht="15.75" customHeight="1" x14ac:dyDescent="0.25">
      <c r="B16" s="19" t="s">
        <v>2</v>
      </c>
      <c r="C16" s="101">
        <v>2.46705865376926E-2</v>
      </c>
      <c r="D16" s="101">
        <v>2.46705865376926E-2</v>
      </c>
      <c r="E16" s="101">
        <v>2.46705865376926E-2</v>
      </c>
      <c r="F16" s="101">
        <v>2.46705865376926E-2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9.4156144041897885E-3</v>
      </c>
      <c r="D19" s="101">
        <v>9.4156144041897885E-3</v>
      </c>
      <c r="E19" s="101">
        <v>9.4156144041897885E-3</v>
      </c>
      <c r="F19" s="101">
        <v>9.4156144041897885E-3</v>
      </c>
    </row>
    <row r="20" spans="1:8" ht="15.75" customHeight="1" x14ac:dyDescent="0.25">
      <c r="B20" s="19" t="s">
        <v>79</v>
      </c>
      <c r="C20" s="101">
        <v>1.6199682475618121E-2</v>
      </c>
      <c r="D20" s="101">
        <v>1.6199682475618121E-2</v>
      </c>
      <c r="E20" s="101">
        <v>1.6199682475618121E-2</v>
      </c>
      <c r="F20" s="101">
        <v>1.6199682475618121E-2</v>
      </c>
    </row>
    <row r="21" spans="1:8" ht="15.75" customHeight="1" x14ac:dyDescent="0.25">
      <c r="B21" s="19" t="s">
        <v>88</v>
      </c>
      <c r="C21" s="101">
        <v>0.20382368632032299</v>
      </c>
      <c r="D21" s="101">
        <v>0.20382368632032299</v>
      </c>
      <c r="E21" s="101">
        <v>0.20382368632032299</v>
      </c>
      <c r="F21" s="101">
        <v>0.20382368632032299</v>
      </c>
    </row>
    <row r="22" spans="1:8" ht="15.75" customHeight="1" x14ac:dyDescent="0.25">
      <c r="B22" s="19" t="s">
        <v>99</v>
      </c>
      <c r="C22" s="101">
        <v>0.17436080328209949</v>
      </c>
      <c r="D22" s="101">
        <v>0.17436080328209949</v>
      </c>
      <c r="E22" s="101">
        <v>0.17436080328209949</v>
      </c>
      <c r="F22" s="101">
        <v>0.17436080328209949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5.4573182999999997E-2</v>
      </c>
    </row>
    <row r="27" spans="1:8" ht="15.75" customHeight="1" x14ac:dyDescent="0.25">
      <c r="B27" s="19" t="s">
        <v>89</v>
      </c>
      <c r="C27" s="101">
        <v>5.9409878999999999E-2</v>
      </c>
    </row>
    <row r="28" spans="1:8" ht="15.75" customHeight="1" x14ac:dyDescent="0.25">
      <c r="B28" s="19" t="s">
        <v>103</v>
      </c>
      <c r="C28" s="101">
        <v>0.12098242100000001</v>
      </c>
    </row>
    <row r="29" spans="1:8" ht="15.75" customHeight="1" x14ac:dyDescent="0.25">
      <c r="B29" s="19" t="s">
        <v>86</v>
      </c>
      <c r="C29" s="101">
        <v>0.13495797500000001</v>
      </c>
    </row>
    <row r="30" spans="1:8" ht="15.75" customHeight="1" x14ac:dyDescent="0.25">
      <c r="B30" s="19" t="s">
        <v>4</v>
      </c>
      <c r="C30" s="101">
        <v>8.1454253000000018E-2</v>
      </c>
    </row>
    <row r="31" spans="1:8" ht="15.75" customHeight="1" x14ac:dyDescent="0.25">
      <c r="B31" s="19" t="s">
        <v>80</v>
      </c>
      <c r="C31" s="101">
        <v>6.5903797E-2</v>
      </c>
    </row>
    <row r="32" spans="1:8" ht="15.75" customHeight="1" x14ac:dyDescent="0.25">
      <c r="B32" s="19" t="s">
        <v>85</v>
      </c>
      <c r="C32" s="101">
        <v>0.13216685</v>
      </c>
    </row>
    <row r="33" spans="2:3" ht="15.75" customHeight="1" x14ac:dyDescent="0.25">
      <c r="B33" s="19" t="s">
        <v>100</v>
      </c>
      <c r="C33" s="101">
        <v>0.12743632599999999</v>
      </c>
    </row>
    <row r="34" spans="2:3" ht="15.75" customHeight="1" x14ac:dyDescent="0.25">
      <c r="B34" s="19" t="s">
        <v>87</v>
      </c>
      <c r="C34" s="101">
        <v>0.22311531600000001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FQ9RwSET2IVhx/wNA5DRo43K/62eLN/a/ipKLIEAVrpl2fVuZZGq999KEWTYfsEKyN1G0felk5HKHIfDWYBYkw==" saltValue="frYrBFGWuB/iKw7KsQk0c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0.69269518779269001</v>
      </c>
      <c r="D2" s="52">
        <f>IFERROR(1-_xlfn.NORM.DIST(_xlfn.NORM.INV(SUM(D4:D5), 0, 1) + 1, 0, 1, TRUE), "")</f>
        <v>0.69269518779269001</v>
      </c>
      <c r="E2" s="52">
        <f>IFERROR(1-_xlfn.NORM.DIST(_xlfn.NORM.INV(SUM(E4:E5), 0, 1) + 1, 0, 1, TRUE), "")</f>
        <v>0.68353608890151563</v>
      </c>
      <c r="F2" s="52">
        <f>IFERROR(1-_xlfn.NORM.DIST(_xlfn.NORM.INV(SUM(F4:F5), 0, 1) + 1, 0, 1, TRUE), "")</f>
        <v>0.47013527764712237</v>
      </c>
      <c r="G2" s="52">
        <f>IFERROR(1-_xlfn.NORM.DIST(_xlfn.NORM.INV(SUM(G4:G5), 0, 1) + 1, 0, 1, TRUE), "")</f>
        <v>0.42555735724829358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0.24095031220731</v>
      </c>
      <c r="D3" s="52">
        <f>IFERROR(_xlfn.NORM.DIST(_xlfn.NORM.INV(SUM(D4:D5), 0, 1) + 1, 0, 1, TRUE) - SUM(D4:D5), "")</f>
        <v>0.24095031220731</v>
      </c>
      <c r="E3" s="52">
        <f>IFERROR(_xlfn.NORM.DIST(_xlfn.NORM.INV(SUM(E4:E5), 0, 1) + 1, 0, 1, TRUE) - SUM(E4:E5), "")</f>
        <v>0.24670781109848439</v>
      </c>
      <c r="F3" s="52">
        <f>IFERROR(_xlfn.NORM.DIST(_xlfn.NORM.INV(SUM(F4:F5), 0, 1) + 1, 0, 1, TRUE) - SUM(F4:F5), "")</f>
        <v>0.3524000223528776</v>
      </c>
      <c r="G3" s="52">
        <f>IFERROR(_xlfn.NORM.DIST(_xlfn.NORM.INV(SUM(G4:G5), 0, 1) + 1, 0, 1, TRUE) - SUM(G4:G5), "")</f>
        <v>0.36613394275170641</v>
      </c>
    </row>
    <row r="4" spans="1:15" ht="15.75" customHeight="1" x14ac:dyDescent="0.25">
      <c r="B4" s="5" t="s">
        <v>110</v>
      </c>
      <c r="C4" s="45">
        <v>5.35565E-2</v>
      </c>
      <c r="D4" s="53">
        <v>5.35565E-2</v>
      </c>
      <c r="E4" s="53">
        <v>5.1997099999999997E-2</v>
      </c>
      <c r="F4" s="53">
        <v>0.1270577</v>
      </c>
      <c r="G4" s="53">
        <v>0.15624679999999999</v>
      </c>
    </row>
    <row r="5" spans="1:15" ht="15.75" customHeight="1" x14ac:dyDescent="0.25">
      <c r="B5" s="5" t="s">
        <v>106</v>
      </c>
      <c r="C5" s="45">
        <v>1.2798E-2</v>
      </c>
      <c r="D5" s="53">
        <v>1.2798E-2</v>
      </c>
      <c r="E5" s="53">
        <v>1.7759E-2</v>
      </c>
      <c r="F5" s="53">
        <v>5.0407E-2</v>
      </c>
      <c r="G5" s="53">
        <v>5.2061900000000001E-2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0.53697548759743674</v>
      </c>
      <c r="D8" s="52">
        <f>IFERROR(1-_xlfn.NORM.DIST(_xlfn.NORM.INV(SUM(D10:D11), 0, 1) + 1, 0, 1, TRUE), "")</f>
        <v>0.53697548759743674</v>
      </c>
      <c r="E8" s="52">
        <f>IFERROR(1-_xlfn.NORM.DIST(_xlfn.NORM.INV(SUM(E10:E11), 0, 1) + 1, 0, 1, TRUE), "")</f>
        <v>0.60945313934775447</v>
      </c>
      <c r="F8" s="52">
        <f>IFERROR(1-_xlfn.NORM.DIST(_xlfn.NORM.INV(SUM(F10:F11), 0, 1) + 1, 0, 1, TRUE), "")</f>
        <v>0.67786541738420714</v>
      </c>
      <c r="G8" s="52">
        <f>IFERROR(1-_xlfn.NORM.DIST(_xlfn.NORM.INV(SUM(G10:G11), 0, 1) + 1, 0, 1, TRUE), "")</f>
        <v>0.81277360377809094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0.32578741240256326</v>
      </c>
      <c r="D9" s="52">
        <f>IFERROR(_xlfn.NORM.DIST(_xlfn.NORM.INV(SUM(D10:D11), 0, 1) + 1, 0, 1, TRUE) - SUM(D10:D11), "")</f>
        <v>0.32578741240256326</v>
      </c>
      <c r="E9" s="52">
        <f>IFERROR(_xlfn.NORM.DIST(_xlfn.NORM.INV(SUM(E10:E11), 0, 1) + 1, 0, 1, TRUE) - SUM(E10:E11), "")</f>
        <v>0.28990346065224554</v>
      </c>
      <c r="F9" s="52">
        <f>IFERROR(_xlfn.NORM.DIST(_xlfn.NORM.INV(SUM(F10:F11), 0, 1) + 1, 0, 1, TRUE) - SUM(F10:F11), "")</f>
        <v>0.25022808261579293</v>
      </c>
      <c r="G9" s="52">
        <f>IFERROR(_xlfn.NORM.DIST(_xlfn.NORM.INV(SUM(G10:G11), 0, 1) + 1, 0, 1, TRUE) - SUM(G10:G11), "")</f>
        <v>0.15772439622190906</v>
      </c>
    </row>
    <row r="10" spans="1:15" ht="15.75" customHeight="1" x14ac:dyDescent="0.25">
      <c r="B10" s="5" t="s">
        <v>107</v>
      </c>
      <c r="C10" s="45">
        <v>8.0079399999999995E-2</v>
      </c>
      <c r="D10" s="53">
        <v>8.0079399999999995E-2</v>
      </c>
      <c r="E10" s="53">
        <v>6.7815399999999998E-2</v>
      </c>
      <c r="F10" s="53">
        <v>5.0678099999999997E-2</v>
      </c>
      <c r="G10" s="53">
        <v>2.08116E-2</v>
      </c>
    </row>
    <row r="11" spans="1:15" ht="15.75" customHeight="1" x14ac:dyDescent="0.25">
      <c r="B11" s="5" t="s">
        <v>119</v>
      </c>
      <c r="C11" s="45">
        <v>5.7157699999999999E-2</v>
      </c>
      <c r="D11" s="53">
        <v>5.7157699999999999E-2</v>
      </c>
      <c r="E11" s="53">
        <v>3.2828000000000003E-2</v>
      </c>
      <c r="F11" s="53">
        <v>2.1228400000000001E-2</v>
      </c>
      <c r="G11" s="53">
        <v>8.6904000000000009E-3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0.90404206074999993</v>
      </c>
      <c r="D14" s="54">
        <v>0.87950470141100001</v>
      </c>
      <c r="E14" s="54">
        <v>0.87950470141100001</v>
      </c>
      <c r="F14" s="54">
        <v>0.57788545592399998</v>
      </c>
      <c r="G14" s="54">
        <v>0.57788545592399998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0.30299999999999999</v>
      </c>
      <c r="M14" s="55">
        <v>0.30299999999999999</v>
      </c>
      <c r="N14" s="55">
        <v>0.30299999999999999</v>
      </c>
      <c r="O14" s="55">
        <v>0.30299999999999999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0.53090231634368046</v>
      </c>
      <c r="D15" s="52">
        <f t="shared" si="0"/>
        <v>0.5164926539224155</v>
      </c>
      <c r="E15" s="52">
        <f t="shared" si="0"/>
        <v>0.5164926539224155</v>
      </c>
      <c r="F15" s="52">
        <f t="shared" si="0"/>
        <v>0.3393655455331927</v>
      </c>
      <c r="G15" s="52">
        <f t="shared" si="0"/>
        <v>0.3393655455331927</v>
      </c>
      <c r="H15" s="52">
        <f t="shared" si="0"/>
        <v>0.19673009000000002</v>
      </c>
      <c r="I15" s="52">
        <f t="shared" si="0"/>
        <v>0.19673009000000002</v>
      </c>
      <c r="J15" s="52">
        <f t="shared" si="0"/>
        <v>0.19673009000000002</v>
      </c>
      <c r="K15" s="52">
        <f t="shared" si="0"/>
        <v>0.19673009000000002</v>
      </c>
      <c r="L15" s="52">
        <f t="shared" si="0"/>
        <v>0.17793796200000001</v>
      </c>
      <c r="M15" s="52">
        <f t="shared" si="0"/>
        <v>0.17793796200000001</v>
      </c>
      <c r="N15" s="52">
        <f t="shared" si="0"/>
        <v>0.17793796200000001</v>
      </c>
      <c r="O15" s="52">
        <f t="shared" si="0"/>
        <v>0.17793796200000001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cHiYWdNdpMg3HSqdGkfuxZC5EjeptOqKeK+fyzpZqlDt2wZTLF/NRcWwTvJGGPvRCnS4mEBvVAkhjM5Wf5vPA==" saltValue="mrUTg96nwECa0cELupI3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0.55160949999999997</v>
      </c>
      <c r="D2" s="53">
        <v>0.31436900000000001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0.26624439999999999</v>
      </c>
      <c r="D3" s="53">
        <v>0.36587259999999999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0.12542239999999999</v>
      </c>
      <c r="D4" s="53">
        <v>0.27279639999999999</v>
      </c>
      <c r="E4" s="53">
        <v>0.90193730000000005</v>
      </c>
      <c r="F4" s="53">
        <v>0.57143710000000003</v>
      </c>
      <c r="G4" s="53">
        <v>0</v>
      </c>
    </row>
    <row r="5" spans="1:7" x14ac:dyDescent="0.25">
      <c r="B5" s="3" t="s">
        <v>125</v>
      </c>
      <c r="C5" s="52">
        <v>5.6723700000000002E-2</v>
      </c>
      <c r="D5" s="52">
        <v>4.6961899999999987E-2</v>
      </c>
      <c r="E5" s="52">
        <f>1-SUM(E2:E4)</f>
        <v>9.8062699999999947E-2</v>
      </c>
      <c r="F5" s="52">
        <f>1-SUM(F2:F4)</f>
        <v>0.42856289999999997</v>
      </c>
      <c r="G5" s="52">
        <f>1-SUM(G2:G4)</f>
        <v>1</v>
      </c>
    </row>
  </sheetData>
  <sheetProtection algorithmName="SHA-512" hashValue="D7/EIW2GQtPQlv6W3HSwXhKXe4t4leBw8FTnWfeJJw9Svz9eoxvop197Y6ZDJfbt3/kmH9iFxJdjNL4tEjUlQw==" saltValue="2yD06Saa+za5J/AndMV+q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osdRTmKy9ABDjWY0Zrh2GigcHImfHelgzWIyAp5SeQEQTSizbI6e4N6cVSdptFC0WK0b7231h7sUn6UySMKUA==" saltValue="f2IfTp3dIt81av9NcLTqn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q0IcXOs/PhvF+Sew5ULT5jNc2fpmAsxqsw899xVPA/IiSCB8dELzEQXQnl1K8iSSMHexFthbjOdL9UZDtBzNfA==" saltValue="ahjbWvn5UFgpGgjGVSwa+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+6umtmSAU+TlZb/hKv7vxV8NspqRYLCK1Bvftv+YgipA6pcq4Unya8fkKD1j9qaQ2P8c8wu4e4n+Szma40AuSw==" saltValue="LCxEoCKgoEAuk/sWJdmR/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l+eaMyYik9AtBTD6twxzg3d55bCuEW+eCy0DtjD9Ycf6kkgr3RPwvVG1pGzdTlPCAwCBBQfvomS0l0iyRsOlKA==" saltValue="eaI8NcU5WA8OYMb1UgSgV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46.430010640794293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12.72892325046246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0.21403234422682621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0.46280465114316638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0.78848199824391296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0.5</v>
      </c>
      <c r="C9" s="98">
        <v>0.95</v>
      </c>
      <c r="D9" s="56">
        <v>0.41709554979569308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2.19022E-2</v>
      </c>
      <c r="C10" s="98">
        <v>0.95</v>
      </c>
      <c r="D10" s="56">
        <v>14.21292537547621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14.21292537547621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14.21292537547621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14.21292537547621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2.19022E-2</v>
      </c>
      <c r="C14" s="98">
        <v>0.95</v>
      </c>
      <c r="D14" s="56">
        <v>14.21292537547621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14.21292537547621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2.4996741559535431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0.23</v>
      </c>
      <c r="C18" s="98">
        <v>0.95</v>
      </c>
      <c r="D18" s="56">
        <v>12.72892325046246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0.31436900000000001</v>
      </c>
      <c r="C19" s="98">
        <v>0.95</v>
      </c>
      <c r="D19" s="56">
        <v>12.72892325046246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10.471935905766539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24.240556138631131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1.96765E-2</v>
      </c>
      <c r="C23" s="98">
        <v>0.95</v>
      </c>
      <c r="D23" s="56">
        <v>4.6734447573928826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0.63038645218564004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2.19022E-2</v>
      </c>
      <c r="C26" s="98">
        <v>0.95</v>
      </c>
      <c r="D26" s="56">
        <v>5.6424683617397928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21.89373473422777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0.61705699999999997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0.22507530000000001</v>
      </c>
      <c r="C29" s="98">
        <v>0.95</v>
      </c>
      <c r="D29" s="56">
        <v>88.005851455993124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109.2090650659315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0.95</v>
      </c>
      <c r="C32" s="98">
        <v>0.95</v>
      </c>
      <c r="D32" s="56">
        <v>0.48537362251525101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0.72953559999999995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0.52023419999999998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2.6733799999999999E-2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0.65150499999999989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0.19674449999999999</v>
      </c>
      <c r="C38" s="98">
        <v>0.95</v>
      </c>
      <c r="D38" s="56">
        <v>6.7102903312733444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rTWrNbNyhxOfFjpU6fRtlmYGXtrYqNomBXiL3im8jRZ7vDBNYlRHOpNmRj1es389CzfIVDiEtwVO87VfBbJ2GQ==" saltValue="qZhb5RvNJx62YeF6V/O9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kvniHUjr0/h9dOGniRQ/QmzM/cBIlYFIjIR6GTJ6nU4GTyW78Cv4OfuuNQ2nV3+yt0/wkW9dZTfHa7mGBsi80A==" saltValue="HKDTQqIJIJavc8LjmyeCy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JoZ1H9udP0KOlxOVyvjYyUmtK2HDhWBfjUF+A3lcW4wNUlNN2PqLtX165TsqGvpR3+GP9wyGpuq0HMDMaz+pHg==" saltValue="LR7pF77svqAhlTPkx65Kz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0.20820643999999999</v>
      </c>
      <c r="C3" s="21">
        <f>frac_mam_1_5months * 2.6</f>
        <v>0.20820643999999999</v>
      </c>
      <c r="D3" s="21">
        <f>frac_mam_6_11months * 2.6</f>
        <v>0.17632004000000001</v>
      </c>
      <c r="E3" s="21">
        <f>frac_mam_12_23months * 2.6</f>
        <v>0.13176305999999999</v>
      </c>
      <c r="F3" s="21">
        <f>frac_mam_24_59months * 2.6</f>
        <v>5.4110159999999997E-2</v>
      </c>
    </row>
    <row r="4" spans="1:6" ht="15.75" customHeight="1" x14ac:dyDescent="0.25">
      <c r="A4" s="3" t="s">
        <v>207</v>
      </c>
      <c r="B4" s="21">
        <f>frac_sam_1month * 2.6</f>
        <v>0.14861002000000001</v>
      </c>
      <c r="C4" s="21">
        <f>frac_sam_1_5months * 2.6</f>
        <v>0.14861002000000001</v>
      </c>
      <c r="D4" s="21">
        <f>frac_sam_6_11months * 2.6</f>
        <v>8.5352800000000006E-2</v>
      </c>
      <c r="E4" s="21">
        <f>frac_sam_12_23months * 2.6</f>
        <v>5.5193840000000008E-2</v>
      </c>
      <c r="F4" s="21">
        <f>frac_sam_24_59months * 2.6</f>
        <v>2.2595040000000004E-2</v>
      </c>
    </row>
  </sheetData>
  <sheetProtection algorithmName="SHA-512" hashValue="VlhHYLMelck1g7PeoeM5RYyZLOEc/Jnb6pPowr+LlA+ILoGHQT8f8jO4SZEXvQyrvt/Pe23sn2W8kjj7+gmzQg==" saltValue="HWNJv9vW6nBuRAfjQ0C2x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4.8000000000000001E-2</v>
      </c>
      <c r="E2" s="60">
        <f>food_insecure</f>
        <v>4.8000000000000001E-2</v>
      </c>
      <c r="F2" s="60">
        <f>food_insecure</f>
        <v>4.8000000000000001E-2</v>
      </c>
      <c r="G2" s="60">
        <f>food_insecure</f>
        <v>4.8000000000000001E-2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4.8000000000000001E-2</v>
      </c>
      <c r="F5" s="60">
        <f>food_insecure</f>
        <v>4.8000000000000001E-2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4.8000000000000001E-2</v>
      </c>
      <c r="F8" s="60">
        <f>food_insecure</f>
        <v>4.8000000000000001E-2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4.8000000000000001E-2</v>
      </c>
      <c r="F9" s="60">
        <f>food_insecure</f>
        <v>4.8000000000000001E-2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4.8000000000000001E-2</v>
      </c>
      <c r="I15" s="60">
        <f>food_insecure</f>
        <v>4.8000000000000001E-2</v>
      </c>
      <c r="J15" s="60">
        <f>food_insecure</f>
        <v>4.8000000000000001E-2</v>
      </c>
      <c r="K15" s="60">
        <f>food_insecure</f>
        <v>4.8000000000000001E-2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0.47099999999999997</v>
      </c>
      <c r="M24" s="60">
        <f>famplan_unmet_need</f>
        <v>0.47099999999999997</v>
      </c>
      <c r="N24" s="60">
        <f>famplan_unmet_need</f>
        <v>0.47099999999999997</v>
      </c>
      <c r="O24" s="60">
        <f>famplan_unmet_need</f>
        <v>0.47099999999999997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0.38290765854644748</v>
      </c>
      <c r="M25" s="60">
        <f>(1-food_insecure)*(0.49)+food_insecure*(0.7)</f>
        <v>0.50007999999999997</v>
      </c>
      <c r="N25" s="60">
        <f>(1-food_insecure)*(0.49)+food_insecure*(0.7)</f>
        <v>0.50007999999999997</v>
      </c>
      <c r="O25" s="60">
        <f>(1-food_insecure)*(0.49)+food_insecure*(0.7)</f>
        <v>0.50007999999999997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0.16410328223419177</v>
      </c>
      <c r="M26" s="60">
        <f>(1-food_insecure)*(0.21)+food_insecure*(0.3)</f>
        <v>0.21431999999999998</v>
      </c>
      <c r="N26" s="60">
        <f>(1-food_insecure)*(0.21)+food_insecure*(0.3)</f>
        <v>0.21431999999999998</v>
      </c>
      <c r="O26" s="60">
        <f>(1-food_insecure)*(0.21)+food_insecure*(0.3)</f>
        <v>0.21431999999999998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0.21868186546325669</v>
      </c>
      <c r="M27" s="60">
        <f>(1-food_insecure)*(0.3)</f>
        <v>0.28559999999999997</v>
      </c>
      <c r="N27" s="60">
        <f>(1-food_insecure)*(0.3)</f>
        <v>0.28559999999999997</v>
      </c>
      <c r="O27" s="60">
        <f>(1-food_insecure)*(0.3)</f>
        <v>0.28559999999999997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0.23430719375610398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4114IWSgJIvbNPqjdjoTe6n0GhIDEDX5stgLvM/BPkzBU911YM8QFk+QqjN+kI10Ah+73QP6s1qg2aTUe7BBQ==" saltValue="8RGqnc3jpw/3ZYqFs5XfD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r5mqOqq1EDybW50wb5Vhjk49LCvfLqXqQVLh+lI8aWfJ8ldk4O8PYzKVkRA3nkYnEJMQakxRCmKY9XzefYTeqQ==" saltValue="Y7kcU1COklI4job07Zqo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ycjFLrAKacFTk7HJ2lz0HXINFf+TjCzxldvwTGWtQWj5q+uFchmXi6ev8g2PKq2y/0RnkuZ2GCRLENWSScmHbA==" saltValue="K3ukQ9aJV6HuPDK0XwXLU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Cl2jw648hcmkftMl+p+Rj0N/OS/osIFFXvayYwH/k9/spMovGZEwvAngb4DcdZKZ7aq0NMy3D5nowPwrlFxWw==" saltValue="nN7ejcUkh/iUCsUmWF98b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rYD+U6A5Gh4cBJKnm8ZTOdpLfgPzdFkHYzqYDX5GGy0WcIrx3N4s4gx6h53xrQ6vt8K1qND6myJvkom96JtjWg==" saltValue="rmq5o52bWtLO1c7igqtxH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yln1MVeW9GcgVw3QKVfpq1ublv+pzIn/QYUTnS5gjOOPHOwYMUTwHIR/EUZzeIoSEjuucyMhV5UfmYmEihSxbg==" saltValue="H3fe4mbehpEkSDtUfyCux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9StQXo7+wwmAgTizCCVnWCF1wkidal+bbNW51ANRXB36fzIIg7QEB9OE+GyNzwyx24W2TtZPIvkT4dAZbj5atg==" saltValue="wH4X12Myq6K9Wii4O6VZW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EqU0QWjbUUMTTLcEJh7j58FI7AK8HSke8yJhtMr2gby5FrvCCs9CFaDj4ye90xVrzF2dyki0gUt46dX988ikXA==" saltValue="8JGRkYMZI/CrvLW1pM8q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ece+mXCYt4Tsatsn9SeZwy1Sn1F4mdu8hdfzkGCBwRMy4chsc+lWDwUUXI8nnYAIpr6TSytWTAtlxsR08iyHw==" saltValue="MAEqMGIGIJuP/r9cP+pf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LSBqjAxP5qn04Kmybhi+oczEf7OQWObWuRu/S/q1zmQcBm3BqKBWs2VX6ctijZAOvB+4S6rrVnWi2TIAakAyFQ==" saltValue="oizgCDlgCrVubDITVH/l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imr3bbOX70yO/QwmTfjYVOQWxYg16K+6wC+er7Nt2GSRDMjujEQwAtM/r5/a4hxMQZGyCWLUUmiRrqVlScRV/g==" saltValue="qX9ZfsL7RUQwVKhLf2QW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2t8VoMwdRodKIsIdKQMrqKf1Zj2MxoSSznPnIxaBOoD+dmKqT5PEXVJaAB1RrB15kR/Zu0gmPtwgQ0fCZX9sPQ==" saltValue="gO6m9DQP0lKoRuowi55+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/iOv+aoGtPhXEg2XhpHR9aIu7Oob0OJP+/Hm3K7HjXEVE5fie0WDfmf5AS8P4GqK8DWE0QTY2R581MpaWOtFfA==" saltValue="iXrHOyJba+EVlfWCIGKQa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0.1067744912297901</v>
      </c>
      <c r="G18" s="90">
        <f>MIN(MAX(1-0.89/(1-frac_sam_12_23months+(frac_sam_12_23months*0.89)),0),1)</f>
        <v>0.1079168752854841</v>
      </c>
      <c r="H18" s="90">
        <f>MIN(MAX(1-0.89/(1-frac_sam_24_59months+(frac_sam_24_59months*0.89)),0),1)</f>
        <v>0.10914839575403068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0.10331097425478253</v>
      </c>
      <c r="G20" s="90">
        <f>MIN(MAX(1-0.89/(1-frac_mam_12_23months+(frac_mam_12_23months*0.89)),0),1)</f>
        <v>0.1050108012676495</v>
      </c>
      <c r="H20" s="90">
        <f>MIN(MAX(1-0.89/(1-frac_mam_24_59months+(frac_mam_24_59months*0.89)),0),1)</f>
        <v>0.10795786935933538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9.6748960748834767E-3</v>
      </c>
      <c r="G73" s="90">
        <f>MIN(MAX(1-0.99/(1-frac_sam_12_23months+(frac_sam_12_23months*0.99)),0),1)</f>
        <v>9.7897942166754737E-3</v>
      </c>
      <c r="H73" s="90">
        <f>MIN(MAX(1-0.99/(1-frac_sam_24_59months+(frac_sam_24_59months*0.99)),0),1)</f>
        <v>9.9139575625680765E-3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9.3281719371118843E-3</v>
      </c>
      <c r="G75" s="90">
        <f>MIN(MAX(1-0.99/(1-frac_mam_12_23months+(frac_mam_12_23months*0.99)),0),1)</f>
        <v>9.4980324223691293E-3</v>
      </c>
      <c r="H75" s="90">
        <f>MIN(MAX(1-0.99/(1-frac_mam_24_59months+(frac_mam_24_59months*0.99)),0),1)</f>
        <v>9.7939222719275465E-3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0.19471280640171107</v>
      </c>
      <c r="G128" s="90">
        <f>MIN(MAX(1-0.8/(1-frac_sam_12_23months+(frac_sam_12_23months*0.8)),0),1)</f>
        <v>0.19658897387459984</v>
      </c>
      <c r="H128" s="90">
        <f>MIN(MAX(1-0.8/(1-frac_sam_24_59months+(frac_sam_24_59months*0.8)),0),1)</f>
        <v>0.19860711505453399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0.18900034682400169</v>
      </c>
      <c r="G130" s="90">
        <f>MIN(MAX(1-0.8/(1-frac_mam_12_23months+(frac_mam_12_23months*0.8)),0),1)</f>
        <v>0.19180847784420729</v>
      </c>
      <c r="H130" s="90">
        <f>MIN(MAX(1-0.8/(1-frac_mam_24_59months+(frac_mam_24_59months*0.8)),0),1)</f>
        <v>0.19665622614320033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ingTX6cdrTWJ5HRYXGQMk3FFoxU5XeCXUezsCY46cvxV6KSAfEyS7s7GphxiwIW84+yK+BlE9PN1iIyzWwu7Kw==" saltValue="wdns7+e4/mvcwt6LBMFB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LvJNDXr+cvfEdNpcmi4fWRGZTwW70Un7g/Gn3Oorr7G8XQKiCCk4HS5FDcqWnAjybuxgyFPn8f/5AHHGsIUmJw==" saltValue="rishHOxfhwpn0kFhIMe9b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2024-08-06T08:28:08Z</dcterms:modified>
</cp:coreProperties>
</file>