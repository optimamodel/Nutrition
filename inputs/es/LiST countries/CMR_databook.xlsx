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898E7D2-493A-4B5A-B555-FFCE198F2C6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I3" i="2"/>
  <c r="I11" i="2"/>
  <c r="A35" i="2"/>
  <c r="A22" i="2"/>
  <c r="A36" i="2"/>
  <c r="I4" i="2"/>
  <c r="I8" i="2"/>
  <c r="A25" i="2"/>
  <c r="A26" i="2"/>
  <c r="I39" i="2"/>
  <c r="A31" i="2"/>
  <c r="A34" i="2"/>
  <c r="A40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<sst xmlns="http://schemas.openxmlformats.org/spreadsheetml/2006/main" count="2159" uniqueCount="372">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</sst>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4443698</v>
      </c>
    </row>
    <row r="8" spans="1:3" ht="15" customHeight="1" x14ac:dyDescent="0.25">
      <c r="B8" s="5" t="s">
        <v>63</v>
      </c>
      <c r="C8" s="44">
        <v>0.499</v>
      </c>
    </row>
    <row r="9" spans="1:3" ht="15" customHeight="1" x14ac:dyDescent="0.25">
      <c r="B9" s="5" t="s">
        <v>62</v>
      </c>
      <c r="C9" s="45">
        <v>0.74</v>
      </c>
    </row>
    <row r="10" spans="1:3" ht="15" customHeight="1" x14ac:dyDescent="0.25">
      <c r="B10" s="5" t="s">
        <v>75</v>
      </c>
      <c r="C10" s="45">
        <v>0.4087461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0.11650000000000001</v>
      </c>
    </row>
    <row r="24" spans="1:3" ht="15" customHeight="1" x14ac:dyDescent="0.25">
      <c r="B24" s="15" t="s">
        <v>65</v>
      </c>
      <c r="C24" s="45">
        <v>0.45839999999999997</v>
      </c>
    </row>
    <row r="25" spans="1:3" ht="15" customHeight="1" x14ac:dyDescent="0.25">
      <c r="B25" s="15" t="s">
        <v>66</v>
      </c>
      <c r="C25" s="45">
        <v>0.35239999999999999</v>
      </c>
    </row>
    <row r="26" spans="1:3" ht="15" customHeight="1" x14ac:dyDescent="0.25">
      <c r="B26" s="15" t="s">
        <v>67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0.22859451908270501</v>
      </c>
    </row>
    <row r="30" spans="1:3" ht="14.25" customHeight="1" x14ac:dyDescent="0.25">
      <c r="B30" s="25" t="s">
        <v>82</v>
      </c>
      <c r="C30" s="99">
        <v>6.8320687947238098E-2</v>
      </c>
    </row>
    <row r="31" spans="1:3" ht="14.25" customHeight="1" x14ac:dyDescent="0.25">
      <c r="B31" s="25" t="s">
        <v>29</v>
      </c>
      <c r="C31" s="99">
        <v>0.126664645857306</v>
      </c>
    </row>
    <row r="32" spans="1:3" ht="14.25" customHeight="1" x14ac:dyDescent="0.25">
      <c r="B32" s="25" t="s">
        <v>30</v>
      </c>
      <c r="C32" s="99">
        <v>0.57642014711275102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25.642800000000001</v>
      </c>
    </row>
    <row r="38" spans="1:5" ht="15" customHeight="1" x14ac:dyDescent="0.25">
      <c r="B38" s="11" t="s">
        <v>54</v>
      </c>
      <c r="C38" s="43">
        <v>46.950699999999998</v>
      </c>
      <c r="D38" s="12"/>
      <c r="E38" s="13"/>
    </row>
    <row r="39" spans="1:5" ht="15" customHeight="1" x14ac:dyDescent="0.25">
      <c r="B39" s="11" t="s">
        <v>80</v>
      </c>
      <c r="C39" s="43">
        <v>69.788030000000006</v>
      </c>
      <c r="D39" s="12"/>
      <c r="E39" s="12"/>
    </row>
    <row r="40" spans="1:5" ht="15" customHeight="1" x14ac:dyDescent="0.25">
      <c r="B40" s="11" t="s">
        <v>55</v>
      </c>
      <c r="C40" s="100">
        <v>4.38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7.9480999999999996E-3</v>
      </c>
      <c r="D45" s="12"/>
    </row>
    <row r="46" spans="1:5" ht="15.75" customHeight="1" x14ac:dyDescent="0.25">
      <c r="B46" s="11" t="s">
        <v>70</v>
      </c>
      <c r="C46" s="45">
        <v>8.5401100000000008E-2</v>
      </c>
      <c r="D46" s="12"/>
    </row>
    <row r="47" spans="1:5" ht="15.75" customHeight="1" x14ac:dyDescent="0.25">
      <c r="B47" s="11" t="s">
        <v>78</v>
      </c>
      <c r="C47" s="45">
        <v>7.3442199999999999E-2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1.3</v>
      </c>
      <c r="D51" s="12"/>
    </row>
    <row r="52" spans="1:4" ht="15" customHeight="1" x14ac:dyDescent="0.25">
      <c r="B52" s="11" t="s">
        <v>32</v>
      </c>
      <c r="C52" s="100">
        <v>1.3</v>
      </c>
    </row>
    <row r="53" spans="1:4" ht="15.75" customHeight="1" x14ac:dyDescent="0.25">
      <c r="B53" s="11" t="s">
        <v>35</v>
      </c>
      <c r="C53" s="100">
        <v>5.3039999999999994</v>
      </c>
    </row>
    <row r="54" spans="1:4" ht="15.75" customHeight="1" x14ac:dyDescent="0.25">
      <c r="B54" s="11" t="s">
        <v>33</v>
      </c>
      <c r="C54" s="100">
        <v>5.4860000000000007</v>
      </c>
    </row>
    <row r="55" spans="1:4" ht="15.75" customHeight="1" x14ac:dyDescent="0.25">
      <c r="B55" s="11" t="s">
        <v>34</v>
      </c>
      <c r="C55" s="100">
        <v>2.253333333333333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0.45496999999999999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0.11961432</v>
      </c>
    </row>
    <row r="63" spans="1:4" ht="15.75" customHeight="1" x14ac:dyDescent="0.3">
      <c r="A63" s="4"/>
    </row>
  </sheetData>
  <sheetProtection algorithmName="SHA-512" hashValue="FSqeA0SzpEdjPdUyAk8Xg6AQDxWsTLAveT0IaVjQQeXe2e+j5WUD6/NCylQhC77Xo+8xNYXkNX8KAH5BH9jbow==" saltValue="dg3vv+8j31J8/VeifTo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75Litog2ILJbTe4SWXv3CxmwM+MMwj3IwUUCJUCkK3u8tKNn0V1TjSB2z4gCC03+pEgWlxKI7XNu42bTDjVag==" saltValue="D5kpkR8Nl+WcFIc4r1u2d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1.143080228616046E-2</v>
      </c>
    </row>
    <row r="4" spans="1:8" ht="15.75" customHeight="1" x14ac:dyDescent="0.25">
      <c r="B4" s="19" t="s">
        <v>116</v>
      </c>
      <c r="C4" s="101">
        <v>6.6053313210662781E-2</v>
      </c>
    </row>
    <row r="5" spans="1:8" ht="15.75" customHeight="1" x14ac:dyDescent="0.25">
      <c r="B5" s="19" t="s">
        <v>114</v>
      </c>
      <c r="C5" s="101">
        <v>9.1041518208303807E-2</v>
      </c>
    </row>
    <row r="6" spans="1:8" ht="15.75" customHeight="1" x14ac:dyDescent="0.25">
      <c r="B6" s="19" t="s">
        <v>110</v>
      </c>
      <c r="C6" s="101">
        <v>0.2565140513028103</v>
      </c>
    </row>
    <row r="7" spans="1:8" ht="15.75" customHeight="1" x14ac:dyDescent="0.25">
      <c r="B7" s="19" t="s">
        <v>115</v>
      </c>
      <c r="C7" s="101">
        <v>0.39185437837087522</v>
      </c>
    </row>
    <row r="8" spans="1:8" ht="15.75" customHeight="1" x14ac:dyDescent="0.25">
      <c r="B8" s="19" t="s">
        <v>117</v>
      </c>
      <c r="C8" s="101">
        <v>2.516000503200104E-3</v>
      </c>
    </row>
    <row r="9" spans="1:8" ht="15.75" customHeight="1" x14ac:dyDescent="0.25">
      <c r="B9" s="19" t="s">
        <v>111</v>
      </c>
      <c r="C9" s="101">
        <v>6.3182812636562474E-2</v>
      </c>
    </row>
    <row r="10" spans="1:8" ht="15.75" customHeight="1" x14ac:dyDescent="0.25">
      <c r="B10" s="19" t="s">
        <v>113</v>
      </c>
      <c r="C10" s="101">
        <v>0.1174071234814246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121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2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109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3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120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98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107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118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0.103690241</v>
      </c>
    </row>
    <row r="27" spans="1:8" ht="15.75" customHeight="1" x14ac:dyDescent="0.25">
      <c r="B27" s="19" t="s">
        <v>108</v>
      </c>
      <c r="C27" s="101">
        <v>9.3634809999999999E-3</v>
      </c>
    </row>
    <row r="28" spans="1:8" ht="15.75" customHeight="1" x14ac:dyDescent="0.25">
      <c r="B28" s="19" t="s">
        <v>122</v>
      </c>
      <c r="C28" s="101">
        <v>0.116756885</v>
      </c>
    </row>
    <row r="29" spans="1:8" ht="15.75" customHeight="1" x14ac:dyDescent="0.25">
      <c r="B29" s="19" t="s">
        <v>105</v>
      </c>
      <c r="C29" s="101">
        <v>0.15363832899999999</v>
      </c>
    </row>
    <row r="30" spans="1:8" ht="15.75" customHeight="1" x14ac:dyDescent="0.25">
      <c r="B30" s="19" t="s">
        <v>4</v>
      </c>
      <c r="C30" s="101">
        <v>0.13426711399999999</v>
      </c>
    </row>
    <row r="31" spans="1:8" ht="15.75" customHeight="1" x14ac:dyDescent="0.25">
      <c r="B31" s="19" t="s">
        <v>99</v>
      </c>
      <c r="C31" s="101">
        <v>6.5823823000000004E-2</v>
      </c>
    </row>
    <row r="32" spans="1:8" ht="15.75" customHeight="1" x14ac:dyDescent="0.25">
      <c r="B32" s="19" t="s">
        <v>104</v>
      </c>
      <c r="C32" s="101">
        <v>6.84434E-3</v>
      </c>
    </row>
    <row r="33" spans="2:3" ht="15.75" customHeight="1" x14ac:dyDescent="0.25">
      <c r="B33" s="19" t="s">
        <v>119</v>
      </c>
      <c r="C33" s="101">
        <v>0.192122402</v>
      </c>
    </row>
    <row r="34" spans="2:3" ht="15.75" customHeight="1" x14ac:dyDescent="0.25">
      <c r="B34" s="19" t="s">
        <v>106</v>
      </c>
      <c r="C34" s="101">
        <v>0.21749338600000001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+83IhBlf3KZg61HCUtwSokoJ+ZUKK6ueZtOIO3gbo7IZkMKVv8W5ywFGXPqlyCfb0AXHb7pfiVfU0uNxXNfpaQ==" saltValue="ZEC+EC9LEyV3mPNICAzs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129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125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126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138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SNil+M66mCyHYSJK2lEGZDrWFDC/r3CUHvi/KGMeg34F0PzblAX8tgxdsPUvcgl3LcvC2eRe2sQhpZSkBsXbQ==" saltValue="sw1oKQng/WI1ioXRnpq9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c8gdKIBlKN64iqfq7d59PR/9WVZgCqstfhpgk+n5LqB5D3LJPra86BNtXDwoQLyzoetNyXJpn+PtCeulKDIy9w==" saltValue="VI/sBwCDicYjFHxBIvTQ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I/0UIlYtllg/gQ5PTdSo2lkZQWs8VQpAut7klvcb1mXcS58oayh9VDmwzOYJ3JlwGXmUsglDF95LUkh1FbPfA==" saltValue="7k0hnvlpt3R2ENC9z0Rk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1563.48894034459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0.46167999999999998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0.67835999999999996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1.9259502231584416E-2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92436.565799999997</v>
      </c>
      <c r="C22" s="109">
        <v>91119.072910000003</v>
      </c>
      <c r="D22" s="109">
        <v>90367.517389999994</v>
      </c>
      <c r="E22" s="109">
        <v>89718.055229999998</v>
      </c>
      <c r="F22" s="109">
        <v>88816.005850000001</v>
      </c>
      <c r="G22" s="109">
        <v>87639.53757</v>
      </c>
      <c r="H22" s="109">
        <v>86004.167289999998</v>
      </c>
      <c r="I22" s="109">
        <v>83735.65264</v>
      </c>
      <c r="J22" s="109">
        <v>80694.012520000004</v>
      </c>
      <c r="K22" s="109">
        <v>76893.036900000006</v>
      </c>
      <c r="L22" s="109">
        <v>72098.622870000007</v>
      </c>
      <c r="M22" s="109">
        <v>66295.091880000007</v>
      </c>
      <c r="N22" s="109">
        <v>58699.027549999999</v>
      </c>
      <c r="O22" s="109">
        <v>49431.142720000003</v>
      </c>
    </row>
  </sheetData>
  <sheetProtection algorithmName="SHA-512" hashValue="l+hHyIP1Edn9nCECdCDyOFoxedSVaWCDbtZTAaeugRbDCDw5wSNzINUfe7dSc4IoKEdNPgq3XU1giXo0d1kbqw==" saltValue="+hTNBwLP/Vmdlm9gIJRp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J4qx/3lddd8+d23dOStrQTudIphqNXvhtCeJ4gt7qFNZgLOVCCCdP3+Ba4dVRikWLa5rledudl3GEArhaVqFA==" saltValue="wBA0b+z+rVNm+20DpWkL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NL8V8+O/mXjh4fYHuNSm/pwlRUH4IlZcdZCr5IFCXsE0nqrv/IR7goAdd0BluMDNc51YBX8V3+o+KHtmueeBA==" saltValue="HimYG7ULpqfpK4eX1W9U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0.49185540000000011</v>
      </c>
      <c r="C10" s="98">
        <v>0.95</v>
      </c>
      <c r="D10" s="56">
        <v>12.61648392647521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12.61648392647521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12.61648392647521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12.61648392647521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0.49185540000000011</v>
      </c>
      <c r="C14" s="98">
        <v>0.95</v>
      </c>
      <c r="D14" s="56">
        <v>12.61648392647521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12.61648392647521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0.52177059999999997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0.17037333333333299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0.41499999999999998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0.36904480000000001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0.57258390000000003</v>
      </c>
      <c r="C23" s="98">
        <v>0.95</v>
      </c>
      <c r="D23" s="56">
        <v>4.0320279639007426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0.54842745280988192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0.49185540000000011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0.17947630000000001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0.19769629999999999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0.1133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0.85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0.36711830000000001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0.65054450000000008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4.2243700000000002E-2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0.4180431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0.2055438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bqQajScTVh7jNwZ1vrUK6mirlOrYb5WAP9vdsOfxonvUPIwUnck7VjR4VoSusDWlgSx+7VAoQwmgKyuy1ZW2/w==" saltValue="SZruEgEBlTzpzy4oxrX6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cSYhpbjusp9efaDPT+wZs/RO4/u6E4yOaWUjdnZRlgG6Bl++f++ALx1yL4bxrEPWqGnz+yBLveZtIADFPb24A==" saltValue="cvf133bqASRxkRT4h4GO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2djDMpu/TNhbWpQTzqj8V0P3Z3oU7JJJCB/6hkZPHAhAn9ZAep8ACnxzG4l71elnqSIhTw8wG+S0pwo3lfTDw==" saltValue="fCI7fL8v60TKDUA2E09V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1.3</v>
      </c>
      <c r="C2" s="21">
        <f>'Entradas de población-año base'!C52</f>
        <v>1.3</v>
      </c>
      <c r="D2" s="21">
        <f>'Entradas de población-año base'!C53</f>
        <v>5.3039999999999994</v>
      </c>
      <c r="E2" s="21">
        <f>'Entradas de población-año base'!C54</f>
        <v>5.4860000000000007</v>
      </c>
      <c r="F2" s="21">
        <f>'Entradas de población-año base'!C55</f>
        <v>2.253333333333333</v>
      </c>
    </row>
    <row r="3" spans="1:6" ht="15.75" customHeight="1" x14ac:dyDescent="0.25">
      <c r="A3" s="3" t="s">
        <v>6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236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FtnCG5OabFto8S9wTPFxLhl1AzFIZmU6fqvsp0aiIGjrbAU+S+rh2boHtMUz0FdsR8V+zEUMfgTyd3QZ+Fu1Sw==" saltValue="3QkSR14RG+WZFMPt+/Me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ol/Qjl0hjFLNgg9LcEs/wRnXEs4VgkqdYN0IzVdiXGmFwOzgKmjlero/WoRDOroYwKyy09yyTFdwfuLsRvd8A==" saltValue="s0rXqhJjM49Olfc8sZP+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aAGwTLqm7cRjZIdai49AQdm3X7VX6I417gtfi6J/ONYe/UT+UJjvTrv53ijyPqv/sND5W2gNtDR1XiXtbRqYQ==" saltValue="JkSmEUEPIoFydcLHROjX1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GhwzSTL8MqqRGlAJ95vJ6IWodGjBhPL8HuS9TVNZTHUaJBB4ars92NlfdDQd8rAq0SvTih7gEsocjtxTitH7Q==" saltValue="oOrZKczESwCSydicIvSmB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O8hardNK7j69QXJmtbIPmIg6Sjd2vg/i47m1DwAearF/Rim5oyzJRgDQkggPwjkOWiiiOF5gQfZay0LT4u2fg==" saltValue="k2eRyDPYp2VKCffK+JeV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alD0yXBE4WbaiQjqJOqbLpbOULXmYPTXMBKRx8W6s0uNvm8EQIajvQBklEJtvXxk0W/5hEV/sakXfbI432oow==" saltValue="NKt9loTK/dtMMzKFZmyl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5vPOlcMaslqdLpCXqt6FEbbPcIykpII7X1N4O5n48azltngUBoXKHSUM/bNkshiOVBPT0ZcyRoo7VgmphV6gw==" saltValue="7WSuP/fY+HJ3i+Hbd/fx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WtxxcAMKj/c/lKZFd83JAZNAUfeqaR3EAs3Z4s1H5+16IeXXb+OSjzF6FyTutw0YgL1leqPrqvHUxD8mpFpMw==" saltValue="//PXlz7L6kOqn0VBCLT/1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d5VTaiPyZkZdU61IVqeS7U4MZt//l/8vI4ot0iaORUEvPS9r095qHQ8YAXaihVNl1xjxztgTNGp5yL4goqUfQ==" saltValue="C437UinhEjmmrHiW1vwn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/6QfNl45YUINn2Kk0Ejl1uMdU0TCB79XKGioEGi/lm5VsMCbAlzjdhhvU8urVBh69vZvvYcdKkofP3+rHj5lA==" saltValue="u966xgg6ZdASy2B4cn8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+/jYDaN+Y0jFZbqfCL2+W/PfVLelBTnRdmuA+Qgtaj0xTSUhgIlHKU8d3L3Dm8ZiYj9vdaekAm5hAAoCJSwnQ==" saltValue="lRn3NZmcLH+1Po2USO7M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JwE2StqNqeGYYwgHPC6eqVcKYpVVUSp9UtS7yJeZ48EDJIh7dAs9dqIvOhmIzGzNt33ltoHl8/ZcKJISYlu/w==" saltValue="9sFy2afzcmxtogSEXamo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OSe4KsFY894rLOzfm3+seFm56Ux5yADGmBXPvRJZVa9GMTJ2WNjjl0VHgCzCS2p7kOTlqKWeO1Z1RM6ixRvnQ==" saltValue="0V+AfcHjmjqEI65kaVzP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rICcq9pdWAwGadpwke49ebF+beL+cP9dimVepv1eRrXQ+20vkTF09f8veMggKLYzUlz8rvlo6+P6DSu25UQQw==" saltValue="eUxbSydyummAjLgdT/1U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ozmPdV40V1nFDg0zaVjof83iYffMqTYvfG9La8V/T1lFFTom2ycIGVwfQpjLU1eyjLxuDfXKRHk0wRysUEkmg==" saltValue="pjIZgaxfSSHADtBahqH1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f+9+LAR2GVQJR0bR2ExnWlSTXF2QP6sMzINwODTUfq6P2vKFNSjxF9yDlWFgl0ZLy2pR+I59GF7L3zgBwZ9yQ==" saltValue="Xwi0f/ERLlB895PTL7MQ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