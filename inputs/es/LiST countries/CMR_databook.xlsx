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09DF0BE6-0464-4E64-B537-47DEB292A245}" xr6:coauthVersionLast="47" xr6:coauthVersionMax="47" xr10:uidLastSave="{00000000-0000-0000-0000-000000000000}"/>
  <bookViews>
    <workbookView xWindow="20" yWindow="20" windowWidth="19180" windowHeight="1018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I3" i="2"/>
  <c r="I11" i="2"/>
  <c r="A35" i="2"/>
  <c r="A22" i="2"/>
  <c r="A36" i="2"/>
  <c r="I4" i="2"/>
  <c r="I8" i="2"/>
  <c r="A25" i="2"/>
  <c r="A26" i="2"/>
  <c r="I39" i="2"/>
  <c r="A31" i="2"/>
  <c r="A34" i="2"/>
  <c r="A40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<sst xmlns="http://schemas.openxmlformats.org/spreadsheetml/2006/main" count="2159" uniqueCount="372">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</sst>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4443698</v>
      </c>
    </row>
    <row r="8" spans="1:3" ht="15" customHeight="1" x14ac:dyDescent="0.25">
      <c r="B8" s="5" t="s">
        <v>63</v>
      </c>
      <c r="C8" s="44">
        <v>0.499</v>
      </c>
    </row>
    <row r="9" spans="1:3" ht="15" customHeight="1" x14ac:dyDescent="0.25">
      <c r="B9" s="5" t="s">
        <v>62</v>
      </c>
      <c r="C9" s="45">
        <v>0.74</v>
      </c>
    </row>
    <row r="10" spans="1:3" ht="15" customHeight="1" x14ac:dyDescent="0.25">
      <c r="B10" s="5" t="s">
        <v>75</v>
      </c>
      <c r="C10" s="45">
        <v>0.4087461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0.17973908890000001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0.11650000000000001</v>
      </c>
    </row>
    <row r="24" spans="1:3" ht="15" customHeight="1" x14ac:dyDescent="0.25">
      <c r="B24" s="15" t="s">
        <v>65</v>
      </c>
      <c r="C24" s="45">
        <v>0.45839999999999997</v>
      </c>
    </row>
    <row r="25" spans="1:3" ht="15" customHeight="1" x14ac:dyDescent="0.25">
      <c r="B25" s="15" t="s">
        <v>66</v>
      </c>
      <c r="C25" s="45">
        <v>0.35239999999999999</v>
      </c>
    </row>
    <row r="26" spans="1:3" ht="15" customHeight="1" x14ac:dyDescent="0.25">
      <c r="B26" s="15" t="s">
        <v>67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0.22859451908270501</v>
      </c>
    </row>
    <row r="30" spans="1:3" ht="14.25" customHeight="1" x14ac:dyDescent="0.25">
      <c r="B30" s="25" t="s">
        <v>82</v>
      </c>
      <c r="C30" s="99">
        <v>6.8320687947238098E-2</v>
      </c>
    </row>
    <row r="31" spans="1:3" ht="14.25" customHeight="1" x14ac:dyDescent="0.25">
      <c r="B31" s="25" t="s">
        <v>29</v>
      </c>
      <c r="C31" s="99">
        <v>0.126664645857306</v>
      </c>
    </row>
    <row r="32" spans="1:3" ht="14.25" customHeight="1" x14ac:dyDescent="0.25">
      <c r="B32" s="25" t="s">
        <v>30</v>
      </c>
      <c r="C32" s="99">
        <v>0.57642014711275102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25.642800000000001</v>
      </c>
    </row>
    <row r="38" spans="1:5" ht="15" customHeight="1" x14ac:dyDescent="0.25">
      <c r="B38" s="11" t="s">
        <v>54</v>
      </c>
      <c r="C38" s="43">
        <v>46.950699999999998</v>
      </c>
      <c r="D38" s="12"/>
      <c r="E38" s="13"/>
    </row>
    <row r="39" spans="1:5" ht="15" customHeight="1" x14ac:dyDescent="0.25">
      <c r="B39" s="11" t="s">
        <v>80</v>
      </c>
      <c r="C39" s="43">
        <v>69.788030000000006</v>
      </c>
      <c r="D39" s="12"/>
      <c r="E39" s="12"/>
    </row>
    <row r="40" spans="1:5" ht="15" customHeight="1" x14ac:dyDescent="0.25">
      <c r="B40" s="11" t="s">
        <v>55</v>
      </c>
      <c r="C40" s="100">
        <v>4.38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7.9480999999999996E-3</v>
      </c>
      <c r="D45" s="12"/>
    </row>
    <row r="46" spans="1:5" ht="15.75" customHeight="1" x14ac:dyDescent="0.25">
      <c r="B46" s="11" t="s">
        <v>70</v>
      </c>
      <c r="C46" s="45">
        <v>8.5401100000000008E-2</v>
      </c>
      <c r="D46" s="12"/>
    </row>
    <row r="47" spans="1:5" ht="15.75" customHeight="1" x14ac:dyDescent="0.25">
      <c r="B47" s="11" t="s">
        <v>78</v>
      </c>
      <c r="C47" s="45">
        <v>7.3442199999999999E-2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1.3</v>
      </c>
      <c r="D51" s="12"/>
    </row>
    <row r="52" spans="1:4" ht="15" customHeight="1" x14ac:dyDescent="0.25">
      <c r="B52" s="11" t="s">
        <v>32</v>
      </c>
      <c r="C52" s="100">
        <v>1.3</v>
      </c>
    </row>
    <row r="53" spans="1:4" ht="15.75" customHeight="1" x14ac:dyDescent="0.25">
      <c r="B53" s="11" t="s">
        <v>35</v>
      </c>
      <c r="C53" s="100">
        <v>5.3039999999999994</v>
      </c>
    </row>
    <row r="54" spans="1:4" ht="15.75" customHeight="1" x14ac:dyDescent="0.25">
      <c r="B54" s="11" t="s">
        <v>33</v>
      </c>
      <c r="C54" s="100">
        <v>5.4860000000000007</v>
      </c>
    </row>
    <row r="55" spans="1:4" ht="15.75" customHeight="1" x14ac:dyDescent="0.25">
      <c r="B55" s="11" t="s">
        <v>34</v>
      </c>
      <c r="C55" s="100">
        <v>2.253333333333333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0.45496999999999999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0.11961432</v>
      </c>
    </row>
    <row r="63" spans="1:4" ht="15.75" customHeight="1" x14ac:dyDescent="0.3">
      <c r="A63" s="4"/>
    </row>
  </sheetData>
  <sheetProtection algorithmName="SHA-512" hashValue="FSqeA0SzpEdjPdUyAk8Xg6AQDxWsTLAveT0IaVjQQeXe2e+j5WUD6/NCylQhC77Xo+8xNYXkNX8KAH5BH9jbow==" saltValue="dg3vv+8j31J8/VeifTob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971107</v>
      </c>
      <c r="C2" s="49">
        <v>1569078.5</v>
      </c>
      <c r="D2" s="49">
        <v>2445923</v>
      </c>
      <c r="E2" s="49">
        <v>1866478</v>
      </c>
      <c r="F2" s="49">
        <v>1267207</v>
      </c>
      <c r="G2" s="17">
        <f t="shared" ref="G2:G13" si="0">C2+D2+E2+F2</f>
        <v>7148686.5</v>
      </c>
      <c r="H2" s="17">
        <f t="shared" ref="H2:H13" si="1">(B2 + stillbirth*B2/(1000-stillbirth))/(1-abortion)</f>
        <v>1124762.1304497828</v>
      </c>
      <c r="I2" s="17">
        <f t="shared" ref="I2:I13" si="2">G2-H2</f>
        <v>6023924.3695502169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980661</v>
      </c>
      <c r="C3" s="50">
        <v>1612191</v>
      </c>
      <c r="D3" s="50">
        <v>2516446.5</v>
      </c>
      <c r="E3" s="50">
        <v>1917468.5</v>
      </c>
      <c r="F3" s="50">
        <v>1317534.9999999998</v>
      </c>
      <c r="G3" s="17">
        <f t="shared" si="0"/>
        <v>7363641</v>
      </c>
      <c r="H3" s="17">
        <f t="shared" si="1"/>
        <v>1135827.8290744629</v>
      </c>
      <c r="I3" s="17">
        <f t="shared" si="2"/>
        <v>6227813.1709255371</v>
      </c>
    </row>
    <row r="4" spans="1:9" ht="15.75" customHeight="1" x14ac:dyDescent="0.25">
      <c r="A4" s="5">
        <f t="shared" si="3"/>
        <v>2026</v>
      </c>
      <c r="B4" s="49">
        <v>991664</v>
      </c>
      <c r="C4" s="50">
        <v>1652728</v>
      </c>
      <c r="D4" s="50">
        <v>2592109</v>
      </c>
      <c r="E4" s="50">
        <v>1965057.5000000002</v>
      </c>
      <c r="F4" s="50">
        <v>1370047.5000000002</v>
      </c>
      <c r="G4" s="17">
        <f t="shared" si="0"/>
        <v>7579942</v>
      </c>
      <c r="H4" s="17">
        <f t="shared" si="1"/>
        <v>1148571.7982985948</v>
      </c>
      <c r="I4" s="17">
        <f t="shared" si="2"/>
        <v>6431370.2017014055</v>
      </c>
    </row>
    <row r="5" spans="1:9" ht="15.75" customHeight="1" x14ac:dyDescent="0.25">
      <c r="A5" s="5">
        <f t="shared" si="3"/>
        <v>2027</v>
      </c>
      <c r="B5" s="49">
        <v>1002767</v>
      </c>
      <c r="C5" s="50">
        <v>1690843</v>
      </c>
      <c r="D5" s="50">
        <v>2672020.9999999995</v>
      </c>
      <c r="E5" s="50">
        <v>2010302.0000000002</v>
      </c>
      <c r="F5" s="50">
        <v>1424154</v>
      </c>
      <c r="G5" s="17">
        <f t="shared" si="0"/>
        <v>7797320</v>
      </c>
      <c r="H5" s="17">
        <f t="shared" si="1"/>
        <v>1161431.5902003974</v>
      </c>
      <c r="I5" s="17">
        <f t="shared" si="2"/>
        <v>6635888.4097996028</v>
      </c>
    </row>
    <row r="6" spans="1:9" ht="15.75" customHeight="1" x14ac:dyDescent="0.25">
      <c r="A6" s="5">
        <f t="shared" si="3"/>
        <v>2028</v>
      </c>
      <c r="B6" s="49">
        <v>1017054</v>
      </c>
      <c r="C6" s="50">
        <v>1726409.5</v>
      </c>
      <c r="D6" s="50">
        <v>2754826.5</v>
      </c>
      <c r="E6" s="50">
        <v>2056103</v>
      </c>
      <c r="F6" s="50">
        <v>1478905</v>
      </c>
      <c r="G6" s="17">
        <f t="shared" si="0"/>
        <v>8016244</v>
      </c>
      <c r="H6" s="17">
        <f t="shared" si="1"/>
        <v>1177979.1761592424</v>
      </c>
      <c r="I6" s="17">
        <f t="shared" si="2"/>
        <v>6838264.8238407578</v>
      </c>
    </row>
    <row r="7" spans="1:9" ht="15.75" customHeight="1" x14ac:dyDescent="0.25">
      <c r="A7" s="5">
        <f t="shared" si="3"/>
        <v>2029</v>
      </c>
      <c r="B7" s="49">
        <v>1026451</v>
      </c>
      <c r="C7" s="50">
        <v>1760046</v>
      </c>
      <c r="D7" s="50">
        <v>2838943</v>
      </c>
      <c r="E7" s="50">
        <v>2104161.5</v>
      </c>
      <c r="F7" s="50">
        <v>1533454</v>
      </c>
      <c r="G7" s="17">
        <f t="shared" si="0"/>
        <v>8236604.5</v>
      </c>
      <c r="H7" s="17">
        <f t="shared" si="1"/>
        <v>1188863.0331799791</v>
      </c>
      <c r="I7" s="17">
        <f t="shared" si="2"/>
        <v>7047741.4668200212</v>
      </c>
    </row>
    <row r="8" spans="1:9" ht="15.75" customHeight="1" x14ac:dyDescent="0.25">
      <c r="A8" s="5">
        <f t="shared" si="3"/>
        <v>2030</v>
      </c>
      <c r="B8" s="49">
        <v>1038634</v>
      </c>
      <c r="C8" s="50">
        <v>1796707.5</v>
      </c>
      <c r="D8" s="50">
        <v>2924370</v>
      </c>
      <c r="E8" s="50">
        <v>2153932</v>
      </c>
      <c r="F8" s="50">
        <v>1587766</v>
      </c>
      <c r="G8" s="17">
        <f t="shared" si="0"/>
        <v>8462775.5</v>
      </c>
      <c r="H8" s="17">
        <f t="shared" si="1"/>
        <v>1202973.7100006279</v>
      </c>
      <c r="I8" s="17">
        <f t="shared" si="2"/>
        <v>7259801.7899993723</v>
      </c>
    </row>
    <row r="9" spans="1:9" ht="15.75" customHeight="1" x14ac:dyDescent="0.25">
      <c r="A9" s="5">
        <f t="shared" si="3"/>
        <v>2031</v>
      </c>
      <c r="B9" s="49">
        <v>1048294.0000000001</v>
      </c>
      <c r="C9" s="50">
        <v>1840465.5</v>
      </c>
      <c r="D9" s="50">
        <v>3010483.5000000005</v>
      </c>
      <c r="E9" s="50">
        <v>2204349</v>
      </c>
      <c r="F9" s="50">
        <v>1641330</v>
      </c>
      <c r="G9" s="17">
        <f t="shared" si="0"/>
        <v>8696628</v>
      </c>
      <c r="H9" s="17">
        <f t="shared" si="1"/>
        <v>1214162.1806636392</v>
      </c>
      <c r="I9" s="17">
        <f t="shared" si="2"/>
        <v>7482465.8193363603</v>
      </c>
    </row>
    <row r="10" spans="1:9" ht="15.75" customHeight="1" x14ac:dyDescent="0.25">
      <c r="A10" s="5">
        <f t="shared" si="3"/>
        <v>2032</v>
      </c>
      <c r="B10" s="49">
        <v>1061037</v>
      </c>
      <c r="C10" s="50">
        <v>1889422.5</v>
      </c>
      <c r="D10" s="50">
        <v>3095394</v>
      </c>
      <c r="E10" s="50">
        <v>2257388</v>
      </c>
      <c r="F10" s="50">
        <v>1693073.5</v>
      </c>
      <c r="G10" s="17">
        <f t="shared" si="0"/>
        <v>8935278</v>
      </c>
      <c r="H10" s="17">
        <f t="shared" si="1"/>
        <v>1228921.464479245</v>
      </c>
      <c r="I10" s="17">
        <f t="shared" si="2"/>
        <v>7706356.5355207548</v>
      </c>
    </row>
    <row r="11" spans="1:9" ht="15.75" customHeight="1" x14ac:dyDescent="0.25">
      <c r="A11" s="5">
        <f t="shared" si="3"/>
        <v>2033</v>
      </c>
      <c r="B11" s="49">
        <v>1072048</v>
      </c>
      <c r="C11" s="50">
        <v>1939853.5</v>
      </c>
      <c r="D11" s="50">
        <v>3177099.5000000005</v>
      </c>
      <c r="E11" s="50">
        <v>2315595.0000000005</v>
      </c>
      <c r="F11" s="50">
        <v>1744623.5000000002</v>
      </c>
      <c r="G11" s="17">
        <f t="shared" si="0"/>
        <v>9177171.5</v>
      </c>
      <c r="H11" s="17">
        <f t="shared" si="1"/>
        <v>1241674.6995175905</v>
      </c>
      <c r="I11" s="17">
        <f t="shared" si="2"/>
        <v>7935496.8004824091</v>
      </c>
    </row>
    <row r="12" spans="1:9" ht="15.75" customHeight="1" x14ac:dyDescent="0.25">
      <c r="A12" s="5">
        <f t="shared" si="3"/>
        <v>2034</v>
      </c>
      <c r="B12" s="49">
        <v>1085973</v>
      </c>
      <c r="C12" s="50">
        <v>1988608</v>
      </c>
      <c r="D12" s="50">
        <v>3255296</v>
      </c>
      <c r="E12" s="50">
        <v>2379648</v>
      </c>
      <c r="F12" s="50">
        <v>1796588.5</v>
      </c>
      <c r="G12" s="17">
        <f t="shared" si="0"/>
        <v>9420140.5</v>
      </c>
      <c r="H12" s="17">
        <f t="shared" si="1"/>
        <v>1257803.0073832667</v>
      </c>
      <c r="I12" s="17">
        <f t="shared" si="2"/>
        <v>8162337.4926167335</v>
      </c>
    </row>
    <row r="13" spans="1:9" ht="15.75" customHeight="1" x14ac:dyDescent="0.25">
      <c r="A13" s="5">
        <f t="shared" si="3"/>
        <v>2035</v>
      </c>
      <c r="B13" s="49">
        <v>1094052</v>
      </c>
      <c r="C13" s="50">
        <v>2030783.5</v>
      </c>
      <c r="D13" s="50">
        <v>3334426.5</v>
      </c>
      <c r="E13" s="50">
        <v>2449758.5</v>
      </c>
      <c r="F13" s="50">
        <v>1846932</v>
      </c>
      <c r="G13" s="17">
        <f t="shared" si="0"/>
        <v>9661900.5</v>
      </c>
      <c r="H13" s="17">
        <f t="shared" si="1"/>
        <v>1267160.3215123005</v>
      </c>
      <c r="I13" s="17">
        <f t="shared" si="2"/>
        <v>8394740.1784876995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75Litog2ILJbTe4SWXv3CxmwM+MMwj3IwUUCJUCkK3u8tKNn0V1TjSB2z4gCC03+pEgWlxKI7XNu42bTDjVag==" saltValue="D5kpkR8Nl+WcFIc4r1u2d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1.143080228616046E-2</v>
      </c>
    </row>
    <row r="4" spans="1:8" ht="15.75" customHeight="1" x14ac:dyDescent="0.25">
      <c r="B4" s="19" t="s">
        <v>116</v>
      </c>
      <c r="C4" s="101">
        <v>6.6053313210662781E-2</v>
      </c>
    </row>
    <row r="5" spans="1:8" ht="15.75" customHeight="1" x14ac:dyDescent="0.25">
      <c r="B5" s="19" t="s">
        <v>114</v>
      </c>
      <c r="C5" s="101">
        <v>9.1041518208303807E-2</v>
      </c>
    </row>
    <row r="6" spans="1:8" ht="15.75" customHeight="1" x14ac:dyDescent="0.25">
      <c r="B6" s="19" t="s">
        <v>110</v>
      </c>
      <c r="C6" s="101">
        <v>0.2565140513028103</v>
      </c>
    </row>
    <row r="7" spans="1:8" ht="15.75" customHeight="1" x14ac:dyDescent="0.25">
      <c r="B7" s="19" t="s">
        <v>115</v>
      </c>
      <c r="C7" s="101">
        <v>0.39185437837087522</v>
      </c>
    </row>
    <row r="8" spans="1:8" ht="15.75" customHeight="1" x14ac:dyDescent="0.25">
      <c r="B8" s="19" t="s">
        <v>117</v>
      </c>
      <c r="C8" s="101">
        <v>2.516000503200104E-3</v>
      </c>
    </row>
    <row r="9" spans="1:8" ht="15.75" customHeight="1" x14ac:dyDescent="0.25">
      <c r="B9" s="19" t="s">
        <v>111</v>
      </c>
      <c r="C9" s="101">
        <v>6.3182812636562474E-2</v>
      </c>
    </row>
    <row r="10" spans="1:8" ht="15.75" customHeight="1" x14ac:dyDescent="0.25">
      <c r="B10" s="19" t="s">
        <v>113</v>
      </c>
      <c r="C10" s="101">
        <v>0.1174071234814246</v>
      </c>
    </row>
    <row r="11" spans="1:8" ht="15.75" customHeight="1" x14ac:dyDescent="0.25">
      <c r="B11" s="27" t="s">
        <v>79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121</v>
      </c>
      <c r="C15" s="101">
        <v>0.23651425298997231</v>
      </c>
      <c r="D15" s="101">
        <v>0.23651425298997231</v>
      </c>
      <c r="E15" s="101">
        <v>0.23651425298997231</v>
      </c>
      <c r="F15" s="101">
        <v>0.23651425298997231</v>
      </c>
    </row>
    <row r="16" spans="1:8" ht="15.75" customHeight="1" x14ac:dyDescent="0.25">
      <c r="B16" s="19" t="s">
        <v>2</v>
      </c>
      <c r="C16" s="101">
        <v>2.918110732094047E-2</v>
      </c>
      <c r="D16" s="101">
        <v>2.918110732094047E-2</v>
      </c>
      <c r="E16" s="101">
        <v>2.918110732094047E-2</v>
      </c>
      <c r="F16" s="101">
        <v>2.918110732094047E-2</v>
      </c>
    </row>
    <row r="17" spans="1:8" ht="15.75" customHeight="1" x14ac:dyDescent="0.25">
      <c r="B17" s="19" t="s">
        <v>109</v>
      </c>
      <c r="C17" s="101">
        <v>2.2925787169298929E-2</v>
      </c>
      <c r="D17" s="101">
        <v>2.2925787169298929E-2</v>
      </c>
      <c r="E17" s="101">
        <v>2.2925787169298929E-2</v>
      </c>
      <c r="F17" s="101">
        <v>2.2925787169298929E-2</v>
      </c>
    </row>
    <row r="18" spans="1:8" ht="15.75" customHeight="1" x14ac:dyDescent="0.25">
      <c r="B18" s="19" t="s">
        <v>3</v>
      </c>
      <c r="C18" s="101">
        <v>0.2300598358149944</v>
      </c>
      <c r="D18" s="101">
        <v>0.2300598358149944</v>
      </c>
      <c r="E18" s="101">
        <v>0.2300598358149944</v>
      </c>
      <c r="F18" s="101">
        <v>0.2300598358149944</v>
      </c>
    </row>
    <row r="19" spans="1:8" ht="15.75" customHeight="1" x14ac:dyDescent="0.25">
      <c r="B19" s="19" t="s">
        <v>120</v>
      </c>
      <c r="C19" s="101">
        <v>1.7132730726974171E-2</v>
      </c>
      <c r="D19" s="101">
        <v>1.7132730726974171E-2</v>
      </c>
      <c r="E19" s="101">
        <v>1.7132730726974171E-2</v>
      </c>
      <c r="F19" s="101">
        <v>1.7132730726974171E-2</v>
      </c>
    </row>
    <row r="20" spans="1:8" ht="15.75" customHeight="1" x14ac:dyDescent="0.25">
      <c r="B20" s="19" t="s">
        <v>98</v>
      </c>
      <c r="C20" s="101">
        <v>5.5929038248185813E-2</v>
      </c>
      <c r="D20" s="101">
        <v>5.5929038248185813E-2</v>
      </c>
      <c r="E20" s="101">
        <v>5.5929038248185813E-2</v>
      </c>
      <c r="F20" s="101">
        <v>5.5929038248185813E-2</v>
      </c>
    </row>
    <row r="21" spans="1:8" ht="15.75" customHeight="1" x14ac:dyDescent="0.25">
      <c r="B21" s="19" t="s">
        <v>107</v>
      </c>
      <c r="C21" s="101">
        <v>8.607945043868627E-2</v>
      </c>
      <c r="D21" s="101">
        <v>8.607945043868627E-2</v>
      </c>
      <c r="E21" s="101">
        <v>8.607945043868627E-2</v>
      </c>
      <c r="F21" s="101">
        <v>8.607945043868627E-2</v>
      </c>
    </row>
    <row r="22" spans="1:8" ht="15.75" customHeight="1" x14ac:dyDescent="0.25">
      <c r="B22" s="19" t="s">
        <v>118</v>
      </c>
      <c r="C22" s="101">
        <v>0.1527500571181003</v>
      </c>
      <c r="D22" s="101">
        <v>0.1527500571181003</v>
      </c>
      <c r="E22" s="101">
        <v>0.1527500571181003</v>
      </c>
      <c r="F22" s="101">
        <v>0.1527500571181003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0.103690241</v>
      </c>
    </row>
    <row r="27" spans="1:8" ht="15.75" customHeight="1" x14ac:dyDescent="0.25">
      <c r="B27" s="19" t="s">
        <v>108</v>
      </c>
      <c r="C27" s="101">
        <v>9.3634809999999999E-3</v>
      </c>
    </row>
    <row r="28" spans="1:8" ht="15.75" customHeight="1" x14ac:dyDescent="0.25">
      <c r="B28" s="19" t="s">
        <v>122</v>
      </c>
      <c r="C28" s="101">
        <v>0.116756885</v>
      </c>
    </row>
    <row r="29" spans="1:8" ht="15.75" customHeight="1" x14ac:dyDescent="0.25">
      <c r="B29" s="19" t="s">
        <v>105</v>
      </c>
      <c r="C29" s="101">
        <v>0.15363832899999999</v>
      </c>
    </row>
    <row r="30" spans="1:8" ht="15.75" customHeight="1" x14ac:dyDescent="0.25">
      <c r="B30" s="19" t="s">
        <v>4</v>
      </c>
      <c r="C30" s="101">
        <v>0.13426711399999999</v>
      </c>
    </row>
    <row r="31" spans="1:8" ht="15.75" customHeight="1" x14ac:dyDescent="0.25">
      <c r="B31" s="19" t="s">
        <v>99</v>
      </c>
      <c r="C31" s="101">
        <v>6.5823823000000004E-2</v>
      </c>
    </row>
    <row r="32" spans="1:8" ht="15.75" customHeight="1" x14ac:dyDescent="0.25">
      <c r="B32" s="19" t="s">
        <v>104</v>
      </c>
      <c r="C32" s="101">
        <v>6.84434E-3</v>
      </c>
    </row>
    <row r="33" spans="2:3" ht="15.75" customHeight="1" x14ac:dyDescent="0.25">
      <c r="B33" s="19" t="s">
        <v>119</v>
      </c>
      <c r="C33" s="101">
        <v>0.192122402</v>
      </c>
    </row>
    <row r="34" spans="2:3" ht="15.75" customHeight="1" x14ac:dyDescent="0.25">
      <c r="B34" s="19" t="s">
        <v>106</v>
      </c>
      <c r="C34" s="101">
        <v>0.21749338600000001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+83IhBlf3KZg61HCUtwSokoJ+ZUKK6ueZtOIO3gbo7IZkMKVv8W5ywFGXPqlyCfb0AXHb7pfiVfU0uNxXNfpaQ==" saltValue="ZEC+EC9LEyV3mPNICAzsh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129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125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126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138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SNil+M66mCyHYSJK2lEGZDrWFDC/r3CUHvi/KGMeg34F0PzblAX8tgxdsPUvcgl3LcvC2eRe2sQhpZSkBsXbQ==" saltValue="sw1oKQng/WI1ioXRnpq9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7.6393699999999898E-2</v>
      </c>
      <c r="D5" s="52">
        <f t="shared" si="0"/>
        <v>8.0325800000000003E-2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c8gdKIBlKN64iqfq7d59PR/9WVZgCqstfhpgk+n5LqB5D3LJPra86BNtXDwoQLyzoetNyXJpn+PtCeulKDIy9w==" saltValue="VI/sBwCDicYjFHxBIvTQZ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I/0UIlYtllg/gQ5PTdSo2lkZQWs8VQpAut7klvcb1mXcS58oayh9VDmwzOYJ3JlwGXmUsglDF95LUkh1FbPfA==" saltValue="7k0hnvlpt3R2ENC9z0Rk+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1563.48894034459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0.46167999999999998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0.67835999999999996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1.9259502231584416E-2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92436.565799999997</v>
      </c>
      <c r="C22" s="109">
        <v>91119.072910000003</v>
      </c>
      <c r="D22" s="109">
        <v>90367.517389999994</v>
      </c>
      <c r="E22" s="109">
        <v>89718.055229999998</v>
      </c>
      <c r="F22" s="109">
        <v>88816.005850000001</v>
      </c>
      <c r="G22" s="109">
        <v>87639.53757</v>
      </c>
      <c r="H22" s="109">
        <v>86004.167289999998</v>
      </c>
      <c r="I22" s="109">
        <v>83735.65264</v>
      </c>
      <c r="J22" s="109">
        <v>80694.012520000004</v>
      </c>
      <c r="K22" s="109">
        <v>76893.036900000006</v>
      </c>
      <c r="L22" s="109">
        <v>72098.622870000007</v>
      </c>
      <c r="M22" s="109">
        <v>66295.091880000007</v>
      </c>
      <c r="N22" s="109">
        <v>58699.027549999999</v>
      </c>
      <c r="O22" s="109">
        <v>49431.142720000003</v>
      </c>
    </row>
  </sheetData>
  <sheetProtection algorithmName="SHA-512" hashValue="l+hHyIP1Edn9nCECdCDyOFoxedSVaWCDbtZTAaeugRbDCDw5wSNzINUfe7dSc4IoKEdNPgq3XU1giXo0d1kbqw==" saltValue="+hTNBwLP/Vmdlm9gIJRpF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vJ4qx/3lddd8+d23dOStrQTudIphqNXvhtCeJ4gt7qFNZgLOVCCCdP3+Ba4dVRikWLa5rledudl3GEArhaVqFA==" saltValue="wBA0b+z+rVNm+20DpWkLC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NL8V8+O/mXjh4fYHuNSm/pwlRUH4IlZcdZCr5IFCXsE0nqrv/IR7goAdd0BluMDNc51YBX8V3+o+KHtmueeBA==" saltValue="HimYG7ULpqfpK4eX1W9Ui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0.70706266146872643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0.49185540000000011</v>
      </c>
      <c r="C10" s="98">
        <v>0.95</v>
      </c>
      <c r="D10" s="56">
        <v>12.61648392647521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12.61648392647521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12.61648392647521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12.61648392647521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0.49185540000000011</v>
      </c>
      <c r="C14" s="98">
        <v>0.95</v>
      </c>
      <c r="D14" s="56">
        <v>12.61648392647521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12.61648392647521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0.52177059999999997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0.17037333333333299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0.41499999999999998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0.36904480000000001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0.57258390000000003</v>
      </c>
      <c r="C23" s="98">
        <v>0.95</v>
      </c>
      <c r="D23" s="56">
        <v>4.0320279639007426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0.54842745280988192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0.49185540000000011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0.17947630000000001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0.19769629999999999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0.1133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0.85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0.36711830000000001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0.65054450000000008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4.2243700000000002E-2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0.4180431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0.2055438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bqQajScTVh7jNwZ1vrUK6mirlOrYb5WAP9vdsOfxonvUPIwUnck7VjR4VoSusDWlgSx+7VAoQwmgKyuy1ZW2/w==" saltValue="SZruEgEBlTzpzy4oxrX6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cSYhpbjusp9efaDPT+wZs/RO4/u6E4yOaWUjdnZRlgG6Bl++f++ALx1yL4bxrEPWqGnz+yBLveZtIADFPb24A==" saltValue="cvf133bqASRxkRT4h4GO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2djDMpu/TNhbWpQTzqj8V0P3Z3oU7JJJCB/6hkZPHAhAn9ZAep8ACnxzG4l71elnqSIhTw8wG+S0pwo3lfTDw==" saltValue="fCI7fL8v60TKDUA2E09V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1.3</v>
      </c>
      <c r="C2" s="21">
        <f>'Entradas de población-año base'!C52</f>
        <v>1.3</v>
      </c>
      <c r="D2" s="21">
        <f>'Entradas de población-año base'!C53</f>
        <v>5.3039999999999994</v>
      </c>
      <c r="E2" s="21">
        <f>'Entradas de población-año base'!C54</f>
        <v>5.4860000000000007</v>
      </c>
      <c r="F2" s="21">
        <f>'Entradas de población-año base'!C55</f>
        <v>2.253333333333333</v>
      </c>
    </row>
    <row r="3" spans="1:6" ht="15.75" customHeight="1" x14ac:dyDescent="0.25">
      <c r="A3" s="3" t="s">
        <v>6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236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sheetProtection algorithmName="SHA-512" hashValue="FtnCG5OabFto8S9wTPFxLhl1AzFIZmU6fqvsp0aiIGjrbAU+S+rh2boHtMUz0FdsR8V+zEUMfgTyd3QZ+Fu1Sw==" saltValue="3QkSR14RG+WZFMPt+/MeV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0.499</v>
      </c>
      <c r="F2" s="60">
        <f>food_insecure</f>
        <v>0.499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0.499</v>
      </c>
      <c r="F5" s="60">
        <f>food_insecure</f>
        <v>0.499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2.8363636363636365E-2</v>
      </c>
      <c r="D7" s="60">
        <f>diarrhoea_1_5mo*frac_diarrhea_severe</f>
        <v>2.8363636363636365E-2</v>
      </c>
      <c r="E7" s="60">
        <f>diarrhoea_6_11mo*frac_diarrhea_severe</f>
        <v>0.11572363636363636</v>
      </c>
      <c r="F7" s="60">
        <f>diarrhoea_12_23mo*frac_diarrhea_severe</f>
        <v>0.11969454545454548</v>
      </c>
      <c r="G7" s="60">
        <f>diarrhoea_24_59mo*frac_diarrhea_severe</f>
        <v>4.9163636363636361E-2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0.499</v>
      </c>
      <c r="F8" s="60">
        <f>food_insecure</f>
        <v>0.499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0.499</v>
      </c>
      <c r="F9" s="60">
        <f>food_insecure</f>
        <v>0.499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2.8363636363636365E-2</v>
      </c>
      <c r="D12" s="60">
        <f>diarrhoea_1_5mo*frac_diarrhea_severe</f>
        <v>2.8363636363636365E-2</v>
      </c>
      <c r="E12" s="60">
        <f>diarrhoea_6_11mo*frac_diarrhea_severe</f>
        <v>0.11572363636363636</v>
      </c>
      <c r="F12" s="60">
        <f>diarrhoea_12_23mo*frac_diarrhea_severe</f>
        <v>0.11969454545454548</v>
      </c>
      <c r="G12" s="60">
        <f>diarrhoea_24_59mo*frac_diarrhea_severe</f>
        <v>4.9163636363636361E-2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0.499</v>
      </c>
      <c r="I15" s="60">
        <f t="shared" si="0"/>
        <v>0.499</v>
      </c>
      <c r="J15" s="60">
        <f t="shared" si="0"/>
        <v>0.499</v>
      </c>
      <c r="K15" s="60">
        <f t="shared" si="0"/>
        <v>0.499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0.499</v>
      </c>
      <c r="I16" s="60">
        <f t="shared" si="0"/>
        <v>0.499</v>
      </c>
      <c r="J16" s="60">
        <f t="shared" si="0"/>
        <v>0.499</v>
      </c>
      <c r="K16" s="60">
        <f t="shared" si="0"/>
        <v>0.499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0.17973908890000001</v>
      </c>
      <c r="M24" s="60">
        <f>famplan_unmet_need</f>
        <v>0.17973908890000001</v>
      </c>
      <c r="N24" s="60">
        <f>famplan_unmet_need</f>
        <v>0.17973908890000001</v>
      </c>
      <c r="O24" s="60">
        <f>famplan_unmet_need</f>
        <v>0.17973908890000001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0.35167190718099994</v>
      </c>
      <c r="M25" s="60">
        <f>(1-food_insecure)*(0.49)+food_insecure*(0.7)</f>
        <v>0.59478999999999993</v>
      </c>
      <c r="N25" s="60">
        <f>(1-food_insecure)*(0.49)+food_insecure*(0.7)</f>
        <v>0.59478999999999993</v>
      </c>
      <c r="O25" s="60">
        <f>(1-food_insecure)*(0.49)+food_insecure*(0.7)</f>
        <v>0.59478999999999993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0.15071653164900001</v>
      </c>
      <c r="M26" s="60">
        <f>(1-food_insecure)*(0.21)+food_insecure*(0.3)</f>
        <v>0.25490999999999997</v>
      </c>
      <c r="N26" s="60">
        <f>(1-food_insecure)*(0.21)+food_insecure*(0.3)</f>
        <v>0.25490999999999997</v>
      </c>
      <c r="O26" s="60">
        <f>(1-food_insecure)*(0.21)+food_insecure*(0.3)</f>
        <v>0.25490999999999997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8.8865461169999993E-2</v>
      </c>
      <c r="M27" s="60">
        <f>(1-food_insecure)*(0.3)</f>
        <v>0.15029999999999999</v>
      </c>
      <c r="N27" s="60">
        <f>(1-food_insecure)*(0.3)</f>
        <v>0.15029999999999999</v>
      </c>
      <c r="O27" s="60">
        <f>(1-food_insecure)*(0.3)</f>
        <v>0.15029999999999999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0.4087461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0.74</v>
      </c>
      <c r="D34" s="60">
        <f t="shared" si="4"/>
        <v>0.74</v>
      </c>
      <c r="E34" s="60">
        <f t="shared" si="4"/>
        <v>0.74</v>
      </c>
      <c r="F34" s="60">
        <f t="shared" si="4"/>
        <v>0.74</v>
      </c>
      <c r="G34" s="60">
        <f t="shared" si="4"/>
        <v>0.74</v>
      </c>
      <c r="H34" s="60">
        <f t="shared" si="4"/>
        <v>0.74</v>
      </c>
      <c r="I34" s="60">
        <f t="shared" si="4"/>
        <v>0.74</v>
      </c>
      <c r="J34" s="60">
        <f t="shared" si="4"/>
        <v>0.74</v>
      </c>
      <c r="K34" s="60">
        <f t="shared" si="4"/>
        <v>0.74</v>
      </c>
      <c r="L34" s="60">
        <f t="shared" si="4"/>
        <v>0.74</v>
      </c>
      <c r="M34" s="60">
        <f t="shared" si="4"/>
        <v>0.74</v>
      </c>
      <c r="N34" s="60">
        <f t="shared" si="4"/>
        <v>0.74</v>
      </c>
      <c r="O34" s="60">
        <f t="shared" si="4"/>
        <v>0.74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ol/Qjl0hjFLNgg9LcEs/wRnXEs4VgkqdYN0IzVdiXGmFwOzgKmjlero/WoRDOroYwKyy09yyTFdwfuLsRvd8A==" saltValue="s0rXqhJjM49Olfc8sZP+V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aAGwTLqm7cRjZIdai49AQdm3X7VX6I417gtfi6J/ONYe/UT+UJjvTrv53ijyPqv/sND5W2gNtDR1XiXtbRqYQ==" saltValue="JkSmEUEPIoFydcLHROjX1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GhwzSTL8MqqRGlAJ95vJ6IWodGjBhPL8HuS9TVNZTHUaJBB4ars92NlfdDQd8rAq0SvTih7gEsocjtxTitH7Q==" saltValue="oOrZKczESwCSydicIvSmB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O8hardNK7j69QXJmtbIPmIg6Sjd2vg/i47m1DwAearF/Rim5oyzJRgDQkggPwjkOWiiiOF5gQfZay0LT4u2fg==" saltValue="k2eRyDPYp2VKCffK+JeVO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balD0yXBE4WbaiQjqJOqbLpbOULXmYPTXMBKRx8W6s0uNvm8EQIajvQBklEJtvXxk0W/5hEV/sakXfbI432oow==" saltValue="NKt9loTK/dtMMzKFZmyl7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5vPOlcMaslqdLpCXqt6FEbbPcIykpII7X1N4O5n48azltngUBoXKHSUM/bNkshiOVBPT0ZcyRoo7VgmphV6gw==" saltValue="7WSuP/fY+HJ3i+Hbd/fx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WtxxcAMKj/c/lKZFd83JAZNAUfeqaR3EAs3Z4s1H5+16IeXXb+OSjzF6FyTutw0YgL1leqPrqvHUxD8mpFpMw==" saltValue="//PXlz7L6kOqn0VBCLT/1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Gd5VTaiPyZkZdU61IVqeS7U4MZt//l/8vI4ot0iaORUEvPS9r095qHQ8YAXaihVNl1xjxztgTNGp5yL4goqUfQ==" saltValue="C437UinhEjmmrHiW1vwn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/6QfNl45YUINn2Kk0Ejl1uMdU0TCB79XKGioEGi/lm5VsMCbAlzjdhhvU8urVBh69vZvvYcdKkofP3+rHj5lA==" saltValue="u966xgg6ZdASy2B4cn8v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+/jYDaN+Y0jFZbqfCL2+W/PfVLelBTnRdmuA+Qgtaj0xTSUhgIlHKU8d3L3Dm8ZiYj9vdaekAm5hAAoCJSwnQ==" saltValue="lRn3NZmcLH+1Po2USO7M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JwE2StqNqeGYYwgHPC6eqVcKYpVVUSp9UtS7yJeZ48EDJIh7dAs9dqIvOhmIzGzNt33ltoHl8/ZcKJISYlu/w==" saltValue="9sFy2afzcmxtogSEXamo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OSe4KsFY894rLOzfm3+seFm56Ux5yADGmBXPvRJZVa9GMTJ2WNjjl0VHgCzCS2p7kOTlqKWeO1Z1RM6ixRvnQ==" saltValue="0V+AfcHjmjqEI65kaVzP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rICcq9pdWAwGadpwke49ebF+beL+cP9dimVepv1eRrXQ+20vkTF09f8veMggKLYzUlz8rvlo6+P6DSu25UQQw==" saltValue="eUxbSydyummAjLgdT/1U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ozmPdV40V1nFDg0zaVjof83iYffMqTYvfG9La8V/T1lFFTom2ycIGVwfQpjLU1eyjLxuDfXKRHk0wRysUEkmg==" saltValue="pjIZgaxfSSHADtBahqH1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Ef+9+LAR2GVQJR0bR2ExnWlSTXF2QP6sMzINwODTUfq6P2vKFNSjxF9yDlWFgl0ZLy2pR+I59GF7L3zgBwZ9yQ==" saltValue="Xwi0f/ERLlB895PTL7MQ9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