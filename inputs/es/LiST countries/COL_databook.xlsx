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s\LiST countries\"/>
    </mc:Choice>
  </mc:AlternateContent>
  <xr:revisionPtr revIDLastSave="0" documentId="8_{22C9BE93-F214-4C63-B20E-EFA5257E9F02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Pérdida económica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iesgos desenlace de nacimiento" sheetId="21" state="hidden" r:id="rId21"/>
    <sheet name="Riesgos relativos" sheetId="22" state="hidden" r:id="rId22"/>
    <sheet name="Razón de momios" sheetId="23" state="hidden" r:id="rId23"/>
    <sheet name="Resultados de nacimiento- prog" sheetId="24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<sst xmlns="http://schemas.openxmlformats.org/spreadsheetml/2006/main" count="2102" uniqueCount="341">
  <si>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</si>
  <si>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</si>
  <si>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</si>
  <si>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</si>
  <si>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</si>
  <si>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</si>
  <si>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</si>
  <si>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</si>
  <si>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</si>
  <si>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</si>
  <si>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</si>
  <si>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</si>
  <si>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</si>
  <si>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</si>
  <si>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</si>
  <si>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</si>
  <si>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</si>
  <si>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</si>
  <si>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</si>
  <si>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</si>
  <si>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</si>
  <si>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</si>
  <si>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</si>
  <si>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</si>
  <si>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</si>
  <si>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</si>
  <si>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</si>
  <si>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</si>
  <si>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</si>
  <si>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</si>
  <si>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</si>
  <si>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</si>
  <si>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</si>
  <si>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</si>
  <si>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</si>
  <si>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</si>
  <si>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</si>
  <si>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</si>
  <si>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</si>
  <si>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</si>
  <si>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</si>
  <si>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</si>
  <si>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</si>
  <si>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</si>
  <si>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</si>
  <si>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</si>
  <si>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</si>
  <si>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</si>
  <si>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</si>
  <si>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</si>
  <si>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</si>
  <si>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</si>
  <si>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</si>
  <si>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</si>
  <si>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</si>
  <si>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</si>
  <si>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</si>
  <si>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</si>
  <si>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</si>
  <si>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</si>
  <si>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</si>
  <si>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</si>
  <si>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</si>
  <si>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</si>
  <si>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</si>
  <si>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</si>
  <si>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</si>
  <si>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</si>
  <si>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</si>
  <si>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</si>
  <si>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</si>
  <si>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</si>
  <si>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</si>
  <si>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</si>
  <si>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</si>
  <si>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</si>
  <si>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</si>
  <si>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</si>
  <si>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</si>
  <si>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</si>
  <si>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</si>
  <si>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</si>
  <si>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</si>
  <si>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</si>
  <si>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</si>
  <si>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</si>
  <si>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</si>
  <si>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</si>
  <si>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</si>
  <si>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</si>
  <si>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</si>
  <si>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</si>
  <si>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</si>
  <si>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</si>
  <si>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</si>
  <si>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</si>
  <si>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</si>
  <si>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</si>
  <si>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</si>
  <si>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</si>
  <si>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</si>
  <si>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</si>
  <si>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</si>
  <si>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</si>
  <si>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</si>
  <si>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</si>
  <si>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</si>
  <si>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</si>
  <si>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</si>
  <si>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</si>
  <si>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</si>
  <si>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</si>
  <si>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</si>
  <si>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</si>
  <si>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</si>
  <si>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</si>
  <si>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</si>
  <si>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</si>
  <si>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</si>
  <si>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</si>
  <si>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</si>
  <si>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</si>
  <si>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</si>
  <si>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</si>
  <si>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</si>
  <si>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</si>
  <si>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</si>
  <si>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</si>
  <si>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</si>
  <si>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</si>
  <si>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</si>
  <si>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</si>
  <si>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</si>
  <si>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</si>
  <si>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</si>
  <si>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</si>
  <si>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</si>
  <si>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</si>
  <si>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</si>
  <si>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</si>
  <si>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Niño anémico (por año)</t>
  </si>
  <si>
    <t>Mujer embarazada anémica (por embarazo)</t>
  </si>
  <si>
    <t>Muerte del niño</t>
  </si>
  <si>
    <t>Niño que cumple 5 años con retraso en el crecimiento (a lo largo de su vida)</t>
  </si>
  <si>
    <t>Episodio de emaciación infantil</t>
  </si>
  <si>
    <t>Costo</t>
  </si>
  <si>
    <t>Muerte materna</t>
  </si>
  <si>
    <t>Tipo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</si>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</sst>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19</v>
      </c>
      <c r="B1" s="29" t="s">
        <v>0</v>
      </c>
      <c r="C1" s="29" t="s">
        <v>24</v>
      </c>
    </row>
    <row r="2" spans="1:3" ht="15.9" customHeight="1" x14ac:dyDescent="0.3">
      <c r="A2" s="8" t="s">
        <v>55</v>
      </c>
      <c r="B2" s="29"/>
      <c r="C2" s="29"/>
    </row>
    <row r="3" spans="1:3" ht="15.9" customHeight="1" x14ac:dyDescent="0.3">
      <c r="A3" s="1"/>
      <c r="B3" s="5" t="s">
        <v>18</v>
      </c>
      <c r="C3" s="41">
        <v>2024</v>
      </c>
    </row>
    <row r="4" spans="1:3" ht="15.9" customHeight="1" x14ac:dyDescent="0.3">
      <c r="A4" s="1"/>
      <c r="B4" s="5" t="s">
        <v>26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50</v>
      </c>
    </row>
    <row r="7" spans="1:3" ht="15" customHeight="1" x14ac:dyDescent="0.25">
      <c r="B7" s="11" t="s">
        <v>23</v>
      </c>
      <c r="C7" s="43">
        <v>3532956.125</v>
      </c>
    </row>
    <row r="8" spans="1:3" ht="15" customHeight="1" x14ac:dyDescent="0.25">
      <c r="B8" s="5" t="s">
        <v>44</v>
      </c>
      <c r="C8" s="44">
        <v>4.0999999999999988E-2</v>
      </c>
    </row>
    <row r="9" spans="1:3" ht="15" customHeight="1" x14ac:dyDescent="0.25">
      <c r="B9" s="5" t="s">
        <v>43</v>
      </c>
      <c r="C9" s="45">
        <v>0.01</v>
      </c>
    </row>
    <row r="10" spans="1:3" ht="15" customHeight="1" x14ac:dyDescent="0.25">
      <c r="B10" s="5" t="s">
        <v>56</v>
      </c>
      <c r="C10" s="45">
        <v>0.81589927673339802</v>
      </c>
    </row>
    <row r="11" spans="1:3" ht="15" customHeight="1" x14ac:dyDescent="0.25">
      <c r="B11" s="5" t="s">
        <v>49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62</v>
      </c>
      <c r="C13" s="45">
        <v>0.13500000000000001</v>
      </c>
    </row>
    <row r="14" spans="1:3" ht="15" customHeight="1" x14ac:dyDescent="0.25">
      <c r="B14" s="8"/>
    </row>
    <row r="15" spans="1:3" ht="15" customHeight="1" x14ac:dyDescent="0.3">
      <c r="A15" s="8" t="s">
        <v>28</v>
      </c>
      <c r="B15" s="14"/>
      <c r="C15" s="3"/>
    </row>
    <row r="16" spans="1:3" ht="15" customHeight="1" x14ac:dyDescent="0.25">
      <c r="B16" s="5" t="s">
        <v>33</v>
      </c>
      <c r="C16" s="45">
        <v>0.1</v>
      </c>
    </row>
    <row r="17" spans="1:3" ht="15" customHeight="1" x14ac:dyDescent="0.25">
      <c r="B17" s="5" t="s">
        <v>30</v>
      </c>
      <c r="C17" s="45">
        <v>0.01</v>
      </c>
    </row>
    <row r="18" spans="1:3" ht="15" customHeight="1" x14ac:dyDescent="0.25">
      <c r="B18" s="5" t="s">
        <v>31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34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12</v>
      </c>
    </row>
    <row r="23" spans="1:3" ht="15" customHeight="1" x14ac:dyDescent="0.25">
      <c r="B23" s="15" t="s">
        <v>45</v>
      </c>
      <c r="C23" s="45">
        <v>0.14069999999999999</v>
      </c>
    </row>
    <row r="24" spans="1:3" ht="15" customHeight="1" x14ac:dyDescent="0.25">
      <c r="B24" s="15" t="s">
        <v>46</v>
      </c>
      <c r="C24" s="45">
        <v>0.54339999999999999</v>
      </c>
    </row>
    <row r="25" spans="1:3" ht="15" customHeight="1" x14ac:dyDescent="0.25">
      <c r="B25" s="15" t="s">
        <v>47</v>
      </c>
      <c r="C25" s="45">
        <v>0.26979999999999998</v>
      </c>
    </row>
    <row r="26" spans="1:3" ht="15" customHeight="1" x14ac:dyDescent="0.25">
      <c r="B26" s="15" t="s">
        <v>48</v>
      </c>
      <c r="C26" s="45">
        <v>4.6100000000000002E-2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22</v>
      </c>
      <c r="B28" s="15"/>
      <c r="C28" s="15"/>
    </row>
    <row r="29" spans="1:3" ht="14.25" customHeight="1" x14ac:dyDescent="0.25">
      <c r="B29" s="25" t="s">
        <v>27</v>
      </c>
      <c r="C29" s="45">
        <v>0.43013027417118699</v>
      </c>
    </row>
    <row r="30" spans="1:3" ht="14.25" customHeight="1" x14ac:dyDescent="0.25">
      <c r="B30" s="25" t="s">
        <v>63</v>
      </c>
      <c r="C30" s="99">
        <v>3.6306215717705301E-2</v>
      </c>
    </row>
    <row r="31" spans="1:3" ht="14.25" customHeight="1" x14ac:dyDescent="0.25">
      <c r="B31" s="25" t="s">
        <v>10</v>
      </c>
      <c r="C31" s="99">
        <v>5.3639561550891501E-2</v>
      </c>
    </row>
    <row r="32" spans="1:3" ht="14.25" customHeight="1" x14ac:dyDescent="0.25">
      <c r="B32" s="25" t="s">
        <v>11</v>
      </c>
      <c r="C32" s="99">
        <v>0.47992394856021697</v>
      </c>
    </row>
    <row r="33" spans="1:5" ht="13" customHeight="1" x14ac:dyDescent="0.25">
      <c r="B33" s="27" t="s">
        <v>60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20</v>
      </c>
    </row>
    <row r="36" spans="1:5" ht="15" customHeight="1" x14ac:dyDescent="0.25">
      <c r="A36" s="8" t="s">
        <v>37</v>
      </c>
      <c r="B36" s="5"/>
    </row>
    <row r="37" spans="1:5" ht="15" customHeight="1" x14ac:dyDescent="0.25">
      <c r="B37" s="11" t="s">
        <v>38</v>
      </c>
      <c r="C37" s="43">
        <v>6.9927799999999998</v>
      </c>
    </row>
    <row r="38" spans="1:5" ht="15" customHeight="1" x14ac:dyDescent="0.25">
      <c r="B38" s="11" t="s">
        <v>35</v>
      </c>
      <c r="C38" s="43">
        <v>11.05827</v>
      </c>
      <c r="D38" s="12"/>
      <c r="E38" s="13"/>
    </row>
    <row r="39" spans="1:5" ht="15" customHeight="1" x14ac:dyDescent="0.25">
      <c r="B39" s="11" t="s">
        <v>61</v>
      </c>
      <c r="C39" s="43">
        <v>12.84816</v>
      </c>
      <c r="D39" s="12"/>
      <c r="E39" s="12"/>
    </row>
    <row r="40" spans="1:5" ht="15" customHeight="1" x14ac:dyDescent="0.25">
      <c r="B40" s="11" t="s">
        <v>36</v>
      </c>
      <c r="C40" s="100">
        <v>0.75</v>
      </c>
    </row>
    <row r="41" spans="1:5" ht="15" customHeight="1" x14ac:dyDescent="0.25">
      <c r="B41" s="11" t="s">
        <v>32</v>
      </c>
      <c r="C41" s="45">
        <v>0.12</v>
      </c>
    </row>
    <row r="42" spans="1:5" ht="15" customHeight="1" x14ac:dyDescent="0.25">
      <c r="B42" s="11" t="s">
        <v>57</v>
      </c>
      <c r="C42" s="43">
        <v>7.1447500000000002</v>
      </c>
    </row>
    <row r="43" spans="1:5" ht="15.75" customHeight="1" x14ac:dyDescent="0.25">
      <c r="D43" s="12"/>
    </row>
    <row r="44" spans="1:5" ht="15.75" customHeight="1" x14ac:dyDescent="0.25">
      <c r="A44" s="8" t="s">
        <v>21</v>
      </c>
      <c r="D44" s="12"/>
    </row>
    <row r="45" spans="1:5" ht="15.75" customHeight="1" x14ac:dyDescent="0.25">
      <c r="B45" s="11" t="s">
        <v>52</v>
      </c>
      <c r="C45" s="45">
        <v>7.6820999999999999E-3</v>
      </c>
      <c r="D45" s="12"/>
    </row>
    <row r="46" spans="1:5" ht="15.75" customHeight="1" x14ac:dyDescent="0.25">
      <c r="B46" s="11" t="s">
        <v>51</v>
      </c>
      <c r="C46" s="45">
        <v>8.2543399999999989E-2</v>
      </c>
      <c r="D46" s="12"/>
    </row>
    <row r="47" spans="1:5" ht="15.75" customHeight="1" x14ac:dyDescent="0.25">
      <c r="B47" s="11" t="s">
        <v>59</v>
      </c>
      <c r="C47" s="45">
        <v>7.3695200000000002E-2</v>
      </c>
      <c r="D47" s="12"/>
      <c r="E47" s="13"/>
    </row>
    <row r="48" spans="1:5" ht="15" customHeight="1" x14ac:dyDescent="0.25">
      <c r="B48" s="11" t="s">
        <v>58</v>
      </c>
      <c r="C48" s="46">
        <v>0.83607929999999997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25</v>
      </c>
      <c r="D50" s="12"/>
    </row>
    <row r="51" spans="1:4" ht="15.75" customHeight="1" x14ac:dyDescent="0.25">
      <c r="B51" s="11" t="s">
        <v>17</v>
      </c>
      <c r="C51" s="100">
        <v>3.2</v>
      </c>
      <c r="D51" s="12"/>
    </row>
    <row r="52" spans="1:4" ht="15" customHeight="1" x14ac:dyDescent="0.25">
      <c r="B52" s="11" t="s">
        <v>13</v>
      </c>
      <c r="C52" s="100">
        <v>3.2</v>
      </c>
    </row>
    <row r="53" spans="1:4" ht="15.75" customHeight="1" x14ac:dyDescent="0.25">
      <c r="B53" s="11" t="s">
        <v>16</v>
      </c>
      <c r="C53" s="100">
        <v>3.2</v>
      </c>
    </row>
    <row r="54" spans="1:4" ht="15.75" customHeight="1" x14ac:dyDescent="0.25">
      <c r="B54" s="11" t="s">
        <v>14</v>
      </c>
      <c r="C54" s="100">
        <v>3.2</v>
      </c>
    </row>
    <row r="55" spans="1:4" ht="15.75" customHeight="1" x14ac:dyDescent="0.25">
      <c r="B55" s="11" t="s">
        <v>15</v>
      </c>
      <c r="C55" s="100">
        <v>3.2</v>
      </c>
    </row>
    <row r="57" spans="1:4" ht="15.75" customHeight="1" x14ac:dyDescent="0.25">
      <c r="A57" s="8" t="s">
        <v>39</v>
      </c>
    </row>
    <row r="58" spans="1:4" ht="15.75" customHeight="1" x14ac:dyDescent="0.25">
      <c r="B58" s="5" t="s">
        <v>42</v>
      </c>
      <c r="C58" s="45">
        <v>1.9375E-2</v>
      </c>
    </row>
    <row r="59" spans="1:4" ht="15.75" customHeight="1" x14ac:dyDescent="0.25">
      <c r="B59" s="11" t="s">
        <v>40</v>
      </c>
      <c r="C59" s="45">
        <v>0.55688800000000005</v>
      </c>
    </row>
    <row r="60" spans="1:4" ht="15.75" customHeight="1" x14ac:dyDescent="0.25">
      <c r="B60" s="11" t="s">
        <v>54</v>
      </c>
      <c r="C60" s="45">
        <v>4.5999999999999999E-2</v>
      </c>
    </row>
    <row r="61" spans="1:4" ht="15.75" customHeight="1" x14ac:dyDescent="0.25">
      <c r="B61" s="11" t="s">
        <v>53</v>
      </c>
      <c r="C61" s="45">
        <v>1.4E-2</v>
      </c>
    </row>
    <row r="62" spans="1:4" ht="15.75" customHeight="1" x14ac:dyDescent="0.25">
      <c r="B62" s="11" t="s">
        <v>64</v>
      </c>
      <c r="C62" s="44">
        <v>9.9555930999999903E-2</v>
      </c>
    </row>
    <row r="63" spans="1:4" ht="15.75" customHeight="1" x14ac:dyDescent="0.3">
      <c r="A63" s="4"/>
    </row>
  </sheetData>
  <sheetProtection algorithmName="SHA-512" hashValue="z7zpENG6v6DDNhrFSSVDcqkGoUyeTeDCJVe/PIMZcgAh+v8NbADyE3FpeM812+fSDXg/s/vJhd4qYerL5q8hZw==" saltValue="GJT8jF/cC6+YQpOfkALDM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73</v>
      </c>
      <c r="B1" s="20" t="s">
        <v>66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67</v>
      </c>
      <c r="H1" s="18" t="s">
        <v>65</v>
      </c>
      <c r="I1" s="18" t="s">
        <v>72</v>
      </c>
    </row>
    <row r="2" spans="1:9" ht="15.75" customHeight="1" x14ac:dyDescent="0.25">
      <c r="A2" s="5">
        <f>start_year</f>
        <v>2024</v>
      </c>
      <c r="B2" s="49">
        <v>703054</v>
      </c>
      <c r="C2" s="49">
        <v>2242918</v>
      </c>
      <c r="D2" s="49">
        <v>4270265</v>
      </c>
      <c r="E2" s="49">
        <v>4259777.5</v>
      </c>
      <c r="F2" s="49">
        <v>3177134</v>
      </c>
      <c r="G2" s="17">
        <f t="shared" ref="G2:G13" si="0">C2+D2+E2+F2</f>
        <v>13950094.5</v>
      </c>
      <c r="H2" s="17">
        <f t="shared" ref="H2:H13" si="1">(B2 + stillbirth*B2/(1000-stillbirth))/(1-abortion)</f>
        <v>804674.19596159668</v>
      </c>
      <c r="I2" s="17">
        <f t="shared" ref="I2:I13" si="2">G2-H2</f>
        <v>13145420.304038404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692906</v>
      </c>
      <c r="C3" s="50">
        <v>2206742.5</v>
      </c>
      <c r="D3" s="50">
        <v>4184272</v>
      </c>
      <c r="E3" s="50">
        <v>4291200.5</v>
      </c>
      <c r="F3" s="50">
        <v>3237738</v>
      </c>
      <c r="G3" s="17">
        <f t="shared" si="0"/>
        <v>13919953</v>
      </c>
      <c r="H3" s="17">
        <f t="shared" si="1"/>
        <v>793059.39291571639</v>
      </c>
      <c r="I3" s="17">
        <f t="shared" si="2"/>
        <v>13126893.607084284</v>
      </c>
    </row>
    <row r="4" spans="1:9" ht="15.75" customHeight="1" x14ac:dyDescent="0.25">
      <c r="A4" s="5">
        <f t="shared" si="3"/>
        <v>2026</v>
      </c>
      <c r="B4" s="49">
        <v>683569</v>
      </c>
      <c r="C4" s="50">
        <v>2181899.5</v>
      </c>
      <c r="D4" s="50">
        <v>4099826.5</v>
      </c>
      <c r="E4" s="50">
        <v>4317442.5</v>
      </c>
      <c r="F4" s="50">
        <v>3298501.5</v>
      </c>
      <c r="G4" s="17">
        <f t="shared" si="0"/>
        <v>13897670</v>
      </c>
      <c r="H4" s="17">
        <f t="shared" si="1"/>
        <v>782372.81269898557</v>
      </c>
      <c r="I4" s="17">
        <f t="shared" si="2"/>
        <v>13115297.187301014</v>
      </c>
    </row>
    <row r="5" spans="1:9" ht="15.75" customHeight="1" x14ac:dyDescent="0.25">
      <c r="A5" s="5">
        <f t="shared" si="3"/>
        <v>2027</v>
      </c>
      <c r="B5" s="49">
        <v>676170</v>
      </c>
      <c r="C5" s="50">
        <v>2166546.5</v>
      </c>
      <c r="D5" s="50">
        <v>4019044.5</v>
      </c>
      <c r="E5" s="50">
        <v>4336564</v>
      </c>
      <c r="F5" s="50">
        <v>3358580.5</v>
      </c>
      <c r="G5" s="17">
        <f t="shared" si="0"/>
        <v>13880735.5</v>
      </c>
      <c r="H5" s="17">
        <f t="shared" si="1"/>
        <v>773904.35312700411</v>
      </c>
      <c r="I5" s="17">
        <f t="shared" si="2"/>
        <v>13106831.146872995</v>
      </c>
    </row>
    <row r="6" spans="1:9" ht="15.75" customHeight="1" x14ac:dyDescent="0.25">
      <c r="A6" s="5">
        <f t="shared" si="3"/>
        <v>2028</v>
      </c>
      <c r="B6" s="49">
        <v>667710</v>
      </c>
      <c r="C6" s="50">
        <v>2157372.5</v>
      </c>
      <c r="D6" s="50">
        <v>3942187</v>
      </c>
      <c r="E6" s="50">
        <v>4346234.5</v>
      </c>
      <c r="F6" s="50">
        <v>3417347.5</v>
      </c>
      <c r="G6" s="17">
        <f t="shared" si="0"/>
        <v>13863141.5</v>
      </c>
      <c r="H6" s="17">
        <f t="shared" si="1"/>
        <v>764221.53545178275</v>
      </c>
      <c r="I6" s="17">
        <f t="shared" si="2"/>
        <v>13098919.964548217</v>
      </c>
    </row>
    <row r="7" spans="1:9" ht="15.75" customHeight="1" x14ac:dyDescent="0.25">
      <c r="A7" s="5">
        <f t="shared" si="3"/>
        <v>2029</v>
      </c>
      <c r="B7" s="49">
        <v>661864</v>
      </c>
      <c r="C7" s="50">
        <v>2152257.5</v>
      </c>
      <c r="D7" s="50">
        <v>3868910.5</v>
      </c>
      <c r="E7" s="50">
        <v>4344846</v>
      </c>
      <c r="F7" s="50">
        <v>3473731</v>
      </c>
      <c r="G7" s="17">
        <f t="shared" si="0"/>
        <v>13839745</v>
      </c>
      <c r="H7" s="17">
        <f t="shared" si="1"/>
        <v>757530.54820245132</v>
      </c>
      <c r="I7" s="17">
        <f t="shared" si="2"/>
        <v>13082214.451797549</v>
      </c>
    </row>
    <row r="8" spans="1:9" ht="15.75" customHeight="1" x14ac:dyDescent="0.25">
      <c r="A8" s="5">
        <f t="shared" si="3"/>
        <v>2030</v>
      </c>
      <c r="B8" s="49">
        <v>653804</v>
      </c>
      <c r="C8" s="50">
        <v>2150075.5</v>
      </c>
      <c r="D8" s="50">
        <v>3801006</v>
      </c>
      <c r="E8" s="50">
        <v>4331503.5</v>
      </c>
      <c r="F8" s="50">
        <v>3528590</v>
      </c>
      <c r="G8" s="17">
        <f t="shared" si="0"/>
        <v>13811175</v>
      </c>
      <c r="H8" s="17">
        <f t="shared" si="1"/>
        <v>748305.54696577473</v>
      </c>
      <c r="I8" s="17">
        <f t="shared" si="2"/>
        <v>13062869.453034226</v>
      </c>
    </row>
    <row r="9" spans="1:9" ht="15.75" customHeight="1" x14ac:dyDescent="0.25">
      <c r="A9" s="5">
        <f t="shared" si="3"/>
        <v>2031</v>
      </c>
      <c r="B9" s="49">
        <v>647169</v>
      </c>
      <c r="C9" s="50">
        <v>2149019.5</v>
      </c>
      <c r="D9" s="50">
        <v>3740245.5</v>
      </c>
      <c r="E9" s="50">
        <v>4305652.5</v>
      </c>
      <c r="F9" s="50">
        <v>3582754.5</v>
      </c>
      <c r="G9" s="17">
        <f t="shared" si="0"/>
        <v>13777672</v>
      </c>
      <c r="H9" s="17">
        <f t="shared" si="1"/>
        <v>740711.51679141354</v>
      </c>
      <c r="I9" s="17">
        <f t="shared" si="2"/>
        <v>13036960.483208586</v>
      </c>
    </row>
    <row r="10" spans="1:9" ht="15.75" customHeight="1" x14ac:dyDescent="0.25">
      <c r="A10" s="5">
        <f t="shared" si="3"/>
        <v>2032</v>
      </c>
      <c r="B10" s="49">
        <v>639278</v>
      </c>
      <c r="C10" s="50">
        <v>2147227</v>
      </c>
      <c r="D10" s="50">
        <v>3687761</v>
      </c>
      <c r="E10" s="50">
        <v>4267896.5</v>
      </c>
      <c r="F10" s="50">
        <v>3635611.5</v>
      </c>
      <c r="G10" s="17">
        <f t="shared" si="0"/>
        <v>13738496</v>
      </c>
      <c r="H10" s="17">
        <f t="shared" si="1"/>
        <v>731679.94300002209</v>
      </c>
      <c r="I10" s="17">
        <f t="shared" si="2"/>
        <v>13006816.056999978</v>
      </c>
    </row>
    <row r="11" spans="1:9" ht="15.75" customHeight="1" x14ac:dyDescent="0.25">
      <c r="A11" s="5">
        <f t="shared" si="3"/>
        <v>2033</v>
      </c>
      <c r="B11" s="49">
        <v>632825</v>
      </c>
      <c r="C11" s="50">
        <v>2144964.5</v>
      </c>
      <c r="D11" s="50">
        <v>3644082</v>
      </c>
      <c r="E11" s="50">
        <v>4219152.5</v>
      </c>
      <c r="F11" s="50">
        <v>3686932</v>
      </c>
      <c r="G11" s="17">
        <f t="shared" si="0"/>
        <v>13695131</v>
      </c>
      <c r="H11" s="17">
        <f t="shared" si="1"/>
        <v>724294.21930519911</v>
      </c>
      <c r="I11" s="17">
        <f t="shared" si="2"/>
        <v>12970836.780694801</v>
      </c>
    </row>
    <row r="12" spans="1:9" ht="15.75" customHeight="1" x14ac:dyDescent="0.25">
      <c r="A12" s="5">
        <f t="shared" si="3"/>
        <v>2034</v>
      </c>
      <c r="B12" s="49">
        <v>625821</v>
      </c>
      <c r="C12" s="50">
        <v>2141325.5</v>
      </c>
      <c r="D12" s="50">
        <v>3609062</v>
      </c>
      <c r="E12" s="50">
        <v>4161060.5</v>
      </c>
      <c r="F12" s="50">
        <v>3735409</v>
      </c>
      <c r="G12" s="17">
        <f t="shared" si="0"/>
        <v>13646857</v>
      </c>
      <c r="H12" s="17">
        <f t="shared" si="1"/>
        <v>716277.8534662805</v>
      </c>
      <c r="I12" s="17">
        <f t="shared" si="2"/>
        <v>12930579.14653372</v>
      </c>
    </row>
    <row r="13" spans="1:9" ht="15.75" customHeight="1" x14ac:dyDescent="0.25">
      <c r="A13" s="5">
        <f t="shared" si="3"/>
        <v>2035</v>
      </c>
      <c r="B13" s="49">
        <v>622242</v>
      </c>
      <c r="C13" s="50">
        <v>2134275.5</v>
      </c>
      <c r="D13" s="50">
        <v>3582462.5</v>
      </c>
      <c r="E13" s="50">
        <v>4096112.5</v>
      </c>
      <c r="F13" s="50">
        <v>3778815.5</v>
      </c>
      <c r="G13" s="17">
        <f t="shared" si="0"/>
        <v>13591666</v>
      </c>
      <c r="H13" s="17">
        <f t="shared" si="1"/>
        <v>712181.54088240128</v>
      </c>
      <c r="I13" s="17">
        <f t="shared" si="2"/>
        <v>12879484.459117599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TD8Z1YEOPeBZDGkCtOVrlHIcTJ3CELryTyfVGaPubq7rJYHX7caJyBkXVqSpQ/ct/ujmn4ImQfOjo7CuekFXEQ==" saltValue="nImQkwyhqPfLgNowNU7VW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82</v>
      </c>
      <c r="C2" s="29" t="s">
        <v>78</v>
      </c>
      <c r="D2" s="29"/>
      <c r="E2" s="29"/>
      <c r="F2" s="29"/>
      <c r="G2" s="29"/>
    </row>
    <row r="3" spans="1:8" ht="15.75" customHeight="1" x14ac:dyDescent="0.25">
      <c r="B3" s="19" t="s">
        <v>93</v>
      </c>
      <c r="C3" s="55">
        <v>0</v>
      </c>
    </row>
    <row r="4" spans="1:8" ht="15.75" customHeight="1" x14ac:dyDescent="0.25">
      <c r="B4" s="19" t="s">
        <v>97</v>
      </c>
      <c r="C4" s="101">
        <v>0.14711110000000011</v>
      </c>
    </row>
    <row r="5" spans="1:8" ht="15.75" customHeight="1" x14ac:dyDescent="0.25">
      <c r="B5" s="19" t="s">
        <v>95</v>
      </c>
      <c r="C5" s="101">
        <v>4.0477800000000022E-2</v>
      </c>
    </row>
    <row r="6" spans="1:8" ht="15.75" customHeight="1" x14ac:dyDescent="0.25">
      <c r="B6" s="19" t="s">
        <v>91</v>
      </c>
      <c r="C6" s="101">
        <v>9.7223000000000004E-2</v>
      </c>
    </row>
    <row r="7" spans="1:8" ht="15.75" customHeight="1" x14ac:dyDescent="0.25">
      <c r="B7" s="19" t="s">
        <v>96</v>
      </c>
      <c r="C7" s="101">
        <v>0.32530749999999958</v>
      </c>
    </row>
    <row r="8" spans="1:8" ht="15.75" customHeight="1" x14ac:dyDescent="0.25">
      <c r="B8" s="19" t="s">
        <v>98</v>
      </c>
      <c r="C8" s="101">
        <v>0</v>
      </c>
    </row>
    <row r="9" spans="1:8" ht="15.75" customHeight="1" x14ac:dyDescent="0.25">
      <c r="B9" s="19" t="s">
        <v>92</v>
      </c>
      <c r="C9" s="101">
        <v>0.27405230000000008</v>
      </c>
    </row>
    <row r="10" spans="1:8" ht="15.75" customHeight="1" x14ac:dyDescent="0.25">
      <c r="B10" s="19" t="s">
        <v>94</v>
      </c>
      <c r="C10" s="101">
        <v>0.1158283</v>
      </c>
    </row>
    <row r="11" spans="1:8" ht="15.75" customHeight="1" x14ac:dyDescent="0.25">
      <c r="B11" s="27" t="s">
        <v>60</v>
      </c>
      <c r="C11" s="48">
        <f>SUM(C3:C10)</f>
        <v>0.99999999999999978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83</v>
      </c>
      <c r="B13" s="29" t="s">
        <v>82</v>
      </c>
      <c r="C13" s="102" t="s">
        <v>74</v>
      </c>
      <c r="D13" s="102" t="s">
        <v>77</v>
      </c>
      <c r="E13" s="102" t="s">
        <v>75</v>
      </c>
      <c r="F13" s="102" t="s">
        <v>76</v>
      </c>
      <c r="G13" s="19"/>
    </row>
    <row r="14" spans="1:8" ht="15.75" customHeight="1" x14ac:dyDescent="0.25">
      <c r="B14" s="19" t="s">
        <v>84</v>
      </c>
      <c r="C14" s="55">
        <v>7.5650692706176817E-2</v>
      </c>
      <c r="D14" s="55">
        <v>7.5650692706176817E-2</v>
      </c>
      <c r="E14" s="55">
        <v>7.5650692706176817E-2</v>
      </c>
      <c r="F14" s="55">
        <v>7.5650692706176817E-2</v>
      </c>
    </row>
    <row r="15" spans="1:8" ht="15.75" customHeight="1" x14ac:dyDescent="0.25">
      <c r="B15" s="19" t="s">
        <v>102</v>
      </c>
      <c r="C15" s="101">
        <v>0.33829228028107838</v>
      </c>
      <c r="D15" s="101">
        <v>0.33829228028107838</v>
      </c>
      <c r="E15" s="101">
        <v>0.33829228028107838</v>
      </c>
      <c r="F15" s="101">
        <v>0.33829228028107838</v>
      </c>
    </row>
    <row r="16" spans="1:8" ht="15.75" customHeight="1" x14ac:dyDescent="0.25">
      <c r="B16" s="19" t="s">
        <v>2</v>
      </c>
      <c r="C16" s="101">
        <v>4.0471888956131262E-2</v>
      </c>
      <c r="D16" s="101">
        <v>4.0471888956131262E-2</v>
      </c>
      <c r="E16" s="101">
        <v>4.0471888956131262E-2</v>
      </c>
      <c r="F16" s="101">
        <v>4.0471888956131262E-2</v>
      </c>
    </row>
    <row r="17" spans="1:8" ht="15.75" customHeight="1" x14ac:dyDescent="0.25">
      <c r="B17" s="19" t="s">
        <v>90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3</v>
      </c>
      <c r="C18" s="101">
        <v>8.6409764688803227E-4</v>
      </c>
      <c r="D18" s="101">
        <v>8.6409764688803227E-4</v>
      </c>
      <c r="E18" s="101">
        <v>8.6409764688803227E-4</v>
      </c>
      <c r="F18" s="101">
        <v>8.6409764688803227E-4</v>
      </c>
    </row>
    <row r="19" spans="1:8" ht="15.75" customHeight="1" x14ac:dyDescent="0.25">
      <c r="B19" s="19" t="s">
        <v>101</v>
      </c>
      <c r="C19" s="101">
        <v>1.100088805803145E-2</v>
      </c>
      <c r="D19" s="101">
        <v>1.100088805803145E-2</v>
      </c>
      <c r="E19" s="101">
        <v>1.100088805803145E-2</v>
      </c>
      <c r="F19" s="101">
        <v>1.100088805803145E-2</v>
      </c>
    </row>
    <row r="20" spans="1:8" ht="15.75" customHeight="1" x14ac:dyDescent="0.25">
      <c r="B20" s="19" t="s">
        <v>79</v>
      </c>
      <c r="C20" s="101">
        <v>3.2865733487814998E-2</v>
      </c>
      <c r="D20" s="101">
        <v>3.2865733487814998E-2</v>
      </c>
      <c r="E20" s="101">
        <v>3.2865733487814998E-2</v>
      </c>
      <c r="F20" s="101">
        <v>3.2865733487814998E-2</v>
      </c>
    </row>
    <row r="21" spans="1:8" ht="15.75" customHeight="1" x14ac:dyDescent="0.25">
      <c r="B21" s="19" t="s">
        <v>88</v>
      </c>
      <c r="C21" s="101">
        <v>0.23867431234891051</v>
      </c>
      <c r="D21" s="101">
        <v>0.23867431234891051</v>
      </c>
      <c r="E21" s="101">
        <v>0.23867431234891051</v>
      </c>
      <c r="F21" s="101">
        <v>0.23867431234891051</v>
      </c>
    </row>
    <row r="22" spans="1:8" ht="15.75" customHeight="1" x14ac:dyDescent="0.25">
      <c r="B22" s="19" t="s">
        <v>99</v>
      </c>
      <c r="C22" s="101">
        <v>0.26218010651496848</v>
      </c>
      <c r="D22" s="101">
        <v>0.26218010651496848</v>
      </c>
      <c r="E22" s="101">
        <v>0.26218010651496848</v>
      </c>
      <c r="F22" s="101">
        <v>0.26218010651496848</v>
      </c>
    </row>
    <row r="23" spans="1:8" ht="15.75" customHeight="1" x14ac:dyDescent="0.25">
      <c r="B23" s="27" t="s">
        <v>60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104</v>
      </c>
      <c r="B25" s="29" t="s">
        <v>82</v>
      </c>
      <c r="C25" s="29" t="s">
        <v>104</v>
      </c>
      <c r="D25" s="19"/>
      <c r="E25" s="19"/>
      <c r="F25" s="19"/>
      <c r="G25" s="19"/>
      <c r="H25" s="19"/>
    </row>
    <row r="26" spans="1:8" ht="15.75" customHeight="1" x14ac:dyDescent="0.25">
      <c r="B26" s="19" t="s">
        <v>81</v>
      </c>
      <c r="C26" s="55">
        <v>3.6445469000000001E-2</v>
      </c>
    </row>
    <row r="27" spans="1:8" ht="15.75" customHeight="1" x14ac:dyDescent="0.25">
      <c r="B27" s="19" t="s">
        <v>89</v>
      </c>
      <c r="C27" s="101">
        <v>2.0200972000000001E-2</v>
      </c>
    </row>
    <row r="28" spans="1:8" ht="15.75" customHeight="1" x14ac:dyDescent="0.25">
      <c r="B28" s="19" t="s">
        <v>103</v>
      </c>
      <c r="C28" s="101">
        <v>0.121636906</v>
      </c>
    </row>
    <row r="29" spans="1:8" ht="15.75" customHeight="1" x14ac:dyDescent="0.25">
      <c r="B29" s="19" t="s">
        <v>86</v>
      </c>
      <c r="C29" s="101">
        <v>0.27379125199999998</v>
      </c>
    </row>
    <row r="30" spans="1:8" ht="15.75" customHeight="1" x14ac:dyDescent="0.25">
      <c r="B30" s="19" t="s">
        <v>4</v>
      </c>
      <c r="C30" s="101">
        <v>4.8980840999999997E-2</v>
      </c>
    </row>
    <row r="31" spans="1:8" ht="15.75" customHeight="1" x14ac:dyDescent="0.25">
      <c r="B31" s="19" t="s">
        <v>80</v>
      </c>
      <c r="C31" s="101">
        <v>9.9634768999999998E-2</v>
      </c>
    </row>
    <row r="32" spans="1:8" ht="15.75" customHeight="1" x14ac:dyDescent="0.25">
      <c r="B32" s="19" t="s">
        <v>85</v>
      </c>
      <c r="C32" s="101">
        <v>4.4642563000000003E-2</v>
      </c>
    </row>
    <row r="33" spans="2:3" ht="15.75" customHeight="1" x14ac:dyDescent="0.25">
      <c r="B33" s="19" t="s">
        <v>100</v>
      </c>
      <c r="C33" s="101">
        <v>9.3728627999999994E-2</v>
      </c>
    </row>
    <row r="34" spans="2:3" ht="15.75" customHeight="1" x14ac:dyDescent="0.25">
      <c r="B34" s="19" t="s">
        <v>87</v>
      </c>
      <c r="C34" s="101">
        <v>0.26093860099999999</v>
      </c>
    </row>
    <row r="35" spans="2:3" ht="15.75" customHeight="1" x14ac:dyDescent="0.25">
      <c r="B35" s="27" t="s">
        <v>60</v>
      </c>
      <c r="C35" s="48">
        <f>SUM(C26:C34)</f>
        <v>1.0000000010000001</v>
      </c>
    </row>
  </sheetData>
  <sheetProtection algorithmName="SHA-512" hashValue="vqA5UeNOiEbLqz5Hby0refZEpA59ngpcCXpezJ7Lm28nQr9O9AZmEr5+7V8vte5H8ymYQ77VtAkM6x36LhdhXQ==" saltValue="536LcZHCyzq5/QSOuIJ8u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120</v>
      </c>
      <c r="C1" s="11" t="s">
        <v>78</v>
      </c>
      <c r="D1" s="11" t="s">
        <v>74</v>
      </c>
      <c r="E1" s="11" t="s">
        <v>77</v>
      </c>
      <c r="F1" s="11" t="s">
        <v>75</v>
      </c>
      <c r="G1" s="11" t="s">
        <v>76</v>
      </c>
    </row>
    <row r="2" spans="1:15" ht="15.75" customHeight="1" x14ac:dyDescent="0.25">
      <c r="A2" s="3" t="s">
        <v>121</v>
      </c>
      <c r="B2" s="5" t="s">
        <v>111</v>
      </c>
      <c r="C2" s="52">
        <f>IFERROR(1-_xlfn.NORM.DIST(_xlfn.NORM.INV(SUM(C4:C5), 0, 1) + 1, 0, 1, TRUE), "")</f>
        <v>0.61705174061548995</v>
      </c>
      <c r="D2" s="52">
        <f>IFERROR(1-_xlfn.NORM.DIST(_xlfn.NORM.INV(SUM(D4:D5), 0, 1) + 1, 0, 1, TRUE), "")</f>
        <v>0.61705174061548995</v>
      </c>
      <c r="E2" s="52">
        <f>IFERROR(1-_xlfn.NORM.DIST(_xlfn.NORM.INV(SUM(E4:E5), 0, 1) + 1, 0, 1, TRUE), "")</f>
        <v>0.63192611963028966</v>
      </c>
      <c r="F2" s="52">
        <f>IFERROR(1-_xlfn.NORM.DIST(_xlfn.NORM.INV(SUM(F4:F5), 0, 1) + 1, 0, 1, TRUE), "")</f>
        <v>0.51219827988174838</v>
      </c>
      <c r="G2" s="52">
        <f>IFERROR(1-_xlfn.NORM.DIST(_xlfn.NORM.INV(SUM(G4:G5), 0, 1) + 1, 0, 1, TRUE), "")</f>
        <v>0.55310171614147607</v>
      </c>
    </row>
    <row r="3" spans="1:15" ht="15.75" customHeight="1" x14ac:dyDescent="0.25">
      <c r="B3" s="5" t="s">
        <v>108</v>
      </c>
      <c r="C3" s="52">
        <f>IFERROR(_xlfn.NORM.DIST(_xlfn.NORM.INV(SUM(C4:C5), 0, 1) + 1, 0, 1, TRUE) - SUM(C4:C5), "")</f>
        <v>0.28576105938451002</v>
      </c>
      <c r="D3" s="52">
        <f>IFERROR(_xlfn.NORM.DIST(_xlfn.NORM.INV(SUM(D4:D5), 0, 1) + 1, 0, 1, TRUE) - SUM(D4:D5), "")</f>
        <v>0.28576105938451002</v>
      </c>
      <c r="E3" s="52">
        <f>IFERROR(_xlfn.NORM.DIST(_xlfn.NORM.INV(SUM(E4:E5), 0, 1) + 1, 0, 1, TRUE) - SUM(E4:E5), "")</f>
        <v>0.27745588036971025</v>
      </c>
      <c r="F3" s="52">
        <f>IFERROR(_xlfn.NORM.DIST(_xlfn.NORM.INV(SUM(F4:F5), 0, 1) + 1, 0, 1, TRUE) - SUM(F4:F5), "")</f>
        <v>0.33643312011825166</v>
      </c>
      <c r="G3" s="52">
        <f>IFERROR(_xlfn.NORM.DIST(_xlfn.NORM.INV(SUM(G4:G5), 0, 1) + 1, 0, 1, TRUE) - SUM(G4:G5), "")</f>
        <v>0.31839648385852393</v>
      </c>
    </row>
    <row r="4" spans="1:15" ht="15.75" customHeight="1" x14ac:dyDescent="0.25">
      <c r="B4" s="5" t="s">
        <v>110</v>
      </c>
      <c r="C4" s="45">
        <v>6.5141400000000002E-2</v>
      </c>
      <c r="D4" s="53">
        <v>6.5141400000000002E-2</v>
      </c>
      <c r="E4" s="53">
        <v>6.9816200000000009E-2</v>
      </c>
      <c r="F4" s="53">
        <v>0.11459809999999999</v>
      </c>
      <c r="G4" s="53">
        <v>0.1062206</v>
      </c>
    </row>
    <row r="5" spans="1:15" ht="15.75" customHeight="1" x14ac:dyDescent="0.25">
      <c r="B5" s="5" t="s">
        <v>106</v>
      </c>
      <c r="C5" s="45">
        <v>3.2045799999999999E-2</v>
      </c>
      <c r="D5" s="53">
        <v>3.2045799999999999E-2</v>
      </c>
      <c r="E5" s="53">
        <v>2.0801799999999999E-2</v>
      </c>
      <c r="F5" s="53">
        <v>3.6770499999999998E-2</v>
      </c>
      <c r="G5" s="53">
        <v>2.2281200000000001E-2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122</v>
      </c>
      <c r="B8" s="5" t="s">
        <v>112</v>
      </c>
      <c r="C8" s="52">
        <f>IFERROR(1-_xlfn.NORM.DIST(_xlfn.NORM.INV(SUM(C10:C11), 0, 1) + 1, 0, 1, TRUE), "")</f>
        <v>0.8374242490020587</v>
      </c>
      <c r="D8" s="52">
        <f>IFERROR(1-_xlfn.NORM.DIST(_xlfn.NORM.INV(SUM(D10:D11), 0, 1) + 1, 0, 1, TRUE), "")</f>
        <v>0.8374242490020587</v>
      </c>
      <c r="E8" s="52">
        <f>IFERROR(1-_xlfn.NORM.DIST(_xlfn.NORM.INV(SUM(E10:E11), 0, 1) + 1, 0, 1, TRUE), "")</f>
        <v>0.89593776260339264</v>
      </c>
      <c r="F8" s="52">
        <f>IFERROR(1-_xlfn.NORM.DIST(_xlfn.NORM.INV(SUM(F10:F11), 0, 1) + 1, 0, 1, TRUE), "")</f>
        <v>0.91713100205574305</v>
      </c>
      <c r="G8" s="52">
        <f>IFERROR(1-_xlfn.NORM.DIST(_xlfn.NORM.INV(SUM(G10:G11), 0, 1) + 1, 0, 1, TRUE), "")</f>
        <v>0.92981166123398229</v>
      </c>
    </row>
    <row r="9" spans="1:15" ht="15.75" customHeight="1" x14ac:dyDescent="0.25">
      <c r="B9" s="5" t="s">
        <v>109</v>
      </c>
      <c r="C9" s="52">
        <f>IFERROR(_xlfn.NORM.DIST(_xlfn.NORM.INV(SUM(C10:C11), 0, 1) + 1, 0, 1, TRUE) - SUM(C10:C11), "")</f>
        <v>0.13894375099794132</v>
      </c>
      <c r="D9" s="52">
        <f>IFERROR(_xlfn.NORM.DIST(_xlfn.NORM.INV(SUM(D10:D11), 0, 1) + 1, 0, 1, TRUE) - SUM(D10:D11), "")</f>
        <v>0.13894375099794132</v>
      </c>
      <c r="E9" s="52">
        <f>IFERROR(_xlfn.NORM.DIST(_xlfn.NORM.INV(SUM(E10:E11), 0, 1) + 1, 0, 1, TRUE) - SUM(E10:E11), "")</f>
        <v>9.2112437396607377E-2</v>
      </c>
      <c r="F9" s="52">
        <f>IFERROR(_xlfn.NORM.DIST(_xlfn.NORM.INV(SUM(F10:F11), 0, 1) + 1, 0, 1, TRUE) - SUM(F10:F11), "")</f>
        <v>7.4353297944256963E-2</v>
      </c>
      <c r="G9" s="52">
        <f>IFERROR(_xlfn.NORM.DIST(_xlfn.NORM.INV(SUM(G10:G11), 0, 1) + 1, 0, 1, TRUE) - SUM(G10:G11), "")</f>
        <v>6.3515138766017679E-2</v>
      </c>
    </row>
    <row r="10" spans="1:15" ht="15.75" customHeight="1" x14ac:dyDescent="0.25">
      <c r="B10" s="5" t="s">
        <v>107</v>
      </c>
      <c r="C10" s="45">
        <v>1.4621800000000001E-2</v>
      </c>
      <c r="D10" s="53">
        <v>1.4621800000000001E-2</v>
      </c>
      <c r="E10" s="53">
        <v>1.0748499999999999E-2</v>
      </c>
      <c r="F10" s="53">
        <v>7.0501000000000001E-3</v>
      </c>
      <c r="G10" s="53">
        <v>5.8764999999999998E-3</v>
      </c>
    </row>
    <row r="11" spans="1:15" ht="15.75" customHeight="1" x14ac:dyDescent="0.25">
      <c r="B11" s="5" t="s">
        <v>119</v>
      </c>
      <c r="C11" s="45">
        <v>9.0102000000000012E-3</v>
      </c>
      <c r="D11" s="53">
        <v>9.0102000000000012E-3</v>
      </c>
      <c r="E11" s="53">
        <v>1.2013E-3</v>
      </c>
      <c r="F11" s="53">
        <v>1.4656000000000001E-3</v>
      </c>
      <c r="G11" s="53">
        <v>7.9670000000000001E-4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105</v>
      </c>
      <c r="C13" s="11" t="s">
        <v>78</v>
      </c>
      <c r="D13" s="11" t="s">
        <v>74</v>
      </c>
      <c r="E13" s="11" t="s">
        <v>77</v>
      </c>
      <c r="F13" s="11" t="s">
        <v>75</v>
      </c>
      <c r="G13" s="11" t="s">
        <v>76</v>
      </c>
      <c r="H13" s="18" t="s">
        <v>113</v>
      </c>
      <c r="I13" s="18" t="s">
        <v>114</v>
      </c>
      <c r="J13" s="18" t="s">
        <v>115</v>
      </c>
      <c r="K13" s="18" t="s">
        <v>116</v>
      </c>
      <c r="L13" s="18" t="s">
        <v>68</v>
      </c>
      <c r="M13" s="18" t="s">
        <v>69</v>
      </c>
      <c r="N13" s="18" t="s">
        <v>70</v>
      </c>
      <c r="O13" s="18" t="s">
        <v>71</v>
      </c>
    </row>
    <row r="14" spans="1:15" ht="15.75" customHeight="1" x14ac:dyDescent="0.25">
      <c r="B14" s="11" t="s">
        <v>117</v>
      </c>
      <c r="C14" s="51">
        <v>0.33551805200000001</v>
      </c>
      <c r="D14" s="54">
        <v>0.31433103722400002</v>
      </c>
      <c r="E14" s="54">
        <v>0.31433103722400002</v>
      </c>
      <c r="F14" s="54">
        <v>9.9518045944200009E-2</v>
      </c>
      <c r="G14" s="54">
        <v>9.9518045944200009E-2</v>
      </c>
      <c r="H14" s="45">
        <v>0.27200000000000002</v>
      </c>
      <c r="I14" s="55">
        <v>0.27200000000000002</v>
      </c>
      <c r="J14" s="55">
        <v>0.27200000000000002</v>
      </c>
      <c r="K14" s="55">
        <v>0.27200000000000002</v>
      </c>
      <c r="L14" s="45">
        <v>0.20899999999999999</v>
      </c>
      <c r="M14" s="55">
        <v>0.20899999999999999</v>
      </c>
      <c r="N14" s="55">
        <v>0.20899999999999999</v>
      </c>
      <c r="O14" s="55">
        <v>0.20899999999999999</v>
      </c>
    </row>
    <row r="15" spans="1:15" ht="15.75" customHeight="1" x14ac:dyDescent="0.25">
      <c r="B15" s="11" t="s">
        <v>118</v>
      </c>
      <c r="C15" s="52">
        <f t="shared" ref="C15:O15" si="0">iron_deficiency_anaemia*C14</f>
        <v>0.18684597694217603</v>
      </c>
      <c r="D15" s="52">
        <f t="shared" si="0"/>
        <v>0.17504718265759894</v>
      </c>
      <c r="E15" s="52">
        <f t="shared" si="0"/>
        <v>0.17504718265759894</v>
      </c>
      <c r="F15" s="52">
        <f t="shared" si="0"/>
        <v>5.5420405569773658E-2</v>
      </c>
      <c r="G15" s="52">
        <f t="shared" si="0"/>
        <v>5.5420405569773658E-2</v>
      </c>
      <c r="H15" s="52">
        <f t="shared" si="0"/>
        <v>0.15147353600000002</v>
      </c>
      <c r="I15" s="52">
        <f t="shared" si="0"/>
        <v>0.15147353600000002</v>
      </c>
      <c r="J15" s="52">
        <f t="shared" si="0"/>
        <v>0.15147353600000002</v>
      </c>
      <c r="K15" s="52">
        <f t="shared" si="0"/>
        <v>0.15147353600000002</v>
      </c>
      <c r="L15" s="52">
        <f t="shared" si="0"/>
        <v>0.116389592</v>
      </c>
      <c r="M15" s="52">
        <f t="shared" si="0"/>
        <v>0.116389592</v>
      </c>
      <c r="N15" s="52">
        <f t="shared" si="0"/>
        <v>0.116389592</v>
      </c>
      <c r="O15" s="52">
        <f t="shared" si="0"/>
        <v>0.116389592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yppgACeX9o4dqk2ffkW/YthUjZe9rpZRhvAU7u4O2vAqkGaYM88GnDnPyXEeMQTmoh3HaYes9wybiuGLOb4DsQ==" saltValue="sREam9OLZrYXHkTxIdOKH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120</v>
      </c>
      <c r="C1" s="8" t="s">
        <v>78</v>
      </c>
      <c r="D1" s="8" t="s">
        <v>74</v>
      </c>
      <c r="E1" s="8" t="s">
        <v>77</v>
      </c>
      <c r="F1" s="8" t="s">
        <v>75</v>
      </c>
      <c r="G1" s="8" t="s">
        <v>76</v>
      </c>
    </row>
    <row r="2" spans="1:7" x14ac:dyDescent="0.25">
      <c r="A2" s="3" t="s">
        <v>123</v>
      </c>
      <c r="B2" s="3" t="s">
        <v>124</v>
      </c>
      <c r="C2" s="45">
        <v>0.63326949999999993</v>
      </c>
      <c r="D2" s="53">
        <v>0.40198139999999999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127</v>
      </c>
      <c r="C3" s="53">
        <v>7.0307599999999998E-2</v>
      </c>
      <c r="D3" s="53">
        <v>0.10907890000000001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126</v>
      </c>
      <c r="C4" s="53">
        <v>0.26577980000000001</v>
      </c>
      <c r="D4" s="53">
        <v>0.43609550000000002</v>
      </c>
      <c r="E4" s="53">
        <v>0.74256719999999998</v>
      </c>
      <c r="F4" s="53">
        <v>0.4472005</v>
      </c>
      <c r="G4" s="53">
        <v>0</v>
      </c>
    </row>
    <row r="5" spans="1:7" x14ac:dyDescent="0.25">
      <c r="B5" s="3" t="s">
        <v>125</v>
      </c>
      <c r="C5" s="52">
        <v>3.06431E-2</v>
      </c>
      <c r="D5" s="52">
        <v>5.2844200000000001E-2</v>
      </c>
      <c r="E5" s="52">
        <f>1-SUM(E2:E4)</f>
        <v>0.25743280000000002</v>
      </c>
      <c r="F5" s="52">
        <f>1-SUM(F2:F4)</f>
        <v>0.5527995</v>
      </c>
      <c r="G5" s="52">
        <f>1-SUM(G2:G4)</f>
        <v>1</v>
      </c>
    </row>
  </sheetData>
  <sheetProtection algorithmName="SHA-512" hashValue="s+1a4RZCZVecfe/J0SzcXvF7Fw9OJlwyT9n+PX1A8UAaSY42QKXYODn9DLx5RthRNfejc9NEMr6QNuR1sSCrLg==" saltValue="E/WTMtN0EwEp31DB4SNPXg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135</v>
      </c>
      <c r="B1" s="4" t="s">
        <v>133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136</v>
      </c>
      <c r="B2" s="9" t="s">
        <v>130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138</v>
      </c>
      <c r="B4" s="9" t="s">
        <v>130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130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104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134</v>
      </c>
      <c r="B10" s="11" t="s">
        <v>129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131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37</v>
      </c>
      <c r="B13" s="11" t="s">
        <v>137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MgsRA6wjlRSAMORYOLAsax1i+2RwMcHTIGa22YWQ6DL3or+/x97fi+P7UgyH92M3afsOYajDxs2HEBIKKNugsQ==" saltValue="svzOkAAb+SKCvFm11igQ6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147</v>
      </c>
      <c r="B1" s="4" t="s">
        <v>145</v>
      </c>
    </row>
    <row r="2" spans="1:2" x14ac:dyDescent="0.25">
      <c r="A2" s="8" t="s">
        <v>144</v>
      </c>
      <c r="B2" s="41">
        <v>10</v>
      </c>
    </row>
    <row r="3" spans="1:2" x14ac:dyDescent="0.25">
      <c r="A3" s="8" t="s">
        <v>143</v>
      </c>
      <c r="B3" s="41">
        <v>10</v>
      </c>
    </row>
    <row r="4" spans="1:2" x14ac:dyDescent="0.25">
      <c r="A4" s="8" t="s">
        <v>142</v>
      </c>
      <c r="B4" s="41">
        <v>10</v>
      </c>
    </row>
    <row r="5" spans="1:2" x14ac:dyDescent="0.25">
      <c r="A5" s="8" t="s">
        <v>146</v>
      </c>
      <c r="B5" s="41">
        <v>10</v>
      </c>
    </row>
    <row r="6" spans="1:2" x14ac:dyDescent="0.25">
      <c r="A6" s="8" t="s">
        <v>140</v>
      </c>
      <c r="B6" s="41">
        <v>10</v>
      </c>
    </row>
    <row r="7" spans="1:2" x14ac:dyDescent="0.25">
      <c r="A7" s="8" t="s">
        <v>141</v>
      </c>
      <c r="B7" s="41">
        <v>10</v>
      </c>
    </row>
  </sheetData>
  <sheetProtection algorithmName="SHA-512" hashValue="ShymsdKRJmM/rXyrDj6wH+ZY28q6+gyXucyDLVFtouJ78XOeCXhDoASAhwh99BDcmgA3vSe+7Jh2SPQA5CXyNQ==" saltValue="BMRKAUPD99ogwCkc1mbDB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154</v>
      </c>
      <c r="B1" s="36" t="s">
        <v>156</v>
      </c>
      <c r="C1" s="36" t="s">
        <v>150</v>
      </c>
      <c r="D1" s="36" t="s">
        <v>149</v>
      </c>
      <c r="E1" s="36" t="s">
        <v>155</v>
      </c>
    </row>
    <row r="2" spans="1:5" ht="13" customHeight="1" x14ac:dyDescent="0.3">
      <c r="A2" s="34" t="s">
        <v>151</v>
      </c>
      <c r="B2" s="32" t="s">
        <v>104</v>
      </c>
      <c r="C2" s="47"/>
      <c r="D2" s="47"/>
      <c r="E2" s="38" t="str">
        <f>IF(E$7="","",E$7)</f>
        <v/>
      </c>
    </row>
    <row r="3" spans="1:5" x14ac:dyDescent="0.25">
      <c r="B3" s="32" t="s">
        <v>78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74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77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75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148</v>
      </c>
      <c r="C7" s="31"/>
      <c r="D7" s="30"/>
      <c r="E7" s="47"/>
    </row>
    <row r="9" spans="1:5" ht="13" customHeight="1" x14ac:dyDescent="0.3">
      <c r="A9" s="34" t="s">
        <v>152</v>
      </c>
      <c r="B9" s="32" t="s">
        <v>104</v>
      </c>
      <c r="C9" s="47"/>
      <c r="D9" s="47"/>
      <c r="E9" s="38" t="str">
        <f>IF(E$7="","",E$7)</f>
        <v/>
      </c>
    </row>
    <row r="10" spans="1:5" x14ac:dyDescent="0.25">
      <c r="B10" s="32" t="s">
        <v>78</v>
      </c>
      <c r="C10" s="47"/>
      <c r="D10" s="47"/>
      <c r="E10" s="38" t="str">
        <f>IF(E$7="","",E$7)</f>
        <v/>
      </c>
    </row>
    <row r="11" spans="1:5" x14ac:dyDescent="0.25">
      <c r="B11" s="32" t="s">
        <v>74</v>
      </c>
      <c r="C11" s="47"/>
      <c r="D11" s="47"/>
      <c r="E11" s="38" t="str">
        <f>IF(E$7="","",E$7)</f>
        <v/>
      </c>
    </row>
    <row r="12" spans="1:5" x14ac:dyDescent="0.25">
      <c r="B12" s="32" t="s">
        <v>77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75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148</v>
      </c>
      <c r="C14" s="31"/>
      <c r="D14" s="30"/>
      <c r="E14" s="47"/>
    </row>
    <row r="16" spans="1:5" ht="13" customHeight="1" x14ac:dyDescent="0.3">
      <c r="A16" s="34" t="s">
        <v>153</v>
      </c>
      <c r="B16" s="32" t="s">
        <v>104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78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74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77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75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148</v>
      </c>
      <c r="C21" s="31"/>
      <c r="D21" s="30"/>
      <c r="E21" s="47"/>
    </row>
  </sheetData>
  <sheetProtection algorithmName="SHA-512" hashValue="GCPWEeDo/tAWbrIVxVALAvwUey2RZAaea7ZwpSD66P8J3JsxLavDZI247B2yXcRt69CNwIy5xyDlRZ84aWZq2Q==" saltValue="oXEb0y0dXGWgGmeqf4xG1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159</v>
      </c>
      <c r="C1" s="40" t="s">
        <v>161</v>
      </c>
      <c r="D1" s="40" t="s">
        <v>157</v>
      </c>
    </row>
    <row r="2" spans="1:4" ht="13" customHeight="1" x14ac:dyDescent="0.3">
      <c r="A2" s="40" t="s">
        <v>163</v>
      </c>
      <c r="B2" s="32" t="s">
        <v>164</v>
      </c>
      <c r="C2" s="32" t="s">
        <v>162</v>
      </c>
      <c r="D2" s="47"/>
    </row>
    <row r="3" spans="1:4" ht="13" customHeight="1" x14ac:dyDescent="0.3">
      <c r="A3" s="40" t="s">
        <v>160</v>
      </c>
      <c r="B3" s="32" t="s">
        <v>150</v>
      </c>
      <c r="C3" s="32" t="s">
        <v>158</v>
      </c>
      <c r="D3" s="47"/>
    </row>
  </sheetData>
  <sheetProtection algorithmName="SHA-512" hashValue="CFSXEdiab6e+X2pxKn0qEp7jbeVI8gfRNSpl1rxP6jGEC13r0d4Agyd2z11aeJ5QyvptMkbhavjnyqSrl8uVGQ==" saltValue="wmh8EEe0FPwUwutfjfO5d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163</v>
      </c>
      <c r="B1" s="22" t="str">
        <f>"Cobertura de referencia ("&amp;start_year&amp;")"</f>
        <v>Cobertura de referencia (2024)</v>
      </c>
      <c r="C1" s="22" t="s">
        <v>194</v>
      </c>
      <c r="D1" s="22" t="s">
        <v>195</v>
      </c>
      <c r="E1" s="22" t="s">
        <v>168</v>
      </c>
      <c r="F1" s="22" t="s">
        <v>187</v>
      </c>
      <c r="G1" s="22" t="s">
        <v>186</v>
      </c>
    </row>
    <row r="2" spans="1:7" ht="15.75" customHeight="1" x14ac:dyDescent="0.25">
      <c r="A2" s="5" t="s">
        <v>165</v>
      </c>
      <c r="B2" s="45">
        <v>0</v>
      </c>
      <c r="C2" s="98">
        <v>0.95</v>
      </c>
      <c r="D2" s="56">
        <v>68.627832027235911</v>
      </c>
      <c r="E2" s="56" t="s">
        <v>183</v>
      </c>
      <c r="F2" s="98">
        <v>1</v>
      </c>
      <c r="G2" s="98">
        <v>1</v>
      </c>
    </row>
    <row r="3" spans="1:7" ht="15.75" customHeight="1" x14ac:dyDescent="0.25">
      <c r="A3" s="5" t="s">
        <v>166</v>
      </c>
      <c r="B3" s="45">
        <v>0.57355181091510499</v>
      </c>
      <c r="C3" s="98">
        <v>0.95</v>
      </c>
      <c r="D3" s="56">
        <v>40.117680990539711</v>
      </c>
      <c r="E3" s="56" t="s">
        <v>183</v>
      </c>
      <c r="F3" s="98">
        <v>1</v>
      </c>
      <c r="G3" s="98">
        <v>1</v>
      </c>
    </row>
    <row r="4" spans="1:7" ht="15.75" customHeight="1" x14ac:dyDescent="0.25">
      <c r="A4" s="5" t="s">
        <v>167</v>
      </c>
      <c r="B4" s="98">
        <v>0</v>
      </c>
      <c r="C4" s="98">
        <v>0.95</v>
      </c>
      <c r="D4" s="56">
        <v>580.56053854484037</v>
      </c>
      <c r="E4" s="56" t="s">
        <v>183</v>
      </c>
      <c r="F4" s="98">
        <v>1</v>
      </c>
      <c r="G4" s="98">
        <v>1</v>
      </c>
    </row>
    <row r="5" spans="1:7" ht="15.75" customHeight="1" x14ac:dyDescent="0.25">
      <c r="A5" s="5" t="s">
        <v>169</v>
      </c>
      <c r="B5" s="98">
        <v>0</v>
      </c>
      <c r="C5" s="98">
        <v>0.95</v>
      </c>
      <c r="D5" s="56">
        <v>1.448179166039439</v>
      </c>
      <c r="E5" s="56" t="s">
        <v>183</v>
      </c>
      <c r="F5" s="98">
        <v>1</v>
      </c>
      <c r="G5" s="98">
        <v>1</v>
      </c>
    </row>
    <row r="6" spans="1:7" ht="15.75" customHeight="1" x14ac:dyDescent="0.25">
      <c r="A6" s="5" t="s">
        <v>170</v>
      </c>
      <c r="B6" s="98">
        <v>0</v>
      </c>
      <c r="C6" s="98">
        <v>0.95</v>
      </c>
      <c r="D6" s="56">
        <v>99.99</v>
      </c>
      <c r="E6" s="56" t="s">
        <v>183</v>
      </c>
      <c r="F6" s="98">
        <v>1</v>
      </c>
      <c r="G6" s="98">
        <v>1</v>
      </c>
    </row>
    <row r="7" spans="1:7" ht="15.75" customHeight="1" x14ac:dyDescent="0.25">
      <c r="A7" s="5" t="s">
        <v>171</v>
      </c>
      <c r="B7" s="98">
        <v>0</v>
      </c>
      <c r="C7" s="98">
        <v>0.95</v>
      </c>
      <c r="D7" s="56">
        <v>99.99</v>
      </c>
      <c r="E7" s="56" t="s">
        <v>183</v>
      </c>
      <c r="F7" s="98">
        <v>1</v>
      </c>
      <c r="G7" s="98">
        <v>1</v>
      </c>
    </row>
    <row r="8" spans="1:7" ht="15.75" customHeight="1" x14ac:dyDescent="0.25">
      <c r="A8" s="5" t="s">
        <v>172</v>
      </c>
      <c r="B8" s="98">
        <v>0</v>
      </c>
      <c r="C8" s="98">
        <v>0.95</v>
      </c>
      <c r="D8" s="56">
        <v>99.99</v>
      </c>
      <c r="E8" s="56" t="s">
        <v>183</v>
      </c>
      <c r="F8" s="98">
        <v>1</v>
      </c>
      <c r="G8" s="98">
        <v>1</v>
      </c>
    </row>
    <row r="9" spans="1:7" ht="15.75" customHeight="1" x14ac:dyDescent="0.25">
      <c r="A9" s="5" t="s">
        <v>173</v>
      </c>
      <c r="B9" s="98">
        <v>0</v>
      </c>
      <c r="C9" s="98">
        <v>0.95</v>
      </c>
      <c r="D9" s="56">
        <v>99.99</v>
      </c>
      <c r="E9" s="56" t="s">
        <v>183</v>
      </c>
      <c r="F9" s="98">
        <v>1</v>
      </c>
      <c r="G9" s="98">
        <v>1</v>
      </c>
    </row>
    <row r="10" spans="1:7" ht="15.75" customHeight="1" x14ac:dyDescent="0.25">
      <c r="A10" s="11" t="s">
        <v>174</v>
      </c>
      <c r="B10" s="45">
        <v>0.80700000000000005</v>
      </c>
      <c r="C10" s="98">
        <v>0.95</v>
      </c>
      <c r="D10" s="56">
        <v>13.249980434335621</v>
      </c>
      <c r="E10" s="56" t="s">
        <v>183</v>
      </c>
      <c r="F10" s="98">
        <v>1</v>
      </c>
      <c r="G10" s="98">
        <v>1</v>
      </c>
    </row>
    <row r="11" spans="1:7" ht="15.75" customHeight="1" x14ac:dyDescent="0.25">
      <c r="A11" s="11" t="s">
        <v>175</v>
      </c>
      <c r="B11" s="98">
        <v>0.80700000000000005</v>
      </c>
      <c r="C11" s="98">
        <v>0.95</v>
      </c>
      <c r="D11" s="56">
        <v>13.249980434335621</v>
      </c>
      <c r="E11" s="56" t="s">
        <v>183</v>
      </c>
      <c r="F11" s="98">
        <v>1</v>
      </c>
      <c r="G11" s="98">
        <v>1</v>
      </c>
    </row>
    <row r="12" spans="1:7" ht="15.75" customHeight="1" x14ac:dyDescent="0.25">
      <c r="A12" s="11" t="s">
        <v>176</v>
      </c>
      <c r="B12" s="98">
        <v>0.80700000000000005</v>
      </c>
      <c r="C12" s="98">
        <v>0.95</v>
      </c>
      <c r="D12" s="56">
        <v>13.249980434335621</v>
      </c>
      <c r="E12" s="56" t="s">
        <v>183</v>
      </c>
      <c r="F12" s="98">
        <v>1</v>
      </c>
      <c r="G12" s="98">
        <v>1</v>
      </c>
    </row>
    <row r="13" spans="1:7" ht="15.75" customHeight="1" x14ac:dyDescent="0.25">
      <c r="A13" s="11" t="s">
        <v>177</v>
      </c>
      <c r="B13" s="98">
        <v>0.80700000000000005</v>
      </c>
      <c r="C13" s="98">
        <v>0.95</v>
      </c>
      <c r="D13" s="56">
        <v>13.249980434335621</v>
      </c>
      <c r="E13" s="56" t="s">
        <v>183</v>
      </c>
      <c r="F13" s="98">
        <v>1</v>
      </c>
      <c r="G13" s="98">
        <v>1</v>
      </c>
    </row>
    <row r="14" spans="1:7" ht="15.75" customHeight="1" x14ac:dyDescent="0.25">
      <c r="A14" s="5" t="s">
        <v>178</v>
      </c>
      <c r="B14" s="45">
        <v>0.80700000000000005</v>
      </c>
      <c r="C14" s="98">
        <v>0.95</v>
      </c>
      <c r="D14" s="56">
        <v>13.249980434335621</v>
      </c>
      <c r="E14" s="56" t="s">
        <v>183</v>
      </c>
      <c r="F14" s="98">
        <v>1</v>
      </c>
      <c r="G14" s="98">
        <v>1</v>
      </c>
    </row>
    <row r="15" spans="1:7" ht="15.75" customHeight="1" x14ac:dyDescent="0.25">
      <c r="A15" s="5" t="s">
        <v>179</v>
      </c>
      <c r="B15" s="98">
        <v>0.80700000000000005</v>
      </c>
      <c r="C15" s="98">
        <v>0.95</v>
      </c>
      <c r="D15" s="56">
        <v>13.249980434335621</v>
      </c>
      <c r="E15" s="56" t="s">
        <v>183</v>
      </c>
      <c r="F15" s="98">
        <v>1</v>
      </c>
      <c r="G15" s="98">
        <v>1</v>
      </c>
    </row>
    <row r="16" spans="1:7" ht="15.75" customHeight="1" x14ac:dyDescent="0.25">
      <c r="A16" s="5" t="s">
        <v>180</v>
      </c>
      <c r="B16" s="45">
        <v>0.97</v>
      </c>
      <c r="C16" s="98">
        <v>0.95</v>
      </c>
      <c r="D16" s="56">
        <v>0.95674623423097094</v>
      </c>
      <c r="E16" s="56" t="s">
        <v>183</v>
      </c>
      <c r="F16" s="98">
        <v>1</v>
      </c>
      <c r="G16" s="98">
        <v>1</v>
      </c>
    </row>
    <row r="17" spans="1:7" ht="15.75" customHeight="1" x14ac:dyDescent="0.25">
      <c r="A17" s="5" t="s">
        <v>181</v>
      </c>
      <c r="B17" s="98">
        <v>0.19779928666666699</v>
      </c>
      <c r="C17" s="98">
        <v>0.95</v>
      </c>
      <c r="D17" s="56">
        <v>0.1369044839662158</v>
      </c>
      <c r="E17" s="56" t="s">
        <v>183</v>
      </c>
      <c r="F17" s="98">
        <v>1</v>
      </c>
      <c r="G17" s="98">
        <v>1</v>
      </c>
    </row>
    <row r="18" spans="1:7" ht="15.9" customHeight="1" x14ac:dyDescent="0.25">
      <c r="A18" s="5" t="s">
        <v>151</v>
      </c>
      <c r="B18" s="98">
        <v>0.30177714986180698</v>
      </c>
      <c r="C18" s="98">
        <v>0.95</v>
      </c>
      <c r="D18" s="56">
        <v>13.33399039011101</v>
      </c>
      <c r="E18" s="56" t="s">
        <v>183</v>
      </c>
      <c r="F18" s="98">
        <v>1</v>
      </c>
      <c r="G18" s="98">
        <v>1</v>
      </c>
    </row>
    <row r="19" spans="1:7" ht="15.75" customHeight="1" x14ac:dyDescent="0.25">
      <c r="A19" s="5" t="s">
        <v>152</v>
      </c>
      <c r="B19" s="98">
        <v>0.94730979999999998</v>
      </c>
      <c r="C19" s="98">
        <v>0.95</v>
      </c>
      <c r="D19" s="56">
        <v>13.33399039011101</v>
      </c>
      <c r="E19" s="56" t="s">
        <v>183</v>
      </c>
      <c r="F19" s="98">
        <v>1</v>
      </c>
      <c r="G19" s="98">
        <v>1</v>
      </c>
    </row>
    <row r="20" spans="1:7" ht="15.75" customHeight="1" x14ac:dyDescent="0.25">
      <c r="A20" s="5" t="s">
        <v>153</v>
      </c>
      <c r="B20" s="98">
        <v>0</v>
      </c>
      <c r="C20" s="98">
        <v>0.95</v>
      </c>
      <c r="D20" s="56">
        <v>99.99</v>
      </c>
      <c r="E20" s="56" t="s">
        <v>183</v>
      </c>
      <c r="F20" s="98">
        <v>1</v>
      </c>
      <c r="G20" s="98">
        <v>1</v>
      </c>
    </row>
    <row r="21" spans="1:7" ht="15.75" customHeight="1" x14ac:dyDescent="0.25">
      <c r="A21" s="5" t="s">
        <v>182</v>
      </c>
      <c r="B21" s="45">
        <v>0.88614170000000003</v>
      </c>
      <c r="C21" s="98">
        <v>0.95</v>
      </c>
      <c r="D21" s="56">
        <v>15.80934844874062</v>
      </c>
      <c r="E21" s="56" t="s">
        <v>183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22.98991880771591</v>
      </c>
      <c r="E22" s="56" t="s">
        <v>183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4.4279632813135006</v>
      </c>
      <c r="E23" s="56" t="s">
        <v>183</v>
      </c>
      <c r="F23" s="98">
        <v>1</v>
      </c>
      <c r="G23" s="98">
        <v>1</v>
      </c>
    </row>
    <row r="24" spans="1:7" ht="15.75" customHeight="1" x14ac:dyDescent="0.25">
      <c r="A24" s="5" t="s">
        <v>188</v>
      </c>
      <c r="B24" s="45">
        <v>0.94446060819089594</v>
      </c>
      <c r="C24" s="98">
        <v>0.95</v>
      </c>
      <c r="D24" s="56">
        <v>99.99</v>
      </c>
      <c r="E24" s="56" t="s">
        <v>183</v>
      </c>
      <c r="F24" s="98">
        <v>1</v>
      </c>
      <c r="G24" s="98">
        <v>1</v>
      </c>
    </row>
    <row r="25" spans="1:7" ht="15.75" customHeight="1" x14ac:dyDescent="0.25">
      <c r="A25" s="5" t="s">
        <v>189</v>
      </c>
      <c r="B25" s="98">
        <v>0</v>
      </c>
      <c r="C25" s="98">
        <v>0.95</v>
      </c>
      <c r="D25" s="56">
        <v>99.99</v>
      </c>
      <c r="E25" s="56" t="s">
        <v>183</v>
      </c>
      <c r="F25" s="98">
        <v>1</v>
      </c>
      <c r="G25" s="98">
        <v>1</v>
      </c>
    </row>
    <row r="26" spans="1:7" ht="15.75" customHeight="1" x14ac:dyDescent="0.25">
      <c r="A26" s="5" t="s">
        <v>190</v>
      </c>
      <c r="B26" s="45">
        <v>0.80700000000000005</v>
      </c>
      <c r="C26" s="98">
        <v>0.95</v>
      </c>
      <c r="D26" s="56">
        <v>99.99</v>
      </c>
      <c r="E26" s="56" t="s">
        <v>183</v>
      </c>
      <c r="F26" s="98">
        <v>1</v>
      </c>
      <c r="G26" s="98">
        <v>1</v>
      </c>
    </row>
    <row r="27" spans="1:7" ht="15.75" customHeight="1" x14ac:dyDescent="0.25">
      <c r="A27" s="5" t="s">
        <v>191</v>
      </c>
      <c r="B27" s="45">
        <v>0</v>
      </c>
      <c r="C27" s="98">
        <v>0.95</v>
      </c>
      <c r="D27" s="56">
        <v>18.81234237281155</v>
      </c>
      <c r="E27" s="56" t="s">
        <v>183</v>
      </c>
      <c r="F27" s="98">
        <v>1</v>
      </c>
      <c r="G27" s="98">
        <v>1</v>
      </c>
    </row>
    <row r="28" spans="1:7" ht="15.75" customHeight="1" x14ac:dyDescent="0.25">
      <c r="A28" s="5" t="s">
        <v>192</v>
      </c>
      <c r="B28" s="45">
        <v>0.79293154413380407</v>
      </c>
      <c r="C28" s="98">
        <v>0.95</v>
      </c>
      <c r="D28" s="56">
        <v>99.99</v>
      </c>
      <c r="E28" s="56" t="s">
        <v>183</v>
      </c>
      <c r="F28" s="98">
        <v>1</v>
      </c>
      <c r="G28" s="98">
        <v>1</v>
      </c>
    </row>
    <row r="29" spans="1:7" ht="15.75" customHeight="1" x14ac:dyDescent="0.25">
      <c r="A29" s="5" t="s">
        <v>193</v>
      </c>
      <c r="B29" s="45">
        <v>0</v>
      </c>
      <c r="C29" s="98">
        <v>0.95</v>
      </c>
      <c r="D29" s="56">
        <v>137.83733365130871</v>
      </c>
      <c r="E29" s="56" t="s">
        <v>183</v>
      </c>
      <c r="F29" s="98">
        <v>1</v>
      </c>
      <c r="G29" s="98">
        <v>1</v>
      </c>
    </row>
    <row r="30" spans="1:7" ht="15.75" customHeight="1" x14ac:dyDescent="0.25">
      <c r="A30" s="5" t="s">
        <v>204</v>
      </c>
      <c r="B30" s="98">
        <v>0</v>
      </c>
      <c r="C30" s="98">
        <v>0.95</v>
      </c>
      <c r="D30" s="56">
        <v>99</v>
      </c>
      <c r="E30" s="56" t="s">
        <v>183</v>
      </c>
      <c r="F30" s="98">
        <v>1</v>
      </c>
      <c r="G30" s="98">
        <v>1</v>
      </c>
    </row>
    <row r="31" spans="1:7" ht="15.75" customHeight="1" x14ac:dyDescent="0.25">
      <c r="A31" s="5" t="s">
        <v>164</v>
      </c>
      <c r="B31" s="45">
        <v>0</v>
      </c>
      <c r="C31" s="98">
        <v>0.95</v>
      </c>
      <c r="D31" s="56">
        <v>0.18877550177691579</v>
      </c>
      <c r="E31" s="56" t="s">
        <v>183</v>
      </c>
      <c r="F31" s="98">
        <v>1</v>
      </c>
      <c r="G31" s="98">
        <v>1</v>
      </c>
    </row>
    <row r="32" spans="1:7" ht="15.75" customHeight="1" x14ac:dyDescent="0.25">
      <c r="A32" s="5" t="s">
        <v>196</v>
      </c>
      <c r="B32" s="45">
        <v>0</v>
      </c>
      <c r="C32" s="98">
        <v>0.95</v>
      </c>
      <c r="D32" s="56">
        <v>2.078736971030839</v>
      </c>
      <c r="E32" s="56" t="s">
        <v>183</v>
      </c>
      <c r="F32" s="98">
        <v>1</v>
      </c>
      <c r="G32" s="98">
        <v>1</v>
      </c>
    </row>
    <row r="33" spans="1:7" ht="15.75" customHeight="1" x14ac:dyDescent="0.25">
      <c r="A33" s="5" t="s">
        <v>197</v>
      </c>
      <c r="B33" s="45">
        <v>0</v>
      </c>
      <c r="C33" s="98">
        <v>0.95</v>
      </c>
      <c r="D33" s="56">
        <v>99.99</v>
      </c>
      <c r="E33" s="56" t="s">
        <v>183</v>
      </c>
      <c r="F33" s="98">
        <v>1</v>
      </c>
      <c r="G33" s="98">
        <v>1</v>
      </c>
    </row>
    <row r="34" spans="1:7" ht="15.75" customHeight="1" x14ac:dyDescent="0.25">
      <c r="A34" s="5" t="s">
        <v>198</v>
      </c>
      <c r="B34" s="45">
        <v>0</v>
      </c>
      <c r="C34" s="98">
        <v>0.95</v>
      </c>
      <c r="D34" s="56">
        <v>99.99</v>
      </c>
      <c r="E34" s="56" t="s">
        <v>183</v>
      </c>
      <c r="F34" s="98">
        <v>1</v>
      </c>
      <c r="G34" s="98">
        <v>1</v>
      </c>
    </row>
    <row r="35" spans="1:7" ht="15.75" customHeight="1" x14ac:dyDescent="0.25">
      <c r="A35" s="5" t="s">
        <v>199</v>
      </c>
      <c r="B35" s="98">
        <v>0</v>
      </c>
      <c r="C35" s="98">
        <v>0.95</v>
      </c>
      <c r="D35" s="56">
        <v>99.99</v>
      </c>
      <c r="E35" s="56" t="s">
        <v>183</v>
      </c>
      <c r="F35" s="98">
        <v>1</v>
      </c>
      <c r="G35" s="98">
        <v>1</v>
      </c>
    </row>
    <row r="36" spans="1:7" ht="15.75" customHeight="1" x14ac:dyDescent="0.25">
      <c r="A36" s="5" t="s">
        <v>200</v>
      </c>
      <c r="B36" s="45">
        <v>0.61478450000000007</v>
      </c>
      <c r="C36" s="98">
        <v>0.95</v>
      </c>
      <c r="D36" s="56">
        <v>99.99</v>
      </c>
      <c r="E36" s="56" t="s">
        <v>183</v>
      </c>
      <c r="F36" s="98">
        <v>1</v>
      </c>
      <c r="G36" s="98">
        <v>1</v>
      </c>
    </row>
    <row r="37" spans="1:7" ht="15.75" customHeight="1" x14ac:dyDescent="0.25">
      <c r="A37" s="5" t="s">
        <v>201</v>
      </c>
      <c r="B37" s="45">
        <v>0</v>
      </c>
      <c r="C37" s="98">
        <v>0.95</v>
      </c>
      <c r="D37" s="56">
        <v>99.99</v>
      </c>
      <c r="E37" s="56" t="s">
        <v>183</v>
      </c>
      <c r="F37" s="98">
        <v>1</v>
      </c>
      <c r="G37" s="98">
        <v>1</v>
      </c>
    </row>
    <row r="38" spans="1:7" ht="15.75" customHeight="1" x14ac:dyDescent="0.25">
      <c r="A38" s="5" t="s">
        <v>202</v>
      </c>
      <c r="B38" s="45">
        <v>0.54084730000000003</v>
      </c>
      <c r="C38" s="98">
        <v>0.95</v>
      </c>
      <c r="D38" s="56">
        <v>4.5834601320961594</v>
      </c>
      <c r="E38" s="56" t="s">
        <v>183</v>
      </c>
      <c r="F38" s="98">
        <v>1</v>
      </c>
      <c r="G38" s="98">
        <v>1</v>
      </c>
    </row>
    <row r="39" spans="1:7" ht="15.75" customHeight="1" x14ac:dyDescent="0.25">
      <c r="A39" s="5" t="s">
        <v>203</v>
      </c>
      <c r="B39" s="45">
        <v>0</v>
      </c>
      <c r="C39" s="98">
        <v>0.95</v>
      </c>
      <c r="D39" s="56">
        <v>99.99</v>
      </c>
      <c r="E39" s="56" t="s">
        <v>183</v>
      </c>
      <c r="F39" s="98">
        <v>1</v>
      </c>
      <c r="G39" s="98">
        <v>1</v>
      </c>
    </row>
  </sheetData>
  <sheetProtection algorithmName="SHA-512" hashValue="k9DzX7v5xocIeJSrkzt9BgkLCxN9WPIzn7gbtfKWr2fLS2FnOJUf2ABeDm/UydxQ+Tg6BvS43XqH3CyfGwP/CQ==" saltValue="JUTo1FgW5WknMqvWjWHh6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163</v>
      </c>
      <c r="B1" s="4" t="s">
        <v>205</v>
      </c>
      <c r="C1" s="4" t="s">
        <v>206</v>
      </c>
    </row>
    <row r="2" spans="1:3" x14ac:dyDescent="0.25">
      <c r="A2" s="57" t="s">
        <v>178</v>
      </c>
      <c r="B2" s="47" t="s">
        <v>191</v>
      </c>
      <c r="C2" s="47"/>
    </row>
    <row r="3" spans="1:3" x14ac:dyDescent="0.25">
      <c r="A3" s="57" t="s">
        <v>179</v>
      </c>
      <c r="B3" s="47" t="s">
        <v>191</v>
      </c>
      <c r="C3" s="47"/>
    </row>
    <row r="4" spans="1:3" x14ac:dyDescent="0.25">
      <c r="A4" s="57" t="s">
        <v>193</v>
      </c>
      <c r="B4" s="47" t="s">
        <v>184</v>
      </c>
      <c r="C4" s="47"/>
    </row>
    <row r="5" spans="1:3" x14ac:dyDescent="0.25">
      <c r="A5" s="57" t="s">
        <v>190</v>
      </c>
      <c r="B5" s="47" t="s">
        <v>184</v>
      </c>
      <c r="C5" s="47"/>
    </row>
    <row r="6" spans="1:3" x14ac:dyDescent="0.25">
      <c r="A6" s="57" t="s">
        <v>193</v>
      </c>
      <c r="B6" s="58" t="s">
        <v>204</v>
      </c>
      <c r="C6" s="58"/>
    </row>
    <row r="7" spans="1:3" x14ac:dyDescent="0.25">
      <c r="A7" s="57" t="s">
        <v>190</v>
      </c>
      <c r="B7" s="58" t="s">
        <v>204</v>
      </c>
      <c r="C7" s="58"/>
    </row>
    <row r="8" spans="1:3" x14ac:dyDescent="0.25">
      <c r="A8" s="57" t="s">
        <v>203</v>
      </c>
      <c r="B8" s="58" t="s">
        <v>204</v>
      </c>
      <c r="C8" s="58"/>
    </row>
    <row r="9" spans="1:3" x14ac:dyDescent="0.25">
      <c r="A9" s="57" t="s">
        <v>196</v>
      </c>
      <c r="B9" s="58" t="s">
        <v>204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OBTQrHWeQ//1t3yB0s9Z6Cds66VOooIQKYCKyohYoknp3GEnEE6nDmUm17/DcQmlqlP8kCxk8IVf4+2PD96tIg==" saltValue="IZyLPKRM3R1Rf07aLYust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163</v>
      </c>
    </row>
    <row r="2" spans="1:1" x14ac:dyDescent="0.25">
      <c r="A2" s="33" t="s">
        <v>170</v>
      </c>
    </row>
    <row r="3" spans="1:1" x14ac:dyDescent="0.25">
      <c r="A3" s="33" t="s">
        <v>180</v>
      </c>
    </row>
    <row r="4" spans="1:1" x14ac:dyDescent="0.25">
      <c r="A4" s="33" t="s">
        <v>185</v>
      </c>
    </row>
    <row r="5" spans="1:1" x14ac:dyDescent="0.25">
      <c r="A5" s="33" t="s">
        <v>197</v>
      </c>
    </row>
    <row r="6" spans="1:1" x14ac:dyDescent="0.25">
      <c r="A6" s="33" t="s">
        <v>198</v>
      </c>
    </row>
    <row r="7" spans="1:1" x14ac:dyDescent="0.25">
      <c r="A7" s="33" t="s">
        <v>199</v>
      </c>
    </row>
    <row r="8" spans="1:1" x14ac:dyDescent="0.25">
      <c r="A8" s="33" t="s">
        <v>200</v>
      </c>
    </row>
    <row r="9" spans="1:1" x14ac:dyDescent="0.25">
      <c r="A9" s="33" t="s">
        <v>201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BKQ9G54Qnsis9faIq8o43hYw4e9DQCrcVEUJSMVyUSpDf7JaXIpiof0yo8UjoFuQE0QV9+Lf2BBGZazaAOCENQ==" saltValue="NJsv7o8rXiR5AhRfObh+M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208</v>
      </c>
      <c r="B1" t="s">
        <v>78</v>
      </c>
      <c r="C1" t="s">
        <v>74</v>
      </c>
      <c r="D1" t="s">
        <v>77</v>
      </c>
      <c r="E1" t="s">
        <v>75</v>
      </c>
      <c r="F1" t="s">
        <v>76</v>
      </c>
    </row>
    <row r="2" spans="1:6" ht="15.75" customHeight="1" x14ac:dyDescent="0.25">
      <c r="A2" s="3" t="s">
        <v>84</v>
      </c>
      <c r="B2" s="21">
        <f>'Entradas de población-año base'!C51</f>
        <v>3.2</v>
      </c>
      <c r="C2" s="21">
        <f>'Entradas de población-año base'!C52</f>
        <v>3.2</v>
      </c>
      <c r="D2" s="21">
        <f>'Entradas de población-año base'!C53</f>
        <v>3.2</v>
      </c>
      <c r="E2" s="21">
        <f>'Entradas de población-año base'!C54</f>
        <v>3.2</v>
      </c>
      <c r="F2" s="21">
        <f>'Entradas de población-año base'!C55</f>
        <v>3.2</v>
      </c>
    </row>
    <row r="3" spans="1:6" ht="15.75" customHeight="1" x14ac:dyDescent="0.25">
      <c r="A3" s="3" t="s">
        <v>6</v>
      </c>
      <c r="B3" s="21">
        <f>frac_mam_1month * 2.6</f>
        <v>3.8016680000000004E-2</v>
      </c>
      <c r="C3" s="21">
        <f>frac_mam_1_5months * 2.6</f>
        <v>3.8016680000000004E-2</v>
      </c>
      <c r="D3" s="21">
        <f>frac_mam_6_11months * 2.6</f>
        <v>2.7946099999999998E-2</v>
      </c>
      <c r="E3" s="21">
        <f>frac_mam_12_23months * 2.6</f>
        <v>1.8330260000000001E-2</v>
      </c>
      <c r="F3" s="21">
        <f>frac_mam_24_59months * 2.6</f>
        <v>1.52789E-2</v>
      </c>
    </row>
    <row r="4" spans="1:6" ht="15.75" customHeight="1" x14ac:dyDescent="0.25">
      <c r="A4" s="3" t="s">
        <v>207</v>
      </c>
      <c r="B4" s="21">
        <f>frac_sam_1month * 2.6</f>
        <v>2.3426520000000003E-2</v>
      </c>
      <c r="C4" s="21">
        <f>frac_sam_1_5months * 2.6</f>
        <v>2.3426520000000003E-2</v>
      </c>
      <c r="D4" s="21">
        <f>frac_sam_6_11months * 2.6</f>
        <v>3.1233800000000003E-3</v>
      </c>
      <c r="E4" s="21">
        <f>frac_sam_12_23months * 2.6</f>
        <v>3.8105600000000002E-3</v>
      </c>
      <c r="F4" s="21">
        <f>frac_sam_24_59months * 2.6</f>
        <v>2.07142E-3</v>
      </c>
    </row>
  </sheetData>
  <sheetProtection algorithmName="SHA-512" hashValue="ONdmmwklBP97lvfo/nZYrxa8OwMG4R8XknftVcaQctEEl0uxRpLkT6+s+LM0PnOHOw8CmqueBaOS0unVvOnBlg==" saltValue="0GtLSrAbx5IsjRdv4WP31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">
      <c r="A2" s="4" t="s">
        <v>83</v>
      </c>
      <c r="B2" s="5" t="s">
        <v>167</v>
      </c>
      <c r="C2" s="60">
        <v>0</v>
      </c>
      <c r="D2" s="60">
        <f>food_insecure</f>
        <v>4.0999999999999988E-2</v>
      </c>
      <c r="E2" s="60">
        <f>food_insecure</f>
        <v>4.0999999999999988E-2</v>
      </c>
      <c r="F2" s="60">
        <f>food_insecure</f>
        <v>4.0999999999999988E-2</v>
      </c>
      <c r="G2" s="60">
        <f>food_insecure</f>
        <v>4.0999999999999988E-2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169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182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4.0999999999999988E-2</v>
      </c>
      <c r="F5" s="60">
        <f>food_insecure</f>
        <v>4.0999999999999988E-2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190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192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193</v>
      </c>
      <c r="C8" s="60">
        <v>0</v>
      </c>
      <c r="D8" s="60">
        <v>0</v>
      </c>
      <c r="E8" s="60">
        <f>food_insecure</f>
        <v>4.0999999999999988E-2</v>
      </c>
      <c r="F8" s="60">
        <f>food_insecure</f>
        <v>4.0999999999999988E-2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204</v>
      </c>
      <c r="C9" s="60">
        <v>0</v>
      </c>
      <c r="D9" s="60">
        <v>0</v>
      </c>
      <c r="E9" s="60">
        <f>food_insecure</f>
        <v>4.0999999999999988E-2</v>
      </c>
      <c r="F9" s="60">
        <f>food_insecure</f>
        <v>4.0999999999999988E-2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164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202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104</v>
      </c>
      <c r="B15" s="9" t="s">
        <v>165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4.0999999999999988E-2</v>
      </c>
      <c r="I15" s="60">
        <f>food_insecure</f>
        <v>4.0999999999999988E-2</v>
      </c>
      <c r="J15" s="60">
        <f>food_insecure</f>
        <v>4.0999999999999988E-2</v>
      </c>
      <c r="K15" s="60">
        <f>food_insecure</f>
        <v>4.0999999999999988E-2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166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178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179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180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188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189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191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211</v>
      </c>
      <c r="B24" s="11" t="s">
        <v>170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0.13500000000000001</v>
      </c>
      <c r="M24" s="60">
        <f>famplan_unmet_need</f>
        <v>0.13500000000000001</v>
      </c>
      <c r="N24" s="60">
        <f>famplan_unmet_need</f>
        <v>0.13500000000000001</v>
      </c>
      <c r="O24" s="60">
        <f>famplan_unmet_need</f>
        <v>0.13500000000000001</v>
      </c>
    </row>
    <row r="25" spans="1:15" ht="15.75" customHeight="1" x14ac:dyDescent="0.25">
      <c r="B25" s="11" t="s">
        <v>174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9.1794461627960414E-2</v>
      </c>
      <c r="M25" s="60">
        <f>(1-food_insecure)*(0.49)+food_insecure*(0.7)</f>
        <v>0.49861</v>
      </c>
      <c r="N25" s="60">
        <f>(1-food_insecure)*(0.49)+food_insecure*(0.7)</f>
        <v>0.49861</v>
      </c>
      <c r="O25" s="60">
        <f>(1-food_insecure)*(0.49)+food_insecure*(0.7)</f>
        <v>0.49861</v>
      </c>
    </row>
    <row r="26" spans="1:15" ht="15.75" customHeight="1" x14ac:dyDescent="0.25">
      <c r="B26" s="11" t="s">
        <v>175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3.9340483554840169E-2</v>
      </c>
      <c r="M26" s="60">
        <f>(1-food_insecure)*(0.21)+food_insecure*(0.3)</f>
        <v>0.21368999999999999</v>
      </c>
      <c r="N26" s="60">
        <f>(1-food_insecure)*(0.21)+food_insecure*(0.3)</f>
        <v>0.21368999999999999</v>
      </c>
      <c r="O26" s="60">
        <f>(1-food_insecure)*(0.21)+food_insecure*(0.3)</f>
        <v>0.21368999999999999</v>
      </c>
    </row>
    <row r="27" spans="1:15" ht="15.75" customHeight="1" x14ac:dyDescent="0.25">
      <c r="B27" s="11" t="s">
        <v>176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5.2965778083801381E-2</v>
      </c>
      <c r="M27" s="60">
        <f>(1-food_insecure)*(0.3)</f>
        <v>0.28769999999999996</v>
      </c>
      <c r="N27" s="60">
        <f>(1-food_insecure)*(0.3)</f>
        <v>0.28769999999999996</v>
      </c>
      <c r="O27" s="60">
        <f>(1-food_insecure)*(0.3)</f>
        <v>0.28769999999999996</v>
      </c>
    </row>
    <row r="28" spans="1:15" ht="15.75" customHeight="1" x14ac:dyDescent="0.25">
      <c r="B28" s="11" t="s">
        <v>177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0.81589927673339802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171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172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173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181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200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201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GbQtan27aFAm4rvmynt902/30Z3eo5A5ZGJANPyumvz3pBVgPE0wCfmY0gfUT6Vqjjh/u/VEZA2m5mh9VjZREQ==" saltValue="hUK90N2m6MKp4xHXXF7fe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183</v>
      </c>
    </row>
    <row r="2" spans="1:1" x14ac:dyDescent="0.25">
      <c r="A2" s="8" t="s">
        <v>213</v>
      </c>
    </row>
    <row r="3" spans="1:1" x14ac:dyDescent="0.25">
      <c r="A3" s="8" t="s">
        <v>212</v>
      </c>
    </row>
    <row r="4" spans="1:1" x14ac:dyDescent="0.25">
      <c r="A4" s="8" t="s">
        <v>214</v>
      </c>
    </row>
  </sheetData>
  <sheetProtection algorithmName="SHA-512" hashValue="oXps7iBvrIdxj5EGsvE3rG2HArgWsfPhrSuv6TNkr7VI4SBpS4uniDlZKE2UWs3ya1iNUYpcy6/ximnA28WQjA==" saltValue="SVGXFksResVpteXXnC4v9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223</v>
      </c>
      <c r="B1" s="4" t="s">
        <v>216</v>
      </c>
      <c r="C1" s="4" t="s">
        <v>227</v>
      </c>
      <c r="D1" s="4" t="s">
        <v>145</v>
      </c>
      <c r="E1" s="4" t="s">
        <v>225</v>
      </c>
    </row>
    <row r="2" spans="1:5" ht="14" customHeight="1" x14ac:dyDescent="0.3">
      <c r="A2" s="28" t="s">
        <v>215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222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+PK3VMB+9aiEaC92iw3IgfrSS1wZNQa1mB0zLtDKUuAMsSKswGI2q34b0ZzOSSOC/D9BMadzuZkm98QVPwiPig==" saltValue="79yjzQqXrKqItF6vVw3lN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5">
      <c r="A2" s="4" t="s">
        <v>83</v>
      </c>
      <c r="B2" s="5" t="s">
        <v>167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169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152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153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182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190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192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193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164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202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104</v>
      </c>
      <c r="B18" s="5" t="s">
        <v>165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166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178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179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191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211</v>
      </c>
      <c r="B27" s="5" t="s">
        <v>170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174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175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176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177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171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172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173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181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200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201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kTvEW+5AgzVSYhPyHWeXZmSEcXExES6usbLTI6HdkIOBM1mWJtWu5HfhWCduBsY/UlzmSBy1iflp1W32ep52+g==" saltValue="VVCT6FrXzUl7fl2XMjeVR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5" t="s">
        <v>165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166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167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169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170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171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172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173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174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175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176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177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178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179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180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181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151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152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153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182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184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188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189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190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191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192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193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204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164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196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197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198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199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200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201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202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203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Miu5SrPqc2h10WyTMxmlRLlnpZyFfynjahPmWfUURNJlLVTdkCLo2t7c6fj0uJGTiIq3qvmpvTgLxQVOySl13g==" saltValue="uKHfjWMRjgDKkt2X/u46g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8" t="s">
        <v>78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74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77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75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76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113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114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115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116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68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69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70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71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VBYFnc5mTjrgi0qXCv6YdEfzNIxG5SBeogNcBDqaPsGrwaku6b8x2qdJhUari7hR4FE6xMSEEymIfWALemalSg==" saltValue="oe+BWLgAx4Vt9QpIxRUM6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234</v>
      </c>
      <c r="B1" s="4" t="s">
        <v>156</v>
      </c>
      <c r="C1" s="4" t="s">
        <v>160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10" ht="13" customHeight="1" x14ac:dyDescent="0.3">
      <c r="A2" s="4" t="s">
        <v>236</v>
      </c>
      <c r="B2" s="103" t="s">
        <v>104</v>
      </c>
      <c r="C2" s="8" t="s">
        <v>150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78</v>
      </c>
      <c r="C5" s="8" t="s">
        <v>150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149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74</v>
      </c>
      <c r="C8" s="8" t="s">
        <v>150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149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77</v>
      </c>
      <c r="C11" s="8" t="s">
        <v>150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149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75</v>
      </c>
      <c r="C14" s="8" t="s">
        <v>150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149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148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242</v>
      </c>
      <c r="B19" s="103" t="s">
        <v>104</v>
      </c>
      <c r="C19" s="8" t="s">
        <v>150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78</v>
      </c>
      <c r="C22" s="8" t="s">
        <v>150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74</v>
      </c>
      <c r="C25" s="8" t="s">
        <v>150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77</v>
      </c>
      <c r="C28" s="8" t="s">
        <v>150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75</v>
      </c>
      <c r="C31" s="8" t="s">
        <v>150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148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239</v>
      </c>
      <c r="B36" s="103" t="s">
        <v>104</v>
      </c>
      <c r="C36" s="8" t="s">
        <v>150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78</v>
      </c>
      <c r="C39" s="8" t="s">
        <v>150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74</v>
      </c>
      <c r="C42" s="8" t="s">
        <v>150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77</v>
      </c>
      <c r="C45" s="8" t="s">
        <v>150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75</v>
      </c>
      <c r="C48" s="8" t="s">
        <v>150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148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234</v>
      </c>
      <c r="B54" s="4" t="s">
        <v>156</v>
      </c>
      <c r="C54" s="4" t="s">
        <v>160</v>
      </c>
      <c r="D54" s="4" t="s">
        <v>78</v>
      </c>
      <c r="E54" s="4" t="s">
        <v>74</v>
      </c>
      <c r="F54" s="4" t="s">
        <v>77</v>
      </c>
      <c r="G54" s="4" t="s">
        <v>75</v>
      </c>
      <c r="H54" s="4" t="s">
        <v>76</v>
      </c>
    </row>
    <row r="55" spans="1:8" ht="13" customHeight="1" x14ac:dyDescent="0.3">
      <c r="A55" s="4" t="s">
        <v>237</v>
      </c>
      <c r="B55" s="103" t="s">
        <v>104</v>
      </c>
      <c r="C55" s="8" t="s">
        <v>150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78</v>
      </c>
      <c r="C58" s="8" t="s">
        <v>150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149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74</v>
      </c>
      <c r="C61" s="8" t="s">
        <v>150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149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77</v>
      </c>
      <c r="C64" s="8" t="s">
        <v>150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149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75</v>
      </c>
      <c r="C67" s="8" t="s">
        <v>150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148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243</v>
      </c>
      <c r="B72" s="103" t="s">
        <v>104</v>
      </c>
      <c r="C72" s="8" t="s">
        <v>150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78</v>
      </c>
      <c r="C75" s="8" t="s">
        <v>150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74</v>
      </c>
      <c r="C78" s="8" t="s">
        <v>150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77</v>
      </c>
      <c r="C81" s="8" t="s">
        <v>150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75</v>
      </c>
      <c r="C84" s="8" t="s">
        <v>150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148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240</v>
      </c>
      <c r="B89" s="103" t="s">
        <v>104</v>
      </c>
      <c r="C89" s="8" t="s">
        <v>150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78</v>
      </c>
      <c r="C92" s="8" t="s">
        <v>150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74</v>
      </c>
      <c r="C95" s="8" t="s">
        <v>150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77</v>
      </c>
      <c r="C98" s="8" t="s">
        <v>150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75</v>
      </c>
      <c r="C101" s="8" t="s">
        <v>150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148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245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234</v>
      </c>
      <c r="B107" s="4" t="s">
        <v>156</v>
      </c>
      <c r="C107" s="4" t="s">
        <v>160</v>
      </c>
      <c r="D107" s="4" t="s">
        <v>78</v>
      </c>
      <c r="E107" s="4" t="s">
        <v>74</v>
      </c>
      <c r="F107" s="4" t="s">
        <v>77</v>
      </c>
      <c r="G107" s="4" t="s">
        <v>75</v>
      </c>
      <c r="H107" s="4" t="s">
        <v>76</v>
      </c>
    </row>
    <row r="108" spans="1:8" ht="13" customHeight="1" x14ac:dyDescent="0.3">
      <c r="A108" s="4" t="s">
        <v>238</v>
      </c>
      <c r="B108" s="103" t="s">
        <v>104</v>
      </c>
      <c r="C108" s="8" t="s">
        <v>150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78</v>
      </c>
      <c r="C111" s="8" t="s">
        <v>150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149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74</v>
      </c>
      <c r="C114" s="8" t="s">
        <v>150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149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77</v>
      </c>
      <c r="C117" s="8" t="s">
        <v>150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149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75</v>
      </c>
      <c r="C120" s="8" t="s">
        <v>150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149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148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244</v>
      </c>
      <c r="B125" s="103" t="s">
        <v>104</v>
      </c>
      <c r="C125" s="8" t="s">
        <v>150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149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78</v>
      </c>
      <c r="C128" s="8" t="s">
        <v>150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149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74</v>
      </c>
      <c r="C131" s="8" t="s">
        <v>150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149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77</v>
      </c>
      <c r="C134" s="8" t="s">
        <v>150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149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75</v>
      </c>
      <c r="C137" s="8" t="s">
        <v>150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149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148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241</v>
      </c>
      <c r="B142" s="103" t="s">
        <v>104</v>
      </c>
      <c r="C142" s="8" t="s">
        <v>150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149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78</v>
      </c>
      <c r="C145" s="8" t="s">
        <v>150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149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74</v>
      </c>
      <c r="C148" s="8" t="s">
        <v>150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149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77</v>
      </c>
      <c r="C151" s="8" t="s">
        <v>150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149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75</v>
      </c>
      <c r="C154" s="8" t="s">
        <v>150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149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148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8z0EySPANfT3CA/tvba55Y5GxMV9bhWSxsD03/OM4KavJiy9RmDrw0UphzUBkbq6qKVDHd63O1vM/v8utdk25Q==" saltValue="h9E06+jUf+VGgL9omqaJ1Q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248</v>
      </c>
    </row>
    <row r="2" spans="1:6" ht="15.75" customHeight="1" x14ac:dyDescent="0.3">
      <c r="B2" s="69"/>
      <c r="C2" s="26" t="s">
        <v>58</v>
      </c>
      <c r="D2" s="70" t="s">
        <v>59</v>
      </c>
      <c r="E2" s="70" t="s">
        <v>51</v>
      </c>
      <c r="F2" s="70" t="s">
        <v>52</v>
      </c>
    </row>
    <row r="3" spans="1:6" ht="15.75" customHeight="1" x14ac:dyDescent="0.3">
      <c r="A3" s="4" t="s">
        <v>255</v>
      </c>
      <c r="B3" s="14"/>
      <c r="C3" s="71"/>
      <c r="D3" s="72"/>
      <c r="E3" s="72"/>
      <c r="F3" s="72"/>
    </row>
    <row r="4" spans="1:6" ht="15.75" customHeight="1" x14ac:dyDescent="0.25">
      <c r="B4" s="5" t="s">
        <v>27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63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10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11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252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261</v>
      </c>
      <c r="C11" s="74"/>
      <c r="D11" s="75"/>
      <c r="E11" s="75"/>
      <c r="F11" s="75"/>
    </row>
    <row r="12" spans="1:6" ht="15.75" customHeight="1" x14ac:dyDescent="0.3">
      <c r="A12" s="4" t="s">
        <v>249</v>
      </c>
      <c r="C12" s="73"/>
      <c r="D12" s="64"/>
      <c r="E12" s="64"/>
      <c r="F12" s="64"/>
    </row>
    <row r="13" spans="1:6" ht="15.75" customHeight="1" x14ac:dyDescent="0.25">
      <c r="B13" s="11" t="s">
        <v>264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119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258</v>
      </c>
      <c r="B17" s="14"/>
      <c r="C17" s="77"/>
      <c r="D17" s="78"/>
      <c r="E17" s="78"/>
      <c r="F17" s="78"/>
    </row>
    <row r="18" spans="1:6" ht="15.75" customHeight="1" x14ac:dyDescent="0.25">
      <c r="B18" s="5" t="s">
        <v>93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95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96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98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92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94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248</v>
      </c>
    </row>
    <row r="29" spans="1:6" ht="15.75" customHeight="1" x14ac:dyDescent="0.3">
      <c r="B29" s="69"/>
      <c r="C29" s="26" t="s">
        <v>58</v>
      </c>
      <c r="D29" s="70" t="s">
        <v>59</v>
      </c>
      <c r="E29" s="70" t="s">
        <v>51</v>
      </c>
      <c r="F29" s="70" t="s">
        <v>52</v>
      </c>
    </row>
    <row r="30" spans="1:6" ht="15.75" customHeight="1" x14ac:dyDescent="0.3">
      <c r="A30" s="4" t="s">
        <v>256</v>
      </c>
      <c r="B30" s="14"/>
      <c r="C30" s="71"/>
      <c r="D30" s="72"/>
      <c r="E30" s="72"/>
      <c r="F30" s="72"/>
    </row>
    <row r="31" spans="1:6" ht="15.75" customHeight="1" x14ac:dyDescent="0.25">
      <c r="B31" s="5" t="s">
        <v>27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63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10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11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261</v>
      </c>
      <c r="B38" s="68"/>
      <c r="C38" s="74"/>
      <c r="D38" s="75"/>
      <c r="E38" s="75"/>
      <c r="F38" s="75"/>
    </row>
    <row r="39" spans="1:6" ht="15.75" customHeight="1" x14ac:dyDescent="0.3">
      <c r="A39" s="4" t="s">
        <v>250</v>
      </c>
      <c r="C39" s="73"/>
      <c r="D39" s="64"/>
      <c r="E39" s="64"/>
      <c r="F39" s="64"/>
    </row>
    <row r="40" spans="1:6" ht="15.75" customHeight="1" x14ac:dyDescent="0.25">
      <c r="B40" s="11" t="s">
        <v>265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246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262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259</v>
      </c>
      <c r="B44" s="14"/>
      <c r="C44" s="77"/>
      <c r="D44" s="78"/>
      <c r="E44" s="78"/>
      <c r="F44" s="78"/>
    </row>
    <row r="45" spans="1:6" ht="15.75" customHeight="1" x14ac:dyDescent="0.25">
      <c r="B45" s="5" t="s">
        <v>93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95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96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98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92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94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245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248</v>
      </c>
    </row>
    <row r="56" spans="1:6" ht="15.75" customHeight="1" x14ac:dyDescent="0.3">
      <c r="B56" s="69"/>
      <c r="C56" s="26" t="s">
        <v>58</v>
      </c>
      <c r="D56" s="70" t="s">
        <v>59</v>
      </c>
      <c r="E56" s="70" t="s">
        <v>51</v>
      </c>
      <c r="F56" s="70" t="s">
        <v>52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63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10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11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261</v>
      </c>
      <c r="B65" s="68"/>
      <c r="C65" s="74"/>
      <c r="D65" s="75"/>
      <c r="E65" s="75"/>
      <c r="F65" s="75"/>
    </row>
    <row r="66" spans="1:6" ht="15.75" customHeight="1" x14ac:dyDescent="0.3">
      <c r="A66" s="4" t="s">
        <v>251</v>
      </c>
      <c r="C66" s="73"/>
      <c r="D66" s="64"/>
      <c r="E66" s="64"/>
      <c r="F66" s="64"/>
    </row>
    <row r="67" spans="1:6" ht="15.75" customHeight="1" x14ac:dyDescent="0.25">
      <c r="B67" s="11" t="s">
        <v>266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247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263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260</v>
      </c>
      <c r="B71" s="14"/>
      <c r="C71" s="77"/>
      <c r="D71" s="78"/>
      <c r="E71" s="78"/>
      <c r="F71" s="78"/>
    </row>
    <row r="72" spans="1:6" ht="15.75" customHeight="1" x14ac:dyDescent="0.25">
      <c r="B72" s="5" t="s">
        <v>93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95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96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98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92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94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0PhYhEdexVuYpL5cy82bw2+Jl6zES3GAaausqpQFuYD+soLJSc0YRgsIYsESFch0z2KELuILTeXCLHINZLTQ9g==" saltValue="K23drxKKO5HFD9Hm4pGlZ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278</v>
      </c>
    </row>
    <row r="2" spans="1:16" ht="13" customHeight="1" x14ac:dyDescent="0.3">
      <c r="A2" s="39" t="s">
        <v>230</v>
      </c>
      <c r="B2" s="1" t="s">
        <v>270</v>
      </c>
      <c r="C2" s="1" t="s">
        <v>271</v>
      </c>
      <c r="D2" s="70" t="s">
        <v>78</v>
      </c>
      <c r="E2" s="70" t="s">
        <v>74</v>
      </c>
      <c r="F2" s="70" t="s">
        <v>77</v>
      </c>
      <c r="G2" s="70" t="s">
        <v>75</v>
      </c>
      <c r="H2" s="70" t="s">
        <v>76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84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273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274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272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102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273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274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272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273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274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272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273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274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272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273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274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272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99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273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274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272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279</v>
      </c>
    </row>
    <row r="29" spans="1:16" ht="13" customHeight="1" x14ac:dyDescent="0.3">
      <c r="A29" s="39" t="s">
        <v>282</v>
      </c>
      <c r="B29" s="4" t="s">
        <v>270</v>
      </c>
      <c r="C29" s="4" t="s">
        <v>281</v>
      </c>
      <c r="D29" s="70" t="s">
        <v>78</v>
      </c>
      <c r="E29" s="70" t="s">
        <v>74</v>
      </c>
      <c r="F29" s="70" t="s">
        <v>77</v>
      </c>
      <c r="G29" s="70" t="s">
        <v>75</v>
      </c>
      <c r="H29" s="70" t="s">
        <v>76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84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273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102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273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273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273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273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99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273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276</v>
      </c>
    </row>
    <row r="56" spans="1:16" ht="26" customHeight="1" x14ac:dyDescent="0.3">
      <c r="A56" s="39" t="s">
        <v>105</v>
      </c>
      <c r="B56" s="4" t="s">
        <v>270</v>
      </c>
      <c r="C56" s="69" t="s">
        <v>267</v>
      </c>
      <c r="D56" s="70" t="s">
        <v>113</v>
      </c>
      <c r="E56" s="70" t="s">
        <v>114</v>
      </c>
      <c r="F56" s="70" t="s">
        <v>115</v>
      </c>
      <c r="G56" s="70" t="s">
        <v>116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81</v>
      </c>
      <c r="C57" s="3" t="s">
        <v>275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268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89</v>
      </c>
      <c r="C59" s="3" t="s">
        <v>275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268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275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268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277</v>
      </c>
    </row>
    <row r="65" spans="1:16" ht="26" customHeight="1" x14ac:dyDescent="0.3">
      <c r="A65" s="39" t="s">
        <v>123</v>
      </c>
      <c r="B65" s="4" t="s">
        <v>270</v>
      </c>
      <c r="C65" s="69" t="s">
        <v>269</v>
      </c>
      <c r="D65" s="70" t="s">
        <v>78</v>
      </c>
      <c r="E65" s="70" t="s">
        <v>74</v>
      </c>
      <c r="F65" s="70" t="s">
        <v>77</v>
      </c>
      <c r="G65" s="70" t="s">
        <v>75</v>
      </c>
      <c r="H65" s="81" t="s">
        <v>76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93</v>
      </c>
      <c r="C66" s="3" t="s">
        <v>124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127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126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125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124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127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126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125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95</v>
      </c>
      <c r="C74" s="3" t="s">
        <v>124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127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126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125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96</v>
      </c>
      <c r="C78" s="3" t="s">
        <v>124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127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126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125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84</v>
      </c>
      <c r="C82" s="3" t="s">
        <v>124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127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126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125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102</v>
      </c>
      <c r="C86" s="3" t="s">
        <v>124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127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126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125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124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127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126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125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124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127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126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125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101</v>
      </c>
      <c r="C98" s="3" t="s">
        <v>124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127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126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125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84</v>
      </c>
      <c r="B104" s="82" t="s">
        <v>125</v>
      </c>
      <c r="C104" s="69" t="s">
        <v>269</v>
      </c>
      <c r="D104" s="70" t="s">
        <v>78</v>
      </c>
      <c r="E104" s="70" t="s">
        <v>74</v>
      </c>
      <c r="F104" s="70" t="s">
        <v>77</v>
      </c>
      <c r="G104" s="70" t="s">
        <v>75</v>
      </c>
      <c r="H104" s="81" t="s">
        <v>76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124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127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126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125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278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230</v>
      </c>
      <c r="B112" s="1" t="s">
        <v>270</v>
      </c>
      <c r="C112" s="1" t="s">
        <v>271</v>
      </c>
      <c r="D112" s="70" t="s">
        <v>78</v>
      </c>
      <c r="E112" s="70" t="s">
        <v>74</v>
      </c>
      <c r="F112" s="70" t="s">
        <v>77</v>
      </c>
      <c r="G112" s="70" t="s">
        <v>75</v>
      </c>
      <c r="H112" s="70" t="s">
        <v>76</v>
      </c>
    </row>
    <row r="113" spans="1:8" ht="13" customHeight="1" x14ac:dyDescent="0.3">
      <c r="A113" s="4"/>
      <c r="B113" s="8" t="s">
        <v>84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273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274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272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102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273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274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272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273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274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272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273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274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272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273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274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272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99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273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274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272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279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282</v>
      </c>
      <c r="B139" s="4" t="s">
        <v>270</v>
      </c>
      <c r="C139" s="4" t="s">
        <v>281</v>
      </c>
      <c r="D139" s="70" t="s">
        <v>78</v>
      </c>
      <c r="E139" s="70" t="s">
        <v>74</v>
      </c>
      <c r="F139" s="70" t="s">
        <v>77</v>
      </c>
      <c r="G139" s="70" t="s">
        <v>75</v>
      </c>
      <c r="H139" s="70" t="s">
        <v>76</v>
      </c>
    </row>
    <row r="140" spans="1:8" ht="13" customHeight="1" x14ac:dyDescent="0.3">
      <c r="A140" s="4"/>
      <c r="B140" s="8" t="s">
        <v>84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273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102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273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273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273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273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99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273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276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105</v>
      </c>
      <c r="B166" s="4" t="s">
        <v>270</v>
      </c>
      <c r="C166" s="69" t="s">
        <v>267</v>
      </c>
      <c r="D166" s="70" t="s">
        <v>113</v>
      </c>
      <c r="E166" s="70" t="s">
        <v>114</v>
      </c>
      <c r="F166" s="70" t="s">
        <v>115</v>
      </c>
      <c r="G166" s="70" t="s">
        <v>116</v>
      </c>
      <c r="H166" s="79"/>
    </row>
    <row r="167" spans="1:8" ht="13" customHeight="1" x14ac:dyDescent="0.3">
      <c r="A167" s="4"/>
      <c r="B167" s="8" t="s">
        <v>81</v>
      </c>
      <c r="C167" s="3" t="s">
        <v>275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268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89</v>
      </c>
      <c r="C169" s="3" t="s">
        <v>275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268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275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268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277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123</v>
      </c>
      <c r="B175" s="4" t="s">
        <v>270</v>
      </c>
      <c r="C175" s="69" t="s">
        <v>269</v>
      </c>
      <c r="D175" s="70" t="s">
        <v>78</v>
      </c>
      <c r="E175" s="70" t="s">
        <v>74</v>
      </c>
      <c r="F175" s="70" t="s">
        <v>77</v>
      </c>
      <c r="G175" s="70" t="s">
        <v>75</v>
      </c>
      <c r="H175" s="81" t="s">
        <v>76</v>
      </c>
    </row>
    <row r="176" spans="1:8" ht="13" customHeight="1" x14ac:dyDescent="0.3">
      <c r="A176" s="82"/>
      <c r="B176" s="8" t="s">
        <v>93</v>
      </c>
      <c r="C176" s="3" t="s">
        <v>124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127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126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125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124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127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126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125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95</v>
      </c>
      <c r="C184" s="3" t="s">
        <v>124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127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126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125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96</v>
      </c>
      <c r="C188" s="3" t="s">
        <v>124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127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126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125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84</v>
      </c>
      <c r="C192" s="3" t="s">
        <v>124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127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126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125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102</v>
      </c>
      <c r="C196" s="3" t="s">
        <v>124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127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126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125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124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127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126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125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124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127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126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125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101</v>
      </c>
      <c r="C208" s="3" t="s">
        <v>124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127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126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125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84</v>
      </c>
      <c r="B214" s="82" t="s">
        <v>125</v>
      </c>
      <c r="C214" s="69" t="s">
        <v>269</v>
      </c>
      <c r="D214" s="70" t="s">
        <v>78</v>
      </c>
      <c r="E214" s="70" t="s">
        <v>74</v>
      </c>
      <c r="F214" s="70" t="s">
        <v>77</v>
      </c>
      <c r="G214" s="70" t="s">
        <v>75</v>
      </c>
      <c r="H214" s="81" t="s">
        <v>76</v>
      </c>
    </row>
    <row r="215" spans="1:9" ht="13" customHeight="1" x14ac:dyDescent="0.3">
      <c r="A215" s="4"/>
      <c r="C215" s="3" t="s">
        <v>124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127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126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125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245</v>
      </c>
      <c r="H220" s="92"/>
    </row>
    <row r="221" spans="1:9" ht="13" customHeight="1" x14ac:dyDescent="0.3">
      <c r="A221" s="67" t="s">
        <v>278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230</v>
      </c>
      <c r="B222" s="1" t="s">
        <v>270</v>
      </c>
      <c r="C222" s="1" t="s">
        <v>271</v>
      </c>
      <c r="D222" s="70" t="s">
        <v>78</v>
      </c>
      <c r="E222" s="70" t="s">
        <v>74</v>
      </c>
      <c r="F222" s="70" t="s">
        <v>77</v>
      </c>
      <c r="G222" s="70" t="s">
        <v>75</v>
      </c>
      <c r="H222" s="70" t="s">
        <v>76</v>
      </c>
      <c r="I222" s="79"/>
    </row>
    <row r="223" spans="1:9" ht="13" customHeight="1" x14ac:dyDescent="0.3">
      <c r="A223" s="4"/>
      <c r="B223" s="8" t="s">
        <v>84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273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274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272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102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273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274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272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273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274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272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273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274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272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273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274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272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99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273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274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272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282</v>
      </c>
      <c r="B249" s="4" t="s">
        <v>270</v>
      </c>
      <c r="C249" s="4" t="s">
        <v>281</v>
      </c>
      <c r="D249" s="70" t="s">
        <v>78</v>
      </c>
      <c r="E249" s="70" t="s">
        <v>74</v>
      </c>
      <c r="F249" s="70" t="s">
        <v>77</v>
      </c>
      <c r="G249" s="70" t="s">
        <v>75</v>
      </c>
      <c r="H249" s="70" t="s">
        <v>76</v>
      </c>
      <c r="I249" s="79"/>
    </row>
    <row r="250" spans="1:9" ht="13" customHeight="1" x14ac:dyDescent="0.3">
      <c r="A250" s="4"/>
      <c r="B250" s="8" t="s">
        <v>84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273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102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273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273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273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273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99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273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276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105</v>
      </c>
      <c r="B276" s="4" t="s">
        <v>270</v>
      </c>
      <c r="C276" s="69" t="s">
        <v>267</v>
      </c>
      <c r="D276" s="70" t="s">
        <v>113</v>
      </c>
      <c r="E276" s="70" t="s">
        <v>114</v>
      </c>
      <c r="F276" s="70" t="s">
        <v>115</v>
      </c>
      <c r="G276" s="70" t="s">
        <v>116</v>
      </c>
      <c r="H276" s="79"/>
    </row>
    <row r="277" spans="1:9" ht="13" customHeight="1" x14ac:dyDescent="0.3">
      <c r="A277" s="4"/>
      <c r="B277" s="8" t="s">
        <v>81</v>
      </c>
      <c r="C277" s="3" t="s">
        <v>275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268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89</v>
      </c>
      <c r="C279" s="3" t="s">
        <v>275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268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275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268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277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123</v>
      </c>
      <c r="B285" s="4" t="s">
        <v>270</v>
      </c>
      <c r="C285" s="69" t="s">
        <v>269</v>
      </c>
      <c r="D285" s="70" t="s">
        <v>78</v>
      </c>
      <c r="E285" s="70" t="s">
        <v>74</v>
      </c>
      <c r="F285" s="70" t="s">
        <v>77</v>
      </c>
      <c r="G285" s="70" t="s">
        <v>75</v>
      </c>
      <c r="H285" s="81" t="s">
        <v>76</v>
      </c>
      <c r="I285" s="79"/>
    </row>
    <row r="286" spans="1:9" ht="13" customHeight="1" x14ac:dyDescent="0.3">
      <c r="A286" s="82"/>
      <c r="B286" s="8" t="s">
        <v>93</v>
      </c>
      <c r="C286" s="3" t="s">
        <v>124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127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126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125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124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127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126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125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95</v>
      </c>
      <c r="C294" s="3" t="s">
        <v>124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127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126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125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96</v>
      </c>
      <c r="C298" s="3" t="s">
        <v>124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127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126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125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84</v>
      </c>
      <c r="C302" s="3" t="s">
        <v>124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127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126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125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102</v>
      </c>
      <c r="C306" s="3" t="s">
        <v>124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127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126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125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124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127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126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125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124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127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126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125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101</v>
      </c>
      <c r="C318" s="3" t="s">
        <v>124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127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126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125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84</v>
      </c>
      <c r="B324" s="82" t="s">
        <v>125</v>
      </c>
      <c r="C324" s="69" t="s">
        <v>269</v>
      </c>
      <c r="D324" s="70" t="s">
        <v>78</v>
      </c>
      <c r="E324" s="70" t="s">
        <v>74</v>
      </c>
      <c r="F324" s="70" t="s">
        <v>77</v>
      </c>
      <c r="G324" s="70" t="s">
        <v>75</v>
      </c>
      <c r="H324" s="81" t="s">
        <v>76</v>
      </c>
      <c r="I324" s="79"/>
    </row>
    <row r="325" spans="1:9" ht="13" customHeight="1" x14ac:dyDescent="0.3">
      <c r="A325" s="4"/>
      <c r="C325" s="3" t="s">
        <v>124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127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126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125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VIzYYP1GZVG0rF/NA71vVyR9WTg8tGPD1YWOMmeeYhfmt7WbZMJvHjqg9RxkqKmF52jXq1todA2crThVyAchXg==" saltValue="GXDjog3618JElvATYXl4u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313</v>
      </c>
    </row>
    <row r="2" spans="1:7" ht="14.25" customHeight="1" x14ac:dyDescent="0.3">
      <c r="A2" s="82" t="s">
        <v>208</v>
      </c>
      <c r="B2" s="1"/>
      <c r="C2" s="4" t="s">
        <v>78</v>
      </c>
      <c r="D2" s="4" t="s">
        <v>74</v>
      </c>
      <c r="E2" s="4" t="s">
        <v>77</v>
      </c>
      <c r="F2" s="4" t="s">
        <v>75</v>
      </c>
      <c r="G2" s="4" t="s">
        <v>76</v>
      </c>
    </row>
    <row r="3" spans="1:7" ht="14.25" customHeight="1" x14ac:dyDescent="0.25">
      <c r="B3" s="11" t="s">
        <v>300</v>
      </c>
      <c r="C3" s="90" t="s">
        <v>8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286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283</v>
      </c>
    </row>
    <row r="6" spans="1:7" ht="14.25" customHeight="1" x14ac:dyDescent="0.25">
      <c r="B6" s="5" t="s">
        <v>193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204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307</v>
      </c>
    </row>
    <row r="12" spans="1:7" ht="14.25" customHeight="1" x14ac:dyDescent="0.3">
      <c r="A12" s="14"/>
      <c r="B12" s="11" t="s">
        <v>182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314</v>
      </c>
    </row>
    <row r="15" spans="1:7" ht="14.25" customHeight="1" x14ac:dyDescent="0.3">
      <c r="A15" s="82" t="s">
        <v>282</v>
      </c>
      <c r="B15" s="5" t="s">
        <v>294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291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105</v>
      </c>
      <c r="B17" s="11" t="s">
        <v>297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310</v>
      </c>
    </row>
    <row r="20" spans="1:7" s="14" customFormat="1" ht="14.25" customHeight="1" x14ac:dyDescent="0.3">
      <c r="C20" s="4" t="s">
        <v>68</v>
      </c>
      <c r="D20" s="4" t="s">
        <v>69</v>
      </c>
      <c r="E20" s="4" t="s">
        <v>70</v>
      </c>
      <c r="F20" s="4" t="s">
        <v>71</v>
      </c>
    </row>
    <row r="21" spans="1:7" x14ac:dyDescent="0.25">
      <c r="B21" s="11" t="s">
        <v>170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313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208</v>
      </c>
      <c r="B25" s="1"/>
      <c r="C25" s="4" t="s">
        <v>78</v>
      </c>
      <c r="D25" s="4" t="s">
        <v>74</v>
      </c>
      <c r="E25" s="4" t="s">
        <v>77</v>
      </c>
      <c r="F25" s="4" t="s">
        <v>75</v>
      </c>
      <c r="G25" s="4" t="s">
        <v>76</v>
      </c>
    </row>
    <row r="26" spans="1:7" x14ac:dyDescent="0.25">
      <c r="B26" s="11" t="s">
        <v>301</v>
      </c>
      <c r="C26" s="90" t="s">
        <v>8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287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284</v>
      </c>
    </row>
    <row r="29" spans="1:7" x14ac:dyDescent="0.25">
      <c r="B29" s="5" t="s">
        <v>315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305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319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317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308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303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314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282</v>
      </c>
      <c r="B38" s="5" t="s">
        <v>295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105</v>
      </c>
      <c r="B40" s="11" t="s">
        <v>298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311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68</v>
      </c>
      <c r="D43" s="4" t="s">
        <v>69</v>
      </c>
      <c r="E43" s="4" t="s">
        <v>70</v>
      </c>
      <c r="F43" s="4" t="s">
        <v>71</v>
      </c>
      <c r="G43" s="14"/>
    </row>
    <row r="44" spans="1:7" x14ac:dyDescent="0.25">
      <c r="B44" s="11" t="s">
        <v>289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245</v>
      </c>
    </row>
    <row r="47" spans="1:7" ht="13" customHeight="1" x14ac:dyDescent="0.3">
      <c r="A47" s="67" t="s">
        <v>313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208</v>
      </c>
      <c r="B48" s="1"/>
      <c r="C48" s="4" t="s">
        <v>78</v>
      </c>
      <c r="D48" s="4" t="s">
        <v>74</v>
      </c>
      <c r="E48" s="4" t="s">
        <v>77</v>
      </c>
      <c r="F48" s="4" t="s">
        <v>75</v>
      </c>
      <c r="G48" s="4" t="s">
        <v>76</v>
      </c>
    </row>
    <row r="49" spans="1:7" x14ac:dyDescent="0.25">
      <c r="B49" s="11" t="s">
        <v>302</v>
      </c>
      <c r="C49" s="90" t="s">
        <v>8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288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285</v>
      </c>
    </row>
    <row r="52" spans="1:7" x14ac:dyDescent="0.25">
      <c r="B52" s="5" t="s">
        <v>316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320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318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309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314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282</v>
      </c>
      <c r="B61" s="5" t="s">
        <v>296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293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105</v>
      </c>
      <c r="B63" s="11" t="s">
        <v>299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312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68</v>
      </c>
      <c r="D66" s="4" t="s">
        <v>69</v>
      </c>
      <c r="E66" s="4" t="s">
        <v>70</v>
      </c>
      <c r="F66" s="4" t="s">
        <v>71</v>
      </c>
      <c r="G66" s="14"/>
    </row>
    <row r="67" spans="1:7" x14ac:dyDescent="0.25">
      <c r="B67" s="11" t="s">
        <v>290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Bmrw+GR0PR7EsrBqmrCriNtg+xUwrAQNxohRXGwwEYymRGAQzKnjfwFnhYfJd1tiJZLQpAShJk7/3MN5Q/oBUQ==" saltValue="rumnD74dfmVnnH4ajsUyz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163</v>
      </c>
      <c r="B1" s="4"/>
      <c r="C1" s="4" t="s">
        <v>52</v>
      </c>
      <c r="D1" s="4" t="s">
        <v>59</v>
      </c>
      <c r="E1" s="4" t="s">
        <v>51</v>
      </c>
      <c r="F1" s="1" t="s">
        <v>58</v>
      </c>
    </row>
    <row r="2" spans="1:6" ht="15.75" customHeight="1" x14ac:dyDescent="0.25">
      <c r="A2" s="5" t="s">
        <v>165</v>
      </c>
      <c r="B2" s="5" t="s">
        <v>322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178</v>
      </c>
      <c r="B4" s="5" t="s">
        <v>322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179</v>
      </c>
      <c r="B6" s="5" t="s">
        <v>322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180</v>
      </c>
      <c r="B8" s="5" t="s">
        <v>322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322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191</v>
      </c>
      <c r="B12" s="5" t="s">
        <v>322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163</v>
      </c>
      <c r="B16" s="4"/>
      <c r="C16" s="4" t="s">
        <v>52</v>
      </c>
      <c r="D16" s="4" t="s">
        <v>59</v>
      </c>
      <c r="E16" s="4" t="s">
        <v>51</v>
      </c>
      <c r="F16" s="1" t="s">
        <v>58</v>
      </c>
    </row>
    <row r="17" spans="1:6" ht="15.75" customHeight="1" x14ac:dyDescent="0.25">
      <c r="A17" s="5" t="s">
        <v>165</v>
      </c>
      <c r="B17" s="5" t="s">
        <v>322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178</v>
      </c>
      <c r="B19" s="5" t="s">
        <v>322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179</v>
      </c>
      <c r="B21" s="5" t="s">
        <v>322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180</v>
      </c>
      <c r="B23" s="5" t="s">
        <v>322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322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191</v>
      </c>
      <c r="B27" s="5" t="s">
        <v>322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245</v>
      </c>
    </row>
    <row r="31" spans="1:6" ht="15.75" customHeight="1" x14ac:dyDescent="0.3">
      <c r="A31" s="1" t="s">
        <v>163</v>
      </c>
      <c r="B31" s="4"/>
      <c r="C31" s="4" t="s">
        <v>52</v>
      </c>
      <c r="D31" s="4" t="s">
        <v>59</v>
      </c>
      <c r="E31" s="4" t="s">
        <v>51</v>
      </c>
      <c r="F31" s="1" t="s">
        <v>58</v>
      </c>
    </row>
    <row r="32" spans="1:6" ht="15.75" customHeight="1" x14ac:dyDescent="0.25">
      <c r="A32" s="5" t="s">
        <v>165</v>
      </c>
      <c r="B32" s="5" t="s">
        <v>322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178</v>
      </c>
      <c r="B34" s="5" t="s">
        <v>322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179</v>
      </c>
      <c r="B36" s="5" t="s">
        <v>322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180</v>
      </c>
      <c r="B38" s="5" t="s">
        <v>322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322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191</v>
      </c>
      <c r="B42" s="5" t="s">
        <v>322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kr/CqUBMR38jxZ9yFyiEd0kSqat5nd1pJnDxBhIPjfXQ/Hrh+w5sQofUcSaPRq8ipYk99sxH6Ppxmr7WDevbuA==" saltValue="SjoaSVVZUpIMst1HDr5Vl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78</v>
      </c>
      <c r="D1" s="70" t="s">
        <v>74</v>
      </c>
      <c r="E1" s="70" t="s">
        <v>77</v>
      </c>
      <c r="F1" s="70" t="s">
        <v>75</v>
      </c>
      <c r="G1" s="70" t="s">
        <v>76</v>
      </c>
      <c r="H1" s="70" t="s">
        <v>68</v>
      </c>
      <c r="I1" s="70" t="s">
        <v>69</v>
      </c>
      <c r="J1" s="70" t="s">
        <v>70</v>
      </c>
      <c r="K1" s="70" t="s">
        <v>71</v>
      </c>
      <c r="L1" s="70" t="s">
        <v>113</v>
      </c>
      <c r="M1" s="70" t="s">
        <v>114</v>
      </c>
      <c r="N1" s="70" t="s">
        <v>115</v>
      </c>
      <c r="O1" s="70" t="s">
        <v>116</v>
      </c>
    </row>
    <row r="2" spans="1:15" ht="13" customHeight="1" x14ac:dyDescent="0.3">
      <c r="A2" s="4" t="s">
        <v>326</v>
      </c>
    </row>
    <row r="3" spans="1:15" x14ac:dyDescent="0.25">
      <c r="B3" s="11" t="s">
        <v>169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174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175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176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177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178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179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180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190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191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171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172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173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181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78</v>
      </c>
      <c r="D24" s="70" t="s">
        <v>74</v>
      </c>
      <c r="E24" s="70" t="s">
        <v>77</v>
      </c>
      <c r="F24" s="70" t="s">
        <v>75</v>
      </c>
      <c r="G24" s="70" t="s">
        <v>76</v>
      </c>
      <c r="H24" s="70" t="s">
        <v>68</v>
      </c>
      <c r="I24" s="70" t="s">
        <v>69</v>
      </c>
      <c r="J24" s="70" t="s">
        <v>70</v>
      </c>
      <c r="K24" s="70" t="s">
        <v>71</v>
      </c>
      <c r="L24" s="70" t="s">
        <v>113</v>
      </c>
      <c r="M24" s="70" t="s">
        <v>114</v>
      </c>
      <c r="N24" s="70" t="s">
        <v>115</v>
      </c>
      <c r="O24" s="70" t="s">
        <v>116</v>
      </c>
    </row>
    <row r="25" spans="1:15" ht="13" customHeight="1" x14ac:dyDescent="0.3">
      <c r="A25" s="4" t="s">
        <v>327</v>
      </c>
    </row>
    <row r="26" spans="1:15" x14ac:dyDescent="0.25">
      <c r="B26" s="11" t="s">
        <v>169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174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175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176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177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178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179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180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190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191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204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324</v>
      </c>
      <c r="B40" s="11"/>
    </row>
    <row r="41" spans="1:15" x14ac:dyDescent="0.25">
      <c r="B41" s="5" t="s">
        <v>171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172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173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181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245</v>
      </c>
    </row>
    <row r="47" spans="1:15" ht="26" customHeight="1" x14ac:dyDescent="0.3">
      <c r="A47" s="4"/>
      <c r="B47" s="4"/>
      <c r="C47" s="70" t="s">
        <v>78</v>
      </c>
      <c r="D47" s="70" t="s">
        <v>74</v>
      </c>
      <c r="E47" s="70" t="s">
        <v>77</v>
      </c>
      <c r="F47" s="70" t="s">
        <v>75</v>
      </c>
      <c r="G47" s="70" t="s">
        <v>76</v>
      </c>
      <c r="H47" s="70" t="s">
        <v>68</v>
      </c>
      <c r="I47" s="70" t="s">
        <v>69</v>
      </c>
      <c r="J47" s="70" t="s">
        <v>70</v>
      </c>
      <c r="K47" s="70" t="s">
        <v>71</v>
      </c>
      <c r="L47" s="70" t="s">
        <v>113</v>
      </c>
      <c r="M47" s="70" t="s">
        <v>114</v>
      </c>
      <c r="N47" s="70" t="s">
        <v>115</v>
      </c>
      <c r="O47" s="70" t="s">
        <v>116</v>
      </c>
    </row>
    <row r="48" spans="1:15" ht="13" customHeight="1" x14ac:dyDescent="0.3">
      <c r="A48" s="4" t="s">
        <v>328</v>
      </c>
    </row>
    <row r="49" spans="1:15" x14ac:dyDescent="0.25">
      <c r="B49" s="11" t="s">
        <v>169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174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175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176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177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178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179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180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190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191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204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325</v>
      </c>
      <c r="B63" s="11"/>
    </row>
    <row r="64" spans="1:15" x14ac:dyDescent="0.25">
      <c r="B64" s="5" t="s">
        <v>171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172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173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181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C0puDAQe2N7m0MxNmSZHPSJjI7jrYBDWqscegIfw8OmTukRuyyIOmMSgnmlmIlXh6VGiPz5Gl3fXOFTp/27mGw==" saltValue="pYEckDA1+F9GPXVjOHoX1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</row>
    <row r="2" spans="1:7" ht="13" customHeight="1" x14ac:dyDescent="0.3">
      <c r="A2" s="4" t="s">
        <v>333</v>
      </c>
    </row>
    <row r="3" spans="1:7" x14ac:dyDescent="0.25">
      <c r="B3" s="11" t="s">
        <v>164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330</v>
      </c>
      <c r="B4" s="11"/>
      <c r="C4" s="83"/>
      <c r="D4" s="83"/>
      <c r="E4" s="83"/>
      <c r="F4" s="83"/>
      <c r="G4" s="83"/>
    </row>
    <row r="5" spans="1:7" x14ac:dyDescent="0.25">
      <c r="B5" s="5" t="s">
        <v>162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329</v>
      </c>
    </row>
    <row r="8" spans="1:7" ht="13" customHeight="1" x14ac:dyDescent="0.3">
      <c r="A8" s="4"/>
      <c r="B8" s="1"/>
      <c r="C8" s="4" t="s">
        <v>78</v>
      </c>
      <c r="D8" s="4" t="s">
        <v>74</v>
      </c>
      <c r="E8" s="4" t="s">
        <v>77</v>
      </c>
      <c r="F8" s="4" t="s">
        <v>75</v>
      </c>
      <c r="G8" s="4" t="s">
        <v>76</v>
      </c>
    </row>
    <row r="9" spans="1:7" ht="13" customHeight="1" x14ac:dyDescent="0.3">
      <c r="A9" s="4" t="s">
        <v>334</v>
      </c>
    </row>
    <row r="10" spans="1:7" x14ac:dyDescent="0.25">
      <c r="B10" s="11" t="s">
        <v>164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331</v>
      </c>
      <c r="B11" s="11"/>
      <c r="C11" s="83"/>
      <c r="D11" s="83"/>
      <c r="E11" s="83"/>
      <c r="F11" s="83"/>
      <c r="G11" s="83"/>
    </row>
    <row r="12" spans="1:7" x14ac:dyDescent="0.25">
      <c r="B12" s="5" t="s">
        <v>162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336</v>
      </c>
    </row>
    <row r="15" spans="1:7" ht="13" customHeight="1" x14ac:dyDescent="0.3">
      <c r="A15" s="4"/>
      <c r="B15" s="1"/>
      <c r="C15" s="4" t="s">
        <v>78</v>
      </c>
      <c r="D15" s="4" t="s">
        <v>74</v>
      </c>
      <c r="E15" s="4" t="s">
        <v>77</v>
      </c>
      <c r="F15" s="4" t="s">
        <v>75</v>
      </c>
      <c r="G15" s="4" t="s">
        <v>76</v>
      </c>
    </row>
    <row r="16" spans="1:7" ht="13" customHeight="1" x14ac:dyDescent="0.3">
      <c r="A16" s="4" t="s">
        <v>335</v>
      </c>
    </row>
    <row r="17" spans="1:7" x14ac:dyDescent="0.25">
      <c r="B17" s="11" t="s">
        <v>164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332</v>
      </c>
      <c r="B18" s="11"/>
      <c r="C18" s="83"/>
      <c r="D18" s="83"/>
      <c r="E18" s="83"/>
      <c r="F18" s="83"/>
      <c r="G18" s="83"/>
    </row>
    <row r="19" spans="1:7" x14ac:dyDescent="0.25">
      <c r="B19" s="5" t="s">
        <v>162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+62aMxmm5Svv+6ainHOPBn6X176p3+HE2D6sUl1FN3CNEu2kATeXtZPXutsDK/FFI2fEJSFzTrRi+GBY1Ix9QA==" saltValue="9CEy1cwDKOOb59rn49Sro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163</v>
      </c>
      <c r="B1" s="4" t="s">
        <v>340</v>
      </c>
      <c r="C1" s="82" t="s">
        <v>9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8" x14ac:dyDescent="0.25">
      <c r="A2" s="5" t="s">
        <v>196</v>
      </c>
      <c r="B2" s="5" t="s">
        <v>84</v>
      </c>
      <c r="C2" s="5" t="s">
        <v>337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338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193</v>
      </c>
      <c r="B5" s="5" t="s">
        <v>207</v>
      </c>
      <c r="C5" s="5" t="s">
        <v>337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338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337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338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207</v>
      </c>
      <c r="C9" s="5" t="s">
        <v>337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338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337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338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204</v>
      </c>
      <c r="B13" s="5" t="s">
        <v>207</v>
      </c>
      <c r="C13" s="5" t="s">
        <v>337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338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337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338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167</v>
      </c>
      <c r="B17" s="5" t="s">
        <v>207</v>
      </c>
      <c r="C17" s="5" t="s">
        <v>337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338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6</v>
      </c>
      <c r="C19" s="5" t="s">
        <v>337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338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173</v>
      </c>
      <c r="B21" s="5" t="s">
        <v>92</v>
      </c>
      <c r="C21" s="5" t="s">
        <v>337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171</v>
      </c>
      <c r="B23" s="5" t="s">
        <v>92</v>
      </c>
      <c r="C23" s="5" t="s">
        <v>337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172</v>
      </c>
      <c r="B25" s="5" t="s">
        <v>92</v>
      </c>
      <c r="C25" s="5" t="s">
        <v>337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200</v>
      </c>
      <c r="B27" s="5" t="s">
        <v>84</v>
      </c>
      <c r="C27" s="5" t="s">
        <v>337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338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201</v>
      </c>
      <c r="B30" s="5" t="s">
        <v>84</v>
      </c>
      <c r="C30" s="5" t="s">
        <v>337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338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199</v>
      </c>
      <c r="B33" s="5" t="s">
        <v>84</v>
      </c>
      <c r="C33" s="5" t="s">
        <v>337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338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198</v>
      </c>
      <c r="B36" s="5" t="s">
        <v>84</v>
      </c>
      <c r="C36" s="5" t="s">
        <v>337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338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197</v>
      </c>
      <c r="B39" s="5" t="s">
        <v>84</v>
      </c>
      <c r="C39" s="5" t="s">
        <v>337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338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203</v>
      </c>
      <c r="B42" s="5" t="s">
        <v>84</v>
      </c>
      <c r="C42" s="5" t="s">
        <v>337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338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102</v>
      </c>
      <c r="C45" s="5" t="s">
        <v>337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338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192</v>
      </c>
      <c r="B48" s="5" t="s">
        <v>84</v>
      </c>
      <c r="C48" s="5" t="s">
        <v>337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202</v>
      </c>
      <c r="B50" s="5" t="s">
        <v>84</v>
      </c>
      <c r="C50" s="5" t="s">
        <v>337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182</v>
      </c>
      <c r="B52" s="5" t="s">
        <v>96</v>
      </c>
      <c r="C52" s="5" t="s">
        <v>337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329</v>
      </c>
      <c r="B55" s="97"/>
      <c r="C55" s="97"/>
    </row>
    <row r="56" spans="1:8" ht="13" customHeight="1" x14ac:dyDescent="0.3">
      <c r="A56" s="4" t="s">
        <v>163</v>
      </c>
      <c r="B56" s="4" t="s">
        <v>340</v>
      </c>
      <c r="C56" s="82" t="s">
        <v>9</v>
      </c>
      <c r="D56" s="4" t="s">
        <v>78</v>
      </c>
      <c r="E56" s="4" t="s">
        <v>74</v>
      </c>
      <c r="F56" s="4" t="s">
        <v>77</v>
      </c>
      <c r="G56" s="4" t="s">
        <v>75</v>
      </c>
      <c r="H56" s="4" t="s">
        <v>76</v>
      </c>
    </row>
    <row r="57" spans="1:8" x14ac:dyDescent="0.25">
      <c r="A57" s="5" t="s">
        <v>196</v>
      </c>
      <c r="B57" s="5" t="s">
        <v>84</v>
      </c>
      <c r="C57" s="5" t="s">
        <v>337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338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193</v>
      </c>
      <c r="B60" s="5" t="s">
        <v>207</v>
      </c>
      <c r="C60" s="5" t="s">
        <v>337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338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337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338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207</v>
      </c>
      <c r="C64" s="5" t="s">
        <v>337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338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337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338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204</v>
      </c>
      <c r="B68" s="5" t="s">
        <v>207</v>
      </c>
      <c r="C68" s="5" t="s">
        <v>337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338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337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338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167</v>
      </c>
      <c r="B72" s="5" t="s">
        <v>207</v>
      </c>
      <c r="C72" s="5" t="s">
        <v>337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338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6</v>
      </c>
      <c r="C74" s="5" t="s">
        <v>337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338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173</v>
      </c>
      <c r="B76" s="5" t="s">
        <v>92</v>
      </c>
      <c r="C76" s="5" t="s">
        <v>337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171</v>
      </c>
      <c r="B78" s="5" t="s">
        <v>92</v>
      </c>
      <c r="C78" s="5" t="s">
        <v>337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172</v>
      </c>
      <c r="B80" s="5" t="s">
        <v>92</v>
      </c>
      <c r="C80" s="5" t="s">
        <v>337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200</v>
      </c>
      <c r="B82" s="5" t="s">
        <v>84</v>
      </c>
      <c r="C82" s="5" t="s">
        <v>337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338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201</v>
      </c>
      <c r="B85" s="5" t="s">
        <v>84</v>
      </c>
      <c r="C85" s="5" t="s">
        <v>337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338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199</v>
      </c>
      <c r="B88" s="5" t="s">
        <v>84</v>
      </c>
      <c r="C88" s="5" t="s">
        <v>337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338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198</v>
      </c>
      <c r="B91" s="5" t="s">
        <v>84</v>
      </c>
      <c r="C91" s="5" t="s">
        <v>337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338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197</v>
      </c>
      <c r="B94" s="5" t="s">
        <v>84</v>
      </c>
      <c r="C94" s="5" t="s">
        <v>337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338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203</v>
      </c>
      <c r="B97" s="5" t="s">
        <v>84</v>
      </c>
      <c r="C97" s="5" t="s">
        <v>337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338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102</v>
      </c>
      <c r="C100" s="5" t="s">
        <v>337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338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192</v>
      </c>
      <c r="B103" s="5" t="s">
        <v>84</v>
      </c>
      <c r="C103" s="5" t="s">
        <v>337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202</v>
      </c>
      <c r="B105" s="5" t="s">
        <v>84</v>
      </c>
      <c r="C105" s="5" t="s">
        <v>337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182</v>
      </c>
      <c r="B107" s="5" t="s">
        <v>96</v>
      </c>
      <c r="C107" s="5" t="s">
        <v>337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336</v>
      </c>
      <c r="B110" s="97"/>
      <c r="C110" s="97"/>
    </row>
    <row r="111" spans="1:8" ht="13" customHeight="1" x14ac:dyDescent="0.3">
      <c r="A111" s="4" t="s">
        <v>163</v>
      </c>
      <c r="B111" s="4" t="s">
        <v>340</v>
      </c>
      <c r="C111" s="82" t="s">
        <v>9</v>
      </c>
      <c r="D111" s="4" t="s">
        <v>78</v>
      </c>
      <c r="E111" s="4" t="s">
        <v>74</v>
      </c>
      <c r="F111" s="4" t="s">
        <v>77</v>
      </c>
      <c r="G111" s="4" t="s">
        <v>75</v>
      </c>
      <c r="H111" s="4" t="s">
        <v>76</v>
      </c>
    </row>
    <row r="112" spans="1:8" x14ac:dyDescent="0.25">
      <c r="A112" s="5" t="s">
        <v>196</v>
      </c>
      <c r="B112" s="5" t="s">
        <v>84</v>
      </c>
      <c r="C112" s="5" t="s">
        <v>337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338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193</v>
      </c>
      <c r="B115" s="5" t="s">
        <v>207</v>
      </c>
      <c r="C115" s="5" t="s">
        <v>337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338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337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338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207</v>
      </c>
      <c r="C119" s="5" t="s">
        <v>337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338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337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338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204</v>
      </c>
      <c r="B123" s="5" t="s">
        <v>207</v>
      </c>
      <c r="C123" s="5" t="s">
        <v>337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338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337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338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167</v>
      </c>
      <c r="B127" s="5" t="s">
        <v>207</v>
      </c>
      <c r="C127" s="5" t="s">
        <v>337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338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6</v>
      </c>
      <c r="C129" s="5" t="s">
        <v>337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338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173</v>
      </c>
      <c r="B131" s="5" t="s">
        <v>92</v>
      </c>
      <c r="C131" s="5" t="s">
        <v>337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171</v>
      </c>
      <c r="B133" s="5" t="s">
        <v>92</v>
      </c>
      <c r="C133" s="5" t="s">
        <v>337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172</v>
      </c>
      <c r="B135" s="5" t="s">
        <v>92</v>
      </c>
      <c r="C135" s="5" t="s">
        <v>337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200</v>
      </c>
      <c r="B137" s="5" t="s">
        <v>84</v>
      </c>
      <c r="C137" s="5" t="s">
        <v>337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338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201</v>
      </c>
      <c r="B140" s="5" t="s">
        <v>84</v>
      </c>
      <c r="C140" s="5" t="s">
        <v>337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338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199</v>
      </c>
      <c r="B143" s="5" t="s">
        <v>84</v>
      </c>
      <c r="C143" s="5" t="s">
        <v>337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338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198</v>
      </c>
      <c r="B146" s="5" t="s">
        <v>84</v>
      </c>
      <c r="C146" s="5" t="s">
        <v>337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338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197</v>
      </c>
      <c r="B149" s="5" t="s">
        <v>84</v>
      </c>
      <c r="C149" s="5" t="s">
        <v>337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338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203</v>
      </c>
      <c r="B152" s="5" t="s">
        <v>84</v>
      </c>
      <c r="C152" s="5" t="s">
        <v>337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338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102</v>
      </c>
      <c r="C155" s="5" t="s">
        <v>337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338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192</v>
      </c>
      <c r="B158" s="5" t="s">
        <v>84</v>
      </c>
      <c r="C158" s="5" t="s">
        <v>337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202</v>
      </c>
      <c r="B160" s="5" t="s">
        <v>84</v>
      </c>
      <c r="C160" s="5" t="s">
        <v>337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182</v>
      </c>
      <c r="B162" s="5" t="s">
        <v>96</v>
      </c>
      <c r="C162" s="5" t="s">
        <v>337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04QGZJ5XQpgzCVZli9lM9Hm83VHumI7FikQXsW8wWhV1C76WrZB9c6Akg6fkZLdCozW7Y2zNP81nNALqzyhqbg==" saltValue="WQEf530bWSTTuMoBHU0h0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163</v>
      </c>
      <c r="B1" s="1" t="s">
        <v>340</v>
      </c>
      <c r="C1" s="1"/>
      <c r="D1" s="4" t="s">
        <v>113</v>
      </c>
      <c r="E1" s="4" t="s">
        <v>114</v>
      </c>
      <c r="F1" s="4" t="s">
        <v>115</v>
      </c>
      <c r="G1" s="4" t="s">
        <v>116</v>
      </c>
      <c r="H1" s="4"/>
    </row>
    <row r="2" spans="1:8" x14ac:dyDescent="0.25">
      <c r="A2" s="3" t="s">
        <v>166</v>
      </c>
      <c r="B2" s="8" t="s">
        <v>86</v>
      </c>
      <c r="C2" s="3" t="s">
        <v>337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189</v>
      </c>
      <c r="B4" s="8" t="s">
        <v>86</v>
      </c>
      <c r="C4" s="3" t="s">
        <v>337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188</v>
      </c>
      <c r="B6" s="8" t="s">
        <v>86</v>
      </c>
      <c r="C6" s="3" t="s">
        <v>337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329</v>
      </c>
    </row>
    <row r="10" spans="1:8" ht="13" customHeight="1" x14ac:dyDescent="0.3">
      <c r="A10" s="1" t="s">
        <v>163</v>
      </c>
      <c r="B10" s="1" t="s">
        <v>340</v>
      </c>
      <c r="C10" s="1"/>
      <c r="D10" s="4" t="s">
        <v>113</v>
      </c>
      <c r="E10" s="4" t="s">
        <v>114</v>
      </c>
      <c r="F10" s="4" t="s">
        <v>115</v>
      </c>
      <c r="G10" s="4" t="s">
        <v>116</v>
      </c>
    </row>
    <row r="11" spans="1:8" x14ac:dyDescent="0.25">
      <c r="A11" s="3" t="s">
        <v>166</v>
      </c>
      <c r="B11" s="8" t="s">
        <v>86</v>
      </c>
      <c r="C11" s="3" t="s">
        <v>337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189</v>
      </c>
      <c r="B13" s="8" t="s">
        <v>86</v>
      </c>
      <c r="C13" s="3" t="s">
        <v>337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188</v>
      </c>
      <c r="B15" s="8" t="s">
        <v>86</v>
      </c>
      <c r="C15" s="3" t="s">
        <v>337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336</v>
      </c>
    </row>
    <row r="19" spans="1:7" ht="13" customHeight="1" x14ac:dyDescent="0.3">
      <c r="A19" s="1" t="s">
        <v>163</v>
      </c>
      <c r="B19" s="1" t="s">
        <v>340</v>
      </c>
      <c r="C19" s="1"/>
      <c r="D19" s="4" t="s">
        <v>113</v>
      </c>
      <c r="E19" s="4" t="s">
        <v>114</v>
      </c>
      <c r="F19" s="4" t="s">
        <v>115</v>
      </c>
      <c r="G19" s="4" t="s">
        <v>116</v>
      </c>
    </row>
    <row r="20" spans="1:7" x14ac:dyDescent="0.25">
      <c r="A20" s="3" t="s">
        <v>166</v>
      </c>
      <c r="B20" s="8" t="s">
        <v>86</v>
      </c>
      <c r="C20" s="3" t="s">
        <v>337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189</v>
      </c>
      <c r="B22" s="8" t="s">
        <v>86</v>
      </c>
      <c r="C22" s="3" t="s">
        <v>337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188</v>
      </c>
      <c r="B24" s="8" t="s">
        <v>86</v>
      </c>
      <c r="C24" s="3" t="s">
        <v>337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Ykb7wcEjfkg+tksv39ZO/Ps24UFfV8qQCn8YqdM9mIX84zg+8FgGMGn/f4Rujyx8hW/kU8KXFX6MjqaFByEZIA==" saltValue="b08RdkYnmw9QmuIU5bovQQ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Pérdida económica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2024-05-16T23:25:48Z</dcterms:modified>
</cp:coreProperties>
</file>