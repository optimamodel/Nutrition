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56EE64E4-562C-4C7F-9DA0-431DD398972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A39" i="2"/>
  <c r="H38" i="2"/>
  <c r="G38" i="2"/>
  <c r="I38" i="2" s="1"/>
  <c r="A23" i="2"/>
  <c r="H13" i="2"/>
  <c r="I13" i="2" s="1"/>
  <c r="G13" i="2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I5" i="2" s="1"/>
  <c r="H4" i="2"/>
  <c r="G4" i="2"/>
  <c r="I4" i="2" s="1"/>
  <c r="H3" i="2"/>
  <c r="G3" i="2"/>
  <c r="H2" i="2"/>
  <c r="G2" i="2"/>
  <c r="I2" i="2" s="1"/>
  <c r="A2" i="2"/>
  <c r="A40" i="2" s="1"/>
  <c r="C33" i="1"/>
  <c r="C20" i="1"/>
  <c r="A24" i="2" l="1"/>
  <c r="A15" i="2"/>
  <c r="A28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6" i="2"/>
  <c r="A32" i="2"/>
  <c r="I40" i="2"/>
  <c r="A31" i="2"/>
  <c r="I3" i="2"/>
  <c r="I7" i="2"/>
  <c r="A18" i="2"/>
  <c r="A34" i="2"/>
  <c r="A26" i="2"/>
  <c r="A20" i="2"/>
  <c r="A36" i="2"/>
  <c r="A17" i="2"/>
  <c r="A25" i="2"/>
  <c r="A33" i="2"/>
  <c r="A19" i="2"/>
  <c r="A27" i="2"/>
  <c r="A35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<sst xmlns="http://schemas.openxmlformats.org/spreadsheetml/2006/main" count="2101" uniqueCount="341">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</sst>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309928.00390625</v>
      </c>
    </row>
    <row r="8" spans="1:3" ht="15" customHeight="1" x14ac:dyDescent="0.25">
      <c r="B8" s="5" t="s">
        <v>44</v>
      </c>
      <c r="C8" s="44">
        <v>3.4000000000000002E-2</v>
      </c>
    </row>
    <row r="9" spans="1:3" ht="15" customHeight="1" x14ac:dyDescent="0.25">
      <c r="B9" s="5" t="s">
        <v>43</v>
      </c>
      <c r="C9" s="45">
        <v>0.96</v>
      </c>
    </row>
    <row r="10" spans="1:3" ht="15" customHeight="1" x14ac:dyDescent="0.25">
      <c r="B10" s="5" t="s">
        <v>56</v>
      </c>
      <c r="C10" s="45">
        <v>0.32603321079999997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0.66299999999999992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0.13100000000000001</v>
      </c>
    </row>
    <row r="24" spans="1:3" ht="15" customHeight="1" x14ac:dyDescent="0.25">
      <c r="B24" s="15" t="s">
        <v>46</v>
      </c>
      <c r="C24" s="45">
        <v>0.434</v>
      </c>
    </row>
    <row r="25" spans="1:3" ht="15" customHeight="1" x14ac:dyDescent="0.25">
      <c r="B25" s="15" t="s">
        <v>47</v>
      </c>
      <c r="C25" s="45">
        <v>0.35249999999999998</v>
      </c>
    </row>
    <row r="26" spans="1:3" ht="15" customHeight="1" x14ac:dyDescent="0.25">
      <c r="B26" s="15" t="s">
        <v>48</v>
      </c>
      <c r="C26" s="45">
        <v>8.2500000000000004E-2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0.267409234355309</v>
      </c>
    </row>
    <row r="30" spans="1:3" ht="14.25" customHeight="1" x14ac:dyDescent="0.25">
      <c r="B30" s="25" t="s">
        <v>63</v>
      </c>
      <c r="C30" s="99">
        <v>6.2316367797226199E-2</v>
      </c>
    </row>
    <row r="31" spans="1:3" ht="14.25" customHeight="1" x14ac:dyDescent="0.25">
      <c r="B31" s="25" t="s">
        <v>10</v>
      </c>
      <c r="C31" s="99">
        <v>9.3002675244955299E-2</v>
      </c>
    </row>
    <row r="32" spans="1:3" ht="14.25" customHeight="1" x14ac:dyDescent="0.25">
      <c r="B32" s="25" t="s">
        <v>11</v>
      </c>
      <c r="C32" s="99">
        <v>0.57727172260250903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18.94415</v>
      </c>
    </row>
    <row r="38" spans="1:5" ht="15" customHeight="1" x14ac:dyDescent="0.25">
      <c r="B38" s="11" t="s">
        <v>35</v>
      </c>
      <c r="C38" s="43">
        <v>29.356670000000001</v>
      </c>
      <c r="D38" s="12"/>
      <c r="E38" s="13"/>
    </row>
    <row r="39" spans="1:5" ht="15" customHeight="1" x14ac:dyDescent="0.25">
      <c r="B39" s="11" t="s">
        <v>61</v>
      </c>
      <c r="C39" s="43">
        <v>39.74532</v>
      </c>
      <c r="D39" s="12"/>
      <c r="E39" s="12"/>
    </row>
    <row r="40" spans="1:5" ht="15" customHeight="1" x14ac:dyDescent="0.25">
      <c r="B40" s="11" t="s">
        <v>36</v>
      </c>
      <c r="C40" s="100">
        <v>2.27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5.8306E-3</v>
      </c>
      <c r="D45" s="12"/>
    </row>
    <row r="46" spans="1:5" ht="15.75" customHeight="1" x14ac:dyDescent="0.25">
      <c r="B46" s="11" t="s">
        <v>51</v>
      </c>
      <c r="C46" s="45">
        <v>6.2648999999999996E-2</v>
      </c>
      <c r="D46" s="12"/>
    </row>
    <row r="47" spans="1:5" ht="15.75" customHeight="1" x14ac:dyDescent="0.25">
      <c r="B47" s="11" t="s">
        <v>59</v>
      </c>
      <c r="C47" s="45">
        <v>7.5456700000000002E-2</v>
      </c>
      <c r="D47" s="12"/>
      <c r="E47" s="13"/>
    </row>
    <row r="48" spans="1:5" ht="15" customHeight="1" x14ac:dyDescent="0.25">
      <c r="B48" s="11" t="s">
        <v>58</v>
      </c>
      <c r="C48" s="46">
        <v>0.85606369999999998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0.40570099999999998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0.1421289</v>
      </c>
    </row>
    <row r="63" spans="1:4" ht="15.75" customHeight="1" x14ac:dyDescent="0.3">
      <c r="A63" s="4"/>
    </row>
  </sheetData>
  <sheetProtection algorithmName="SHA-512" hashValue="vGbLqunlZUdl5ewjxIxXwe0FB0bVlheajDdxVVEhjiTD7gLKGCF7jhUl5fvnZksOoID9MtxWu2cDW6D1V2qzfg==" saltValue="c8SciioE/+rzBSoAUOy1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63677</v>
      </c>
      <c r="C2" s="49">
        <v>143313</v>
      </c>
      <c r="D2" s="49">
        <v>195755</v>
      </c>
      <c r="E2" s="49">
        <v>177202</v>
      </c>
      <c r="F2" s="49">
        <v>115180.5</v>
      </c>
      <c r="G2" s="17">
        <f t="shared" ref="G2:G13" si="0">C2+D2+E2+F2</f>
        <v>631450.5</v>
      </c>
      <c r="H2" s="17">
        <f t="shared" ref="H2:H13" si="1">(B2 + stillbirth*B2/(1000-stillbirth))/(1-abortion)</f>
        <v>73394.752734632901</v>
      </c>
      <c r="I2" s="17">
        <f t="shared" ref="I2:I13" si="2">G2-H2</f>
        <v>558055.74726536707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63807</v>
      </c>
      <c r="C3" s="50">
        <v>148548</v>
      </c>
      <c r="D3" s="50">
        <v>198936.5</v>
      </c>
      <c r="E3" s="50">
        <v>179286</v>
      </c>
      <c r="F3" s="50">
        <v>119733</v>
      </c>
      <c r="G3" s="17">
        <f t="shared" si="0"/>
        <v>646503.5</v>
      </c>
      <c r="H3" s="17">
        <f t="shared" si="1"/>
        <v>73544.592046401711</v>
      </c>
      <c r="I3" s="17">
        <f t="shared" si="2"/>
        <v>572958.9079535983</v>
      </c>
    </row>
    <row r="4" spans="1:9" ht="15.75" customHeight="1" x14ac:dyDescent="0.25">
      <c r="A4" s="5">
        <f t="shared" si="3"/>
        <v>2026</v>
      </c>
      <c r="B4" s="49">
        <v>64339</v>
      </c>
      <c r="C4" s="50">
        <v>153899</v>
      </c>
      <c r="D4" s="50">
        <v>202834</v>
      </c>
      <c r="E4" s="50">
        <v>180908.5</v>
      </c>
      <c r="F4" s="50">
        <v>124231.5</v>
      </c>
      <c r="G4" s="17">
        <f t="shared" si="0"/>
        <v>661873</v>
      </c>
      <c r="H4" s="17">
        <f t="shared" si="1"/>
        <v>74157.780614563293</v>
      </c>
      <c r="I4" s="17">
        <f t="shared" si="2"/>
        <v>587715.21938543674</v>
      </c>
    </row>
    <row r="5" spans="1:9" ht="15.75" customHeight="1" x14ac:dyDescent="0.25">
      <c r="A5" s="5">
        <f t="shared" si="3"/>
        <v>2027</v>
      </c>
      <c r="B5" s="49">
        <v>64433.000000000007</v>
      </c>
      <c r="C5" s="50">
        <v>159067</v>
      </c>
      <c r="D5" s="50">
        <v>207370.5</v>
      </c>
      <c r="E5" s="50">
        <v>182203</v>
      </c>
      <c r="F5" s="50">
        <v>128641.5</v>
      </c>
      <c r="G5" s="17">
        <f t="shared" si="0"/>
        <v>677282</v>
      </c>
      <c r="H5" s="17">
        <f t="shared" si="1"/>
        <v>74266.125963073049</v>
      </c>
      <c r="I5" s="17">
        <f t="shared" si="2"/>
        <v>603015.87403692701</v>
      </c>
    </row>
    <row r="6" spans="1:9" ht="15.75" customHeight="1" x14ac:dyDescent="0.25">
      <c r="A6" s="5">
        <f t="shared" si="3"/>
        <v>2028</v>
      </c>
      <c r="B6" s="49">
        <v>64745.999999999993</v>
      </c>
      <c r="C6" s="50">
        <v>163956.5</v>
      </c>
      <c r="D6" s="50">
        <v>212478</v>
      </c>
      <c r="E6" s="50">
        <v>183318.5</v>
      </c>
      <c r="F6" s="50">
        <v>132948</v>
      </c>
      <c r="G6" s="17">
        <f t="shared" si="0"/>
        <v>692701</v>
      </c>
      <c r="H6" s="17">
        <f t="shared" si="1"/>
        <v>74626.892921408697</v>
      </c>
      <c r="I6" s="17">
        <f t="shared" si="2"/>
        <v>618074.10707859136</v>
      </c>
    </row>
    <row r="7" spans="1:9" ht="15.75" customHeight="1" x14ac:dyDescent="0.25">
      <c r="A7" s="5">
        <f t="shared" si="3"/>
        <v>2029</v>
      </c>
      <c r="B7" s="49">
        <v>65259</v>
      </c>
      <c r="C7" s="50">
        <v>168345</v>
      </c>
      <c r="D7" s="50">
        <v>218276</v>
      </c>
      <c r="E7" s="50">
        <v>184393</v>
      </c>
      <c r="F7" s="50">
        <v>137131</v>
      </c>
      <c r="G7" s="17">
        <f t="shared" si="0"/>
        <v>708145</v>
      </c>
      <c r="H7" s="17">
        <f t="shared" si="1"/>
        <v>75218.181897850227</v>
      </c>
      <c r="I7" s="17">
        <f t="shared" si="2"/>
        <v>632926.81810214976</v>
      </c>
    </row>
    <row r="8" spans="1:9" ht="15.75" customHeight="1" x14ac:dyDescent="0.25">
      <c r="A8" s="5">
        <f t="shared" si="3"/>
        <v>2030</v>
      </c>
      <c r="B8" s="49">
        <v>65815</v>
      </c>
      <c r="C8" s="50">
        <v>171968.5</v>
      </c>
      <c r="D8" s="50">
        <v>224812</v>
      </c>
      <c r="E8" s="50">
        <v>185599.5</v>
      </c>
      <c r="F8" s="50">
        <v>141077</v>
      </c>
      <c r="G8" s="17">
        <f t="shared" si="0"/>
        <v>723457</v>
      </c>
      <c r="H8" s="17">
        <f t="shared" si="1"/>
        <v>75859.033108184507</v>
      </c>
      <c r="I8" s="17">
        <f t="shared" si="2"/>
        <v>647597.96689181554</v>
      </c>
    </row>
    <row r="9" spans="1:9" ht="15.75" customHeight="1" x14ac:dyDescent="0.25">
      <c r="A9" s="5">
        <f t="shared" si="3"/>
        <v>2031</v>
      </c>
      <c r="B9" s="49">
        <v>66644</v>
      </c>
      <c r="C9" s="50">
        <v>174749</v>
      </c>
      <c r="D9" s="50">
        <v>231981.5</v>
      </c>
      <c r="E9" s="50">
        <v>187032.5</v>
      </c>
      <c r="F9" s="50">
        <v>144672</v>
      </c>
      <c r="G9" s="17">
        <f t="shared" si="0"/>
        <v>738435</v>
      </c>
      <c r="H9" s="17">
        <f t="shared" si="1"/>
        <v>76814.546873233281</v>
      </c>
      <c r="I9" s="17">
        <f t="shared" si="2"/>
        <v>661620.45312676672</v>
      </c>
    </row>
    <row r="10" spans="1:9" ht="15.75" customHeight="1" x14ac:dyDescent="0.25">
      <c r="A10" s="5">
        <f t="shared" si="3"/>
        <v>2032</v>
      </c>
      <c r="B10" s="49">
        <v>67107</v>
      </c>
      <c r="C10" s="50">
        <v>176838</v>
      </c>
      <c r="D10" s="50">
        <v>239525.5</v>
      </c>
      <c r="E10" s="50">
        <v>188715</v>
      </c>
      <c r="F10" s="50">
        <v>147918</v>
      </c>
      <c r="G10" s="17">
        <f t="shared" si="0"/>
        <v>752996.5</v>
      </c>
      <c r="H10" s="17">
        <f t="shared" si="1"/>
        <v>77348.205345148337</v>
      </c>
      <c r="I10" s="17">
        <f t="shared" si="2"/>
        <v>675648.29465485166</v>
      </c>
    </row>
    <row r="11" spans="1:9" ht="15.75" customHeight="1" x14ac:dyDescent="0.25">
      <c r="A11" s="5">
        <f t="shared" si="3"/>
        <v>2033</v>
      </c>
      <c r="B11" s="49">
        <v>67819</v>
      </c>
      <c r="C11" s="50">
        <v>178408.5</v>
      </c>
      <c r="D11" s="50">
        <v>247172</v>
      </c>
      <c r="E11" s="50">
        <v>190716.5</v>
      </c>
      <c r="F11" s="50">
        <v>150830.5</v>
      </c>
      <c r="G11" s="17">
        <f t="shared" si="0"/>
        <v>767127.5</v>
      </c>
      <c r="H11" s="17">
        <f t="shared" si="1"/>
        <v>78168.863729605189</v>
      </c>
      <c r="I11" s="17">
        <f t="shared" si="2"/>
        <v>688958.63627039478</v>
      </c>
    </row>
    <row r="12" spans="1:9" ht="15.75" customHeight="1" x14ac:dyDescent="0.25">
      <c r="A12" s="5">
        <f t="shared" si="3"/>
        <v>2034</v>
      </c>
      <c r="B12" s="49">
        <v>68127</v>
      </c>
      <c r="C12" s="50">
        <v>179486</v>
      </c>
      <c r="D12" s="50">
        <v>254813.5</v>
      </c>
      <c r="E12" s="50">
        <v>193218</v>
      </c>
      <c r="F12" s="50">
        <v>153410.5</v>
      </c>
      <c r="G12" s="17">
        <f t="shared" si="0"/>
        <v>780928</v>
      </c>
      <c r="H12" s="17">
        <f t="shared" si="1"/>
        <v>78523.867637488205</v>
      </c>
      <c r="I12" s="17">
        <f t="shared" si="2"/>
        <v>702404.13236251182</v>
      </c>
    </row>
    <row r="13" spans="1:9" ht="15.75" customHeight="1" x14ac:dyDescent="0.25">
      <c r="A13" s="5">
        <f t="shared" si="3"/>
        <v>2035</v>
      </c>
      <c r="B13" s="49">
        <v>68999</v>
      </c>
      <c r="C13" s="50">
        <v>180144.5</v>
      </c>
      <c r="D13" s="50">
        <v>262289</v>
      </c>
      <c r="E13" s="50">
        <v>196403</v>
      </c>
      <c r="F13" s="50">
        <v>155577</v>
      </c>
      <c r="G13" s="17">
        <f t="shared" si="0"/>
        <v>794413.5</v>
      </c>
      <c r="H13" s="17">
        <f t="shared" si="1"/>
        <v>79528.943636429743</v>
      </c>
      <c r="I13" s="17">
        <f t="shared" si="2"/>
        <v>714884.55636357027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ib+qZWtsF8wBU5Q2HFf3H7VpCNT6BOJ48zWbd9rG9w3/9WZKpWUpHm0txXxSx3VCj22r+SSXzE+6GdNX/iGVA==" saltValue="11Q3B4Uyc1ZFFlq2wjXpx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7.9603999999999977E-3</v>
      </c>
    </row>
    <row r="4" spans="1:8" ht="15.75" customHeight="1" x14ac:dyDescent="0.25">
      <c r="B4" s="19" t="s">
        <v>97</v>
      </c>
      <c r="C4" s="101">
        <v>5.4278499999999973E-2</v>
      </c>
    </row>
    <row r="5" spans="1:8" ht="15.75" customHeight="1" x14ac:dyDescent="0.25">
      <c r="B5" s="19" t="s">
        <v>95</v>
      </c>
      <c r="C5" s="101">
        <v>6.8896700000000047E-2</v>
      </c>
    </row>
    <row r="6" spans="1:8" ht="15.75" customHeight="1" x14ac:dyDescent="0.25">
      <c r="B6" s="19" t="s">
        <v>91</v>
      </c>
      <c r="C6" s="101">
        <v>0.2405291000000005</v>
      </c>
    </row>
    <row r="7" spans="1:8" ht="15.75" customHeight="1" x14ac:dyDescent="0.25">
      <c r="B7" s="19" t="s">
        <v>96</v>
      </c>
      <c r="C7" s="101">
        <v>0.42675559999999951</v>
      </c>
    </row>
    <row r="8" spans="1:8" ht="15.75" customHeight="1" x14ac:dyDescent="0.25">
      <c r="B8" s="19" t="s">
        <v>98</v>
      </c>
      <c r="C8" s="101">
        <v>1.9896999999999992E-3</v>
      </c>
    </row>
    <row r="9" spans="1:8" ht="15.75" customHeight="1" x14ac:dyDescent="0.25">
      <c r="B9" s="19" t="s">
        <v>92</v>
      </c>
      <c r="C9" s="101">
        <v>8.7416600000000025E-2</v>
      </c>
    </row>
    <row r="10" spans="1:8" ht="15.75" customHeight="1" x14ac:dyDescent="0.25">
      <c r="B10" s="19" t="s">
        <v>94</v>
      </c>
      <c r="C10" s="101">
        <v>0.11217340000000001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102</v>
      </c>
      <c r="C15" s="101">
        <v>0.1457257056059359</v>
      </c>
      <c r="D15" s="101">
        <v>0.1457257056059359</v>
      </c>
      <c r="E15" s="101">
        <v>0.1457257056059359</v>
      </c>
      <c r="F15" s="101">
        <v>0.1457257056059359</v>
      </c>
    </row>
    <row r="16" spans="1:8" ht="15.75" customHeight="1" x14ac:dyDescent="0.25">
      <c r="B16" s="19" t="s">
        <v>2</v>
      </c>
      <c r="C16" s="101">
        <v>3.6673544337957442E-2</v>
      </c>
      <c r="D16" s="101">
        <v>3.6673544337957442E-2</v>
      </c>
      <c r="E16" s="101">
        <v>3.6673544337957442E-2</v>
      </c>
      <c r="F16" s="101">
        <v>3.6673544337957442E-2</v>
      </c>
    </row>
    <row r="17" spans="1:8" ht="15.75" customHeight="1" x14ac:dyDescent="0.25">
      <c r="B17" s="19" t="s">
        <v>90</v>
      </c>
      <c r="C17" s="101">
        <v>9.8008104921843586E-2</v>
      </c>
      <c r="D17" s="101">
        <v>9.8008104921843586E-2</v>
      </c>
      <c r="E17" s="101">
        <v>9.8008104921843586E-2</v>
      </c>
      <c r="F17" s="101">
        <v>9.8008104921843586E-2</v>
      </c>
    </row>
    <row r="18" spans="1:8" ht="15.75" customHeight="1" x14ac:dyDescent="0.25">
      <c r="B18" s="19" t="s">
        <v>3</v>
      </c>
      <c r="C18" s="101">
        <v>0.135975881764268</v>
      </c>
      <c r="D18" s="101">
        <v>0.135975881764268</v>
      </c>
      <c r="E18" s="101">
        <v>0.135975881764268</v>
      </c>
      <c r="F18" s="101">
        <v>0.135975881764268</v>
      </c>
    </row>
    <row r="19" spans="1:8" ht="15.75" customHeight="1" x14ac:dyDescent="0.25">
      <c r="B19" s="19" t="s">
        <v>101</v>
      </c>
      <c r="C19" s="101">
        <v>6.2473064113144711E-2</v>
      </c>
      <c r="D19" s="101">
        <v>6.2473064113144711E-2</v>
      </c>
      <c r="E19" s="101">
        <v>6.2473064113144711E-2</v>
      </c>
      <c r="F19" s="101">
        <v>6.2473064113144711E-2</v>
      </c>
    </row>
    <row r="20" spans="1:8" ht="15.75" customHeight="1" x14ac:dyDescent="0.25">
      <c r="B20" s="19" t="s">
        <v>79</v>
      </c>
      <c r="C20" s="101">
        <v>8.6546694608013008E-2</v>
      </c>
      <c r="D20" s="101">
        <v>8.6546694608013008E-2</v>
      </c>
      <c r="E20" s="101">
        <v>8.6546694608013008E-2</v>
      </c>
      <c r="F20" s="101">
        <v>8.6546694608013008E-2</v>
      </c>
    </row>
    <row r="21" spans="1:8" ht="15.75" customHeight="1" x14ac:dyDescent="0.25">
      <c r="B21" s="19" t="s">
        <v>88</v>
      </c>
      <c r="C21" s="101">
        <v>8.7176531093682147E-2</v>
      </c>
      <c r="D21" s="101">
        <v>8.7176531093682147E-2</v>
      </c>
      <c r="E21" s="101">
        <v>8.7176531093682147E-2</v>
      </c>
      <c r="F21" s="101">
        <v>8.7176531093682147E-2</v>
      </c>
    </row>
    <row r="22" spans="1:8" ht="15.75" customHeight="1" x14ac:dyDescent="0.25">
      <c r="B22" s="19" t="s">
        <v>99</v>
      </c>
      <c r="C22" s="101">
        <v>0.1887353939572296</v>
      </c>
      <c r="D22" s="101">
        <v>0.1887353939572296</v>
      </c>
      <c r="E22" s="101">
        <v>0.1887353939572296</v>
      </c>
      <c r="F22" s="101">
        <v>0.1887353939572296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9.5711987999999998E-2</v>
      </c>
    </row>
    <row r="27" spans="1:8" ht="15.75" customHeight="1" x14ac:dyDescent="0.25">
      <c r="B27" s="19" t="s">
        <v>89</v>
      </c>
      <c r="C27" s="101">
        <v>4.2970438999999999E-2</v>
      </c>
    </row>
    <row r="28" spans="1:8" ht="15.75" customHeight="1" x14ac:dyDescent="0.25">
      <c r="B28" s="19" t="s">
        <v>103</v>
      </c>
      <c r="C28" s="101">
        <v>0.19642078600000001</v>
      </c>
    </row>
    <row r="29" spans="1:8" ht="15.75" customHeight="1" x14ac:dyDescent="0.25">
      <c r="B29" s="19" t="s">
        <v>86</v>
      </c>
      <c r="C29" s="101">
        <v>0.206894785</v>
      </c>
    </row>
    <row r="30" spans="1:8" ht="15.75" customHeight="1" x14ac:dyDescent="0.25">
      <c r="B30" s="19" t="s">
        <v>4</v>
      </c>
      <c r="C30" s="101">
        <v>2.7698743000000001E-2</v>
      </c>
    </row>
    <row r="31" spans="1:8" ht="15.75" customHeight="1" x14ac:dyDescent="0.25">
      <c r="B31" s="19" t="s">
        <v>80</v>
      </c>
      <c r="C31" s="101">
        <v>0.20935653800000001</v>
      </c>
    </row>
    <row r="32" spans="1:8" ht="15.75" customHeight="1" x14ac:dyDescent="0.25">
      <c r="B32" s="19" t="s">
        <v>85</v>
      </c>
      <c r="C32" s="101">
        <v>1.2451637999999999E-2</v>
      </c>
    </row>
    <row r="33" spans="2:3" ht="15.75" customHeight="1" x14ac:dyDescent="0.25">
      <c r="B33" s="19" t="s">
        <v>100</v>
      </c>
      <c r="C33" s="101">
        <v>5.1474696E-2</v>
      </c>
    </row>
    <row r="34" spans="2:3" ht="15.75" customHeight="1" x14ac:dyDescent="0.25">
      <c r="B34" s="19" t="s">
        <v>87</v>
      </c>
      <c r="C34" s="101">
        <v>0.15702038800000001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0Djh+3xMJ1Q+Adij1DpZqNqmZreeU+GkymS/pHH0e7q5f+iHkdK8+6E1l83WWs9GHeV9Ulyf8//+rMRTTVPMVA==" saltValue="u32M3Lx/BwPYpmmTYtqDp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110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106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107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119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0.77009803950000011</v>
      </c>
      <c r="D14" s="54">
        <v>0.75845489217399997</v>
      </c>
      <c r="E14" s="54">
        <v>0.75845489217399997</v>
      </c>
      <c r="F14" s="54">
        <v>0.60551019102899994</v>
      </c>
      <c r="G14" s="54">
        <v>0.60551019102899994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0.31242954472318951</v>
      </c>
      <c r="D15" s="52">
        <f t="shared" si="0"/>
        <v>0.30770590820988397</v>
      </c>
      <c r="E15" s="52">
        <f t="shared" si="0"/>
        <v>0.30770590820988397</v>
      </c>
      <c r="F15" s="52">
        <f t="shared" si="0"/>
        <v>0.2456560900106563</v>
      </c>
      <c r="G15" s="52">
        <f t="shared" si="0"/>
        <v>0.2456560900106563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H+zxPpwqcJQz06/72vdQ6pLPTXLIyQHNBtyeVYqeCjbZz3dqKmbCksRsaa2SSenLl7JzzqEuZdVyMzyeDZxxw==" saltValue="jEzBC2Ghdey0ByBG9r2P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125</v>
      </c>
      <c r="C5" s="52">
        <v>4.4279099999999988E-2</v>
      </c>
      <c r="D5" s="52">
        <v>0.1063051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rJcWOKtRfdRHjAby347jhUl71XNFSvD0F+6eQIeID+Wm8oZ+FzlhrliDqRf4rw/hr4kaWi27rsHEGby82EqRZg==" saltValue="Z+O6bKXZosXxfisF0cyNj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ho3MIApxuUwuPw1EcR36pRy3147GIgfGEwQILMKKDhsiI3Gh5bb/W3tkkOxPXE6maeEg3CYZ5FWNpK9z9j/uA==" saltValue="HDJKas0Fxzz9Lyk6XWp0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z4kFh1ac5zfB7lM45gNYGS6WLO6xyVZfFCE0nRUctY7o78fV53v67Gw2ovUAvFy1/sgZfATS69dFliyYsFqOqw==" saltValue="sHmB/of73QZHChc2xXFZt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uKUiweBsWqoOjxmSjiWuQTeNPfqOOlOD3fln90v0LXqPEp4Ct86sniCHQw4BoJYOMokUx22CzRWGT+IX+GGduw==" saltValue="WeR8UASAA4HHTwEzhb5gT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jhki4xB42MtctA17+1yB/RhycSrB29wEjo70oyMLSEKeY5UuLNAqTcHq8N5X1ud4lEavQl8c/NfoTucWk/hAxA==" saltValue="fuB8Rvll/csJ8+SnnpbJ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1.953366982272418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0.70706266146872643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0.36424440136267727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0.3935863</v>
      </c>
      <c r="C10" s="98">
        <v>0.95</v>
      </c>
      <c r="D10" s="56">
        <v>13.446378219451059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13.446378219451059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13.446378219451059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13.446378219451059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0.3935863</v>
      </c>
      <c r="C14" s="98">
        <v>0.95</v>
      </c>
      <c r="D14" s="56">
        <v>13.446378219451059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13.446378219451059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0.50625290000000001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0.33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0.1464792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23.431813824225639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0.18503539999999999</v>
      </c>
      <c r="C23" s="98">
        <v>0.95</v>
      </c>
      <c r="D23" s="56">
        <v>4.5507118970106513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0.87473390287197805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0.3935863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13.803307962555669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0.199735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0.26319480000000001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0.2726925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0.1465804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0.88436610000000004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3.5000000000000003E-2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bc7gSE0/GdxsXx4twqvlZAZXoxlRJCx3htSY0lzqbCR2WMyH2VeZPMC0h9oLiYdm21VHDI6FbLmRRT7ZTnmaIA==" saltValue="vT8tlIwByKM5oBSOEJXY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6h3GFxW169e9fyjkgLyLGddp9CpsjcBM3LzU+cpLskJ4vwEH6UAElKvqCFZJ3b4aaAu5F1/mLASDgi2G8jB/Ag==" saltValue="X6UkBTQj3+GRGaYBcfPLT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M5DeFbhw8QE8O1BRfiSz1J4O1cipGn33syCb3oMkbgTg9QBuYGUigcF2BHKEKSbvF1nsVKzzfAIpsFVuKu+ARA==" saltValue="F8+zIZgVAgLa3Z92zwPXd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207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sheetProtection algorithmName="SHA-512" hashValue="j4qifKpHYn4NwkhdiH2eDmCClYUuOPiBMgeTsmGQID7fwIgEwAzUxIzcm09LQIEe4s2IZrCdLXvrNzdcBdVJYQ==" saltValue="RaAzk41AdzEkO/OouWT6J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3.4000000000000002E-2</v>
      </c>
      <c r="E2" s="60">
        <f>food_insecure</f>
        <v>3.4000000000000002E-2</v>
      </c>
      <c r="F2" s="60">
        <f>food_insecure</f>
        <v>3.4000000000000002E-2</v>
      </c>
      <c r="G2" s="60">
        <f>food_insecure</f>
        <v>3.4000000000000002E-2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3.4000000000000002E-2</v>
      </c>
      <c r="F5" s="60">
        <f>food_insecure</f>
        <v>3.4000000000000002E-2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3.4000000000000002E-2</v>
      </c>
      <c r="F8" s="60">
        <f>food_insecure</f>
        <v>3.4000000000000002E-2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3.4000000000000002E-2</v>
      </c>
      <c r="F9" s="60">
        <f>food_insecure</f>
        <v>3.4000000000000002E-2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3.4000000000000002E-2</v>
      </c>
      <c r="I15" s="60">
        <f>food_insecure</f>
        <v>3.4000000000000002E-2</v>
      </c>
      <c r="J15" s="60">
        <f>food_insecure</f>
        <v>3.4000000000000002E-2</v>
      </c>
      <c r="K15" s="60">
        <f>food_insecure</f>
        <v>3.4000000000000002E-2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0.66299999999999992</v>
      </c>
      <c r="M24" s="60">
        <f>famplan_unmet_need</f>
        <v>0.66299999999999992</v>
      </c>
      <c r="N24" s="60">
        <f>famplan_unmet_need</f>
        <v>0.66299999999999992</v>
      </c>
      <c r="O24" s="60">
        <f>famplan_unmet_need</f>
        <v>0.66299999999999992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0.33505584958288803</v>
      </c>
      <c r="M25" s="60">
        <f>(1-food_insecure)*(0.49)+food_insecure*(0.7)</f>
        <v>0.49713999999999997</v>
      </c>
      <c r="N25" s="60">
        <f>(1-food_insecure)*(0.49)+food_insecure*(0.7)</f>
        <v>0.49713999999999997</v>
      </c>
      <c r="O25" s="60">
        <f>(1-food_insecure)*(0.49)+food_insecure*(0.7)</f>
        <v>0.49713999999999997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0.14359536410695201</v>
      </c>
      <c r="M26" s="60">
        <f>(1-food_insecure)*(0.21)+food_insecure*(0.3)</f>
        <v>0.21305999999999997</v>
      </c>
      <c r="N26" s="60">
        <f>(1-food_insecure)*(0.21)+food_insecure*(0.3)</f>
        <v>0.21305999999999997</v>
      </c>
      <c r="O26" s="60">
        <f>(1-food_insecure)*(0.21)+food_insecure*(0.3)</f>
        <v>0.21305999999999997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0.19531557551016002</v>
      </c>
      <c r="M27" s="60">
        <f>(1-food_insecure)*(0.3)</f>
        <v>0.2898</v>
      </c>
      <c r="N27" s="60">
        <f>(1-food_insecure)*(0.3)</f>
        <v>0.2898</v>
      </c>
      <c r="O27" s="60">
        <f>(1-food_insecure)*(0.3)</f>
        <v>0.2898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0.96</v>
      </c>
      <c r="D34" s="60">
        <f t="shared" si="3"/>
        <v>0.96</v>
      </c>
      <c r="E34" s="60">
        <f t="shared" si="3"/>
        <v>0.96</v>
      </c>
      <c r="F34" s="60">
        <f t="shared" si="3"/>
        <v>0.96</v>
      </c>
      <c r="G34" s="60">
        <f t="shared" si="3"/>
        <v>0.96</v>
      </c>
      <c r="H34" s="60">
        <f t="shared" si="3"/>
        <v>0.96</v>
      </c>
      <c r="I34" s="60">
        <f t="shared" si="3"/>
        <v>0.96</v>
      </c>
      <c r="J34" s="60">
        <f t="shared" si="3"/>
        <v>0.96</v>
      </c>
      <c r="K34" s="60">
        <f t="shared" si="3"/>
        <v>0.96</v>
      </c>
      <c r="L34" s="60">
        <f t="shared" si="3"/>
        <v>0.96</v>
      </c>
      <c r="M34" s="60">
        <f t="shared" si="3"/>
        <v>0.96</v>
      </c>
      <c r="N34" s="60">
        <f t="shared" si="3"/>
        <v>0.96</v>
      </c>
      <c r="O34" s="60">
        <f t="shared" si="3"/>
        <v>0.96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+DYOmgH3kWecLn10lqODIZiMYxoapATmqSRgKwH06vmDR5XNPWWCK2gB8S51MmWcvJYGUSdIdYRuKbWgluwMw==" saltValue="LqzCSioBEbNphN15EBo5v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8BXz9BMl0vvlHU/P4g6NXKFG0gzvrzDMLRhBDqpa8pSWBFxoK8NA1KNXLlkEL7UCizHOzC2tqkF4/pXrW+lykw==" saltValue="43pSAYORqcZCILh5EdgqM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/i2ll5Iuxt6771mkbdD33xNiVJ5vUlsQ7F/pgC+Dw4mkkg27nzib/BvLEUYNnOgekJgs+4tjjXDWsAMsJfVhrA==" saltValue="uNRlTgYiEO6WvvkIMEHuG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ZbstM0TXSN5/fNf/j/jrCcM2OvLUyKDMhTW4hpMTKBBOqHndcJG/AEk6t4k3IgY9MuFxtWCz0rVX7zw+t62RA==" saltValue="BHEF7/jaRXTRGkOABWKfE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o3wJUV5vam9OVV9TAhRybiOLSbX5RGbGBasIxd7pEiDbj+vmhgVfxkPPwTTWCYKMY/T+IvpIe4u2yYISoQpbog==" saltValue="veEXYF5Lucn6yrZjmDgNM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GrtLyEFPgwalhTqg+TU+tlORHi9ohlBMhdA7ylneDwluiXCsCs/kqnFECAQbiFufCc7JtmIZnRAWZa53mpsBxw==" saltValue="FzaykM2D/WYjcyDFOLm3o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4qb2Dlw5kLmIYVOalohzB7rz0l1eqf6ezm0pGxhwbE3Lt+36hORbYF8CE3KCHydMBnAQETDfUQ8ddAb++6jMQ==" saltValue="gnk8md0kGts4gJ1J7y0za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6nnE+2eYFLTC251M0r5rPO9qwoTMHG74mgw++L6VEhpwhD4rZ/rMUpIKh7gAVM3qovwFuB8CIYpl7a0KVpUQ5A==" saltValue="6wjBU7qvVf0tOr0iH4/r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ZqIfs5l05hCvqcBHZBettubm3rMKZKbJAAZ2MEDB+/ZhEh1bRijODbqfG4udKLvvfgiUTZfKw2O+wiNS7aJeA==" saltValue="uMyYu2pJdd1gngKkmiaB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/63LNsTD+uD2EqPvF5QT+UpPc/h53tVXURXMNKobhU1/OyxsG29OYSpsF7fT2gJ7CsvtjxQSscntIU+bdvnJRA==" saltValue="KgXJ+bPWCMJvfOnqHWZj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FlG98mtqGEbyZsRYWcBXgt8g1d5w1TpWkrY5xlATB/qxxqMRQ66HGxAPV/ZqKo7yS7sJPKWDfJR68ndynpKcCQ==" saltValue="LF+6Dw0BNXOJo8t7U4D7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kvHoaYx+hXvBg5UhI/isbQUU7XR6v9DqeAAR0xyJm8HWoyLy5HXXJiK8D9pZK60XEBt1c19mui/rF6sGCoJrw==" saltValue="iKPK+upIFTDIJ3Iq3+LT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5VxhveMsl/NWtHp/UVX3Zq56K2txlfgmPlD3HxVa3K8rbyZwM1/QJjuX6F4Qlf0ozJ1NmXe/wNxDLJ6tXFxTag==" saltValue="in8lE3r6xa8hRnAUkVm+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0.10957176545873382</v>
      </c>
      <c r="G18" s="90">
        <f>MIN(MAX(1-0.89/(1-frac_sam_12_23months+(frac_sam_12_23months*0.89)),0),1)</f>
        <v>0.10837566017669409</v>
      </c>
      <c r="H18" s="90">
        <f>MIN(MAX(1-0.89/(1-frac_sam_24_59months+(frac_sam_24_59months*0.89)),0),1)</f>
        <v>0.10957145187707384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0.10675684939174068</v>
      </c>
      <c r="G20" s="90">
        <f>MIN(MAX(1-0.89/(1-frac_mam_12_23months+(frac_mam_12_23months*0.89)),0),1)</f>
        <v>0.10707690731949304</v>
      </c>
      <c r="H20" s="90">
        <f>MIN(MAX(1-0.89/(1-frac_mam_24_59months+(frac_mam_24_59months*0.89)),0),1)</f>
        <v>0.10798237745219352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9.9567143175067763E-3</v>
      </c>
      <c r="G73" s="90">
        <f>MIN(MAX(1-0.99/(1-frac_sam_12_23months+(frac_sam_12_23months*0.99)),0),1)</f>
        <v>9.8360130011292402E-3</v>
      </c>
      <c r="H73" s="90">
        <f>MIN(MAX(1-0.99/(1-frac_sam_24_59months+(frac_sam_24_59months*0.99)),0),1)</f>
        <v>9.9566826347353699E-3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9.6731237982989882E-3</v>
      </c>
      <c r="G75" s="90">
        <f>MIN(MAX(1-0.99/(1-frac_mam_12_23months+(frac_mam_12_23months*0.99)),0),1)</f>
        <v>9.705286312617134E-3</v>
      </c>
      <c r="H75" s="90">
        <f>MIN(MAX(1-0.99/(1-frac_mam_24_59months+(frac_mam_24_59months*0.99)),0),1)</f>
        <v>9.7963903729740842E-3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0.1992998517763902</v>
      </c>
      <c r="G128" s="90">
        <f>MIN(MAX(1-0.8/(1-frac_sam_12_23months+(frac_sam_12_23months*0.8)),0),1)</f>
        <v>0.19734133765955653</v>
      </c>
      <c r="H128" s="90">
        <f>MIN(MAX(1-0.8/(1-frac_sam_24_59months+(frac_sam_24_59months*0.8)),0),1)</f>
        <v>0.19929933887947993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0.19468380175523092</v>
      </c>
      <c r="G130" s="90">
        <f>MIN(MAX(1-0.8/(1-frac_mam_12_23months+(frac_mam_12_23months*0.8)),0),1)</f>
        <v>0.19520985687652326</v>
      </c>
      <c r="H130" s="90">
        <f>MIN(MAX(1-0.8/(1-frac_mam_24_59months+(frac_mam_24_59months*0.8)),0),1)</f>
        <v>0.1966964301350016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qq0zu7byyWXJJTV0Bmy0z7K6dbxheAXblsQiDe/adM6l+iqcYRLrsk3SC9qAwtIks86wCaeLmIzKD0HIwluaPQ==" saltValue="2eXE1AIeEq9J/SMWA02K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TYeJhQ5KwFTGk4FKA8ODgrUto2wpNskpb2QZpp87b8O0+hnMsrVr+mjqr/RN3PWAvmPp4cTaUOTAGeVp0ZFdA==" saltValue="7xpHmZNGSaBsVgUbmLrFK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2024-08-06T07:37:44Z</dcterms:modified>
</cp:coreProperties>
</file>