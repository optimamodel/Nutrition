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281BDEEE-2D47-49DA-A9B2-ED1B6DB7279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A19" i="2" l="1"/>
  <c r="A24" i="2"/>
  <c r="A25" i="2"/>
  <c r="A35" i="2"/>
  <c r="A22" i="2"/>
  <c r="A26" i="2"/>
  <c r="I9" i="2"/>
  <c r="I13" i="2"/>
  <c r="A36" i="2"/>
  <c r="A31" i="2"/>
  <c r="A34" i="2"/>
  <c r="A40" i="2"/>
  <c r="I3" i="2"/>
  <c r="I7" i="2"/>
  <c r="I11" i="2"/>
  <c r="A23" i="2"/>
  <c r="A37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<sst xmlns="http://schemas.openxmlformats.org/spreadsheetml/2006/main" count="2169" uniqueCount="373">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</sst>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332418</v>
      </c>
    </row>
    <row r="8" spans="1:3" ht="15" customHeight="1" x14ac:dyDescent="0.25">
      <c r="B8" s="5" t="s">
        <v>63</v>
      </c>
      <c r="C8" s="44">
        <v>3.4000000000000002E-2</v>
      </c>
    </row>
    <row r="9" spans="1:3" ht="15" customHeight="1" x14ac:dyDescent="0.25">
      <c r="B9" s="5" t="s">
        <v>62</v>
      </c>
      <c r="C9" s="45">
        <v>0.96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0.66299999999999992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0.13100000000000001</v>
      </c>
    </row>
    <row r="24" spans="1:3" ht="15" customHeight="1" x14ac:dyDescent="0.25">
      <c r="B24" s="15" t="s">
        <v>65</v>
      </c>
      <c r="C24" s="45">
        <v>0.434</v>
      </c>
    </row>
    <row r="25" spans="1:3" ht="15" customHeight="1" x14ac:dyDescent="0.25">
      <c r="B25" s="15" t="s">
        <v>66</v>
      </c>
      <c r="C25" s="45">
        <v>0.35249999999999998</v>
      </c>
    </row>
    <row r="26" spans="1:3" ht="15" customHeight="1" x14ac:dyDescent="0.25">
      <c r="B26" s="15" t="s">
        <v>67</v>
      </c>
      <c r="C26" s="45">
        <v>8.2500000000000004E-2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0.267409234355309</v>
      </c>
    </row>
    <row r="30" spans="1:3" ht="14.25" customHeight="1" x14ac:dyDescent="0.25">
      <c r="B30" s="25" t="s">
        <v>82</v>
      </c>
      <c r="C30" s="97">
        <v>6.2316367797226199E-2</v>
      </c>
    </row>
    <row r="31" spans="1:3" ht="14.25" customHeight="1" x14ac:dyDescent="0.25">
      <c r="B31" s="25" t="s">
        <v>29</v>
      </c>
      <c r="C31" s="97">
        <v>9.3002675244955299E-2</v>
      </c>
    </row>
    <row r="32" spans="1:3" ht="14.25" customHeight="1" x14ac:dyDescent="0.25">
      <c r="B32" s="25" t="s">
        <v>30</v>
      </c>
      <c r="C32" s="97">
        <v>0.57727172260250903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18.94415</v>
      </c>
    </row>
    <row r="38" spans="1:5" ht="15" customHeight="1" x14ac:dyDescent="0.25">
      <c r="B38" s="11" t="s">
        <v>54</v>
      </c>
      <c r="C38" s="43">
        <v>29.356670000000001</v>
      </c>
      <c r="D38" s="12"/>
      <c r="E38" s="13"/>
    </row>
    <row r="39" spans="1:5" ht="15" customHeight="1" x14ac:dyDescent="0.25">
      <c r="B39" s="11" t="s">
        <v>80</v>
      </c>
      <c r="C39" s="43">
        <v>39.74532</v>
      </c>
      <c r="D39" s="12"/>
      <c r="E39" s="12"/>
    </row>
    <row r="40" spans="1:5" ht="15" customHeight="1" x14ac:dyDescent="0.25">
      <c r="B40" s="11" t="s">
        <v>55</v>
      </c>
      <c r="C40" s="98">
        <v>2.27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14.095359999999999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5.8306E-3</v>
      </c>
      <c r="D45" s="12"/>
    </row>
    <row r="46" spans="1:5" ht="15.75" customHeight="1" x14ac:dyDescent="0.25">
      <c r="B46" s="11" t="s">
        <v>70</v>
      </c>
      <c r="C46" s="45">
        <v>6.2648999999999996E-2</v>
      </c>
      <c r="D46" s="12"/>
    </row>
    <row r="47" spans="1:5" ht="15.75" customHeight="1" x14ac:dyDescent="0.25">
      <c r="B47" s="11" t="s">
        <v>78</v>
      </c>
      <c r="C47" s="45">
        <v>7.5456700000000002E-2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2.9119999999999999</v>
      </c>
      <c r="D51" s="12"/>
    </row>
    <row r="52" spans="1:4" ht="15" customHeight="1" x14ac:dyDescent="0.25">
      <c r="B52" s="11" t="s">
        <v>32</v>
      </c>
      <c r="C52" s="98">
        <v>2.9119999999999999</v>
      </c>
    </row>
    <row r="53" spans="1:4" ht="15.75" customHeight="1" x14ac:dyDescent="0.25">
      <c r="B53" s="11" t="s">
        <v>35</v>
      </c>
      <c r="C53" s="98">
        <v>5.7720000000000002</v>
      </c>
    </row>
    <row r="54" spans="1:4" ht="15.75" customHeight="1" x14ac:dyDescent="0.25">
      <c r="B54" s="11" t="s">
        <v>33</v>
      </c>
      <c r="C54" s="98">
        <v>6.0060000000000002</v>
      </c>
    </row>
    <row r="55" spans="1:4" ht="15.75" customHeight="1" x14ac:dyDescent="0.25">
      <c r="B55" s="11" t="s">
        <v>34</v>
      </c>
      <c r="C55" s="98">
        <v>3.631333333333334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0.40570099999999998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0.1421289</v>
      </c>
    </row>
    <row r="63" spans="1:4" ht="15.75" customHeight="1" x14ac:dyDescent="0.3">
      <c r="A63" s="4"/>
    </row>
  </sheetData>
  <sheetProtection algorithmName="SHA-512" hashValue="SRBgGVHMcUD9PKahCR9doASSNZwdUfIxWE/eAXvhlbhpoJxxGPK6mYPJCXhwZYDWWNFaazoIiK4d/HicQ3Dlog==" saltValue="eea8pMFQLSSXOrJ7FREb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68875</v>
      </c>
      <c r="C2" s="49">
        <v>118035</v>
      </c>
      <c r="D2" s="49">
        <v>196519.99999999997</v>
      </c>
      <c r="E2" s="49">
        <v>177429.5</v>
      </c>
      <c r="F2" s="49">
        <v>131877</v>
      </c>
      <c r="G2" s="17">
        <f t="shared" ref="G2:G13" si="0">C2+D2+E2+F2</f>
        <v>623861.5</v>
      </c>
      <c r="H2" s="17">
        <f t="shared" ref="H2:H13" si="1">(B2 + stillbirth*B2/(1000-stillbirth))/(1-abortion)</f>
        <v>79386.019985204111</v>
      </c>
      <c r="I2" s="17">
        <f t="shared" ref="I2:I13" si="2">G2-H2</f>
        <v>544475.4800147959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69096</v>
      </c>
      <c r="C3" s="50">
        <v>122614</v>
      </c>
      <c r="D3" s="50">
        <v>200607</v>
      </c>
      <c r="E3" s="50">
        <v>178797.5</v>
      </c>
      <c r="F3" s="50">
        <v>136702.5</v>
      </c>
      <c r="G3" s="17">
        <f t="shared" si="0"/>
        <v>638721</v>
      </c>
      <c r="H3" s="17">
        <f t="shared" si="1"/>
        <v>79640.746815211081</v>
      </c>
      <c r="I3" s="17">
        <f t="shared" si="2"/>
        <v>559080.25318478886</v>
      </c>
    </row>
    <row r="4" spans="1:9" ht="15.75" customHeight="1" x14ac:dyDescent="0.25">
      <c r="A4" s="5">
        <f t="shared" si="3"/>
        <v>2026</v>
      </c>
      <c r="B4" s="49">
        <v>69484</v>
      </c>
      <c r="C4" s="50">
        <v>127376</v>
      </c>
      <c r="D4" s="50">
        <v>205693.5</v>
      </c>
      <c r="E4" s="50">
        <v>179646.00000000003</v>
      </c>
      <c r="F4" s="50">
        <v>141421.49999999997</v>
      </c>
      <c r="G4" s="17">
        <f t="shared" si="0"/>
        <v>654137</v>
      </c>
      <c r="H4" s="17">
        <f t="shared" si="1"/>
        <v>80087.959530336433</v>
      </c>
      <c r="I4" s="17">
        <f t="shared" si="2"/>
        <v>574049.04046966357</v>
      </c>
    </row>
    <row r="5" spans="1:9" ht="15.75" customHeight="1" x14ac:dyDescent="0.25">
      <c r="A5" s="5">
        <f t="shared" si="3"/>
        <v>2027</v>
      </c>
      <c r="B5" s="49">
        <v>69719</v>
      </c>
      <c r="C5" s="50">
        <v>132085</v>
      </c>
      <c r="D5" s="50">
        <v>211630</v>
      </c>
      <c r="E5" s="50">
        <v>180146.00000000003</v>
      </c>
      <c r="F5" s="50">
        <v>146015.5</v>
      </c>
      <c r="G5" s="17">
        <f t="shared" si="0"/>
        <v>669876.5</v>
      </c>
      <c r="H5" s="17">
        <f t="shared" si="1"/>
        <v>80358.822901610823</v>
      </c>
      <c r="I5" s="17">
        <f t="shared" si="2"/>
        <v>589517.67709838913</v>
      </c>
    </row>
    <row r="6" spans="1:9" ht="15.75" customHeight="1" x14ac:dyDescent="0.25">
      <c r="A6" s="5">
        <f t="shared" si="3"/>
        <v>2028</v>
      </c>
      <c r="B6" s="49">
        <v>70157</v>
      </c>
      <c r="C6" s="50">
        <v>136483</v>
      </c>
      <c r="D6" s="50">
        <v>218287</v>
      </c>
      <c r="E6" s="50">
        <v>180485.5</v>
      </c>
      <c r="F6" s="50">
        <v>150433</v>
      </c>
      <c r="G6" s="17">
        <f t="shared" si="0"/>
        <v>685688.5</v>
      </c>
      <c r="H6" s="17">
        <f t="shared" si="1"/>
        <v>80863.66612126265</v>
      </c>
      <c r="I6" s="17">
        <f t="shared" si="2"/>
        <v>604824.83387873741</v>
      </c>
    </row>
    <row r="7" spans="1:9" ht="15.75" customHeight="1" x14ac:dyDescent="0.25">
      <c r="A7" s="5">
        <f t="shared" si="3"/>
        <v>2029</v>
      </c>
      <c r="B7" s="49">
        <v>70838</v>
      </c>
      <c r="C7" s="50">
        <v>140393.5</v>
      </c>
      <c r="D7" s="50">
        <v>225685.5</v>
      </c>
      <c r="E7" s="50">
        <v>180846.99999999997</v>
      </c>
      <c r="F7" s="50">
        <v>154560.99999999997</v>
      </c>
      <c r="G7" s="17">
        <f t="shared" si="0"/>
        <v>701487</v>
      </c>
      <c r="H7" s="17">
        <f t="shared" si="1"/>
        <v>81648.593592913079</v>
      </c>
      <c r="I7" s="17">
        <f t="shared" si="2"/>
        <v>619838.40640708688</v>
      </c>
    </row>
    <row r="8" spans="1:9" ht="15.75" customHeight="1" x14ac:dyDescent="0.25">
      <c r="A8" s="5">
        <f t="shared" si="3"/>
        <v>2030</v>
      </c>
      <c r="B8" s="49">
        <v>71554</v>
      </c>
      <c r="C8" s="50">
        <v>143788</v>
      </c>
      <c r="D8" s="50">
        <v>233794.5</v>
      </c>
      <c r="E8" s="50">
        <v>181452.99999999997</v>
      </c>
      <c r="F8" s="50">
        <v>158311.5</v>
      </c>
      <c r="G8" s="17">
        <f t="shared" si="0"/>
        <v>717347</v>
      </c>
      <c r="H8" s="17">
        <f t="shared" si="1"/>
        <v>82473.862417732031</v>
      </c>
      <c r="I8" s="17">
        <f t="shared" si="2"/>
        <v>634873.13758226798</v>
      </c>
    </row>
    <row r="9" spans="1:9" ht="15.75" customHeight="1" x14ac:dyDescent="0.25">
      <c r="A9" s="5">
        <f t="shared" si="3"/>
        <v>2031</v>
      </c>
      <c r="B9" s="49">
        <v>72211</v>
      </c>
      <c r="C9" s="50">
        <v>146869</v>
      </c>
      <c r="D9" s="50">
        <v>242452.5</v>
      </c>
      <c r="E9" s="50">
        <v>182471.5</v>
      </c>
      <c r="F9" s="50">
        <v>161618</v>
      </c>
      <c r="G9" s="17">
        <f t="shared" si="0"/>
        <v>733411</v>
      </c>
      <c r="H9" s="17">
        <f t="shared" si="1"/>
        <v>83231.127247209763</v>
      </c>
      <c r="I9" s="17">
        <f t="shared" si="2"/>
        <v>650179.87275279022</v>
      </c>
    </row>
    <row r="10" spans="1:9" ht="15.75" customHeight="1" x14ac:dyDescent="0.25">
      <c r="A10" s="5">
        <f t="shared" si="3"/>
        <v>2032</v>
      </c>
      <c r="B10" s="49">
        <v>73025</v>
      </c>
      <c r="C10" s="50">
        <v>149884</v>
      </c>
      <c r="D10" s="50">
        <v>251315</v>
      </c>
      <c r="E10" s="50">
        <v>184020.5</v>
      </c>
      <c r="F10" s="50">
        <v>164476.5</v>
      </c>
      <c r="G10" s="17">
        <f t="shared" si="0"/>
        <v>749696</v>
      </c>
      <c r="H10" s="17">
        <f t="shared" si="1"/>
        <v>84169.351860900613</v>
      </c>
      <c r="I10" s="17">
        <f t="shared" si="2"/>
        <v>665526.64813909936</v>
      </c>
    </row>
    <row r="11" spans="1:9" ht="15.75" customHeight="1" x14ac:dyDescent="0.25">
      <c r="A11" s="5">
        <f t="shared" si="3"/>
        <v>2033</v>
      </c>
      <c r="B11" s="49">
        <v>73941</v>
      </c>
      <c r="C11" s="50">
        <v>152981.5</v>
      </c>
      <c r="D11" s="50">
        <v>260052.5</v>
      </c>
      <c r="E11" s="50">
        <v>186225</v>
      </c>
      <c r="F11" s="50">
        <v>166897</v>
      </c>
      <c r="G11" s="17">
        <f t="shared" si="0"/>
        <v>766156</v>
      </c>
      <c r="H11" s="17">
        <f t="shared" si="1"/>
        <v>85225.142703825419</v>
      </c>
      <c r="I11" s="17">
        <f t="shared" si="2"/>
        <v>680930.85729617462</v>
      </c>
    </row>
    <row r="12" spans="1:9" ht="15.75" customHeight="1" x14ac:dyDescent="0.25">
      <c r="A12" s="5">
        <f t="shared" si="3"/>
        <v>2034</v>
      </c>
      <c r="B12" s="49">
        <v>74893</v>
      </c>
      <c r="C12" s="50">
        <v>156105.5</v>
      </c>
      <c r="D12" s="50">
        <v>268537.5</v>
      </c>
      <c r="E12" s="50">
        <v>189271.00000000003</v>
      </c>
      <c r="F12" s="50">
        <v>168808</v>
      </c>
      <c r="G12" s="17">
        <f t="shared" si="0"/>
        <v>782722</v>
      </c>
      <c r="H12" s="17">
        <f t="shared" si="1"/>
        <v>86322.427510009307</v>
      </c>
      <c r="I12" s="17">
        <f t="shared" si="2"/>
        <v>696399.57248999074</v>
      </c>
    </row>
    <row r="13" spans="1:9" ht="15.75" customHeight="1" x14ac:dyDescent="0.25">
      <c r="A13" s="5">
        <f t="shared" si="3"/>
        <v>2035</v>
      </c>
      <c r="B13" s="49">
        <v>75866</v>
      </c>
      <c r="C13" s="50">
        <v>158978.5</v>
      </c>
      <c r="D13" s="50">
        <v>276775.5</v>
      </c>
      <c r="E13" s="50">
        <v>193341</v>
      </c>
      <c r="F13" s="50">
        <v>170156.99999999997</v>
      </c>
      <c r="G13" s="17">
        <f t="shared" si="0"/>
        <v>799252</v>
      </c>
      <c r="H13" s="17">
        <f t="shared" si="1"/>
        <v>87443.917128094283</v>
      </c>
      <c r="I13" s="17">
        <f t="shared" si="2"/>
        <v>711808.08287190576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9LE4WdpDACgPJZ/lef5Bnc42+GOR7KcUFOHrDDVnoAoT/ulctBLVwq3Y7sehfqfWY8Yoyad/o/wIfDkOhwoTyQ==" saltValue="mA8K8V9glGywo7cdaXsU3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7.9603999999999977E-3</v>
      </c>
    </row>
    <row r="4" spans="1:8" ht="15.75" customHeight="1" x14ac:dyDescent="0.25">
      <c r="B4" s="19" t="s">
        <v>116</v>
      </c>
      <c r="C4" s="99">
        <v>5.4278499999999973E-2</v>
      </c>
    </row>
    <row r="5" spans="1:8" ht="15.75" customHeight="1" x14ac:dyDescent="0.25">
      <c r="B5" s="19" t="s">
        <v>114</v>
      </c>
      <c r="C5" s="99">
        <v>6.8896700000000047E-2</v>
      </c>
    </row>
    <row r="6" spans="1:8" ht="15.75" customHeight="1" x14ac:dyDescent="0.25">
      <c r="B6" s="19" t="s">
        <v>110</v>
      </c>
      <c r="C6" s="99">
        <v>0.2405291000000005</v>
      </c>
    </row>
    <row r="7" spans="1:8" ht="15.75" customHeight="1" x14ac:dyDescent="0.25">
      <c r="B7" s="19" t="s">
        <v>115</v>
      </c>
      <c r="C7" s="99">
        <v>0.42675559999999951</v>
      </c>
    </row>
    <row r="8" spans="1:8" ht="15.75" customHeight="1" x14ac:dyDescent="0.25">
      <c r="B8" s="19" t="s">
        <v>117</v>
      </c>
      <c r="C8" s="99">
        <v>1.9896999999999992E-3</v>
      </c>
    </row>
    <row r="9" spans="1:8" ht="15.75" customHeight="1" x14ac:dyDescent="0.25">
      <c r="B9" s="19" t="s">
        <v>111</v>
      </c>
      <c r="C9" s="99">
        <v>8.7416600000000025E-2</v>
      </c>
    </row>
    <row r="10" spans="1:8" ht="15.75" customHeight="1" x14ac:dyDescent="0.25">
      <c r="B10" s="19" t="s">
        <v>113</v>
      </c>
      <c r="C10" s="99">
        <v>0.11217340000000001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0.1586850795979258</v>
      </c>
      <c r="D14" s="55">
        <v>0.1586850795979258</v>
      </c>
      <c r="E14" s="55">
        <v>0.1586850795979258</v>
      </c>
      <c r="F14" s="55">
        <v>0.1586850795979258</v>
      </c>
    </row>
    <row r="15" spans="1:8" ht="15.75" customHeight="1" x14ac:dyDescent="0.25">
      <c r="B15" s="19" t="s">
        <v>121</v>
      </c>
      <c r="C15" s="99">
        <v>0.1457257056059359</v>
      </c>
      <c r="D15" s="99">
        <v>0.1457257056059359</v>
      </c>
      <c r="E15" s="99">
        <v>0.1457257056059359</v>
      </c>
      <c r="F15" s="99">
        <v>0.1457257056059359</v>
      </c>
    </row>
    <row r="16" spans="1:8" ht="15.75" customHeight="1" x14ac:dyDescent="0.25">
      <c r="B16" s="19" t="s">
        <v>2</v>
      </c>
      <c r="C16" s="99">
        <v>3.6673544337957442E-2</v>
      </c>
      <c r="D16" s="99">
        <v>3.6673544337957442E-2</v>
      </c>
      <c r="E16" s="99">
        <v>3.6673544337957442E-2</v>
      </c>
      <c r="F16" s="99">
        <v>3.6673544337957442E-2</v>
      </c>
    </row>
    <row r="17" spans="1:8" ht="15.75" customHeight="1" x14ac:dyDescent="0.25">
      <c r="B17" s="19" t="s">
        <v>109</v>
      </c>
      <c r="C17" s="99">
        <v>9.8008104921843586E-2</v>
      </c>
      <c r="D17" s="99">
        <v>9.8008104921843586E-2</v>
      </c>
      <c r="E17" s="99">
        <v>9.8008104921843586E-2</v>
      </c>
      <c r="F17" s="99">
        <v>9.8008104921843586E-2</v>
      </c>
    </row>
    <row r="18" spans="1:8" ht="15.75" customHeight="1" x14ac:dyDescent="0.25">
      <c r="B18" s="19" t="s">
        <v>3</v>
      </c>
      <c r="C18" s="99">
        <v>0.135975881764268</v>
      </c>
      <c r="D18" s="99">
        <v>0.135975881764268</v>
      </c>
      <c r="E18" s="99">
        <v>0.135975881764268</v>
      </c>
      <c r="F18" s="99">
        <v>0.135975881764268</v>
      </c>
    </row>
    <row r="19" spans="1:8" ht="15.75" customHeight="1" x14ac:dyDescent="0.25">
      <c r="B19" s="19" t="s">
        <v>120</v>
      </c>
      <c r="C19" s="99">
        <v>6.2473064113144711E-2</v>
      </c>
      <c r="D19" s="99">
        <v>6.2473064113144711E-2</v>
      </c>
      <c r="E19" s="99">
        <v>6.2473064113144711E-2</v>
      </c>
      <c r="F19" s="99">
        <v>6.2473064113144711E-2</v>
      </c>
    </row>
    <row r="20" spans="1:8" ht="15.75" customHeight="1" x14ac:dyDescent="0.25">
      <c r="B20" s="19" t="s">
        <v>98</v>
      </c>
      <c r="C20" s="99">
        <v>8.6546694608013008E-2</v>
      </c>
      <c r="D20" s="99">
        <v>8.6546694608013008E-2</v>
      </c>
      <c r="E20" s="99">
        <v>8.6546694608013008E-2</v>
      </c>
      <c r="F20" s="99">
        <v>8.6546694608013008E-2</v>
      </c>
    </row>
    <row r="21" spans="1:8" ht="15.75" customHeight="1" x14ac:dyDescent="0.25">
      <c r="B21" s="19" t="s">
        <v>107</v>
      </c>
      <c r="C21" s="99">
        <v>8.7176531093682147E-2</v>
      </c>
      <c r="D21" s="99">
        <v>8.7176531093682147E-2</v>
      </c>
      <c r="E21" s="99">
        <v>8.7176531093682147E-2</v>
      </c>
      <c r="F21" s="99">
        <v>8.7176531093682147E-2</v>
      </c>
    </row>
    <row r="22" spans="1:8" ht="15.75" customHeight="1" x14ac:dyDescent="0.25">
      <c r="B22" s="19" t="s">
        <v>118</v>
      </c>
      <c r="C22" s="99">
        <v>0.1887353939572296</v>
      </c>
      <c r="D22" s="99">
        <v>0.1887353939572296</v>
      </c>
      <c r="E22" s="99">
        <v>0.1887353939572296</v>
      </c>
      <c r="F22" s="99">
        <v>0.1887353939572296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9.5711987999999998E-2</v>
      </c>
    </row>
    <row r="27" spans="1:8" ht="15.75" customHeight="1" x14ac:dyDescent="0.25">
      <c r="B27" s="19" t="s">
        <v>108</v>
      </c>
      <c r="C27" s="99">
        <v>4.2970438999999999E-2</v>
      </c>
    </row>
    <row r="28" spans="1:8" ht="15.75" customHeight="1" x14ac:dyDescent="0.25">
      <c r="B28" s="19" t="s">
        <v>122</v>
      </c>
      <c r="C28" s="99">
        <v>0.19642078600000001</v>
      </c>
    </row>
    <row r="29" spans="1:8" ht="15.75" customHeight="1" x14ac:dyDescent="0.25">
      <c r="B29" s="19" t="s">
        <v>105</v>
      </c>
      <c r="C29" s="99">
        <v>0.206894785</v>
      </c>
    </row>
    <row r="30" spans="1:8" ht="15.75" customHeight="1" x14ac:dyDescent="0.25">
      <c r="B30" s="19" t="s">
        <v>4</v>
      </c>
      <c r="C30" s="99">
        <v>2.7698743000000001E-2</v>
      </c>
    </row>
    <row r="31" spans="1:8" ht="15.75" customHeight="1" x14ac:dyDescent="0.25">
      <c r="B31" s="19" t="s">
        <v>99</v>
      </c>
      <c r="C31" s="99">
        <v>0.20935653800000001</v>
      </c>
    </row>
    <row r="32" spans="1:8" ht="15.75" customHeight="1" x14ac:dyDescent="0.25">
      <c r="B32" s="19" t="s">
        <v>104</v>
      </c>
      <c r="C32" s="99">
        <v>1.2451637999999999E-2</v>
      </c>
    </row>
    <row r="33" spans="2:3" ht="15.75" customHeight="1" x14ac:dyDescent="0.25">
      <c r="B33" s="19" t="s">
        <v>119</v>
      </c>
      <c r="C33" s="99">
        <v>5.1474696E-2</v>
      </c>
    </row>
    <row r="34" spans="2:3" ht="15.75" customHeight="1" x14ac:dyDescent="0.25">
      <c r="B34" s="19" t="s">
        <v>106</v>
      </c>
      <c r="C34" s="99">
        <v>0.15702038800000001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BtplTnjQWUojUNTZ2HU3ri18Hs3s7Xnt4HQoKP72AR7kfbgQ8TPs+5bzHi6BIRUgTDU2YHU326FxXNVSrkTg+Q==" saltValue="n5mqm7zoxSbTwzuOPDJpd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0.51029382434732007</v>
      </c>
      <c r="D2" s="52">
        <f>IFERROR(1-_xlfn.NORM.DIST(_xlfn.NORM.INV(SUM(D4:D5), 0, 1) + 1, 0, 1, TRUE), "")</f>
        <v>0.51029382434732007</v>
      </c>
      <c r="E2" s="52">
        <f>IFERROR(1-_xlfn.NORM.DIST(_xlfn.NORM.INV(SUM(E4:E5), 0, 1) + 1, 0, 1, TRUE), "")</f>
        <v>0.6443379975681347</v>
      </c>
      <c r="F2" s="52">
        <f>IFERROR(1-_xlfn.NORM.DIST(_xlfn.NORM.INV(SUM(F4:F5), 0, 1) + 1, 0, 1, TRUE), "")</f>
        <v>0.42295980173304104</v>
      </c>
      <c r="G2" s="52">
        <f>IFERROR(1-_xlfn.NORM.DIST(_xlfn.NORM.INV(SUM(G4:G5), 0, 1) + 1, 0, 1, TRUE), "")</f>
        <v>0.5531086877320488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0.33721457565267998</v>
      </c>
      <c r="D3" s="52">
        <f>IFERROR(_xlfn.NORM.DIST(_xlfn.NORM.INV(SUM(D4:D5), 0, 1) + 1, 0, 1, TRUE) - SUM(D4:D5), "")</f>
        <v>0.33721457565267998</v>
      </c>
      <c r="E3" s="52">
        <f>IFERROR(_xlfn.NORM.DIST(_xlfn.NORM.INV(SUM(E4:E5), 0, 1) + 1, 0, 1, TRUE) - SUM(E4:E5), "")</f>
        <v>0.2703308024318653</v>
      </c>
      <c r="F3" s="52">
        <f>IFERROR(_xlfn.NORM.DIST(_xlfn.NORM.INV(SUM(F4:F5), 0, 1) + 1, 0, 1, TRUE) - SUM(F4:F5), "")</f>
        <v>0.36682439826695895</v>
      </c>
      <c r="G3" s="52">
        <f>IFERROR(_xlfn.NORM.DIST(_xlfn.NORM.INV(SUM(G4:G5), 0, 1) + 1, 0, 1, TRUE) - SUM(G4:G5), "")</f>
        <v>0.3183932122679512</v>
      </c>
    </row>
    <row r="4" spans="1:15" ht="15.75" customHeight="1" x14ac:dyDescent="0.25">
      <c r="B4" s="5" t="s">
        <v>129</v>
      </c>
      <c r="C4" s="45">
        <v>0.1042593</v>
      </c>
      <c r="D4" s="53">
        <v>0.1042593</v>
      </c>
      <c r="E4" s="53">
        <v>6.4421300000000001E-2</v>
      </c>
      <c r="F4" s="53">
        <v>0.1396512</v>
      </c>
      <c r="G4" s="53">
        <v>8.9111200000000002E-2</v>
      </c>
    </row>
    <row r="5" spans="1:15" ht="15.75" customHeight="1" x14ac:dyDescent="0.25">
      <c r="B5" s="5" t="s">
        <v>125</v>
      </c>
      <c r="C5" s="45">
        <v>4.8232299999999999E-2</v>
      </c>
      <c r="D5" s="53">
        <v>4.8232299999999999E-2</v>
      </c>
      <c r="E5" s="53">
        <v>2.0909899999999999E-2</v>
      </c>
      <c r="F5" s="53">
        <v>7.0564600000000005E-2</v>
      </c>
      <c r="G5" s="53">
        <v>3.9386900000000002E-2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0.70894537084830733</v>
      </c>
      <c r="D8" s="52">
        <f>IFERROR(1-_xlfn.NORM.DIST(_xlfn.NORM.INV(SUM(D10:D11), 0, 1) + 1, 0, 1, TRUE), "")</f>
        <v>0.70894537084830733</v>
      </c>
      <c r="E8" s="52">
        <f>IFERROR(1-_xlfn.NORM.DIST(_xlfn.NORM.INV(SUM(E10:E11), 0, 1) + 1, 0, 1, TRUE), "")</f>
        <v>0.78287691391414294</v>
      </c>
      <c r="F8" s="52">
        <f>IFERROR(1-_xlfn.NORM.DIST(_xlfn.NORM.INV(SUM(F10:F11), 0, 1) + 1, 0, 1, TRUE), "")</f>
        <v>0.75225865586967744</v>
      </c>
      <c r="G8" s="52">
        <f>IFERROR(1-_xlfn.NORM.DIST(_xlfn.NORM.INV(SUM(G10:G11), 0, 1) + 1, 0, 1, TRUE), "")</f>
        <v>0.8317317240301163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0.23052062915169269</v>
      </c>
      <c r="D9" s="52">
        <f>IFERROR(_xlfn.NORM.DIST(_xlfn.NORM.INV(SUM(D10:D11), 0, 1) + 1, 0, 1, TRUE) - SUM(D10:D11), "")</f>
        <v>0.23052062915169269</v>
      </c>
      <c r="E9" s="52">
        <f>IFERROR(_xlfn.NORM.DIST(_xlfn.NORM.INV(SUM(E10:E11), 0, 1) + 1, 0, 1, TRUE) - SUM(E10:E11), "")</f>
        <v>0.1797440860858571</v>
      </c>
      <c r="F9" s="52">
        <f>IFERROR(_xlfn.NORM.DIST(_xlfn.NORM.INV(SUM(F10:F11), 0, 1) + 1, 0, 1, TRUE) - SUM(F10:F11), "")</f>
        <v>0.20141954413032256</v>
      </c>
      <c r="G9" s="52">
        <f>IFERROR(_xlfn.NORM.DIST(_xlfn.NORM.INV(SUM(G10:G11), 0, 1) + 1, 0, 1, TRUE) - SUM(G10:G11), "")</f>
        <v>0.14333057596988374</v>
      </c>
    </row>
    <row r="10" spans="1:15" ht="15.75" customHeight="1" x14ac:dyDescent="0.25">
      <c r="B10" s="5" t="s">
        <v>126</v>
      </c>
      <c r="C10" s="45">
        <v>3.2665799999999988E-2</v>
      </c>
      <c r="D10" s="53">
        <v>3.2665799999999988E-2</v>
      </c>
      <c r="E10" s="53">
        <v>3.3006899999999999E-2</v>
      </c>
      <c r="F10" s="53">
        <v>2.9760200000000001E-2</v>
      </c>
      <c r="G10" s="53">
        <v>2.0562400000000002E-2</v>
      </c>
    </row>
    <row r="11" spans="1:15" ht="15.75" customHeight="1" x14ac:dyDescent="0.25">
      <c r="B11" s="5" t="s">
        <v>138</v>
      </c>
      <c r="C11" s="45">
        <v>2.7868199999999999E-2</v>
      </c>
      <c r="D11" s="53">
        <v>2.7868199999999999E-2</v>
      </c>
      <c r="E11" s="53">
        <v>4.3721000000000003E-3</v>
      </c>
      <c r="F11" s="53">
        <v>1.6561599999999999E-2</v>
      </c>
      <c r="G11" s="53">
        <v>4.3753000000000004E-3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0.77009803950000011</v>
      </c>
      <c r="D14" s="54">
        <v>0.75845489217399997</v>
      </c>
      <c r="E14" s="54">
        <v>0.75845489217399997</v>
      </c>
      <c r="F14" s="54">
        <v>0.60551019102899994</v>
      </c>
      <c r="G14" s="54">
        <v>0.60551019102899994</v>
      </c>
      <c r="H14" s="45">
        <v>0.60599999999999998</v>
      </c>
      <c r="I14" s="55">
        <v>0.60599999999999998</v>
      </c>
      <c r="J14" s="55">
        <v>0.60599999999999998</v>
      </c>
      <c r="K14" s="55">
        <v>0.60599999999999998</v>
      </c>
      <c r="L14" s="45">
        <v>0.58899999999999997</v>
      </c>
      <c r="M14" s="55">
        <v>0.58899999999999997</v>
      </c>
      <c r="N14" s="55">
        <v>0.58899999999999997</v>
      </c>
      <c r="O14" s="55">
        <v>0.58899999999999997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0.31242954472318951</v>
      </c>
      <c r="D15" s="52">
        <f t="shared" si="0"/>
        <v>0.30770590820988397</v>
      </c>
      <c r="E15" s="52">
        <f t="shared" si="0"/>
        <v>0.30770590820988397</v>
      </c>
      <c r="F15" s="52">
        <f t="shared" si="0"/>
        <v>0.2456560900106563</v>
      </c>
      <c r="G15" s="52">
        <f t="shared" si="0"/>
        <v>0.2456560900106563</v>
      </c>
      <c r="H15" s="52">
        <f t="shared" si="0"/>
        <v>0.24585480599999998</v>
      </c>
      <c r="I15" s="52">
        <f t="shared" si="0"/>
        <v>0.24585480599999998</v>
      </c>
      <c r="J15" s="52">
        <f t="shared" si="0"/>
        <v>0.24585480599999998</v>
      </c>
      <c r="K15" s="52">
        <f t="shared" si="0"/>
        <v>0.24585480599999998</v>
      </c>
      <c r="L15" s="52">
        <f t="shared" si="0"/>
        <v>0.23895788899999998</v>
      </c>
      <c r="M15" s="52">
        <f t="shared" si="0"/>
        <v>0.23895788899999998</v>
      </c>
      <c r="N15" s="52">
        <f t="shared" si="0"/>
        <v>0.23895788899999998</v>
      </c>
      <c r="O15" s="52">
        <f t="shared" si="0"/>
        <v>0.23895788899999998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IvZ9tmzSMfLLh4GfLDxNC/6Zn8f81oQTrmp1Nu/c7Vfbi/Bqd7Cpig9/yF/aau3KnDPQh6w8EyztmG5ywr93w==" saltValue="ENkgpiUEQ8vjOmA+So/z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0.33484629999999999</v>
      </c>
      <c r="D2" s="53">
        <v>0.1464792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0.10618130000000001</v>
      </c>
      <c r="D3" s="53">
        <v>0.1315151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0.51469330000000002</v>
      </c>
      <c r="D4" s="53">
        <v>0.61570049999999998</v>
      </c>
      <c r="E4" s="53">
        <v>0.72258</v>
      </c>
      <c r="F4" s="53">
        <v>0.1682478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4.4279100000000016E-2</v>
      </c>
      <c r="D5" s="52">
        <f t="shared" si="0"/>
        <v>0.10630519999999999</v>
      </c>
      <c r="E5" s="52">
        <f>1-SUM(E2:E4)</f>
        <v>0.27742</v>
      </c>
      <c r="F5" s="52">
        <f>1-SUM(F2:F4)</f>
        <v>0.83175219999999994</v>
      </c>
      <c r="G5" s="52">
        <f>1-SUM(G2:G4)</f>
        <v>1</v>
      </c>
    </row>
  </sheetData>
  <sheetProtection algorithmName="SHA-512" hashValue="4xBzD81mqvSS8pir1rgBQo9uLwYn1iQx9NDUu2tVVJkEg+nXzit7jDgNwVJ+XYEGiTp1oppficRsJVPVjaDgZg==" saltValue="gjSKzwdIVAsmtSW+5fHJ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e6kaadTaBhOO8R1lF8KxWS/GzQjtWswxNge2ybfB7CMdYAfBqgLQAILFXMZIU+mTU9KiZEjWaStRReMfSE9cg==" saltValue="xqNwhmNE7H8IN7n4A1VL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8820.3473368231607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0.26804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0.41104000000000002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7.7445127724982193E-3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95775.478449999995</v>
      </c>
      <c r="C22" s="107">
        <v>95268.875050000002</v>
      </c>
      <c r="D22" s="107">
        <v>94620.67052</v>
      </c>
      <c r="E22" s="107">
        <v>94092.716570000004</v>
      </c>
      <c r="F22" s="107">
        <v>93341.483800000002</v>
      </c>
      <c r="G22" s="107">
        <v>92423.458759999994</v>
      </c>
      <c r="H22" s="107">
        <v>91171.408689999997</v>
      </c>
      <c r="I22" s="107">
        <v>89390.063110000003</v>
      </c>
      <c r="J22" s="107">
        <v>86861.316219999993</v>
      </c>
      <c r="K22" s="107">
        <v>83394.796040000001</v>
      </c>
      <c r="L22" s="107">
        <v>78691.335470000005</v>
      </c>
      <c r="M22" s="107">
        <v>72628.909270000004</v>
      </c>
      <c r="N22" s="107">
        <v>64639.227319999998</v>
      </c>
      <c r="O22" s="107">
        <v>54570.89415</v>
      </c>
    </row>
  </sheetData>
  <sheetProtection algorithmName="SHA-512" hashValue="ieQSFdbHskyDfdkhaVIpYUZiN9i8LR6zhu2rtr4X5uxb97rPgkfPulI6rjaygjnoWYPX3N7sGPZ5b29xOh+Vfg==" saltValue="cxZjDyUcuDGLHCTYO7ORg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WZnsQs7htA8C4xKDScjpJ2Jgd8D05JhC1Q6YWs32+fJjEy7S/v4kgAbxp/1hTH/o83Yn1835dudF2HGVv5sb2A==" saltValue="bpGS0gyzsnefyzw/IbhEq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1rg+KwCwCAdI5Gs1iKsWfPeiHOrOjQwo0zn5EIT/UbYE8iWhjnsN0S++pabQBM8iDTkvy8v+oxGIvQG6shRZrw==" saltValue="qKd1pV4a2TZ0zE8l3MJu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18.025735670419653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18.025735670419653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5.2668836507008754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0.56149571024496792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0.70706266146872643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0.19283348666053357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0.3935863</v>
      </c>
      <c r="C10" s="96">
        <v>0.95</v>
      </c>
      <c r="D10" s="56">
        <v>13.446378219451059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13.446378219451059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13.446378219451059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13.446378219451059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0.3935863</v>
      </c>
      <c r="C14" s="96">
        <v>0.95</v>
      </c>
      <c r="D14" s="56">
        <v>13.446378219451059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13.446378219451059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0.50625290000000001</v>
      </c>
      <c r="C16" s="96">
        <v>0.95</v>
      </c>
      <c r="D16" s="56">
        <v>2.8407188685968858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0.35500000000000004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0.33</v>
      </c>
      <c r="C18" s="96">
        <v>0.95</v>
      </c>
      <c r="D18" s="56">
        <v>5.2668836507008754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0.1464792</v>
      </c>
      <c r="C19" s="96">
        <v>0.95</v>
      </c>
      <c r="D19" s="56">
        <v>7.2861200073283072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2.1939130069251829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5.2668836507008754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0.18503539999999999</v>
      </c>
      <c r="C23" s="96">
        <v>0.95</v>
      </c>
      <c r="D23" s="56">
        <v>4.5507118970106513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0.87473390287197805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0.3935863</v>
      </c>
      <c r="C26" s="96">
        <v>0.95</v>
      </c>
      <c r="D26" s="56">
        <v>3.8681355531509101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13.457928721749347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0.199735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0.26319480000000001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44.783843336315748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126.62714253872848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0.46210405728622134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0.2726925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0.1465804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0.88436610000000004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3.5000000000000003E-2</v>
      </c>
      <c r="C38" s="96">
        <v>0.95</v>
      </c>
      <c r="D38" s="56">
        <v>4.0706758054007581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3.4125000000000001</v>
      </c>
      <c r="E39" s="56" t="s">
        <v>212</v>
      </c>
      <c r="F39" s="96">
        <v>1</v>
      </c>
      <c r="G39" s="96">
        <v>1</v>
      </c>
    </row>
  </sheetData>
  <sheetProtection algorithmName="SHA-512" hashValue="5gt/5fkaWYk08XsuJDhkL7+UNnNubQ0hL6xdoEe6wrUMculb04KcBPmYDJx6jr3gbsaWitj8cdC95ZOYjdzAUA==" saltValue="ApPDzHSrq8Z/grelhdzF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DWRZJGBUZJ1n3kWTnAFW0xs8ZnLxKiVAj6C0HlaGKJy7wd9zq1yUwt07fC1wKdEaKYiXv7iyqG4Y9mKquJ0TQ==" saltValue="zjXD5z5VYO/PKKBKT7Li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U/b4bK2siNg30KA9KWsMNFo2Qzeztqydw9g7nmvL3fwpcnGgT/DBnIL8z3pHOpErjY/kNvslg2u2iZz3bHAJw==" saltValue="ZrFhvLEGg3CJ5k7vRF/K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2.9119999999999999</v>
      </c>
      <c r="C2" s="21">
        <f>'Entradas de población-año base'!C52</f>
        <v>2.9119999999999999</v>
      </c>
      <c r="D2" s="21">
        <f>'Entradas de población-año base'!C53</f>
        <v>5.7720000000000002</v>
      </c>
      <c r="E2" s="21">
        <f>'Entradas de población-año base'!C54</f>
        <v>6.0060000000000002</v>
      </c>
      <c r="F2" s="21">
        <f>'Entradas de población-año base'!C55</f>
        <v>3.631333333333334</v>
      </c>
    </row>
    <row r="3" spans="1:6" ht="15.75" customHeight="1" x14ac:dyDescent="0.25">
      <c r="A3" s="3" t="s">
        <v>6</v>
      </c>
      <c r="B3" s="21">
        <f>frac_mam_1month * 2.6</f>
        <v>8.4931079999999978E-2</v>
      </c>
      <c r="C3" s="21">
        <f>frac_mam_1_5months * 2.6</f>
        <v>8.4931079999999978E-2</v>
      </c>
      <c r="D3" s="21">
        <f>frac_mam_6_11months * 2.6</f>
        <v>8.5817939999999995E-2</v>
      </c>
      <c r="E3" s="21">
        <f>frac_mam_12_23months * 2.6</f>
        <v>7.7376520000000004E-2</v>
      </c>
      <c r="F3" s="21">
        <f>frac_mam_24_59months * 2.6</f>
        <v>5.3462240000000008E-2</v>
      </c>
    </row>
    <row r="4" spans="1:6" ht="15.75" customHeight="1" x14ac:dyDescent="0.25">
      <c r="A4" s="3" t="s">
        <v>236</v>
      </c>
      <c r="B4" s="21">
        <f>frac_sam_1month * 2.6</f>
        <v>7.2457320000000006E-2</v>
      </c>
      <c r="C4" s="21">
        <f>frac_sam_1_5months * 2.6</f>
        <v>7.2457320000000006E-2</v>
      </c>
      <c r="D4" s="21">
        <f>frac_sam_6_11months * 2.6</f>
        <v>1.1367460000000001E-2</v>
      </c>
      <c r="E4" s="21">
        <f>frac_sam_12_23months * 2.6</f>
        <v>4.306016E-2</v>
      </c>
      <c r="F4" s="21">
        <f>frac_sam_24_59months * 2.6</f>
        <v>1.1375780000000002E-2</v>
      </c>
    </row>
  </sheetData>
  <sheetProtection algorithmName="SHA-512" hashValue="ns07/Uy3f4cZgpNJANmAv1/W7S2Z6umxmLODOUUyivmOTi4+83g8F/2Y19tnH2m7Q6860tF+oA2qLmHsBG54vA==" saltValue="Z3NtnqSWggh7KawO9RBA8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3.4000000000000002E-2</v>
      </c>
      <c r="F2" s="60">
        <f>food_insecure</f>
        <v>3.4000000000000002E-2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3.4000000000000002E-2</v>
      </c>
      <c r="F5" s="60">
        <f>food_insecure</f>
        <v>3.4000000000000002E-2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6.3534545454545455E-2</v>
      </c>
      <c r="D7" s="60">
        <f>diarrhoea_1_5mo*frac_diarrhea_severe</f>
        <v>6.3534545454545455E-2</v>
      </c>
      <c r="E7" s="60">
        <f>diarrhoea_6_11mo*frac_diarrhea_severe</f>
        <v>0.12593454545454547</v>
      </c>
      <c r="F7" s="60">
        <f>diarrhoea_12_23mo*frac_diarrhea_severe</f>
        <v>0.13104000000000002</v>
      </c>
      <c r="G7" s="60">
        <f>diarrhoea_24_59mo*frac_diarrhea_severe</f>
        <v>7.922909090909093E-2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3.4000000000000002E-2</v>
      </c>
      <c r="F8" s="60">
        <f>food_insecure</f>
        <v>3.4000000000000002E-2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3.4000000000000002E-2</v>
      </c>
      <c r="F9" s="60">
        <f>food_insecure</f>
        <v>3.4000000000000002E-2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6.3534545454545455E-2</v>
      </c>
      <c r="D12" s="60">
        <f>diarrhoea_1_5mo*frac_diarrhea_severe</f>
        <v>6.3534545454545455E-2</v>
      </c>
      <c r="E12" s="60">
        <f>diarrhoea_6_11mo*frac_diarrhea_severe</f>
        <v>0.12593454545454547</v>
      </c>
      <c r="F12" s="60">
        <f>diarrhoea_12_23mo*frac_diarrhea_severe</f>
        <v>0.13104000000000002</v>
      </c>
      <c r="G12" s="60">
        <f>diarrhoea_24_59mo*frac_diarrhea_severe</f>
        <v>7.922909090909093E-2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3.4000000000000002E-2</v>
      </c>
      <c r="I15" s="60">
        <f t="shared" si="0"/>
        <v>3.4000000000000002E-2</v>
      </c>
      <c r="J15" s="60">
        <f t="shared" si="0"/>
        <v>3.4000000000000002E-2</v>
      </c>
      <c r="K15" s="60">
        <f t="shared" si="0"/>
        <v>3.4000000000000002E-2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3.4000000000000002E-2</v>
      </c>
      <c r="I16" s="60">
        <f t="shared" si="0"/>
        <v>3.4000000000000002E-2</v>
      </c>
      <c r="J16" s="60">
        <f t="shared" si="0"/>
        <v>3.4000000000000002E-2</v>
      </c>
      <c r="K16" s="60">
        <f t="shared" si="0"/>
        <v>3.4000000000000002E-2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0.96</v>
      </c>
      <c r="I19" s="60">
        <f>frac_malaria_risk</f>
        <v>0.96</v>
      </c>
      <c r="J19" s="60">
        <f>frac_malaria_risk</f>
        <v>0.96</v>
      </c>
      <c r="K19" s="60">
        <f>frac_malaria_risk</f>
        <v>0.96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0.66299999999999992</v>
      </c>
      <c r="M24" s="60">
        <f>famplan_unmet_need</f>
        <v>0.66299999999999992</v>
      </c>
      <c r="N24" s="60">
        <f>famplan_unmet_need</f>
        <v>0.66299999999999992</v>
      </c>
      <c r="O24" s="60">
        <f>famplan_unmet_need</f>
        <v>0.66299999999999992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0.33505584958288803</v>
      </c>
      <c r="M25" s="60">
        <f>(1-food_insecure)*(0.49)+food_insecure*(0.7)</f>
        <v>0.49713999999999997</v>
      </c>
      <c r="N25" s="60">
        <f>(1-food_insecure)*(0.49)+food_insecure*(0.7)</f>
        <v>0.49713999999999997</v>
      </c>
      <c r="O25" s="60">
        <f>(1-food_insecure)*(0.49)+food_insecure*(0.7)</f>
        <v>0.49713999999999997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0.14359536410695201</v>
      </c>
      <c r="M26" s="60">
        <f>(1-food_insecure)*(0.21)+food_insecure*(0.3)</f>
        <v>0.21305999999999997</v>
      </c>
      <c r="N26" s="60">
        <f>(1-food_insecure)*(0.21)+food_insecure*(0.3)</f>
        <v>0.21305999999999997</v>
      </c>
      <c r="O26" s="60">
        <f>(1-food_insecure)*(0.21)+food_insecure*(0.3)</f>
        <v>0.21305999999999997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0.19531557551016002</v>
      </c>
      <c r="M27" s="60">
        <f>(1-food_insecure)*(0.3)</f>
        <v>0.2898</v>
      </c>
      <c r="N27" s="60">
        <f>(1-food_insecure)*(0.3)</f>
        <v>0.2898</v>
      </c>
      <c r="O27" s="60">
        <f>(1-food_insecure)*(0.3)</f>
        <v>0.2898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0.96</v>
      </c>
      <c r="D34" s="60">
        <f t="shared" si="4"/>
        <v>0.96</v>
      </c>
      <c r="E34" s="60">
        <f t="shared" si="4"/>
        <v>0.96</v>
      </c>
      <c r="F34" s="60">
        <f t="shared" si="4"/>
        <v>0.96</v>
      </c>
      <c r="G34" s="60">
        <f t="shared" si="4"/>
        <v>0.96</v>
      </c>
      <c r="H34" s="60">
        <f t="shared" si="4"/>
        <v>0.96</v>
      </c>
      <c r="I34" s="60">
        <f t="shared" si="4"/>
        <v>0.96</v>
      </c>
      <c r="J34" s="60">
        <f t="shared" si="4"/>
        <v>0.96</v>
      </c>
      <c r="K34" s="60">
        <f t="shared" si="4"/>
        <v>0.96</v>
      </c>
      <c r="L34" s="60">
        <f t="shared" si="4"/>
        <v>0.96</v>
      </c>
      <c r="M34" s="60">
        <f t="shared" si="4"/>
        <v>0.96</v>
      </c>
      <c r="N34" s="60">
        <f t="shared" si="4"/>
        <v>0.96</v>
      </c>
      <c r="O34" s="60">
        <f t="shared" si="4"/>
        <v>0.96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1nEuOJlutSV6/HFZ/qpO4u46lcvT/azfSG1XmALGu9nSmcdkz1fCxMmdTCsG3wM1+UXSrGHck3/m3sRq2fJeA==" saltValue="3viaZHe+MH6db56u1yh/E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76Y9Jn7fcrXa5wfaIfKBwohJdprXG/gFgcRwTYRgSnDsi34Gl6auKmzxSnlZbN2texuC/pyLDHEktIsMgbktg==" saltValue="uz/swjSJ+K32swsMW2FA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UYyvAIXIG33yOpAfh94ZHyU4qRk/1fNERIt3t9DqbnwH4222um7JAGKFR8RekIDHO8Euie7EJElP3Lu3RAsjQ==" saltValue="Iy42WnVVvoDDbrKuv/Hv8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HtDdorK743udrUsY2HSuS5QpJq7QCCzl7ak39zVXGUCVh2LMjR5/JPFPCzpiD9afPGJSB0prVbt8i+08/a5YQ==" saltValue="DV0woO1577JCdJSRcjaf3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eK9BB5oYhc8vRS2hUTqvtz4F/H/f1RUHMDd3rSThZXMLOQ9O7IyqP6UMwVzn4yu3DCEgSUH1tSN0EuhIGB6R8Q==" saltValue="l4w2rAaPGLbpLvIeEo4A3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cgm4stxAXmiHoyK9J0I7/NNZsB0sZN8qqDdqizzBnmhlzcmEZ+2e0MkMTWdoFR0sjkY6OgJT8rP4cHO6eyvQkQ==" saltValue="VqO3oPtZ4YBQLFs5uQ7M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AVfDGXP66JmcgYnFEJoocPrhbYJgrNc+vS81KReKZpryoCSR25JeUTiZdfxSK2agU1nQwfF82RrHUU4VpKZ6XA==" saltValue="EOXtC8NaGIA2jwH1EYaG2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9jEwbIT5w2vETp8NKRnSbNo9G6rKTgUcBFPPZW3gWXRruULYhPD67gVD2eK0hvETfUsEfXDM3o3Q3OqpFL/KJw==" saltValue="PGjnFPOfeM29suXSexER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hrgai8y0Ivz51B+HzsZCxlkly8KyQ8NlGd8pi/2A4iTY2kxnSUdc5JPXMNuTYTz5VL3kF0qryluYMJTGzgcM2Q==" saltValue="54sRysBZSFvmnDQ7gxy5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17M3uuaNZX1wxUFn8oGUVfCDwywdLsdXn4sn0IV83udfai+ltpYMd60L8Nw7aC1OMox+aoIB8GwqCNMhlO2nUw==" saltValue="RgYazqfQXudf2BKUUMq0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QCiIgNpNtWFVF5p2oLRKdPsdzp54fz+CAznCUNWzbE17iCgOgG1YnZ69sl/at6Z9c07ZAzroDJzHd5eUXK46w==" saltValue="IMwwF725xg/EDrIVFmcG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4T2V53Eox6X+C6agu+nzgAsE2kSBldCQSMA583/LQy9xQZsDtrEEmFfq1OjKxR0U0v7ksGaDM0J0f4KR4hvKQ==" saltValue="MP08yrSpL2rIv/3KPL+G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XZHCKf9fMFgp8tnd3lcWLPK9ReDyScaPcyZpN3kPDQhNl6AVs5EaCWOJiwnix/rjdc1AyFE6PUChkS+fem6jGQ==" saltValue="jCV7DVz4Cg+aONzpG602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w27nRm61D4drK/Wi/pPSZcskzFcLnxuI8kfMwwoWZok1cogfIKvfD4i4X31KtMqZCCwxXcd8pQez1bVJo90+A==" saltValue="8Gju+XfBFep2BD9critx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oB4JISAHiLAzaFOm9dK5Qpz1I8m264uv0z/VkXM+hjY+LTwU0J9imK6OfZ0qNgWWSp3Pdhqh0gp10rgp2jX7Xg==" saltValue="qxLABLhw+9lAWH7V8bKG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