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F0839AA-40DD-4C0A-95C8-D1E98BC39AF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A19" i="2"/>
  <c r="A37" i="2"/>
  <c r="I4" i="2"/>
  <c r="I8" i="2"/>
  <c r="I12" i="2"/>
  <c r="A25" i="2"/>
  <c r="I6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<sst xmlns="http://schemas.openxmlformats.org/spreadsheetml/2006/main" count="2159" uniqueCount="372">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</sst>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332418</v>
      </c>
    </row>
    <row r="8" spans="1:3" ht="15" customHeight="1" x14ac:dyDescent="0.25">
      <c r="B8" s="5" t="s">
        <v>63</v>
      </c>
      <c r="C8" s="44">
        <v>3.4000000000000002E-2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0.13100000000000001</v>
      </c>
    </row>
    <row r="24" spans="1:3" ht="15" customHeight="1" x14ac:dyDescent="0.25">
      <c r="B24" s="15" t="s">
        <v>65</v>
      </c>
      <c r="C24" s="45">
        <v>0.434</v>
      </c>
    </row>
    <row r="25" spans="1:3" ht="15" customHeight="1" x14ac:dyDescent="0.25">
      <c r="B25" s="15" t="s">
        <v>66</v>
      </c>
      <c r="C25" s="45">
        <v>0.35249999999999998</v>
      </c>
    </row>
    <row r="26" spans="1:3" ht="15" customHeight="1" x14ac:dyDescent="0.25">
      <c r="B26" s="15" t="s">
        <v>67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0.267409234355309</v>
      </c>
    </row>
    <row r="30" spans="1:3" ht="14.25" customHeight="1" x14ac:dyDescent="0.25">
      <c r="B30" s="25" t="s">
        <v>82</v>
      </c>
      <c r="C30" s="99">
        <v>6.2316367797226199E-2</v>
      </c>
    </row>
    <row r="31" spans="1:3" ht="14.25" customHeight="1" x14ac:dyDescent="0.25">
      <c r="B31" s="25" t="s">
        <v>29</v>
      </c>
      <c r="C31" s="99">
        <v>9.3002675244955299E-2</v>
      </c>
    </row>
    <row r="32" spans="1:3" ht="14.25" customHeight="1" x14ac:dyDescent="0.25">
      <c r="B32" s="25" t="s">
        <v>30</v>
      </c>
      <c r="C32" s="99">
        <v>0.57727172260250903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18.94415</v>
      </c>
    </row>
    <row r="38" spans="1:5" ht="15" customHeight="1" x14ac:dyDescent="0.25">
      <c r="B38" s="11" t="s">
        <v>54</v>
      </c>
      <c r="C38" s="43">
        <v>29.356670000000001</v>
      </c>
      <c r="D38" s="12"/>
      <c r="E38" s="13"/>
    </row>
    <row r="39" spans="1:5" ht="15" customHeight="1" x14ac:dyDescent="0.25">
      <c r="B39" s="11" t="s">
        <v>80</v>
      </c>
      <c r="C39" s="43">
        <v>39.74532</v>
      </c>
      <c r="D39" s="12"/>
      <c r="E39" s="12"/>
    </row>
    <row r="40" spans="1:5" ht="15" customHeight="1" x14ac:dyDescent="0.25">
      <c r="B40" s="11" t="s">
        <v>55</v>
      </c>
      <c r="C40" s="100">
        <v>2.27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78</v>
      </c>
      <c r="C47" s="45">
        <v>7.5456700000000002E-2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2.9119999999999999</v>
      </c>
      <c r="D51" s="12"/>
    </row>
    <row r="52" spans="1:4" ht="15" customHeight="1" x14ac:dyDescent="0.25">
      <c r="B52" s="11" t="s">
        <v>32</v>
      </c>
      <c r="C52" s="100">
        <v>2.9119999999999999</v>
      </c>
    </row>
    <row r="53" spans="1:4" ht="15.75" customHeight="1" x14ac:dyDescent="0.25">
      <c r="B53" s="11" t="s">
        <v>35</v>
      </c>
      <c r="C53" s="100">
        <v>5.7720000000000002</v>
      </c>
    </row>
    <row r="54" spans="1:4" ht="15.75" customHeight="1" x14ac:dyDescent="0.25">
      <c r="B54" s="11" t="s">
        <v>33</v>
      </c>
      <c r="C54" s="100">
        <v>6.0060000000000002</v>
      </c>
    </row>
    <row r="55" spans="1:4" ht="15.75" customHeight="1" x14ac:dyDescent="0.25">
      <c r="B55" s="11" t="s">
        <v>34</v>
      </c>
      <c r="C55" s="100">
        <v>3.631333333333334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0.40570099999999998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0.1421289</v>
      </c>
    </row>
    <row r="63" spans="1:4" ht="15.75" customHeight="1" x14ac:dyDescent="0.3">
      <c r="A63" s="4"/>
    </row>
  </sheetData>
  <sheetProtection algorithmName="SHA-512" hashValue="ZQQPiN61gjcE5YgsOhjuG1g3MsPzpPmJy9Q7OucgIEHjvHJzOV26j+iwKTRlBcOgAzwyMOEeUGj5C4tac23apw==" saltValue="pmwnHDs97Zcu9AgbvvrW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68875</v>
      </c>
      <c r="C2" s="49">
        <v>118035</v>
      </c>
      <c r="D2" s="49">
        <v>196519.99999999997</v>
      </c>
      <c r="E2" s="49">
        <v>177429.5</v>
      </c>
      <c r="F2" s="49">
        <v>131877</v>
      </c>
      <c r="G2" s="17">
        <f t="shared" ref="G2:G13" si="0">C2+D2+E2+F2</f>
        <v>623861.5</v>
      </c>
      <c r="H2" s="17">
        <f t="shared" ref="H2:H13" si="1">(B2 + stillbirth*B2/(1000-stillbirth))/(1-abortion)</f>
        <v>79386.019985204111</v>
      </c>
      <c r="I2" s="17">
        <f t="shared" ref="I2:I13" si="2">G2-H2</f>
        <v>544475.4800147959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69096</v>
      </c>
      <c r="C3" s="50">
        <v>122614</v>
      </c>
      <c r="D3" s="50">
        <v>200607</v>
      </c>
      <c r="E3" s="50">
        <v>178797.5</v>
      </c>
      <c r="F3" s="50">
        <v>136702.5</v>
      </c>
      <c r="G3" s="17">
        <f t="shared" si="0"/>
        <v>638721</v>
      </c>
      <c r="H3" s="17">
        <f t="shared" si="1"/>
        <v>79640.746815211081</v>
      </c>
      <c r="I3" s="17">
        <f t="shared" si="2"/>
        <v>559080.25318478886</v>
      </c>
    </row>
    <row r="4" spans="1:9" ht="15.75" customHeight="1" x14ac:dyDescent="0.25">
      <c r="A4" s="5">
        <f t="shared" si="3"/>
        <v>2026</v>
      </c>
      <c r="B4" s="49">
        <v>69484</v>
      </c>
      <c r="C4" s="50">
        <v>127376</v>
      </c>
      <c r="D4" s="50">
        <v>205693.5</v>
      </c>
      <c r="E4" s="50">
        <v>179646.00000000003</v>
      </c>
      <c r="F4" s="50">
        <v>141421.49999999997</v>
      </c>
      <c r="G4" s="17">
        <f t="shared" si="0"/>
        <v>654137</v>
      </c>
      <c r="H4" s="17">
        <f t="shared" si="1"/>
        <v>80087.959530336433</v>
      </c>
      <c r="I4" s="17">
        <f t="shared" si="2"/>
        <v>574049.04046966357</v>
      </c>
    </row>
    <row r="5" spans="1:9" ht="15.75" customHeight="1" x14ac:dyDescent="0.25">
      <c r="A5" s="5">
        <f t="shared" si="3"/>
        <v>2027</v>
      </c>
      <c r="B5" s="49">
        <v>69719</v>
      </c>
      <c r="C5" s="50">
        <v>132085</v>
      </c>
      <c r="D5" s="50">
        <v>211630</v>
      </c>
      <c r="E5" s="50">
        <v>180146.00000000003</v>
      </c>
      <c r="F5" s="50">
        <v>146015.5</v>
      </c>
      <c r="G5" s="17">
        <f t="shared" si="0"/>
        <v>669876.5</v>
      </c>
      <c r="H5" s="17">
        <f t="shared" si="1"/>
        <v>80358.822901610823</v>
      </c>
      <c r="I5" s="17">
        <f t="shared" si="2"/>
        <v>589517.67709838913</v>
      </c>
    </row>
    <row r="6" spans="1:9" ht="15.75" customHeight="1" x14ac:dyDescent="0.25">
      <c r="A6" s="5">
        <f t="shared" si="3"/>
        <v>2028</v>
      </c>
      <c r="B6" s="49">
        <v>70157</v>
      </c>
      <c r="C6" s="50">
        <v>136483</v>
      </c>
      <c r="D6" s="50">
        <v>218287</v>
      </c>
      <c r="E6" s="50">
        <v>180485.5</v>
      </c>
      <c r="F6" s="50">
        <v>150433</v>
      </c>
      <c r="G6" s="17">
        <f t="shared" si="0"/>
        <v>685688.5</v>
      </c>
      <c r="H6" s="17">
        <f t="shared" si="1"/>
        <v>80863.66612126265</v>
      </c>
      <c r="I6" s="17">
        <f t="shared" si="2"/>
        <v>604824.83387873741</v>
      </c>
    </row>
    <row r="7" spans="1:9" ht="15.75" customHeight="1" x14ac:dyDescent="0.25">
      <c r="A7" s="5">
        <f t="shared" si="3"/>
        <v>2029</v>
      </c>
      <c r="B7" s="49">
        <v>70838</v>
      </c>
      <c r="C7" s="50">
        <v>140393.5</v>
      </c>
      <c r="D7" s="50">
        <v>225685.5</v>
      </c>
      <c r="E7" s="50">
        <v>180846.99999999997</v>
      </c>
      <c r="F7" s="50">
        <v>154560.99999999997</v>
      </c>
      <c r="G7" s="17">
        <f t="shared" si="0"/>
        <v>701487</v>
      </c>
      <c r="H7" s="17">
        <f t="shared" si="1"/>
        <v>81648.593592913079</v>
      </c>
      <c r="I7" s="17">
        <f t="shared" si="2"/>
        <v>619838.40640708688</v>
      </c>
    </row>
    <row r="8" spans="1:9" ht="15.75" customHeight="1" x14ac:dyDescent="0.25">
      <c r="A8" s="5">
        <f t="shared" si="3"/>
        <v>2030</v>
      </c>
      <c r="B8" s="49">
        <v>71554</v>
      </c>
      <c r="C8" s="50">
        <v>143788</v>
      </c>
      <c r="D8" s="50">
        <v>233794.5</v>
      </c>
      <c r="E8" s="50">
        <v>181452.99999999997</v>
      </c>
      <c r="F8" s="50">
        <v>158311.5</v>
      </c>
      <c r="G8" s="17">
        <f t="shared" si="0"/>
        <v>717347</v>
      </c>
      <c r="H8" s="17">
        <f t="shared" si="1"/>
        <v>82473.862417732031</v>
      </c>
      <c r="I8" s="17">
        <f t="shared" si="2"/>
        <v>634873.13758226798</v>
      </c>
    </row>
    <row r="9" spans="1:9" ht="15.75" customHeight="1" x14ac:dyDescent="0.25">
      <c r="A9" s="5">
        <f t="shared" si="3"/>
        <v>2031</v>
      </c>
      <c r="B9" s="49">
        <v>72211</v>
      </c>
      <c r="C9" s="50">
        <v>146869</v>
      </c>
      <c r="D9" s="50">
        <v>242452.5</v>
      </c>
      <c r="E9" s="50">
        <v>182471.5</v>
      </c>
      <c r="F9" s="50">
        <v>161618</v>
      </c>
      <c r="G9" s="17">
        <f t="shared" si="0"/>
        <v>733411</v>
      </c>
      <c r="H9" s="17">
        <f t="shared" si="1"/>
        <v>83231.127247209763</v>
      </c>
      <c r="I9" s="17">
        <f t="shared" si="2"/>
        <v>650179.87275279022</v>
      </c>
    </row>
    <row r="10" spans="1:9" ht="15.75" customHeight="1" x14ac:dyDescent="0.25">
      <c r="A10" s="5">
        <f t="shared" si="3"/>
        <v>2032</v>
      </c>
      <c r="B10" s="49">
        <v>73025</v>
      </c>
      <c r="C10" s="50">
        <v>149884</v>
      </c>
      <c r="D10" s="50">
        <v>251315</v>
      </c>
      <c r="E10" s="50">
        <v>184020.5</v>
      </c>
      <c r="F10" s="50">
        <v>164476.5</v>
      </c>
      <c r="G10" s="17">
        <f t="shared" si="0"/>
        <v>749696</v>
      </c>
      <c r="H10" s="17">
        <f t="shared" si="1"/>
        <v>84169.351860900613</v>
      </c>
      <c r="I10" s="17">
        <f t="shared" si="2"/>
        <v>665526.64813909936</v>
      </c>
    </row>
    <row r="11" spans="1:9" ht="15.75" customHeight="1" x14ac:dyDescent="0.25">
      <c r="A11" s="5">
        <f t="shared" si="3"/>
        <v>2033</v>
      </c>
      <c r="B11" s="49">
        <v>73941</v>
      </c>
      <c r="C11" s="50">
        <v>152981.5</v>
      </c>
      <c r="D11" s="50">
        <v>260052.5</v>
      </c>
      <c r="E11" s="50">
        <v>186225</v>
      </c>
      <c r="F11" s="50">
        <v>166897</v>
      </c>
      <c r="G11" s="17">
        <f t="shared" si="0"/>
        <v>766156</v>
      </c>
      <c r="H11" s="17">
        <f t="shared" si="1"/>
        <v>85225.142703825419</v>
      </c>
      <c r="I11" s="17">
        <f t="shared" si="2"/>
        <v>680930.85729617462</v>
      </c>
    </row>
    <row r="12" spans="1:9" ht="15.75" customHeight="1" x14ac:dyDescent="0.25">
      <c r="A12" s="5">
        <f t="shared" si="3"/>
        <v>2034</v>
      </c>
      <c r="B12" s="49">
        <v>74893</v>
      </c>
      <c r="C12" s="50">
        <v>156105.5</v>
      </c>
      <c r="D12" s="50">
        <v>268537.5</v>
      </c>
      <c r="E12" s="50">
        <v>189271.00000000003</v>
      </c>
      <c r="F12" s="50">
        <v>168808</v>
      </c>
      <c r="G12" s="17">
        <f t="shared" si="0"/>
        <v>782722</v>
      </c>
      <c r="H12" s="17">
        <f t="shared" si="1"/>
        <v>86322.427510009307</v>
      </c>
      <c r="I12" s="17">
        <f t="shared" si="2"/>
        <v>696399.57248999074</v>
      </c>
    </row>
    <row r="13" spans="1:9" ht="15.75" customHeight="1" x14ac:dyDescent="0.25">
      <c r="A13" s="5">
        <f t="shared" si="3"/>
        <v>2035</v>
      </c>
      <c r="B13" s="49">
        <v>75866</v>
      </c>
      <c r="C13" s="50">
        <v>158978.5</v>
      </c>
      <c r="D13" s="50">
        <v>276775.5</v>
      </c>
      <c r="E13" s="50">
        <v>193341</v>
      </c>
      <c r="F13" s="50">
        <v>170156.99999999997</v>
      </c>
      <c r="G13" s="17">
        <f t="shared" si="0"/>
        <v>799252</v>
      </c>
      <c r="H13" s="17">
        <f t="shared" si="1"/>
        <v>87443.917128094283</v>
      </c>
      <c r="I13" s="17">
        <f t="shared" si="2"/>
        <v>711808.08287190576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4kOBJxsXwPG08SqZpls2G0BXToKzXcXNmsUexRglmHg6fI+FR0seqR8LWvvClqY7Lq998MOb4PSM3K6qfNEcg==" saltValue="i1B+5nuPd0bMeovpUH035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7.9603999999999977E-3</v>
      </c>
    </row>
    <row r="4" spans="1:8" ht="15.75" customHeight="1" x14ac:dyDescent="0.25">
      <c r="B4" s="19" t="s">
        <v>116</v>
      </c>
      <c r="C4" s="101">
        <v>5.4278499999999973E-2</v>
      </c>
    </row>
    <row r="5" spans="1:8" ht="15.75" customHeight="1" x14ac:dyDescent="0.25">
      <c r="B5" s="19" t="s">
        <v>114</v>
      </c>
      <c r="C5" s="101">
        <v>6.8896700000000047E-2</v>
      </c>
    </row>
    <row r="6" spans="1:8" ht="15.75" customHeight="1" x14ac:dyDescent="0.25">
      <c r="B6" s="19" t="s">
        <v>110</v>
      </c>
      <c r="C6" s="101">
        <v>0.2405291000000005</v>
      </c>
    </row>
    <row r="7" spans="1:8" ht="15.75" customHeight="1" x14ac:dyDescent="0.25">
      <c r="B7" s="19" t="s">
        <v>115</v>
      </c>
      <c r="C7" s="101">
        <v>0.42675559999999951</v>
      </c>
    </row>
    <row r="8" spans="1:8" ht="15.75" customHeight="1" x14ac:dyDescent="0.25">
      <c r="B8" s="19" t="s">
        <v>117</v>
      </c>
      <c r="C8" s="101">
        <v>1.9896999999999992E-3</v>
      </c>
    </row>
    <row r="9" spans="1:8" ht="15.75" customHeight="1" x14ac:dyDescent="0.25">
      <c r="B9" s="19" t="s">
        <v>111</v>
      </c>
      <c r="C9" s="101">
        <v>8.7416600000000025E-2</v>
      </c>
    </row>
    <row r="10" spans="1:8" ht="15.75" customHeight="1" x14ac:dyDescent="0.25">
      <c r="B10" s="19" t="s">
        <v>113</v>
      </c>
      <c r="C10" s="101">
        <v>0.11217340000000001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121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2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109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3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120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98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107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118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9.5711987999999998E-2</v>
      </c>
    </row>
    <row r="27" spans="1:8" ht="15.75" customHeight="1" x14ac:dyDescent="0.25">
      <c r="B27" s="19" t="s">
        <v>108</v>
      </c>
      <c r="C27" s="101">
        <v>4.2970438999999999E-2</v>
      </c>
    </row>
    <row r="28" spans="1:8" ht="15.75" customHeight="1" x14ac:dyDescent="0.25">
      <c r="B28" s="19" t="s">
        <v>122</v>
      </c>
      <c r="C28" s="101">
        <v>0.19642078600000001</v>
      </c>
    </row>
    <row r="29" spans="1:8" ht="15.75" customHeight="1" x14ac:dyDescent="0.25">
      <c r="B29" s="19" t="s">
        <v>105</v>
      </c>
      <c r="C29" s="101">
        <v>0.206894785</v>
      </c>
    </row>
    <row r="30" spans="1:8" ht="15.75" customHeight="1" x14ac:dyDescent="0.25">
      <c r="B30" s="19" t="s">
        <v>4</v>
      </c>
      <c r="C30" s="101">
        <v>2.7698743000000001E-2</v>
      </c>
    </row>
    <row r="31" spans="1:8" ht="15.75" customHeight="1" x14ac:dyDescent="0.25">
      <c r="B31" s="19" t="s">
        <v>99</v>
      </c>
      <c r="C31" s="101">
        <v>0.20935653800000001</v>
      </c>
    </row>
    <row r="32" spans="1:8" ht="15.75" customHeight="1" x14ac:dyDescent="0.25">
      <c r="B32" s="19" t="s">
        <v>104</v>
      </c>
      <c r="C32" s="101">
        <v>1.2451637999999999E-2</v>
      </c>
    </row>
    <row r="33" spans="2:3" ht="15.75" customHeight="1" x14ac:dyDescent="0.25">
      <c r="B33" s="19" t="s">
        <v>119</v>
      </c>
      <c r="C33" s="101">
        <v>5.1474696E-2</v>
      </c>
    </row>
    <row r="34" spans="2:3" ht="15.75" customHeight="1" x14ac:dyDescent="0.25">
      <c r="B34" s="19" t="s">
        <v>106</v>
      </c>
      <c r="C34" s="101">
        <v>0.15702038800000001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G1Zn80pq5RZeAGWW4XgnYloudMEZtEXjRZloxOXbJoYoeycPfuFHLgg7AfdGfmHbnpBovJIwdMre9IR8IEPXZQ==" saltValue="mBeRrW4Tv3PyXxJMUgEP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129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125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126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MPO8AHdzbnFYZMknRMknjGMFNa0OIo7NEJ7HKlUQ4pV+5kB4pIGnO7MbQO0bdt5IFIp+PN6Go28Mj//aHMFaQ==" saltValue="ajdxuNqgn6VOkMyl5X66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2q0kUBk1xHbQVSjNOQZWIaBKwQAboCdvaxhAA4WBVv4rQ1qLvAqlcllbbJ9w8D/ipyY+HIVKrcU3c1z2J3SYzg==" saltValue="DHU+HdR6WPj7UhUGb0EY6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5O4/YJ1iQ9y5QPL03iCNAqdpR8BBbozrYGex9tmDCIL2iNxpvzVqhfWf/ZEeCN7Jz0LSlQVMn92RhCWscGfpA==" saltValue="4FW0Kem7S/sVFrVyqS83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8820.3473368231607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0.26804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0.41104000000000002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7.7445127724982193E-3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95775.478449999995</v>
      </c>
      <c r="C22" s="109">
        <v>95268.875050000002</v>
      </c>
      <c r="D22" s="109">
        <v>94620.67052</v>
      </c>
      <c r="E22" s="109">
        <v>94092.716570000004</v>
      </c>
      <c r="F22" s="109">
        <v>93341.483800000002</v>
      </c>
      <c r="G22" s="109">
        <v>92423.458759999994</v>
      </c>
      <c r="H22" s="109">
        <v>91171.408689999997</v>
      </c>
      <c r="I22" s="109">
        <v>89390.063110000003</v>
      </c>
      <c r="J22" s="109">
        <v>86861.316219999993</v>
      </c>
      <c r="K22" s="109">
        <v>83394.796040000001</v>
      </c>
      <c r="L22" s="109">
        <v>78691.335470000005</v>
      </c>
      <c r="M22" s="109">
        <v>72628.909270000004</v>
      </c>
      <c r="N22" s="109">
        <v>64639.227319999998</v>
      </c>
      <c r="O22" s="109">
        <v>54570.89415</v>
      </c>
    </row>
  </sheetData>
  <sheetProtection algorithmName="SHA-512" hashValue="DQWJXjOX6lsOnG2QbGXlKckszIq2yOSFt07Km8EfHrs10cqOgGRp5c0dx8JPvtPedKSC2Fs4LpMXaEZhnuZF0g==" saltValue="yh1k+6XqJXKUTk3Y0+Q7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DxCnvkOpO6w/PxSzuIKOFxoCSwB21uWIoLwBWtCy58tCZ3liREYusCDmXj2dKXyX93aDw0ge1cxMXEXiWcTVQ==" saltValue="LaFbrdgfEmYkWwbSLAWA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4R2MrFrOLCytMADx5XMEVAaM4vFVXJK0EcI5msdhyulfvt1pkqA1Xi6OW4H0fEsJtyHY+xhEH4TkF4LKVxt2A==" saltValue="0mY/ie2GYYfMBxkT/RYrW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0.19283348666053357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0.3935863</v>
      </c>
      <c r="C10" s="98">
        <v>0.95</v>
      </c>
      <c r="D10" s="56">
        <v>13.446378219451059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13.446378219451059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13.446378219451059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13.446378219451059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0.3935863</v>
      </c>
      <c r="C14" s="98">
        <v>0.95</v>
      </c>
      <c r="D14" s="56">
        <v>13.446378219451059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13.446378219451059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0.50625290000000001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0.33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0.1464792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0.18503539999999999</v>
      </c>
      <c r="C23" s="98">
        <v>0.95</v>
      </c>
      <c r="D23" s="56">
        <v>4.5507118970106513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0.87473390287197805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0.3935863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0.199735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0.26319480000000001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0.2726925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0.1465804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0.88436610000000004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3.5000000000000003E-2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HBg1cJh/oZEB9zyw23wPiTDOFB8+eHio4jR0vnxeFqj9i96H29AOkjRPlePUJlsxg8qj4bqgGUlsWWHVYpSD5Q==" saltValue="lgr/mg6kGQcrp5OVJ8ra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Kn966zt6zIFvHULWb+65HuGeuEMVZDAZkSbcB/lZvDjoh+l/0TkPIk5VsaO4JlSmiX5www6ffYSBIjl+8wb5Q==" saltValue="mwkVZ2FH2LAdcJ68qCNg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tB3asagY4/ke1vaNkr6MBZgb8v/vgj62re7i1/97JTTADOYDgNCH8mFQ0bOKr5uSU5X80P4wfMUqsEjgq+Adw==" saltValue="Q7fV2V0smaWbIrj1UpGJ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2.9119999999999999</v>
      </c>
      <c r="C2" s="21">
        <f>'Entradas de población-año base'!C52</f>
        <v>2.9119999999999999</v>
      </c>
      <c r="D2" s="21">
        <f>'Entradas de población-año base'!C53</f>
        <v>5.7720000000000002</v>
      </c>
      <c r="E2" s="21">
        <f>'Entradas de población-año base'!C54</f>
        <v>6.0060000000000002</v>
      </c>
      <c r="F2" s="21">
        <f>'Entradas de población-año base'!C55</f>
        <v>3.631333333333334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236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Vs66vR78KLHXDsNoIwzYFx1KoBILqwvpMMGs3axlFB/msBCiS53YzjD/bs1Mo3eY05WoKPXyWlIvFvU5TuA1cw==" saltValue="T4v7sOD89CvfhVeHyTwD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3.4000000000000002E-2</v>
      </c>
      <c r="F2" s="60">
        <f>food_insecure</f>
        <v>3.4000000000000002E-2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6.3534545454545455E-2</v>
      </c>
      <c r="D7" s="60">
        <f>diarrhoea_1_5mo*frac_diarrhea_severe</f>
        <v>6.3534545454545455E-2</v>
      </c>
      <c r="E7" s="60">
        <f>diarrhoea_6_11mo*frac_diarrhea_severe</f>
        <v>0.12593454545454547</v>
      </c>
      <c r="F7" s="60">
        <f>diarrhoea_12_23mo*frac_diarrhea_severe</f>
        <v>0.13104000000000002</v>
      </c>
      <c r="G7" s="60">
        <f>diarrhoea_24_59mo*frac_diarrhea_severe</f>
        <v>7.922909090909093E-2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6.3534545454545455E-2</v>
      </c>
      <c r="D12" s="60">
        <f>diarrhoea_1_5mo*frac_diarrhea_severe</f>
        <v>6.3534545454545455E-2</v>
      </c>
      <c r="E12" s="60">
        <f>diarrhoea_6_11mo*frac_diarrhea_severe</f>
        <v>0.12593454545454547</v>
      </c>
      <c r="F12" s="60">
        <f>diarrhoea_12_23mo*frac_diarrhea_severe</f>
        <v>0.13104000000000002</v>
      </c>
      <c r="G12" s="60">
        <f>diarrhoea_24_59mo*frac_diarrhea_severe</f>
        <v>7.922909090909093E-2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3.4000000000000002E-2</v>
      </c>
      <c r="I15" s="60">
        <f t="shared" si="0"/>
        <v>3.4000000000000002E-2</v>
      </c>
      <c r="J15" s="60">
        <f t="shared" si="0"/>
        <v>3.4000000000000002E-2</v>
      </c>
      <c r="K15" s="60">
        <f t="shared" si="0"/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3.4000000000000002E-2</v>
      </c>
      <c r="I16" s="60">
        <f t="shared" si="0"/>
        <v>3.4000000000000002E-2</v>
      </c>
      <c r="J16" s="60">
        <f t="shared" si="0"/>
        <v>3.4000000000000002E-2</v>
      </c>
      <c r="K16" s="60">
        <f t="shared" si="0"/>
        <v>3.4000000000000002E-2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jJxuGhiMIj6EVRT/ze6k2dk76nBiLd2mxhQk6nqxdAFxcoD9QFjJOjh3gB89DIiwPQ+cWnJ7yXrR4LoGAHZQw==" saltValue="7DqWIvtpka0lBz+fcucs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8fINPSgf/9c73eRVQh+dw1QQ8iGJBpLlG71fxMS/xQowziT5cC/wVpOnOD1ekdtRwfHMr8xQzjVTK7n4wsApCA==" saltValue="hT3GPOHzxqvSuwvp9jh8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QIVnpAqL+ecJnlLIzo24P8G5OH9Zu+Zfnr0sGrkF8GcSzbIy/aEZrmUTLJca/Hk3w8yyBO2B1rm3xwvM3+JOQ==" saltValue="PjYUHFfTsQCyKJrutSa1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ISCDuYyKWBbRF7V8ImiKJH4bq5Dtz8J+HEoPBEyPkn6gLj02/VRXCdv+1bvGxZ3Th5/bOJPwFNRciYWhRTP7g==" saltValue="gTdPs8zue/p0CgfktswS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5HYnP1841zS5twBTRCc1+JWArWUQhLFWxPy2YNA9uepn9lJ5VFJU7uXKA1AWn+S4vTm9Ej3DHE2rjVrHrKztoA==" saltValue="hyc8vT7YQV0xV2J+RkUq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d1gDMQdMGEr5DmZIsMATwwCZrj+5NK45dDxH6iUuy/uFHw/uqS7NKbNIu6vJjgDFztz2iAcGdXoWb4wKNmMbnw==" saltValue="2zGpMSULSyUTud2LhKrd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flDeYJ0VerpLiLaIKKMvD0bGKpMwuuBzPJD2SUn8wEiDSnURhd3ci5QWzeUuwK47IJ17l3l5M0RL2K06kuLcw==" saltValue="e0CTo7J8RXehbMoo6pQmU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lfnBnmFId0jVbERi/iXfTGBRXoRDIRJTNG1Sqw4NJAaqA40VLUgPlbMOxmcbDOfBnU1Bq8uKLoX95CYwg/3rA==" saltValue="oKYqbgrzUUXuRh5NVAoz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j2Gg3kBJj70bIY16CP8+AZeW+E2fngvyT+ODBugCa+jBKzmoh2NTp2H9yaEOLxn9lbfIfMJLSD0+U06Gqx0W1w==" saltValue="JJcD03E8TcZbbuR7ITfR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HnQ2xX2g7VcHsdqtROR3kGV1cAeasg8A7IKFy8niA5RTPxfEyKUQblL5/MjHedgHapcBsuY2Wl3yG+wZ1Gzyw==" saltValue="fC/yzBcTVSvhF0IgXePF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7ZrAnrOkc7yEw/nQEVnWTtCq2M1xd2ku7TzoC4L9UQlIqUcXUwy6rGZnyqjFiPxifVPhntII5LW5LJlbfTluA==" saltValue="R/n2N+h5M95EMAcIYUOu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Wh3IXNnEeQHy4fuM9OmjaEocNZqvxUl5it7pjUDqf+U+0LpjEysLqmMk1nd/92EbMdyibaCqCJ2Q7zi2q9zaQ==" saltValue="LIJZhYLjzkzxLHBeM5W9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jOsAFH5BKFzDqHrTtNdIScxHe9ywtf8JoMM+icgQA6zZnaCbJ3K9qfaCvBU2rSA5Zzla82IPyc9DyAGkqKg9g==" saltValue="oXjLSiySmkppYR5e9RNg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e8xMtlWic+syoge32T5eoWa7NUyQ6aQ88zWLQFLx5cLQbwCpNOYCwTLkMmc0eroAzqvABLGA9WT4xrPrI3JDg==" saltValue="IK844Vt6AMpcjQddOWdy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ZvGJROsQjJ89BZYGZ94d3+mZLJWeUu56pHEhn0Urmsi6bSpMQXJsjJ4FlisoAdixUK9Qwnm7OOAW15K2glRgQ==" saltValue="2B+FMK6hkphwTuiHfNV55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