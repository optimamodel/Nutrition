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435DB4C7-F784-40D0-86EC-471E911FD9C3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7" i="2" l="1"/>
  <c r="A35" i="2"/>
  <c r="A36" i="2"/>
  <c r="I7" i="2"/>
  <c r="I13" i="2"/>
  <c r="A24" i="2"/>
  <c r="A40" i="2"/>
  <c r="A25" i="2"/>
  <c r="I8" i="2"/>
  <c r="A19" i="2"/>
  <c r="A22" i="2"/>
  <c r="I39" i="2"/>
  <c r="A23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<sst xmlns="http://schemas.openxmlformats.org/spreadsheetml/2006/main" count="2169" uniqueCount="373">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</sst>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332418</v>
      </c>
    </row>
    <row r="8" spans="1:3" ht="15" customHeight="1" x14ac:dyDescent="0.25">
      <c r="B8" s="5" t="s">
        <v>63</v>
      </c>
      <c r="C8" s="44">
        <v>3.4000000000000002E-2</v>
      </c>
    </row>
    <row r="9" spans="1:3" ht="15" customHeight="1" x14ac:dyDescent="0.25">
      <c r="B9" s="5" t="s">
        <v>62</v>
      </c>
      <c r="C9" s="45">
        <v>0.96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0.13100000000000001</v>
      </c>
    </row>
    <row r="24" spans="1:3" ht="15" customHeight="1" x14ac:dyDescent="0.25">
      <c r="B24" s="15" t="s">
        <v>65</v>
      </c>
      <c r="C24" s="45">
        <v>0.434</v>
      </c>
    </row>
    <row r="25" spans="1:3" ht="15" customHeight="1" x14ac:dyDescent="0.25">
      <c r="B25" s="15" t="s">
        <v>66</v>
      </c>
      <c r="C25" s="45">
        <v>0.35249999999999998</v>
      </c>
    </row>
    <row r="26" spans="1:3" ht="15" customHeight="1" x14ac:dyDescent="0.25">
      <c r="B26" s="15" t="s">
        <v>67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0.267409234355309</v>
      </c>
    </row>
    <row r="30" spans="1:3" ht="14.25" customHeight="1" x14ac:dyDescent="0.25">
      <c r="B30" s="25" t="s">
        <v>82</v>
      </c>
      <c r="C30" s="97">
        <v>6.2316367797226199E-2</v>
      </c>
    </row>
    <row r="31" spans="1:3" ht="14.25" customHeight="1" x14ac:dyDescent="0.25">
      <c r="B31" s="25" t="s">
        <v>29</v>
      </c>
      <c r="C31" s="97">
        <v>9.3002675244955299E-2</v>
      </c>
    </row>
    <row r="32" spans="1:3" ht="14.25" customHeight="1" x14ac:dyDescent="0.25">
      <c r="B32" s="25" t="s">
        <v>30</v>
      </c>
      <c r="C32" s="97">
        <v>0.57727172260250903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18.94415</v>
      </c>
    </row>
    <row r="38" spans="1:5" ht="15" customHeight="1" x14ac:dyDescent="0.25">
      <c r="B38" s="11" t="s">
        <v>54</v>
      </c>
      <c r="C38" s="43">
        <v>29.356670000000001</v>
      </c>
      <c r="D38" s="12"/>
      <c r="E38" s="13"/>
    </row>
    <row r="39" spans="1:5" ht="15" customHeight="1" x14ac:dyDescent="0.25">
      <c r="B39" s="11" t="s">
        <v>80</v>
      </c>
      <c r="C39" s="43">
        <v>39.74532</v>
      </c>
      <c r="D39" s="12"/>
      <c r="E39" s="12"/>
    </row>
    <row r="40" spans="1:5" ht="15" customHeight="1" x14ac:dyDescent="0.25">
      <c r="B40" s="11" t="s">
        <v>55</v>
      </c>
      <c r="C40" s="98">
        <v>2.27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78</v>
      </c>
      <c r="C47" s="45">
        <v>7.5456700000000002E-2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2.9119999999999999</v>
      </c>
      <c r="D51" s="12"/>
    </row>
    <row r="52" spans="1:4" ht="15" customHeight="1" x14ac:dyDescent="0.25">
      <c r="B52" s="11" t="s">
        <v>32</v>
      </c>
      <c r="C52" s="98">
        <v>2.9119999999999999</v>
      </c>
    </row>
    <row r="53" spans="1:4" ht="15.75" customHeight="1" x14ac:dyDescent="0.25">
      <c r="B53" s="11" t="s">
        <v>35</v>
      </c>
      <c r="C53" s="98">
        <v>5.7720000000000002</v>
      </c>
    </row>
    <row r="54" spans="1:4" ht="15.75" customHeight="1" x14ac:dyDescent="0.25">
      <c r="B54" s="11" t="s">
        <v>33</v>
      </c>
      <c r="C54" s="98">
        <v>6.0060000000000002</v>
      </c>
    </row>
    <row r="55" spans="1:4" ht="15.75" customHeight="1" x14ac:dyDescent="0.25">
      <c r="B55" s="11" t="s">
        <v>34</v>
      </c>
      <c r="C55" s="98">
        <v>3.631333333333334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0.40570099999999998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0.1421289</v>
      </c>
    </row>
    <row r="63" spans="1:4" ht="15.75" customHeight="1" x14ac:dyDescent="0.3">
      <c r="A63" s="4"/>
    </row>
  </sheetData>
  <sheetProtection algorithmName="SHA-512" hashValue="sZZ3pgXZA6w2I7ZKEQs+b24pRRHWjQaPqz4iD60hDzk2u5u+EYRFbjOayDcCEADOMUOyeWPyZep9MkowmPqPYw==" saltValue="0AlkijjLoQ2PsfJ5aEwm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68875</v>
      </c>
      <c r="C2" s="49">
        <v>118035</v>
      </c>
      <c r="D2" s="49">
        <v>196519.99999999997</v>
      </c>
      <c r="E2" s="49">
        <v>177429.5</v>
      </c>
      <c r="F2" s="49">
        <v>131877</v>
      </c>
      <c r="G2" s="17">
        <f t="shared" ref="G2:G13" si="0">C2+D2+E2+F2</f>
        <v>623861.5</v>
      </c>
      <c r="H2" s="17">
        <f t="shared" ref="H2:H13" si="1">(B2 + stillbirth*B2/(1000-stillbirth))/(1-abortion)</f>
        <v>79386.019985204111</v>
      </c>
      <c r="I2" s="17">
        <f t="shared" ref="I2:I13" si="2">G2-H2</f>
        <v>544475.4800147959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69096</v>
      </c>
      <c r="C3" s="50">
        <v>122614</v>
      </c>
      <c r="D3" s="50">
        <v>200607</v>
      </c>
      <c r="E3" s="50">
        <v>178797.5</v>
      </c>
      <c r="F3" s="50">
        <v>136702.5</v>
      </c>
      <c r="G3" s="17">
        <f t="shared" si="0"/>
        <v>638721</v>
      </c>
      <c r="H3" s="17">
        <f t="shared" si="1"/>
        <v>79640.746815211081</v>
      </c>
      <c r="I3" s="17">
        <f t="shared" si="2"/>
        <v>559080.25318478886</v>
      </c>
    </row>
    <row r="4" spans="1:9" ht="15.75" customHeight="1" x14ac:dyDescent="0.25">
      <c r="A4" s="5">
        <f t="shared" si="3"/>
        <v>2026</v>
      </c>
      <c r="B4" s="49">
        <v>69484</v>
      </c>
      <c r="C4" s="50">
        <v>127376</v>
      </c>
      <c r="D4" s="50">
        <v>205693.5</v>
      </c>
      <c r="E4" s="50">
        <v>179646.00000000003</v>
      </c>
      <c r="F4" s="50">
        <v>141421.49999999997</v>
      </c>
      <c r="G4" s="17">
        <f t="shared" si="0"/>
        <v>654137</v>
      </c>
      <c r="H4" s="17">
        <f t="shared" si="1"/>
        <v>80087.959530336433</v>
      </c>
      <c r="I4" s="17">
        <f t="shared" si="2"/>
        <v>574049.04046966357</v>
      </c>
    </row>
    <row r="5" spans="1:9" ht="15.75" customHeight="1" x14ac:dyDescent="0.25">
      <c r="A5" s="5">
        <f t="shared" si="3"/>
        <v>2027</v>
      </c>
      <c r="B5" s="49">
        <v>69719</v>
      </c>
      <c r="C5" s="50">
        <v>132085</v>
      </c>
      <c r="D5" s="50">
        <v>211630</v>
      </c>
      <c r="E5" s="50">
        <v>180146.00000000003</v>
      </c>
      <c r="F5" s="50">
        <v>146015.5</v>
      </c>
      <c r="G5" s="17">
        <f t="shared" si="0"/>
        <v>669876.5</v>
      </c>
      <c r="H5" s="17">
        <f t="shared" si="1"/>
        <v>80358.822901610823</v>
      </c>
      <c r="I5" s="17">
        <f t="shared" si="2"/>
        <v>589517.67709838913</v>
      </c>
    </row>
    <row r="6" spans="1:9" ht="15.75" customHeight="1" x14ac:dyDescent="0.25">
      <c r="A6" s="5">
        <f t="shared" si="3"/>
        <v>2028</v>
      </c>
      <c r="B6" s="49">
        <v>70157</v>
      </c>
      <c r="C6" s="50">
        <v>136483</v>
      </c>
      <c r="D6" s="50">
        <v>218287</v>
      </c>
      <c r="E6" s="50">
        <v>180485.5</v>
      </c>
      <c r="F6" s="50">
        <v>150433</v>
      </c>
      <c r="G6" s="17">
        <f t="shared" si="0"/>
        <v>685688.5</v>
      </c>
      <c r="H6" s="17">
        <f t="shared" si="1"/>
        <v>80863.66612126265</v>
      </c>
      <c r="I6" s="17">
        <f t="shared" si="2"/>
        <v>604824.83387873741</v>
      </c>
    </row>
    <row r="7" spans="1:9" ht="15.75" customHeight="1" x14ac:dyDescent="0.25">
      <c r="A7" s="5">
        <f t="shared" si="3"/>
        <v>2029</v>
      </c>
      <c r="B7" s="49">
        <v>70838</v>
      </c>
      <c r="C7" s="50">
        <v>140393.5</v>
      </c>
      <c r="D7" s="50">
        <v>225685.5</v>
      </c>
      <c r="E7" s="50">
        <v>180846.99999999997</v>
      </c>
      <c r="F7" s="50">
        <v>154560.99999999997</v>
      </c>
      <c r="G7" s="17">
        <f t="shared" si="0"/>
        <v>701487</v>
      </c>
      <c r="H7" s="17">
        <f t="shared" si="1"/>
        <v>81648.593592913079</v>
      </c>
      <c r="I7" s="17">
        <f t="shared" si="2"/>
        <v>619838.40640708688</v>
      </c>
    </row>
    <row r="8" spans="1:9" ht="15.75" customHeight="1" x14ac:dyDescent="0.25">
      <c r="A8" s="5">
        <f t="shared" si="3"/>
        <v>2030</v>
      </c>
      <c r="B8" s="49">
        <v>71554</v>
      </c>
      <c r="C8" s="50">
        <v>143788</v>
      </c>
      <c r="D8" s="50">
        <v>233794.5</v>
      </c>
      <c r="E8" s="50">
        <v>181452.99999999997</v>
      </c>
      <c r="F8" s="50">
        <v>158311.5</v>
      </c>
      <c r="G8" s="17">
        <f t="shared" si="0"/>
        <v>717347</v>
      </c>
      <c r="H8" s="17">
        <f t="shared" si="1"/>
        <v>82473.862417732031</v>
      </c>
      <c r="I8" s="17">
        <f t="shared" si="2"/>
        <v>634873.13758226798</v>
      </c>
    </row>
    <row r="9" spans="1:9" ht="15.75" customHeight="1" x14ac:dyDescent="0.25">
      <c r="A9" s="5">
        <f t="shared" si="3"/>
        <v>2031</v>
      </c>
      <c r="B9" s="49">
        <v>72211</v>
      </c>
      <c r="C9" s="50">
        <v>146869</v>
      </c>
      <c r="D9" s="50">
        <v>242452.5</v>
      </c>
      <c r="E9" s="50">
        <v>182471.5</v>
      </c>
      <c r="F9" s="50">
        <v>161618</v>
      </c>
      <c r="G9" s="17">
        <f t="shared" si="0"/>
        <v>733411</v>
      </c>
      <c r="H9" s="17">
        <f t="shared" si="1"/>
        <v>83231.127247209763</v>
      </c>
      <c r="I9" s="17">
        <f t="shared" si="2"/>
        <v>650179.87275279022</v>
      </c>
    </row>
    <row r="10" spans="1:9" ht="15.75" customHeight="1" x14ac:dyDescent="0.25">
      <c r="A10" s="5">
        <f t="shared" si="3"/>
        <v>2032</v>
      </c>
      <c r="B10" s="49">
        <v>73025</v>
      </c>
      <c r="C10" s="50">
        <v>149884</v>
      </c>
      <c r="D10" s="50">
        <v>251315</v>
      </c>
      <c r="E10" s="50">
        <v>184020.5</v>
      </c>
      <c r="F10" s="50">
        <v>164476.5</v>
      </c>
      <c r="G10" s="17">
        <f t="shared" si="0"/>
        <v>749696</v>
      </c>
      <c r="H10" s="17">
        <f t="shared" si="1"/>
        <v>84169.351860900613</v>
      </c>
      <c r="I10" s="17">
        <f t="shared" si="2"/>
        <v>665526.64813909936</v>
      </c>
    </row>
    <row r="11" spans="1:9" ht="15.75" customHeight="1" x14ac:dyDescent="0.25">
      <c r="A11" s="5">
        <f t="shared" si="3"/>
        <v>2033</v>
      </c>
      <c r="B11" s="49">
        <v>73941</v>
      </c>
      <c r="C11" s="50">
        <v>152981.5</v>
      </c>
      <c r="D11" s="50">
        <v>260052.5</v>
      </c>
      <c r="E11" s="50">
        <v>186225</v>
      </c>
      <c r="F11" s="50">
        <v>166897</v>
      </c>
      <c r="G11" s="17">
        <f t="shared" si="0"/>
        <v>766156</v>
      </c>
      <c r="H11" s="17">
        <f t="shared" si="1"/>
        <v>85225.142703825419</v>
      </c>
      <c r="I11" s="17">
        <f t="shared" si="2"/>
        <v>680930.85729617462</v>
      </c>
    </row>
    <row r="12" spans="1:9" ht="15.75" customHeight="1" x14ac:dyDescent="0.25">
      <c r="A12" s="5">
        <f t="shared" si="3"/>
        <v>2034</v>
      </c>
      <c r="B12" s="49">
        <v>74893</v>
      </c>
      <c r="C12" s="50">
        <v>156105.5</v>
      </c>
      <c r="D12" s="50">
        <v>268537.5</v>
      </c>
      <c r="E12" s="50">
        <v>189271.00000000003</v>
      </c>
      <c r="F12" s="50">
        <v>168808</v>
      </c>
      <c r="G12" s="17">
        <f t="shared" si="0"/>
        <v>782722</v>
      </c>
      <c r="H12" s="17">
        <f t="shared" si="1"/>
        <v>86322.427510009307</v>
      </c>
      <c r="I12" s="17">
        <f t="shared" si="2"/>
        <v>696399.57248999074</v>
      </c>
    </row>
    <row r="13" spans="1:9" ht="15.75" customHeight="1" x14ac:dyDescent="0.25">
      <c r="A13" s="5">
        <f t="shared" si="3"/>
        <v>2035</v>
      </c>
      <c r="B13" s="49">
        <v>75866</v>
      </c>
      <c r="C13" s="50">
        <v>158978.5</v>
      </c>
      <c r="D13" s="50">
        <v>276775.5</v>
      </c>
      <c r="E13" s="50">
        <v>193341</v>
      </c>
      <c r="F13" s="50">
        <v>170156.99999999997</v>
      </c>
      <c r="G13" s="17">
        <f t="shared" si="0"/>
        <v>799252</v>
      </c>
      <c r="H13" s="17">
        <f t="shared" si="1"/>
        <v>87443.917128094283</v>
      </c>
      <c r="I13" s="17">
        <f t="shared" si="2"/>
        <v>711808.08287190576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I6PVDzDSnQWx65RBrFMkVZU+OXrc8D59rTZh52h/4+EX1+Lr4M0rqXu/EVHQgtybfHAKYFnlg82Wuohuj+htw==" saltValue="PW0G0Nc3RfY3ypzXdC+By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7.9603999999999977E-3</v>
      </c>
    </row>
    <row r="4" spans="1:8" ht="15.75" customHeight="1" x14ac:dyDescent="0.25">
      <c r="B4" s="19" t="s">
        <v>116</v>
      </c>
      <c r="C4" s="99">
        <v>5.4278499999999973E-2</v>
      </c>
    </row>
    <row r="5" spans="1:8" ht="15.75" customHeight="1" x14ac:dyDescent="0.25">
      <c r="B5" s="19" t="s">
        <v>114</v>
      </c>
      <c r="C5" s="99">
        <v>6.8896700000000047E-2</v>
      </c>
    </row>
    <row r="6" spans="1:8" ht="15.75" customHeight="1" x14ac:dyDescent="0.25">
      <c r="B6" s="19" t="s">
        <v>110</v>
      </c>
      <c r="C6" s="99">
        <v>0.2405291000000005</v>
      </c>
    </row>
    <row r="7" spans="1:8" ht="15.75" customHeight="1" x14ac:dyDescent="0.25">
      <c r="B7" s="19" t="s">
        <v>115</v>
      </c>
      <c r="C7" s="99">
        <v>0.42675559999999951</v>
      </c>
    </row>
    <row r="8" spans="1:8" ht="15.75" customHeight="1" x14ac:dyDescent="0.25">
      <c r="B8" s="19" t="s">
        <v>117</v>
      </c>
      <c r="C8" s="99">
        <v>1.9896999999999992E-3</v>
      </c>
    </row>
    <row r="9" spans="1:8" ht="15.75" customHeight="1" x14ac:dyDescent="0.25">
      <c r="B9" s="19" t="s">
        <v>111</v>
      </c>
      <c r="C9" s="99">
        <v>8.7416600000000025E-2</v>
      </c>
    </row>
    <row r="10" spans="1:8" ht="15.75" customHeight="1" x14ac:dyDescent="0.25">
      <c r="B10" s="19" t="s">
        <v>113</v>
      </c>
      <c r="C10" s="99">
        <v>0.11217340000000001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121</v>
      </c>
      <c r="C15" s="99">
        <v>0.1457257056059359</v>
      </c>
      <c r="D15" s="99">
        <v>0.1457257056059359</v>
      </c>
      <c r="E15" s="99">
        <v>0.1457257056059359</v>
      </c>
      <c r="F15" s="99">
        <v>0.1457257056059359</v>
      </c>
    </row>
    <row r="16" spans="1:8" ht="15.75" customHeight="1" x14ac:dyDescent="0.25">
      <c r="B16" s="19" t="s">
        <v>2</v>
      </c>
      <c r="C16" s="99">
        <v>3.6673544337957442E-2</v>
      </c>
      <c r="D16" s="99">
        <v>3.6673544337957442E-2</v>
      </c>
      <c r="E16" s="99">
        <v>3.6673544337957442E-2</v>
      </c>
      <c r="F16" s="99">
        <v>3.6673544337957442E-2</v>
      </c>
    </row>
    <row r="17" spans="1:8" ht="15.75" customHeight="1" x14ac:dyDescent="0.25">
      <c r="B17" s="19" t="s">
        <v>109</v>
      </c>
      <c r="C17" s="99">
        <v>9.8008104921843586E-2</v>
      </c>
      <c r="D17" s="99">
        <v>9.8008104921843586E-2</v>
      </c>
      <c r="E17" s="99">
        <v>9.8008104921843586E-2</v>
      </c>
      <c r="F17" s="99">
        <v>9.8008104921843586E-2</v>
      </c>
    </row>
    <row r="18" spans="1:8" ht="15.75" customHeight="1" x14ac:dyDescent="0.25">
      <c r="B18" s="19" t="s">
        <v>3</v>
      </c>
      <c r="C18" s="99">
        <v>0.135975881764268</v>
      </c>
      <c r="D18" s="99">
        <v>0.135975881764268</v>
      </c>
      <c r="E18" s="99">
        <v>0.135975881764268</v>
      </c>
      <c r="F18" s="99">
        <v>0.135975881764268</v>
      </c>
    </row>
    <row r="19" spans="1:8" ht="15.75" customHeight="1" x14ac:dyDescent="0.25">
      <c r="B19" s="19" t="s">
        <v>120</v>
      </c>
      <c r="C19" s="99">
        <v>6.2473064113144711E-2</v>
      </c>
      <c r="D19" s="99">
        <v>6.2473064113144711E-2</v>
      </c>
      <c r="E19" s="99">
        <v>6.2473064113144711E-2</v>
      </c>
      <c r="F19" s="99">
        <v>6.2473064113144711E-2</v>
      </c>
    </row>
    <row r="20" spans="1:8" ht="15.75" customHeight="1" x14ac:dyDescent="0.25">
      <c r="B20" s="19" t="s">
        <v>98</v>
      </c>
      <c r="C20" s="99">
        <v>8.6546694608013008E-2</v>
      </c>
      <c r="D20" s="99">
        <v>8.6546694608013008E-2</v>
      </c>
      <c r="E20" s="99">
        <v>8.6546694608013008E-2</v>
      </c>
      <c r="F20" s="99">
        <v>8.6546694608013008E-2</v>
      </c>
    </row>
    <row r="21" spans="1:8" ht="15.75" customHeight="1" x14ac:dyDescent="0.25">
      <c r="B21" s="19" t="s">
        <v>107</v>
      </c>
      <c r="C21" s="99">
        <v>8.7176531093682147E-2</v>
      </c>
      <c r="D21" s="99">
        <v>8.7176531093682147E-2</v>
      </c>
      <c r="E21" s="99">
        <v>8.7176531093682147E-2</v>
      </c>
      <c r="F21" s="99">
        <v>8.7176531093682147E-2</v>
      </c>
    </row>
    <row r="22" spans="1:8" ht="15.75" customHeight="1" x14ac:dyDescent="0.25">
      <c r="B22" s="19" t="s">
        <v>118</v>
      </c>
      <c r="C22" s="99">
        <v>0.1887353939572296</v>
      </c>
      <c r="D22" s="99">
        <v>0.1887353939572296</v>
      </c>
      <c r="E22" s="99">
        <v>0.1887353939572296</v>
      </c>
      <c r="F22" s="99">
        <v>0.1887353939572296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9.5711987999999998E-2</v>
      </c>
    </row>
    <row r="27" spans="1:8" ht="15.75" customHeight="1" x14ac:dyDescent="0.25">
      <c r="B27" s="19" t="s">
        <v>108</v>
      </c>
      <c r="C27" s="99">
        <v>4.2970438999999999E-2</v>
      </c>
    </row>
    <row r="28" spans="1:8" ht="15.75" customHeight="1" x14ac:dyDescent="0.25">
      <c r="B28" s="19" t="s">
        <v>122</v>
      </c>
      <c r="C28" s="99">
        <v>0.19642078600000001</v>
      </c>
    </row>
    <row r="29" spans="1:8" ht="15.75" customHeight="1" x14ac:dyDescent="0.25">
      <c r="B29" s="19" t="s">
        <v>105</v>
      </c>
      <c r="C29" s="99">
        <v>0.206894785</v>
      </c>
    </row>
    <row r="30" spans="1:8" ht="15.75" customHeight="1" x14ac:dyDescent="0.25">
      <c r="B30" s="19" t="s">
        <v>4</v>
      </c>
      <c r="C30" s="99">
        <v>2.7698743000000001E-2</v>
      </c>
    </row>
    <row r="31" spans="1:8" ht="15.75" customHeight="1" x14ac:dyDescent="0.25">
      <c r="B31" s="19" t="s">
        <v>99</v>
      </c>
      <c r="C31" s="99">
        <v>0.20935653800000001</v>
      </c>
    </row>
    <row r="32" spans="1:8" ht="15.75" customHeight="1" x14ac:dyDescent="0.25">
      <c r="B32" s="19" t="s">
        <v>104</v>
      </c>
      <c r="C32" s="99">
        <v>1.2451637999999999E-2</v>
      </c>
    </row>
    <row r="33" spans="2:3" ht="15.75" customHeight="1" x14ac:dyDescent="0.25">
      <c r="B33" s="19" t="s">
        <v>119</v>
      </c>
      <c r="C33" s="99">
        <v>5.1474696E-2</v>
      </c>
    </row>
    <row r="34" spans="2:3" ht="15.75" customHeight="1" x14ac:dyDescent="0.25">
      <c r="B34" s="19" t="s">
        <v>106</v>
      </c>
      <c r="C34" s="99">
        <v>0.15702038800000001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Rt1hJZdVQqWcYLqiLbWUX1sCnVURYW18m/D7ynmGVD58ZdO6UQN0cJ3HpZSbwf81ySFblytLpLpPo34BJReDeA==" saltValue="fH7Mq6UhxdSnq4HRPiSlv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129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125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126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YO7wbSLYxIL4QFCugHcaMkAABkFSfAFDBZuv0bF4RTuvM6WR8o2C786X/4Y71Oki7rNHr9SOzLBz3IMcStM1g==" saltValue="B5VF77a2qIr9wZkLdl8A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XFaNy7KZuGp6rYZRgqLa9kRKdjvInWdOwRa9cIGZ0/DhtwulnJd0b5axS5W4t02kZHS116cF35lDx5F24+at+g==" saltValue="F6OexT0OVEoj80XA/mVHB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u+zOO1ZyLyE+mrl5vRBg2QdePSfpWaRM21UcDbaS4ZApdjQhR9YCNRNvC0x6zVxhJ5aY2ZrqgHm3iT0+QIbKw==" saltValue="Cd0BfT1OS9BsppeirKKEY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8820.3473368231607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0.26804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0.41104000000000002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7.7445127724982193E-3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95775.478449999995</v>
      </c>
      <c r="C22" s="107">
        <v>95268.875050000002</v>
      </c>
      <c r="D22" s="107">
        <v>94620.67052</v>
      </c>
      <c r="E22" s="107">
        <v>94092.716570000004</v>
      </c>
      <c r="F22" s="107">
        <v>93341.483800000002</v>
      </c>
      <c r="G22" s="107">
        <v>92423.458759999994</v>
      </c>
      <c r="H22" s="107">
        <v>91171.408689999997</v>
      </c>
      <c r="I22" s="107">
        <v>89390.063110000003</v>
      </c>
      <c r="J22" s="107">
        <v>86861.316219999993</v>
      </c>
      <c r="K22" s="107">
        <v>83394.796040000001</v>
      </c>
      <c r="L22" s="107">
        <v>78691.335470000005</v>
      </c>
      <c r="M22" s="107">
        <v>72628.909270000004</v>
      </c>
      <c r="N22" s="107">
        <v>64639.227319999998</v>
      </c>
      <c r="O22" s="107">
        <v>54570.89415</v>
      </c>
    </row>
  </sheetData>
  <sheetProtection algorithmName="SHA-512" hashValue="jQ0Xv2JbPklfF9cCjgtKn0+3+O6ZBB9aAfVjrzd+KnP44A2C+QV4zXs/tYdOaLh7ukwPA1DnLNjWwMHOrjGv2g==" saltValue="fcnKZ13waokptTO+xb6v2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fth+rm87IkCyVyXanWhSyVjmRRgnK/f88WpdEyvEu7wJKocLI7KtH/VMkNEhJruiYQ71nDrdlWGE0BNgQhyXA==" saltValue="Ti3hFl/kWrNoBOLuNyYjd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uwI11oB3IJxSFzUqgW8/4i+PTgn8wV4Wpy2/Bkryq0MhZGiUInoRWlW99Za8/10UIHbYIJFmX9Ywh0Q8FkgtQ==" saltValue="VmND5Er+7nm1HxukHi6B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0.70706266146872643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0.19283348666053357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0.3935863</v>
      </c>
      <c r="C10" s="96">
        <v>0.95</v>
      </c>
      <c r="D10" s="56">
        <v>13.446378219451059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13.446378219451059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13.446378219451059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13.446378219451059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0.3935863</v>
      </c>
      <c r="C14" s="96">
        <v>0.95</v>
      </c>
      <c r="D14" s="56">
        <v>13.446378219451059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13.446378219451059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0.50625290000000001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0.33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0.1464792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0.18503539999999999</v>
      </c>
      <c r="C23" s="96">
        <v>0.95</v>
      </c>
      <c r="D23" s="56">
        <v>4.5507118970106513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0.87473390287197805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0.3935863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0.199735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0.26319480000000001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0.2726925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0.1465804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0.88436610000000004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3.5000000000000003E-2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Bg+tKd+zoQTsd8Et7WwFrJLSafTen23nRgfcZQq6WKdyZeWiWTsPyXGglaPVz4DDHZebgP1dKlkUqAMkBvak/A==" saltValue="u3rmfmezXV1A2syLbkil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P9jOeSoW7X8VHQxCYEhn1W+UW0hYsaCTQb/jDFNjTf1NWnuZC3m9xOF1lDp+BLXIx8bpcF7XfMLJM33GVUVZQ==" saltValue="KELwFi3p/JwzZuCf+fwn0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IkQP7xn5IUUxSUIpj0lT/hLSeZ0qK/yLX7NzDXjVZR9gax1wGTdPHXpwAFLParGqEIkzPYA0abGpJaPH4AfEA==" saltValue="h+LeMLEWVu3i+lW42Twc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2.9119999999999999</v>
      </c>
      <c r="C2" s="21">
        <f>'Entradas de población-año base'!C52</f>
        <v>2.9119999999999999</v>
      </c>
      <c r="D2" s="21">
        <f>'Entradas de población-año base'!C53</f>
        <v>5.7720000000000002</v>
      </c>
      <c r="E2" s="21">
        <f>'Entradas de población-año base'!C54</f>
        <v>6.0060000000000002</v>
      </c>
      <c r="F2" s="21">
        <f>'Entradas de población-año base'!C55</f>
        <v>3.631333333333334</v>
      </c>
    </row>
    <row r="3" spans="1:6" ht="15.75" customHeight="1" x14ac:dyDescent="0.25">
      <c r="A3" s="3" t="s">
        <v>6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236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JyoCGooNBFIuX0IcKkiCxlC2Kw4RleXTTZfrFqvTQT3TVjDjyFz2IWpuAh59QAT+qsHQlwG8/2VE0CGnh0U/xg==" saltValue="GgzcGTR3w6PzWy26SUd9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3.4000000000000002E-2</v>
      </c>
      <c r="F2" s="60">
        <f>food_insecure</f>
        <v>3.4000000000000002E-2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6.3534545454545455E-2</v>
      </c>
      <c r="D7" s="60">
        <f>diarrhoea_1_5mo*frac_diarrhea_severe</f>
        <v>6.3534545454545455E-2</v>
      </c>
      <c r="E7" s="60">
        <f>diarrhoea_6_11mo*frac_diarrhea_severe</f>
        <v>0.12593454545454547</v>
      </c>
      <c r="F7" s="60">
        <f>diarrhoea_12_23mo*frac_diarrhea_severe</f>
        <v>0.13104000000000002</v>
      </c>
      <c r="G7" s="60">
        <f>diarrhoea_24_59mo*frac_diarrhea_severe</f>
        <v>7.922909090909093E-2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6.3534545454545455E-2</v>
      </c>
      <c r="D12" s="60">
        <f>diarrhoea_1_5mo*frac_diarrhea_severe</f>
        <v>6.3534545454545455E-2</v>
      </c>
      <c r="E12" s="60">
        <f>diarrhoea_6_11mo*frac_diarrhea_severe</f>
        <v>0.12593454545454547</v>
      </c>
      <c r="F12" s="60">
        <f>diarrhoea_12_23mo*frac_diarrhea_severe</f>
        <v>0.13104000000000002</v>
      </c>
      <c r="G12" s="60">
        <f>diarrhoea_24_59mo*frac_diarrhea_severe</f>
        <v>7.922909090909093E-2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3.4000000000000002E-2</v>
      </c>
      <c r="I15" s="60">
        <f t="shared" si="0"/>
        <v>3.4000000000000002E-2</v>
      </c>
      <c r="J15" s="60">
        <f t="shared" si="0"/>
        <v>3.4000000000000002E-2</v>
      </c>
      <c r="K15" s="60">
        <f t="shared" si="0"/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3.4000000000000002E-2</v>
      </c>
      <c r="I16" s="60">
        <f t="shared" si="0"/>
        <v>3.4000000000000002E-2</v>
      </c>
      <c r="J16" s="60">
        <f t="shared" si="0"/>
        <v>3.4000000000000002E-2</v>
      </c>
      <c r="K16" s="60">
        <f t="shared" si="0"/>
        <v>3.4000000000000002E-2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yS79v8XrWT4pCY2A35gtbipryTGIpMWPNDmYQ2jvHuPX2uHpEPkGjOngJfHIscxh70+Fbs7FVpR7APSo8Gktg==" saltValue="6bcYxJQmH30+seK8cem6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MG63ojPmcuiuyTdR5kS2qtnEwZkeTQA2SJES6v14WQ/QManchBBv/boXWfE32RycPTP8Z2zkWEiHoC4RijJvg==" saltValue="Z8vLHtgGuPZzmR90qMomi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EDTbnJdTGwfIsBkucARkRCP3tTQwNy5cjgHeOwcPmCxnS2q17kY4lm00GFMSy7kHW8S4WXUWcwe47+xkPmMpg==" saltValue="Lf+v3f1c1JO9cCqwCamQH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QPiEqUaUI+5Fw3NxChZ0mMTuABTNmCbWt96rfqu/+kiAT6G71af3DZpmvaeOQ0vvR7odPOstS9hq/Pyk+4MEQ==" saltValue="RpWNlf2Zk6BBHDema+u/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c0s7MwlPw2QnkFeJPDhGjvWLIKxHmaXteX6gZTYriWyljBySbWYSqao+MpF/bLGPCNHpwM66Ei6tAcZd5Zk+CA==" saltValue="Gs2gvYqFX14cwf+zznkZ4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9e6fDVBHHSqIzDdeOe8EJ9hDFrp71RjkjUymFQ7NHa8tkbSx5v4eFhay/+1wnldnEwH2qHfJLjJc+l646CmV7Q==" saltValue="CYlbqmfJTNw6Q43fqKjAf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hW2sfmjMi+720cTfy3frl3k3hHiJ6bddOCJhUlrW4O6Z6Zrif63Y2rHnquFFToHCkPt7UXWrw7Hw680j6WGUA==" saltValue="KGkPXq4Of83DDJuyl/ezJ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0QmpTl7/jDU+PWUMHtBpTKPRtnVACoROpTjpJovKiQUFkD2oThpzo1KmD8Svehu2cRBnSeR082dJh1BWiOsWsg==" saltValue="cyYGDAsvqo2shjQChYD6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50k+peWhavAjXzMNXEGG+JhgliCORDFQ5+XnjBWBJ89pVA5t4k+5lk6zw+LAIWlItD3spu/mhq3x5ZbEatwUg==" saltValue="P8l0vRNc0anF1TxcScDO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jhdfxRKGyeIwXjjDZkk2vSWTPhouEMJyht5XpKuwKdf5yLEc9sbGAtJnCP9426diLGmfLjQHcczbtdLBLmLEw==" saltValue="r9w+pIqcU2tbisKe3vCs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6dEeRe/TrV0maxykUjmEVTomKyOA0LgM9+uBU6lnAIJ3k8HR6eTUVYNFQW48LX05KJLdrP3UTeF4CwzTOi+cQ==" saltValue="lcmbbKb7hxy5Y6iWu0PL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UIXAx6Rw0xAaVjBJJpB3CQXK9kJk4P2gvN+m2vuL3gb5pF8yv6vC0JxqycaFgZ940J4mXysWkNfUNA9bhgCfg==" saltValue="V51UT4qi6dZwjLOkdTZR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WVrMiJmvXrLmLKMvVTF5rp/0qEY2aU3RG24OJZuGiAjFweT9905lasoedjHiMUub+IAJ4mWaqoOq3AUbBzzWw==" saltValue="m9v8hJzMsrv6rGD9Cr85+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mO4jOVWv09HaKMh9YCJsJry4OWCM+SXWQ716Mh9QQzOiYJYoadJcqtl1Rx/scX/XNnX5gjhWbT1jwaWb7SDbQ==" saltValue="kxS73EW8ANXAXcrDAKaO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ucUXOXyy39+C33rbv8Szw5/r6sZ/ODTEoZ81FQ6X7Xb/DOITiLUdsQ/JHbbXWAFEarLUf95YMHaR/B6MbBpNw==" saltValue="utJuKYFKLwqefKMQk4iz+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2026-04-29T02:09:46Z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