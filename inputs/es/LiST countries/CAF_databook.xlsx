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A791AD5-C0E8-4363-8244-641E9A328C5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A31" i="2"/>
  <c r="I38" i="2"/>
  <c r="A26" i="2"/>
  <c r="I39" i="2"/>
  <c r="A40" i="2"/>
  <c r="A34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<sst xmlns="http://schemas.openxmlformats.org/spreadsheetml/2006/main" count="2169" uniqueCount="373">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</sst>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989276</v>
      </c>
    </row>
    <row r="8" spans="1:3" ht="15" customHeight="1" x14ac:dyDescent="0.25">
      <c r="B8" s="5" t="s">
        <v>63</v>
      </c>
      <c r="C8" s="44">
        <v>0.81299999999999994</v>
      </c>
    </row>
    <row r="9" spans="1:3" ht="15" customHeight="1" x14ac:dyDescent="0.25">
      <c r="B9" s="5" t="s">
        <v>62</v>
      </c>
      <c r="C9" s="45">
        <v>0.99900000000000011</v>
      </c>
    </row>
    <row r="10" spans="1:3" ht="15" customHeight="1" x14ac:dyDescent="0.25">
      <c r="B10" s="5" t="s">
        <v>75</v>
      </c>
      <c r="C10" s="45">
        <v>9.7085699999999997E-2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0.10979999999999999</v>
      </c>
    </row>
    <row r="24" spans="1:3" ht="15" customHeight="1" x14ac:dyDescent="0.25">
      <c r="B24" s="15" t="s">
        <v>65</v>
      </c>
      <c r="C24" s="45">
        <v>0.4572</v>
      </c>
    </row>
    <row r="25" spans="1:3" ht="15" customHeight="1" x14ac:dyDescent="0.25">
      <c r="B25" s="15" t="s">
        <v>66</v>
      </c>
      <c r="C25" s="45">
        <v>0.30830000000000002</v>
      </c>
    </row>
    <row r="26" spans="1:3" ht="15" customHeight="1" x14ac:dyDescent="0.25">
      <c r="B26" s="15" t="s">
        <v>67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0.21836491512919801</v>
      </c>
    </row>
    <row r="30" spans="1:3" ht="14.25" customHeight="1" x14ac:dyDescent="0.25">
      <c r="B30" s="25" t="s">
        <v>82</v>
      </c>
      <c r="C30" s="97">
        <v>7.7568108542825601E-2</v>
      </c>
    </row>
    <row r="31" spans="1:3" ht="14.25" customHeight="1" x14ac:dyDescent="0.25">
      <c r="B31" s="25" t="s">
        <v>29</v>
      </c>
      <c r="C31" s="97">
        <v>0.12339958874324899</v>
      </c>
    </row>
    <row r="32" spans="1:3" ht="14.25" customHeight="1" x14ac:dyDescent="0.25">
      <c r="B32" s="25" t="s">
        <v>30</v>
      </c>
      <c r="C32" s="97">
        <v>0.58066738758472702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31.912410000000001</v>
      </c>
    </row>
    <row r="38" spans="1:5" ht="15" customHeight="1" x14ac:dyDescent="0.25">
      <c r="B38" s="11" t="s">
        <v>54</v>
      </c>
      <c r="C38" s="43">
        <v>75.422229999999999</v>
      </c>
      <c r="D38" s="12"/>
      <c r="E38" s="13"/>
    </row>
    <row r="39" spans="1:5" ht="15" customHeight="1" x14ac:dyDescent="0.25">
      <c r="B39" s="11" t="s">
        <v>80</v>
      </c>
      <c r="C39" s="43">
        <v>99.916079999999994</v>
      </c>
      <c r="D39" s="12"/>
      <c r="E39" s="12"/>
    </row>
    <row r="40" spans="1:5" ht="15" customHeight="1" x14ac:dyDescent="0.25">
      <c r="B40" s="11" t="s">
        <v>55</v>
      </c>
      <c r="C40" s="98">
        <v>8.35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7.9225000000000007E-3</v>
      </c>
      <c r="D45" s="12"/>
    </row>
    <row r="46" spans="1:5" ht="15.75" customHeight="1" x14ac:dyDescent="0.25">
      <c r="B46" s="11" t="s">
        <v>70</v>
      </c>
      <c r="C46" s="45">
        <v>8.512610000000001E-2</v>
      </c>
      <c r="D46" s="12"/>
    </row>
    <row r="47" spans="1:5" ht="15.75" customHeight="1" x14ac:dyDescent="0.25">
      <c r="B47" s="11" t="s">
        <v>78</v>
      </c>
      <c r="C47" s="45">
        <v>7.3466500000000004E-2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0.44318700000000011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5MzQXv66iIo/S3rsbDCRM9TesNmRThx6hi/rA9qYPMhJ8ryKHxrAOkKuEUeiuPPT7e4+0sMHmcAhvwdxm9yvLw==" saltValue="2dMtRwETRZC0/2dS2cQA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246241</v>
      </c>
      <c r="C2" s="49">
        <v>327881</v>
      </c>
      <c r="D2" s="49">
        <v>497611.5</v>
      </c>
      <c r="E2" s="49">
        <v>266345</v>
      </c>
      <c r="F2" s="49">
        <v>147504.00000000003</v>
      </c>
      <c r="G2" s="17">
        <f t="shared" ref="G2:G13" si="0">C2+D2+E2+F2</f>
        <v>1239341.5</v>
      </c>
      <c r="H2" s="17">
        <f t="shared" ref="H2:H13" si="1">(B2 + stillbirth*B2/(1000-stillbirth))/(1-abortion)</f>
        <v>287370.79033611249</v>
      </c>
      <c r="I2" s="17">
        <f t="shared" ref="I2:I13" si="2">G2-H2</f>
        <v>951970.70966388751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250088</v>
      </c>
      <c r="C3" s="50">
        <v>337497</v>
      </c>
      <c r="D3" s="50">
        <v>518433.50000000012</v>
      </c>
      <c r="E3" s="50">
        <v>281038.5</v>
      </c>
      <c r="F3" s="50">
        <v>153042</v>
      </c>
      <c r="G3" s="17">
        <f t="shared" si="0"/>
        <v>1290011</v>
      </c>
      <c r="H3" s="17">
        <f t="shared" si="1"/>
        <v>291860.35718494357</v>
      </c>
      <c r="I3" s="17">
        <f t="shared" si="2"/>
        <v>998150.64281505649</v>
      </c>
    </row>
    <row r="4" spans="1:9" ht="15.75" customHeight="1" x14ac:dyDescent="0.25">
      <c r="A4" s="5">
        <f t="shared" si="3"/>
        <v>2026</v>
      </c>
      <c r="B4" s="49">
        <v>254783</v>
      </c>
      <c r="C4" s="50">
        <v>350963</v>
      </c>
      <c r="D4" s="50">
        <v>538457</v>
      </c>
      <c r="E4" s="50">
        <v>296849</v>
      </c>
      <c r="F4" s="50">
        <v>159796</v>
      </c>
      <c r="G4" s="17">
        <f t="shared" si="0"/>
        <v>1346065</v>
      </c>
      <c r="H4" s="17">
        <f t="shared" si="1"/>
        <v>297339.56601136993</v>
      </c>
      <c r="I4" s="17">
        <f t="shared" si="2"/>
        <v>1048725.4339886301</v>
      </c>
    </row>
    <row r="5" spans="1:9" ht="15.75" customHeight="1" x14ac:dyDescent="0.25">
      <c r="A5" s="5">
        <f t="shared" si="3"/>
        <v>2027</v>
      </c>
      <c r="B5" s="49">
        <v>259894</v>
      </c>
      <c r="C5" s="50">
        <v>364779</v>
      </c>
      <c r="D5" s="50">
        <v>556640</v>
      </c>
      <c r="E5" s="50">
        <v>313321.5</v>
      </c>
      <c r="F5" s="50">
        <v>167596.5</v>
      </c>
      <c r="G5" s="17">
        <f t="shared" si="0"/>
        <v>1402337</v>
      </c>
      <c r="H5" s="17">
        <f t="shared" si="1"/>
        <v>303304.25958152226</v>
      </c>
      <c r="I5" s="17">
        <f t="shared" si="2"/>
        <v>1099032.7404184777</v>
      </c>
    </row>
    <row r="6" spans="1:9" ht="15.75" customHeight="1" x14ac:dyDescent="0.25">
      <c r="A6" s="5">
        <f t="shared" si="3"/>
        <v>2028</v>
      </c>
      <c r="B6" s="49">
        <v>265017</v>
      </c>
      <c r="C6" s="50">
        <v>377920</v>
      </c>
      <c r="D6" s="50">
        <v>573146.50000000012</v>
      </c>
      <c r="E6" s="50">
        <v>330598</v>
      </c>
      <c r="F6" s="50">
        <v>176371</v>
      </c>
      <c r="G6" s="17">
        <f t="shared" si="0"/>
        <v>1458035.5</v>
      </c>
      <c r="H6" s="17">
        <f t="shared" si="1"/>
        <v>309282.957519282</v>
      </c>
      <c r="I6" s="17">
        <f t="shared" si="2"/>
        <v>1148752.5424807179</v>
      </c>
    </row>
    <row r="7" spans="1:9" ht="15.75" customHeight="1" x14ac:dyDescent="0.25">
      <c r="A7" s="5">
        <f t="shared" si="3"/>
        <v>2029</v>
      </c>
      <c r="B7" s="49">
        <v>269576</v>
      </c>
      <c r="C7" s="50">
        <v>388995.5</v>
      </c>
      <c r="D7" s="50">
        <v>588243.5</v>
      </c>
      <c r="E7" s="50">
        <v>349533.5</v>
      </c>
      <c r="F7" s="50">
        <v>185435</v>
      </c>
      <c r="G7" s="17">
        <f t="shared" si="0"/>
        <v>1512207.5</v>
      </c>
      <c r="H7" s="17">
        <f t="shared" si="1"/>
        <v>314603.4501794902</v>
      </c>
      <c r="I7" s="17">
        <f t="shared" si="2"/>
        <v>1197604.0498205097</v>
      </c>
    </row>
    <row r="8" spans="1:9" ht="15.75" customHeight="1" x14ac:dyDescent="0.25">
      <c r="A8" s="5">
        <f t="shared" si="3"/>
        <v>2030</v>
      </c>
      <c r="B8" s="49">
        <v>273532</v>
      </c>
      <c r="C8" s="50">
        <v>393973</v>
      </c>
      <c r="D8" s="50">
        <v>605509.5</v>
      </c>
      <c r="E8" s="50">
        <v>370173</v>
      </c>
      <c r="F8" s="50">
        <v>194598.5</v>
      </c>
      <c r="G8" s="17">
        <f t="shared" si="0"/>
        <v>1564254</v>
      </c>
      <c r="H8" s="17">
        <f t="shared" si="1"/>
        <v>319220.22336742264</v>
      </c>
      <c r="I8" s="17">
        <f t="shared" si="2"/>
        <v>1245033.7766325774</v>
      </c>
    </row>
    <row r="9" spans="1:9" ht="15.75" customHeight="1" x14ac:dyDescent="0.25">
      <c r="A9" s="5">
        <f t="shared" si="3"/>
        <v>2031</v>
      </c>
      <c r="B9" s="49">
        <v>276644</v>
      </c>
      <c r="C9" s="50">
        <v>393747</v>
      </c>
      <c r="D9" s="50">
        <v>626455.99999999988</v>
      </c>
      <c r="E9" s="50">
        <v>391371.99999999994</v>
      </c>
      <c r="F9" s="50">
        <v>204215.50000000003</v>
      </c>
      <c r="G9" s="17">
        <f t="shared" si="0"/>
        <v>1615790.4999999998</v>
      </c>
      <c r="H9" s="17">
        <f t="shared" si="1"/>
        <v>322852.02270029561</v>
      </c>
      <c r="I9" s="17">
        <f t="shared" si="2"/>
        <v>1292938.4772997042</v>
      </c>
    </row>
    <row r="10" spans="1:9" ht="15.75" customHeight="1" x14ac:dyDescent="0.25">
      <c r="A10" s="5">
        <f t="shared" si="3"/>
        <v>2032</v>
      </c>
      <c r="B10" s="49">
        <v>279747</v>
      </c>
      <c r="C10" s="50">
        <v>393731</v>
      </c>
      <c r="D10" s="50">
        <v>647088.50000000012</v>
      </c>
      <c r="E10" s="50">
        <v>412420</v>
      </c>
      <c r="F10" s="50">
        <v>214439</v>
      </c>
      <c r="G10" s="17">
        <f t="shared" si="0"/>
        <v>1667678.5</v>
      </c>
      <c r="H10" s="17">
        <f t="shared" si="1"/>
        <v>326473.31875746307</v>
      </c>
      <c r="I10" s="17">
        <f t="shared" si="2"/>
        <v>1341205.181242537</v>
      </c>
    </row>
    <row r="11" spans="1:9" ht="15.75" customHeight="1" x14ac:dyDescent="0.25">
      <c r="A11" s="5">
        <f t="shared" si="3"/>
        <v>2033</v>
      </c>
      <c r="B11" s="49">
        <v>280486</v>
      </c>
      <c r="C11" s="50">
        <v>395362</v>
      </c>
      <c r="D11" s="50">
        <v>665567.5</v>
      </c>
      <c r="E11" s="50">
        <v>433588.49999999994</v>
      </c>
      <c r="F11" s="50">
        <v>225703.50000000003</v>
      </c>
      <c r="G11" s="17">
        <f t="shared" si="0"/>
        <v>1720221.5</v>
      </c>
      <c r="H11" s="17">
        <f t="shared" si="1"/>
        <v>327335.75439595699</v>
      </c>
      <c r="I11" s="17">
        <f t="shared" si="2"/>
        <v>1392885.7456040429</v>
      </c>
    </row>
    <row r="12" spans="1:9" ht="15.75" customHeight="1" x14ac:dyDescent="0.25">
      <c r="A12" s="5">
        <f t="shared" si="3"/>
        <v>2034</v>
      </c>
      <c r="B12" s="49">
        <v>281215</v>
      </c>
      <c r="C12" s="50">
        <v>398752.5</v>
      </c>
      <c r="D12" s="50">
        <v>682075</v>
      </c>
      <c r="E12" s="50">
        <v>454431.5</v>
      </c>
      <c r="F12" s="50">
        <v>238394</v>
      </c>
      <c r="G12" s="17">
        <f t="shared" si="0"/>
        <v>1773653</v>
      </c>
      <c r="H12" s="17">
        <f t="shared" si="1"/>
        <v>328186.51972811139</v>
      </c>
      <c r="I12" s="17">
        <f t="shared" si="2"/>
        <v>1445466.4802718887</v>
      </c>
    </row>
    <row r="13" spans="1:9" ht="15.75" customHeight="1" x14ac:dyDescent="0.25">
      <c r="A13" s="5">
        <f t="shared" si="3"/>
        <v>2035</v>
      </c>
      <c r="B13" s="49">
        <v>282229</v>
      </c>
      <c r="C13" s="50">
        <v>404888</v>
      </c>
      <c r="D13" s="50">
        <v>696427.5</v>
      </c>
      <c r="E13" s="50">
        <v>474470.5</v>
      </c>
      <c r="F13" s="50">
        <v>252272</v>
      </c>
      <c r="G13" s="17">
        <f t="shared" si="0"/>
        <v>1828058</v>
      </c>
      <c r="H13" s="17">
        <f t="shared" si="1"/>
        <v>329369.88879094337</v>
      </c>
      <c r="I13" s="17">
        <f t="shared" si="2"/>
        <v>1498688.1112090566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ZZ/k3rbuVkBt90I+Cz5ko9WskVuhoFY3fr7a65sUtZ5JMcrIg3q8QQ5EAzvshZp0qwEhhz4wF0iIGecOMIUTg==" saltValue="6mPVINnJFhLJUxOIlOZvh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2.688439731156032E-2</v>
      </c>
    </row>
    <row r="4" spans="1:8" ht="15.75" customHeight="1" x14ac:dyDescent="0.25">
      <c r="B4" s="19" t="s">
        <v>116</v>
      </c>
      <c r="C4" s="99">
        <v>7.0187992981200861E-2</v>
      </c>
    </row>
    <row r="5" spans="1:8" ht="15.75" customHeight="1" x14ac:dyDescent="0.25">
      <c r="B5" s="19" t="s">
        <v>114</v>
      </c>
      <c r="C5" s="99">
        <v>0.1133985886601412</v>
      </c>
    </row>
    <row r="6" spans="1:8" ht="15.75" customHeight="1" x14ac:dyDescent="0.25">
      <c r="B6" s="19" t="s">
        <v>110</v>
      </c>
      <c r="C6" s="99">
        <v>0.24461647553835281</v>
      </c>
    </row>
    <row r="7" spans="1:8" ht="15.75" customHeight="1" x14ac:dyDescent="0.25">
      <c r="B7" s="19" t="s">
        <v>115</v>
      </c>
      <c r="C7" s="99">
        <v>0.38315536168446312</v>
      </c>
    </row>
    <row r="8" spans="1:8" ht="15.75" customHeight="1" x14ac:dyDescent="0.25">
      <c r="B8" s="19" t="s">
        <v>117</v>
      </c>
      <c r="C8" s="99">
        <v>1.542919845708019E-2</v>
      </c>
    </row>
    <row r="9" spans="1:8" ht="15.75" customHeight="1" x14ac:dyDescent="0.25">
      <c r="B9" s="19" t="s">
        <v>111</v>
      </c>
      <c r="C9" s="99">
        <v>4.0559195944080341E-2</v>
      </c>
    </row>
    <row r="10" spans="1:8" ht="15.75" customHeight="1" x14ac:dyDescent="0.25">
      <c r="B10" s="19" t="s">
        <v>113</v>
      </c>
      <c r="C10" s="99">
        <v>0.1057687894231211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121</v>
      </c>
      <c r="C15" s="99">
        <v>0.18058363148629969</v>
      </c>
      <c r="D15" s="99">
        <v>0.18058363148629969</v>
      </c>
      <c r="E15" s="99">
        <v>0.18058363148629969</v>
      </c>
      <c r="F15" s="99">
        <v>0.18058363148629969</v>
      </c>
    </row>
    <row r="16" spans="1:8" ht="15.75" customHeight="1" x14ac:dyDescent="0.25">
      <c r="B16" s="19" t="s">
        <v>2</v>
      </c>
      <c r="C16" s="99">
        <v>3.6025281426369758E-2</v>
      </c>
      <c r="D16" s="99">
        <v>3.6025281426369758E-2</v>
      </c>
      <c r="E16" s="99">
        <v>3.6025281426369758E-2</v>
      </c>
      <c r="F16" s="99">
        <v>3.6025281426369758E-2</v>
      </c>
    </row>
    <row r="17" spans="1:8" ht="15.75" customHeight="1" x14ac:dyDescent="0.25">
      <c r="B17" s="19" t="s">
        <v>109</v>
      </c>
      <c r="C17" s="99">
        <v>0.13883744675015419</v>
      </c>
      <c r="D17" s="99">
        <v>0.13883744675015419</v>
      </c>
      <c r="E17" s="99">
        <v>0.13883744675015419</v>
      </c>
      <c r="F17" s="99">
        <v>0.13883744675015419</v>
      </c>
    </row>
    <row r="18" spans="1:8" ht="15.75" customHeight="1" x14ac:dyDescent="0.25">
      <c r="B18" s="19" t="s">
        <v>3</v>
      </c>
      <c r="C18" s="99">
        <v>0.33438557402862412</v>
      </c>
      <c r="D18" s="99">
        <v>0.33438557402862412</v>
      </c>
      <c r="E18" s="99">
        <v>0.33438557402862412</v>
      </c>
      <c r="F18" s="99">
        <v>0.33438557402862412</v>
      </c>
    </row>
    <row r="19" spans="1:8" ht="15.75" customHeight="1" x14ac:dyDescent="0.25">
      <c r="B19" s="19" t="s">
        <v>120</v>
      </c>
      <c r="C19" s="99">
        <v>1.1710238862437151E-2</v>
      </c>
      <c r="D19" s="99">
        <v>1.1710238862437151E-2</v>
      </c>
      <c r="E19" s="99">
        <v>1.1710238862437151E-2</v>
      </c>
      <c r="F19" s="99">
        <v>1.1710238862437151E-2</v>
      </c>
    </row>
    <row r="20" spans="1:8" ht="15.75" customHeight="1" x14ac:dyDescent="0.25">
      <c r="B20" s="19" t="s">
        <v>98</v>
      </c>
      <c r="C20" s="99">
        <v>2.6569035418279138E-2</v>
      </c>
      <c r="D20" s="99">
        <v>2.6569035418279138E-2</v>
      </c>
      <c r="E20" s="99">
        <v>2.6569035418279138E-2</v>
      </c>
      <c r="F20" s="99">
        <v>2.6569035418279138E-2</v>
      </c>
    </row>
    <row r="21" spans="1:8" ht="15.75" customHeight="1" x14ac:dyDescent="0.25">
      <c r="B21" s="19" t="s">
        <v>107</v>
      </c>
      <c r="C21" s="99">
        <v>3.1875099182273318E-2</v>
      </c>
      <c r="D21" s="99">
        <v>3.1875099182273318E-2</v>
      </c>
      <c r="E21" s="99">
        <v>3.1875099182273318E-2</v>
      </c>
      <c r="F21" s="99">
        <v>3.1875099182273318E-2</v>
      </c>
    </row>
    <row r="22" spans="1:8" ht="15.75" customHeight="1" x14ac:dyDescent="0.25">
      <c r="B22" s="19" t="s">
        <v>118</v>
      </c>
      <c r="C22" s="99">
        <v>0.1069243589112856</v>
      </c>
      <c r="D22" s="99">
        <v>0.1069243589112856</v>
      </c>
      <c r="E22" s="99">
        <v>0.1069243589112856</v>
      </c>
      <c r="F22" s="99">
        <v>0.1069243589112856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8.640991000000002E-2</v>
      </c>
    </row>
    <row r="27" spans="1:8" ht="15.75" customHeight="1" x14ac:dyDescent="0.25">
      <c r="B27" s="19" t="s">
        <v>108</v>
      </c>
      <c r="C27" s="99">
        <v>8.5227879999999999E-3</v>
      </c>
    </row>
    <row r="28" spans="1:8" ht="15.75" customHeight="1" x14ac:dyDescent="0.25">
      <c r="B28" s="19" t="s">
        <v>122</v>
      </c>
      <c r="C28" s="99">
        <v>0.151297399</v>
      </c>
    </row>
    <row r="29" spans="1:8" ht="15.75" customHeight="1" x14ac:dyDescent="0.25">
      <c r="B29" s="19" t="s">
        <v>105</v>
      </c>
      <c r="C29" s="99">
        <v>0.16589246799999999</v>
      </c>
    </row>
    <row r="30" spans="1:8" ht="15.75" customHeight="1" x14ac:dyDescent="0.25">
      <c r="B30" s="19" t="s">
        <v>4</v>
      </c>
      <c r="C30" s="99">
        <v>0.10344083900000001</v>
      </c>
    </row>
    <row r="31" spans="1:8" ht="15.75" customHeight="1" x14ac:dyDescent="0.25">
      <c r="B31" s="19" t="s">
        <v>99</v>
      </c>
      <c r="C31" s="99">
        <v>0.10754699400000001</v>
      </c>
    </row>
    <row r="32" spans="1:8" ht="15.75" customHeight="1" x14ac:dyDescent="0.25">
      <c r="B32" s="19" t="s">
        <v>104</v>
      </c>
      <c r="C32" s="99">
        <v>1.8445415E-2</v>
      </c>
    </row>
    <row r="33" spans="2:3" ht="15.75" customHeight="1" x14ac:dyDescent="0.25">
      <c r="B33" s="19" t="s">
        <v>119</v>
      </c>
      <c r="C33" s="99">
        <v>8.3029338999999994E-2</v>
      </c>
    </row>
    <row r="34" spans="2:3" ht="15.75" customHeight="1" x14ac:dyDescent="0.25">
      <c r="B34" s="19" t="s">
        <v>106</v>
      </c>
      <c r="C34" s="99">
        <v>0.27541484799999999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pvgMzlc3b8H0LUUq/m5JcS8DUN9wJ+NMwNK4G/hjduwPTdAMdWi3/n5HHpnN5M2hhMkktB7YiG1Pts95GgLzgQ==" saltValue="IJ6V/XXaiRQYQfbuvg3Bq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129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125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126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138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wqougOcjPCAb4X4hech/iWgGdt7Ejd8TQWeJAsuLPtFivoNJR0qX/pf06ICUQOofnf8G6TjU/dV2mJscTMYnA==" saltValue="b87hJcRskA8qp+4mOVXE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2.1199799999999991E-2</v>
      </c>
      <c r="D5" s="52">
        <f t="shared" si="0"/>
        <v>2.5683300000000076E-2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Ec7cpHrMcYqb+aIxGgHzBpl1lM9O2VAZG241Hx/5/7nVgt0ug5aO8m0u7ctJqKvjLkdtR9USoJcMizwKPL0C3g==" saltValue="7DzXbosDEi9fMRhuO9DP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6FnShyuFPK/ptDO1ieHaSpXXGA4BtbuEZklPwUwofu/ahrg5zbmPVJ2sE3gIrU1HQQb9YUQRf5z/WOQC9whO7A==" saltValue="dOEa1P+sS3NFhWETRKlG5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427.05809619126899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0.35212000000000004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0.63761999999999996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2.1123610453508E-2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88744.602750000005</v>
      </c>
      <c r="C22" s="107">
        <v>87961.954259999999</v>
      </c>
      <c r="D22" s="107">
        <v>87480.419760000004</v>
      </c>
      <c r="E22" s="107">
        <v>86254.013609999995</v>
      </c>
      <c r="F22" s="107">
        <v>84646.125079999998</v>
      </c>
      <c r="G22" s="107">
        <v>82633.285010000007</v>
      </c>
      <c r="H22" s="107">
        <v>79966.870699999999</v>
      </c>
      <c r="I22" s="107">
        <v>76224.121530000004</v>
      </c>
      <c r="J22" s="107">
        <v>71084.183069999999</v>
      </c>
      <c r="K22" s="107">
        <v>64485.75649</v>
      </c>
      <c r="L22" s="107">
        <v>56647.373330000002</v>
      </c>
      <c r="M22" s="107">
        <v>47689.856030000003</v>
      </c>
      <c r="N22" s="107">
        <v>38011.801740000003</v>
      </c>
      <c r="O22" s="107">
        <v>28261.021949999998</v>
      </c>
    </row>
  </sheetData>
  <sheetProtection algorithmName="SHA-512" hashValue="NlYBIXa7Rol8uFP5rITLJKuWu8QZ4vCZXUXYrNUsiWCSga13Mn5J2xnFm9UQBvOkEqUZC/+D+OWnqDgMVQ0D+g==" saltValue="cTXtT8N9FPB28EWwwQ3Ua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kLXR340lFPGjrmOlurasMGBJcqRAOAR5Ao0a6/Zz3nREZTZnuQs6VfW3hA9wX13viym+d9CWAEUL8I1h/Fp2A==" saltValue="06fPMWdZw0Iaa8Qfcevv7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PZ32kTa3FQKZK/EiXerJeAQrcgzNq2KtglbKEU4KXSLNZPySu4zOjnJ34YMFjax+/i69F3zaLn+QPHzJJnVKnA==" saltValue="gnm3+MsZSeEfCltOAgXYq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17.30460856515991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17.30460856515991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17.30460856515991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17.30460856515991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17.30460856515991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17.30460856515991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0.59670389999999995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0.27800000000000002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0.3043807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0.60746149999999999</v>
      </c>
      <c r="C23" s="96">
        <v>0.95</v>
      </c>
      <c r="D23" s="56">
        <v>5.6236363581689766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0.35289840412538298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0.2339136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9.1486800000000007E-2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0.17560000000000001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0.46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0.22176409999999999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0.46673049999999999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3.8961999999999998E-3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0.13799710000000001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0.12971460000000001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X3eTauVcu+BWyhll7pq/S4FHniBIUX+mabEm6CHRbYR1cYY7cJM4Cgp2lb6dOMzlXGNcds/JEEdJ9XTKd0dO5g==" saltValue="SJw10sk5y6kOXEL/AOcC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sifcozE7zr+SfVyoy4CKBIAixDeGckVyLa57VtwmVV9ADoj6AYnJvKkJjGLDFgpkVYNezc5pNPTiB533PJ9bw==" saltValue="Ux9G2KLeRrzZtxDZO0st8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u/yTCQtSTf79iN+9IEJGLigbC/c9Vft1QWYOk0rwBSYbB0ecSX/hYcBIW53Jw8F3+FBXkGi/oM3W9dcr5GW4A==" saltValue="ODcB0c7btkIYXpKR9tW5V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236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sheetProtection algorithmName="SHA-512" hashValue="MVUwUsylYoQv4g2iXe9GPkcrptqF9ajSFakpJy8fGlP6W/Y5ign66/OMUCtnXtX1CXkpiC8S8wU7S5OvKbUv7w==" saltValue="xkzUe0Im0vbbxT5Ip2qjt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0.81299999999999994</v>
      </c>
      <c r="F2" s="60">
        <f>food_insecure</f>
        <v>0.81299999999999994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0.81299999999999994</v>
      </c>
      <c r="F5" s="60">
        <f>food_insecure</f>
        <v>0.81299999999999994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0.81299999999999994</v>
      </c>
      <c r="F8" s="60">
        <f>food_insecure</f>
        <v>0.81299999999999994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0.81299999999999994</v>
      </c>
      <c r="F9" s="60">
        <f>food_insecure</f>
        <v>0.81299999999999994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0.81299999999999994</v>
      </c>
      <c r="I15" s="60">
        <f t="shared" si="0"/>
        <v>0.81299999999999994</v>
      </c>
      <c r="J15" s="60">
        <f t="shared" si="0"/>
        <v>0.81299999999999994</v>
      </c>
      <c r="K15" s="60">
        <f t="shared" si="0"/>
        <v>0.81299999999999994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0.81299999999999994</v>
      </c>
      <c r="I16" s="60">
        <f t="shared" si="0"/>
        <v>0.81299999999999994</v>
      </c>
      <c r="J16" s="60">
        <f t="shared" si="0"/>
        <v>0.81299999999999994</v>
      </c>
      <c r="K16" s="60">
        <f t="shared" si="0"/>
        <v>0.81299999999999994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0.5965825654389999</v>
      </c>
      <c r="M25" s="60">
        <f>(1-food_insecure)*(0.49)+food_insecure*(0.7)</f>
        <v>0.66072999999999993</v>
      </c>
      <c r="N25" s="60">
        <f>(1-food_insecure)*(0.49)+food_insecure*(0.7)</f>
        <v>0.66072999999999993</v>
      </c>
      <c r="O25" s="60">
        <f>(1-food_insecure)*(0.49)+food_insecure*(0.7)</f>
        <v>0.66072999999999993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0.25567824233100001</v>
      </c>
      <c r="M26" s="60">
        <f>(1-food_insecure)*(0.21)+food_insecure*(0.3)</f>
        <v>0.28316999999999998</v>
      </c>
      <c r="N26" s="60">
        <f>(1-food_insecure)*(0.21)+food_insecure*(0.3)</f>
        <v>0.28316999999999998</v>
      </c>
      <c r="O26" s="60">
        <f>(1-food_insecure)*(0.21)+food_insecure*(0.3)</f>
        <v>0.28316999999999998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5.0653492230000013E-2</v>
      </c>
      <c r="M27" s="60">
        <f>(1-food_insecure)*(0.3)</f>
        <v>5.6100000000000018E-2</v>
      </c>
      <c r="N27" s="60">
        <f>(1-food_insecure)*(0.3)</f>
        <v>5.6100000000000018E-2</v>
      </c>
      <c r="O27" s="60">
        <f>(1-food_insecure)*(0.3)</f>
        <v>5.6100000000000018E-2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9.7085699999999997E-2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QwMcpudqMVqcv1De5JZflpiRSinowsKlxnbd3Iq+DFqf460jkwl11ObgCMcT3auDPBaLrlylPDTBJU7n/l2Nw==" saltValue="Qpz/tMLG9cIDiYiVDaOVj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AUmnQdPhW/5h2d4T7X4KPq1qjSTJUiayD7YIapT0UzuntS0ft7fUNm2p63Il3eQay8soHI97IAWDZGKyX5xFQ==" saltValue="jMDtNXPnC/KLBV8ZiqAJ2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Jl9XBpDv9DrjiDhhwFtj03E0NF29qjRcc86uuD1JGP8JN6B8SqzTj+n0pmem9L2oQ5WKAA16SAAf8eUIdjDHQ==" saltValue="GSHBqHlIG2oc3RBobtzQA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lQVCa0GfpfueYKPifmPfF9ExyXQl9MXRGPfp6oMV/PmVDB2esQh5f0K9QabQuLpB6iCYd+VL+3unLp3JqzOew==" saltValue="2k0j3HVwNrPDt2XOoj7wC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zfcWjjIczrEvlkUU8/WZQNir1V7ehM0/KbjJ9p90536m/o5kAj0BuyB1jgPdBa+cqz6PhhgUiIwjFaF8Z9pTig==" saltValue="l5qEK1HhWkZSPOAmzGIr4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h+3hS+zvVEPxFNu9wF8X/C9amIXp6JWI4t8jt5ER5A8oJTwYmjDVi0zLvjgrgh0no7GMzWgMVHVjvjysuUbzng==" saltValue="o1NvAOmVouCh6WB/8BjVA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3gKnI1r/NIGZqFrl5oDIoc1WjFrjq0W9GDNEp3/rOct9cyRNpDEpvRIi1OBXzvP4VpNb1uT4b3Iq+Io4bbycg==" saltValue="HDWoYx4NeGmDoVSrG5s+g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azfCQ4661JWkJFWHHPLFCH3lFJhHnyuVDk03bKK8p5LoizzrFvX0pV1nZhpdEaRN1dzGFYNABh1C4PasGGzSEg==" saltValue="Y+8iYETZfRJ/awWjY9rW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5SWHioPGCKEXqXy9+RQPt9Iffy9PGJkUlowtxaVHtZFzhl+uTV2h4IfeFsaWCr8SIskmCenzx0T6sRLvdrw+6A==" saltValue="Sk//VUWOZyzeXk8XgK1I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u5JJpPufQ6+Lg1RQiR0duOtshNiasiodrhVbB77sZUEkeevoWMmhNr8993szvnB8QNWt9o0VEtfQmzUlMUMyg==" saltValue="V3d8Vcv5EG2WRr6oNi8b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+JIsyTzFb34PxCiIPSdnf2vhbql8UwJJba1NVDLC046TKT3/hDC4/cIElpfAch5afkCcuqOaFyv6Y+B09zVFg==" saltValue="TDtqMDA2c33IpkYc1VT/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ViuLbhDkCIRA8wWddtx10NLgYFy3kBDDk1PILNUw8DBWHRWVaF2Xuw5n4tE5JMukbn6cSKv/aU6V0CrH8OqlQ==" saltValue="1rvNNkYWjQJcXPEeFOz2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ZwsmC+nadCrZFDxW3+fT21eTchhU+L2h1uAr3hNpvhQcuoa2wI1eWE3q6aicvRjeetO7SgTUejVS4+O5c3VvQ==" saltValue="hxeh9BEGpuZF4xux2a9f0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8Xy2dcF+mCvAfzmVVthyZvsmWyWjKKnfDXwYVr7aaIEhgdsVBUI1M6CZIBcN9fAGmSvJA6brNG1LmeF4NGA4PA==" saltValue="USc4YKJzzwA8pdZF9k5g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2L2Y96uORIndlgKeHhqmDAQtpBTijp2gye39Fkret0H+Pkl6E1VmsN83cmLTysSk8ht6WClxvTLH5GEbyMYFMg==" saltValue="AAUExsAaYaVypbsRcTPdm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2025-07-29T23:38:07Z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