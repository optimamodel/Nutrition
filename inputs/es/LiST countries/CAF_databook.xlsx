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618F1EAC-578D-4455-955B-44314A1890F4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<sst xmlns="http://schemas.openxmlformats.org/spreadsheetml/2006/main" count="2102" uniqueCount="341">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</sst>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1104076.8046875</v>
      </c>
    </row>
    <row r="8" spans="1:3" ht="15" customHeight="1" x14ac:dyDescent="0.25">
      <c r="B8" s="5" t="s">
        <v>44</v>
      </c>
      <c r="C8" s="44">
        <v>0.66299999999999992</v>
      </c>
    </row>
    <row r="9" spans="1:3" ht="15" customHeight="1" x14ac:dyDescent="0.25">
      <c r="B9" s="5" t="s">
        <v>43</v>
      </c>
      <c r="C9" s="45">
        <v>0.99900000000000011</v>
      </c>
    </row>
    <row r="10" spans="1:3" ht="15" customHeight="1" x14ac:dyDescent="0.25">
      <c r="B10" s="5" t="s">
        <v>56</v>
      </c>
      <c r="C10" s="45">
        <v>9.845620155334471E-2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0.71299999999999997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0.10979999999999999</v>
      </c>
    </row>
    <row r="24" spans="1:3" ht="15" customHeight="1" x14ac:dyDescent="0.25">
      <c r="B24" s="15" t="s">
        <v>46</v>
      </c>
      <c r="C24" s="45">
        <v>0.4572</v>
      </c>
    </row>
    <row r="25" spans="1:3" ht="15" customHeight="1" x14ac:dyDescent="0.25">
      <c r="B25" s="15" t="s">
        <v>47</v>
      </c>
      <c r="C25" s="45">
        <v>0.30830000000000002</v>
      </c>
    </row>
    <row r="26" spans="1:3" ht="15" customHeight="1" x14ac:dyDescent="0.25">
      <c r="B26" s="15" t="s">
        <v>48</v>
      </c>
      <c r="C26" s="45">
        <v>0.12470000000000001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0.21836491512919801</v>
      </c>
    </row>
    <row r="30" spans="1:3" ht="14.25" customHeight="1" x14ac:dyDescent="0.25">
      <c r="B30" s="25" t="s">
        <v>63</v>
      </c>
      <c r="C30" s="99">
        <v>7.7568108542825601E-2</v>
      </c>
    </row>
    <row r="31" spans="1:3" ht="14.25" customHeight="1" x14ac:dyDescent="0.25">
      <c r="B31" s="25" t="s">
        <v>10</v>
      </c>
      <c r="C31" s="99">
        <v>0.12339958874324899</v>
      </c>
    </row>
    <row r="32" spans="1:3" ht="14.25" customHeight="1" x14ac:dyDescent="0.25">
      <c r="B32" s="25" t="s">
        <v>11</v>
      </c>
      <c r="C32" s="99">
        <v>0.58066738758472702</v>
      </c>
    </row>
    <row r="33" spans="1:5" ht="13" customHeight="1" x14ac:dyDescent="0.25">
      <c r="B33" s="27" t="s">
        <v>60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31.912410000000001</v>
      </c>
    </row>
    <row r="38" spans="1:5" ht="15" customHeight="1" x14ac:dyDescent="0.25">
      <c r="B38" s="11" t="s">
        <v>35</v>
      </c>
      <c r="C38" s="43">
        <v>75.422229999999999</v>
      </c>
      <c r="D38" s="12"/>
      <c r="E38" s="13"/>
    </row>
    <row r="39" spans="1:5" ht="15" customHeight="1" x14ac:dyDescent="0.25">
      <c r="B39" s="11" t="s">
        <v>61</v>
      </c>
      <c r="C39" s="43">
        <v>99.916079999999994</v>
      </c>
      <c r="D39" s="12"/>
      <c r="E39" s="12"/>
    </row>
    <row r="40" spans="1:5" ht="15" customHeight="1" x14ac:dyDescent="0.25">
      <c r="B40" s="11" t="s">
        <v>36</v>
      </c>
      <c r="C40" s="100">
        <v>8.35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26.277799999999999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7.9225000000000007E-3</v>
      </c>
      <c r="D45" s="12"/>
    </row>
    <row r="46" spans="1:5" ht="15.75" customHeight="1" x14ac:dyDescent="0.25">
      <c r="B46" s="11" t="s">
        <v>51</v>
      </c>
      <c r="C46" s="45">
        <v>8.512610000000001E-2</v>
      </c>
      <c r="D46" s="12"/>
    </row>
    <row r="47" spans="1:5" ht="15.75" customHeight="1" x14ac:dyDescent="0.25">
      <c r="B47" s="11" t="s">
        <v>59</v>
      </c>
      <c r="C47" s="45">
        <v>7.3466500000000004E-2</v>
      </c>
      <c r="D47" s="12"/>
      <c r="E47" s="13"/>
    </row>
    <row r="48" spans="1:5" ht="15" customHeight="1" x14ac:dyDescent="0.25">
      <c r="B48" s="11" t="s">
        <v>58</v>
      </c>
      <c r="C48" s="46">
        <v>0.83348489999999997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0.44318700000000011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0.14536402000000001</v>
      </c>
    </row>
    <row r="63" spans="1:4" ht="15.75" customHeight="1" x14ac:dyDescent="0.3">
      <c r="A63" s="4"/>
    </row>
  </sheetData>
  <sheetProtection algorithmName="SHA-512" hashValue="6dkO3HmUpJgTqh060d79q24YJ2jffXrMQM0Xt8jgaM5ul8vVbW1ZM+kZVFXARThg1gnU90ieWDSzUrsgTmXv2g==" saltValue="3bdzbfRuRoRATkH1c03/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250590</v>
      </c>
      <c r="C2" s="49">
        <v>440245.5</v>
      </c>
      <c r="D2" s="49">
        <v>516756.00000000012</v>
      </c>
      <c r="E2" s="49">
        <v>268176</v>
      </c>
      <c r="F2" s="49">
        <v>140025</v>
      </c>
      <c r="G2" s="17">
        <f t="shared" ref="G2:G13" si="0">C2+D2+E2+F2</f>
        <v>1365202.5</v>
      </c>
      <c r="H2" s="17">
        <f t="shared" ref="H2:H13" si="1">(B2 + stillbirth*B2/(1000-stillbirth))/(1-abortion)</f>
        <v>292446.2065631898</v>
      </c>
      <c r="I2" s="17">
        <f t="shared" ref="I2:I13" si="2">G2-H2</f>
        <v>1072756.2934368101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257884</v>
      </c>
      <c r="C3" s="50">
        <v>453375.99999999988</v>
      </c>
      <c r="D3" s="50">
        <v>541329</v>
      </c>
      <c r="E3" s="50">
        <v>282306</v>
      </c>
      <c r="F3" s="50">
        <v>144412</v>
      </c>
      <c r="G3" s="17">
        <f t="shared" si="0"/>
        <v>1421423</v>
      </c>
      <c r="H3" s="17">
        <f t="shared" si="1"/>
        <v>300958.52800726943</v>
      </c>
      <c r="I3" s="17">
        <f t="shared" si="2"/>
        <v>1120464.4719927306</v>
      </c>
    </row>
    <row r="4" spans="1:9" ht="15.75" customHeight="1" x14ac:dyDescent="0.25">
      <c r="A4" s="5">
        <f t="shared" si="3"/>
        <v>2026</v>
      </c>
      <c r="B4" s="49">
        <v>265163</v>
      </c>
      <c r="C4" s="50">
        <v>465772.50000000012</v>
      </c>
      <c r="D4" s="50">
        <v>565792.5</v>
      </c>
      <c r="E4" s="50">
        <v>298411</v>
      </c>
      <c r="F4" s="50">
        <v>149645</v>
      </c>
      <c r="G4" s="17">
        <f t="shared" si="0"/>
        <v>1479621</v>
      </c>
      <c r="H4" s="17">
        <f t="shared" si="1"/>
        <v>309453.34399183968</v>
      </c>
      <c r="I4" s="17">
        <f t="shared" si="2"/>
        <v>1170167.6560081602</v>
      </c>
    </row>
    <row r="5" spans="1:9" ht="15.75" customHeight="1" x14ac:dyDescent="0.25">
      <c r="A5" s="5">
        <f t="shared" si="3"/>
        <v>2027</v>
      </c>
      <c r="B5" s="49">
        <v>271467</v>
      </c>
      <c r="C5" s="50">
        <v>476720.5</v>
      </c>
      <c r="D5" s="50">
        <v>590066.5</v>
      </c>
      <c r="E5" s="50">
        <v>316086</v>
      </c>
      <c r="F5" s="50">
        <v>155352</v>
      </c>
      <c r="G5" s="17">
        <f t="shared" si="0"/>
        <v>1538225</v>
      </c>
      <c r="H5" s="17">
        <f t="shared" si="1"/>
        <v>316810.30510830221</v>
      </c>
      <c r="I5" s="17">
        <f t="shared" si="2"/>
        <v>1221414.6948916977</v>
      </c>
    </row>
    <row r="6" spans="1:9" ht="15.75" customHeight="1" x14ac:dyDescent="0.25">
      <c r="A6" s="5">
        <f t="shared" si="3"/>
        <v>2028</v>
      </c>
      <c r="B6" s="49">
        <v>277414</v>
      </c>
      <c r="C6" s="50">
        <v>485892.5</v>
      </c>
      <c r="D6" s="50">
        <v>613889</v>
      </c>
      <c r="E6" s="50">
        <v>335375.5</v>
      </c>
      <c r="F6" s="50">
        <v>161568</v>
      </c>
      <c r="G6" s="17">
        <f t="shared" si="0"/>
        <v>1596725</v>
      </c>
      <c r="H6" s="17">
        <f t="shared" si="1"/>
        <v>323750.63628844224</v>
      </c>
      <c r="I6" s="17">
        <f t="shared" si="2"/>
        <v>1272974.3637115578</v>
      </c>
    </row>
    <row r="7" spans="1:9" ht="15.75" customHeight="1" x14ac:dyDescent="0.25">
      <c r="A7" s="5">
        <f t="shared" si="3"/>
        <v>2029</v>
      </c>
      <c r="B7" s="49">
        <v>282558</v>
      </c>
      <c r="C7" s="50">
        <v>492599.50000000012</v>
      </c>
      <c r="D7" s="50">
        <v>637158</v>
      </c>
      <c r="E7" s="50">
        <v>356603.5</v>
      </c>
      <c r="F7" s="50">
        <v>168161</v>
      </c>
      <c r="G7" s="17">
        <f t="shared" si="0"/>
        <v>1654522</v>
      </c>
      <c r="H7" s="17">
        <f t="shared" si="1"/>
        <v>329753.84186951513</v>
      </c>
      <c r="I7" s="17">
        <f t="shared" si="2"/>
        <v>1324768.1581304849</v>
      </c>
    </row>
    <row r="8" spans="1:9" ht="15.75" customHeight="1" x14ac:dyDescent="0.25">
      <c r="A8" s="5">
        <f t="shared" si="3"/>
        <v>2030</v>
      </c>
      <c r="B8" s="49">
        <v>286767</v>
      </c>
      <c r="C8" s="50">
        <v>497756.5</v>
      </c>
      <c r="D8" s="50">
        <v>659897</v>
      </c>
      <c r="E8" s="50">
        <v>379597</v>
      </c>
      <c r="F8" s="50">
        <v>174975</v>
      </c>
      <c r="G8" s="17">
        <f t="shared" si="0"/>
        <v>1712225.5</v>
      </c>
      <c r="H8" s="17">
        <f t="shared" si="1"/>
        <v>334665.87380783854</v>
      </c>
      <c r="I8" s="17">
        <f t="shared" si="2"/>
        <v>1377559.6261921613</v>
      </c>
    </row>
    <row r="9" spans="1:9" ht="15.75" customHeight="1" x14ac:dyDescent="0.25">
      <c r="A9" s="5">
        <f t="shared" si="3"/>
        <v>2031</v>
      </c>
      <c r="B9" s="49">
        <v>290502</v>
      </c>
      <c r="C9" s="50">
        <v>503479.5</v>
      </c>
      <c r="D9" s="50">
        <v>682319.5</v>
      </c>
      <c r="E9" s="50">
        <v>403655.5</v>
      </c>
      <c r="F9" s="50">
        <v>182270.5</v>
      </c>
      <c r="G9" s="17">
        <f t="shared" si="0"/>
        <v>1771725</v>
      </c>
      <c r="H9" s="17">
        <f t="shared" si="1"/>
        <v>339024.73322566651</v>
      </c>
      <c r="I9" s="17">
        <f t="shared" si="2"/>
        <v>1432700.2667743335</v>
      </c>
    </row>
    <row r="10" spans="1:9" ht="15.75" customHeight="1" x14ac:dyDescent="0.25">
      <c r="A10" s="5">
        <f t="shared" si="3"/>
        <v>2032</v>
      </c>
      <c r="B10" s="49">
        <v>293644</v>
      </c>
      <c r="C10" s="50">
        <v>510629.50000000012</v>
      </c>
      <c r="D10" s="50">
        <v>704210</v>
      </c>
      <c r="E10" s="50">
        <v>428171</v>
      </c>
      <c r="F10" s="50">
        <v>190366</v>
      </c>
      <c r="G10" s="17">
        <f t="shared" si="0"/>
        <v>1833376.5</v>
      </c>
      <c r="H10" s="17">
        <f t="shared" si="1"/>
        <v>342691.54347755824</v>
      </c>
      <c r="I10" s="17">
        <f t="shared" si="2"/>
        <v>1490684.9565224417</v>
      </c>
    </row>
    <row r="11" spans="1:9" ht="15.75" customHeight="1" x14ac:dyDescent="0.25">
      <c r="A11" s="5">
        <f t="shared" si="3"/>
        <v>2033</v>
      </c>
      <c r="B11" s="49">
        <v>297223</v>
      </c>
      <c r="C11" s="50">
        <v>519900.00000000012</v>
      </c>
      <c r="D11" s="50">
        <v>724364</v>
      </c>
      <c r="E11" s="50">
        <v>453212.99999999988</v>
      </c>
      <c r="F11" s="50">
        <v>199372.5</v>
      </c>
      <c r="G11" s="17">
        <f t="shared" si="0"/>
        <v>1896849.5</v>
      </c>
      <c r="H11" s="17">
        <f t="shared" si="1"/>
        <v>346868.34611648897</v>
      </c>
      <c r="I11" s="17">
        <f t="shared" si="2"/>
        <v>1549981.153883511</v>
      </c>
    </row>
    <row r="12" spans="1:9" ht="15.75" customHeight="1" x14ac:dyDescent="0.25">
      <c r="A12" s="5">
        <f t="shared" si="3"/>
        <v>2034</v>
      </c>
      <c r="B12" s="49">
        <v>300095</v>
      </c>
      <c r="C12" s="50">
        <v>531908.5</v>
      </c>
      <c r="D12" s="50">
        <v>742425.5</v>
      </c>
      <c r="E12" s="50">
        <v>478382</v>
      </c>
      <c r="F12" s="50">
        <v>209399</v>
      </c>
      <c r="G12" s="17">
        <f t="shared" si="0"/>
        <v>1962115</v>
      </c>
      <c r="H12" s="17">
        <f t="shared" si="1"/>
        <v>350220.0580972124</v>
      </c>
      <c r="I12" s="17">
        <f t="shared" si="2"/>
        <v>1611894.9419027877</v>
      </c>
    </row>
    <row r="13" spans="1:9" ht="15.75" customHeight="1" x14ac:dyDescent="0.25">
      <c r="A13" s="5">
        <f t="shared" si="3"/>
        <v>2035</v>
      </c>
      <c r="B13" s="49">
        <v>302341</v>
      </c>
      <c r="C13" s="50">
        <v>547922</v>
      </c>
      <c r="D13" s="50">
        <v>758124.00000000012</v>
      </c>
      <c r="E13" s="50">
        <v>503018</v>
      </c>
      <c r="F13" s="50">
        <v>220685.5</v>
      </c>
      <c r="G13" s="17">
        <f t="shared" si="0"/>
        <v>2029749.5</v>
      </c>
      <c r="H13" s="17">
        <f t="shared" si="1"/>
        <v>352841.20890107891</v>
      </c>
      <c r="I13" s="17">
        <f t="shared" si="2"/>
        <v>1676908.2910989211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f0986Q9S7onNaHEDGQPkED3GBZYvgaUMGZWZ01sA7m5UR5pe71oq4ZuU7usd75R0A5ssvhgXBUX25gH22CLIg==" saltValue="LYaNgZcfCzsfTWJ4Tdxaj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2.688439731156032E-2</v>
      </c>
    </row>
    <row r="4" spans="1:8" ht="15.75" customHeight="1" x14ac:dyDescent="0.25">
      <c r="B4" s="19" t="s">
        <v>97</v>
      </c>
      <c r="C4" s="101">
        <v>7.0187992981200861E-2</v>
      </c>
    </row>
    <row r="5" spans="1:8" ht="15.75" customHeight="1" x14ac:dyDescent="0.25">
      <c r="B5" s="19" t="s">
        <v>95</v>
      </c>
      <c r="C5" s="101">
        <v>0.1133985886601412</v>
      </c>
    </row>
    <row r="6" spans="1:8" ht="15.75" customHeight="1" x14ac:dyDescent="0.25">
      <c r="B6" s="19" t="s">
        <v>91</v>
      </c>
      <c r="C6" s="101">
        <v>0.24461647553835281</v>
      </c>
    </row>
    <row r="7" spans="1:8" ht="15.75" customHeight="1" x14ac:dyDescent="0.25">
      <c r="B7" s="19" t="s">
        <v>96</v>
      </c>
      <c r="C7" s="101">
        <v>0.38315536168446312</v>
      </c>
    </row>
    <row r="8" spans="1:8" ht="15.75" customHeight="1" x14ac:dyDescent="0.25">
      <c r="B8" s="19" t="s">
        <v>98</v>
      </c>
      <c r="C8" s="101">
        <v>1.542919845708019E-2</v>
      </c>
    </row>
    <row r="9" spans="1:8" ht="15.75" customHeight="1" x14ac:dyDescent="0.25">
      <c r="B9" s="19" t="s">
        <v>92</v>
      </c>
      <c r="C9" s="101">
        <v>4.0559195944080341E-2</v>
      </c>
    </row>
    <row r="10" spans="1:8" ht="15.75" customHeight="1" x14ac:dyDescent="0.25">
      <c r="B10" s="19" t="s">
        <v>94</v>
      </c>
      <c r="C10" s="101">
        <v>0.1057687894231211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0.13308933393427699</v>
      </c>
      <c r="D14" s="55">
        <v>0.13308933393427699</v>
      </c>
      <c r="E14" s="55">
        <v>0.13308933393427699</v>
      </c>
      <c r="F14" s="55">
        <v>0.13308933393427699</v>
      </c>
    </row>
    <row r="15" spans="1:8" ht="15.75" customHeight="1" x14ac:dyDescent="0.25">
      <c r="B15" s="19" t="s">
        <v>102</v>
      </c>
      <c r="C15" s="101">
        <v>0.18058363148629969</v>
      </c>
      <c r="D15" s="101">
        <v>0.18058363148629969</v>
      </c>
      <c r="E15" s="101">
        <v>0.18058363148629969</v>
      </c>
      <c r="F15" s="101">
        <v>0.18058363148629969</v>
      </c>
    </row>
    <row r="16" spans="1:8" ht="15.75" customHeight="1" x14ac:dyDescent="0.25">
      <c r="B16" s="19" t="s">
        <v>2</v>
      </c>
      <c r="C16" s="101">
        <v>3.6025281426369758E-2</v>
      </c>
      <c r="D16" s="101">
        <v>3.6025281426369758E-2</v>
      </c>
      <c r="E16" s="101">
        <v>3.6025281426369758E-2</v>
      </c>
      <c r="F16" s="101">
        <v>3.6025281426369758E-2</v>
      </c>
    </row>
    <row r="17" spans="1:8" ht="15.75" customHeight="1" x14ac:dyDescent="0.25">
      <c r="B17" s="19" t="s">
        <v>90</v>
      </c>
      <c r="C17" s="101">
        <v>0.13883744675015419</v>
      </c>
      <c r="D17" s="101">
        <v>0.13883744675015419</v>
      </c>
      <c r="E17" s="101">
        <v>0.13883744675015419</v>
      </c>
      <c r="F17" s="101">
        <v>0.13883744675015419</v>
      </c>
    </row>
    <row r="18" spans="1:8" ht="15.75" customHeight="1" x14ac:dyDescent="0.25">
      <c r="B18" s="19" t="s">
        <v>3</v>
      </c>
      <c r="C18" s="101">
        <v>0.33438557402862412</v>
      </c>
      <c r="D18" s="101">
        <v>0.33438557402862412</v>
      </c>
      <c r="E18" s="101">
        <v>0.33438557402862412</v>
      </c>
      <c r="F18" s="101">
        <v>0.33438557402862412</v>
      </c>
    </row>
    <row r="19" spans="1:8" ht="15.75" customHeight="1" x14ac:dyDescent="0.25">
      <c r="B19" s="19" t="s">
        <v>101</v>
      </c>
      <c r="C19" s="101">
        <v>1.1710238862437151E-2</v>
      </c>
      <c r="D19" s="101">
        <v>1.1710238862437151E-2</v>
      </c>
      <c r="E19" s="101">
        <v>1.1710238862437151E-2</v>
      </c>
      <c r="F19" s="101">
        <v>1.1710238862437151E-2</v>
      </c>
    </row>
    <row r="20" spans="1:8" ht="15.75" customHeight="1" x14ac:dyDescent="0.25">
      <c r="B20" s="19" t="s">
        <v>79</v>
      </c>
      <c r="C20" s="101">
        <v>2.6569035418279138E-2</v>
      </c>
      <c r="D20" s="101">
        <v>2.6569035418279138E-2</v>
      </c>
      <c r="E20" s="101">
        <v>2.6569035418279138E-2</v>
      </c>
      <c r="F20" s="101">
        <v>2.6569035418279138E-2</v>
      </c>
    </row>
    <row r="21" spans="1:8" ht="15.75" customHeight="1" x14ac:dyDescent="0.25">
      <c r="B21" s="19" t="s">
        <v>88</v>
      </c>
      <c r="C21" s="101">
        <v>3.1875099182273318E-2</v>
      </c>
      <c r="D21" s="101">
        <v>3.1875099182273318E-2</v>
      </c>
      <c r="E21" s="101">
        <v>3.1875099182273318E-2</v>
      </c>
      <c r="F21" s="101">
        <v>3.1875099182273318E-2</v>
      </c>
    </row>
    <row r="22" spans="1:8" ht="15.75" customHeight="1" x14ac:dyDescent="0.25">
      <c r="B22" s="19" t="s">
        <v>99</v>
      </c>
      <c r="C22" s="101">
        <v>0.1069243589112856</v>
      </c>
      <c r="D22" s="101">
        <v>0.1069243589112856</v>
      </c>
      <c r="E22" s="101">
        <v>0.1069243589112856</v>
      </c>
      <c r="F22" s="101">
        <v>0.1069243589112856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8.640991000000002E-2</v>
      </c>
    </row>
    <row r="27" spans="1:8" ht="15.75" customHeight="1" x14ac:dyDescent="0.25">
      <c r="B27" s="19" t="s">
        <v>89</v>
      </c>
      <c r="C27" s="101">
        <v>8.5227879999999999E-3</v>
      </c>
    </row>
    <row r="28" spans="1:8" ht="15.75" customHeight="1" x14ac:dyDescent="0.25">
      <c r="B28" s="19" t="s">
        <v>103</v>
      </c>
      <c r="C28" s="101">
        <v>0.151297399</v>
      </c>
    </row>
    <row r="29" spans="1:8" ht="15.75" customHeight="1" x14ac:dyDescent="0.25">
      <c r="B29" s="19" t="s">
        <v>86</v>
      </c>
      <c r="C29" s="101">
        <v>0.16589246799999999</v>
      </c>
    </row>
    <row r="30" spans="1:8" ht="15.75" customHeight="1" x14ac:dyDescent="0.25">
      <c r="B30" s="19" t="s">
        <v>4</v>
      </c>
      <c r="C30" s="101">
        <v>0.10344083900000001</v>
      </c>
    </row>
    <row r="31" spans="1:8" ht="15.75" customHeight="1" x14ac:dyDescent="0.25">
      <c r="B31" s="19" t="s">
        <v>80</v>
      </c>
      <c r="C31" s="101">
        <v>0.10754699400000001</v>
      </c>
    </row>
    <row r="32" spans="1:8" ht="15.75" customHeight="1" x14ac:dyDescent="0.25">
      <c r="B32" s="19" t="s">
        <v>85</v>
      </c>
      <c r="C32" s="101">
        <v>1.8445415E-2</v>
      </c>
    </row>
    <row r="33" spans="2:3" ht="15.75" customHeight="1" x14ac:dyDescent="0.25">
      <c r="B33" s="19" t="s">
        <v>100</v>
      </c>
      <c r="C33" s="101">
        <v>8.3029338999999994E-2</v>
      </c>
    </row>
    <row r="34" spans="2:3" ht="15.75" customHeight="1" x14ac:dyDescent="0.25">
      <c r="B34" s="19" t="s">
        <v>87</v>
      </c>
      <c r="C34" s="101">
        <v>0.27541484799999999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6d+mGRtt31Gl2Mbv8nrABWe7i8/Y07r8YZ1PqPpHBmzvbGAR6fTL8cihOz8Yq1YGcJcp/0Ogeo+jkA6iSOtu9g==" saltValue="A06qJpyXKfv8648sGVA6C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0.54098887677353402</v>
      </c>
      <c r="D2" s="52">
        <f>IFERROR(1-_xlfn.NORM.DIST(_xlfn.NORM.INV(SUM(D4:D5), 0, 1) + 1, 0, 1, TRUE), "")</f>
        <v>0.54098887677353402</v>
      </c>
      <c r="E2" s="52">
        <f>IFERROR(1-_xlfn.NORM.DIST(_xlfn.NORM.INV(SUM(E4:E5), 0, 1) + 1, 0, 1, TRUE), "")</f>
        <v>0.42579575947284387</v>
      </c>
      <c r="F2" s="52">
        <f>IFERROR(1-_xlfn.NORM.DIST(_xlfn.NORM.INV(SUM(F4:F5), 0, 1) + 1, 0, 1, TRUE), "")</f>
        <v>0.24679991575928484</v>
      </c>
      <c r="G2" s="52">
        <f>IFERROR(1-_xlfn.NORM.DIST(_xlfn.NORM.INV(SUM(G4:G5), 0, 1) + 1, 0, 1, TRUE), "")</f>
        <v>0.17238931846307948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0.32398132322646589</v>
      </c>
      <c r="D3" s="52">
        <f>IFERROR(_xlfn.NORM.DIST(_xlfn.NORM.INV(SUM(D4:D5), 0, 1) + 1, 0, 1, TRUE) - SUM(D4:D5), "")</f>
        <v>0.32398132322646589</v>
      </c>
      <c r="E3" s="52">
        <f>IFERROR(_xlfn.NORM.DIST(_xlfn.NORM.INV(SUM(E4:E5), 0, 1) + 1, 0, 1, TRUE) - SUM(E4:E5), "")</f>
        <v>0.36606994052715613</v>
      </c>
      <c r="F3" s="52">
        <f>IFERROR(_xlfn.NORM.DIST(_xlfn.NORM.INV(SUM(F4:F5), 0, 1) + 1, 0, 1, TRUE) - SUM(F4:F5), "")</f>
        <v>0.37697318424071513</v>
      </c>
      <c r="G3" s="52">
        <f>IFERROR(_xlfn.NORM.DIST(_xlfn.NORM.INV(SUM(G4:G5), 0, 1) + 1, 0, 1, TRUE) - SUM(G4:G5), "")</f>
        <v>0.34963488153692052</v>
      </c>
    </row>
    <row r="4" spans="1:15" ht="15.75" customHeight="1" x14ac:dyDescent="0.25">
      <c r="B4" s="5" t="s">
        <v>110</v>
      </c>
      <c r="C4" s="45">
        <v>9.4684299999999999E-2</v>
      </c>
      <c r="D4" s="53">
        <v>9.4684299999999999E-2</v>
      </c>
      <c r="E4" s="53">
        <v>0.12541479999999999</v>
      </c>
      <c r="F4" s="53">
        <v>0.20625650000000001</v>
      </c>
      <c r="G4" s="53">
        <v>0.2217944</v>
      </c>
    </row>
    <row r="5" spans="1:15" ht="15.75" customHeight="1" x14ac:dyDescent="0.25">
      <c r="B5" s="5" t="s">
        <v>106</v>
      </c>
      <c r="C5" s="45">
        <v>4.0345500000000013E-2</v>
      </c>
      <c r="D5" s="53">
        <v>4.0345500000000013E-2</v>
      </c>
      <c r="E5" s="53">
        <v>8.2719500000000001E-2</v>
      </c>
      <c r="F5" s="53">
        <v>0.16997039999999999</v>
      </c>
      <c r="G5" s="53">
        <v>0.2561814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0.67415882215099798</v>
      </c>
      <c r="D8" s="52">
        <f>IFERROR(1-_xlfn.NORM.DIST(_xlfn.NORM.INV(SUM(D10:D11), 0, 1) + 1, 0, 1, TRUE), "")</f>
        <v>0.67415882215099798</v>
      </c>
      <c r="E8" s="52">
        <f>IFERROR(1-_xlfn.NORM.DIST(_xlfn.NORM.INV(SUM(E10:E11), 0, 1) + 1, 0, 1, TRUE), "")</f>
        <v>0.63351922855674503</v>
      </c>
      <c r="F8" s="52">
        <f>IFERROR(1-_xlfn.NORM.DIST(_xlfn.NORM.INV(SUM(F10:F11), 0, 1) + 1, 0, 1, TRUE), "")</f>
        <v>0.67030316109715538</v>
      </c>
      <c r="G8" s="52">
        <f>IFERROR(1-_xlfn.NORM.DIST(_xlfn.NORM.INV(SUM(G10:G11), 0, 1) + 1, 0, 1, TRUE), "")</f>
        <v>0.77904173855408676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0.25251057784900199</v>
      </c>
      <c r="D9" s="52">
        <f>IFERROR(_xlfn.NORM.DIST(_xlfn.NORM.INV(SUM(D10:D11), 0, 1) + 1, 0, 1, TRUE) - SUM(D10:D11), "")</f>
        <v>0.25251057784900199</v>
      </c>
      <c r="E9" s="52">
        <f>IFERROR(_xlfn.NORM.DIST(_xlfn.NORM.INV(SUM(E10:E11), 0, 1) + 1, 0, 1, TRUE) - SUM(E10:E11), "")</f>
        <v>0.27655117144325503</v>
      </c>
      <c r="F9" s="52">
        <f>IFERROR(_xlfn.NORM.DIST(_xlfn.NORM.INV(SUM(F10:F11), 0, 1) + 1, 0, 1, TRUE) - SUM(F10:F11), "")</f>
        <v>0.25486923890284463</v>
      </c>
      <c r="G9" s="52">
        <f>IFERROR(_xlfn.NORM.DIST(_xlfn.NORM.INV(SUM(G10:G11), 0, 1) + 1, 0, 1, TRUE) - SUM(G10:G11), "")</f>
        <v>0.18250806144591319</v>
      </c>
    </row>
    <row r="10" spans="1:15" ht="15.75" customHeight="1" x14ac:dyDescent="0.25">
      <c r="B10" s="5" t="s">
        <v>107</v>
      </c>
      <c r="C10" s="45">
        <v>4.17241E-2</v>
      </c>
      <c r="D10" s="53">
        <v>4.17241E-2</v>
      </c>
      <c r="E10" s="53">
        <v>7.1251800000000004E-2</v>
      </c>
      <c r="F10" s="53">
        <v>5.38188E-2</v>
      </c>
      <c r="G10" s="53">
        <v>2.83921E-2</v>
      </c>
    </row>
    <row r="11" spans="1:15" ht="15.75" customHeight="1" x14ac:dyDescent="0.25">
      <c r="B11" s="5" t="s">
        <v>119</v>
      </c>
      <c r="C11" s="45">
        <v>3.1606500000000003E-2</v>
      </c>
      <c r="D11" s="53">
        <v>3.1606500000000003E-2</v>
      </c>
      <c r="E11" s="53">
        <v>1.8677800000000001E-2</v>
      </c>
      <c r="F11" s="53">
        <v>2.1008800000000001E-2</v>
      </c>
      <c r="G11" s="53">
        <v>1.00581E-2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0.82913434649999995</v>
      </c>
      <c r="D14" s="54">
        <v>0.83222591652800004</v>
      </c>
      <c r="E14" s="54">
        <v>0.83222591652800004</v>
      </c>
      <c r="F14" s="54">
        <v>0.69540820231900002</v>
      </c>
      <c r="G14" s="54">
        <v>0.69540820231900002</v>
      </c>
      <c r="H14" s="45">
        <v>0.52300000000000002</v>
      </c>
      <c r="I14" s="55">
        <v>0.52300000000000002</v>
      </c>
      <c r="J14" s="55">
        <v>0.52300000000000002</v>
      </c>
      <c r="K14" s="55">
        <v>0.52300000000000002</v>
      </c>
      <c r="L14" s="45">
        <v>0.45400000000000001</v>
      </c>
      <c r="M14" s="55">
        <v>0.45400000000000001</v>
      </c>
      <c r="N14" s="55">
        <v>0.45400000000000001</v>
      </c>
      <c r="O14" s="55">
        <v>0.45400000000000001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0.36746156362229559</v>
      </c>
      <c r="D15" s="52">
        <f t="shared" si="0"/>
        <v>0.36883170726829484</v>
      </c>
      <c r="E15" s="52">
        <f t="shared" si="0"/>
        <v>0.36883170726829484</v>
      </c>
      <c r="F15" s="52">
        <f t="shared" si="0"/>
        <v>0.30819587496115075</v>
      </c>
      <c r="G15" s="52">
        <f t="shared" si="0"/>
        <v>0.30819587496115075</v>
      </c>
      <c r="H15" s="52">
        <f t="shared" si="0"/>
        <v>0.23178680100000007</v>
      </c>
      <c r="I15" s="52">
        <f t="shared" si="0"/>
        <v>0.23178680100000007</v>
      </c>
      <c r="J15" s="52">
        <f t="shared" si="0"/>
        <v>0.23178680100000007</v>
      </c>
      <c r="K15" s="52">
        <f t="shared" si="0"/>
        <v>0.23178680100000007</v>
      </c>
      <c r="L15" s="52">
        <f t="shared" si="0"/>
        <v>0.20120689800000005</v>
      </c>
      <c r="M15" s="52">
        <f t="shared" si="0"/>
        <v>0.20120689800000005</v>
      </c>
      <c r="N15" s="52">
        <f t="shared" si="0"/>
        <v>0.20120689800000005</v>
      </c>
      <c r="O15" s="52">
        <f t="shared" si="0"/>
        <v>0.20120689800000005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LC1mq3oKMgx8+I8s23LHjUAnSDIUJ50wO7EQ2fevp/HAeLaAFDmQBHHSz6BxkySyucrFglwnoqTnh8qbnp5Og==" saltValue="P6feKrBAA5zrlawXomWT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0.68534890000000004</v>
      </c>
      <c r="D2" s="53">
        <v>0.3043807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0.17904149999999999</v>
      </c>
      <c r="D3" s="53">
        <v>0.20097799999999999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0.11440980000000001</v>
      </c>
      <c r="D4" s="53">
        <v>0.46895799999999999</v>
      </c>
      <c r="E4" s="53">
        <v>0.96708879999999997</v>
      </c>
      <c r="F4" s="53">
        <v>0.68774510000000011</v>
      </c>
      <c r="G4" s="53">
        <v>0</v>
      </c>
    </row>
    <row r="5" spans="1:7" x14ac:dyDescent="0.25">
      <c r="B5" s="3" t="s">
        <v>125</v>
      </c>
      <c r="C5" s="52">
        <v>2.1199900000000001E-2</v>
      </c>
      <c r="D5" s="52">
        <v>2.5683399999999999E-2</v>
      </c>
      <c r="E5" s="52">
        <f>1-SUM(E2:E4)</f>
        <v>3.2911200000000029E-2</v>
      </c>
      <c r="F5" s="52">
        <f>1-SUM(F2:F4)</f>
        <v>0.31225489999999989</v>
      </c>
      <c r="G5" s="52">
        <f>1-SUM(G2:G4)</f>
        <v>1</v>
      </c>
    </row>
  </sheetData>
  <sheetProtection algorithmName="SHA-512" hashValue="ciyydp04Pd/WNC3SM7U3if9I0b8MSoskjkLOMS0dxyqAQEg9bclHGJMpSvD0kHdADEhT8x/wiEC0FmKDhBjYyw==" saltValue="WaVcE0f2IQ/3hMMxaoIqV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btXnHMUI7Dm17P2y/wR3viWS1q0YRSAaFd9fKNXTFqTN+d4KOdYvKnJQp81K0LmZD2llOdxd2pFeMeVVhnk4g==" saltValue="IuGGgWEZTT74T58T5/22/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UdmFfQ4WKxat8Z6vUvXNkmOewnr5yQ8NiZ/S9mO4Jmwclz7fP3cTBRC8G/1UPt360OkSyKTui4zlQMnrQ+MinA==" saltValue="rqaylN5hipn0+XiDomQqw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d2it3u13eOSsFA1qbASI4aHivhD39MD3PqlD7FqSrkfznIkLVx49mFktbSnpvXbvlG88PbYo2PXpQElQgufhSQ==" saltValue="z/PK9FMMcAmMR3Hckr0C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fEANqAij7ga27Duyt0n/Fgvd2YVXNH6TXGv75IXaJCqMVagOBhEZz7FnH21LFYr57+0sC+BarjR+dEtbWRUALw==" saltValue="0FB9O1gF6OHHW+wU6J9xa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34.034762035053411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0.26705541229469498</v>
      </c>
      <c r="C3" s="98">
        <v>0.95</v>
      </c>
      <c r="D3" s="56">
        <v>54.620859337665578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38.221317431768732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0.1238331639462925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17.30460856515991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17.30460856515991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17.30460856515991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17.30460856515991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17.30460856515991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17.30460856515991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0.65</v>
      </c>
      <c r="C16" s="98">
        <v>0.95</v>
      </c>
      <c r="D16" s="56">
        <v>0.23067217612567081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0.11950489274784599</v>
      </c>
      <c r="C18" s="98">
        <v>0.95</v>
      </c>
      <c r="D18" s="56">
        <v>0.99436129525469097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0.1384629</v>
      </c>
      <c r="C19" s="98">
        <v>0.95</v>
      </c>
      <c r="D19" s="56">
        <v>0.99436129525469097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0.13799710000000001</v>
      </c>
      <c r="C21" s="98">
        <v>0.95</v>
      </c>
      <c r="D21" s="56">
        <v>1.066205212290068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29.45962320280529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5.6236363581689766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0.52254451489167297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25.024511947401859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0.342074347054519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58.883846304768888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0.35</v>
      </c>
      <c r="C31" s="98">
        <v>0.95</v>
      </c>
      <c r="D31" s="56">
        <v>1.226522058081233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0.41624618403907598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0.35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9.1486800000000007E-2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0.2339136</v>
      </c>
      <c r="C38" s="98">
        <v>0.95</v>
      </c>
      <c r="D38" s="56">
        <v>7.7139026016212213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bi0HWuG8zA+OU78jjv1SuXUzKsWrUYNzGHhjyladK0nSqlIelLafiimCxuMKNnZoQMuZKRF3nHYiubvf/Nq/6w==" saltValue="aqfGOZwQaGJbmFG5P2rO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htl0w1yBF5e/h6oESFyAqxckp0qDCUA3m/eKVwlyei8NWJ/r41JowyvshZD7/2KpILqGGa6WSb7o/b0xOkCt5w==" saltValue="zQoOcvdbfDMynbccQx820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ufdzb26tYndhPT1Vh5c/FLlLQzYv+EULUMKLnoGIb+wopFFisHg8E9ZcNUCfXqCMy16YWQu/15sRLSYb+6//w==" saltValue="AX55iZ+xkIEyPNXq6nevG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0.10848266000000001</v>
      </c>
      <c r="C3" s="21">
        <f>frac_mam_1_5months * 2.6</f>
        <v>0.10848266000000001</v>
      </c>
      <c r="D3" s="21">
        <f>frac_mam_6_11months * 2.6</f>
        <v>0.18525468</v>
      </c>
      <c r="E3" s="21">
        <f>frac_mam_12_23months * 2.6</f>
        <v>0.13992888000000001</v>
      </c>
      <c r="F3" s="21">
        <f>frac_mam_24_59months * 2.6</f>
        <v>7.3819460000000003E-2</v>
      </c>
    </row>
    <row r="4" spans="1:6" ht="15.75" customHeight="1" x14ac:dyDescent="0.25">
      <c r="A4" s="3" t="s">
        <v>207</v>
      </c>
      <c r="B4" s="21">
        <f>frac_sam_1month * 2.6</f>
        <v>8.2176900000000011E-2</v>
      </c>
      <c r="C4" s="21">
        <f>frac_sam_1_5months * 2.6</f>
        <v>8.2176900000000011E-2</v>
      </c>
      <c r="D4" s="21">
        <f>frac_sam_6_11months * 2.6</f>
        <v>4.8562280000000006E-2</v>
      </c>
      <c r="E4" s="21">
        <f>frac_sam_12_23months * 2.6</f>
        <v>5.4622880000000006E-2</v>
      </c>
      <c r="F4" s="21">
        <f>frac_sam_24_59months * 2.6</f>
        <v>2.615106E-2</v>
      </c>
    </row>
  </sheetData>
  <sheetProtection algorithmName="SHA-512" hashValue="k7B6BjtsV67i9QKs98K0ofE7ELRQLuiAreUhir9T9oc1k63tAMMWDcf2Kgk00Ne2Er6T/48wa7T0MnB5MzuPDQ==" saltValue="5nWYP2r5J4tatF3Gbfi5G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0.66299999999999992</v>
      </c>
      <c r="E2" s="60">
        <f>food_insecure</f>
        <v>0.66299999999999992</v>
      </c>
      <c r="F2" s="60">
        <f>food_insecure</f>
        <v>0.66299999999999992</v>
      </c>
      <c r="G2" s="60">
        <f>food_insecure</f>
        <v>0.66299999999999992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0.66299999999999992</v>
      </c>
      <c r="F5" s="60">
        <f>food_insecure</f>
        <v>0.66299999999999992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0.66299999999999992</v>
      </c>
      <c r="F8" s="60">
        <f>food_insecure</f>
        <v>0.66299999999999992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0.66299999999999992</v>
      </c>
      <c r="F9" s="60">
        <f>food_insecure</f>
        <v>0.66299999999999992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0.66299999999999992</v>
      </c>
      <c r="I15" s="60">
        <f>food_insecure</f>
        <v>0.66299999999999992</v>
      </c>
      <c r="J15" s="60">
        <f>food_insecure</f>
        <v>0.66299999999999992</v>
      </c>
      <c r="K15" s="60">
        <f>food_insecure</f>
        <v>0.66299999999999992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0.71299999999999997</v>
      </c>
      <c r="M24" s="60">
        <f>famplan_unmet_need</f>
        <v>0.71299999999999997</v>
      </c>
      <c r="N24" s="60">
        <f>famplan_unmet_need</f>
        <v>0.71299999999999997</v>
      </c>
      <c r="O24" s="60">
        <f>famplan_unmet_need</f>
        <v>0.71299999999999997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0.56727840429658882</v>
      </c>
      <c r="M25" s="60">
        <f>(1-food_insecure)*(0.49)+food_insecure*(0.7)</f>
        <v>0.62922999999999996</v>
      </c>
      <c r="N25" s="60">
        <f>(1-food_insecure)*(0.49)+food_insecure*(0.7)</f>
        <v>0.62922999999999996</v>
      </c>
      <c r="O25" s="60">
        <f>(1-food_insecure)*(0.49)+food_insecure*(0.7)</f>
        <v>0.62922999999999996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0.24311931612710952</v>
      </c>
      <c r="M26" s="60">
        <f>(1-food_insecure)*(0.21)+food_insecure*(0.3)</f>
        <v>0.26966999999999997</v>
      </c>
      <c r="N26" s="60">
        <f>(1-food_insecure)*(0.21)+food_insecure*(0.3)</f>
        <v>0.26966999999999997</v>
      </c>
      <c r="O26" s="60">
        <f>(1-food_insecure)*(0.21)+food_insecure*(0.3)</f>
        <v>0.26966999999999997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9.1146078022956878E-2</v>
      </c>
      <c r="M27" s="60">
        <f>(1-food_insecure)*(0.3)</f>
        <v>0.10110000000000002</v>
      </c>
      <c r="N27" s="60">
        <f>(1-food_insecure)*(0.3)</f>
        <v>0.10110000000000002</v>
      </c>
      <c r="O27" s="60">
        <f>(1-food_insecure)*(0.3)</f>
        <v>0.10110000000000002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9.8456201553344724E-2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0.99900000000000011</v>
      </c>
      <c r="D34" s="60">
        <f t="shared" si="3"/>
        <v>0.99900000000000011</v>
      </c>
      <c r="E34" s="60">
        <f t="shared" si="3"/>
        <v>0.99900000000000011</v>
      </c>
      <c r="F34" s="60">
        <f t="shared" si="3"/>
        <v>0.99900000000000011</v>
      </c>
      <c r="G34" s="60">
        <f t="shared" si="3"/>
        <v>0.99900000000000011</v>
      </c>
      <c r="H34" s="60">
        <f t="shared" si="3"/>
        <v>0.99900000000000011</v>
      </c>
      <c r="I34" s="60">
        <f t="shared" si="3"/>
        <v>0.99900000000000011</v>
      </c>
      <c r="J34" s="60">
        <f t="shared" si="3"/>
        <v>0.99900000000000011</v>
      </c>
      <c r="K34" s="60">
        <f t="shared" si="3"/>
        <v>0.99900000000000011</v>
      </c>
      <c r="L34" s="60">
        <f t="shared" si="3"/>
        <v>0.99900000000000011</v>
      </c>
      <c r="M34" s="60">
        <f t="shared" si="3"/>
        <v>0.99900000000000011</v>
      </c>
      <c r="N34" s="60">
        <f t="shared" si="3"/>
        <v>0.99900000000000011</v>
      </c>
      <c r="O34" s="60">
        <f t="shared" si="3"/>
        <v>0.99900000000000011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EMSZ6lXcpmbcl3g0R3xRGhPUKaai9B9XQntbFeXBQiL80mYvgsjGJ0JWqg+IN3/SDlA9xvFf+Wp+TR6sCj1Q==" saltValue="Wtbw2S2rIl26ActMcEY8a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LsjV652A5fwEo0459uM65dr8fzGnEtCD3UB01c4VHMg4DUl9MRI20AtIfbzcTorSQtvVUgxRBiLBguEhssTPhQ==" saltValue="9QuUGhQn7DNskMV4DgXru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tQYtRyvwz5F2VATHbPN48XEywKxocGdVD0Fh2yJscVq+kZ6nTs6RK4sEYx6amMNrZlfnZI6IUpm1C3aYtNu4w==" saltValue="klHUfRC80qGiAGO6012l1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9QcnVnklPP3EHYjt7xPBWD412c0HGUKNOTv0p7uIqxlmZQnYc0zd8YR6DqWDcI8F4Y4488yz5TJfbkXwd2Piw==" saltValue="CCGikkHhmEl+wkxdJB1VG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3V9et+6lAF+LW2vWqndlDd/GjcEQ2R6EBYo93knt9HpfP1kqkrPhOk4FCuv1FcvHMZE0WKzJfS9wwrifOnx/ZQ==" saltValue="nS4Hc8it+7Bbhqdhs88Lu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/YleueJyAoIEdmOmFwFdMr4b+a8YsQWMDVEVIvSGckCa0Y6TgWgcutl+pZCiWPGt7fN9+AO2q7zgDgB2OLOMXg==" saltValue="qey2kno3NUDc7Altn91Hr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VTYMujVPovrhoVtTvzm7DyBFD+5hLCGEkSZcpiVyTFiaLXza/izYeMeiG9IE8ITKlGE44VWwTJz+GANIvCeQgg==" saltValue="1PD+cOR/nnCJm4ji1/uZg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VT91309bNK9mE2fK2taEabknIY1cdX9VsdheXZVptszboCnAsupxBO8NH/NV5n3Df2PUkUFd3RlU1zwx9OkJQ==" saltValue="2/WeybpH3Vo4f2d1v0re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DWVPnnAd2lZPuLkp15hh6+PIRTh3wIujlxXEhKH4efS1ITgAFk9xd7VFI1Xibi/KDJpGDRNMvftwjT2o3W7aw==" saltValue="pbFvzU8lqXU4JgYbUsVW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KFrtzDAYQI2+r2tGBNZt+ezvSY6HRRb0hdShN+esUJoAXk615wdAmBkJFvoK3zp8ln40trWwU4R7v7e8eqsYGQ==" saltValue="W+q8XRB7rgKK7kEg8XUp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aRkh7RXSkqzLJ10mVzgO8YaH5x/jWvfMdqXBjU1vvYglqxvQOq/pvff1npW0dQsVUqnXq89DqKVYsYqAGliV7A==" saltValue="H262Rn5dV5hdnUgUTE5+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iwBpj3/xEkZYv1f5vfsjLo7G4G1HhH/tWVvUiDzNG5pwrdAV6Qf2wIx4cMdVL6RYnZrHXbs/+E6KzTabbgywA==" saltValue="Os/XXtssg5Z+BmnavJiy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xVJbsnglHWmDvOi8lGml+0sDNeP6XMeVu83YPLuUxhYC5BCP58z8XZrG4xR9hrbpwPFV0csaZ9nqgVz/DkDEA==" saltValue="RFmitwgHDwEgrNmmD2tz9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P0KCj4HFTHEzQM2BqxF/ycqS0uQtGOcVmIjUX487/JWJEANleNQ1I0PjINJ1slUvU64ZCS9WT1ASq4yx6G/n5A==" saltValue="8VUOU7NN7dENo4SQwUUi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iUKXpxNyXen43NTZPqfJcLVQUlhXBXrJD0yXzuK6V5NOrAKpLJlNjcWduTJbv/chxMxYjws/CVeg70oMm7jPQA==" saltValue="3gU+HzOihaCMD8XjWdLLG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2024-05-16T23:23:23Z</dcterms:modified>
</cp:coreProperties>
</file>