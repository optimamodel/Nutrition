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11A1E94C-87A6-437A-9DF2-5C586DB05962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26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I9" i="2"/>
  <c r="I13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<sst xmlns="http://schemas.openxmlformats.org/spreadsheetml/2006/main" count="2159" uniqueCount="372">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</sst>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989276</v>
      </c>
    </row>
    <row r="8" spans="1:3" ht="15" customHeight="1" x14ac:dyDescent="0.25">
      <c r="B8" s="5" t="s">
        <v>63</v>
      </c>
      <c r="C8" s="44">
        <v>0.81299999999999994</v>
      </c>
    </row>
    <row r="9" spans="1:3" ht="15" customHeight="1" x14ac:dyDescent="0.25">
      <c r="B9" s="5" t="s">
        <v>62</v>
      </c>
      <c r="C9" s="45">
        <v>0.99900000000000011</v>
      </c>
    </row>
    <row r="10" spans="1:3" ht="15" customHeight="1" x14ac:dyDescent="0.25">
      <c r="B10" s="5" t="s">
        <v>75</v>
      </c>
      <c r="C10" s="45">
        <v>9.7085699999999997E-2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0.71299999999999997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0.10979999999999999</v>
      </c>
    </row>
    <row r="24" spans="1:3" ht="15" customHeight="1" x14ac:dyDescent="0.25">
      <c r="B24" s="15" t="s">
        <v>65</v>
      </c>
      <c r="C24" s="45">
        <v>0.4572</v>
      </c>
    </row>
    <row r="25" spans="1:3" ht="15" customHeight="1" x14ac:dyDescent="0.25">
      <c r="B25" s="15" t="s">
        <v>66</v>
      </c>
      <c r="C25" s="45">
        <v>0.30830000000000002</v>
      </c>
    </row>
    <row r="26" spans="1:3" ht="15" customHeight="1" x14ac:dyDescent="0.25">
      <c r="B26" s="15" t="s">
        <v>67</v>
      </c>
      <c r="C26" s="45">
        <v>0.12470000000000001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0.21836491512919801</v>
      </c>
    </row>
    <row r="30" spans="1:3" ht="14.25" customHeight="1" x14ac:dyDescent="0.25">
      <c r="B30" s="25" t="s">
        <v>82</v>
      </c>
      <c r="C30" s="99">
        <v>7.7568108542825601E-2</v>
      </c>
    </row>
    <row r="31" spans="1:3" ht="14.25" customHeight="1" x14ac:dyDescent="0.25">
      <c r="B31" s="25" t="s">
        <v>29</v>
      </c>
      <c r="C31" s="99">
        <v>0.12339958874324899</v>
      </c>
    </row>
    <row r="32" spans="1:3" ht="14.25" customHeight="1" x14ac:dyDescent="0.25">
      <c r="B32" s="25" t="s">
        <v>30</v>
      </c>
      <c r="C32" s="99">
        <v>0.58066738758472702</v>
      </c>
    </row>
    <row r="33" spans="1:5" ht="13.25" customHeight="1" x14ac:dyDescent="0.25">
      <c r="B33" s="27" t="s">
        <v>79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31.912410000000001</v>
      </c>
    </row>
    <row r="38" spans="1:5" ht="15" customHeight="1" x14ac:dyDescent="0.25">
      <c r="B38" s="11" t="s">
        <v>54</v>
      </c>
      <c r="C38" s="43">
        <v>75.422229999999999</v>
      </c>
      <c r="D38" s="12"/>
      <c r="E38" s="13"/>
    </row>
    <row r="39" spans="1:5" ht="15" customHeight="1" x14ac:dyDescent="0.25">
      <c r="B39" s="11" t="s">
        <v>80</v>
      </c>
      <c r="C39" s="43">
        <v>99.916079999999994</v>
      </c>
      <c r="D39" s="12"/>
      <c r="E39" s="12"/>
    </row>
    <row r="40" spans="1:5" ht="15" customHeight="1" x14ac:dyDescent="0.25">
      <c r="B40" s="11" t="s">
        <v>55</v>
      </c>
      <c r="C40" s="100">
        <v>8.35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26.277799999999999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7.9225000000000007E-3</v>
      </c>
      <c r="D45" s="12"/>
    </row>
    <row r="46" spans="1:5" ht="15.75" customHeight="1" x14ac:dyDescent="0.25">
      <c r="B46" s="11" t="s">
        <v>70</v>
      </c>
      <c r="C46" s="45">
        <v>8.512610000000001E-2</v>
      </c>
      <c r="D46" s="12"/>
    </row>
    <row r="47" spans="1:5" ht="15.75" customHeight="1" x14ac:dyDescent="0.25">
      <c r="B47" s="11" t="s">
        <v>78</v>
      </c>
      <c r="C47" s="45">
        <v>7.3466500000000004E-2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3.3</v>
      </c>
      <c r="D51" s="12"/>
    </row>
    <row r="52" spans="1:4" ht="15" customHeight="1" x14ac:dyDescent="0.25">
      <c r="B52" s="11" t="s">
        <v>32</v>
      </c>
      <c r="C52" s="100">
        <v>3.3</v>
      </c>
    </row>
    <row r="53" spans="1:4" ht="15.75" customHeight="1" x14ac:dyDescent="0.25">
      <c r="B53" s="11" t="s">
        <v>35</v>
      </c>
      <c r="C53" s="100">
        <v>3.3</v>
      </c>
    </row>
    <row r="54" spans="1:4" ht="15.75" customHeight="1" x14ac:dyDescent="0.25">
      <c r="B54" s="11" t="s">
        <v>33</v>
      </c>
      <c r="C54" s="100">
        <v>3.3</v>
      </c>
    </row>
    <row r="55" spans="1:4" ht="15.75" customHeight="1" x14ac:dyDescent="0.25">
      <c r="B55" s="11" t="s">
        <v>34</v>
      </c>
      <c r="C55" s="100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0.44318700000000011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0.14536402000000001</v>
      </c>
    </row>
    <row r="63" spans="1:4" ht="15.75" customHeight="1" x14ac:dyDescent="0.3">
      <c r="A63" s="4"/>
    </row>
  </sheetData>
  <sheetProtection algorithmName="SHA-512" hashValue="sslf4UVdw6MzN4zbPuGteMU1uGyPqy8htqEVwdONeVazC9cUEu8PHfVyvfXgTom9p1NpFi2fmERs44nr1oNxfg==" saltValue="gxMj2hLcSWhgbN7W+DS9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246241</v>
      </c>
      <c r="C2" s="49">
        <v>327881</v>
      </c>
      <c r="D2" s="49">
        <v>497611.5</v>
      </c>
      <c r="E2" s="49">
        <v>266345</v>
      </c>
      <c r="F2" s="49">
        <v>147504.00000000003</v>
      </c>
      <c r="G2" s="17">
        <f t="shared" ref="G2:G13" si="0">C2+D2+E2+F2</f>
        <v>1239341.5</v>
      </c>
      <c r="H2" s="17">
        <f t="shared" ref="H2:H13" si="1">(B2 + stillbirth*B2/(1000-stillbirth))/(1-abortion)</f>
        <v>287370.79033611249</v>
      </c>
      <c r="I2" s="17">
        <f t="shared" ref="I2:I13" si="2">G2-H2</f>
        <v>951970.70966388751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250088</v>
      </c>
      <c r="C3" s="50">
        <v>337497</v>
      </c>
      <c r="D3" s="50">
        <v>518433.50000000012</v>
      </c>
      <c r="E3" s="50">
        <v>281038.5</v>
      </c>
      <c r="F3" s="50">
        <v>153042</v>
      </c>
      <c r="G3" s="17">
        <f t="shared" si="0"/>
        <v>1290011</v>
      </c>
      <c r="H3" s="17">
        <f t="shared" si="1"/>
        <v>291860.35718494357</v>
      </c>
      <c r="I3" s="17">
        <f t="shared" si="2"/>
        <v>998150.64281505649</v>
      </c>
    </row>
    <row r="4" spans="1:9" ht="15.75" customHeight="1" x14ac:dyDescent="0.25">
      <c r="A4" s="5">
        <f t="shared" si="3"/>
        <v>2026</v>
      </c>
      <c r="B4" s="49">
        <v>254783</v>
      </c>
      <c r="C4" s="50">
        <v>350963</v>
      </c>
      <c r="D4" s="50">
        <v>538457</v>
      </c>
      <c r="E4" s="50">
        <v>296849</v>
      </c>
      <c r="F4" s="50">
        <v>159796</v>
      </c>
      <c r="G4" s="17">
        <f t="shared" si="0"/>
        <v>1346065</v>
      </c>
      <c r="H4" s="17">
        <f t="shared" si="1"/>
        <v>297339.56601136993</v>
      </c>
      <c r="I4" s="17">
        <f t="shared" si="2"/>
        <v>1048725.4339886301</v>
      </c>
    </row>
    <row r="5" spans="1:9" ht="15.75" customHeight="1" x14ac:dyDescent="0.25">
      <c r="A5" s="5">
        <f t="shared" si="3"/>
        <v>2027</v>
      </c>
      <c r="B5" s="49">
        <v>259894</v>
      </c>
      <c r="C5" s="50">
        <v>364779</v>
      </c>
      <c r="D5" s="50">
        <v>556640</v>
      </c>
      <c r="E5" s="50">
        <v>313321.5</v>
      </c>
      <c r="F5" s="50">
        <v>167596.5</v>
      </c>
      <c r="G5" s="17">
        <f t="shared" si="0"/>
        <v>1402337</v>
      </c>
      <c r="H5" s="17">
        <f t="shared" si="1"/>
        <v>303304.25958152226</v>
      </c>
      <c r="I5" s="17">
        <f t="shared" si="2"/>
        <v>1099032.7404184777</v>
      </c>
    </row>
    <row r="6" spans="1:9" ht="15.75" customHeight="1" x14ac:dyDescent="0.25">
      <c r="A6" s="5">
        <f t="shared" si="3"/>
        <v>2028</v>
      </c>
      <c r="B6" s="49">
        <v>265017</v>
      </c>
      <c r="C6" s="50">
        <v>377920</v>
      </c>
      <c r="D6" s="50">
        <v>573146.50000000012</v>
      </c>
      <c r="E6" s="50">
        <v>330598</v>
      </c>
      <c r="F6" s="50">
        <v>176371</v>
      </c>
      <c r="G6" s="17">
        <f t="shared" si="0"/>
        <v>1458035.5</v>
      </c>
      <c r="H6" s="17">
        <f t="shared" si="1"/>
        <v>309282.957519282</v>
      </c>
      <c r="I6" s="17">
        <f t="shared" si="2"/>
        <v>1148752.5424807179</v>
      </c>
    </row>
    <row r="7" spans="1:9" ht="15.75" customHeight="1" x14ac:dyDescent="0.25">
      <c r="A7" s="5">
        <f t="shared" si="3"/>
        <v>2029</v>
      </c>
      <c r="B7" s="49">
        <v>269576</v>
      </c>
      <c r="C7" s="50">
        <v>388995.5</v>
      </c>
      <c r="D7" s="50">
        <v>588243.5</v>
      </c>
      <c r="E7" s="50">
        <v>349533.5</v>
      </c>
      <c r="F7" s="50">
        <v>185435</v>
      </c>
      <c r="G7" s="17">
        <f t="shared" si="0"/>
        <v>1512207.5</v>
      </c>
      <c r="H7" s="17">
        <f t="shared" si="1"/>
        <v>314603.4501794902</v>
      </c>
      <c r="I7" s="17">
        <f t="shared" si="2"/>
        <v>1197604.0498205097</v>
      </c>
    </row>
    <row r="8" spans="1:9" ht="15.75" customHeight="1" x14ac:dyDescent="0.25">
      <c r="A8" s="5">
        <f t="shared" si="3"/>
        <v>2030</v>
      </c>
      <c r="B8" s="49">
        <v>273532</v>
      </c>
      <c r="C8" s="50">
        <v>393973</v>
      </c>
      <c r="D8" s="50">
        <v>605509.5</v>
      </c>
      <c r="E8" s="50">
        <v>370173</v>
      </c>
      <c r="F8" s="50">
        <v>194598.5</v>
      </c>
      <c r="G8" s="17">
        <f t="shared" si="0"/>
        <v>1564254</v>
      </c>
      <c r="H8" s="17">
        <f t="shared" si="1"/>
        <v>319220.22336742264</v>
      </c>
      <c r="I8" s="17">
        <f t="shared" si="2"/>
        <v>1245033.7766325774</v>
      </c>
    </row>
    <row r="9" spans="1:9" ht="15.75" customHeight="1" x14ac:dyDescent="0.25">
      <c r="A9" s="5">
        <f t="shared" si="3"/>
        <v>2031</v>
      </c>
      <c r="B9" s="49">
        <v>276644</v>
      </c>
      <c r="C9" s="50">
        <v>393747</v>
      </c>
      <c r="D9" s="50">
        <v>626455.99999999988</v>
      </c>
      <c r="E9" s="50">
        <v>391371.99999999994</v>
      </c>
      <c r="F9" s="50">
        <v>204215.50000000003</v>
      </c>
      <c r="G9" s="17">
        <f t="shared" si="0"/>
        <v>1615790.4999999998</v>
      </c>
      <c r="H9" s="17">
        <f t="shared" si="1"/>
        <v>322852.02270029561</v>
      </c>
      <c r="I9" s="17">
        <f t="shared" si="2"/>
        <v>1292938.4772997042</v>
      </c>
    </row>
    <row r="10" spans="1:9" ht="15.75" customHeight="1" x14ac:dyDescent="0.25">
      <c r="A10" s="5">
        <f t="shared" si="3"/>
        <v>2032</v>
      </c>
      <c r="B10" s="49">
        <v>279747</v>
      </c>
      <c r="C10" s="50">
        <v>393731</v>
      </c>
      <c r="D10" s="50">
        <v>647088.50000000012</v>
      </c>
      <c r="E10" s="50">
        <v>412420</v>
      </c>
      <c r="F10" s="50">
        <v>214439</v>
      </c>
      <c r="G10" s="17">
        <f t="shared" si="0"/>
        <v>1667678.5</v>
      </c>
      <c r="H10" s="17">
        <f t="shared" si="1"/>
        <v>326473.31875746307</v>
      </c>
      <c r="I10" s="17">
        <f t="shared" si="2"/>
        <v>1341205.181242537</v>
      </c>
    </row>
    <row r="11" spans="1:9" ht="15.75" customHeight="1" x14ac:dyDescent="0.25">
      <c r="A11" s="5">
        <f t="shared" si="3"/>
        <v>2033</v>
      </c>
      <c r="B11" s="49">
        <v>280486</v>
      </c>
      <c r="C11" s="50">
        <v>395362</v>
      </c>
      <c r="D11" s="50">
        <v>665567.5</v>
      </c>
      <c r="E11" s="50">
        <v>433588.49999999994</v>
      </c>
      <c r="F11" s="50">
        <v>225703.50000000003</v>
      </c>
      <c r="G11" s="17">
        <f t="shared" si="0"/>
        <v>1720221.5</v>
      </c>
      <c r="H11" s="17">
        <f t="shared" si="1"/>
        <v>327335.75439595699</v>
      </c>
      <c r="I11" s="17">
        <f t="shared" si="2"/>
        <v>1392885.7456040429</v>
      </c>
    </row>
    <row r="12" spans="1:9" ht="15.75" customHeight="1" x14ac:dyDescent="0.25">
      <c r="A12" s="5">
        <f t="shared" si="3"/>
        <v>2034</v>
      </c>
      <c r="B12" s="49">
        <v>281215</v>
      </c>
      <c r="C12" s="50">
        <v>398752.5</v>
      </c>
      <c r="D12" s="50">
        <v>682075</v>
      </c>
      <c r="E12" s="50">
        <v>454431.5</v>
      </c>
      <c r="F12" s="50">
        <v>238394</v>
      </c>
      <c r="G12" s="17">
        <f t="shared" si="0"/>
        <v>1773653</v>
      </c>
      <c r="H12" s="17">
        <f t="shared" si="1"/>
        <v>328186.51972811139</v>
      </c>
      <c r="I12" s="17">
        <f t="shared" si="2"/>
        <v>1445466.4802718887</v>
      </c>
    </row>
    <row r="13" spans="1:9" ht="15.75" customHeight="1" x14ac:dyDescent="0.25">
      <c r="A13" s="5">
        <f t="shared" si="3"/>
        <v>2035</v>
      </c>
      <c r="B13" s="49">
        <v>282229</v>
      </c>
      <c r="C13" s="50">
        <v>404888</v>
      </c>
      <c r="D13" s="50">
        <v>696427.5</v>
      </c>
      <c r="E13" s="50">
        <v>474470.5</v>
      </c>
      <c r="F13" s="50">
        <v>252272</v>
      </c>
      <c r="G13" s="17">
        <f t="shared" si="0"/>
        <v>1828058</v>
      </c>
      <c r="H13" s="17">
        <f t="shared" si="1"/>
        <v>329369.88879094337</v>
      </c>
      <c r="I13" s="17">
        <f t="shared" si="2"/>
        <v>1498688.1112090566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0K0r7D0OpXWFczzWk1WTapu0c2udGaw3+WAxSQ+IG/nE2BNtX4QMMoycs84/m8/NyA67Q0lN6LqZxHRAn4Fow==" saltValue="5V8UPQE1zJr7rVi/ja1JR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2.688439731156032E-2</v>
      </c>
    </row>
    <row r="4" spans="1:8" ht="15.75" customHeight="1" x14ac:dyDescent="0.25">
      <c r="B4" s="19" t="s">
        <v>116</v>
      </c>
      <c r="C4" s="101">
        <v>7.0187992981200861E-2</v>
      </c>
    </row>
    <row r="5" spans="1:8" ht="15.75" customHeight="1" x14ac:dyDescent="0.25">
      <c r="B5" s="19" t="s">
        <v>114</v>
      </c>
      <c r="C5" s="101">
        <v>0.1133985886601412</v>
      </c>
    </row>
    <row r="6" spans="1:8" ht="15.75" customHeight="1" x14ac:dyDescent="0.25">
      <c r="B6" s="19" t="s">
        <v>110</v>
      </c>
      <c r="C6" s="101">
        <v>0.24461647553835281</v>
      </c>
    </row>
    <row r="7" spans="1:8" ht="15.75" customHeight="1" x14ac:dyDescent="0.25">
      <c r="B7" s="19" t="s">
        <v>115</v>
      </c>
      <c r="C7" s="101">
        <v>0.38315536168446312</v>
      </c>
    </row>
    <row r="8" spans="1:8" ht="15.75" customHeight="1" x14ac:dyDescent="0.25">
      <c r="B8" s="19" t="s">
        <v>117</v>
      </c>
      <c r="C8" s="101">
        <v>1.542919845708019E-2</v>
      </c>
    </row>
    <row r="9" spans="1:8" ht="15.75" customHeight="1" x14ac:dyDescent="0.25">
      <c r="B9" s="19" t="s">
        <v>111</v>
      </c>
      <c r="C9" s="101">
        <v>4.0559195944080341E-2</v>
      </c>
    </row>
    <row r="10" spans="1:8" ht="15.75" customHeight="1" x14ac:dyDescent="0.25">
      <c r="B10" s="19" t="s">
        <v>113</v>
      </c>
      <c r="C10" s="101">
        <v>0.1057687894231211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0.13308933393427699</v>
      </c>
      <c r="D14" s="55">
        <v>0.13308933393427699</v>
      </c>
      <c r="E14" s="55">
        <v>0.13308933393427699</v>
      </c>
      <c r="F14" s="55">
        <v>0.13308933393427699</v>
      </c>
    </row>
    <row r="15" spans="1:8" ht="15.75" customHeight="1" x14ac:dyDescent="0.25">
      <c r="B15" s="19" t="s">
        <v>121</v>
      </c>
      <c r="C15" s="101">
        <v>0.18058363148629969</v>
      </c>
      <c r="D15" s="101">
        <v>0.18058363148629969</v>
      </c>
      <c r="E15" s="101">
        <v>0.18058363148629969</v>
      </c>
      <c r="F15" s="101">
        <v>0.18058363148629969</v>
      </c>
    </row>
    <row r="16" spans="1:8" ht="15.75" customHeight="1" x14ac:dyDescent="0.25">
      <c r="B16" s="19" t="s">
        <v>2</v>
      </c>
      <c r="C16" s="101">
        <v>3.6025281426369758E-2</v>
      </c>
      <c r="D16" s="101">
        <v>3.6025281426369758E-2</v>
      </c>
      <c r="E16" s="101">
        <v>3.6025281426369758E-2</v>
      </c>
      <c r="F16" s="101">
        <v>3.6025281426369758E-2</v>
      </c>
    </row>
    <row r="17" spans="1:8" ht="15.75" customHeight="1" x14ac:dyDescent="0.25">
      <c r="B17" s="19" t="s">
        <v>109</v>
      </c>
      <c r="C17" s="101">
        <v>0.13883744675015419</v>
      </c>
      <c r="D17" s="101">
        <v>0.13883744675015419</v>
      </c>
      <c r="E17" s="101">
        <v>0.13883744675015419</v>
      </c>
      <c r="F17" s="101">
        <v>0.13883744675015419</v>
      </c>
    </row>
    <row r="18" spans="1:8" ht="15.75" customHeight="1" x14ac:dyDescent="0.25">
      <c r="B18" s="19" t="s">
        <v>3</v>
      </c>
      <c r="C18" s="101">
        <v>0.33438557402862412</v>
      </c>
      <c r="D18" s="101">
        <v>0.33438557402862412</v>
      </c>
      <c r="E18" s="101">
        <v>0.33438557402862412</v>
      </c>
      <c r="F18" s="101">
        <v>0.33438557402862412</v>
      </c>
    </row>
    <row r="19" spans="1:8" ht="15.75" customHeight="1" x14ac:dyDescent="0.25">
      <c r="B19" s="19" t="s">
        <v>120</v>
      </c>
      <c r="C19" s="101">
        <v>1.1710238862437151E-2</v>
      </c>
      <c r="D19" s="101">
        <v>1.1710238862437151E-2</v>
      </c>
      <c r="E19" s="101">
        <v>1.1710238862437151E-2</v>
      </c>
      <c r="F19" s="101">
        <v>1.1710238862437151E-2</v>
      </c>
    </row>
    <row r="20" spans="1:8" ht="15.75" customHeight="1" x14ac:dyDescent="0.25">
      <c r="B20" s="19" t="s">
        <v>98</v>
      </c>
      <c r="C20" s="101">
        <v>2.6569035418279138E-2</v>
      </c>
      <c r="D20" s="101">
        <v>2.6569035418279138E-2</v>
      </c>
      <c r="E20" s="101">
        <v>2.6569035418279138E-2</v>
      </c>
      <c r="F20" s="101">
        <v>2.6569035418279138E-2</v>
      </c>
    </row>
    <row r="21" spans="1:8" ht="15.75" customHeight="1" x14ac:dyDescent="0.25">
      <c r="B21" s="19" t="s">
        <v>107</v>
      </c>
      <c r="C21" s="101">
        <v>3.1875099182273318E-2</v>
      </c>
      <c r="D21" s="101">
        <v>3.1875099182273318E-2</v>
      </c>
      <c r="E21" s="101">
        <v>3.1875099182273318E-2</v>
      </c>
      <c r="F21" s="101">
        <v>3.1875099182273318E-2</v>
      </c>
    </row>
    <row r="22" spans="1:8" ht="15.75" customHeight="1" x14ac:dyDescent="0.25">
      <c r="B22" s="19" t="s">
        <v>118</v>
      </c>
      <c r="C22" s="101">
        <v>0.1069243589112856</v>
      </c>
      <c r="D22" s="101">
        <v>0.1069243589112856</v>
      </c>
      <c r="E22" s="101">
        <v>0.1069243589112856</v>
      </c>
      <c r="F22" s="101">
        <v>0.1069243589112856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8.640991000000002E-2</v>
      </c>
    </row>
    <row r="27" spans="1:8" ht="15.75" customHeight="1" x14ac:dyDescent="0.25">
      <c r="B27" s="19" t="s">
        <v>108</v>
      </c>
      <c r="C27" s="101">
        <v>8.5227879999999999E-3</v>
      </c>
    </row>
    <row r="28" spans="1:8" ht="15.75" customHeight="1" x14ac:dyDescent="0.25">
      <c r="B28" s="19" t="s">
        <v>122</v>
      </c>
      <c r="C28" s="101">
        <v>0.151297399</v>
      </c>
    </row>
    <row r="29" spans="1:8" ht="15.75" customHeight="1" x14ac:dyDescent="0.25">
      <c r="B29" s="19" t="s">
        <v>105</v>
      </c>
      <c r="C29" s="101">
        <v>0.16589246799999999</v>
      </c>
    </row>
    <row r="30" spans="1:8" ht="15.75" customHeight="1" x14ac:dyDescent="0.25">
      <c r="B30" s="19" t="s">
        <v>4</v>
      </c>
      <c r="C30" s="101">
        <v>0.10344083900000001</v>
      </c>
    </row>
    <row r="31" spans="1:8" ht="15.75" customHeight="1" x14ac:dyDescent="0.25">
      <c r="B31" s="19" t="s">
        <v>99</v>
      </c>
      <c r="C31" s="101">
        <v>0.10754699400000001</v>
      </c>
    </row>
    <row r="32" spans="1:8" ht="15.75" customHeight="1" x14ac:dyDescent="0.25">
      <c r="B32" s="19" t="s">
        <v>104</v>
      </c>
      <c r="C32" s="101">
        <v>1.8445415E-2</v>
      </c>
    </row>
    <row r="33" spans="2:3" ht="15.75" customHeight="1" x14ac:dyDescent="0.25">
      <c r="B33" s="19" t="s">
        <v>119</v>
      </c>
      <c r="C33" s="101">
        <v>8.3029338999999994E-2</v>
      </c>
    </row>
    <row r="34" spans="2:3" ht="15.75" customHeight="1" x14ac:dyDescent="0.25">
      <c r="B34" s="19" t="s">
        <v>106</v>
      </c>
      <c r="C34" s="101">
        <v>0.27541484799999999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AwrazW1cNzbEqo6SRC1n5P7wPCrjZHsSlvCWKNjPqjCX5FcXjVlZvldEuiDGkRfq4di0+lKwtwZvJxUfUsLLCg==" saltValue="zUFx1oFy8yy742JG14inO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0.54098887677353402</v>
      </c>
      <c r="D2" s="52">
        <f>IFERROR(1-_xlfn.NORM.DIST(_xlfn.NORM.INV(SUM(D4:D5), 0, 1) + 1, 0, 1, TRUE), "")</f>
        <v>0.54098887677353402</v>
      </c>
      <c r="E2" s="52">
        <f>IFERROR(1-_xlfn.NORM.DIST(_xlfn.NORM.INV(SUM(E4:E5), 0, 1) + 1, 0, 1, TRUE), "")</f>
        <v>0.42579575947284387</v>
      </c>
      <c r="F2" s="52">
        <f>IFERROR(1-_xlfn.NORM.DIST(_xlfn.NORM.INV(SUM(F4:F5), 0, 1) + 1, 0, 1, TRUE), "")</f>
        <v>0.24679991575928484</v>
      </c>
      <c r="G2" s="52">
        <f>IFERROR(1-_xlfn.NORM.DIST(_xlfn.NORM.INV(SUM(G4:G5), 0, 1) + 1, 0, 1, TRUE), "")</f>
        <v>0.17238931846307948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0.32398132322646589</v>
      </c>
      <c r="D3" s="52">
        <f>IFERROR(_xlfn.NORM.DIST(_xlfn.NORM.INV(SUM(D4:D5), 0, 1) + 1, 0, 1, TRUE) - SUM(D4:D5), "")</f>
        <v>0.32398132322646589</v>
      </c>
      <c r="E3" s="52">
        <f>IFERROR(_xlfn.NORM.DIST(_xlfn.NORM.INV(SUM(E4:E5), 0, 1) + 1, 0, 1, TRUE) - SUM(E4:E5), "")</f>
        <v>0.36606994052715613</v>
      </c>
      <c r="F3" s="52">
        <f>IFERROR(_xlfn.NORM.DIST(_xlfn.NORM.INV(SUM(F4:F5), 0, 1) + 1, 0, 1, TRUE) - SUM(F4:F5), "")</f>
        <v>0.37697318424071513</v>
      </c>
      <c r="G3" s="52">
        <f>IFERROR(_xlfn.NORM.DIST(_xlfn.NORM.INV(SUM(G4:G5), 0, 1) + 1, 0, 1, TRUE) - SUM(G4:G5), "")</f>
        <v>0.34963488153692052</v>
      </c>
    </row>
    <row r="4" spans="1:15" ht="15.75" customHeight="1" x14ac:dyDescent="0.25">
      <c r="B4" s="5" t="s">
        <v>129</v>
      </c>
      <c r="C4" s="45">
        <v>9.4684299999999999E-2</v>
      </c>
      <c r="D4" s="53">
        <v>9.4684299999999999E-2</v>
      </c>
      <c r="E4" s="53">
        <v>0.12541479999999999</v>
      </c>
      <c r="F4" s="53">
        <v>0.20625650000000001</v>
      </c>
      <c r="G4" s="53">
        <v>0.2217944</v>
      </c>
    </row>
    <row r="5" spans="1:15" ht="15.75" customHeight="1" x14ac:dyDescent="0.25">
      <c r="B5" s="5" t="s">
        <v>125</v>
      </c>
      <c r="C5" s="45">
        <v>4.0345500000000013E-2</v>
      </c>
      <c r="D5" s="53">
        <v>4.0345500000000013E-2</v>
      </c>
      <c r="E5" s="53">
        <v>8.2719500000000001E-2</v>
      </c>
      <c r="F5" s="53">
        <v>0.16997039999999999</v>
      </c>
      <c r="G5" s="53">
        <v>0.2561814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0.67415882215099798</v>
      </c>
      <c r="D8" s="52">
        <f>IFERROR(1-_xlfn.NORM.DIST(_xlfn.NORM.INV(SUM(D10:D11), 0, 1) + 1, 0, 1, TRUE), "")</f>
        <v>0.67415882215099798</v>
      </c>
      <c r="E8" s="52">
        <f>IFERROR(1-_xlfn.NORM.DIST(_xlfn.NORM.INV(SUM(E10:E11), 0, 1) + 1, 0, 1, TRUE), "")</f>
        <v>0.63351922855674503</v>
      </c>
      <c r="F8" s="52">
        <f>IFERROR(1-_xlfn.NORM.DIST(_xlfn.NORM.INV(SUM(F10:F11), 0, 1) + 1, 0, 1, TRUE), "")</f>
        <v>0.67030316109715538</v>
      </c>
      <c r="G8" s="52">
        <f>IFERROR(1-_xlfn.NORM.DIST(_xlfn.NORM.INV(SUM(G10:G11), 0, 1) + 1, 0, 1, TRUE), "")</f>
        <v>0.77904173855408676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0.25251057784900199</v>
      </c>
      <c r="D9" s="52">
        <f>IFERROR(_xlfn.NORM.DIST(_xlfn.NORM.INV(SUM(D10:D11), 0, 1) + 1, 0, 1, TRUE) - SUM(D10:D11), "")</f>
        <v>0.25251057784900199</v>
      </c>
      <c r="E9" s="52">
        <f>IFERROR(_xlfn.NORM.DIST(_xlfn.NORM.INV(SUM(E10:E11), 0, 1) + 1, 0, 1, TRUE) - SUM(E10:E11), "")</f>
        <v>0.27655117144325503</v>
      </c>
      <c r="F9" s="52">
        <f>IFERROR(_xlfn.NORM.DIST(_xlfn.NORM.INV(SUM(F10:F11), 0, 1) + 1, 0, 1, TRUE) - SUM(F10:F11), "")</f>
        <v>0.25486923890284463</v>
      </c>
      <c r="G9" s="52">
        <f>IFERROR(_xlfn.NORM.DIST(_xlfn.NORM.INV(SUM(G10:G11), 0, 1) + 1, 0, 1, TRUE) - SUM(G10:G11), "")</f>
        <v>0.18250806144591319</v>
      </c>
    </row>
    <row r="10" spans="1:15" ht="15.75" customHeight="1" x14ac:dyDescent="0.25">
      <c r="B10" s="5" t="s">
        <v>126</v>
      </c>
      <c r="C10" s="45">
        <v>4.17241E-2</v>
      </c>
      <c r="D10" s="53">
        <v>4.17241E-2</v>
      </c>
      <c r="E10" s="53">
        <v>7.1251800000000004E-2</v>
      </c>
      <c r="F10" s="53">
        <v>5.38188E-2</v>
      </c>
      <c r="G10" s="53">
        <v>2.83921E-2</v>
      </c>
    </row>
    <row r="11" spans="1:15" ht="15.75" customHeight="1" x14ac:dyDescent="0.25">
      <c r="B11" s="5" t="s">
        <v>138</v>
      </c>
      <c r="C11" s="45">
        <v>3.1606500000000003E-2</v>
      </c>
      <c r="D11" s="53">
        <v>3.1606500000000003E-2</v>
      </c>
      <c r="E11" s="53">
        <v>1.8677800000000001E-2</v>
      </c>
      <c r="F11" s="53">
        <v>2.1008800000000001E-2</v>
      </c>
      <c r="G11" s="53">
        <v>1.00581E-2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0.82913434649999995</v>
      </c>
      <c r="D14" s="54">
        <v>0.83222591652800004</v>
      </c>
      <c r="E14" s="54">
        <v>0.83222591652800004</v>
      </c>
      <c r="F14" s="54">
        <v>0.69540820231900002</v>
      </c>
      <c r="G14" s="54">
        <v>0.69540820231900002</v>
      </c>
      <c r="H14" s="45">
        <v>0.52300000000000002</v>
      </c>
      <c r="I14" s="55">
        <v>0.52300000000000002</v>
      </c>
      <c r="J14" s="55">
        <v>0.52300000000000002</v>
      </c>
      <c r="K14" s="55">
        <v>0.52300000000000002</v>
      </c>
      <c r="L14" s="45">
        <v>0.45400000000000001</v>
      </c>
      <c r="M14" s="55">
        <v>0.45400000000000001</v>
      </c>
      <c r="N14" s="55">
        <v>0.45400000000000001</v>
      </c>
      <c r="O14" s="55">
        <v>0.45400000000000001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0.36746156362229559</v>
      </c>
      <c r="D15" s="52">
        <f t="shared" si="0"/>
        <v>0.36883170726829484</v>
      </c>
      <c r="E15" s="52">
        <f t="shared" si="0"/>
        <v>0.36883170726829484</v>
      </c>
      <c r="F15" s="52">
        <f t="shared" si="0"/>
        <v>0.30819587496115075</v>
      </c>
      <c r="G15" s="52">
        <f t="shared" si="0"/>
        <v>0.30819587496115075</v>
      </c>
      <c r="H15" s="52">
        <f t="shared" si="0"/>
        <v>0.23178680100000007</v>
      </c>
      <c r="I15" s="52">
        <f t="shared" si="0"/>
        <v>0.23178680100000007</v>
      </c>
      <c r="J15" s="52">
        <f t="shared" si="0"/>
        <v>0.23178680100000007</v>
      </c>
      <c r="K15" s="52">
        <f t="shared" si="0"/>
        <v>0.23178680100000007</v>
      </c>
      <c r="L15" s="52">
        <f t="shared" si="0"/>
        <v>0.20120689800000005</v>
      </c>
      <c r="M15" s="52">
        <f t="shared" si="0"/>
        <v>0.20120689800000005</v>
      </c>
      <c r="N15" s="52">
        <f t="shared" si="0"/>
        <v>0.20120689800000005</v>
      </c>
      <c r="O15" s="52">
        <f t="shared" si="0"/>
        <v>0.20120689800000005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rwxKvlBSrhztoStrlI4P1HSDGcMFVzPLn8jUz67jO519EzhazOVhKlXew0hsfL0KJW2E9bieqdGagdakh25rw==" saltValue="q+nkNSxnxGs0+KSb9T15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0.68534890000000004</v>
      </c>
      <c r="D2" s="53">
        <v>0.3043807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0.17904149999999999</v>
      </c>
      <c r="D3" s="53">
        <v>0.20097799999999999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0.11440980000000001</v>
      </c>
      <c r="D4" s="53">
        <v>0.46895799999999999</v>
      </c>
      <c r="E4" s="53">
        <v>0.96708879999999997</v>
      </c>
      <c r="F4" s="53">
        <v>0.68774510000000011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2.1199799999999991E-2</v>
      </c>
      <c r="D5" s="52">
        <f t="shared" si="0"/>
        <v>2.5683300000000076E-2</v>
      </c>
      <c r="E5" s="52">
        <f>1-SUM(E2:E4)</f>
        <v>3.2911200000000029E-2</v>
      </c>
      <c r="F5" s="52">
        <f>1-SUM(F2:F4)</f>
        <v>0.31225489999999989</v>
      </c>
      <c r="G5" s="52">
        <f>1-SUM(G2:G4)</f>
        <v>1</v>
      </c>
    </row>
  </sheetData>
  <sheetProtection algorithmName="SHA-512" hashValue="MAXJG5MPwEXI5kQsOTZuVgOqc0PABoWXUF0YYg2+PATCqNtzP14V51rO7P+W8pLYMcso0v9AIJjXkbaRcVAVgg==" saltValue="ctVK7K3pg2oXc5fRZhDKm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xHwsP9GsERyUl99CFCoEJ+ZLA9N6NicfQiZmJvtnc8TE5Ta1WzUU5oMJhLaXqCOrQrHDJjLJ3T0Ti297CEIMg==" saltValue="u0wacs8ssAKg7k11bLwY8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427.05809619126899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0.35212000000000004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0.63761999999999996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2.1123610453508E-2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88744.602750000005</v>
      </c>
      <c r="C22" s="109">
        <v>87961.954259999999</v>
      </c>
      <c r="D22" s="109">
        <v>87480.419760000004</v>
      </c>
      <c r="E22" s="109">
        <v>86254.013609999995</v>
      </c>
      <c r="F22" s="109">
        <v>84646.125079999998</v>
      </c>
      <c r="G22" s="109">
        <v>82633.285010000007</v>
      </c>
      <c r="H22" s="109">
        <v>79966.870699999999</v>
      </c>
      <c r="I22" s="109">
        <v>76224.121530000004</v>
      </c>
      <c r="J22" s="109">
        <v>71084.183069999999</v>
      </c>
      <c r="K22" s="109">
        <v>64485.75649</v>
      </c>
      <c r="L22" s="109">
        <v>56647.373330000002</v>
      </c>
      <c r="M22" s="109">
        <v>47689.856030000003</v>
      </c>
      <c r="N22" s="109">
        <v>38011.801740000003</v>
      </c>
      <c r="O22" s="109">
        <v>28261.021949999998</v>
      </c>
    </row>
  </sheetData>
  <sheetProtection algorithmName="SHA-512" hashValue="D6qXZ4CcfF9uPcOR6qPWl9hhklUlvc7RJxh2sBwmDd4goQxgJGiIa9ZRJwmbZwqStDqb8ln53zOOswlJi83d/A==" saltValue="5EPqEaHFM89mo7+BEa09M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jp/069ROC4Xr7qgrcdqT+cFv60VBxCtDPkjHRaBTf8DGcpSO3ydFIi3geMPeCFmUkSX8JiK7t7XHGmehBsv/sA==" saltValue="gAHbrwJR/Hj6dF4OEa81r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Mcz72Cdim8JQ9dxy9tzxXqthDCGehIiyFSAk5dapJkv1ZVTjg8cxy46wMy5+COhLFfnxsRqmgRccprvLAry79Q==" saltValue="PwfzYeif4HwxttDnwW8E3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5.2668836507008754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0.56149571024496792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0.10284547803181469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0.23003335421429147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17.30460856515991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17.30460856515991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17.30460856515991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17.30460856515991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17.30460856515991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17.30460856515991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0.59670389999999995</v>
      </c>
      <c r="C16" s="98">
        <v>0.95</v>
      </c>
      <c r="D16" s="56">
        <v>2.8407188685968858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0.27800000000000002</v>
      </c>
      <c r="C18" s="98">
        <v>0.95</v>
      </c>
      <c r="D18" s="56">
        <v>5.2668836507008754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0.3043807</v>
      </c>
      <c r="C19" s="98">
        <v>0.95</v>
      </c>
      <c r="D19" s="56">
        <v>7.2861200073283072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2.1939130069251829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5.2668836507008754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0.60746149999999999</v>
      </c>
      <c r="C23" s="98">
        <v>0.95</v>
      </c>
      <c r="D23" s="56">
        <v>5.6236363581689766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0.35289840412538298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3.8681355531509101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0.2339136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9.1486800000000007E-2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44.783843336315748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0.17560000000000001</v>
      </c>
      <c r="C31" s="98">
        <v>0.95</v>
      </c>
      <c r="D31" s="56">
        <v>126.62714253872848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0.46</v>
      </c>
      <c r="C32" s="98">
        <v>0.95</v>
      </c>
      <c r="D32" s="56">
        <v>0.46210405728622134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0.22176409999999999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0.46673049999999999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3.8961999999999998E-3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0.13799710000000001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0.12971460000000001</v>
      </c>
      <c r="C38" s="98">
        <v>0.95</v>
      </c>
      <c r="D38" s="56">
        <v>4.0706758054007581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/R2EPyice2ezsYKHsApVoWTYSYmRjyF+LUGEJvZ5dsdAZ7lJXf4kSXWnRnrmp8vsZmofIWgTdZEEOEHyOt/wPA==" saltValue="j730miVGmwCxTRsOhb4v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IcUTGVYlAOF4ylQazW9iyAJnmXmyPfNwcnMaRmJcfhbZ68VjMKdPdoR6gh4ITkpmrKwO69WDr+bzR/N8XbA1Ug==" saltValue="OhWE0JzdUs5k8sPeStMU5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JFh8ZfCmORN9GXnnfR75l8tAn3a2tblwFLLIankLjZjyHYt0Pcos/G1lVM7HNgK9ztmAaFVDwMiOU0wiJm7w0g==" saltValue="u+7DNU981Ggmoy5ernaV8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0.10848266000000001</v>
      </c>
      <c r="C3" s="21">
        <f>frac_mam_1_5months * 2.6</f>
        <v>0.10848266000000001</v>
      </c>
      <c r="D3" s="21">
        <f>frac_mam_6_11months * 2.6</f>
        <v>0.18525468</v>
      </c>
      <c r="E3" s="21">
        <f>frac_mam_12_23months * 2.6</f>
        <v>0.13992888000000001</v>
      </c>
      <c r="F3" s="21">
        <f>frac_mam_24_59months * 2.6</f>
        <v>7.3819460000000003E-2</v>
      </c>
    </row>
    <row r="4" spans="1:6" ht="15.75" customHeight="1" x14ac:dyDescent="0.25">
      <c r="A4" s="3" t="s">
        <v>236</v>
      </c>
      <c r="B4" s="21">
        <f>frac_sam_1month * 2.6</f>
        <v>8.2176900000000011E-2</v>
      </c>
      <c r="C4" s="21">
        <f>frac_sam_1_5months * 2.6</f>
        <v>8.2176900000000011E-2</v>
      </c>
      <c r="D4" s="21">
        <f>frac_sam_6_11months * 2.6</f>
        <v>4.8562280000000006E-2</v>
      </c>
      <c r="E4" s="21">
        <f>frac_sam_12_23months * 2.6</f>
        <v>5.4622880000000006E-2</v>
      </c>
      <c r="F4" s="21">
        <f>frac_sam_24_59months * 2.6</f>
        <v>2.615106E-2</v>
      </c>
    </row>
  </sheetData>
  <sheetProtection algorithmName="SHA-512" hashValue="qaWNG14ycEtTcPdAzohlgR6r61+PDFD0/tnLY/tgjtl6DrU+2grj0TNitttxHA1yKVrfrywIKaG7v0zF13xY+w==" saltValue="3T0zG5zUM/TwKflW+MC7F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0.81299999999999994</v>
      </c>
      <c r="F2" s="60">
        <f>food_insecure</f>
        <v>0.81299999999999994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0.81299999999999994</v>
      </c>
      <c r="F5" s="60">
        <f>food_insecure</f>
        <v>0.81299999999999994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0.81299999999999994</v>
      </c>
      <c r="F8" s="60">
        <f>food_insecure</f>
        <v>0.81299999999999994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0.81299999999999994</v>
      </c>
      <c r="F9" s="60">
        <f>food_insecure</f>
        <v>0.81299999999999994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0.81299999999999994</v>
      </c>
      <c r="I15" s="60">
        <f t="shared" si="0"/>
        <v>0.81299999999999994</v>
      </c>
      <c r="J15" s="60">
        <f t="shared" si="0"/>
        <v>0.81299999999999994</v>
      </c>
      <c r="K15" s="60">
        <f t="shared" si="0"/>
        <v>0.81299999999999994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0.81299999999999994</v>
      </c>
      <c r="I16" s="60">
        <f t="shared" si="0"/>
        <v>0.81299999999999994</v>
      </c>
      <c r="J16" s="60">
        <f t="shared" si="0"/>
        <v>0.81299999999999994</v>
      </c>
      <c r="K16" s="60">
        <f t="shared" si="0"/>
        <v>0.81299999999999994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0.71299999999999997</v>
      </c>
      <c r="M24" s="60">
        <f>famplan_unmet_need</f>
        <v>0.71299999999999997</v>
      </c>
      <c r="N24" s="60">
        <f>famplan_unmet_need</f>
        <v>0.71299999999999997</v>
      </c>
      <c r="O24" s="60">
        <f>famplan_unmet_need</f>
        <v>0.71299999999999997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0.5965825654389999</v>
      </c>
      <c r="M25" s="60">
        <f>(1-food_insecure)*(0.49)+food_insecure*(0.7)</f>
        <v>0.66072999999999993</v>
      </c>
      <c r="N25" s="60">
        <f>(1-food_insecure)*(0.49)+food_insecure*(0.7)</f>
        <v>0.66072999999999993</v>
      </c>
      <c r="O25" s="60">
        <f>(1-food_insecure)*(0.49)+food_insecure*(0.7)</f>
        <v>0.66072999999999993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0.25567824233100001</v>
      </c>
      <c r="M26" s="60">
        <f>(1-food_insecure)*(0.21)+food_insecure*(0.3)</f>
        <v>0.28316999999999998</v>
      </c>
      <c r="N26" s="60">
        <f>(1-food_insecure)*(0.21)+food_insecure*(0.3)</f>
        <v>0.28316999999999998</v>
      </c>
      <c r="O26" s="60">
        <f>(1-food_insecure)*(0.21)+food_insecure*(0.3)</f>
        <v>0.28316999999999998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5.0653492230000013E-2</v>
      </c>
      <c r="M27" s="60">
        <f>(1-food_insecure)*(0.3)</f>
        <v>5.6100000000000018E-2</v>
      </c>
      <c r="N27" s="60">
        <f>(1-food_insecure)*(0.3)</f>
        <v>5.6100000000000018E-2</v>
      </c>
      <c r="O27" s="60">
        <f>(1-food_insecure)*(0.3)</f>
        <v>5.6100000000000018E-2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9.7085699999999997E-2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0.99900000000000011</v>
      </c>
      <c r="D34" s="60">
        <f t="shared" si="4"/>
        <v>0.99900000000000011</v>
      </c>
      <c r="E34" s="60">
        <f t="shared" si="4"/>
        <v>0.99900000000000011</v>
      </c>
      <c r="F34" s="60">
        <f t="shared" si="4"/>
        <v>0.99900000000000011</v>
      </c>
      <c r="G34" s="60">
        <f t="shared" si="4"/>
        <v>0.99900000000000011</v>
      </c>
      <c r="H34" s="60">
        <f t="shared" si="4"/>
        <v>0.99900000000000011</v>
      </c>
      <c r="I34" s="60">
        <f t="shared" si="4"/>
        <v>0.99900000000000011</v>
      </c>
      <c r="J34" s="60">
        <f t="shared" si="4"/>
        <v>0.99900000000000011</v>
      </c>
      <c r="K34" s="60">
        <f t="shared" si="4"/>
        <v>0.99900000000000011</v>
      </c>
      <c r="L34" s="60">
        <f t="shared" si="4"/>
        <v>0.99900000000000011</v>
      </c>
      <c r="M34" s="60">
        <f t="shared" si="4"/>
        <v>0.99900000000000011</v>
      </c>
      <c r="N34" s="60">
        <f t="shared" si="4"/>
        <v>0.99900000000000011</v>
      </c>
      <c r="O34" s="60">
        <f t="shared" si="4"/>
        <v>0.99900000000000011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Xr5ptXcMSu7WUkcrw0eaBX2NWHRqaRniZZFLtAbibmhDtT+NRflwV8J4ZMD4nfrfE7RbkZIkLnCHoI4N8o16Q==" saltValue="kIUd47Z2EppQKCiR8G7T2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5+RI6PyGYZR8T+TOF/cpp7gZXjoTtSfmxG5NDuh8u555Eg5PR2lJ+6J1s+x9imkCx36k8uEhi9NYDasZrYrRMA==" saltValue="OYaOb5q8d4TgvsjWX7JHL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3L1cotGng60CssikhCDyNNTr1YQpqL6uNQytYe2HeHw8n1EcPROjrzmpefbpRPtGJi1bOPc8FwIN96YPdhFXQ==" saltValue="pNlDtEpDn7ZBoFhQCvKhB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cW647+/dvUyIchdqyWTZAyzX1B+P8tcnPoqX1HO2nSx7vsvQuSswcR6jnWL3i1C2z0tyMCqDYcv9uA8nS44Dg==" saltValue="mwlRGggSJh0q7QZTwQ0rX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f/lv5e7KWf9UsBBrDBQvxxoe90wPfpDPCjszE65/1Lbl3JscZLLmZikfErg47gdobfL6dML2LqMzfaCMnHOdew==" saltValue="5kQsDE4Mo5MnJZBgEo3gO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zwwRtqFh3QB3bR9tw3ykJONtPnhZtaNSxT87CmaFs1sUyklBmokFSaxG/gfvia+jJhrJJipjmP25app9o0xJig==" saltValue="4TRO3twj3jxamAWrBW5hJ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tCckM143+6IbnTlWK07XoDR3APi/kWVA7y66Wh9bw5xgrNVmB9l5K4EP7E1zu1I3qMGwSz5r9roP8pO/FVL0g==" saltValue="DsMLBepYRFE4EiXB6WQ2S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c3yK8y26IMyola+n0n6rTWYtNdlxRdlJ0rpIRYZjPScEjVA9jIOhiZbgb6TCbT9op9idDh4ZJFcrX5DkSTDn8g==" saltValue="+sqRlCAjInqxvVxmZTIc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IwfTABFkvjdVsAfkhkMeWE+AoI4cgtOgyNBCFKnthOhno76i+ZWScL1YLYOJm2gh3QssQIgKJUsxDf1ksYIhAw==" saltValue="ZsLZXwp1pa5bCxok8GdY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uG0ttkVYQvlE+MgZzObsAehJgBpTvVRQfpr7YSQtUbnvGtIFCpVOdRllgeR4MS27GIywhqaFtqHmtyhR2+WiA==" saltValue="nKLjvoPvDWbi5u1wiOCM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oyUqedHWL7LtNZxfkq6Ti2yIxOxKRPWXoc9YMGAWvzpATaR2Md60X2sGTADhyZDkiuec0spQivtGufekdykpA==" saltValue="YoAXXtbUna91Ze1Bs/5D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6tZIvms9Yka65h4HocmafKJ4Z+0HVuMn17KWzKYRVKN04y6EFS0cHPBl50xQTyExKzTNasDwUVAMX0aUX1Etg==" saltValue="YJT4Xn7eqBow2tNg3ggE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+a1idyreTjA7R7AKA8wSklyIFJivFTV6PhnN0rNKFIZ7wc61e3bPFDzQz+zDTA/OtuTbRFImsciZpb1/3TJwPQ==" saltValue="0SGEW/kC05urvSx4Zstsg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uB9d0nZTKn76prQmyGPUW19gDk09DHD4U74w9bUXbfvRGbSeTqJrRUoNYI6kV8Lpqx1joE0z+mUR/1mKrOUqww==" saltValue="mzsi6CCPgSS5AWtb7nQZ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OfpEkfRIvbXIa2HgVHluod8C29taEU/HWPndzHiU4Hv8Kyoz11TA1EYfUuQiqL7jxPmkovCtNw4CWLTucExWA==" saltValue="xGYJMNZnqVbYFDoyHc9Bq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2025-07-04T00:52:24Z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