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Modeling\Nutrition\inputs\es\LiST countries\"/>
    </mc:Choice>
  </mc:AlternateContent>
  <xr:revisionPtr revIDLastSave="0" documentId="8_{3DC16C13-10E0-4E4C-AEA7-19DC5C74E238}" xr6:coauthVersionLast="47" xr6:coauthVersionMax="47" xr10:uidLastSave="{00000000-0000-0000-0000-000000000000}"/>
  <bookViews>
    <workbookView xWindow="20" yWindow="20" windowWidth="19180" windowHeight="10180" tabRatio="961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Pérdida económica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iesgos desenlace de nacimiento" sheetId="21" state="hidden" r:id="rId21"/>
    <sheet name="Riesgos relativos" sheetId="22" state="hidden" r:id="rId22"/>
    <sheet name="Razón de momios" sheetId="23" state="hidden" r:id="rId23"/>
    <sheet name="Resultados de nacimiento- prog" sheetId="24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G25" i="28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H130" i="27"/>
  <c r="G130" i="27"/>
  <c r="F130" i="27"/>
  <c r="E130" i="27"/>
  <c r="D130" i="27"/>
  <c r="E129" i="27"/>
  <c r="D129" i="27"/>
  <c r="H128" i="27"/>
  <c r="G128" i="27"/>
  <c r="F128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E112" i="27"/>
  <c r="D112" i="27"/>
  <c r="H97" i="27"/>
  <c r="H152" i="27" s="1"/>
  <c r="G97" i="27"/>
  <c r="G152" i="27" s="1"/>
  <c r="F97" i="27"/>
  <c r="F152" i="27" s="1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H75" i="27"/>
  <c r="G75" i="27"/>
  <c r="F75" i="27"/>
  <c r="E75" i="27"/>
  <c r="D75" i="27"/>
  <c r="E74" i="27"/>
  <c r="D74" i="27"/>
  <c r="H73" i="27"/>
  <c r="G73" i="27"/>
  <c r="F73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H112" i="27" s="1"/>
  <c r="G57" i="27"/>
  <c r="G112" i="27" s="1"/>
  <c r="F57" i="27"/>
  <c r="F112" i="27" s="1"/>
  <c r="E57" i="27"/>
  <c r="D57" i="27"/>
  <c r="H20" i="27"/>
  <c r="G20" i="27"/>
  <c r="F20" i="27"/>
  <c r="H18" i="27"/>
  <c r="G18" i="27"/>
  <c r="F18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49" i="23"/>
  <c r="F49" i="23"/>
  <c r="E49" i="23"/>
  <c r="D49" i="23"/>
  <c r="C44" i="23"/>
  <c r="G40" i="23"/>
  <c r="F40" i="23"/>
  <c r="E40" i="23"/>
  <c r="D40" i="23"/>
  <c r="C40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F120" i="20" s="1"/>
  <c r="E67" i="20"/>
  <c r="E120" i="20" s="1"/>
  <c r="D67" i="20"/>
  <c r="D120" i="20" s="1"/>
  <c r="H66" i="20"/>
  <c r="G66" i="20"/>
  <c r="G119" i="20" s="1"/>
  <c r="F66" i="20"/>
  <c r="F119" i="20" s="1"/>
  <c r="E66" i="20"/>
  <c r="E119" i="20" s="1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G117" i="20" s="1"/>
  <c r="E64" i="20"/>
  <c r="E117" i="20" s="1"/>
  <c r="D64" i="20"/>
  <c r="D117" i="20" s="1"/>
  <c r="H63" i="20"/>
  <c r="G63" i="20"/>
  <c r="G116" i="20" s="1"/>
  <c r="F63" i="20"/>
  <c r="F116" i="20" s="1"/>
  <c r="E63" i="20"/>
  <c r="E116" i="20" s="1"/>
  <c r="D63" i="20"/>
  <c r="D116" i="20" s="1"/>
  <c r="H62" i="20"/>
  <c r="G62" i="20"/>
  <c r="G115" i="20" s="1"/>
  <c r="F62" i="20"/>
  <c r="F115" i="20" s="1"/>
  <c r="D62" i="20"/>
  <c r="D115" i="20" s="1"/>
  <c r="H61" i="20"/>
  <c r="G61" i="20"/>
  <c r="G114" i="20" s="1"/>
  <c r="F61" i="20"/>
  <c r="F114" i="20" s="1"/>
  <c r="D61" i="20"/>
  <c r="D114" i="20" s="1"/>
  <c r="H60" i="20"/>
  <c r="G60" i="20"/>
  <c r="G113" i="20" s="1"/>
  <c r="F60" i="20"/>
  <c r="F113" i="20" s="1"/>
  <c r="E60" i="20"/>
  <c r="E113" i="20" s="1"/>
  <c r="D60" i="20"/>
  <c r="D113" i="20" s="1"/>
  <c r="H59" i="20"/>
  <c r="G59" i="20"/>
  <c r="G112" i="20" s="1"/>
  <c r="F59" i="20"/>
  <c r="F112" i="20" s="1"/>
  <c r="E59" i="20"/>
  <c r="E112" i="20" s="1"/>
  <c r="H58" i="20"/>
  <c r="G58" i="20"/>
  <c r="G111" i="20" s="1"/>
  <c r="F58" i="20"/>
  <c r="F111" i="20" s="1"/>
  <c r="E58" i="20"/>
  <c r="E111" i="20" s="1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I39" i="2" s="1"/>
  <c r="G39" i="2"/>
  <c r="H38" i="2"/>
  <c r="G38" i="2"/>
  <c r="I38" i="2" s="1"/>
  <c r="A37" i="2"/>
  <c r="A26" i="2"/>
  <c r="A23" i="2"/>
  <c r="A21" i="2"/>
  <c r="H13" i="2"/>
  <c r="I13" i="2" s="1"/>
  <c r="G13" i="2"/>
  <c r="H12" i="2"/>
  <c r="G12" i="2"/>
  <c r="I12" i="2" s="1"/>
  <c r="H11" i="2"/>
  <c r="I11" i="2" s="1"/>
  <c r="G11" i="2"/>
  <c r="H10" i="2"/>
  <c r="G10" i="2"/>
  <c r="I10" i="2" s="1"/>
  <c r="H9" i="2"/>
  <c r="I9" i="2" s="1"/>
  <c r="G9" i="2"/>
  <c r="H8" i="2"/>
  <c r="G8" i="2"/>
  <c r="I8" i="2" s="1"/>
  <c r="H7" i="2"/>
  <c r="I7" i="2" s="1"/>
  <c r="G7" i="2"/>
  <c r="H6" i="2"/>
  <c r="G6" i="2"/>
  <c r="I6" i="2" s="1"/>
  <c r="H5" i="2"/>
  <c r="I5" i="2" s="1"/>
  <c r="G5" i="2"/>
  <c r="H4" i="2"/>
  <c r="G4" i="2"/>
  <c r="I4" i="2" s="1"/>
  <c r="H3" i="2"/>
  <c r="I3" i="2" s="1"/>
  <c r="G3" i="2"/>
  <c r="H2" i="2"/>
  <c r="G2" i="2"/>
  <c r="I2" i="2" s="1"/>
  <c r="A2" i="2"/>
  <c r="A40" i="2" s="1"/>
  <c r="C33" i="1"/>
  <c r="C20" i="1"/>
  <c r="A3" i="2" l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4" i="2"/>
  <c r="I40" i="2"/>
  <c r="A28" i="2"/>
  <c r="A39" i="2"/>
  <c r="A29" i="2"/>
  <c r="A15" i="2"/>
  <c r="A31" i="2"/>
  <c r="A20" i="2"/>
  <c r="A36" i="2"/>
  <c r="A16" i="2"/>
  <c r="A24" i="2"/>
  <c r="A32" i="2"/>
  <c r="A17" i="2"/>
  <c r="A25" i="2"/>
  <c r="A33" i="2"/>
  <c r="A19" i="2"/>
  <c r="A27" i="2"/>
  <c r="A35" i="2"/>
  <c r="A14" i="2"/>
  <c r="A22" i="2"/>
  <c r="A30" i="2"/>
  <c r="A3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00000000-0006-0000-1600-000001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B6" authorId="0" shapeId="0" xr:uid="{00000000-0006-0000-1600-000002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4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5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6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9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A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0" shapeId="0" xr:uid="{00000000-0006-0000-1600-00000B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D12" authorId="1" shapeId="0" xr:uid="{00000000-0006-0000-1600-00000C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C15" authorId="0" shapeId="0" xr:uid="{00000000-0006-0000-1600-00000D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16" authorId="0" shapeId="0" xr:uid="{00000000-0006-0000-1600-00000E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27" authorId="0" shapeId="0" xr:uid="{00000000-0006-0000-1600-00000F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28" authorId="1" shapeId="0" xr:uid="{00000000-0006-0000-1600-000010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1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12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13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4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5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5" authorId="0" shapeId="0" xr:uid="{00000000-0006-0000-1600-000016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A37" authorId="1" shapeId="0" xr:uid="{00000000-0006-0000-1600-000017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8" authorId="0" shapeId="0" xr:uid="{00000000-0006-0000-1600-000018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39" authorId="0" shapeId="0" xr:uid="{00000000-0006-0000-1600-000019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B44" authorId="1" shapeId="0" xr:uid="{00000000-0006-0000-1600-00001A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50" authorId="0" shapeId="0" xr:uid="{00000000-0006-0000-1600-00001B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51" authorId="1" shapeId="0" xr:uid="{00000000-0006-0000-1600-00001C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2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C58" authorId="0" shapeId="0" xr:uid="{00000000-0006-0000-1600-000021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C61" authorId="0" shapeId="0" xr:uid="{00000000-0006-0000-1600-000022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62" authorId="0" shapeId="0" xr:uid="{00000000-0006-0000-1600-000023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4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5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4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8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9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A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B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18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18" authorId="0" shapeId="0" xr:uid="{00000000-0006-0000-1800-00002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18" authorId="0" shapeId="0" xr:uid="{00000000-0006-0000-1800-00002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18" authorId="0" shapeId="0" xr:uid="{00000000-0006-0000-1800-00003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18" authorId="0" shapeId="0" xr:uid="{00000000-0006-0000-1800-00003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18" authorId="0" shapeId="0" xr:uid="{00000000-0006-0000-1800-00003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18" authorId="0" shapeId="0" xr:uid="{00000000-0006-0000-1800-00003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18" authorId="0" shapeId="0" xr:uid="{00000000-0006-0000-1800-00003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18" authorId="0" shapeId="0" xr:uid="{00000000-0006-0000-1800-000035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18" authorId="0" shapeId="0" xr:uid="{00000000-0006-0000-1800-000036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19" authorId="0" shapeId="0" xr:uid="{00000000-0006-0000-1800-000037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38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20" authorId="0" shapeId="0" xr:uid="{00000000-0006-0000-1800-000039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20" authorId="0" shapeId="0" xr:uid="{00000000-0006-0000-1800-00003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20" authorId="0" shapeId="0" xr:uid="{00000000-0006-0000-1800-00003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20" authorId="0" shapeId="0" xr:uid="{00000000-0006-0000-1800-00003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20" authorId="0" shapeId="0" xr:uid="{00000000-0006-0000-1800-00003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20" authorId="0" shapeId="0" xr:uid="{00000000-0006-0000-1800-00003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20" authorId="0" shapeId="0" xr:uid="{00000000-0006-0000-1800-00003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20" authorId="0" shapeId="0" xr:uid="{00000000-0006-0000-1800-00004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20" authorId="0" shapeId="0" xr:uid="{00000000-0006-0000-1800-00004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20" authorId="0" shapeId="0" xr:uid="{00000000-0006-0000-1800-00004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1" authorId="0" shapeId="0" xr:uid="{00000000-0006-0000-1800-00004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44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5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6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7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27" authorId="0" shapeId="0" xr:uid="{00000000-0006-0000-1800-00004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4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4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4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50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5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5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5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54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55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56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57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5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6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66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67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6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2" authorId="0" shapeId="0" xr:uid="{00000000-0006-0000-1800-00006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3" authorId="0" shapeId="0" xr:uid="{00000000-0006-0000-1800-00006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6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6E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F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70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50" authorId="0" shapeId="0" xr:uid="{00000000-0006-0000-1800-00007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8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8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8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8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8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8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8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89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8A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8B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8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8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9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A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9B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9C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9D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E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5" authorId="0" shapeId="0" xr:uid="{00000000-0006-0000-1800-0000A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6" authorId="0" shapeId="0" xr:uid="{00000000-0006-0000-1800-0000A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A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1" shapeId="0" xr:uid="{00000000-0006-0000-1A00-000013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20" authorId="1" shapeId="0" xr:uid="{00000000-0006-0000-1A00-000014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22" authorId="0" shapeId="0" xr:uid="{00000000-0006-0000-1A00-000015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6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7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8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9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A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B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C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1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6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C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40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4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8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1" shapeId="0" xr:uid="{00000000-0006-0000-1A00-000049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A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C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D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4E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4F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0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1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2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7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C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D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70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71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4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5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8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9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1" shapeId="0" xr:uid="{00000000-0006-0000-1A00-00007A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B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C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D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7F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0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1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2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3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8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D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2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7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8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2" authorId="0" shapeId="0" xr:uid="{00000000-0006-0000-1B00-000001000000}">
      <text>
        <r>
          <rPr>
            <sz val="10"/>
            <color rgb="FF000000"/>
            <rFont val="Arial"/>
          </rPr>
          <t>Nick Scott:
Note: Ca supplementation impacts preterm birth, not curretly captured in the model Hofmeyr et al 2023, RR 0.76 (0.60-0.97), all women</t>
        </r>
      </text>
    </comment>
    <comment ref="D3" authorId="1" shapeId="0" xr:uid="{00000000-0006-0000-1B00-000002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E3" authorId="1" shapeId="0" xr:uid="{00000000-0006-0000-1B00-000003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F3" authorId="1" shapeId="0" xr:uid="{00000000-0006-0000-1B00-000004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G3" authorId="1" shapeId="0" xr:uid="{00000000-0006-0000-1B00-000005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D5" authorId="1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1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1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1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1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1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1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1" shapeId="0" xr:uid="{00000000-0006-0000-1B00-00000D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1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1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1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1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1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1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1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1" shapeId="0" xr:uid="{00000000-0006-0000-1B00-000015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<sst xmlns="http://schemas.openxmlformats.org/spreadsheetml/2006/main" count="2101" uniqueCount="341">
  <si>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</si>
  <si>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</si>
  <si>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</si>
  <si>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</si>
  <si>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</si>
  <si>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</si>
  <si>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</si>
  <si>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</si>
  <si>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</si>
  <si>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</si>
  <si>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</si>
  <si>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</si>
  <si>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</si>
  <si>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</si>
  <si>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</si>
  <si>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</si>
  <si>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</si>
  <si>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</si>
  <si>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</si>
  <si>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</si>
  <si>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</si>
  <si>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</si>
  <si>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</si>
  <si>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</si>
  <si>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</si>
  <si>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</si>
  <si>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</si>
  <si>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</si>
  <si>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</si>
  <si>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</si>
  <si>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</si>
  <si>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</si>
  <si>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</si>
  <si>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</si>
  <si>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</si>
  <si>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</si>
  <si>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</si>
  <si>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</si>
  <si>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</si>
  <si>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</si>
  <si>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</si>
  <si>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</si>
  <si>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</si>
  <si>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</si>
  <si>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</si>
  <si>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</si>
  <si>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</si>
  <si>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</si>
  <si>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</si>
  <si>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</si>
  <si>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</si>
  <si>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</si>
  <si>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</si>
  <si>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</si>
  <si>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</si>
  <si>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</si>
  <si>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</si>
  <si>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</si>
  <si>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</si>
  <si>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</si>
  <si>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</si>
  <si>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</si>
  <si>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</si>
  <si>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</si>
  <si>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</si>
  <si>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</si>
  <si>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</si>
  <si>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</si>
  <si>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</si>
  <si>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</si>
  <si>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</si>
  <si>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</si>
  <si>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</si>
  <si>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</si>
  <si>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</si>
  <si>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</si>
  <si>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</si>
  <si>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</si>
  <si>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</si>
  <si>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</si>
  <si>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</si>
  <si>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</si>
  <si>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</si>
  <si>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</si>
  <si>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</si>
  <si>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</si>
  <si>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</si>
  <si>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</si>
  <si>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</si>
  <si>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</si>
  <si>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</si>
  <si>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</si>
  <si>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</si>
  <si>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</si>
  <si>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</si>
  <si>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</si>
  <si>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</si>
  <si>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</si>
  <si>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</si>
  <si>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</si>
  <si>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</si>
  <si>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</si>
  <si>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</si>
  <si>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</si>
  <si>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</si>
  <si>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</si>
  <si>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</si>
  <si>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</si>
  <si>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</si>
  <si>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</si>
  <si>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</si>
  <si>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</si>
  <si>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</si>
  <si>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</si>
  <si>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</si>
  <si>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</si>
  <si>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</si>
  <si>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</si>
  <si>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</si>
  <si>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</si>
  <si>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</si>
  <si>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</si>
  <si>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</si>
  <si>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</si>
  <si>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</si>
  <si>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</si>
  <si>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</si>
  <si>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</si>
  <si>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</si>
  <si>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</si>
  <si>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</si>
  <si>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</si>
  <si>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</si>
  <si>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</si>
  <si>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</si>
  <si>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</si>
  <si>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</si>
  <si>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</si>
  <si>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</si>
  <si>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</si>
  <si>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Niño anémico (por año)</t>
  </si>
  <si>
    <t>Mujer embarazada anémica (por embarazo)</t>
  </si>
  <si>
    <t>Muerte del niño</t>
  </si>
  <si>
    <t>Niño que cumple 5 años con retraso en el crecimiento (a lo largo de su vida)</t>
  </si>
  <si>
    <t>Episodio de emaciación infantil</t>
  </si>
  <si>
    <t>Costo</t>
  </si>
  <si>
    <t>Muerte materna</t>
  </si>
  <si>
    <t>Tipo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</si>
  <si>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</si>
  <si>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</si>
  <si>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</si>
  <si>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</si>
  <si>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</si>
  <si>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</si>
  <si>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</si>
  <si>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</si>
  <si>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</si>
  <si>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</si>
  <si>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</si>
  <si>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</si>
  <si>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</si>
  <si>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</si>
  <si>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</si>
  <si>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</si>
  <si>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</si>
  <si>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</si>
  <si>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</si>
  <si>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</si>
  <si>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</si>
  <si>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</si>
  <si>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</si>
  <si>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</si>
  <si>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</si>
  <si>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</si>
  <si>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</si>
  <si>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</si>
  <si>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</si>
  <si>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</si>
  <si>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</si>
  <si>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</si>
  <si>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</si>
  <si>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</si>
  <si>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</si>
  <si>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</si>
  <si>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</si>
  <si>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</si>
  <si>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</si>
  <si>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</si>
  <si>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</si>
  <si>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</si>
  <si>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</si>
  <si>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</si>
  <si>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</si>
  <si>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</si>
  <si>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</si>
  <si>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</si>
  <si>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</si>
  <si>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</si>
  <si>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</si>
  <si>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</si>
  <si>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</si>
  <si>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</si>
  <si>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</si>
  <si>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</si>
  <si>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</si>
  <si>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</si>
  <si>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</si>
  <si>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</si>
  <si>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</si>
  <si>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</si>
  <si>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</si>
  <si>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</si>
  <si>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</si>
  <si>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</si>
  <si>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</si>
  <si>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</si>
  <si>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</si>
  <si>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</si>
  <si>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</si>
  <si>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</si>
  <si>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</si>
  <si>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</si>
  <si>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</si>
  <si>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</si>
  <si>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</si>
  <si>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</si>
  <si>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</si>
  <si>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</si>
  <si>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</si>
  <si>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</si>
  <si>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</si>
  <si>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</si>
  <si>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</si>
  <si>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</si>
  <si>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</si>
  <si>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</si>
  <si>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</si>
  <si>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</si>
  <si>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</si>
  <si>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</si>
  <si>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</si>
  <si>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</si>
  <si>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</si>
  <si>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</si>
  <si>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</si>
  <si>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</si>
  <si>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</si>
  <si>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</si>
  <si>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</si>
  <si>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</si>
  <si>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</si>
  <si>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</si>
  <si>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</si>
  <si>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</si>
  <si>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</si>
  <si>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</si>
  <si>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</si>
  <si>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</si>
  <si>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</si>
  <si>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</si>
  <si>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</si>
  <si>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</si>
  <si>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</si>
  <si>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</si>
  <si>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</si>
  <si>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</si>
  <si>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</si>
  <si>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</si>
  <si>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</si>
  <si>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</si>
  <si>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</si>
  <si>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</si>
  <si>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</si>
  <si>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</si>
  <si>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</si>
  <si>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</si>
  <si>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</si>
  <si>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</si>
  <si>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</si>
  <si>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</si>
  <si>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</si>
  <si>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</si>
  <si>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Emaciación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</si>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</sst>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abSelected="1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19</v>
      </c>
      <c r="B1" s="29" t="s">
        <v>0</v>
      </c>
      <c r="C1" s="29" t="s">
        <v>24</v>
      </c>
    </row>
    <row r="2" spans="1:3" ht="15.9" customHeight="1" x14ac:dyDescent="0.3">
      <c r="A2" s="8" t="s">
        <v>55</v>
      </c>
      <c r="B2" s="29"/>
      <c r="C2" s="29"/>
    </row>
    <row r="3" spans="1:3" ht="15.9" customHeight="1" x14ac:dyDescent="0.3">
      <c r="A3" s="1"/>
      <c r="B3" s="5" t="s">
        <v>18</v>
      </c>
      <c r="C3" s="41">
        <v>2024</v>
      </c>
    </row>
    <row r="4" spans="1:3" ht="15.9" customHeight="1" x14ac:dyDescent="0.3">
      <c r="A4" s="1"/>
      <c r="B4" s="5" t="s">
        <v>26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50</v>
      </c>
    </row>
    <row r="7" spans="1:3" ht="15" customHeight="1" x14ac:dyDescent="0.25">
      <c r="B7" s="11" t="s">
        <v>23</v>
      </c>
      <c r="C7" s="43">
        <v>1104076.8046875</v>
      </c>
    </row>
    <row r="8" spans="1:3" ht="15" customHeight="1" x14ac:dyDescent="0.25">
      <c r="B8" s="5" t="s">
        <v>44</v>
      </c>
      <c r="C8" s="44">
        <v>0.66299999999999992</v>
      </c>
    </row>
    <row r="9" spans="1:3" ht="15" customHeight="1" x14ac:dyDescent="0.25">
      <c r="B9" s="5" t="s">
        <v>43</v>
      </c>
      <c r="C9" s="45">
        <v>0.99900000000000011</v>
      </c>
    </row>
    <row r="10" spans="1:3" ht="15" customHeight="1" x14ac:dyDescent="0.25">
      <c r="B10" s="5" t="s">
        <v>56</v>
      </c>
      <c r="C10" s="45">
        <v>9.845620155334471E-2</v>
      </c>
    </row>
    <row r="11" spans="1:3" ht="15" customHeight="1" x14ac:dyDescent="0.25">
      <c r="B11" s="5" t="s">
        <v>49</v>
      </c>
      <c r="C11" s="45">
        <v>1</v>
      </c>
    </row>
    <row r="12" spans="1:3" ht="15" customHeight="1" x14ac:dyDescent="0.25">
      <c r="B12" s="5" t="s">
        <v>41</v>
      </c>
      <c r="C12" s="45">
        <v>1</v>
      </c>
    </row>
    <row r="13" spans="1:3" ht="15" customHeight="1" x14ac:dyDescent="0.25">
      <c r="B13" s="5" t="s">
        <v>62</v>
      </c>
      <c r="C13" s="45">
        <v>0.71299999999999997</v>
      </c>
    </row>
    <row r="14" spans="1:3" ht="15" customHeight="1" x14ac:dyDescent="0.25">
      <c r="B14" s="8"/>
    </row>
    <row r="15" spans="1:3" ht="15" customHeight="1" x14ac:dyDescent="0.3">
      <c r="A15" s="8" t="s">
        <v>28</v>
      </c>
      <c r="B15" s="14"/>
      <c r="C15" s="3"/>
    </row>
    <row r="16" spans="1:3" ht="15" customHeight="1" x14ac:dyDescent="0.25">
      <c r="B16" s="5" t="s">
        <v>33</v>
      </c>
      <c r="C16" s="45">
        <v>0.1</v>
      </c>
    </row>
    <row r="17" spans="1:3" ht="15" customHeight="1" x14ac:dyDescent="0.25">
      <c r="B17" s="5" t="s">
        <v>30</v>
      </c>
      <c r="C17" s="45">
        <v>0.01</v>
      </c>
    </row>
    <row r="18" spans="1:3" ht="15" customHeight="1" x14ac:dyDescent="0.25">
      <c r="B18" s="5" t="s">
        <v>31</v>
      </c>
      <c r="C18" s="45">
        <v>0.98</v>
      </c>
    </row>
    <row r="19" spans="1:3" ht="15" customHeight="1" x14ac:dyDescent="0.25">
      <c r="B19" s="5" t="s">
        <v>29</v>
      </c>
      <c r="C19" s="45">
        <v>0.01</v>
      </c>
    </row>
    <row r="20" spans="1:3" ht="15" customHeight="1" x14ac:dyDescent="0.25">
      <c r="B20" s="5" t="s">
        <v>34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12</v>
      </c>
    </row>
    <row r="23" spans="1:3" ht="15" customHeight="1" x14ac:dyDescent="0.25">
      <c r="B23" s="15" t="s">
        <v>45</v>
      </c>
      <c r="C23" s="45">
        <v>0.10979999999999999</v>
      </c>
    </row>
    <row r="24" spans="1:3" ht="15" customHeight="1" x14ac:dyDescent="0.25">
      <c r="B24" s="15" t="s">
        <v>46</v>
      </c>
      <c r="C24" s="45">
        <v>0.4572</v>
      </c>
    </row>
    <row r="25" spans="1:3" ht="15" customHeight="1" x14ac:dyDescent="0.25">
      <c r="B25" s="15" t="s">
        <v>47</v>
      </c>
      <c r="C25" s="45">
        <v>0.30830000000000002</v>
      </c>
    </row>
    <row r="26" spans="1:3" ht="15" customHeight="1" x14ac:dyDescent="0.25">
      <c r="B26" s="15" t="s">
        <v>48</v>
      </c>
      <c r="C26" s="45">
        <v>0.12470000000000001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22</v>
      </c>
      <c r="B28" s="15"/>
      <c r="C28" s="15"/>
    </row>
    <row r="29" spans="1:3" ht="14.25" customHeight="1" x14ac:dyDescent="0.25">
      <c r="B29" s="25" t="s">
        <v>27</v>
      </c>
      <c r="C29" s="45">
        <v>0.21836491512919801</v>
      </c>
    </row>
    <row r="30" spans="1:3" ht="14.25" customHeight="1" x14ac:dyDescent="0.25">
      <c r="B30" s="25" t="s">
        <v>63</v>
      </c>
      <c r="C30" s="99">
        <v>7.7568108542825601E-2</v>
      </c>
    </row>
    <row r="31" spans="1:3" ht="14.25" customHeight="1" x14ac:dyDescent="0.25">
      <c r="B31" s="25" t="s">
        <v>10</v>
      </c>
      <c r="C31" s="99">
        <v>0.12339958874324899</v>
      </c>
    </row>
    <row r="32" spans="1:3" ht="14.25" customHeight="1" x14ac:dyDescent="0.25">
      <c r="B32" s="25" t="s">
        <v>11</v>
      </c>
      <c r="C32" s="99">
        <v>0.58066738758472702</v>
      </c>
    </row>
    <row r="33" spans="1:5" ht="13" customHeight="1" x14ac:dyDescent="0.25">
      <c r="B33" s="27" t="s">
        <v>60</v>
      </c>
      <c r="C33" s="48">
        <f>SUM(C29:C32)</f>
        <v>0.99999999999999967</v>
      </c>
    </row>
    <row r="34" spans="1:5" ht="15" customHeight="1" x14ac:dyDescent="0.25"/>
    <row r="35" spans="1:5" ht="15" customHeight="1" x14ac:dyDescent="0.3">
      <c r="A35" s="4" t="s">
        <v>20</v>
      </c>
    </row>
    <row r="36" spans="1:5" ht="15" customHeight="1" x14ac:dyDescent="0.25">
      <c r="A36" s="8" t="s">
        <v>37</v>
      </c>
      <c r="B36" s="5"/>
    </row>
    <row r="37" spans="1:5" ht="15" customHeight="1" x14ac:dyDescent="0.25">
      <c r="B37" s="11" t="s">
        <v>38</v>
      </c>
      <c r="C37" s="43">
        <v>31.912410000000001</v>
      </c>
    </row>
    <row r="38" spans="1:5" ht="15" customHeight="1" x14ac:dyDescent="0.25">
      <c r="B38" s="11" t="s">
        <v>35</v>
      </c>
      <c r="C38" s="43">
        <v>75.422229999999999</v>
      </c>
      <c r="D38" s="12"/>
      <c r="E38" s="13"/>
    </row>
    <row r="39" spans="1:5" ht="15" customHeight="1" x14ac:dyDescent="0.25">
      <c r="B39" s="11" t="s">
        <v>61</v>
      </c>
      <c r="C39" s="43">
        <v>99.916079999999994</v>
      </c>
      <c r="D39" s="12"/>
      <c r="E39" s="12"/>
    </row>
    <row r="40" spans="1:5" ht="15" customHeight="1" x14ac:dyDescent="0.25">
      <c r="B40" s="11" t="s">
        <v>36</v>
      </c>
      <c r="C40" s="100">
        <v>8.35</v>
      </c>
    </row>
    <row r="41" spans="1:5" ht="15" customHeight="1" x14ac:dyDescent="0.25">
      <c r="B41" s="11" t="s">
        <v>32</v>
      </c>
      <c r="C41" s="45">
        <v>0.12</v>
      </c>
    </row>
    <row r="42" spans="1:5" ht="15" customHeight="1" x14ac:dyDescent="0.25">
      <c r="B42" s="11" t="s">
        <v>57</v>
      </c>
      <c r="C42" s="43">
        <v>26.277799999999999</v>
      </c>
    </row>
    <row r="43" spans="1:5" ht="15.75" customHeight="1" x14ac:dyDescent="0.25">
      <c r="D43" s="12"/>
    </row>
    <row r="44" spans="1:5" ht="15.75" customHeight="1" x14ac:dyDescent="0.25">
      <c r="A44" s="8" t="s">
        <v>21</v>
      </c>
      <c r="D44" s="12"/>
    </row>
    <row r="45" spans="1:5" ht="15.75" customHeight="1" x14ac:dyDescent="0.25">
      <c r="B45" s="11" t="s">
        <v>52</v>
      </c>
      <c r="C45" s="45">
        <v>7.9225000000000007E-3</v>
      </c>
      <c r="D45" s="12"/>
    </row>
    <row r="46" spans="1:5" ht="15.75" customHeight="1" x14ac:dyDescent="0.25">
      <c r="B46" s="11" t="s">
        <v>51</v>
      </c>
      <c r="C46" s="45">
        <v>8.512610000000001E-2</v>
      </c>
      <c r="D46" s="12"/>
    </row>
    <row r="47" spans="1:5" ht="15.75" customHeight="1" x14ac:dyDescent="0.25">
      <c r="B47" s="11" t="s">
        <v>59</v>
      </c>
      <c r="C47" s="45">
        <v>7.3466500000000004E-2</v>
      </c>
      <c r="D47" s="12"/>
      <c r="E47" s="13"/>
    </row>
    <row r="48" spans="1:5" ht="15" customHeight="1" x14ac:dyDescent="0.25">
      <c r="B48" s="11" t="s">
        <v>58</v>
      </c>
      <c r="C48" s="46">
        <v>0.83348489999999997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25</v>
      </c>
      <c r="D50" s="12"/>
    </row>
    <row r="51" spans="1:4" ht="15.75" customHeight="1" x14ac:dyDescent="0.25">
      <c r="B51" s="11" t="s">
        <v>17</v>
      </c>
      <c r="C51" s="100">
        <v>3.3</v>
      </c>
      <c r="D51" s="12"/>
    </row>
    <row r="52" spans="1:4" ht="15" customHeight="1" x14ac:dyDescent="0.25">
      <c r="B52" s="11" t="s">
        <v>13</v>
      </c>
      <c r="C52" s="100">
        <v>3.3</v>
      </c>
    </row>
    <row r="53" spans="1:4" ht="15.75" customHeight="1" x14ac:dyDescent="0.25">
      <c r="B53" s="11" t="s">
        <v>16</v>
      </c>
      <c r="C53" s="100">
        <v>3.3</v>
      </c>
    </row>
    <row r="54" spans="1:4" ht="15.75" customHeight="1" x14ac:dyDescent="0.25">
      <c r="B54" s="11" t="s">
        <v>14</v>
      </c>
      <c r="C54" s="100">
        <v>3.3</v>
      </c>
    </row>
    <row r="55" spans="1:4" ht="15.75" customHeight="1" x14ac:dyDescent="0.25">
      <c r="B55" s="11" t="s">
        <v>15</v>
      </c>
      <c r="C55" s="100">
        <v>3.3</v>
      </c>
    </row>
    <row r="57" spans="1:4" ht="15.75" customHeight="1" x14ac:dyDescent="0.25">
      <c r="A57" s="8" t="s">
        <v>39</v>
      </c>
    </row>
    <row r="58" spans="1:4" ht="15.75" customHeight="1" x14ac:dyDescent="0.25">
      <c r="B58" s="5" t="s">
        <v>42</v>
      </c>
      <c r="C58" s="45">
        <v>2.181818181818182E-2</v>
      </c>
    </row>
    <row r="59" spans="1:4" ht="15.75" customHeight="1" x14ac:dyDescent="0.25">
      <c r="B59" s="11" t="s">
        <v>40</v>
      </c>
      <c r="C59" s="45">
        <v>0.44318700000000011</v>
      </c>
    </row>
    <row r="60" spans="1:4" ht="15.75" customHeight="1" x14ac:dyDescent="0.25">
      <c r="B60" s="11" t="s">
        <v>54</v>
      </c>
      <c r="C60" s="45">
        <v>4.5999999999999999E-2</v>
      </c>
    </row>
    <row r="61" spans="1:4" ht="15.75" customHeight="1" x14ac:dyDescent="0.25">
      <c r="B61" s="11" t="s">
        <v>53</v>
      </c>
      <c r="C61" s="45">
        <v>1.4E-2</v>
      </c>
    </row>
    <row r="62" spans="1:4" ht="15.75" customHeight="1" x14ac:dyDescent="0.25">
      <c r="B62" s="11" t="s">
        <v>64</v>
      </c>
      <c r="C62" s="44">
        <v>0.14536402000000001</v>
      </c>
    </row>
    <row r="63" spans="1:4" ht="15.75" customHeight="1" x14ac:dyDescent="0.3">
      <c r="A63" s="4"/>
    </row>
  </sheetData>
  <sheetProtection algorithmName="SHA-512" hashValue="SIbB3EmGPii2lSaIJFGhtgiZykHZ74zlrKalX1YMAXW4HsNgUqXEiSk0z7CeC/XhacKiXFnR9+AqWgAl9wgBGg==" saltValue="a7jHo635jL2zRspYnXIdU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73</v>
      </c>
      <c r="B1" s="20" t="s">
        <v>66</v>
      </c>
      <c r="C1" s="18" t="s">
        <v>68</v>
      </c>
      <c r="D1" s="18" t="s">
        <v>69</v>
      </c>
      <c r="E1" s="18" t="s">
        <v>70</v>
      </c>
      <c r="F1" s="18" t="s">
        <v>71</v>
      </c>
      <c r="G1" s="18" t="s">
        <v>67</v>
      </c>
      <c r="H1" s="18" t="s">
        <v>65</v>
      </c>
      <c r="I1" s="18" t="s">
        <v>72</v>
      </c>
    </row>
    <row r="2" spans="1:9" ht="15.75" customHeight="1" x14ac:dyDescent="0.25">
      <c r="A2" s="5">
        <f>start_year</f>
        <v>2024</v>
      </c>
      <c r="B2" s="49">
        <v>250590</v>
      </c>
      <c r="C2" s="49">
        <v>440245.5</v>
      </c>
      <c r="D2" s="49">
        <v>516756.00000000012</v>
      </c>
      <c r="E2" s="49">
        <v>268176</v>
      </c>
      <c r="F2" s="49">
        <v>140025</v>
      </c>
      <c r="G2" s="17">
        <f t="shared" ref="G2:G13" si="0">C2+D2+E2+F2</f>
        <v>1365202.5</v>
      </c>
      <c r="H2" s="17">
        <f t="shared" ref="H2:H13" si="1">(B2 + stillbirth*B2/(1000-stillbirth))/(1-abortion)</f>
        <v>292446.2065631898</v>
      </c>
      <c r="I2" s="17">
        <f t="shared" ref="I2:I13" si="2">G2-H2</f>
        <v>1072756.2934368101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257884</v>
      </c>
      <c r="C3" s="50">
        <v>453375.99999999988</v>
      </c>
      <c r="D3" s="50">
        <v>541329</v>
      </c>
      <c r="E3" s="50">
        <v>282306</v>
      </c>
      <c r="F3" s="50">
        <v>144412</v>
      </c>
      <c r="G3" s="17">
        <f t="shared" si="0"/>
        <v>1421423</v>
      </c>
      <c r="H3" s="17">
        <f t="shared" si="1"/>
        <v>300958.52800726943</v>
      </c>
      <c r="I3" s="17">
        <f t="shared" si="2"/>
        <v>1120464.4719927306</v>
      </c>
    </row>
    <row r="4" spans="1:9" ht="15.75" customHeight="1" x14ac:dyDescent="0.25">
      <c r="A4" s="5">
        <f t="shared" si="3"/>
        <v>2026</v>
      </c>
      <c r="B4" s="49">
        <v>265163</v>
      </c>
      <c r="C4" s="50">
        <v>465772.50000000012</v>
      </c>
      <c r="D4" s="50">
        <v>565792.5</v>
      </c>
      <c r="E4" s="50">
        <v>298411</v>
      </c>
      <c r="F4" s="50">
        <v>149645</v>
      </c>
      <c r="G4" s="17">
        <f t="shared" si="0"/>
        <v>1479621</v>
      </c>
      <c r="H4" s="17">
        <f t="shared" si="1"/>
        <v>309453.34399183968</v>
      </c>
      <c r="I4" s="17">
        <f t="shared" si="2"/>
        <v>1170167.6560081602</v>
      </c>
    </row>
    <row r="5" spans="1:9" ht="15.75" customHeight="1" x14ac:dyDescent="0.25">
      <c r="A5" s="5">
        <f t="shared" si="3"/>
        <v>2027</v>
      </c>
      <c r="B5" s="49">
        <v>271467</v>
      </c>
      <c r="C5" s="50">
        <v>476720.5</v>
      </c>
      <c r="D5" s="50">
        <v>590066.5</v>
      </c>
      <c r="E5" s="50">
        <v>316086</v>
      </c>
      <c r="F5" s="50">
        <v>155352</v>
      </c>
      <c r="G5" s="17">
        <f t="shared" si="0"/>
        <v>1538225</v>
      </c>
      <c r="H5" s="17">
        <f t="shared" si="1"/>
        <v>316810.30510830221</v>
      </c>
      <c r="I5" s="17">
        <f t="shared" si="2"/>
        <v>1221414.6948916977</v>
      </c>
    </row>
    <row r="6" spans="1:9" ht="15.75" customHeight="1" x14ac:dyDescent="0.25">
      <c r="A6" s="5">
        <f t="shared" si="3"/>
        <v>2028</v>
      </c>
      <c r="B6" s="49">
        <v>277414</v>
      </c>
      <c r="C6" s="50">
        <v>485892.5</v>
      </c>
      <c r="D6" s="50">
        <v>613889</v>
      </c>
      <c r="E6" s="50">
        <v>335375.5</v>
      </c>
      <c r="F6" s="50">
        <v>161568</v>
      </c>
      <c r="G6" s="17">
        <f t="shared" si="0"/>
        <v>1596725</v>
      </c>
      <c r="H6" s="17">
        <f t="shared" si="1"/>
        <v>323750.63628844224</v>
      </c>
      <c r="I6" s="17">
        <f t="shared" si="2"/>
        <v>1272974.3637115578</v>
      </c>
    </row>
    <row r="7" spans="1:9" ht="15.75" customHeight="1" x14ac:dyDescent="0.25">
      <c r="A7" s="5">
        <f t="shared" si="3"/>
        <v>2029</v>
      </c>
      <c r="B7" s="49">
        <v>282558</v>
      </c>
      <c r="C7" s="50">
        <v>492599.50000000012</v>
      </c>
      <c r="D7" s="50">
        <v>637158</v>
      </c>
      <c r="E7" s="50">
        <v>356603.5</v>
      </c>
      <c r="F7" s="50">
        <v>168161</v>
      </c>
      <c r="G7" s="17">
        <f t="shared" si="0"/>
        <v>1654522</v>
      </c>
      <c r="H7" s="17">
        <f t="shared" si="1"/>
        <v>329753.84186951513</v>
      </c>
      <c r="I7" s="17">
        <f t="shared" si="2"/>
        <v>1324768.1581304849</v>
      </c>
    </row>
    <row r="8" spans="1:9" ht="15.75" customHeight="1" x14ac:dyDescent="0.25">
      <c r="A8" s="5">
        <f t="shared" si="3"/>
        <v>2030</v>
      </c>
      <c r="B8" s="49">
        <v>286767</v>
      </c>
      <c r="C8" s="50">
        <v>497756.5</v>
      </c>
      <c r="D8" s="50">
        <v>659897</v>
      </c>
      <c r="E8" s="50">
        <v>379597</v>
      </c>
      <c r="F8" s="50">
        <v>174975</v>
      </c>
      <c r="G8" s="17">
        <f t="shared" si="0"/>
        <v>1712225.5</v>
      </c>
      <c r="H8" s="17">
        <f t="shared" si="1"/>
        <v>334665.87380783854</v>
      </c>
      <c r="I8" s="17">
        <f t="shared" si="2"/>
        <v>1377559.6261921613</v>
      </c>
    </row>
    <row r="9" spans="1:9" ht="15.75" customHeight="1" x14ac:dyDescent="0.25">
      <c r="A9" s="5">
        <f t="shared" si="3"/>
        <v>2031</v>
      </c>
      <c r="B9" s="49">
        <v>290502</v>
      </c>
      <c r="C9" s="50">
        <v>503479.5</v>
      </c>
      <c r="D9" s="50">
        <v>682319.5</v>
      </c>
      <c r="E9" s="50">
        <v>403655.5</v>
      </c>
      <c r="F9" s="50">
        <v>182270.5</v>
      </c>
      <c r="G9" s="17">
        <f t="shared" si="0"/>
        <v>1771725</v>
      </c>
      <c r="H9" s="17">
        <f t="shared" si="1"/>
        <v>339024.73322566651</v>
      </c>
      <c r="I9" s="17">
        <f t="shared" si="2"/>
        <v>1432700.2667743335</v>
      </c>
    </row>
    <row r="10" spans="1:9" ht="15.75" customHeight="1" x14ac:dyDescent="0.25">
      <c r="A10" s="5">
        <f t="shared" si="3"/>
        <v>2032</v>
      </c>
      <c r="B10" s="49">
        <v>293644</v>
      </c>
      <c r="C10" s="50">
        <v>510629.50000000012</v>
      </c>
      <c r="D10" s="50">
        <v>704210</v>
      </c>
      <c r="E10" s="50">
        <v>428171</v>
      </c>
      <c r="F10" s="50">
        <v>190366</v>
      </c>
      <c r="G10" s="17">
        <f t="shared" si="0"/>
        <v>1833376.5</v>
      </c>
      <c r="H10" s="17">
        <f t="shared" si="1"/>
        <v>342691.54347755824</v>
      </c>
      <c r="I10" s="17">
        <f t="shared" si="2"/>
        <v>1490684.9565224417</v>
      </c>
    </row>
    <row r="11" spans="1:9" ht="15.75" customHeight="1" x14ac:dyDescent="0.25">
      <c r="A11" s="5">
        <f t="shared" si="3"/>
        <v>2033</v>
      </c>
      <c r="B11" s="49">
        <v>297223</v>
      </c>
      <c r="C11" s="50">
        <v>519900.00000000012</v>
      </c>
      <c r="D11" s="50">
        <v>724364</v>
      </c>
      <c r="E11" s="50">
        <v>453212.99999999988</v>
      </c>
      <c r="F11" s="50">
        <v>199372.5</v>
      </c>
      <c r="G11" s="17">
        <f t="shared" si="0"/>
        <v>1896849.5</v>
      </c>
      <c r="H11" s="17">
        <f t="shared" si="1"/>
        <v>346868.34611648897</v>
      </c>
      <c r="I11" s="17">
        <f t="shared" si="2"/>
        <v>1549981.153883511</v>
      </c>
    </row>
    <row r="12" spans="1:9" ht="15.75" customHeight="1" x14ac:dyDescent="0.25">
      <c r="A12" s="5">
        <f t="shared" si="3"/>
        <v>2034</v>
      </c>
      <c r="B12" s="49">
        <v>300095</v>
      </c>
      <c r="C12" s="50">
        <v>531908.5</v>
      </c>
      <c r="D12" s="50">
        <v>742425.5</v>
      </c>
      <c r="E12" s="50">
        <v>478382</v>
      </c>
      <c r="F12" s="50">
        <v>209399</v>
      </c>
      <c r="G12" s="17">
        <f t="shared" si="0"/>
        <v>1962115</v>
      </c>
      <c r="H12" s="17">
        <f t="shared" si="1"/>
        <v>350220.0580972124</v>
      </c>
      <c r="I12" s="17">
        <f t="shared" si="2"/>
        <v>1611894.9419027877</v>
      </c>
    </row>
    <row r="13" spans="1:9" ht="15.75" customHeight="1" x14ac:dyDescent="0.25">
      <c r="A13" s="5">
        <f t="shared" si="3"/>
        <v>2035</v>
      </c>
      <c r="B13" s="49">
        <v>302341</v>
      </c>
      <c r="C13" s="50">
        <v>547922</v>
      </c>
      <c r="D13" s="50">
        <v>758124.00000000012</v>
      </c>
      <c r="E13" s="50">
        <v>503018</v>
      </c>
      <c r="F13" s="50">
        <v>220685.5</v>
      </c>
      <c r="G13" s="17">
        <f t="shared" si="0"/>
        <v>2029749.5</v>
      </c>
      <c r="H13" s="17">
        <f t="shared" si="1"/>
        <v>352841.20890107891</v>
      </c>
      <c r="I13" s="17">
        <f t="shared" si="2"/>
        <v>1676908.2910989211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dfn5H8n6Q1vHgPO6kCppBcgR8CgHiFUZHPL6S8Qj+I5wdhkMNcLxKSBQ2HgY+d1JgZLzJf5CyPyHqMgzyWsvGg==" saltValue="KhpbAfXEGw7t1vbWsOnGpw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82</v>
      </c>
      <c r="C2" s="29" t="s">
        <v>78</v>
      </c>
      <c r="D2" s="29"/>
      <c r="E2" s="29"/>
      <c r="F2" s="29"/>
      <c r="G2" s="29"/>
    </row>
    <row r="3" spans="1:8" ht="15.75" customHeight="1" x14ac:dyDescent="0.25">
      <c r="B3" s="19" t="s">
        <v>93</v>
      </c>
      <c r="C3" s="55">
        <v>2.688439731156032E-2</v>
      </c>
    </row>
    <row r="4" spans="1:8" ht="15.75" customHeight="1" x14ac:dyDescent="0.25">
      <c r="B4" s="19" t="s">
        <v>97</v>
      </c>
      <c r="C4" s="101">
        <v>7.0187992981200861E-2</v>
      </c>
    </row>
    <row r="5" spans="1:8" ht="15.75" customHeight="1" x14ac:dyDescent="0.25">
      <c r="B5" s="19" t="s">
        <v>95</v>
      </c>
      <c r="C5" s="101">
        <v>0.1133985886601412</v>
      </c>
    </row>
    <row r="6" spans="1:8" ht="15.75" customHeight="1" x14ac:dyDescent="0.25">
      <c r="B6" s="19" t="s">
        <v>91</v>
      </c>
      <c r="C6" s="101">
        <v>0.24461647553835281</v>
      </c>
    </row>
    <row r="7" spans="1:8" ht="15.75" customHeight="1" x14ac:dyDescent="0.25">
      <c r="B7" s="19" t="s">
        <v>96</v>
      </c>
      <c r="C7" s="101">
        <v>0.38315536168446312</v>
      </c>
    </row>
    <row r="8" spans="1:8" ht="15.75" customHeight="1" x14ac:dyDescent="0.25">
      <c r="B8" s="19" t="s">
        <v>98</v>
      </c>
      <c r="C8" s="101">
        <v>1.542919845708019E-2</v>
      </c>
    </row>
    <row r="9" spans="1:8" ht="15.75" customHeight="1" x14ac:dyDescent="0.25">
      <c r="B9" s="19" t="s">
        <v>92</v>
      </c>
      <c r="C9" s="101">
        <v>4.0559195944080341E-2</v>
      </c>
    </row>
    <row r="10" spans="1:8" ht="15.75" customHeight="1" x14ac:dyDescent="0.25">
      <c r="B10" s="19" t="s">
        <v>94</v>
      </c>
      <c r="C10" s="101">
        <v>0.1057687894231211</v>
      </c>
    </row>
    <row r="11" spans="1:8" ht="15.75" customHeight="1" x14ac:dyDescent="0.25">
      <c r="B11" s="27" t="s">
        <v>60</v>
      </c>
      <c r="C11" s="48">
        <f>SUM(C3:C10)</f>
        <v>0.99999999999999989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83</v>
      </c>
      <c r="B13" s="29" t="s">
        <v>82</v>
      </c>
      <c r="C13" s="102" t="s">
        <v>74</v>
      </c>
      <c r="D13" s="102" t="s">
        <v>77</v>
      </c>
      <c r="E13" s="102" t="s">
        <v>75</v>
      </c>
      <c r="F13" s="102" t="s">
        <v>76</v>
      </c>
      <c r="G13" s="19"/>
    </row>
    <row r="14" spans="1:8" ht="15.75" customHeight="1" x14ac:dyDescent="0.25">
      <c r="B14" s="19" t="s">
        <v>84</v>
      </c>
      <c r="C14" s="55">
        <v>0.13308933393427699</v>
      </c>
      <c r="D14" s="55">
        <v>0.13308933393427699</v>
      </c>
      <c r="E14" s="55">
        <v>0.13308933393427699</v>
      </c>
      <c r="F14" s="55">
        <v>0.13308933393427699</v>
      </c>
    </row>
    <row r="15" spans="1:8" ht="15.75" customHeight="1" x14ac:dyDescent="0.25">
      <c r="B15" s="19" t="s">
        <v>102</v>
      </c>
      <c r="C15" s="101">
        <v>0.18058363148629969</v>
      </c>
      <c r="D15" s="101">
        <v>0.18058363148629969</v>
      </c>
      <c r="E15" s="101">
        <v>0.18058363148629969</v>
      </c>
      <c r="F15" s="101">
        <v>0.18058363148629969</v>
      </c>
    </row>
    <row r="16" spans="1:8" ht="15.75" customHeight="1" x14ac:dyDescent="0.25">
      <c r="B16" s="19" t="s">
        <v>2</v>
      </c>
      <c r="C16" s="101">
        <v>3.6025281426369758E-2</v>
      </c>
      <c r="D16" s="101">
        <v>3.6025281426369758E-2</v>
      </c>
      <c r="E16" s="101">
        <v>3.6025281426369758E-2</v>
      </c>
      <c r="F16" s="101">
        <v>3.6025281426369758E-2</v>
      </c>
    </row>
    <row r="17" spans="1:8" ht="15.75" customHeight="1" x14ac:dyDescent="0.25">
      <c r="B17" s="19" t="s">
        <v>90</v>
      </c>
      <c r="C17" s="101">
        <v>0.13883744675015419</v>
      </c>
      <c r="D17" s="101">
        <v>0.13883744675015419</v>
      </c>
      <c r="E17" s="101">
        <v>0.13883744675015419</v>
      </c>
      <c r="F17" s="101">
        <v>0.13883744675015419</v>
      </c>
    </row>
    <row r="18" spans="1:8" ht="15.75" customHeight="1" x14ac:dyDescent="0.25">
      <c r="B18" s="19" t="s">
        <v>3</v>
      </c>
      <c r="C18" s="101">
        <v>0.33438557402862412</v>
      </c>
      <c r="D18" s="101">
        <v>0.33438557402862412</v>
      </c>
      <c r="E18" s="101">
        <v>0.33438557402862412</v>
      </c>
      <c r="F18" s="101">
        <v>0.33438557402862412</v>
      </c>
    </row>
    <row r="19" spans="1:8" ht="15.75" customHeight="1" x14ac:dyDescent="0.25">
      <c r="B19" s="19" t="s">
        <v>101</v>
      </c>
      <c r="C19" s="101">
        <v>1.1710238862437151E-2</v>
      </c>
      <c r="D19" s="101">
        <v>1.1710238862437151E-2</v>
      </c>
      <c r="E19" s="101">
        <v>1.1710238862437151E-2</v>
      </c>
      <c r="F19" s="101">
        <v>1.1710238862437151E-2</v>
      </c>
    </row>
    <row r="20" spans="1:8" ht="15.75" customHeight="1" x14ac:dyDescent="0.25">
      <c r="B20" s="19" t="s">
        <v>79</v>
      </c>
      <c r="C20" s="101">
        <v>2.6569035418279138E-2</v>
      </c>
      <c r="D20" s="101">
        <v>2.6569035418279138E-2</v>
      </c>
      <c r="E20" s="101">
        <v>2.6569035418279138E-2</v>
      </c>
      <c r="F20" s="101">
        <v>2.6569035418279138E-2</v>
      </c>
    </row>
    <row r="21" spans="1:8" ht="15.75" customHeight="1" x14ac:dyDescent="0.25">
      <c r="B21" s="19" t="s">
        <v>88</v>
      </c>
      <c r="C21" s="101">
        <v>3.1875099182273318E-2</v>
      </c>
      <c r="D21" s="101">
        <v>3.1875099182273318E-2</v>
      </c>
      <c r="E21" s="101">
        <v>3.1875099182273318E-2</v>
      </c>
      <c r="F21" s="101">
        <v>3.1875099182273318E-2</v>
      </c>
    </row>
    <row r="22" spans="1:8" ht="15.75" customHeight="1" x14ac:dyDescent="0.25">
      <c r="B22" s="19" t="s">
        <v>99</v>
      </c>
      <c r="C22" s="101">
        <v>0.1069243589112856</v>
      </c>
      <c r="D22" s="101">
        <v>0.1069243589112856</v>
      </c>
      <c r="E22" s="101">
        <v>0.1069243589112856</v>
      </c>
      <c r="F22" s="101">
        <v>0.1069243589112856</v>
      </c>
    </row>
    <row r="23" spans="1:8" ht="15.75" customHeight="1" x14ac:dyDescent="0.25">
      <c r="B23" s="27" t="s">
        <v>60</v>
      </c>
      <c r="C23" s="48">
        <f>SUM(C14:C22)</f>
        <v>0.99999999999999989</v>
      </c>
      <c r="D23" s="48">
        <f>SUM(D14:D22)</f>
        <v>0.99999999999999989</v>
      </c>
      <c r="E23" s="48">
        <f>SUM(E14:E22)</f>
        <v>0.99999999999999989</v>
      </c>
      <c r="F23" s="48">
        <f>SUM(F14:F22)</f>
        <v>0.99999999999999989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104</v>
      </c>
      <c r="B25" s="29" t="s">
        <v>82</v>
      </c>
      <c r="C25" s="29" t="s">
        <v>104</v>
      </c>
      <c r="D25" s="19"/>
      <c r="E25" s="19"/>
      <c r="F25" s="19"/>
      <c r="G25" s="19"/>
      <c r="H25" s="19"/>
    </row>
    <row r="26" spans="1:8" ht="15.75" customHeight="1" x14ac:dyDescent="0.25">
      <c r="B26" s="19" t="s">
        <v>81</v>
      </c>
      <c r="C26" s="55">
        <v>8.640991000000002E-2</v>
      </c>
    </row>
    <row r="27" spans="1:8" ht="15.75" customHeight="1" x14ac:dyDescent="0.25">
      <c r="B27" s="19" t="s">
        <v>89</v>
      </c>
      <c r="C27" s="101">
        <v>8.5227879999999999E-3</v>
      </c>
    </row>
    <row r="28" spans="1:8" ht="15.75" customHeight="1" x14ac:dyDescent="0.25">
      <c r="B28" s="19" t="s">
        <v>103</v>
      </c>
      <c r="C28" s="101">
        <v>0.151297399</v>
      </c>
    </row>
    <row r="29" spans="1:8" ht="15.75" customHeight="1" x14ac:dyDescent="0.25">
      <c r="B29" s="19" t="s">
        <v>86</v>
      </c>
      <c r="C29" s="101">
        <v>0.16589246799999999</v>
      </c>
    </row>
    <row r="30" spans="1:8" ht="15.75" customHeight="1" x14ac:dyDescent="0.25">
      <c r="B30" s="19" t="s">
        <v>4</v>
      </c>
      <c r="C30" s="101">
        <v>0.10344083900000001</v>
      </c>
    </row>
    <row r="31" spans="1:8" ht="15.75" customHeight="1" x14ac:dyDescent="0.25">
      <c r="B31" s="19" t="s">
        <v>80</v>
      </c>
      <c r="C31" s="101">
        <v>0.10754699400000001</v>
      </c>
    </row>
    <row r="32" spans="1:8" ht="15.75" customHeight="1" x14ac:dyDescent="0.25">
      <c r="B32" s="19" t="s">
        <v>85</v>
      </c>
      <c r="C32" s="101">
        <v>1.8445415E-2</v>
      </c>
    </row>
    <row r="33" spans="2:3" ht="15.75" customHeight="1" x14ac:dyDescent="0.25">
      <c r="B33" s="19" t="s">
        <v>100</v>
      </c>
      <c r="C33" s="101">
        <v>8.3029338999999994E-2</v>
      </c>
    </row>
    <row r="34" spans="2:3" ht="15.75" customHeight="1" x14ac:dyDescent="0.25">
      <c r="B34" s="19" t="s">
        <v>87</v>
      </c>
      <c r="C34" s="101">
        <v>0.27541484799999999</v>
      </c>
    </row>
    <row r="35" spans="2:3" ht="15.75" customHeight="1" x14ac:dyDescent="0.25">
      <c r="B35" s="27" t="s">
        <v>60</v>
      </c>
      <c r="C35" s="48">
        <f>SUM(C26:C34)</f>
        <v>1</v>
      </c>
    </row>
  </sheetData>
  <sheetProtection algorithmName="SHA-512" hashValue="Admrycj2fiHETkf8Xnvny/fXQuCZ8gaY4ynSPAUlGwf8YvzC7kbB/BwCjmGcbezrUkhrX9ze3GTd5aTaKhaQzg==" saltValue="FkGToAlQ95xICAV9jHfzXQ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120</v>
      </c>
      <c r="C1" s="11" t="s">
        <v>78</v>
      </c>
      <c r="D1" s="11" t="s">
        <v>74</v>
      </c>
      <c r="E1" s="11" t="s">
        <v>77</v>
      </c>
      <c r="F1" s="11" t="s">
        <v>75</v>
      </c>
      <c r="G1" s="11" t="s">
        <v>76</v>
      </c>
    </row>
    <row r="2" spans="1:15" ht="15.75" customHeight="1" x14ac:dyDescent="0.25">
      <c r="A2" s="3" t="s">
        <v>121</v>
      </c>
      <c r="B2" s="5" t="s">
        <v>111</v>
      </c>
      <c r="C2" s="52">
        <f>IFERROR(1-_xlfn.NORM.DIST(_xlfn.NORM.INV(SUM(C4:C5), 0, 1) + 1, 0, 1, TRUE), "")</f>
        <v>0.54098887677353402</v>
      </c>
      <c r="D2" s="52">
        <f>IFERROR(1-_xlfn.NORM.DIST(_xlfn.NORM.INV(SUM(D4:D5), 0, 1) + 1, 0, 1, TRUE), "")</f>
        <v>0.54098887677353402</v>
      </c>
      <c r="E2" s="52">
        <f>IFERROR(1-_xlfn.NORM.DIST(_xlfn.NORM.INV(SUM(E4:E5), 0, 1) + 1, 0, 1, TRUE), "")</f>
        <v>0.42579575947284387</v>
      </c>
      <c r="F2" s="52">
        <f>IFERROR(1-_xlfn.NORM.DIST(_xlfn.NORM.INV(SUM(F4:F5), 0, 1) + 1, 0, 1, TRUE), "")</f>
        <v>0.24679991575928484</v>
      </c>
      <c r="G2" s="52">
        <f>IFERROR(1-_xlfn.NORM.DIST(_xlfn.NORM.INV(SUM(G4:G5), 0, 1) + 1, 0, 1, TRUE), "")</f>
        <v>0.17238931846307948</v>
      </c>
    </row>
    <row r="3" spans="1:15" ht="15.75" customHeight="1" x14ac:dyDescent="0.25">
      <c r="B3" s="5" t="s">
        <v>108</v>
      </c>
      <c r="C3" s="52">
        <f>IFERROR(_xlfn.NORM.DIST(_xlfn.NORM.INV(SUM(C4:C5), 0, 1) + 1, 0, 1, TRUE) - SUM(C4:C5), "")</f>
        <v>0.32398132322646589</v>
      </c>
      <c r="D3" s="52">
        <f>IFERROR(_xlfn.NORM.DIST(_xlfn.NORM.INV(SUM(D4:D5), 0, 1) + 1, 0, 1, TRUE) - SUM(D4:D5), "")</f>
        <v>0.32398132322646589</v>
      </c>
      <c r="E3" s="52">
        <f>IFERROR(_xlfn.NORM.DIST(_xlfn.NORM.INV(SUM(E4:E5), 0, 1) + 1, 0, 1, TRUE) - SUM(E4:E5), "")</f>
        <v>0.36606994052715613</v>
      </c>
      <c r="F3" s="52">
        <f>IFERROR(_xlfn.NORM.DIST(_xlfn.NORM.INV(SUM(F4:F5), 0, 1) + 1, 0, 1, TRUE) - SUM(F4:F5), "")</f>
        <v>0.37697318424071513</v>
      </c>
      <c r="G3" s="52">
        <f>IFERROR(_xlfn.NORM.DIST(_xlfn.NORM.INV(SUM(G4:G5), 0, 1) + 1, 0, 1, TRUE) - SUM(G4:G5), "")</f>
        <v>0.34963488153692052</v>
      </c>
    </row>
    <row r="4" spans="1:15" ht="15.75" customHeight="1" x14ac:dyDescent="0.25">
      <c r="B4" s="5" t="s">
        <v>110</v>
      </c>
      <c r="C4" s="45">
        <v>9.4684299999999999E-2</v>
      </c>
      <c r="D4" s="53">
        <v>9.4684299999999999E-2</v>
      </c>
      <c r="E4" s="53">
        <v>0.12541479999999999</v>
      </c>
      <c r="F4" s="53">
        <v>0.20625650000000001</v>
      </c>
      <c r="G4" s="53">
        <v>0.2217944</v>
      </c>
    </row>
    <row r="5" spans="1:15" ht="15.75" customHeight="1" x14ac:dyDescent="0.25">
      <c r="B5" s="5" t="s">
        <v>106</v>
      </c>
      <c r="C5" s="45">
        <v>4.0345500000000013E-2</v>
      </c>
      <c r="D5" s="53">
        <v>4.0345500000000013E-2</v>
      </c>
      <c r="E5" s="53">
        <v>8.2719500000000001E-2</v>
      </c>
      <c r="F5" s="53">
        <v>0.16997039999999999</v>
      </c>
      <c r="G5" s="53">
        <v>0.2561814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122</v>
      </c>
      <c r="B8" s="5" t="s">
        <v>112</v>
      </c>
      <c r="C8" s="52">
        <f>IFERROR(1-_xlfn.NORM.DIST(_xlfn.NORM.INV(SUM(C10:C11), 0, 1) + 1, 0, 1, TRUE), "")</f>
        <v>0.67415882215099798</v>
      </c>
      <c r="D8" s="52">
        <f>IFERROR(1-_xlfn.NORM.DIST(_xlfn.NORM.INV(SUM(D10:D11), 0, 1) + 1, 0, 1, TRUE), "")</f>
        <v>0.67415882215099798</v>
      </c>
      <c r="E8" s="52">
        <f>IFERROR(1-_xlfn.NORM.DIST(_xlfn.NORM.INV(SUM(E10:E11), 0, 1) + 1, 0, 1, TRUE), "")</f>
        <v>0.63351922855674503</v>
      </c>
      <c r="F8" s="52">
        <f>IFERROR(1-_xlfn.NORM.DIST(_xlfn.NORM.INV(SUM(F10:F11), 0, 1) + 1, 0, 1, TRUE), "")</f>
        <v>0.67030316109715538</v>
      </c>
      <c r="G8" s="52">
        <f>IFERROR(1-_xlfn.NORM.DIST(_xlfn.NORM.INV(SUM(G10:G11), 0, 1) + 1, 0, 1, TRUE), "")</f>
        <v>0.77904173855408676</v>
      </c>
    </row>
    <row r="9" spans="1:15" ht="15.75" customHeight="1" x14ac:dyDescent="0.25">
      <c r="B9" s="5" t="s">
        <v>109</v>
      </c>
      <c r="C9" s="52">
        <f>IFERROR(_xlfn.NORM.DIST(_xlfn.NORM.INV(SUM(C10:C11), 0, 1) + 1, 0, 1, TRUE) - SUM(C10:C11), "")</f>
        <v>0.25251057784900199</v>
      </c>
      <c r="D9" s="52">
        <f>IFERROR(_xlfn.NORM.DIST(_xlfn.NORM.INV(SUM(D10:D11), 0, 1) + 1, 0, 1, TRUE) - SUM(D10:D11), "")</f>
        <v>0.25251057784900199</v>
      </c>
      <c r="E9" s="52">
        <f>IFERROR(_xlfn.NORM.DIST(_xlfn.NORM.INV(SUM(E10:E11), 0, 1) + 1, 0, 1, TRUE) - SUM(E10:E11), "")</f>
        <v>0.27655117144325503</v>
      </c>
      <c r="F9" s="52">
        <f>IFERROR(_xlfn.NORM.DIST(_xlfn.NORM.INV(SUM(F10:F11), 0, 1) + 1, 0, 1, TRUE) - SUM(F10:F11), "")</f>
        <v>0.25486923890284463</v>
      </c>
      <c r="G9" s="52">
        <f>IFERROR(_xlfn.NORM.DIST(_xlfn.NORM.INV(SUM(G10:G11), 0, 1) + 1, 0, 1, TRUE) - SUM(G10:G11), "")</f>
        <v>0.18250806144591319</v>
      </c>
    </row>
    <row r="10" spans="1:15" ht="15.75" customHeight="1" x14ac:dyDescent="0.25">
      <c r="B10" s="5" t="s">
        <v>107</v>
      </c>
      <c r="C10" s="45">
        <v>4.17241E-2</v>
      </c>
      <c r="D10" s="53">
        <v>4.17241E-2</v>
      </c>
      <c r="E10" s="53">
        <v>7.1251800000000004E-2</v>
      </c>
      <c r="F10" s="53">
        <v>5.38188E-2</v>
      </c>
      <c r="G10" s="53">
        <v>2.83921E-2</v>
      </c>
    </row>
    <row r="11" spans="1:15" ht="15.75" customHeight="1" x14ac:dyDescent="0.25">
      <c r="B11" s="5" t="s">
        <v>119</v>
      </c>
      <c r="C11" s="45">
        <v>3.1606500000000003E-2</v>
      </c>
      <c r="D11" s="53">
        <v>3.1606500000000003E-2</v>
      </c>
      <c r="E11" s="53">
        <v>1.8677800000000001E-2</v>
      </c>
      <c r="F11" s="53">
        <v>2.1008800000000001E-2</v>
      </c>
      <c r="G11" s="53">
        <v>1.00581E-2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105</v>
      </c>
      <c r="C13" s="11" t="s">
        <v>78</v>
      </c>
      <c r="D13" s="11" t="s">
        <v>74</v>
      </c>
      <c r="E13" s="11" t="s">
        <v>77</v>
      </c>
      <c r="F13" s="11" t="s">
        <v>75</v>
      </c>
      <c r="G13" s="11" t="s">
        <v>76</v>
      </c>
      <c r="H13" s="18" t="s">
        <v>113</v>
      </c>
      <c r="I13" s="18" t="s">
        <v>114</v>
      </c>
      <c r="J13" s="18" t="s">
        <v>115</v>
      </c>
      <c r="K13" s="18" t="s">
        <v>116</v>
      </c>
      <c r="L13" s="18" t="s">
        <v>68</v>
      </c>
      <c r="M13" s="18" t="s">
        <v>69</v>
      </c>
      <c r="N13" s="18" t="s">
        <v>70</v>
      </c>
      <c r="O13" s="18" t="s">
        <v>71</v>
      </c>
    </row>
    <row r="14" spans="1:15" ht="15.75" customHeight="1" x14ac:dyDescent="0.25">
      <c r="B14" s="11" t="s">
        <v>117</v>
      </c>
      <c r="C14" s="51">
        <v>0.82913434649999995</v>
      </c>
      <c r="D14" s="54">
        <v>0.83222591652800004</v>
      </c>
      <c r="E14" s="54">
        <v>0.83222591652800004</v>
      </c>
      <c r="F14" s="54">
        <v>0.69540820231900002</v>
      </c>
      <c r="G14" s="54">
        <v>0.69540820231900002</v>
      </c>
      <c r="H14" s="45">
        <v>0.52300000000000002</v>
      </c>
      <c r="I14" s="55">
        <v>0.52300000000000002</v>
      </c>
      <c r="J14" s="55">
        <v>0.52300000000000002</v>
      </c>
      <c r="K14" s="55">
        <v>0.52300000000000002</v>
      </c>
      <c r="L14" s="45">
        <v>0.45400000000000001</v>
      </c>
      <c r="M14" s="55">
        <v>0.45400000000000001</v>
      </c>
      <c r="N14" s="55">
        <v>0.45400000000000001</v>
      </c>
      <c r="O14" s="55">
        <v>0.45400000000000001</v>
      </c>
    </row>
    <row r="15" spans="1:15" ht="15.75" customHeight="1" x14ac:dyDescent="0.25">
      <c r="B15" s="11" t="s">
        <v>118</v>
      </c>
      <c r="C15" s="52">
        <f t="shared" ref="C15:O15" si="0">iron_deficiency_anaemia*C14</f>
        <v>0.36746156362229559</v>
      </c>
      <c r="D15" s="52">
        <f t="shared" si="0"/>
        <v>0.36883170726829484</v>
      </c>
      <c r="E15" s="52">
        <f t="shared" si="0"/>
        <v>0.36883170726829484</v>
      </c>
      <c r="F15" s="52">
        <f t="shared" si="0"/>
        <v>0.30819587496115075</v>
      </c>
      <c r="G15" s="52">
        <f t="shared" si="0"/>
        <v>0.30819587496115075</v>
      </c>
      <c r="H15" s="52">
        <f t="shared" si="0"/>
        <v>0.23178680100000007</v>
      </c>
      <c r="I15" s="52">
        <f t="shared" si="0"/>
        <v>0.23178680100000007</v>
      </c>
      <c r="J15" s="52">
        <f t="shared" si="0"/>
        <v>0.23178680100000007</v>
      </c>
      <c r="K15" s="52">
        <f t="shared" si="0"/>
        <v>0.23178680100000007</v>
      </c>
      <c r="L15" s="52">
        <f t="shared" si="0"/>
        <v>0.20120689800000005</v>
      </c>
      <c r="M15" s="52">
        <f t="shared" si="0"/>
        <v>0.20120689800000005</v>
      </c>
      <c r="N15" s="52">
        <f t="shared" si="0"/>
        <v>0.20120689800000005</v>
      </c>
      <c r="O15" s="52">
        <f t="shared" si="0"/>
        <v>0.20120689800000005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15Yw3SufsNUXe5eFoc1lZooFJtqEzJKWtRiKRQ0HOgfg4bcsOd2WwjTkx99gUHSotyMvbuFLy9kiHvetMdSaKg==" saltValue="8XQXdpzkPHyDrMtImuuAp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120</v>
      </c>
      <c r="C1" s="8" t="s">
        <v>78</v>
      </c>
      <c r="D1" s="8" t="s">
        <v>74</v>
      </c>
      <c r="E1" s="8" t="s">
        <v>77</v>
      </c>
      <c r="F1" s="8" t="s">
        <v>75</v>
      </c>
      <c r="G1" s="8" t="s">
        <v>76</v>
      </c>
    </row>
    <row r="2" spans="1:7" x14ac:dyDescent="0.25">
      <c r="A2" s="3" t="s">
        <v>123</v>
      </c>
      <c r="B2" s="3" t="s">
        <v>124</v>
      </c>
      <c r="C2" s="45">
        <v>0.68534890000000004</v>
      </c>
      <c r="D2" s="53">
        <v>0.3043807</v>
      </c>
      <c r="E2" s="53">
        <v>0</v>
      </c>
      <c r="F2" s="53">
        <v>0</v>
      </c>
      <c r="G2" s="53">
        <v>0</v>
      </c>
    </row>
    <row r="3" spans="1:7" x14ac:dyDescent="0.25">
      <c r="B3" s="3" t="s">
        <v>127</v>
      </c>
      <c r="C3" s="53">
        <v>0.17904149999999999</v>
      </c>
      <c r="D3" s="53">
        <v>0.20097799999999999</v>
      </c>
      <c r="E3" s="53">
        <v>0</v>
      </c>
      <c r="F3" s="53">
        <v>0</v>
      </c>
      <c r="G3" s="53">
        <v>0</v>
      </c>
    </row>
    <row r="4" spans="1:7" x14ac:dyDescent="0.25">
      <c r="B4" s="3" t="s">
        <v>126</v>
      </c>
      <c r="C4" s="53">
        <v>0.11440980000000001</v>
      </c>
      <c r="D4" s="53">
        <v>0.46895799999999999</v>
      </c>
      <c r="E4" s="53">
        <v>0.96708879999999997</v>
      </c>
      <c r="F4" s="53">
        <v>0.68774510000000011</v>
      </c>
      <c r="G4" s="53">
        <v>0</v>
      </c>
    </row>
    <row r="5" spans="1:7" x14ac:dyDescent="0.25">
      <c r="B5" s="3" t="s">
        <v>125</v>
      </c>
      <c r="C5" s="52">
        <v>2.1199900000000001E-2</v>
      </c>
      <c r="D5" s="52">
        <v>2.5683399999999999E-2</v>
      </c>
      <c r="E5" s="52">
        <f>1-SUM(E2:E4)</f>
        <v>3.2911200000000029E-2</v>
      </c>
      <c r="F5" s="52">
        <f>1-SUM(F2:F4)</f>
        <v>0.31225489999999989</v>
      </c>
      <c r="G5" s="52">
        <f>1-SUM(G2:G4)</f>
        <v>1</v>
      </c>
    </row>
  </sheetData>
  <sheetProtection algorithmName="SHA-512" hashValue="4jK53f4O8FSu/wUragJ4fJTLQJIT9J55CCrZCkXktS/puVv9l9x7CiqpBJoUlrZTLH4y8e3Mo0ZSuntSsvFvpw==" saltValue="Vqbep8xU3btrnqnT5WuOZA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135</v>
      </c>
      <c r="B1" s="4" t="s">
        <v>133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ht="13.25" customHeight="1" x14ac:dyDescent="0.25">
      <c r="A2" t="s">
        <v>136</v>
      </c>
      <c r="B2" s="9" t="s">
        <v>130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ht="13.25" customHeight="1" x14ac:dyDescent="0.25">
      <c r="B3" s="9"/>
    </row>
    <row r="4" spans="1:11" ht="13.25" customHeight="1" x14ac:dyDescent="0.25">
      <c r="A4" t="s">
        <v>138</v>
      </c>
      <c r="B4" s="9" t="s">
        <v>130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ht="13.25" customHeight="1" x14ac:dyDescent="0.25">
      <c r="B5" s="9"/>
    </row>
    <row r="6" spans="1:11" ht="13.25" customHeight="1" x14ac:dyDescent="0.25">
      <c r="A6" t="s">
        <v>128</v>
      </c>
      <c r="B6" s="9" t="s">
        <v>130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ht="13.25" customHeight="1" x14ac:dyDescent="0.25">
      <c r="B7" s="9" t="s">
        <v>104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ht="13.25" customHeight="1" x14ac:dyDescent="0.25">
      <c r="B8" s="9" t="s">
        <v>139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ht="13.25" customHeight="1" x14ac:dyDescent="0.25">
      <c r="A10" t="s">
        <v>134</v>
      </c>
      <c r="B10" s="11" t="s">
        <v>129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3.25" customHeight="1" x14ac:dyDescent="0.25">
      <c r="B11" s="11" t="s">
        <v>131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ht="13.25" customHeight="1" x14ac:dyDescent="0.25">
      <c r="A13" s="8" t="s">
        <v>37</v>
      </c>
      <c r="B13" s="11" t="s">
        <v>137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3.25" customHeight="1" x14ac:dyDescent="0.25">
      <c r="B14" s="11" t="s">
        <v>132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aML5Yjp88B8slM541mmefDjptSCKMf89Tm+qe0yyh2/5iZJQxDs1YX+YK7QTMvSLr3H3LVInoLQi4znC4hyLFA==" saltValue="q4YrTvjHXl8GHzVpnOtyXQ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147</v>
      </c>
      <c r="B1" s="4" t="s">
        <v>145</v>
      </c>
    </row>
    <row r="2" spans="1:2" ht="13.25" customHeight="1" x14ac:dyDescent="0.25">
      <c r="A2" s="8" t="s">
        <v>144</v>
      </c>
      <c r="B2" s="41">
        <v>10</v>
      </c>
    </row>
    <row r="3" spans="1:2" ht="13.25" customHeight="1" x14ac:dyDescent="0.25">
      <c r="A3" s="8" t="s">
        <v>143</v>
      </c>
      <c r="B3" s="41">
        <v>10</v>
      </c>
    </row>
    <row r="4" spans="1:2" ht="13.25" customHeight="1" x14ac:dyDescent="0.25">
      <c r="A4" s="8" t="s">
        <v>142</v>
      </c>
      <c r="B4" s="41">
        <v>10</v>
      </c>
    </row>
    <row r="5" spans="1:2" ht="13.25" customHeight="1" x14ac:dyDescent="0.25">
      <c r="A5" s="8" t="s">
        <v>146</v>
      </c>
      <c r="B5" s="41">
        <v>10</v>
      </c>
    </row>
    <row r="6" spans="1:2" ht="13.25" customHeight="1" x14ac:dyDescent="0.25">
      <c r="A6" s="8" t="s">
        <v>140</v>
      </c>
      <c r="B6" s="41">
        <v>10</v>
      </c>
    </row>
    <row r="7" spans="1:2" ht="13.25" customHeight="1" x14ac:dyDescent="0.25">
      <c r="A7" s="8" t="s">
        <v>141</v>
      </c>
      <c r="B7" s="41">
        <v>10</v>
      </c>
    </row>
  </sheetData>
  <sheetProtection algorithmName="SHA-512" hashValue="XfblPO2y+FvpcD/sTyg9t89hEyG61BwPNuZb2G+DDmRkx3GOdrW2wcRj40rGfGjzs6JuoCPAxxoPhNROROqHbQ==" saltValue="5txOsmpnqqiwYKXrkhhOfA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154</v>
      </c>
      <c r="B1" s="36" t="s">
        <v>156</v>
      </c>
      <c r="C1" s="36" t="s">
        <v>150</v>
      </c>
      <c r="D1" s="36" t="s">
        <v>149</v>
      </c>
      <c r="E1" s="36" t="s">
        <v>155</v>
      </c>
    </row>
    <row r="2" spans="1:5" ht="13" customHeight="1" x14ac:dyDescent="0.3">
      <c r="A2" s="34" t="s">
        <v>151</v>
      </c>
      <c r="B2" s="32" t="s">
        <v>104</v>
      </c>
      <c r="C2" s="47"/>
      <c r="D2" s="47"/>
      <c r="E2" s="38" t="str">
        <f>IF(E$7="","",E$7)</f>
        <v/>
      </c>
    </row>
    <row r="3" spans="1:5" ht="13.25" customHeight="1" x14ac:dyDescent="0.25">
      <c r="B3" s="32" t="s">
        <v>78</v>
      </c>
      <c r="C3" s="47"/>
      <c r="D3" s="47" t="s">
        <v>5</v>
      </c>
      <c r="E3" s="38" t="str">
        <f>IF(E$7="","",E$7)</f>
        <v/>
      </c>
    </row>
    <row r="4" spans="1:5" ht="13.25" customHeight="1" x14ac:dyDescent="0.25">
      <c r="B4" s="32" t="s">
        <v>74</v>
      </c>
      <c r="C4" s="47"/>
      <c r="D4" s="47" t="s">
        <v>5</v>
      </c>
      <c r="E4" s="38" t="str">
        <f>IF(E$7="","",E$7)</f>
        <v/>
      </c>
    </row>
    <row r="5" spans="1:5" ht="13.25" customHeight="1" x14ac:dyDescent="0.25">
      <c r="B5" s="32" t="s">
        <v>77</v>
      </c>
      <c r="C5" s="47"/>
      <c r="D5" s="47" t="s">
        <v>5</v>
      </c>
      <c r="E5" s="38" t="str">
        <f>IF(E$7="","",E$7)</f>
        <v/>
      </c>
    </row>
    <row r="6" spans="1:5" ht="13.25" customHeight="1" x14ac:dyDescent="0.25">
      <c r="B6" s="32" t="s">
        <v>75</v>
      </c>
      <c r="C6" s="47"/>
      <c r="D6" s="47" t="s">
        <v>5</v>
      </c>
      <c r="E6" s="38" t="str">
        <f>IF(E$7="","",E$7)</f>
        <v/>
      </c>
    </row>
    <row r="7" spans="1:5" ht="13.25" customHeight="1" x14ac:dyDescent="0.25">
      <c r="B7" s="32" t="s">
        <v>148</v>
      </c>
      <c r="C7" s="31"/>
      <c r="D7" s="30"/>
      <c r="E7" s="47"/>
    </row>
    <row r="9" spans="1:5" ht="13" customHeight="1" x14ac:dyDescent="0.3">
      <c r="A9" s="34" t="s">
        <v>152</v>
      </c>
      <c r="B9" s="32" t="s">
        <v>104</v>
      </c>
      <c r="C9" s="47"/>
      <c r="D9" s="47"/>
      <c r="E9" s="38" t="str">
        <f>IF(E$7="","",E$7)</f>
        <v/>
      </c>
    </row>
    <row r="10" spans="1:5" ht="13.25" customHeight="1" x14ac:dyDescent="0.25">
      <c r="B10" s="32" t="s">
        <v>78</v>
      </c>
      <c r="C10" s="47"/>
      <c r="D10" s="47"/>
      <c r="E10" s="38" t="str">
        <f>IF(E$7="","",E$7)</f>
        <v/>
      </c>
    </row>
    <row r="11" spans="1:5" ht="13.25" customHeight="1" x14ac:dyDescent="0.25">
      <c r="B11" s="32" t="s">
        <v>74</v>
      </c>
      <c r="C11" s="47"/>
      <c r="D11" s="47"/>
      <c r="E11" s="38" t="str">
        <f>IF(E$7="","",E$7)</f>
        <v/>
      </c>
    </row>
    <row r="12" spans="1:5" ht="13.25" customHeight="1" x14ac:dyDescent="0.25">
      <c r="B12" s="32" t="s">
        <v>77</v>
      </c>
      <c r="C12" s="47"/>
      <c r="D12" s="47" t="s">
        <v>5</v>
      </c>
      <c r="E12" s="38" t="str">
        <f>IF(E$7="","",E$7)</f>
        <v/>
      </c>
    </row>
    <row r="13" spans="1:5" ht="13.25" customHeight="1" x14ac:dyDescent="0.25">
      <c r="B13" s="32" t="s">
        <v>75</v>
      </c>
      <c r="C13" s="47"/>
      <c r="D13" s="47" t="s">
        <v>5</v>
      </c>
      <c r="E13" s="38" t="str">
        <f>IF(E$7="","",E$7)</f>
        <v/>
      </c>
    </row>
    <row r="14" spans="1:5" ht="13.25" customHeight="1" x14ac:dyDescent="0.25">
      <c r="B14" s="32" t="s">
        <v>148</v>
      </c>
      <c r="C14" s="31"/>
      <c r="D14" s="30"/>
      <c r="E14" s="47"/>
    </row>
    <row r="16" spans="1:5" ht="13" customHeight="1" x14ac:dyDescent="0.3">
      <c r="A16" s="34" t="s">
        <v>153</v>
      </c>
      <c r="B16" s="32" t="s">
        <v>104</v>
      </c>
      <c r="C16" s="47"/>
      <c r="D16" s="47" t="s">
        <v>5</v>
      </c>
      <c r="E16" s="38" t="str">
        <f>IF(E$7="","",E$7)</f>
        <v/>
      </c>
    </row>
    <row r="17" spans="2:5" ht="13.25" customHeight="1" x14ac:dyDescent="0.25">
      <c r="B17" s="32" t="s">
        <v>78</v>
      </c>
      <c r="C17" s="47"/>
      <c r="D17" s="47" t="s">
        <v>5</v>
      </c>
      <c r="E17" s="38" t="str">
        <f>IF(E$7="","",E$7)</f>
        <v/>
      </c>
    </row>
    <row r="18" spans="2:5" ht="13.25" customHeight="1" x14ac:dyDescent="0.25">
      <c r="B18" s="32" t="s">
        <v>74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77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75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148</v>
      </c>
      <c r="C21" s="31"/>
      <c r="D21" s="30"/>
      <c r="E21" s="47"/>
    </row>
  </sheetData>
  <sheetProtection algorithmName="SHA-512" hashValue="FLIOOCuMtVgNefxaAs6FihS8co8PXFGft8MihO/7MbCZOnAVKZVMfrjBqWqg9aYiSbb7KGaWvXZPS5xR8iwMJg==" saltValue="m/mg9uj74iBcoWiOGibRDQ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0</v>
      </c>
      <c r="B1" s="36" t="s">
        <v>159</v>
      </c>
      <c r="C1" s="40" t="s">
        <v>161</v>
      </c>
      <c r="D1" s="40" t="s">
        <v>157</v>
      </c>
    </row>
    <row r="2" spans="1:4" ht="13" customHeight="1" x14ac:dyDescent="0.3">
      <c r="A2" s="40" t="s">
        <v>163</v>
      </c>
      <c r="B2" s="32" t="s">
        <v>164</v>
      </c>
      <c r="C2" s="32" t="s">
        <v>162</v>
      </c>
      <c r="D2" s="47"/>
    </row>
    <row r="3" spans="1:4" ht="13" customHeight="1" x14ac:dyDescent="0.3">
      <c r="A3" s="40" t="s">
        <v>160</v>
      </c>
      <c r="B3" s="32" t="s">
        <v>150</v>
      </c>
      <c r="C3" s="32" t="s">
        <v>158</v>
      </c>
      <c r="D3" s="47"/>
    </row>
  </sheetData>
  <sheetProtection algorithmName="SHA-512" hashValue="ieGelp/iAWUJhC/kuIlAWjhIYy7sQAPXGe3HhCRVIj589QeO3ni0bDPltIxeOUutesUOnbltkFDuCoUlo7JYoQ==" saltValue="YaJ4NcaP3KW+TJiygTXLNA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zoomScale="70" zoomScaleNormal="70" workbookViewId="0">
      <selection activeCell="E32" sqref="E32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163</v>
      </c>
      <c r="B1" s="22" t="str">
        <f>"Cobertura de referencia ("&amp;start_year&amp;")"</f>
        <v>Cobertura de referencia (2024)</v>
      </c>
      <c r="C1" s="22" t="s">
        <v>194</v>
      </c>
      <c r="D1" s="22" t="s">
        <v>195</v>
      </c>
      <c r="E1" s="22" t="s">
        <v>168</v>
      </c>
      <c r="F1" s="22" t="s">
        <v>187</v>
      </c>
      <c r="G1" s="22" t="s">
        <v>186</v>
      </c>
    </row>
    <row r="2" spans="1:7" ht="15.75" customHeight="1" x14ac:dyDescent="0.25">
      <c r="A2" s="5" t="s">
        <v>165</v>
      </c>
      <c r="B2" s="45">
        <v>0</v>
      </c>
      <c r="C2" s="98">
        <v>0.95</v>
      </c>
      <c r="D2" s="56">
        <v>65.60734264525216</v>
      </c>
      <c r="E2" s="56" t="s">
        <v>183</v>
      </c>
      <c r="F2" s="98">
        <v>1</v>
      </c>
      <c r="G2" s="98">
        <v>1</v>
      </c>
    </row>
    <row r="3" spans="1:7" ht="15.75" customHeight="1" x14ac:dyDescent="0.25">
      <c r="A3" s="5" t="s">
        <v>166</v>
      </c>
      <c r="B3" s="45">
        <v>0</v>
      </c>
      <c r="C3" s="98">
        <v>0.95</v>
      </c>
      <c r="D3" s="56">
        <v>16.553818481334261</v>
      </c>
      <c r="E3" s="56" t="s">
        <v>183</v>
      </c>
      <c r="F3" s="98">
        <v>1</v>
      </c>
      <c r="G3" s="98">
        <v>1</v>
      </c>
    </row>
    <row r="4" spans="1:7" ht="15.75" customHeight="1" x14ac:dyDescent="0.25">
      <c r="A4" s="5" t="s">
        <v>167</v>
      </c>
      <c r="B4" s="98">
        <v>0</v>
      </c>
      <c r="C4" s="98">
        <v>0.95</v>
      </c>
      <c r="D4" s="56">
        <v>7.2861200073283072</v>
      </c>
      <c r="E4" s="56" t="s">
        <v>183</v>
      </c>
      <c r="F4" s="98">
        <v>1</v>
      </c>
      <c r="G4" s="98">
        <v>1</v>
      </c>
    </row>
    <row r="5" spans="1:7" ht="15.75" customHeight="1" x14ac:dyDescent="0.25">
      <c r="A5" s="5" t="s">
        <v>169</v>
      </c>
      <c r="B5" s="98">
        <v>0</v>
      </c>
      <c r="C5" s="98">
        <v>0.95</v>
      </c>
      <c r="D5" s="56">
        <v>0.1238331639462925</v>
      </c>
      <c r="E5" s="56" t="s">
        <v>183</v>
      </c>
      <c r="F5" s="98">
        <v>1</v>
      </c>
      <c r="G5" s="98">
        <v>1</v>
      </c>
    </row>
    <row r="6" spans="1:7" ht="15.75" customHeight="1" x14ac:dyDescent="0.25">
      <c r="A6" s="5" t="s">
        <v>170</v>
      </c>
      <c r="B6" s="98">
        <v>0</v>
      </c>
      <c r="C6" s="98">
        <v>0.95</v>
      </c>
      <c r="D6" s="56">
        <v>99.99</v>
      </c>
      <c r="E6" s="56" t="s">
        <v>183</v>
      </c>
      <c r="F6" s="98">
        <v>1</v>
      </c>
      <c r="G6" s="98">
        <v>1</v>
      </c>
    </row>
    <row r="7" spans="1:7" ht="15.75" customHeight="1" x14ac:dyDescent="0.25">
      <c r="A7" s="5" t="s">
        <v>171</v>
      </c>
      <c r="B7" s="98">
        <v>0</v>
      </c>
      <c r="C7" s="98">
        <v>0.95</v>
      </c>
      <c r="D7" s="56">
        <v>0.19283527130965261</v>
      </c>
      <c r="E7" s="56" t="s">
        <v>183</v>
      </c>
      <c r="F7" s="98">
        <v>1</v>
      </c>
      <c r="G7" s="98">
        <v>1</v>
      </c>
    </row>
    <row r="8" spans="1:7" ht="15.75" customHeight="1" x14ac:dyDescent="0.25">
      <c r="A8" s="5" t="s">
        <v>172</v>
      </c>
      <c r="B8" s="98">
        <v>0</v>
      </c>
      <c r="C8" s="98">
        <v>0.95</v>
      </c>
      <c r="D8" s="56">
        <v>0.10284547803181469</v>
      </c>
      <c r="E8" s="56" t="s">
        <v>183</v>
      </c>
      <c r="F8" s="98">
        <v>1</v>
      </c>
      <c r="G8" s="98">
        <v>1</v>
      </c>
    </row>
    <row r="9" spans="1:7" ht="15.75" customHeight="1" x14ac:dyDescent="0.25">
      <c r="A9" s="5" t="s">
        <v>173</v>
      </c>
      <c r="B9" s="98">
        <v>0</v>
      </c>
      <c r="C9" s="98">
        <v>0.95</v>
      </c>
      <c r="D9" s="56">
        <v>0.16283867355037329</v>
      </c>
      <c r="E9" s="56" t="s">
        <v>183</v>
      </c>
      <c r="F9" s="98">
        <v>1</v>
      </c>
      <c r="G9" s="98">
        <v>1</v>
      </c>
    </row>
    <row r="10" spans="1:7" ht="15.75" customHeight="1" x14ac:dyDescent="0.25">
      <c r="A10" s="11" t="s">
        <v>174</v>
      </c>
      <c r="B10" s="45">
        <v>0</v>
      </c>
      <c r="C10" s="98">
        <v>0.95</v>
      </c>
      <c r="D10" s="56">
        <v>17.30460856515991</v>
      </c>
      <c r="E10" s="56" t="s">
        <v>183</v>
      </c>
      <c r="F10" s="98">
        <v>1</v>
      </c>
      <c r="G10" s="98">
        <v>1</v>
      </c>
    </row>
    <row r="11" spans="1:7" ht="15.75" customHeight="1" x14ac:dyDescent="0.25">
      <c r="A11" s="11" t="s">
        <v>175</v>
      </c>
      <c r="B11" s="98">
        <v>0</v>
      </c>
      <c r="C11" s="98">
        <v>0.95</v>
      </c>
      <c r="D11" s="56">
        <v>17.30460856515991</v>
      </c>
      <c r="E11" s="56" t="s">
        <v>183</v>
      </c>
      <c r="F11" s="98">
        <v>1</v>
      </c>
      <c r="G11" s="98">
        <v>1</v>
      </c>
    </row>
    <row r="12" spans="1:7" ht="15.75" customHeight="1" x14ac:dyDescent="0.25">
      <c r="A12" s="11" t="s">
        <v>176</v>
      </c>
      <c r="B12" s="98">
        <v>0</v>
      </c>
      <c r="C12" s="98">
        <v>0.95</v>
      </c>
      <c r="D12" s="56">
        <v>17.30460856515991</v>
      </c>
      <c r="E12" s="56" t="s">
        <v>183</v>
      </c>
      <c r="F12" s="98">
        <v>1</v>
      </c>
      <c r="G12" s="98">
        <v>1</v>
      </c>
    </row>
    <row r="13" spans="1:7" ht="15.75" customHeight="1" x14ac:dyDescent="0.25">
      <c r="A13" s="11" t="s">
        <v>177</v>
      </c>
      <c r="B13" s="98">
        <v>0</v>
      </c>
      <c r="C13" s="98">
        <v>0.95</v>
      </c>
      <c r="D13" s="56">
        <v>17.30460856515991</v>
      </c>
      <c r="E13" s="56" t="s">
        <v>183</v>
      </c>
      <c r="F13" s="98">
        <v>1</v>
      </c>
      <c r="G13" s="98">
        <v>1</v>
      </c>
    </row>
    <row r="14" spans="1:7" ht="15.75" customHeight="1" x14ac:dyDescent="0.25">
      <c r="A14" s="5" t="s">
        <v>178</v>
      </c>
      <c r="B14" s="45">
        <v>0</v>
      </c>
      <c r="C14" s="98">
        <v>0.95</v>
      </c>
      <c r="D14" s="56">
        <v>17.30460856515991</v>
      </c>
      <c r="E14" s="56" t="s">
        <v>183</v>
      </c>
      <c r="F14" s="98">
        <v>1</v>
      </c>
      <c r="G14" s="98">
        <v>1</v>
      </c>
    </row>
    <row r="15" spans="1:7" ht="15.75" customHeight="1" x14ac:dyDescent="0.25">
      <c r="A15" s="5" t="s">
        <v>179</v>
      </c>
      <c r="B15" s="98">
        <v>0</v>
      </c>
      <c r="C15" s="98">
        <v>0.95</v>
      </c>
      <c r="D15" s="56">
        <v>17.30460856515991</v>
      </c>
      <c r="E15" s="56" t="s">
        <v>183</v>
      </c>
      <c r="F15" s="98">
        <v>1</v>
      </c>
      <c r="G15" s="98">
        <v>1</v>
      </c>
    </row>
    <row r="16" spans="1:7" ht="15.75" customHeight="1" x14ac:dyDescent="0.25">
      <c r="A16" s="5" t="s">
        <v>180</v>
      </c>
      <c r="B16" s="45">
        <v>0.59670389999999995</v>
      </c>
      <c r="C16" s="98">
        <v>0.95</v>
      </c>
      <c r="D16" s="56">
        <v>2.503642449664842</v>
      </c>
      <c r="E16" s="56" t="s">
        <v>183</v>
      </c>
      <c r="F16" s="98">
        <v>1</v>
      </c>
      <c r="G16" s="98">
        <v>1</v>
      </c>
    </row>
    <row r="17" spans="1:7" ht="15.75" customHeight="1" x14ac:dyDescent="0.25">
      <c r="A17" s="5" t="s">
        <v>181</v>
      </c>
      <c r="B17" s="98">
        <v>0</v>
      </c>
      <c r="C17" s="98">
        <v>0.95</v>
      </c>
      <c r="D17" s="56">
        <v>0.1369044839662158</v>
      </c>
      <c r="E17" s="56" t="s">
        <v>183</v>
      </c>
      <c r="F17" s="98">
        <v>1</v>
      </c>
      <c r="G17" s="98">
        <v>1</v>
      </c>
    </row>
    <row r="18" spans="1:7" ht="15.9" customHeight="1" x14ac:dyDescent="0.25">
      <c r="A18" s="5" t="s">
        <v>151</v>
      </c>
      <c r="B18" s="98">
        <v>0.27800000000000002</v>
      </c>
      <c r="C18" s="98">
        <v>0.95</v>
      </c>
      <c r="D18" s="56">
        <v>7.2861200073283072</v>
      </c>
      <c r="E18" s="56" t="s">
        <v>183</v>
      </c>
      <c r="F18" s="98">
        <v>1</v>
      </c>
      <c r="G18" s="98">
        <v>1</v>
      </c>
    </row>
    <row r="19" spans="1:7" ht="15.75" customHeight="1" x14ac:dyDescent="0.25">
      <c r="A19" s="5" t="s">
        <v>152</v>
      </c>
      <c r="B19" s="98">
        <v>0.3043807</v>
      </c>
      <c r="C19" s="98">
        <v>0.95</v>
      </c>
      <c r="D19" s="56">
        <v>7.2861200073283072</v>
      </c>
      <c r="E19" s="56" t="s">
        <v>183</v>
      </c>
      <c r="F19" s="98">
        <v>1</v>
      </c>
      <c r="G19" s="98">
        <v>1</v>
      </c>
    </row>
    <row r="20" spans="1:7" ht="15.75" customHeight="1" x14ac:dyDescent="0.25">
      <c r="A20" s="5" t="s">
        <v>153</v>
      </c>
      <c r="B20" s="98">
        <v>0</v>
      </c>
      <c r="C20" s="98">
        <v>0.95</v>
      </c>
      <c r="D20" s="56">
        <v>99.99</v>
      </c>
      <c r="E20" s="56" t="s">
        <v>183</v>
      </c>
      <c r="F20" s="98">
        <v>1</v>
      </c>
      <c r="G20" s="98">
        <v>1</v>
      </c>
    </row>
    <row r="21" spans="1:7" ht="15.75" customHeight="1" x14ac:dyDescent="0.25">
      <c r="A21" s="5" t="s">
        <v>182</v>
      </c>
      <c r="B21" s="45">
        <v>0</v>
      </c>
      <c r="C21" s="98">
        <v>0.95</v>
      </c>
      <c r="D21" s="56">
        <v>7.4846345450640612</v>
      </c>
      <c r="E21" s="56" t="s">
        <v>183</v>
      </c>
      <c r="F21" s="98">
        <v>1</v>
      </c>
      <c r="G21" s="98">
        <v>1</v>
      </c>
    </row>
    <row r="22" spans="1:7" ht="15.75" customHeight="1" x14ac:dyDescent="0.25">
      <c r="A22" s="5" t="s">
        <v>184</v>
      </c>
      <c r="B22" s="98">
        <v>0</v>
      </c>
      <c r="C22" s="98">
        <v>0.95</v>
      </c>
      <c r="D22" s="56">
        <v>29.45962320280529</v>
      </c>
      <c r="E22" s="56" t="s">
        <v>183</v>
      </c>
      <c r="F22" s="98">
        <v>1</v>
      </c>
      <c r="G22" s="98">
        <v>1</v>
      </c>
    </row>
    <row r="23" spans="1:7" ht="15.75" customHeight="1" x14ac:dyDescent="0.25">
      <c r="A23" s="5" t="s">
        <v>185</v>
      </c>
      <c r="B23" s="98">
        <v>0.60746149999999999</v>
      </c>
      <c r="C23" s="98">
        <v>0.95</v>
      </c>
      <c r="D23" s="56">
        <v>5.6236363581689766</v>
      </c>
      <c r="E23" s="56" t="s">
        <v>183</v>
      </c>
      <c r="F23" s="98">
        <v>1</v>
      </c>
      <c r="G23" s="98">
        <v>1</v>
      </c>
    </row>
    <row r="24" spans="1:7" ht="15.75" customHeight="1" x14ac:dyDescent="0.25">
      <c r="A24" s="5" t="s">
        <v>188</v>
      </c>
      <c r="B24" s="45">
        <v>0.35289840412538298</v>
      </c>
      <c r="C24" s="98">
        <v>0.95</v>
      </c>
      <c r="D24" s="56">
        <v>99.99</v>
      </c>
      <c r="E24" s="56" t="s">
        <v>183</v>
      </c>
      <c r="F24" s="98">
        <v>1</v>
      </c>
      <c r="G24" s="98">
        <v>1</v>
      </c>
    </row>
    <row r="25" spans="1:7" ht="15.75" customHeight="1" x14ac:dyDescent="0.25">
      <c r="A25" s="5" t="s">
        <v>189</v>
      </c>
      <c r="B25" s="98">
        <v>0</v>
      </c>
      <c r="C25" s="98">
        <v>0.95</v>
      </c>
      <c r="D25" s="56">
        <v>99.99</v>
      </c>
      <c r="E25" s="56" t="s">
        <v>183</v>
      </c>
      <c r="F25" s="98">
        <v>1</v>
      </c>
      <c r="G25" s="98">
        <v>1</v>
      </c>
    </row>
    <row r="26" spans="1:7" ht="15.75" customHeight="1" x14ac:dyDescent="0.25">
      <c r="A26" s="5" t="s">
        <v>190</v>
      </c>
      <c r="B26" s="45">
        <v>0</v>
      </c>
      <c r="C26" s="98">
        <v>0.95</v>
      </c>
      <c r="D26" s="56">
        <v>3.4665816434934871</v>
      </c>
      <c r="E26" s="56" t="s">
        <v>183</v>
      </c>
      <c r="F26" s="98">
        <v>1</v>
      </c>
      <c r="G26" s="98">
        <v>1</v>
      </c>
    </row>
    <row r="27" spans="1:7" ht="15.75" customHeight="1" x14ac:dyDescent="0.25">
      <c r="A27" s="5" t="s">
        <v>191</v>
      </c>
      <c r="B27" s="45">
        <v>0</v>
      </c>
      <c r="C27" s="98">
        <v>0.95</v>
      </c>
      <c r="D27" s="56">
        <v>13.803307962555669</v>
      </c>
      <c r="E27" s="56" t="s">
        <v>183</v>
      </c>
      <c r="F27" s="98">
        <v>1</v>
      </c>
      <c r="G27" s="98">
        <v>1</v>
      </c>
    </row>
    <row r="28" spans="1:7" ht="15.75" customHeight="1" x14ac:dyDescent="0.25">
      <c r="A28" s="5" t="s">
        <v>192</v>
      </c>
      <c r="B28" s="45">
        <v>0.2339136</v>
      </c>
      <c r="C28" s="98">
        <v>0.95</v>
      </c>
      <c r="D28" s="56">
        <v>99.99</v>
      </c>
      <c r="E28" s="56" t="s">
        <v>183</v>
      </c>
      <c r="F28" s="98">
        <v>1</v>
      </c>
      <c r="G28" s="98">
        <v>1</v>
      </c>
    </row>
    <row r="29" spans="1:7" ht="15.75" customHeight="1" x14ac:dyDescent="0.25">
      <c r="A29" s="5" t="s">
        <v>193</v>
      </c>
      <c r="B29" s="45">
        <v>9.1486800000000007E-2</v>
      </c>
      <c r="C29" s="98">
        <v>0.95</v>
      </c>
      <c r="D29" s="56">
        <v>88.005851455993124</v>
      </c>
      <c r="E29" s="56" t="s">
        <v>183</v>
      </c>
      <c r="F29" s="98">
        <v>1</v>
      </c>
      <c r="G29" s="98">
        <v>1</v>
      </c>
    </row>
    <row r="30" spans="1:7" ht="15.75" customHeight="1" x14ac:dyDescent="0.25">
      <c r="A30" s="5" t="s">
        <v>204</v>
      </c>
      <c r="B30" s="98">
        <v>0</v>
      </c>
      <c r="C30" s="98">
        <v>0.95</v>
      </c>
      <c r="D30" s="56">
        <v>99</v>
      </c>
      <c r="E30" s="56" t="s">
        <v>183</v>
      </c>
      <c r="F30" s="98">
        <v>1</v>
      </c>
      <c r="G30" s="98">
        <v>1</v>
      </c>
    </row>
    <row r="31" spans="1:7" ht="15.75" customHeight="1" x14ac:dyDescent="0.25">
      <c r="A31" s="5" t="s">
        <v>164</v>
      </c>
      <c r="B31" s="45">
        <v>0.17560000000000001</v>
      </c>
      <c r="C31" s="98">
        <v>0.95</v>
      </c>
      <c r="D31" s="56">
        <v>180.94215297303569</v>
      </c>
      <c r="E31" s="56" t="s">
        <v>183</v>
      </c>
      <c r="F31" s="98">
        <v>1</v>
      </c>
      <c r="G31" s="98">
        <v>1</v>
      </c>
    </row>
    <row r="32" spans="1:7" ht="15.75" customHeight="1" x14ac:dyDescent="0.25">
      <c r="A32" s="5" t="s">
        <v>196</v>
      </c>
      <c r="B32" s="45">
        <v>0.35</v>
      </c>
      <c r="C32" s="98">
        <v>0.95</v>
      </c>
      <c r="D32" s="56">
        <v>0.65266805708153031</v>
      </c>
      <c r="E32" s="56" t="s">
        <v>183</v>
      </c>
      <c r="F32" s="98">
        <v>1</v>
      </c>
      <c r="G32" s="98">
        <v>1</v>
      </c>
    </row>
    <row r="33" spans="1:7" ht="15.75" customHeight="1" x14ac:dyDescent="0.25">
      <c r="A33" s="5" t="s">
        <v>197</v>
      </c>
      <c r="B33" s="45">
        <v>0.22176409999999999</v>
      </c>
      <c r="C33" s="98">
        <v>0.95</v>
      </c>
      <c r="D33" s="56">
        <v>99.99</v>
      </c>
      <c r="E33" s="56" t="s">
        <v>183</v>
      </c>
      <c r="F33" s="98">
        <v>1</v>
      </c>
      <c r="G33" s="98">
        <v>1</v>
      </c>
    </row>
    <row r="34" spans="1:7" ht="15.75" customHeight="1" x14ac:dyDescent="0.25">
      <c r="A34" s="5" t="s">
        <v>198</v>
      </c>
      <c r="B34" s="45">
        <v>0.46673049999999999</v>
      </c>
      <c r="C34" s="98">
        <v>0.95</v>
      </c>
      <c r="D34" s="56">
        <v>99.99</v>
      </c>
      <c r="E34" s="56" t="s">
        <v>183</v>
      </c>
      <c r="F34" s="98">
        <v>1</v>
      </c>
      <c r="G34" s="98">
        <v>1</v>
      </c>
    </row>
    <row r="35" spans="1:7" ht="15.75" customHeight="1" x14ac:dyDescent="0.25">
      <c r="A35" s="5" t="s">
        <v>199</v>
      </c>
      <c r="B35" s="98">
        <v>0</v>
      </c>
      <c r="C35" s="98">
        <v>0.95</v>
      </c>
      <c r="D35" s="56">
        <v>99.99</v>
      </c>
      <c r="E35" s="56" t="s">
        <v>183</v>
      </c>
      <c r="F35" s="98">
        <v>1</v>
      </c>
      <c r="G35" s="98">
        <v>1</v>
      </c>
    </row>
    <row r="36" spans="1:7" ht="15.75" customHeight="1" x14ac:dyDescent="0.25">
      <c r="A36" s="5" t="s">
        <v>200</v>
      </c>
      <c r="B36" s="45">
        <v>3.8961999999999998E-3</v>
      </c>
      <c r="C36" s="98">
        <v>0.95</v>
      </c>
      <c r="D36" s="56">
        <v>99.99</v>
      </c>
      <c r="E36" s="56" t="s">
        <v>183</v>
      </c>
      <c r="F36" s="98">
        <v>1</v>
      </c>
      <c r="G36" s="98">
        <v>1</v>
      </c>
    </row>
    <row r="37" spans="1:7" ht="15.75" customHeight="1" x14ac:dyDescent="0.25">
      <c r="A37" s="5" t="s">
        <v>201</v>
      </c>
      <c r="B37" s="45">
        <v>0.13799710000000001</v>
      </c>
      <c r="C37" s="98">
        <v>0.95</v>
      </c>
      <c r="D37" s="56">
        <v>99.99</v>
      </c>
      <c r="E37" s="56" t="s">
        <v>183</v>
      </c>
      <c r="F37" s="98">
        <v>1</v>
      </c>
      <c r="G37" s="98">
        <v>1</v>
      </c>
    </row>
    <row r="38" spans="1:7" ht="15.75" customHeight="1" x14ac:dyDescent="0.25">
      <c r="A38" s="5" t="s">
        <v>202</v>
      </c>
      <c r="B38" s="45">
        <v>0.12971460000000001</v>
      </c>
      <c r="C38" s="98">
        <v>0.95</v>
      </c>
      <c r="D38" s="56">
        <v>2.4488574538288082</v>
      </c>
      <c r="E38" s="56" t="s">
        <v>183</v>
      </c>
      <c r="F38" s="98">
        <v>1</v>
      </c>
      <c r="G38" s="98">
        <v>1</v>
      </c>
    </row>
    <row r="39" spans="1:7" ht="15.75" customHeight="1" x14ac:dyDescent="0.25">
      <c r="A39" s="5" t="s">
        <v>203</v>
      </c>
      <c r="B39" s="45">
        <v>0</v>
      </c>
      <c r="C39" s="98">
        <v>0.95</v>
      </c>
      <c r="D39" s="56">
        <v>3.4277904548683669</v>
      </c>
      <c r="E39" s="56" t="s">
        <v>183</v>
      </c>
      <c r="F39" s="98">
        <v>1</v>
      </c>
      <c r="G39" s="98">
        <v>1</v>
      </c>
    </row>
  </sheetData>
  <sheetProtection algorithmName="SHA-512" hashValue="DEYiXY1Y7YFre5/R+qcTHQk4+Ce4nUvccScPWC8YDIkvcWFgIZaHpBxXewyYL5WxLCe1kJDfod6zMdb9LKZy+g==" saltValue="UB/cfQZWNaTd6b/ovfZ9S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7" sqref="B7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163</v>
      </c>
      <c r="B1" s="4" t="s">
        <v>205</v>
      </c>
      <c r="C1" s="4" t="s">
        <v>206</v>
      </c>
    </row>
    <row r="2" spans="1:3" ht="13.25" customHeight="1" x14ac:dyDescent="0.25">
      <c r="A2" s="57" t="s">
        <v>178</v>
      </c>
      <c r="B2" s="47" t="s">
        <v>191</v>
      </c>
      <c r="C2" s="47"/>
    </row>
    <row r="3" spans="1:3" ht="13.25" customHeight="1" x14ac:dyDescent="0.25">
      <c r="A3" s="57" t="s">
        <v>179</v>
      </c>
      <c r="B3" s="47" t="s">
        <v>191</v>
      </c>
      <c r="C3" s="47"/>
    </row>
    <row r="4" spans="1:3" ht="13.25" customHeight="1" x14ac:dyDescent="0.25">
      <c r="A4" s="57" t="s">
        <v>193</v>
      </c>
      <c r="B4" s="47" t="s">
        <v>184</v>
      </c>
      <c r="C4" s="47"/>
    </row>
    <row r="5" spans="1:3" ht="13.25" customHeight="1" x14ac:dyDescent="0.25">
      <c r="A5" s="57" t="s">
        <v>190</v>
      </c>
      <c r="B5" s="47" t="s">
        <v>184</v>
      </c>
      <c r="C5" s="47"/>
    </row>
    <row r="6" spans="1:3" ht="13.25" customHeight="1" x14ac:dyDescent="0.25">
      <c r="A6" s="57" t="s">
        <v>193</v>
      </c>
      <c r="B6" s="58" t="s">
        <v>204</v>
      </c>
      <c r="C6" s="58"/>
    </row>
    <row r="7" spans="1:3" ht="13.25" customHeight="1" x14ac:dyDescent="0.25">
      <c r="A7" s="57" t="s">
        <v>190</v>
      </c>
      <c r="B7" s="58" t="s">
        <v>204</v>
      </c>
      <c r="C7" s="58"/>
    </row>
    <row r="8" spans="1:3" ht="13.25" customHeight="1" x14ac:dyDescent="0.25">
      <c r="A8" s="57" t="s">
        <v>203</v>
      </c>
      <c r="B8" s="58" t="s">
        <v>204</v>
      </c>
      <c r="C8" s="58"/>
    </row>
    <row r="9" spans="1:3" ht="13.25" customHeight="1" x14ac:dyDescent="0.25">
      <c r="A9" s="57"/>
      <c r="B9" s="58"/>
      <c r="C9" s="58"/>
    </row>
    <row r="10" spans="1:3" ht="13.25" customHeight="1" x14ac:dyDescent="0.25">
      <c r="A10" s="57"/>
      <c r="B10" s="58"/>
      <c r="C10" s="58"/>
    </row>
    <row r="11" spans="1:3" ht="13.25" customHeight="1" x14ac:dyDescent="0.25">
      <c r="A11" s="59"/>
      <c r="B11" s="58"/>
      <c r="C11" s="58"/>
    </row>
    <row r="12" spans="1:3" ht="13.25" customHeight="1" x14ac:dyDescent="0.25">
      <c r="A12" s="59"/>
      <c r="B12" s="58"/>
      <c r="C12" s="58"/>
    </row>
    <row r="13" spans="1:3" ht="13.25" customHeight="1" x14ac:dyDescent="0.25">
      <c r="A13" s="59"/>
      <c r="B13" s="58"/>
      <c r="C13" s="58"/>
    </row>
    <row r="14" spans="1:3" ht="13.25" customHeight="1" x14ac:dyDescent="0.25">
      <c r="A14" s="59"/>
      <c r="B14" s="58"/>
      <c r="C14" s="58"/>
    </row>
    <row r="15" spans="1:3" ht="13.25" customHeight="1" x14ac:dyDescent="0.25">
      <c r="A15" s="59"/>
      <c r="B15" s="58"/>
      <c r="C15" s="58"/>
    </row>
    <row r="16" spans="1:3" ht="13.25" customHeight="1" x14ac:dyDescent="0.25">
      <c r="A16" s="59"/>
      <c r="B16" s="58"/>
      <c r="C16" s="58"/>
    </row>
    <row r="17" spans="1:3" ht="13.25" customHeight="1" x14ac:dyDescent="0.25">
      <c r="A17" s="59"/>
      <c r="B17" s="58"/>
      <c r="C17" s="58"/>
    </row>
    <row r="18" spans="1:3" ht="13.25" customHeight="1" x14ac:dyDescent="0.25">
      <c r="A18" s="59"/>
      <c r="B18" s="58"/>
      <c r="C18" s="58"/>
    </row>
    <row r="19" spans="1:3" ht="13.25" customHeight="1" x14ac:dyDescent="0.25">
      <c r="A19" s="57"/>
      <c r="B19" s="58"/>
      <c r="C19" s="58"/>
    </row>
    <row r="20" spans="1:3" ht="13.25" customHeight="1" x14ac:dyDescent="0.25">
      <c r="A20" s="57"/>
      <c r="B20" s="58"/>
      <c r="C20" s="58"/>
    </row>
  </sheetData>
  <sheetProtection algorithmName="SHA-512" hashValue="p5/flQaO1IbAHyXrR8UTvP7YHbUnpuyYDkUAL52Ivnk/XfdOItPmIKDGOBQ7JKaENumShDX92l6GLLL3HgMTtQ==" saltValue="KPu5XARui0ibs8+lfqADZ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8" sqref="A8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163</v>
      </c>
    </row>
    <row r="2" spans="1:1" ht="13.25" customHeight="1" x14ac:dyDescent="0.25">
      <c r="A2" s="33" t="s">
        <v>170</v>
      </c>
    </row>
    <row r="3" spans="1:1" ht="13.25" customHeight="1" x14ac:dyDescent="0.25">
      <c r="A3" s="33" t="s">
        <v>180</v>
      </c>
    </row>
    <row r="4" spans="1:1" ht="13.25" customHeight="1" x14ac:dyDescent="0.25">
      <c r="A4" s="33" t="s">
        <v>185</v>
      </c>
    </row>
    <row r="5" spans="1:1" ht="13.25" customHeight="1" x14ac:dyDescent="0.25">
      <c r="A5" s="33" t="s">
        <v>197</v>
      </c>
    </row>
    <row r="6" spans="1:1" ht="13.25" customHeight="1" x14ac:dyDescent="0.25">
      <c r="A6" s="33" t="s">
        <v>198</v>
      </c>
    </row>
    <row r="7" spans="1:1" ht="13.25" customHeight="1" x14ac:dyDescent="0.25">
      <c r="A7" s="33" t="s">
        <v>199</v>
      </c>
    </row>
    <row r="8" spans="1:1" ht="13.25" customHeight="1" x14ac:dyDescent="0.25">
      <c r="A8" s="33" t="s">
        <v>200</v>
      </c>
    </row>
    <row r="9" spans="1:1" ht="13.25" customHeight="1" x14ac:dyDescent="0.25">
      <c r="A9" s="33" t="s">
        <v>201</v>
      </c>
    </row>
    <row r="10" spans="1:1" ht="13.25" customHeight="1" x14ac:dyDescent="0.25">
      <c r="A10" s="33" t="s">
        <v>164</v>
      </c>
    </row>
    <row r="11" spans="1:1" ht="13.25" customHeight="1" x14ac:dyDescent="0.25">
      <c r="A11" s="33"/>
    </row>
    <row r="12" spans="1:1" ht="13.25" customHeight="1" x14ac:dyDescent="0.25">
      <c r="A12" s="33"/>
    </row>
    <row r="13" spans="1:1" ht="13.25" customHeight="1" x14ac:dyDescent="0.25">
      <c r="A13" s="33"/>
    </row>
    <row r="14" spans="1:1" ht="13.25" customHeight="1" x14ac:dyDescent="0.25">
      <c r="A14" s="33"/>
    </row>
    <row r="15" spans="1:1" ht="13.25" customHeight="1" x14ac:dyDescent="0.25">
      <c r="A15" s="33"/>
    </row>
    <row r="16" spans="1:1" ht="13.25" customHeight="1" x14ac:dyDescent="0.25">
      <c r="A16" s="33"/>
    </row>
    <row r="17" spans="1:1" ht="13.25" customHeight="1" x14ac:dyDescent="0.25">
      <c r="A17" s="33"/>
    </row>
    <row r="18" spans="1:1" ht="13.25" customHeight="1" x14ac:dyDescent="0.25">
      <c r="A18" s="33"/>
    </row>
    <row r="19" spans="1:1" ht="13.25" customHeight="1" x14ac:dyDescent="0.25">
      <c r="A19" s="33"/>
    </row>
  </sheetData>
  <sheetProtection algorithmName="SHA-512" hashValue="sIiI92QAE0T508s6bADNfHrZNt3+e5M30I7bJkVJ0omY6/8RrKtvP8Jp3KNzGFcydWVOPn6tjGdYjzpohvprgg==" saltValue="5tHiYjy8mSE4drEjqIPOwA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208</v>
      </c>
      <c r="B1" t="s">
        <v>78</v>
      </c>
      <c r="C1" t="s">
        <v>74</v>
      </c>
      <c r="D1" t="s">
        <v>77</v>
      </c>
      <c r="E1" t="s">
        <v>75</v>
      </c>
      <c r="F1" t="s">
        <v>76</v>
      </c>
    </row>
    <row r="2" spans="1:6" ht="15.75" customHeight="1" x14ac:dyDescent="0.25">
      <c r="A2" s="3" t="s">
        <v>84</v>
      </c>
      <c r="B2" s="21">
        <f>'Entradas de población-año base'!C51</f>
        <v>3.3</v>
      </c>
      <c r="C2" s="21">
        <f>'Entradas de población-año base'!C52</f>
        <v>3.3</v>
      </c>
      <c r="D2" s="21">
        <f>'Entradas de población-año base'!C53</f>
        <v>3.3</v>
      </c>
      <c r="E2" s="21">
        <f>'Entradas de población-año base'!C54</f>
        <v>3.3</v>
      </c>
      <c r="F2" s="21">
        <f>'Entradas de población-año base'!C55</f>
        <v>3.3</v>
      </c>
    </row>
    <row r="3" spans="1:6" ht="15.75" customHeight="1" x14ac:dyDescent="0.25">
      <c r="A3" s="3" t="s">
        <v>6</v>
      </c>
      <c r="B3" s="21">
        <f>frac_mam_1month * 2.6</f>
        <v>0.10848266000000001</v>
      </c>
      <c r="C3" s="21">
        <f>frac_mam_1_5months * 2.6</f>
        <v>0.10848266000000001</v>
      </c>
      <c r="D3" s="21">
        <f>frac_mam_6_11months * 2.6</f>
        <v>0.18525468</v>
      </c>
      <c r="E3" s="21">
        <f>frac_mam_12_23months * 2.6</f>
        <v>0.13992888000000001</v>
      </c>
      <c r="F3" s="21">
        <f>frac_mam_24_59months * 2.6</f>
        <v>7.3819460000000003E-2</v>
      </c>
    </row>
    <row r="4" spans="1:6" ht="15.75" customHeight="1" x14ac:dyDescent="0.25">
      <c r="A4" s="3" t="s">
        <v>207</v>
      </c>
      <c r="B4" s="21">
        <f>frac_sam_1month * 2.6</f>
        <v>8.2176900000000011E-2</v>
      </c>
      <c r="C4" s="21">
        <f>frac_sam_1_5months * 2.6</f>
        <v>8.2176900000000011E-2</v>
      </c>
      <c r="D4" s="21">
        <f>frac_sam_6_11months * 2.6</f>
        <v>4.8562280000000006E-2</v>
      </c>
      <c r="E4" s="21">
        <f>frac_sam_12_23months * 2.6</f>
        <v>5.4622880000000006E-2</v>
      </c>
      <c r="F4" s="21">
        <f>frac_sam_24_59months * 2.6</f>
        <v>2.615106E-2</v>
      </c>
    </row>
  </sheetData>
  <sheetProtection algorithmName="SHA-512" hashValue="kdHFaboADFdyRe/U/KWEDE6hY+vbqurecsuzm5m+YNoxLCeCuNi+9t0LKSltfoBhv6ps9LvnyGZ+23Uh7zl27w==" saltValue="sl/o8TPcIk4KjqYPV8m7SA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209</v>
      </c>
      <c r="B1" s="1" t="s">
        <v>163</v>
      </c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  <c r="H1" s="4" t="s">
        <v>113</v>
      </c>
      <c r="I1" s="4" t="s">
        <v>114</v>
      </c>
      <c r="J1" s="4" t="s">
        <v>115</v>
      </c>
      <c r="K1" s="4" t="s">
        <v>116</v>
      </c>
      <c r="L1" s="4" t="s">
        <v>68</v>
      </c>
      <c r="M1" s="4" t="s">
        <v>69</v>
      </c>
      <c r="N1" s="4" t="s">
        <v>70</v>
      </c>
      <c r="O1" s="4" t="s">
        <v>71</v>
      </c>
    </row>
    <row r="2" spans="1:15" ht="15.75" customHeight="1" x14ac:dyDescent="0.3">
      <c r="A2" s="4" t="s">
        <v>83</v>
      </c>
      <c r="B2" s="5" t="s">
        <v>167</v>
      </c>
      <c r="C2" s="60">
        <v>0</v>
      </c>
      <c r="D2" s="60">
        <f>food_insecure</f>
        <v>0.66299999999999992</v>
      </c>
      <c r="E2" s="60">
        <f>food_insecure</f>
        <v>0.66299999999999992</v>
      </c>
      <c r="F2" s="60">
        <f>food_insecure</f>
        <v>0.66299999999999992</v>
      </c>
      <c r="G2" s="60">
        <f>food_insecure</f>
        <v>0.66299999999999992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169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182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184</v>
      </c>
      <c r="C5" s="60">
        <v>0</v>
      </c>
      <c r="D5" s="60">
        <v>0</v>
      </c>
      <c r="E5" s="60">
        <f>food_insecure</f>
        <v>0.66299999999999992</v>
      </c>
      <c r="F5" s="60">
        <f>food_insecure</f>
        <v>0.66299999999999992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190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192</v>
      </c>
      <c r="C7" s="60">
        <f>diarrhoea_1mo*frac_diarrhea_severe</f>
        <v>7.2000000000000008E-2</v>
      </c>
      <c r="D7" s="60">
        <f>diarrhoea_1_5mo*frac_diarrhea_severe</f>
        <v>7.2000000000000008E-2</v>
      </c>
      <c r="E7" s="60">
        <f>diarrhoea_6_11mo*frac_diarrhea_severe</f>
        <v>7.2000000000000008E-2</v>
      </c>
      <c r="F7" s="60">
        <f>diarrhoea_12_23mo*frac_diarrhea_severe</f>
        <v>7.2000000000000008E-2</v>
      </c>
      <c r="G7" s="60">
        <f>diarrhoea_24_59mo*frac_diarrhea_severe</f>
        <v>7.2000000000000008E-2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193</v>
      </c>
      <c r="C8" s="60">
        <v>0</v>
      </c>
      <c r="D8" s="60">
        <v>0</v>
      </c>
      <c r="E8" s="60">
        <f>food_insecure</f>
        <v>0.66299999999999992</v>
      </c>
      <c r="F8" s="60">
        <f>food_insecure</f>
        <v>0.66299999999999992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204</v>
      </c>
      <c r="C9" s="60">
        <v>0</v>
      </c>
      <c r="D9" s="60">
        <v>0</v>
      </c>
      <c r="E9" s="60">
        <f>food_insecure</f>
        <v>0.66299999999999992</v>
      </c>
      <c r="F9" s="60">
        <f>food_insecure</f>
        <v>0.66299999999999992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164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196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202</v>
      </c>
      <c r="C12" s="60">
        <f>diarrhoea_1mo*frac_diarrhea_severe</f>
        <v>7.2000000000000008E-2</v>
      </c>
      <c r="D12" s="60">
        <f>diarrhoea_1_5mo*frac_diarrhea_severe</f>
        <v>7.2000000000000008E-2</v>
      </c>
      <c r="E12" s="60">
        <f>diarrhoea_6_11mo*frac_diarrhea_severe</f>
        <v>7.2000000000000008E-2</v>
      </c>
      <c r="F12" s="60">
        <f>diarrhoea_12_23mo*frac_diarrhea_severe</f>
        <v>7.2000000000000008E-2</v>
      </c>
      <c r="G12" s="60">
        <f>diarrhoea_24_59mo*frac_diarrhea_severe</f>
        <v>7.2000000000000008E-2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203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104</v>
      </c>
      <c r="B15" s="9" t="s">
        <v>165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0.66299999999999992</v>
      </c>
      <c r="I15" s="60">
        <f>food_insecure</f>
        <v>0.66299999999999992</v>
      </c>
      <c r="J15" s="60">
        <f>food_insecure</f>
        <v>0.66299999999999992</v>
      </c>
      <c r="K15" s="60">
        <f>food_insecure</f>
        <v>0.66299999999999992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166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178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179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180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0.99900000000000011</v>
      </c>
      <c r="I19" s="60">
        <f>frac_malaria_risk</f>
        <v>0.99900000000000011</v>
      </c>
      <c r="J19" s="60">
        <f>frac_malaria_risk</f>
        <v>0.99900000000000011</v>
      </c>
      <c r="K19" s="60">
        <f>frac_malaria_risk</f>
        <v>0.99900000000000011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188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189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191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211</v>
      </c>
      <c r="B24" s="11" t="s">
        <v>170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0.71299999999999997</v>
      </c>
      <c r="M24" s="60">
        <f>famplan_unmet_need</f>
        <v>0.71299999999999997</v>
      </c>
      <c r="N24" s="60">
        <f>famplan_unmet_need</f>
        <v>0.71299999999999997</v>
      </c>
      <c r="O24" s="60">
        <f>famplan_unmet_need</f>
        <v>0.71299999999999997</v>
      </c>
    </row>
    <row r="25" spans="1:15" ht="15.75" customHeight="1" x14ac:dyDescent="0.25">
      <c r="B25" s="11" t="s">
        <v>174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0.56727840429658882</v>
      </c>
      <c r="M25" s="60">
        <f>(1-food_insecure)*(0.49)+food_insecure*(0.7)</f>
        <v>0.62922999999999996</v>
      </c>
      <c r="N25" s="60">
        <f>(1-food_insecure)*(0.49)+food_insecure*(0.7)</f>
        <v>0.62922999999999996</v>
      </c>
      <c r="O25" s="60">
        <f>(1-food_insecure)*(0.49)+food_insecure*(0.7)</f>
        <v>0.62922999999999996</v>
      </c>
    </row>
    <row r="26" spans="1:15" ht="15.75" customHeight="1" x14ac:dyDescent="0.25">
      <c r="B26" s="11" t="s">
        <v>175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0.24311931612710952</v>
      </c>
      <c r="M26" s="60">
        <f>(1-food_insecure)*(0.21)+food_insecure*(0.3)</f>
        <v>0.26966999999999997</v>
      </c>
      <c r="N26" s="60">
        <f>(1-food_insecure)*(0.21)+food_insecure*(0.3)</f>
        <v>0.26966999999999997</v>
      </c>
      <c r="O26" s="60">
        <f>(1-food_insecure)*(0.21)+food_insecure*(0.3)</f>
        <v>0.26966999999999997</v>
      </c>
    </row>
    <row r="27" spans="1:15" ht="15.75" customHeight="1" x14ac:dyDescent="0.25">
      <c r="B27" s="11" t="s">
        <v>176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9.1146078022956878E-2</v>
      </c>
      <c r="M27" s="60">
        <f>(1-food_insecure)*(0.3)</f>
        <v>0.10110000000000002</v>
      </c>
      <c r="N27" s="60">
        <f>(1-food_insecure)*(0.3)</f>
        <v>0.10110000000000002</v>
      </c>
      <c r="O27" s="60">
        <f>(1-food_insecure)*(0.3)</f>
        <v>0.10110000000000002</v>
      </c>
    </row>
    <row r="28" spans="1:15" ht="15.75" customHeight="1" x14ac:dyDescent="0.25">
      <c r="B28" s="11" t="s">
        <v>177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9.8456201553344724E-2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210</v>
      </c>
      <c r="B30" s="5" t="s">
        <v>171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172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173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181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185</v>
      </c>
      <c r="C34" s="60">
        <f t="shared" ref="C34:O34" si="3">frac_malaria_risk</f>
        <v>0.99900000000000011</v>
      </c>
      <c r="D34" s="60">
        <f t="shared" si="3"/>
        <v>0.99900000000000011</v>
      </c>
      <c r="E34" s="60">
        <f t="shared" si="3"/>
        <v>0.99900000000000011</v>
      </c>
      <c r="F34" s="60">
        <f t="shared" si="3"/>
        <v>0.99900000000000011</v>
      </c>
      <c r="G34" s="60">
        <f t="shared" si="3"/>
        <v>0.99900000000000011</v>
      </c>
      <c r="H34" s="60">
        <f t="shared" si="3"/>
        <v>0.99900000000000011</v>
      </c>
      <c r="I34" s="60">
        <f t="shared" si="3"/>
        <v>0.99900000000000011</v>
      </c>
      <c r="J34" s="60">
        <f t="shared" si="3"/>
        <v>0.99900000000000011</v>
      </c>
      <c r="K34" s="60">
        <f t="shared" si="3"/>
        <v>0.99900000000000011</v>
      </c>
      <c r="L34" s="60">
        <f t="shared" si="3"/>
        <v>0.99900000000000011</v>
      </c>
      <c r="M34" s="60">
        <f t="shared" si="3"/>
        <v>0.99900000000000011</v>
      </c>
      <c r="N34" s="60">
        <f t="shared" si="3"/>
        <v>0.99900000000000011</v>
      </c>
      <c r="O34" s="60">
        <f t="shared" si="3"/>
        <v>0.99900000000000011</v>
      </c>
    </row>
    <row r="35" spans="2:15" ht="15.75" customHeight="1" x14ac:dyDescent="0.25">
      <c r="B35" s="9" t="s">
        <v>197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198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199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200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201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vmr1pCoPSYL5qFE+yofCKQcSikpJKj55BchdWgr9zrkIgaw72zE9SFVcEO2JT+mfJeAMepUxlvWupzf5NahZIg==" saltValue="VtUt3sikWaNTAgLNa5nv4Q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183</v>
      </c>
    </row>
    <row r="2" spans="1:1" x14ac:dyDescent="0.25">
      <c r="A2" s="8" t="s">
        <v>213</v>
      </c>
    </row>
    <row r="3" spans="1:1" x14ac:dyDescent="0.25">
      <c r="A3" s="8" t="s">
        <v>212</v>
      </c>
    </row>
    <row r="4" spans="1:1" x14ac:dyDescent="0.25">
      <c r="A4" s="8" t="s">
        <v>214</v>
      </c>
    </row>
  </sheetData>
  <sheetProtection algorithmName="SHA-512" hashValue="U5NzT/Do/F9DgPLkA9Mv/oUop+lzcVETmgvEpjoDdeYzKGvgZc0jcoX3sAq5w9Aai5FGosRdW9v71/3hrORPEg==" saltValue="JKZEtXv54wpJVioxV1JO5w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223</v>
      </c>
      <c r="B1" s="4" t="s">
        <v>216</v>
      </c>
      <c r="C1" s="4" t="s">
        <v>227</v>
      </c>
      <c r="D1" s="4" t="s">
        <v>145</v>
      </c>
      <c r="E1" s="4" t="s">
        <v>225</v>
      </c>
    </row>
    <row r="2" spans="1:5" ht="14" customHeight="1" x14ac:dyDescent="0.3">
      <c r="A2" s="28" t="s">
        <v>215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222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221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220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218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219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IENvJg5K1dl1BTRBBGmzfDyuYKNlUjR6txq2fey9WBI514Rt4UsXHZGsGyKthlrQ3zV6CPfKRoiaXl2fiZH2hA==" saltValue="ngCCviFlByorBaSeRRnZDQ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C12" sqref="C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209</v>
      </c>
      <c r="B1" s="1" t="s">
        <v>163</v>
      </c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  <c r="H1" s="4" t="s">
        <v>113</v>
      </c>
      <c r="I1" s="4" t="s">
        <v>114</v>
      </c>
      <c r="J1" s="4" t="s">
        <v>115</v>
      </c>
      <c r="K1" s="4" t="s">
        <v>116</v>
      </c>
      <c r="L1" s="4" t="s">
        <v>68</v>
      </c>
      <c r="M1" s="4" t="s">
        <v>69</v>
      </c>
      <c r="N1" s="4" t="s">
        <v>70</v>
      </c>
      <c r="O1" s="4" t="s">
        <v>71</v>
      </c>
    </row>
    <row r="2" spans="1:15" ht="15.75" customHeight="1" x14ac:dyDescent="0.35">
      <c r="A2" s="4" t="s">
        <v>83</v>
      </c>
      <c r="B2" s="5" t="s">
        <v>167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169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151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152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153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182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190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192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193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204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164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196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202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203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104</v>
      </c>
      <c r="B18" s="5" t="s">
        <v>165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166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178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179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180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188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189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191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211</v>
      </c>
      <c r="B27" s="5" t="s">
        <v>170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174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175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176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177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210</v>
      </c>
      <c r="B33" s="5" t="s">
        <v>171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172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173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181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197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198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199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200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201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KXWvkvWXMGipfwMZOB4zIbuM2kW6cYt/ws/36wl/jBYDE8Mz7njJAEJuu8XGZdmO/PV6GvTiMU1iW5DxJHUWYg==" saltValue="QxUFdSUzpWx5oifjkgX6ew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163</v>
      </c>
      <c r="B1" s="8" t="s">
        <v>230</v>
      </c>
      <c r="C1" s="8" t="s">
        <v>105</v>
      </c>
      <c r="D1" s="8" t="s">
        <v>231</v>
      </c>
      <c r="E1" s="8" t="s">
        <v>232</v>
      </c>
      <c r="F1" s="8" t="s">
        <v>123</v>
      </c>
      <c r="G1" s="8" t="s">
        <v>84</v>
      </c>
      <c r="H1" s="8" t="s">
        <v>37</v>
      </c>
      <c r="I1" s="8" t="s">
        <v>229</v>
      </c>
      <c r="J1" s="8" t="s">
        <v>22</v>
      </c>
      <c r="K1" s="8" t="s">
        <v>228</v>
      </c>
    </row>
    <row r="2" spans="1:11" ht="13.25" customHeight="1" x14ac:dyDescent="0.25">
      <c r="A2" s="5" t="s">
        <v>165</v>
      </c>
      <c r="B2" s="87"/>
      <c r="C2" s="87"/>
      <c r="D2" s="87"/>
      <c r="E2" s="87"/>
      <c r="F2" s="87"/>
      <c r="G2" s="87"/>
      <c r="H2" s="87"/>
      <c r="I2" s="87" t="s">
        <v>5</v>
      </c>
      <c r="J2" s="87"/>
      <c r="K2" s="87"/>
    </row>
    <row r="3" spans="1:11" ht="13.25" customHeight="1" x14ac:dyDescent="0.25">
      <c r="A3" s="5" t="s">
        <v>166</v>
      </c>
      <c r="B3" s="87"/>
      <c r="C3" s="87"/>
      <c r="D3" s="87"/>
      <c r="E3" s="87"/>
      <c r="F3" s="87"/>
      <c r="G3" s="87"/>
      <c r="H3" s="87" t="s">
        <v>5</v>
      </c>
      <c r="I3" s="87"/>
      <c r="J3" s="87"/>
      <c r="K3" s="87"/>
    </row>
    <row r="4" spans="1:11" ht="13.25" customHeight="1" x14ac:dyDescent="0.25">
      <c r="A4" s="5" t="s">
        <v>167</v>
      </c>
      <c r="B4" s="87"/>
      <c r="C4" s="87"/>
      <c r="D4" s="87" t="s">
        <v>5</v>
      </c>
      <c r="E4" s="87"/>
      <c r="F4" s="87"/>
      <c r="G4" s="87"/>
      <c r="H4" s="87"/>
      <c r="I4" s="87"/>
      <c r="J4" s="87"/>
      <c r="K4" s="87"/>
    </row>
    <row r="5" spans="1:11" ht="13.25" customHeight="1" x14ac:dyDescent="0.25">
      <c r="A5" s="5" t="s">
        <v>169</v>
      </c>
      <c r="B5" s="87"/>
      <c r="C5" s="87" t="s">
        <v>5</v>
      </c>
      <c r="D5" s="87"/>
      <c r="E5" s="87"/>
      <c r="F5" s="87"/>
      <c r="G5" s="87"/>
      <c r="H5" s="87"/>
      <c r="I5" s="87"/>
      <c r="J5" s="87"/>
      <c r="K5" s="87"/>
    </row>
    <row r="6" spans="1:11" ht="13.25" customHeight="1" x14ac:dyDescent="0.25">
      <c r="A6" s="5" t="s">
        <v>170</v>
      </c>
      <c r="B6" s="87"/>
      <c r="C6" s="87"/>
      <c r="D6" s="87"/>
      <c r="E6" s="87"/>
      <c r="F6" s="87"/>
      <c r="G6" s="87"/>
      <c r="H6" s="87"/>
      <c r="I6" s="87"/>
      <c r="J6" s="87" t="s">
        <v>5</v>
      </c>
      <c r="K6" s="87" t="s">
        <v>5</v>
      </c>
    </row>
    <row r="7" spans="1:11" ht="13.25" customHeight="1" x14ac:dyDescent="0.25">
      <c r="A7" s="5" t="s">
        <v>171</v>
      </c>
      <c r="B7" s="87"/>
      <c r="C7" s="87" t="s">
        <v>5</v>
      </c>
      <c r="D7" s="87"/>
      <c r="E7" s="87"/>
      <c r="F7" s="87"/>
      <c r="G7" s="87"/>
      <c r="H7" s="87" t="s">
        <v>5</v>
      </c>
      <c r="I7" s="87"/>
      <c r="J7" s="87"/>
      <c r="K7" s="87"/>
    </row>
    <row r="8" spans="1:11" ht="13.25" customHeight="1" x14ac:dyDescent="0.25">
      <c r="A8" s="5" t="s">
        <v>172</v>
      </c>
      <c r="B8" s="87"/>
      <c r="C8" s="87" t="s">
        <v>5</v>
      </c>
      <c r="D8" s="87"/>
      <c r="E8" s="87"/>
      <c r="F8" s="87"/>
      <c r="G8" s="87"/>
      <c r="H8" s="87" t="s">
        <v>5</v>
      </c>
      <c r="I8" s="87"/>
      <c r="J8" s="87"/>
      <c r="K8" s="87"/>
    </row>
    <row r="9" spans="1:11" ht="13.25" customHeight="1" x14ac:dyDescent="0.25">
      <c r="A9" s="5" t="s">
        <v>173</v>
      </c>
      <c r="B9" s="87"/>
      <c r="C9" s="87" t="s">
        <v>5</v>
      </c>
      <c r="D9" s="87"/>
      <c r="E9" s="87"/>
      <c r="F9" s="87"/>
      <c r="G9" s="87"/>
      <c r="H9" s="87" t="s">
        <v>5</v>
      </c>
      <c r="I9" s="87"/>
      <c r="J9" s="87"/>
      <c r="K9" s="87"/>
    </row>
    <row r="10" spans="1:11" ht="13.25" customHeight="1" x14ac:dyDescent="0.25">
      <c r="A10" s="11" t="s">
        <v>174</v>
      </c>
      <c r="B10" s="87"/>
      <c r="C10" s="87" t="s">
        <v>5</v>
      </c>
      <c r="D10" s="87"/>
      <c r="E10" s="87"/>
      <c r="F10" s="87"/>
      <c r="G10" s="87"/>
      <c r="H10" s="87"/>
      <c r="I10" s="87"/>
      <c r="J10" s="87"/>
      <c r="K10" s="87"/>
    </row>
    <row r="11" spans="1:11" ht="13.25" customHeight="1" x14ac:dyDescent="0.25">
      <c r="A11" s="11" t="s">
        <v>175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/>
      <c r="K11" s="87"/>
    </row>
    <row r="12" spans="1:11" ht="13.25" customHeight="1" x14ac:dyDescent="0.25">
      <c r="A12" s="11" t="s">
        <v>176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/>
    </row>
    <row r="13" spans="1:11" ht="13.25" customHeight="1" x14ac:dyDescent="0.25">
      <c r="A13" s="11" t="s">
        <v>177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/>
    </row>
    <row r="14" spans="1:11" ht="13.25" customHeight="1" x14ac:dyDescent="0.25">
      <c r="A14" s="5" t="s">
        <v>178</v>
      </c>
      <c r="B14" s="87"/>
      <c r="C14" s="87" t="s">
        <v>5</v>
      </c>
      <c r="D14" s="87"/>
      <c r="E14" s="87"/>
      <c r="F14" s="87"/>
      <c r="G14" s="87"/>
      <c r="H14" s="87"/>
      <c r="I14" s="87" t="s">
        <v>5</v>
      </c>
      <c r="J14" s="87"/>
      <c r="K14" s="87"/>
    </row>
    <row r="15" spans="1:11" ht="13.25" customHeight="1" x14ac:dyDescent="0.25">
      <c r="A15" s="5" t="s">
        <v>179</v>
      </c>
      <c r="B15" s="87"/>
      <c r="C15" s="87" t="s">
        <v>5</v>
      </c>
      <c r="D15" s="87"/>
      <c r="E15" s="87"/>
      <c r="F15" s="87"/>
      <c r="G15" s="87"/>
      <c r="H15" s="87"/>
      <c r="I15" s="87" t="s">
        <v>5</v>
      </c>
      <c r="J15" s="87"/>
      <c r="K15" s="87"/>
    </row>
    <row r="16" spans="1:11" ht="13.25" customHeight="1" x14ac:dyDescent="0.25">
      <c r="A16" s="5" t="s">
        <v>180</v>
      </c>
      <c r="B16" s="87"/>
      <c r="C16" s="87" t="s">
        <v>5</v>
      </c>
      <c r="D16" s="87"/>
      <c r="E16" s="87"/>
      <c r="F16" s="87"/>
      <c r="G16" s="87"/>
      <c r="H16" s="87" t="s">
        <v>5</v>
      </c>
      <c r="I16" s="87" t="s">
        <v>5</v>
      </c>
      <c r="J16" s="87"/>
      <c r="K16" s="87"/>
    </row>
    <row r="17" spans="1:11" ht="13.25" customHeight="1" x14ac:dyDescent="0.25">
      <c r="A17" s="5" t="s">
        <v>181</v>
      </c>
      <c r="B17" s="87"/>
      <c r="C17" s="87" t="s">
        <v>5</v>
      </c>
      <c r="D17" s="87"/>
      <c r="E17" s="87"/>
      <c r="F17" s="87"/>
      <c r="G17" s="87"/>
      <c r="H17" s="87"/>
      <c r="I17" s="87"/>
      <c r="J17" s="87"/>
      <c r="K17" s="87"/>
    </row>
    <row r="18" spans="1:11" ht="13.25" customHeight="1" x14ac:dyDescent="0.25">
      <c r="A18" s="5" t="s">
        <v>151</v>
      </c>
      <c r="B18" s="87" t="s">
        <v>5</v>
      </c>
      <c r="C18" s="87"/>
      <c r="D18" s="87"/>
      <c r="E18" s="87"/>
      <c r="F18" s="87" t="s">
        <v>5</v>
      </c>
      <c r="G18" s="87"/>
      <c r="H18" s="87"/>
      <c r="I18" s="87"/>
      <c r="J18" s="87"/>
      <c r="K18" s="87"/>
    </row>
    <row r="19" spans="1:11" ht="13.25" customHeight="1" x14ac:dyDescent="0.25">
      <c r="A19" s="5" t="s">
        <v>152</v>
      </c>
      <c r="B19" s="87" t="s">
        <v>5</v>
      </c>
      <c r="C19" s="87"/>
      <c r="D19" s="87"/>
      <c r="E19" s="87"/>
      <c r="F19" s="87" t="s">
        <v>5</v>
      </c>
      <c r="G19" s="87"/>
      <c r="H19" s="87"/>
      <c r="I19" s="87"/>
      <c r="J19" s="87"/>
      <c r="K19" s="87"/>
    </row>
    <row r="20" spans="1:11" ht="13.25" customHeight="1" x14ac:dyDescent="0.25">
      <c r="A20" s="5" t="s">
        <v>153</v>
      </c>
      <c r="B20" s="87" t="s">
        <v>5</v>
      </c>
      <c r="C20" s="87"/>
      <c r="D20" s="87"/>
      <c r="E20" s="87"/>
      <c r="F20" s="87" t="s">
        <v>5</v>
      </c>
      <c r="G20" s="87"/>
      <c r="H20" s="87"/>
      <c r="I20" s="87"/>
      <c r="J20" s="87"/>
      <c r="K20" s="87"/>
    </row>
    <row r="21" spans="1:11" ht="13.25" customHeight="1" x14ac:dyDescent="0.25">
      <c r="A21" s="5" t="s">
        <v>182</v>
      </c>
      <c r="B21" s="87"/>
      <c r="C21" s="87"/>
      <c r="D21" s="87"/>
      <c r="E21" s="87"/>
      <c r="F21" s="87"/>
      <c r="G21" s="87"/>
      <c r="H21" s="87" t="s">
        <v>5</v>
      </c>
      <c r="I21" s="87" t="s">
        <v>5</v>
      </c>
      <c r="J21" s="87"/>
      <c r="K21" s="87"/>
    </row>
    <row r="22" spans="1:11" x14ac:dyDescent="0.25">
      <c r="A22" s="5" t="s">
        <v>184</v>
      </c>
      <c r="B22" s="87" t="s">
        <v>5</v>
      </c>
      <c r="C22" s="87" t="s">
        <v>5</v>
      </c>
      <c r="D22" s="87" t="s">
        <v>5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185</v>
      </c>
      <c r="B23" s="87"/>
      <c r="C23" s="87" t="s">
        <v>5</v>
      </c>
      <c r="D23" s="87"/>
      <c r="E23" s="87"/>
      <c r="F23" s="87"/>
      <c r="G23" s="87"/>
      <c r="H23" s="87"/>
      <c r="I23" s="87" t="s">
        <v>5</v>
      </c>
      <c r="J23" s="87"/>
      <c r="K23" s="87"/>
    </row>
    <row r="24" spans="1:11" x14ac:dyDescent="0.25">
      <c r="A24" s="5" t="s">
        <v>188</v>
      </c>
      <c r="B24" s="87"/>
      <c r="C24" s="87"/>
      <c r="D24" s="87"/>
      <c r="E24" s="87"/>
      <c r="F24" s="87"/>
      <c r="G24" s="87"/>
      <c r="H24" s="87" t="s">
        <v>5</v>
      </c>
      <c r="I24" s="87"/>
      <c r="J24" s="87"/>
      <c r="K24" s="87"/>
    </row>
    <row r="25" spans="1:11" x14ac:dyDescent="0.25">
      <c r="A25" s="5" t="s">
        <v>189</v>
      </c>
      <c r="B25" s="87"/>
      <c r="C25" s="87"/>
      <c r="D25" s="87"/>
      <c r="E25" s="87"/>
      <c r="F25" s="87"/>
      <c r="G25" s="87"/>
      <c r="H25" s="87" t="s">
        <v>5</v>
      </c>
      <c r="I25" s="87"/>
      <c r="J25" s="87"/>
      <c r="K25" s="87"/>
    </row>
    <row r="26" spans="1:11" x14ac:dyDescent="0.25">
      <c r="A26" s="5" t="s">
        <v>190</v>
      </c>
      <c r="B26" s="87"/>
      <c r="C26" s="87" t="s">
        <v>5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191</v>
      </c>
      <c r="B27" s="87"/>
      <c r="C27" s="87" t="s">
        <v>5</v>
      </c>
      <c r="D27" s="87"/>
      <c r="E27" s="87"/>
      <c r="F27" s="87"/>
      <c r="G27" s="87"/>
      <c r="H27" s="87"/>
      <c r="I27" s="87" t="s">
        <v>5</v>
      </c>
      <c r="J27" s="87"/>
      <c r="K27" s="87"/>
    </row>
    <row r="28" spans="1:11" x14ac:dyDescent="0.25">
      <c r="A28" s="5" t="s">
        <v>192</v>
      </c>
      <c r="B28" s="87"/>
      <c r="C28" s="87"/>
      <c r="D28" s="87"/>
      <c r="E28" s="87"/>
      <c r="F28" s="87"/>
      <c r="G28" s="87"/>
      <c r="H28" s="87" t="s">
        <v>5</v>
      </c>
      <c r="I28" s="87"/>
      <c r="J28" s="87"/>
      <c r="K28" s="87"/>
    </row>
    <row r="29" spans="1:11" x14ac:dyDescent="0.25">
      <c r="A29" s="5" t="s">
        <v>193</v>
      </c>
      <c r="B29" s="87" t="s">
        <v>5</v>
      </c>
      <c r="C29" s="87"/>
      <c r="D29" s="87" t="s">
        <v>5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204</v>
      </c>
      <c r="B30" s="87" t="s">
        <v>5</v>
      </c>
      <c r="C30" s="87" t="s">
        <v>5</v>
      </c>
      <c r="D30" s="87" t="s">
        <v>5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164</v>
      </c>
      <c r="B31" s="87"/>
      <c r="C31" s="87"/>
      <c r="D31" s="87"/>
      <c r="E31" s="87" t="s">
        <v>5</v>
      </c>
      <c r="F31" s="87"/>
      <c r="G31" s="87"/>
      <c r="H31" s="87"/>
      <c r="I31" s="87"/>
      <c r="J31" s="87"/>
      <c r="K31" s="87"/>
    </row>
    <row r="32" spans="1:11" x14ac:dyDescent="0.25">
      <c r="A32" s="5" t="s">
        <v>196</v>
      </c>
      <c r="B32" s="87"/>
      <c r="C32" s="87"/>
      <c r="D32" s="87"/>
      <c r="E32" s="87"/>
      <c r="F32" s="87"/>
      <c r="G32" s="87" t="s">
        <v>5</v>
      </c>
      <c r="H32" s="87" t="s">
        <v>5</v>
      </c>
      <c r="I32" s="87"/>
      <c r="J32" s="87"/>
      <c r="K32" s="87"/>
    </row>
    <row r="33" spans="1:11" x14ac:dyDescent="0.25">
      <c r="A33" s="5" t="s">
        <v>197</v>
      </c>
      <c r="B33" s="87"/>
      <c r="C33" s="87"/>
      <c r="D33" s="87"/>
      <c r="E33" s="87"/>
      <c r="F33" s="87"/>
      <c r="G33" s="87" t="s">
        <v>5</v>
      </c>
      <c r="H33" s="87" t="s">
        <v>5</v>
      </c>
      <c r="I33" s="87"/>
      <c r="J33" s="87"/>
      <c r="K33" s="87"/>
    </row>
    <row r="34" spans="1:11" x14ac:dyDescent="0.25">
      <c r="A34" s="5" t="s">
        <v>198</v>
      </c>
      <c r="B34" s="87"/>
      <c r="C34" s="87"/>
      <c r="D34" s="87"/>
      <c r="E34" s="87"/>
      <c r="F34" s="87"/>
      <c r="G34" s="87" t="s">
        <v>5</v>
      </c>
      <c r="H34" s="87" t="s">
        <v>5</v>
      </c>
      <c r="I34" s="87"/>
      <c r="J34" s="87"/>
      <c r="K34" s="87"/>
    </row>
    <row r="35" spans="1:11" x14ac:dyDescent="0.25">
      <c r="A35" s="5" t="s">
        <v>199</v>
      </c>
      <c r="B35" s="87"/>
      <c r="C35" s="87"/>
      <c r="D35" s="87"/>
      <c r="E35" s="87"/>
      <c r="F35" s="87"/>
      <c r="G35" s="87" t="s">
        <v>5</v>
      </c>
      <c r="H35" s="87" t="s">
        <v>5</v>
      </c>
      <c r="I35" s="87"/>
      <c r="J35" s="87"/>
      <c r="K35" s="87"/>
    </row>
    <row r="36" spans="1:11" x14ac:dyDescent="0.25">
      <c r="A36" s="5" t="s">
        <v>200</v>
      </c>
      <c r="B36" s="87"/>
      <c r="C36" s="87"/>
      <c r="D36" s="87"/>
      <c r="E36" s="87"/>
      <c r="F36" s="87"/>
      <c r="G36" s="87" t="s">
        <v>5</v>
      </c>
      <c r="H36" s="87" t="s">
        <v>5</v>
      </c>
      <c r="I36" s="87"/>
      <c r="J36" s="87"/>
      <c r="K36" s="87"/>
    </row>
    <row r="37" spans="1:11" x14ac:dyDescent="0.25">
      <c r="A37" s="5" t="s">
        <v>201</v>
      </c>
      <c r="B37" s="87"/>
      <c r="C37" s="87"/>
      <c r="D37" s="87"/>
      <c r="E37" s="87"/>
      <c r="F37" s="87"/>
      <c r="G37" s="87" t="s">
        <v>5</v>
      </c>
      <c r="H37" s="87" t="s">
        <v>5</v>
      </c>
      <c r="I37" s="87"/>
      <c r="J37" s="87"/>
      <c r="K37" s="87"/>
    </row>
    <row r="38" spans="1:11" x14ac:dyDescent="0.25">
      <c r="A38" s="5" t="s">
        <v>202</v>
      </c>
      <c r="B38" s="87"/>
      <c r="C38" s="87"/>
      <c r="D38" s="87"/>
      <c r="E38" s="87"/>
      <c r="F38" s="87"/>
      <c r="G38" s="87"/>
      <c r="H38" s="87" t="s">
        <v>5</v>
      </c>
      <c r="I38" s="87"/>
      <c r="J38" s="87"/>
      <c r="K38" s="87"/>
    </row>
    <row r="39" spans="1:11" x14ac:dyDescent="0.25">
      <c r="A39" s="5" t="s">
        <v>203</v>
      </c>
      <c r="B39" s="87" t="s">
        <v>5</v>
      </c>
      <c r="C39" s="87"/>
      <c r="D39" s="87"/>
      <c r="E39" s="87"/>
      <c r="F39" s="87"/>
      <c r="G39" s="87" t="s">
        <v>5</v>
      </c>
      <c r="H39" s="87" t="s">
        <v>5</v>
      </c>
      <c r="I39" s="87"/>
      <c r="J39" s="87"/>
      <c r="K39" s="87"/>
    </row>
  </sheetData>
  <sheetProtection algorithmName="SHA-512" hashValue="F+vpo0OSi0wMQq5WtwdNVQm+VGs61emepqCJ3f6Ko1ASrMmG7JImQNUUc5OmcQlcMGr1Ray7m0oYa5pzm9MRPw==" saltValue="gbnDCoerDbC26+Z+0wU7ug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233</v>
      </c>
      <c r="B1" s="8" t="s">
        <v>230</v>
      </c>
      <c r="C1" s="8" t="s">
        <v>105</v>
      </c>
      <c r="D1" s="8" t="s">
        <v>231</v>
      </c>
      <c r="E1" s="8" t="s">
        <v>232</v>
      </c>
      <c r="F1" s="8" t="s">
        <v>123</v>
      </c>
      <c r="G1" s="8" t="s">
        <v>84</v>
      </c>
      <c r="H1" s="8" t="s">
        <v>37</v>
      </c>
      <c r="I1" s="8" t="s">
        <v>229</v>
      </c>
      <c r="J1" s="8" t="s">
        <v>22</v>
      </c>
      <c r="K1" s="8" t="s">
        <v>228</v>
      </c>
    </row>
    <row r="2" spans="1:11" ht="13.25" customHeight="1" x14ac:dyDescent="0.25">
      <c r="A2" s="8" t="s">
        <v>78</v>
      </c>
      <c r="B2" s="87" t="s">
        <v>5</v>
      </c>
      <c r="C2" s="87" t="s">
        <v>5</v>
      </c>
      <c r="D2" s="87" t="s">
        <v>5</v>
      </c>
      <c r="E2" s="87" t="s">
        <v>5</v>
      </c>
      <c r="F2" s="87" t="s">
        <v>5</v>
      </c>
      <c r="G2" s="87" t="s">
        <v>5</v>
      </c>
      <c r="H2" s="87" t="s">
        <v>5</v>
      </c>
      <c r="I2" s="87"/>
      <c r="J2" s="87"/>
      <c r="K2" s="87"/>
    </row>
    <row r="3" spans="1:11" ht="13.25" customHeight="1" x14ac:dyDescent="0.25">
      <c r="A3" s="8" t="s">
        <v>74</v>
      </c>
      <c r="B3" s="87" t="s">
        <v>5</v>
      </c>
      <c r="C3" s="87" t="s">
        <v>5</v>
      </c>
      <c r="D3" s="87" t="s">
        <v>5</v>
      </c>
      <c r="E3" s="87" t="s">
        <v>5</v>
      </c>
      <c r="F3" s="87" t="s">
        <v>5</v>
      </c>
      <c r="G3" s="87" t="s">
        <v>5</v>
      </c>
      <c r="H3" s="87" t="s">
        <v>5</v>
      </c>
      <c r="I3" s="87"/>
      <c r="J3" s="87"/>
      <c r="K3" s="87"/>
    </row>
    <row r="4" spans="1:11" ht="13.25" customHeight="1" x14ac:dyDescent="0.25">
      <c r="A4" s="8" t="s">
        <v>77</v>
      </c>
      <c r="B4" s="87" t="s">
        <v>5</v>
      </c>
      <c r="C4" s="87" t="s">
        <v>5</v>
      </c>
      <c r="D4" s="87" t="s">
        <v>5</v>
      </c>
      <c r="E4" s="87" t="s">
        <v>5</v>
      </c>
      <c r="F4" s="87" t="s">
        <v>5</v>
      </c>
      <c r="G4" s="87" t="s">
        <v>5</v>
      </c>
      <c r="H4" s="87" t="s">
        <v>5</v>
      </c>
      <c r="I4" s="87"/>
      <c r="J4" s="87"/>
      <c r="K4" s="87"/>
    </row>
    <row r="5" spans="1:11" ht="13.25" customHeight="1" x14ac:dyDescent="0.25">
      <c r="A5" s="8" t="s">
        <v>75</v>
      </c>
      <c r="B5" s="87" t="s">
        <v>5</v>
      </c>
      <c r="C5" s="87" t="s">
        <v>5</v>
      </c>
      <c r="D5" s="87" t="s">
        <v>5</v>
      </c>
      <c r="E5" s="87" t="s">
        <v>5</v>
      </c>
      <c r="F5" s="87" t="s">
        <v>5</v>
      </c>
      <c r="G5" s="87" t="s">
        <v>5</v>
      </c>
      <c r="H5" s="87" t="s">
        <v>5</v>
      </c>
      <c r="I5" s="87"/>
      <c r="J5" s="87"/>
      <c r="K5" s="87"/>
    </row>
    <row r="6" spans="1:11" ht="13.25" customHeight="1" x14ac:dyDescent="0.25">
      <c r="A6" s="8" t="s">
        <v>76</v>
      </c>
      <c r="B6" s="87" t="s">
        <v>5</v>
      </c>
      <c r="C6" s="87" t="s">
        <v>5</v>
      </c>
      <c r="D6" s="87" t="s">
        <v>5</v>
      </c>
      <c r="E6" s="87" t="s">
        <v>5</v>
      </c>
      <c r="F6" s="87" t="s">
        <v>5</v>
      </c>
      <c r="G6" s="87" t="s">
        <v>5</v>
      </c>
      <c r="H6" s="87" t="s">
        <v>5</v>
      </c>
      <c r="I6" s="87"/>
      <c r="J6" s="87"/>
      <c r="K6" s="87"/>
    </row>
    <row r="7" spans="1:11" ht="13.25" customHeight="1" x14ac:dyDescent="0.25">
      <c r="A7" s="8" t="s">
        <v>113</v>
      </c>
      <c r="B7" s="87"/>
      <c r="C7" s="87" t="s">
        <v>5</v>
      </c>
      <c r="D7" s="87"/>
      <c r="E7" s="87"/>
      <c r="F7" s="87"/>
      <c r="G7" s="87"/>
      <c r="H7" s="87" t="s">
        <v>5</v>
      </c>
      <c r="I7" s="87" t="s">
        <v>5</v>
      </c>
      <c r="J7" s="87"/>
      <c r="K7" s="87"/>
    </row>
    <row r="8" spans="1:11" ht="13.25" customHeight="1" x14ac:dyDescent="0.25">
      <c r="A8" s="8" t="s">
        <v>114</v>
      </c>
      <c r="B8" s="87"/>
      <c r="C8" s="87" t="s">
        <v>5</v>
      </c>
      <c r="D8" s="87"/>
      <c r="E8" s="87"/>
      <c r="F8" s="87"/>
      <c r="G8" s="87"/>
      <c r="H8" s="87" t="s">
        <v>5</v>
      </c>
      <c r="I8" s="87" t="s">
        <v>5</v>
      </c>
      <c r="J8" s="87"/>
      <c r="K8" s="87"/>
    </row>
    <row r="9" spans="1:11" ht="13.25" customHeight="1" x14ac:dyDescent="0.25">
      <c r="A9" s="8" t="s">
        <v>115</v>
      </c>
      <c r="B9" s="87"/>
      <c r="C9" s="87" t="s">
        <v>5</v>
      </c>
      <c r="D9" s="87"/>
      <c r="E9" s="87"/>
      <c r="F9" s="87"/>
      <c r="G9" s="87"/>
      <c r="H9" s="87" t="s">
        <v>5</v>
      </c>
      <c r="I9" s="87" t="s">
        <v>5</v>
      </c>
      <c r="J9" s="87"/>
      <c r="K9" s="87"/>
    </row>
    <row r="10" spans="1:11" ht="13.25" customHeight="1" x14ac:dyDescent="0.25">
      <c r="A10" s="8" t="s">
        <v>116</v>
      </c>
      <c r="B10" s="87"/>
      <c r="C10" s="87" t="s">
        <v>5</v>
      </c>
      <c r="D10" s="87"/>
      <c r="E10" s="87"/>
      <c r="F10" s="87"/>
      <c r="G10" s="87"/>
      <c r="H10" s="87" t="s">
        <v>5</v>
      </c>
      <c r="I10" s="87" t="s">
        <v>5</v>
      </c>
      <c r="J10" s="87"/>
      <c r="K10" s="87"/>
    </row>
    <row r="11" spans="1:11" ht="13.25" customHeight="1" x14ac:dyDescent="0.25">
      <c r="A11" s="8" t="s">
        <v>68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 t="s">
        <v>5</v>
      </c>
      <c r="K11" s="87" t="s">
        <v>5</v>
      </c>
    </row>
    <row r="12" spans="1:11" ht="13.25" customHeight="1" x14ac:dyDescent="0.25">
      <c r="A12" s="8" t="s">
        <v>69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 t="s">
        <v>5</v>
      </c>
    </row>
    <row r="13" spans="1:11" ht="13.25" customHeight="1" x14ac:dyDescent="0.25">
      <c r="A13" s="8" t="s">
        <v>70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 t="s">
        <v>5</v>
      </c>
    </row>
    <row r="14" spans="1:11" ht="13.25" customHeight="1" x14ac:dyDescent="0.25">
      <c r="A14" s="8" t="s">
        <v>71</v>
      </c>
      <c r="B14" s="87"/>
      <c r="C14" s="87" t="s">
        <v>5</v>
      </c>
      <c r="D14" s="87"/>
      <c r="E14" s="87"/>
      <c r="F14" s="87"/>
      <c r="G14" s="87"/>
      <c r="H14" s="87"/>
      <c r="I14" s="87"/>
      <c r="J14" s="87"/>
      <c r="K14" s="87" t="s">
        <v>5</v>
      </c>
    </row>
  </sheetData>
  <sheetProtection algorithmName="SHA-512" hashValue="PYdwCOKkDaOf5AhmZonOi/HIutbmy/JmbcICdDFBjNPayQP3udL9hhoOWNRD0EEcHbAJbEQO6fsYJVQmrD9CXg==" saltValue="yZqybL3vIUytTKPjaNVHbw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topLeftCell="A127" zoomScale="85" zoomScaleNormal="85" workbookViewId="0">
      <selection activeCell="D8" sqref="D8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234</v>
      </c>
      <c r="B1" s="4" t="s">
        <v>156</v>
      </c>
      <c r="C1" s="4" t="s">
        <v>160</v>
      </c>
      <c r="D1" s="4" t="s">
        <v>78</v>
      </c>
      <c r="E1" s="4" t="s">
        <v>74</v>
      </c>
      <c r="F1" s="4" t="s">
        <v>77</v>
      </c>
      <c r="G1" s="4" t="s">
        <v>75</v>
      </c>
      <c r="H1" s="4" t="s">
        <v>76</v>
      </c>
    </row>
    <row r="2" spans="1:10" ht="13" customHeight="1" x14ac:dyDescent="0.3">
      <c r="A2" s="4" t="s">
        <v>236</v>
      </c>
      <c r="B2" s="103" t="s">
        <v>104</v>
      </c>
      <c r="C2" s="8" t="s">
        <v>150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ht="13.25" customHeight="1" x14ac:dyDescent="0.25">
      <c r="B3" s="104"/>
      <c r="C3" s="8" t="s">
        <v>149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ht="13.25" customHeight="1" x14ac:dyDescent="0.25">
      <c r="B4" s="104"/>
      <c r="C4" s="8" t="s">
        <v>155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ht="13.25" customHeight="1" x14ac:dyDescent="0.25">
      <c r="B5" s="103" t="s">
        <v>78</v>
      </c>
      <c r="C5" s="8" t="s">
        <v>150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ht="13.25" customHeight="1" x14ac:dyDescent="0.25">
      <c r="B6" s="104"/>
      <c r="C6" s="8" t="s">
        <v>149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ht="13.25" customHeight="1" x14ac:dyDescent="0.25">
      <c r="B7" s="104"/>
      <c r="C7" s="8" t="s">
        <v>155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ht="13.25" customHeight="1" x14ac:dyDescent="0.25">
      <c r="B8" s="103" t="s">
        <v>74</v>
      </c>
      <c r="C8" s="8" t="s">
        <v>150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ht="13.25" customHeight="1" x14ac:dyDescent="0.25">
      <c r="B9" s="104"/>
      <c r="C9" s="8" t="s">
        <v>149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ht="13.25" customHeight="1" x14ac:dyDescent="0.25">
      <c r="B10" s="104"/>
      <c r="C10" s="8" t="s">
        <v>155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ht="13.25" customHeight="1" x14ac:dyDescent="0.25">
      <c r="B11" s="103" t="s">
        <v>77</v>
      </c>
      <c r="C11" s="8" t="s">
        <v>150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ht="13.25" customHeight="1" x14ac:dyDescent="0.25">
      <c r="B12" s="104"/>
      <c r="C12" s="8" t="s">
        <v>149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ht="13.25" customHeight="1" x14ac:dyDescent="0.25">
      <c r="B13" s="104"/>
      <c r="C13" s="8" t="s">
        <v>155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ht="13.25" customHeight="1" x14ac:dyDescent="0.25">
      <c r="B14" s="103" t="s">
        <v>75</v>
      </c>
      <c r="C14" s="8" t="s">
        <v>150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ht="13.25" customHeight="1" x14ac:dyDescent="0.25">
      <c r="B15" s="104"/>
      <c r="C15" s="8" t="s">
        <v>149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ht="13.25" customHeight="1" x14ac:dyDescent="0.25">
      <c r="B16" s="104"/>
      <c r="C16" s="8" t="s">
        <v>155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148</v>
      </c>
      <c r="C17" s="8" t="s">
        <v>155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ht="13.25" customHeight="1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242</v>
      </c>
      <c r="B19" s="103" t="s">
        <v>104</v>
      </c>
      <c r="C19" s="8" t="s">
        <v>150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ht="13.25" customHeight="1" x14ac:dyDescent="0.25">
      <c r="B20" s="104"/>
      <c r="C20" s="8" t="s">
        <v>149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ht="13.25" customHeight="1" x14ac:dyDescent="0.25">
      <c r="B21" s="104"/>
      <c r="C21" s="8" t="s">
        <v>155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ht="13.25" customHeight="1" x14ac:dyDescent="0.25">
      <c r="B22" s="103" t="s">
        <v>78</v>
      </c>
      <c r="C22" s="8" t="s">
        <v>150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ht="13.25" customHeight="1" x14ac:dyDescent="0.25">
      <c r="B23" s="104"/>
      <c r="C23" s="8" t="s">
        <v>149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ht="13.25" customHeight="1" x14ac:dyDescent="0.25">
      <c r="B24" s="104"/>
      <c r="C24" s="8" t="s">
        <v>155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ht="13.25" customHeight="1" x14ac:dyDescent="0.25">
      <c r="B25" s="103" t="s">
        <v>74</v>
      </c>
      <c r="C25" s="8" t="s">
        <v>150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ht="13.25" customHeight="1" x14ac:dyDescent="0.25">
      <c r="B26" s="104"/>
      <c r="C26" s="8" t="s">
        <v>149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ht="13.25" customHeight="1" x14ac:dyDescent="0.25">
      <c r="B27" s="104"/>
      <c r="C27" s="8" t="s">
        <v>155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ht="13.25" customHeight="1" x14ac:dyDescent="0.25">
      <c r="B28" s="103" t="s">
        <v>77</v>
      </c>
      <c r="C28" s="8" t="s">
        <v>150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ht="13.25" customHeight="1" x14ac:dyDescent="0.25">
      <c r="B29" s="104"/>
      <c r="C29" s="8" t="s">
        <v>149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ht="13.25" customHeight="1" x14ac:dyDescent="0.25">
      <c r="B30" s="104"/>
      <c r="C30" s="8" t="s">
        <v>155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ht="13.25" customHeight="1" x14ac:dyDescent="0.25">
      <c r="B31" s="103" t="s">
        <v>75</v>
      </c>
      <c r="C31" s="8" t="s">
        <v>150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ht="13.25" customHeight="1" x14ac:dyDescent="0.25">
      <c r="B32" s="104"/>
      <c r="C32" s="8" t="s">
        <v>149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ht="13.25" customHeight="1" x14ac:dyDescent="0.25">
      <c r="B33" s="104"/>
      <c r="C33" s="8" t="s">
        <v>155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148</v>
      </c>
      <c r="C34" s="8" t="s">
        <v>155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ht="13.25" customHeight="1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239</v>
      </c>
      <c r="B36" s="103" t="s">
        <v>104</v>
      </c>
      <c r="C36" s="8" t="s">
        <v>150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ht="13.25" customHeight="1" x14ac:dyDescent="0.25">
      <c r="B37" s="104"/>
      <c r="C37" s="8" t="s">
        <v>149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ht="13.25" customHeight="1" x14ac:dyDescent="0.25">
      <c r="B38" s="104"/>
      <c r="C38" s="8" t="s">
        <v>155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ht="13.25" customHeight="1" x14ac:dyDescent="0.25">
      <c r="B39" s="103" t="s">
        <v>78</v>
      </c>
      <c r="C39" s="8" t="s">
        <v>150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ht="13.25" customHeight="1" x14ac:dyDescent="0.25">
      <c r="B40" s="104"/>
      <c r="C40" s="8" t="s">
        <v>149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ht="13.25" customHeight="1" x14ac:dyDescent="0.25">
      <c r="B41" s="104"/>
      <c r="C41" s="8" t="s">
        <v>155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ht="13.25" customHeight="1" x14ac:dyDescent="0.25">
      <c r="B42" s="103" t="s">
        <v>74</v>
      </c>
      <c r="C42" s="8" t="s">
        <v>150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ht="13.25" customHeight="1" x14ac:dyDescent="0.25">
      <c r="B43" s="104"/>
      <c r="C43" s="8" t="s">
        <v>149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ht="13.25" customHeight="1" x14ac:dyDescent="0.25">
      <c r="B44" s="104"/>
      <c r="C44" s="8" t="s">
        <v>155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ht="13.25" customHeight="1" x14ac:dyDescent="0.25">
      <c r="B45" s="103" t="s">
        <v>77</v>
      </c>
      <c r="C45" s="8" t="s">
        <v>150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ht="13.25" customHeight="1" x14ac:dyDescent="0.25">
      <c r="B46" s="104"/>
      <c r="C46" s="8" t="s">
        <v>149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ht="13.25" customHeight="1" x14ac:dyDescent="0.25">
      <c r="B47" s="104"/>
      <c r="C47" s="8" t="s">
        <v>155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ht="13.25" customHeight="1" x14ac:dyDescent="0.25">
      <c r="B48" s="103" t="s">
        <v>75</v>
      </c>
      <c r="C48" s="8" t="s">
        <v>150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ht="13.25" customHeight="1" x14ac:dyDescent="0.25">
      <c r="B49" s="104"/>
      <c r="C49" s="8" t="s">
        <v>149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ht="13.25" customHeight="1" x14ac:dyDescent="0.25">
      <c r="B50" s="104"/>
      <c r="C50" s="8" t="s">
        <v>155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148</v>
      </c>
      <c r="C51" s="8" t="s">
        <v>155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234</v>
      </c>
      <c r="B54" s="4" t="s">
        <v>156</v>
      </c>
      <c r="C54" s="4" t="s">
        <v>160</v>
      </c>
      <c r="D54" s="4" t="s">
        <v>78</v>
      </c>
      <c r="E54" s="4" t="s">
        <v>74</v>
      </c>
      <c r="F54" s="4" t="s">
        <v>77</v>
      </c>
      <c r="G54" s="4" t="s">
        <v>75</v>
      </c>
      <c r="H54" s="4" t="s">
        <v>76</v>
      </c>
    </row>
    <row r="55" spans="1:8" ht="13" customHeight="1" x14ac:dyDescent="0.3">
      <c r="A55" s="4" t="s">
        <v>237</v>
      </c>
      <c r="B55" s="103" t="s">
        <v>104</v>
      </c>
      <c r="C55" s="8" t="s">
        <v>150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ht="13.25" customHeight="1" x14ac:dyDescent="0.25">
      <c r="B56" s="104"/>
      <c r="C56" s="8" t="s">
        <v>149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ht="13.25" customHeight="1" x14ac:dyDescent="0.25">
      <c r="B57" s="104"/>
      <c r="C57" s="8" t="s">
        <v>155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ht="13.25" customHeight="1" x14ac:dyDescent="0.25">
      <c r="B58" s="103" t="s">
        <v>78</v>
      </c>
      <c r="C58" s="8" t="s">
        <v>150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ht="13.25" customHeight="1" x14ac:dyDescent="0.25">
      <c r="B59" s="104"/>
      <c r="C59" s="8" t="s">
        <v>149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ht="13.25" customHeight="1" x14ac:dyDescent="0.25">
      <c r="B60" s="104"/>
      <c r="C60" s="8" t="s">
        <v>155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ht="13.25" customHeight="1" x14ac:dyDescent="0.25">
      <c r="B61" s="103" t="s">
        <v>74</v>
      </c>
      <c r="C61" s="8" t="s">
        <v>150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ht="13.25" customHeight="1" x14ac:dyDescent="0.25">
      <c r="B62" s="104"/>
      <c r="C62" s="8" t="s">
        <v>149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ht="13.25" customHeight="1" x14ac:dyDescent="0.25">
      <c r="B63" s="104"/>
      <c r="C63" s="8" t="s">
        <v>155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ht="13.25" customHeight="1" x14ac:dyDescent="0.25">
      <c r="B64" s="103" t="s">
        <v>77</v>
      </c>
      <c r="C64" s="8" t="s">
        <v>150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ht="13.25" customHeight="1" x14ac:dyDescent="0.25">
      <c r="B65" s="104"/>
      <c r="C65" s="8" t="s">
        <v>149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ht="13.25" customHeight="1" x14ac:dyDescent="0.25">
      <c r="B66" s="104"/>
      <c r="C66" s="8" t="s">
        <v>155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ht="13.25" customHeight="1" x14ac:dyDescent="0.25">
      <c r="B67" s="103" t="s">
        <v>75</v>
      </c>
      <c r="C67" s="8" t="s">
        <v>150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ht="13.25" customHeight="1" x14ac:dyDescent="0.25">
      <c r="B68" s="104"/>
      <c r="C68" s="8" t="s">
        <v>149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ht="13.25" customHeight="1" x14ac:dyDescent="0.25">
      <c r="B69" s="104"/>
      <c r="C69" s="8" t="s">
        <v>155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148</v>
      </c>
      <c r="C70" s="8" t="s">
        <v>155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ht="13.25" customHeight="1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243</v>
      </c>
      <c r="B72" s="103" t="s">
        <v>104</v>
      </c>
      <c r="C72" s="8" t="s">
        <v>150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ht="13.25" customHeight="1" x14ac:dyDescent="0.25">
      <c r="B73" s="104"/>
      <c r="C73" s="8" t="s">
        <v>149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ht="13.25" customHeight="1" x14ac:dyDescent="0.25">
      <c r="B74" s="104"/>
      <c r="C74" s="8" t="s">
        <v>155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ht="13.25" customHeight="1" x14ac:dyDescent="0.25">
      <c r="B75" s="103" t="s">
        <v>78</v>
      </c>
      <c r="C75" s="8" t="s">
        <v>150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ht="13.25" customHeight="1" x14ac:dyDescent="0.25">
      <c r="B76" s="104"/>
      <c r="C76" s="8" t="s">
        <v>149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ht="13.25" customHeight="1" x14ac:dyDescent="0.25">
      <c r="B77" s="104"/>
      <c r="C77" s="8" t="s">
        <v>155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ht="13.25" customHeight="1" x14ac:dyDescent="0.25">
      <c r="B78" s="103" t="s">
        <v>74</v>
      </c>
      <c r="C78" s="8" t="s">
        <v>150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ht="13.25" customHeight="1" x14ac:dyDescent="0.25">
      <c r="B79" s="104"/>
      <c r="C79" s="8" t="s">
        <v>149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ht="13.25" customHeight="1" x14ac:dyDescent="0.25">
      <c r="B80" s="104"/>
      <c r="C80" s="8" t="s">
        <v>155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ht="13.25" customHeight="1" x14ac:dyDescent="0.25">
      <c r="B81" s="103" t="s">
        <v>77</v>
      </c>
      <c r="C81" s="8" t="s">
        <v>150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ht="13.25" customHeight="1" x14ac:dyDescent="0.25">
      <c r="B82" s="104"/>
      <c r="C82" s="8" t="s">
        <v>149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ht="13.25" customHeight="1" x14ac:dyDescent="0.25">
      <c r="B83" s="104"/>
      <c r="C83" s="8" t="s">
        <v>155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ht="13.25" customHeight="1" x14ac:dyDescent="0.25">
      <c r="B84" s="103" t="s">
        <v>75</v>
      </c>
      <c r="C84" s="8" t="s">
        <v>150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ht="13.25" customHeight="1" x14ac:dyDescent="0.25">
      <c r="B85" s="104"/>
      <c r="C85" s="8" t="s">
        <v>149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ht="13.25" customHeight="1" x14ac:dyDescent="0.25">
      <c r="B86" s="104"/>
      <c r="C86" s="8" t="s">
        <v>155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148</v>
      </c>
      <c r="C87" s="8" t="s">
        <v>155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ht="13.25" customHeight="1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240</v>
      </c>
      <c r="B89" s="103" t="s">
        <v>104</v>
      </c>
      <c r="C89" s="8" t="s">
        <v>150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ht="13.25" customHeight="1" x14ac:dyDescent="0.25">
      <c r="B90" s="104"/>
      <c r="C90" s="8" t="s">
        <v>149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ht="13.25" customHeight="1" x14ac:dyDescent="0.25">
      <c r="B91" s="104"/>
      <c r="C91" s="8" t="s">
        <v>155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ht="13.25" customHeight="1" x14ac:dyDescent="0.25">
      <c r="B92" s="103" t="s">
        <v>78</v>
      </c>
      <c r="C92" s="8" t="s">
        <v>150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ht="13.25" customHeight="1" x14ac:dyDescent="0.25">
      <c r="B93" s="104"/>
      <c r="C93" s="8" t="s">
        <v>149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ht="13.25" customHeight="1" x14ac:dyDescent="0.25">
      <c r="B94" s="104"/>
      <c r="C94" s="8" t="s">
        <v>155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ht="13.25" customHeight="1" x14ac:dyDescent="0.25">
      <c r="B95" s="103" t="s">
        <v>74</v>
      </c>
      <c r="C95" s="8" t="s">
        <v>150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ht="13.25" customHeight="1" x14ac:dyDescent="0.25">
      <c r="B96" s="104"/>
      <c r="C96" s="8" t="s">
        <v>149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ht="13.25" customHeight="1" x14ac:dyDescent="0.25">
      <c r="B97" s="104"/>
      <c r="C97" s="8" t="s">
        <v>155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ht="13.25" customHeight="1" x14ac:dyDescent="0.25">
      <c r="B98" s="103" t="s">
        <v>77</v>
      </c>
      <c r="C98" s="8" t="s">
        <v>150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ht="13.25" customHeight="1" x14ac:dyDescent="0.25">
      <c r="B99" s="104"/>
      <c r="C99" s="8" t="s">
        <v>149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ht="13.25" customHeight="1" x14ac:dyDescent="0.25">
      <c r="B100" s="104"/>
      <c r="C100" s="8" t="s">
        <v>155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ht="13.25" customHeight="1" x14ac:dyDescent="0.25">
      <c r="B101" s="103" t="s">
        <v>75</v>
      </c>
      <c r="C101" s="8" t="s">
        <v>150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ht="13.25" customHeight="1" x14ac:dyDescent="0.25">
      <c r="B102" s="104"/>
      <c r="C102" s="8" t="s">
        <v>149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ht="13.25" customHeight="1" x14ac:dyDescent="0.25">
      <c r="B103" s="104"/>
      <c r="C103" s="8" t="s">
        <v>155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148</v>
      </c>
      <c r="C104" s="8" t="s">
        <v>155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245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234</v>
      </c>
      <c r="B107" s="4" t="s">
        <v>156</v>
      </c>
      <c r="C107" s="4" t="s">
        <v>160</v>
      </c>
      <c r="D107" s="4" t="s">
        <v>78</v>
      </c>
      <c r="E107" s="4" t="s">
        <v>74</v>
      </c>
      <c r="F107" s="4" t="s">
        <v>77</v>
      </c>
      <c r="G107" s="4" t="s">
        <v>75</v>
      </c>
      <c r="H107" s="4" t="s">
        <v>76</v>
      </c>
    </row>
    <row r="108" spans="1:8" ht="13" customHeight="1" x14ac:dyDescent="0.3">
      <c r="A108" s="4" t="s">
        <v>238</v>
      </c>
      <c r="B108" s="103" t="s">
        <v>104</v>
      </c>
      <c r="C108" s="8" t="s">
        <v>150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ht="13.25" customHeight="1" x14ac:dyDescent="0.25">
      <c r="B109" s="104"/>
      <c r="C109" s="8" t="s">
        <v>149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ht="13.25" customHeight="1" x14ac:dyDescent="0.25">
      <c r="B110" s="104"/>
      <c r="C110" s="8" t="s">
        <v>155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ht="13.25" customHeight="1" x14ac:dyDescent="0.25">
      <c r="B111" s="103" t="s">
        <v>78</v>
      </c>
      <c r="C111" s="8" t="s">
        <v>150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ht="13.25" customHeight="1" x14ac:dyDescent="0.25">
      <c r="B112" s="104"/>
      <c r="C112" s="8" t="s">
        <v>149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ht="13.25" customHeight="1" x14ac:dyDescent="0.25">
      <c r="B113" s="104"/>
      <c r="C113" s="8" t="s">
        <v>155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ht="13.25" customHeight="1" x14ac:dyDescent="0.25">
      <c r="B114" s="103" t="s">
        <v>74</v>
      </c>
      <c r="C114" s="8" t="s">
        <v>150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ht="13.25" customHeight="1" x14ac:dyDescent="0.25">
      <c r="B115" s="104"/>
      <c r="C115" s="8" t="s">
        <v>149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ht="13.25" customHeight="1" x14ac:dyDescent="0.25">
      <c r="B116" s="104"/>
      <c r="C116" s="8" t="s">
        <v>155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ht="13.25" customHeight="1" x14ac:dyDescent="0.25">
      <c r="B117" s="103" t="s">
        <v>77</v>
      </c>
      <c r="C117" s="8" t="s">
        <v>150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ht="13.25" customHeight="1" x14ac:dyDescent="0.25">
      <c r="B118" s="104"/>
      <c r="C118" s="8" t="s">
        <v>149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ht="13.25" customHeight="1" x14ac:dyDescent="0.25">
      <c r="B119" s="104"/>
      <c r="C119" s="8" t="s">
        <v>155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ht="13.25" customHeight="1" x14ac:dyDescent="0.25">
      <c r="B120" s="103" t="s">
        <v>75</v>
      </c>
      <c r="C120" s="8" t="s">
        <v>150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ht="13.25" customHeight="1" x14ac:dyDescent="0.25">
      <c r="B121" s="104"/>
      <c r="C121" s="8" t="s">
        <v>149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ht="13.25" customHeight="1" x14ac:dyDescent="0.25">
      <c r="B122" s="104"/>
      <c r="C122" s="8" t="s">
        <v>155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customHeight="1" x14ac:dyDescent="0.25">
      <c r="B123" s="65" t="s">
        <v>148</v>
      </c>
      <c r="C123" s="8" t="s">
        <v>155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ht="13.25" customHeight="1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244</v>
      </c>
      <c r="B125" s="103" t="s">
        <v>104</v>
      </c>
      <c r="C125" s="8" t="s">
        <v>150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ht="13.25" customHeight="1" x14ac:dyDescent="0.25">
      <c r="B126" s="104"/>
      <c r="C126" s="8" t="s">
        <v>149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ht="13.25" customHeight="1" x14ac:dyDescent="0.25">
      <c r="B127" s="104"/>
      <c r="C127" s="8" t="s">
        <v>155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ht="13.25" customHeight="1" x14ac:dyDescent="0.25">
      <c r="B128" s="103" t="s">
        <v>78</v>
      </c>
      <c r="C128" s="8" t="s">
        <v>150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ht="13.25" customHeight="1" x14ac:dyDescent="0.25">
      <c r="B129" s="104"/>
      <c r="C129" s="8" t="s">
        <v>149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ht="13.25" customHeight="1" x14ac:dyDescent="0.25">
      <c r="B130" s="104"/>
      <c r="C130" s="8" t="s">
        <v>155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ht="13.25" customHeight="1" x14ac:dyDescent="0.25">
      <c r="B131" s="103" t="s">
        <v>74</v>
      </c>
      <c r="C131" s="8" t="s">
        <v>150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ht="13.25" customHeight="1" x14ac:dyDescent="0.25">
      <c r="B132" s="104"/>
      <c r="C132" s="8" t="s">
        <v>149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ht="13.25" customHeight="1" x14ac:dyDescent="0.25">
      <c r="B133" s="104"/>
      <c r="C133" s="8" t="s">
        <v>155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ht="13.25" customHeight="1" x14ac:dyDescent="0.25">
      <c r="B134" s="103" t="s">
        <v>77</v>
      </c>
      <c r="C134" s="8" t="s">
        <v>150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ht="13.25" customHeight="1" x14ac:dyDescent="0.25">
      <c r="B135" s="104"/>
      <c r="C135" s="8" t="s">
        <v>149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ht="13.25" customHeight="1" x14ac:dyDescent="0.25">
      <c r="B136" s="104"/>
      <c r="C136" s="8" t="s">
        <v>155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ht="13.25" customHeight="1" x14ac:dyDescent="0.25">
      <c r="B137" s="103" t="s">
        <v>75</v>
      </c>
      <c r="C137" s="8" t="s">
        <v>150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ht="13.25" customHeight="1" x14ac:dyDescent="0.25">
      <c r="B138" s="104"/>
      <c r="C138" s="8" t="s">
        <v>149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ht="13.25" customHeight="1" x14ac:dyDescent="0.25">
      <c r="B139" s="104"/>
      <c r="C139" s="8" t="s">
        <v>155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customHeight="1" x14ac:dyDescent="0.25">
      <c r="B140" s="65" t="s">
        <v>148</v>
      </c>
      <c r="C140" s="8" t="s">
        <v>155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ht="13.25" customHeight="1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241</v>
      </c>
      <c r="B142" s="103" t="s">
        <v>104</v>
      </c>
      <c r="C142" s="8" t="s">
        <v>150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ht="13.25" customHeight="1" x14ac:dyDescent="0.25">
      <c r="B143" s="104"/>
      <c r="C143" s="8" t="s">
        <v>149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ht="13.25" customHeight="1" x14ac:dyDescent="0.25">
      <c r="B144" s="104"/>
      <c r="C144" s="8" t="s">
        <v>155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ht="13.25" customHeight="1" x14ac:dyDescent="0.25">
      <c r="B145" s="103" t="s">
        <v>78</v>
      </c>
      <c r="C145" s="8" t="s">
        <v>150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ht="13.25" customHeight="1" x14ac:dyDescent="0.25">
      <c r="B146" s="104"/>
      <c r="C146" s="8" t="s">
        <v>149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ht="13.25" customHeight="1" x14ac:dyDescent="0.25">
      <c r="B147" s="104"/>
      <c r="C147" s="8" t="s">
        <v>155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ht="13.25" customHeight="1" x14ac:dyDescent="0.25">
      <c r="B148" s="103" t="s">
        <v>74</v>
      </c>
      <c r="C148" s="8" t="s">
        <v>150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ht="13.25" customHeight="1" x14ac:dyDescent="0.25">
      <c r="B149" s="104"/>
      <c r="C149" s="8" t="s">
        <v>149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ht="13.25" customHeight="1" x14ac:dyDescent="0.25">
      <c r="B150" s="104"/>
      <c r="C150" s="8" t="s">
        <v>155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ht="13.25" customHeight="1" x14ac:dyDescent="0.25">
      <c r="B151" s="103" t="s">
        <v>77</v>
      </c>
      <c r="C151" s="8" t="s">
        <v>150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04"/>
      <c r="C152" s="8" t="s">
        <v>149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04"/>
      <c r="C153" s="8" t="s">
        <v>155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03" t="s">
        <v>75</v>
      </c>
      <c r="C154" s="8" t="s">
        <v>150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04"/>
      <c r="C155" s="8" t="s">
        <v>149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04"/>
      <c r="C156" s="8" t="s">
        <v>155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customHeight="1" x14ac:dyDescent="0.25">
      <c r="B157" s="65" t="s">
        <v>148</v>
      </c>
      <c r="C157" s="8" t="s">
        <v>155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gJ0PPtidI1MRl2WPx2q+EYqgbhQaeLQLsW5z+rQlABXPdLjooMA08H7w44uZRLDTZO+fFfuyeeRPNfoWy+NwnA==" saltValue="LU8WR+lzQLrphyKmuu7tTQ==" spinCount="100000" sheet="1" objects="1" scenarios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42" zoomScale="85" zoomScaleNormal="85" workbookViewId="0">
      <selection activeCell="C9" sqref="C9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248</v>
      </c>
    </row>
    <row r="2" spans="1:6" ht="15.75" customHeight="1" x14ac:dyDescent="0.3">
      <c r="B2" s="69"/>
      <c r="C2" s="26" t="s">
        <v>58</v>
      </c>
      <c r="D2" s="70" t="s">
        <v>59</v>
      </c>
      <c r="E2" s="70" t="s">
        <v>51</v>
      </c>
      <c r="F2" s="70" t="s">
        <v>52</v>
      </c>
    </row>
    <row r="3" spans="1:6" ht="15.75" customHeight="1" x14ac:dyDescent="0.3">
      <c r="A3" s="4" t="s">
        <v>255</v>
      </c>
      <c r="B3" s="14"/>
      <c r="C3" s="71"/>
      <c r="D3" s="72"/>
      <c r="E3" s="72"/>
      <c r="F3" s="72"/>
    </row>
    <row r="4" spans="1:6" ht="15.75" customHeight="1" x14ac:dyDescent="0.25">
      <c r="B4" s="5" t="s">
        <v>27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63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10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11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252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261</v>
      </c>
      <c r="C11" s="74"/>
      <c r="D11" s="75"/>
      <c r="E11" s="75"/>
      <c r="F11" s="75"/>
    </row>
    <row r="12" spans="1:6" ht="15.75" customHeight="1" x14ac:dyDescent="0.3">
      <c r="A12" s="4" t="s">
        <v>249</v>
      </c>
      <c r="C12" s="73"/>
      <c r="D12" s="64"/>
      <c r="E12" s="64"/>
      <c r="F12" s="64"/>
    </row>
    <row r="13" spans="1:6" ht="15.75" customHeight="1" x14ac:dyDescent="0.25">
      <c r="B13" s="11" t="s">
        <v>264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107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119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258</v>
      </c>
      <c r="B17" s="14"/>
      <c r="C17" s="77"/>
      <c r="D17" s="78"/>
      <c r="E17" s="78"/>
      <c r="F17" s="78"/>
    </row>
    <row r="18" spans="1:6" ht="15.75" customHeight="1" x14ac:dyDescent="0.25">
      <c r="B18" s="5" t="s">
        <v>93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97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95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91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96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98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92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94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248</v>
      </c>
    </row>
    <row r="29" spans="1:6" ht="15.75" customHeight="1" x14ac:dyDescent="0.3">
      <c r="B29" s="69"/>
      <c r="C29" s="26" t="s">
        <v>58</v>
      </c>
      <c r="D29" s="70" t="s">
        <v>59</v>
      </c>
      <c r="E29" s="70" t="s">
        <v>51</v>
      </c>
      <c r="F29" s="70" t="s">
        <v>52</v>
      </c>
    </row>
    <row r="30" spans="1:6" ht="15.75" customHeight="1" x14ac:dyDescent="0.3">
      <c r="A30" s="4" t="s">
        <v>256</v>
      </c>
      <c r="B30" s="14"/>
      <c r="C30" s="71"/>
      <c r="D30" s="72"/>
      <c r="E30" s="72"/>
      <c r="F30" s="72"/>
    </row>
    <row r="31" spans="1:6" ht="15.75" customHeight="1" x14ac:dyDescent="0.25">
      <c r="B31" s="5" t="s">
        <v>27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63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10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11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253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261</v>
      </c>
      <c r="B38" s="68"/>
      <c r="C38" s="74"/>
      <c r="D38" s="75"/>
      <c r="E38" s="75"/>
      <c r="F38" s="75"/>
    </row>
    <row r="39" spans="1:6" ht="15.75" customHeight="1" x14ac:dyDescent="0.3">
      <c r="A39" s="4" t="s">
        <v>250</v>
      </c>
      <c r="C39" s="73"/>
      <c r="D39" s="64"/>
      <c r="E39" s="64"/>
      <c r="F39" s="64"/>
    </row>
    <row r="40" spans="1:6" ht="15.75" customHeight="1" x14ac:dyDescent="0.25">
      <c r="B40" s="11" t="s">
        <v>265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246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262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259</v>
      </c>
      <c r="B44" s="14"/>
      <c r="C44" s="77"/>
      <c r="D44" s="78"/>
      <c r="E44" s="78"/>
      <c r="F44" s="78"/>
    </row>
    <row r="45" spans="1:6" ht="15.75" customHeight="1" x14ac:dyDescent="0.25">
      <c r="B45" s="5" t="s">
        <v>93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97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95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91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96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98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92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94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245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248</v>
      </c>
    </row>
    <row r="56" spans="1:6" ht="15.75" customHeight="1" x14ac:dyDescent="0.3">
      <c r="B56" s="69"/>
      <c r="C56" s="26" t="s">
        <v>58</v>
      </c>
      <c r="D56" s="70" t="s">
        <v>59</v>
      </c>
      <c r="E56" s="70" t="s">
        <v>51</v>
      </c>
      <c r="F56" s="70" t="s">
        <v>52</v>
      </c>
    </row>
    <row r="57" spans="1:6" ht="15.75" customHeight="1" x14ac:dyDescent="0.3">
      <c r="A57" s="4" t="s">
        <v>257</v>
      </c>
      <c r="B57" s="14"/>
      <c r="C57" s="71"/>
      <c r="D57" s="72"/>
      <c r="E57" s="72"/>
      <c r="F57" s="72"/>
    </row>
    <row r="58" spans="1:6" ht="15.75" customHeight="1" x14ac:dyDescent="0.25">
      <c r="B58" s="5" t="s">
        <v>27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63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10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11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254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261</v>
      </c>
      <c r="B65" s="68"/>
      <c r="C65" s="74"/>
      <c r="D65" s="75"/>
      <c r="E65" s="75"/>
      <c r="F65" s="75"/>
    </row>
    <row r="66" spans="1:6" ht="15.75" customHeight="1" x14ac:dyDescent="0.3">
      <c r="A66" s="4" t="s">
        <v>251</v>
      </c>
      <c r="C66" s="73"/>
      <c r="D66" s="64"/>
      <c r="E66" s="64"/>
      <c r="F66" s="64"/>
    </row>
    <row r="67" spans="1:6" ht="15.75" customHeight="1" x14ac:dyDescent="0.25">
      <c r="B67" s="11" t="s">
        <v>266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247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263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260</v>
      </c>
      <c r="B71" s="14"/>
      <c r="C71" s="77"/>
      <c r="D71" s="78"/>
      <c r="E71" s="78"/>
      <c r="F71" s="78"/>
    </row>
    <row r="72" spans="1:6" ht="15.75" customHeight="1" x14ac:dyDescent="0.25">
      <c r="B72" s="5" t="s">
        <v>93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97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95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91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96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98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92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94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ZGHqnk41uv3ZR6I4v2Z/v93UyBqIUL0d0o6tRq0DUQen57o5O7uD8swK1d3ewNxZh4+WfAicFTQvTeoMNL7FRw==" saltValue="c7UJ9F/W3AH1Yn1TLb23H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D8" sqref="D8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278</v>
      </c>
    </row>
    <row r="2" spans="1:16" ht="13" customHeight="1" x14ac:dyDescent="0.3">
      <c r="A2" s="39" t="s">
        <v>230</v>
      </c>
      <c r="B2" s="1" t="s">
        <v>270</v>
      </c>
      <c r="C2" s="1" t="s">
        <v>271</v>
      </c>
      <c r="D2" s="70" t="s">
        <v>78</v>
      </c>
      <c r="E2" s="70" t="s">
        <v>74</v>
      </c>
      <c r="F2" s="70" t="s">
        <v>77</v>
      </c>
      <c r="G2" s="70" t="s">
        <v>75</v>
      </c>
      <c r="H2" s="70" t="s">
        <v>76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84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273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274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272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102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273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274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272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90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273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274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272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273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274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272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273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274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272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99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273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274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272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279</v>
      </c>
    </row>
    <row r="29" spans="1:16" ht="13" customHeight="1" x14ac:dyDescent="0.3">
      <c r="A29" s="39" t="s">
        <v>282</v>
      </c>
      <c r="B29" s="4" t="s">
        <v>270</v>
      </c>
      <c r="C29" s="4" t="s">
        <v>281</v>
      </c>
      <c r="D29" s="70" t="s">
        <v>78</v>
      </c>
      <c r="E29" s="70" t="s">
        <v>74</v>
      </c>
      <c r="F29" s="70" t="s">
        <v>77</v>
      </c>
      <c r="G29" s="70" t="s">
        <v>75</v>
      </c>
      <c r="H29" s="70" t="s">
        <v>76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84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273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207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102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273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207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90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273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207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273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207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273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207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99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273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207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276</v>
      </c>
    </row>
    <row r="56" spans="1:16" ht="26" customHeight="1" x14ac:dyDescent="0.3">
      <c r="A56" s="39" t="s">
        <v>105</v>
      </c>
      <c r="B56" s="4" t="s">
        <v>270</v>
      </c>
      <c r="C56" s="69" t="s">
        <v>267</v>
      </c>
      <c r="D56" s="70" t="s">
        <v>113</v>
      </c>
      <c r="E56" s="70" t="s">
        <v>114</v>
      </c>
      <c r="F56" s="70" t="s">
        <v>115</v>
      </c>
      <c r="G56" s="70" t="s">
        <v>116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81</v>
      </c>
      <c r="C57" s="3" t="s">
        <v>275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268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89</v>
      </c>
      <c r="C59" s="3" t="s">
        <v>275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268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103</v>
      </c>
      <c r="C61" s="3" t="s">
        <v>275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268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277</v>
      </c>
    </row>
    <row r="65" spans="1:16" ht="26" customHeight="1" x14ac:dyDescent="0.3">
      <c r="A65" s="39" t="s">
        <v>123</v>
      </c>
      <c r="B65" s="4" t="s">
        <v>270</v>
      </c>
      <c r="C65" s="69" t="s">
        <v>269</v>
      </c>
      <c r="D65" s="70" t="s">
        <v>78</v>
      </c>
      <c r="E65" s="70" t="s">
        <v>74</v>
      </c>
      <c r="F65" s="70" t="s">
        <v>77</v>
      </c>
      <c r="G65" s="70" t="s">
        <v>75</v>
      </c>
      <c r="H65" s="81" t="s">
        <v>76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93</v>
      </c>
      <c r="C66" s="3" t="s">
        <v>124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127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126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125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97</v>
      </c>
      <c r="C70" s="3" t="s">
        <v>124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127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126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125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95</v>
      </c>
      <c r="C74" s="3" t="s">
        <v>124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127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126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125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96</v>
      </c>
      <c r="C78" s="3" t="s">
        <v>124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127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126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125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84</v>
      </c>
      <c r="C82" s="3" t="s">
        <v>124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127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126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125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102</v>
      </c>
      <c r="C86" s="3" t="s">
        <v>124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127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126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125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90</v>
      </c>
      <c r="C90" s="3" t="s">
        <v>124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127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126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125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124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127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126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125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101</v>
      </c>
      <c r="C98" s="3" t="s">
        <v>124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127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126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125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280</v>
      </c>
    </row>
    <row r="104" spans="1:16" ht="26" customHeight="1" x14ac:dyDescent="0.3">
      <c r="A104" s="39" t="s">
        <v>84</v>
      </c>
      <c r="B104" s="82" t="s">
        <v>125</v>
      </c>
      <c r="C104" s="69" t="s">
        <v>269</v>
      </c>
      <c r="D104" s="70" t="s">
        <v>78</v>
      </c>
      <c r="E104" s="70" t="s">
        <v>74</v>
      </c>
      <c r="F104" s="70" t="s">
        <v>77</v>
      </c>
      <c r="G104" s="70" t="s">
        <v>75</v>
      </c>
      <c r="H104" s="81" t="s">
        <v>76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124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127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126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125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278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230</v>
      </c>
      <c r="B112" s="1" t="s">
        <v>270</v>
      </c>
      <c r="C112" s="1" t="s">
        <v>271</v>
      </c>
      <c r="D112" s="70" t="s">
        <v>78</v>
      </c>
      <c r="E112" s="70" t="s">
        <v>74</v>
      </c>
      <c r="F112" s="70" t="s">
        <v>77</v>
      </c>
      <c r="G112" s="70" t="s">
        <v>75</v>
      </c>
      <c r="H112" s="70" t="s">
        <v>76</v>
      </c>
    </row>
    <row r="113" spans="1:8" ht="13" customHeight="1" x14ac:dyDescent="0.3">
      <c r="A113" s="4"/>
      <c r="B113" s="8" t="s">
        <v>84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273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274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272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102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273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274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272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90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273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274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272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273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274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272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273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274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272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99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273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274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272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279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282</v>
      </c>
      <c r="B139" s="4" t="s">
        <v>270</v>
      </c>
      <c r="C139" s="4" t="s">
        <v>281</v>
      </c>
      <c r="D139" s="70" t="s">
        <v>78</v>
      </c>
      <c r="E139" s="70" t="s">
        <v>74</v>
      </c>
      <c r="F139" s="70" t="s">
        <v>77</v>
      </c>
      <c r="G139" s="70" t="s">
        <v>75</v>
      </c>
      <c r="H139" s="70" t="s">
        <v>76</v>
      </c>
    </row>
    <row r="140" spans="1:8" ht="13" customHeight="1" x14ac:dyDescent="0.3">
      <c r="A140" s="4"/>
      <c r="B140" s="8" t="s">
        <v>84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273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207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102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273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207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90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273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207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273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207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273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207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99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273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207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276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105</v>
      </c>
      <c r="B166" s="4" t="s">
        <v>270</v>
      </c>
      <c r="C166" s="69" t="s">
        <v>267</v>
      </c>
      <c r="D166" s="70" t="s">
        <v>113</v>
      </c>
      <c r="E166" s="70" t="s">
        <v>114</v>
      </c>
      <c r="F166" s="70" t="s">
        <v>115</v>
      </c>
      <c r="G166" s="70" t="s">
        <v>116</v>
      </c>
      <c r="H166" s="79"/>
    </row>
    <row r="167" spans="1:8" ht="13" customHeight="1" x14ac:dyDescent="0.3">
      <c r="A167" s="4"/>
      <c r="B167" s="8" t="s">
        <v>81</v>
      </c>
      <c r="C167" s="3" t="s">
        <v>275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268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89</v>
      </c>
      <c r="C169" s="3" t="s">
        <v>275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268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103</v>
      </c>
      <c r="C171" s="3" t="s">
        <v>275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268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277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123</v>
      </c>
      <c r="B175" s="4" t="s">
        <v>270</v>
      </c>
      <c r="C175" s="69" t="s">
        <v>269</v>
      </c>
      <c r="D175" s="70" t="s">
        <v>78</v>
      </c>
      <c r="E175" s="70" t="s">
        <v>74</v>
      </c>
      <c r="F175" s="70" t="s">
        <v>77</v>
      </c>
      <c r="G175" s="70" t="s">
        <v>75</v>
      </c>
      <c r="H175" s="81" t="s">
        <v>76</v>
      </c>
    </row>
    <row r="176" spans="1:8" ht="13" customHeight="1" x14ac:dyDescent="0.3">
      <c r="A176" s="82"/>
      <c r="B176" s="8" t="s">
        <v>93</v>
      </c>
      <c r="C176" s="3" t="s">
        <v>124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127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126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125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97</v>
      </c>
      <c r="C180" s="3" t="s">
        <v>124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127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126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125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95</v>
      </c>
      <c r="C184" s="3" t="s">
        <v>124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127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126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125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96</v>
      </c>
      <c r="C188" s="3" t="s">
        <v>124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127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126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125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84</v>
      </c>
      <c r="C192" s="3" t="s">
        <v>124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127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126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125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102</v>
      </c>
      <c r="C196" s="3" t="s">
        <v>124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127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126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125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90</v>
      </c>
      <c r="C200" s="3" t="s">
        <v>124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127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126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125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124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127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126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125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101</v>
      </c>
      <c r="C208" s="3" t="s">
        <v>124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127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126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125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280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84</v>
      </c>
      <c r="B214" s="82" t="s">
        <v>125</v>
      </c>
      <c r="C214" s="69" t="s">
        <v>269</v>
      </c>
      <c r="D214" s="70" t="s">
        <v>78</v>
      </c>
      <c r="E214" s="70" t="s">
        <v>74</v>
      </c>
      <c r="F214" s="70" t="s">
        <v>77</v>
      </c>
      <c r="G214" s="70" t="s">
        <v>75</v>
      </c>
      <c r="H214" s="81" t="s">
        <v>76</v>
      </c>
    </row>
    <row r="215" spans="1:9" ht="13" customHeight="1" x14ac:dyDescent="0.3">
      <c r="A215" s="4"/>
      <c r="C215" s="3" t="s">
        <v>124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127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126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125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245</v>
      </c>
      <c r="H220" s="92"/>
    </row>
    <row r="221" spans="1:9" ht="13" customHeight="1" x14ac:dyDescent="0.3">
      <c r="A221" s="67" t="s">
        <v>278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230</v>
      </c>
      <c r="B222" s="1" t="s">
        <v>270</v>
      </c>
      <c r="C222" s="1" t="s">
        <v>271</v>
      </c>
      <c r="D222" s="70" t="s">
        <v>78</v>
      </c>
      <c r="E222" s="70" t="s">
        <v>74</v>
      </c>
      <c r="F222" s="70" t="s">
        <v>77</v>
      </c>
      <c r="G222" s="70" t="s">
        <v>75</v>
      </c>
      <c r="H222" s="70" t="s">
        <v>76</v>
      </c>
      <c r="I222" s="79"/>
    </row>
    <row r="223" spans="1:9" ht="13" customHeight="1" x14ac:dyDescent="0.3">
      <c r="A223" s="4"/>
      <c r="B223" s="8" t="s">
        <v>84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273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274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272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102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273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274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272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90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273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274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272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273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274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272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273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274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272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99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273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274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272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279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282</v>
      </c>
      <c r="B249" s="4" t="s">
        <v>270</v>
      </c>
      <c r="C249" s="4" t="s">
        <v>281</v>
      </c>
      <c r="D249" s="70" t="s">
        <v>78</v>
      </c>
      <c r="E249" s="70" t="s">
        <v>74</v>
      </c>
      <c r="F249" s="70" t="s">
        <v>77</v>
      </c>
      <c r="G249" s="70" t="s">
        <v>75</v>
      </c>
      <c r="H249" s="70" t="s">
        <v>76</v>
      </c>
      <c r="I249" s="79"/>
    </row>
    <row r="250" spans="1:9" ht="13" customHeight="1" x14ac:dyDescent="0.3">
      <c r="A250" s="4"/>
      <c r="B250" s="8" t="s">
        <v>84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273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207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102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273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207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90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273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207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273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207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273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207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99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273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207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276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105</v>
      </c>
      <c r="B276" s="4" t="s">
        <v>270</v>
      </c>
      <c r="C276" s="69" t="s">
        <v>267</v>
      </c>
      <c r="D276" s="70" t="s">
        <v>113</v>
      </c>
      <c r="E276" s="70" t="s">
        <v>114</v>
      </c>
      <c r="F276" s="70" t="s">
        <v>115</v>
      </c>
      <c r="G276" s="70" t="s">
        <v>116</v>
      </c>
      <c r="H276" s="79"/>
    </row>
    <row r="277" spans="1:9" ht="13" customHeight="1" x14ac:dyDescent="0.3">
      <c r="A277" s="4"/>
      <c r="B277" s="8" t="s">
        <v>81</v>
      </c>
      <c r="C277" s="3" t="s">
        <v>275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268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89</v>
      </c>
      <c r="C279" s="3" t="s">
        <v>275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268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103</v>
      </c>
      <c r="C281" s="3" t="s">
        <v>275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268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277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123</v>
      </c>
      <c r="B285" s="4" t="s">
        <v>270</v>
      </c>
      <c r="C285" s="69" t="s">
        <v>269</v>
      </c>
      <c r="D285" s="70" t="s">
        <v>78</v>
      </c>
      <c r="E285" s="70" t="s">
        <v>74</v>
      </c>
      <c r="F285" s="70" t="s">
        <v>77</v>
      </c>
      <c r="G285" s="70" t="s">
        <v>75</v>
      </c>
      <c r="H285" s="81" t="s">
        <v>76</v>
      </c>
      <c r="I285" s="79"/>
    </row>
    <row r="286" spans="1:9" ht="13" customHeight="1" x14ac:dyDescent="0.3">
      <c r="A286" s="82"/>
      <c r="B286" s="8" t="s">
        <v>93</v>
      </c>
      <c r="C286" s="3" t="s">
        <v>124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127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126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125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97</v>
      </c>
      <c r="C290" s="3" t="s">
        <v>124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127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126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125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95</v>
      </c>
      <c r="C294" s="3" t="s">
        <v>124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127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126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125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96</v>
      </c>
      <c r="C298" s="3" t="s">
        <v>124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127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126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125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84</v>
      </c>
      <c r="C302" s="3" t="s">
        <v>124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127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126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125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102</v>
      </c>
      <c r="C306" s="3" t="s">
        <v>124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127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126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125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90</v>
      </c>
      <c r="C310" s="3" t="s">
        <v>124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127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126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125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124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127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126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125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101</v>
      </c>
      <c r="C318" s="3" t="s">
        <v>124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127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126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125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280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84</v>
      </c>
      <c r="B324" s="82" t="s">
        <v>125</v>
      </c>
      <c r="C324" s="69" t="s">
        <v>269</v>
      </c>
      <c r="D324" s="70" t="s">
        <v>78</v>
      </c>
      <c r="E324" s="70" t="s">
        <v>74</v>
      </c>
      <c r="F324" s="70" t="s">
        <v>77</v>
      </c>
      <c r="G324" s="70" t="s">
        <v>75</v>
      </c>
      <c r="H324" s="81" t="s">
        <v>76</v>
      </c>
      <c r="I324" s="79"/>
    </row>
    <row r="325" spans="1:9" ht="13" customHeight="1" x14ac:dyDescent="0.3">
      <c r="A325" s="4"/>
      <c r="C325" s="3" t="s">
        <v>124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127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126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125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DtyUSUom6lQLmKOlFQ+B0vS5lMeIYnHgxo2jH6XmbNawBxdbaPcnWKJo5GLrw3UdFPBVvjb+HgdKvXGvSkx/nw==" saltValue="8Pnqa3IZ6deqR95AkHTrR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topLeftCell="A35" zoomScale="70" zoomScaleNormal="70" workbookViewId="0">
      <selection activeCell="C8" sqref="C8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313</v>
      </c>
    </row>
    <row r="2" spans="1:7" ht="14.25" customHeight="1" x14ac:dyDescent="0.3">
      <c r="A2" s="82" t="s">
        <v>208</v>
      </c>
      <c r="B2" s="1"/>
      <c r="C2" s="4" t="s">
        <v>78</v>
      </c>
      <c r="D2" s="4" t="s">
        <v>74</v>
      </c>
      <c r="E2" s="4" t="s">
        <v>77</v>
      </c>
      <c r="F2" s="4" t="s">
        <v>75</v>
      </c>
      <c r="G2" s="4" t="s">
        <v>76</v>
      </c>
    </row>
    <row r="3" spans="1:7" ht="14.25" customHeight="1" x14ac:dyDescent="0.25">
      <c r="B3" s="11" t="s">
        <v>300</v>
      </c>
      <c r="C3" s="90" t="s">
        <v>8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286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283</v>
      </c>
    </row>
    <row r="6" spans="1:7" ht="14.25" customHeight="1" x14ac:dyDescent="0.25">
      <c r="B6" s="5" t="s">
        <v>193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184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204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203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307</v>
      </c>
    </row>
    <row r="12" spans="1:7" ht="14.25" customHeight="1" x14ac:dyDescent="0.3">
      <c r="A12" s="14"/>
      <c r="B12" s="11" t="s">
        <v>182</v>
      </c>
      <c r="C12" s="90">
        <v>1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314</v>
      </c>
    </row>
    <row r="15" spans="1:7" ht="14.25" customHeight="1" x14ac:dyDescent="0.3">
      <c r="A15" s="82" t="s">
        <v>282</v>
      </c>
      <c r="B15" s="5" t="s">
        <v>294</v>
      </c>
      <c r="C15" s="90">
        <v>1.024</v>
      </c>
      <c r="D15" s="90">
        <v>1.024</v>
      </c>
      <c r="E15" s="90">
        <v>1.024</v>
      </c>
      <c r="F15" s="90">
        <v>1.024</v>
      </c>
      <c r="G15" s="90">
        <v>1.024</v>
      </c>
    </row>
    <row r="16" spans="1:7" ht="14.25" customHeight="1" x14ac:dyDescent="0.3">
      <c r="A16" s="4"/>
      <c r="B16" s="5" t="s">
        <v>291</v>
      </c>
      <c r="C16" s="90">
        <v>1.024</v>
      </c>
      <c r="D16" s="90">
        <v>1.024</v>
      </c>
      <c r="E16" s="90">
        <v>1.024</v>
      </c>
      <c r="F16" s="90">
        <v>1.024</v>
      </c>
      <c r="G16" s="90">
        <v>1.024</v>
      </c>
    </row>
    <row r="17" spans="1:7" ht="14.25" customHeight="1" x14ac:dyDescent="0.3">
      <c r="A17" s="82" t="s">
        <v>105</v>
      </c>
      <c r="B17" s="11" t="s">
        <v>297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310</v>
      </c>
    </row>
    <row r="20" spans="1:7" s="14" customFormat="1" ht="14.25" customHeight="1" x14ac:dyDescent="0.3">
      <c r="C20" s="4" t="s">
        <v>68</v>
      </c>
      <c r="D20" s="4" t="s">
        <v>69</v>
      </c>
      <c r="E20" s="4" t="s">
        <v>70</v>
      </c>
      <c r="F20" s="4" t="s">
        <v>71</v>
      </c>
    </row>
    <row r="21" spans="1:7" x14ac:dyDescent="0.25">
      <c r="B21" s="11" t="s">
        <v>170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313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208</v>
      </c>
      <c r="B25" s="1"/>
      <c r="C25" s="4" t="s">
        <v>78</v>
      </c>
      <c r="D25" s="4" t="s">
        <v>74</v>
      </c>
      <c r="E25" s="4" t="s">
        <v>77</v>
      </c>
      <c r="F25" s="4" t="s">
        <v>75</v>
      </c>
      <c r="G25" s="4" t="s">
        <v>76</v>
      </c>
    </row>
    <row r="26" spans="1:7" x14ac:dyDescent="0.25">
      <c r="B26" s="11" t="s">
        <v>301</v>
      </c>
      <c r="C26" s="90" t="s">
        <v>8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287</v>
      </c>
      <c r="C27" s="90">
        <v>1.014</v>
      </c>
      <c r="D27" s="90">
        <v>1.014</v>
      </c>
      <c r="E27" s="90">
        <v>1.014</v>
      </c>
      <c r="F27" s="90">
        <v>1.014</v>
      </c>
      <c r="G27" s="90">
        <v>1.014</v>
      </c>
    </row>
    <row r="28" spans="1:7" ht="13" customHeight="1" x14ac:dyDescent="0.3">
      <c r="A28" s="14" t="s">
        <v>284</v>
      </c>
    </row>
    <row r="29" spans="1:7" x14ac:dyDescent="0.25">
      <c r="B29" s="5" t="s">
        <v>315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305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319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317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308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303</v>
      </c>
      <c r="C35" s="90">
        <v>1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314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282</v>
      </c>
      <c r="B38" s="5" t="s">
        <v>295</v>
      </c>
      <c r="C38" s="90">
        <v>1.016</v>
      </c>
      <c r="D38" s="90">
        <v>1.016</v>
      </c>
      <c r="E38" s="90">
        <v>1.016</v>
      </c>
      <c r="F38" s="90">
        <v>1.016</v>
      </c>
      <c r="G38" s="90">
        <v>1.016</v>
      </c>
    </row>
    <row r="39" spans="1:7" ht="13" customHeight="1" x14ac:dyDescent="0.3">
      <c r="A39" s="4"/>
      <c r="B39" s="5" t="s">
        <v>292</v>
      </c>
      <c r="C39" s="90">
        <v>1.016</v>
      </c>
      <c r="D39" s="90">
        <v>1.016</v>
      </c>
      <c r="E39" s="90">
        <v>1.016</v>
      </c>
      <c r="F39" s="90">
        <v>1.016</v>
      </c>
      <c r="G39" s="90">
        <v>1.016</v>
      </c>
    </row>
    <row r="40" spans="1:7" ht="13" customHeight="1" x14ac:dyDescent="0.3">
      <c r="A40" s="82" t="s">
        <v>105</v>
      </c>
      <c r="B40" s="11" t="s">
        <v>298</v>
      </c>
      <c r="C40" s="90">
        <f>IF(C17=1,1,C17*0.9)</f>
        <v>1</v>
      </c>
      <c r="D40" s="90">
        <f>IF(D17=1,1,D17*0.9)</f>
        <v>1</v>
      </c>
      <c r="E40" s="90">
        <f>IF(E17=1,1,E17*0.9)</f>
        <v>1</v>
      </c>
      <c r="F40" s="90">
        <f>IF(F17=1,1,F17*0.9)</f>
        <v>1</v>
      </c>
      <c r="G40" s="90">
        <f>IF(G17=1,1,G17*0.9)</f>
        <v>1</v>
      </c>
    </row>
    <row r="42" spans="1:7" ht="13" customHeight="1" x14ac:dyDescent="0.3">
      <c r="A42" s="67" t="s">
        <v>311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68</v>
      </c>
      <c r="D43" s="4" t="s">
        <v>69</v>
      </c>
      <c r="E43" s="4" t="s">
        <v>70</v>
      </c>
      <c r="F43" s="4" t="s">
        <v>71</v>
      </c>
      <c r="G43" s="14"/>
    </row>
    <row r="44" spans="1:7" x14ac:dyDescent="0.25">
      <c r="B44" s="11" t="s">
        <v>289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245</v>
      </c>
    </row>
    <row r="47" spans="1:7" ht="13" customHeight="1" x14ac:dyDescent="0.3">
      <c r="A47" s="67" t="s">
        <v>313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208</v>
      </c>
      <c r="B48" s="1"/>
      <c r="C48" s="4" t="s">
        <v>78</v>
      </c>
      <c r="D48" s="4" t="s">
        <v>74</v>
      </c>
      <c r="E48" s="4" t="s">
        <v>77</v>
      </c>
      <c r="F48" s="4" t="s">
        <v>75</v>
      </c>
      <c r="G48" s="4" t="s">
        <v>76</v>
      </c>
    </row>
    <row r="49" spans="1:7" x14ac:dyDescent="0.25">
      <c r="B49" s="11" t="s">
        <v>302</v>
      </c>
      <c r="C49" s="90" t="s">
        <v>8</v>
      </c>
      <c r="D49" s="90">
        <f>D3*1.05</f>
        <v>47.25</v>
      </c>
      <c r="E49" s="90">
        <f>E3*1.05</f>
        <v>379.68000000000006</v>
      </c>
      <c r="F49" s="90">
        <f>F3*1.05</f>
        <v>183.435</v>
      </c>
      <c r="G49" s="90">
        <f>G3*1.05</f>
        <v>183.435</v>
      </c>
    </row>
    <row r="50" spans="1:7" ht="13" customHeight="1" x14ac:dyDescent="0.3">
      <c r="A50" s="4"/>
      <c r="B50" s="5" t="s">
        <v>288</v>
      </c>
      <c r="C50" s="90">
        <v>1.0349999999999999</v>
      </c>
      <c r="D50" s="90">
        <v>1.0349999999999999</v>
      </c>
      <c r="E50" s="90">
        <v>1.0349999999999999</v>
      </c>
      <c r="F50" s="90">
        <v>1.0349999999999999</v>
      </c>
      <c r="G50" s="90">
        <v>1.0349999999999999</v>
      </c>
    </row>
    <row r="51" spans="1:7" ht="13" customHeight="1" x14ac:dyDescent="0.3">
      <c r="A51" s="14" t="s">
        <v>285</v>
      </c>
    </row>
    <row r="52" spans="1:7" x14ac:dyDescent="0.25">
      <c r="B52" s="5" t="s">
        <v>316</v>
      </c>
      <c r="C52" s="90">
        <f t="shared" ref="C52:D55" si="1">IF(C6=1,1,C6*1.1)</f>
        <v>1</v>
      </c>
      <c r="D52" s="90">
        <f t="shared" si="1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306</v>
      </c>
      <c r="C53" s="90">
        <f t="shared" si="1"/>
        <v>1</v>
      </c>
      <c r="D53" s="90">
        <f t="shared" si="1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320</v>
      </c>
      <c r="C54" s="90">
        <f t="shared" si="1"/>
        <v>1</v>
      </c>
      <c r="D54" s="90">
        <f t="shared" si="1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318</v>
      </c>
      <c r="C55" s="90">
        <f t="shared" si="1"/>
        <v>1</v>
      </c>
      <c r="D55" s="90">
        <f t="shared" si="1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309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304</v>
      </c>
      <c r="C58" s="90">
        <v>1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314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282</v>
      </c>
      <c r="B61" s="5" t="s">
        <v>296</v>
      </c>
      <c r="C61" s="90">
        <v>1.0309999999999999</v>
      </c>
      <c r="D61" s="90">
        <v>1.0309999999999999</v>
      </c>
      <c r="E61" s="90">
        <v>1.0309999999999999</v>
      </c>
      <c r="F61" s="90">
        <v>1.0309999999999999</v>
      </c>
      <c r="G61" s="90">
        <v>1.0309999999999999</v>
      </c>
    </row>
    <row r="62" spans="1:7" ht="13" customHeight="1" x14ac:dyDescent="0.3">
      <c r="A62" s="4"/>
      <c r="B62" s="5" t="s">
        <v>293</v>
      </c>
      <c r="C62" s="90">
        <v>1.0309999999999999</v>
      </c>
      <c r="D62" s="90">
        <v>1.0309999999999999</v>
      </c>
      <c r="E62" s="90">
        <v>1.0309999999999999</v>
      </c>
      <c r="F62" s="90">
        <v>1.0309999999999999</v>
      </c>
      <c r="G62" s="90">
        <v>1.0309999999999999</v>
      </c>
    </row>
    <row r="63" spans="1:7" ht="13" customHeight="1" x14ac:dyDescent="0.3">
      <c r="A63" s="82" t="s">
        <v>105</v>
      </c>
      <c r="B63" s="11" t="s">
        <v>299</v>
      </c>
      <c r="C63" s="90">
        <f>IF(C17=1,1,C17*1.1)</f>
        <v>1</v>
      </c>
      <c r="D63" s="90">
        <f>IF(D17=1,1,D17*1.1)</f>
        <v>1</v>
      </c>
      <c r="E63" s="90">
        <f>IF(E17=1,1,E17*1.1)</f>
        <v>1</v>
      </c>
      <c r="F63" s="90">
        <f>IF(F17=1,1,F17*1.1)</f>
        <v>1</v>
      </c>
      <c r="G63" s="90">
        <f>IF(G17=1,1,G17*1.1)</f>
        <v>1</v>
      </c>
    </row>
    <row r="65" spans="1:7" ht="13" customHeight="1" x14ac:dyDescent="0.3">
      <c r="A65" s="67" t="s">
        <v>312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68</v>
      </c>
      <c r="D66" s="4" t="s">
        <v>69</v>
      </c>
      <c r="E66" s="4" t="s">
        <v>70</v>
      </c>
      <c r="F66" s="4" t="s">
        <v>71</v>
      </c>
      <c r="G66" s="14"/>
    </row>
    <row r="67" spans="1:7" x14ac:dyDescent="0.25">
      <c r="B67" s="11" t="s">
        <v>290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ADH9LnSJyo6ZLhwfD48J2kl76e6CkFSjamgVYDWuRMazdfr3Xd+ux3C2a5FBEjHkuk9LW20y5IVibxQX0q5GSg==" saltValue="vNp12j0ACRIYGRQ2QChev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C8" sqref="C8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163</v>
      </c>
      <c r="B1" s="4"/>
      <c r="C1" s="4" t="s">
        <v>52</v>
      </c>
      <c r="D1" s="4" t="s">
        <v>59</v>
      </c>
      <c r="E1" s="4" t="s">
        <v>51</v>
      </c>
      <c r="F1" s="1" t="s">
        <v>58</v>
      </c>
    </row>
    <row r="2" spans="1:6" ht="15.75" customHeight="1" x14ac:dyDescent="0.25">
      <c r="A2" s="5" t="s">
        <v>165</v>
      </c>
      <c r="B2" s="5" t="s">
        <v>322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321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178</v>
      </c>
      <c r="B4" s="5" t="s">
        <v>322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321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179</v>
      </c>
      <c r="B6" s="5" t="s">
        <v>322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321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180</v>
      </c>
      <c r="B8" s="5" t="s">
        <v>322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321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185</v>
      </c>
      <c r="B10" s="5" t="s">
        <v>322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321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191</v>
      </c>
      <c r="B12" s="5" t="s">
        <v>322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321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163</v>
      </c>
      <c r="B16" s="4"/>
      <c r="C16" s="4" t="s">
        <v>52</v>
      </c>
      <c r="D16" s="4" t="s">
        <v>59</v>
      </c>
      <c r="E16" s="4" t="s">
        <v>51</v>
      </c>
      <c r="F16" s="1" t="s">
        <v>58</v>
      </c>
    </row>
    <row r="17" spans="1:6" ht="15.75" customHeight="1" x14ac:dyDescent="0.25">
      <c r="A17" s="5" t="s">
        <v>165</v>
      </c>
      <c r="B17" s="5" t="s">
        <v>322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321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178</v>
      </c>
      <c r="B19" s="5" t="s">
        <v>322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321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179</v>
      </c>
      <c r="B21" s="5" t="s">
        <v>322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321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180</v>
      </c>
      <c r="B23" s="5" t="s">
        <v>322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321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185</v>
      </c>
      <c r="B25" s="5" t="s">
        <v>322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321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191</v>
      </c>
      <c r="B27" s="5" t="s">
        <v>322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321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245</v>
      </c>
    </row>
    <row r="31" spans="1:6" ht="15.75" customHeight="1" x14ac:dyDescent="0.3">
      <c r="A31" s="1" t="s">
        <v>163</v>
      </c>
      <c r="B31" s="4"/>
      <c r="C31" s="4" t="s">
        <v>52</v>
      </c>
      <c r="D31" s="4" t="s">
        <v>59</v>
      </c>
      <c r="E31" s="4" t="s">
        <v>51</v>
      </c>
      <c r="F31" s="1" t="s">
        <v>58</v>
      </c>
    </row>
    <row r="32" spans="1:6" ht="15.75" customHeight="1" x14ac:dyDescent="0.25">
      <c r="A32" s="5" t="s">
        <v>165</v>
      </c>
      <c r="B32" s="5" t="s">
        <v>322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321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178</v>
      </c>
      <c r="B34" s="5" t="s">
        <v>322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321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179</v>
      </c>
      <c r="B36" s="5" t="s">
        <v>322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321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180</v>
      </c>
      <c r="B38" s="5" t="s">
        <v>322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321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185</v>
      </c>
      <c r="B40" s="5" t="s">
        <v>322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321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191</v>
      </c>
      <c r="B42" s="5" t="s">
        <v>322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321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aey8NDSutksQbK8z7IcijWDrkAAj8y6bpkeyjkDYFHEqecdVR+GAYH/MBWvH3KoBqkK9KmDG/FwGdUKhxkYf3A==" saltValue="LCqBV5PZrfGsMxrxnJxNh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zoomScale="70" zoomScaleNormal="70" workbookViewId="0">
      <selection activeCell="C8" sqref="C8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78</v>
      </c>
      <c r="D1" s="70" t="s">
        <v>74</v>
      </c>
      <c r="E1" s="70" t="s">
        <v>77</v>
      </c>
      <c r="F1" s="70" t="s">
        <v>75</v>
      </c>
      <c r="G1" s="70" t="s">
        <v>76</v>
      </c>
      <c r="H1" s="70" t="s">
        <v>68</v>
      </c>
      <c r="I1" s="70" t="s">
        <v>69</v>
      </c>
      <c r="J1" s="70" t="s">
        <v>70</v>
      </c>
      <c r="K1" s="70" t="s">
        <v>71</v>
      </c>
      <c r="L1" s="70" t="s">
        <v>113</v>
      </c>
      <c r="M1" s="70" t="s">
        <v>114</v>
      </c>
      <c r="N1" s="70" t="s">
        <v>115</v>
      </c>
      <c r="O1" s="70" t="s">
        <v>116</v>
      </c>
    </row>
    <row r="2" spans="1:15" ht="13" customHeight="1" x14ac:dyDescent="0.3">
      <c r="A2" s="4" t="s">
        <v>326</v>
      </c>
    </row>
    <row r="3" spans="1:15" x14ac:dyDescent="0.25">
      <c r="B3" s="11" t="s">
        <v>169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174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175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176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177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178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179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180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184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190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191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204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323</v>
      </c>
      <c r="B17" s="11"/>
    </row>
    <row r="18" spans="1:15" x14ac:dyDescent="0.25">
      <c r="B18" s="5" t="s">
        <v>171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172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173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181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78</v>
      </c>
      <c r="D24" s="70" t="s">
        <v>74</v>
      </c>
      <c r="E24" s="70" t="s">
        <v>77</v>
      </c>
      <c r="F24" s="70" t="s">
        <v>75</v>
      </c>
      <c r="G24" s="70" t="s">
        <v>76</v>
      </c>
      <c r="H24" s="70" t="s">
        <v>68</v>
      </c>
      <c r="I24" s="70" t="s">
        <v>69</v>
      </c>
      <c r="J24" s="70" t="s">
        <v>70</v>
      </c>
      <c r="K24" s="70" t="s">
        <v>71</v>
      </c>
      <c r="L24" s="70" t="s">
        <v>113</v>
      </c>
      <c r="M24" s="70" t="s">
        <v>114</v>
      </c>
      <c r="N24" s="70" t="s">
        <v>115</v>
      </c>
      <c r="O24" s="70" t="s">
        <v>116</v>
      </c>
    </row>
    <row r="25" spans="1:15" ht="13" customHeight="1" x14ac:dyDescent="0.3">
      <c r="A25" s="4" t="s">
        <v>327</v>
      </c>
    </row>
    <row r="26" spans="1:15" x14ac:dyDescent="0.25">
      <c r="B26" s="11" t="s">
        <v>169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174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175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176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177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178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179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180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184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190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191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204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customHeight="1" x14ac:dyDescent="0.3">
      <c r="A40" s="4" t="s">
        <v>324</v>
      </c>
      <c r="B40" s="11"/>
    </row>
    <row r="41" spans="1:15" x14ac:dyDescent="0.25">
      <c r="B41" s="5" t="s">
        <v>171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172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173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181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245</v>
      </c>
    </row>
    <row r="47" spans="1:15" ht="26" customHeight="1" x14ac:dyDescent="0.3">
      <c r="A47" s="4"/>
      <c r="B47" s="4"/>
      <c r="C47" s="70" t="s">
        <v>78</v>
      </c>
      <c r="D47" s="70" t="s">
        <v>74</v>
      </c>
      <c r="E47" s="70" t="s">
        <v>77</v>
      </c>
      <c r="F47" s="70" t="s">
        <v>75</v>
      </c>
      <c r="G47" s="70" t="s">
        <v>76</v>
      </c>
      <c r="H47" s="70" t="s">
        <v>68</v>
      </c>
      <c r="I47" s="70" t="s">
        <v>69</v>
      </c>
      <c r="J47" s="70" t="s">
        <v>70</v>
      </c>
      <c r="K47" s="70" t="s">
        <v>71</v>
      </c>
      <c r="L47" s="70" t="s">
        <v>113</v>
      </c>
      <c r="M47" s="70" t="s">
        <v>114</v>
      </c>
      <c r="N47" s="70" t="s">
        <v>115</v>
      </c>
      <c r="O47" s="70" t="s">
        <v>116</v>
      </c>
    </row>
    <row r="48" spans="1:15" ht="13" customHeight="1" x14ac:dyDescent="0.3">
      <c r="A48" s="4" t="s">
        <v>328</v>
      </c>
    </row>
    <row r="49" spans="1:15" x14ac:dyDescent="0.25">
      <c r="B49" s="11" t="s">
        <v>169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174</v>
      </c>
      <c r="C50" s="90">
        <f t="shared" ref="C50:G56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175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176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177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178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179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180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184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190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191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204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customHeight="1" x14ac:dyDescent="0.3">
      <c r="A63" s="4" t="s">
        <v>325</v>
      </c>
      <c r="B63" s="11"/>
    </row>
    <row r="64" spans="1:15" x14ac:dyDescent="0.25">
      <c r="B64" s="5" t="s">
        <v>171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172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173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181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VcCm2LalIJWJVQBERiWpHYsUQfsJspPpvxtG2L/S2jd+oSCtVu2hKK15irPbrJGHiuZvl7PlAlkHFumCAa9gNg==" saltValue="KQKeni5zvX6QNDGF/fbib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C3" sqref="C3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</row>
    <row r="2" spans="1:7" ht="13" customHeight="1" x14ac:dyDescent="0.3">
      <c r="A2" s="4" t="s">
        <v>333</v>
      </c>
    </row>
    <row r="3" spans="1:7" ht="13.25" customHeight="1" x14ac:dyDescent="0.25">
      <c r="B3" s="11" t="s">
        <v>164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330</v>
      </c>
      <c r="B4" s="11"/>
      <c r="C4" s="83"/>
      <c r="D4" s="83"/>
      <c r="E4" s="83"/>
      <c r="F4" s="83"/>
      <c r="G4" s="83"/>
    </row>
    <row r="5" spans="1:7" ht="13.25" customHeight="1" x14ac:dyDescent="0.25">
      <c r="B5" s="5" t="s">
        <v>162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329</v>
      </c>
    </row>
    <row r="8" spans="1:7" ht="13" customHeight="1" x14ac:dyDescent="0.3">
      <c r="A8" s="4"/>
      <c r="B8" s="1"/>
      <c r="C8" s="4" t="s">
        <v>78</v>
      </c>
      <c r="D8" s="4" t="s">
        <v>74</v>
      </c>
      <c r="E8" s="4" t="s">
        <v>77</v>
      </c>
      <c r="F8" s="4" t="s">
        <v>75</v>
      </c>
      <c r="G8" s="4" t="s">
        <v>76</v>
      </c>
    </row>
    <row r="9" spans="1:7" ht="13" customHeight="1" x14ac:dyDescent="0.3">
      <c r="A9" s="4" t="s">
        <v>334</v>
      </c>
    </row>
    <row r="10" spans="1:7" ht="13.25" customHeight="1" x14ac:dyDescent="0.25">
      <c r="B10" s="11" t="s">
        <v>164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331</v>
      </c>
      <c r="B11" s="11"/>
      <c r="C11" s="83"/>
      <c r="D11" s="83"/>
      <c r="E11" s="83"/>
      <c r="F11" s="83"/>
      <c r="G11" s="83"/>
    </row>
    <row r="12" spans="1:7" ht="13.25" customHeight="1" x14ac:dyDescent="0.25">
      <c r="B12" s="5" t="s">
        <v>162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336</v>
      </c>
    </row>
    <row r="15" spans="1:7" ht="13" customHeight="1" x14ac:dyDescent="0.3">
      <c r="A15" s="4"/>
      <c r="B15" s="1"/>
      <c r="C15" s="4" t="s">
        <v>78</v>
      </c>
      <c r="D15" s="4" t="s">
        <v>74</v>
      </c>
      <c r="E15" s="4" t="s">
        <v>77</v>
      </c>
      <c r="F15" s="4" t="s">
        <v>75</v>
      </c>
      <c r="G15" s="4" t="s">
        <v>76</v>
      </c>
    </row>
    <row r="16" spans="1:7" ht="13" customHeight="1" x14ac:dyDescent="0.3">
      <c r="A16" s="4" t="s">
        <v>335</v>
      </c>
    </row>
    <row r="17" spans="1:7" ht="13.25" customHeight="1" x14ac:dyDescent="0.25">
      <c r="B17" s="11" t="s">
        <v>164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332</v>
      </c>
      <c r="B18" s="11"/>
      <c r="C18" s="83"/>
      <c r="D18" s="83"/>
      <c r="E18" s="83"/>
      <c r="F18" s="83"/>
      <c r="G18" s="83"/>
    </row>
    <row r="19" spans="1:7" ht="13.25" customHeight="1" x14ac:dyDescent="0.25">
      <c r="B19" s="5" t="s">
        <v>162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mu4Ml/9h2Mj4AdLLYqMBHhOlVadicnJlLMBmqUmNxH5nQ981f/9Xk19++5Ey99MPd/g855G112EF9VMQ6BuARw==" saltValue="INOwtpqIJkP0WudglX1rt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22" zoomScale="80" zoomScaleNormal="80" workbookViewId="0">
      <selection activeCell="D8" sqref="D8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163</v>
      </c>
      <c r="B1" s="4" t="s">
        <v>340</v>
      </c>
      <c r="C1" s="82" t="s">
        <v>9</v>
      </c>
      <c r="D1" s="4" t="s">
        <v>78</v>
      </c>
      <c r="E1" s="4" t="s">
        <v>74</v>
      </c>
      <c r="F1" s="4" t="s">
        <v>77</v>
      </c>
      <c r="G1" s="4" t="s">
        <v>75</v>
      </c>
      <c r="H1" s="4" t="s">
        <v>76</v>
      </c>
    </row>
    <row r="2" spans="1:8" ht="13.25" customHeight="1" x14ac:dyDescent="0.25">
      <c r="A2" s="5" t="s">
        <v>196</v>
      </c>
      <c r="B2" s="5" t="s">
        <v>84</v>
      </c>
      <c r="C2" s="5" t="s">
        <v>337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ht="13.25" customHeight="1" x14ac:dyDescent="0.25">
      <c r="C3" s="5" t="s">
        <v>339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ht="13.25" customHeight="1" x14ac:dyDescent="0.25">
      <c r="C4" s="5" t="s">
        <v>338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ht="13.25" customHeight="1" x14ac:dyDescent="0.25">
      <c r="A5" s="5" t="s">
        <v>193</v>
      </c>
      <c r="B5" s="5" t="s">
        <v>207</v>
      </c>
      <c r="C5" s="5" t="s">
        <v>337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ht="13.25" customHeight="1" x14ac:dyDescent="0.25">
      <c r="C6" s="5" t="s">
        <v>338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ht="13.25" customHeight="1" x14ac:dyDescent="0.25">
      <c r="B7" s="5" t="s">
        <v>6</v>
      </c>
      <c r="C7" s="5" t="s">
        <v>337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ht="13.25" customHeight="1" x14ac:dyDescent="0.25">
      <c r="C8" s="5" t="s">
        <v>338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ht="13.25" customHeight="1" x14ac:dyDescent="0.25">
      <c r="A9" s="5" t="s">
        <v>184</v>
      </c>
      <c r="B9" s="5" t="s">
        <v>207</v>
      </c>
      <c r="C9" s="5" t="s">
        <v>337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ht="13.25" customHeight="1" x14ac:dyDescent="0.25">
      <c r="C10" s="5" t="s">
        <v>338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ht="13.25" customHeight="1" x14ac:dyDescent="0.25">
      <c r="B11" s="5" t="s">
        <v>6</v>
      </c>
      <c r="C11" s="5" t="s">
        <v>337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ht="13.25" customHeight="1" x14ac:dyDescent="0.25">
      <c r="C12" s="5" t="s">
        <v>338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ht="13.25" customHeight="1" x14ac:dyDescent="0.25">
      <c r="A13" s="5" t="s">
        <v>204</v>
      </c>
      <c r="B13" s="5" t="s">
        <v>207</v>
      </c>
      <c r="C13" s="5" t="s">
        <v>337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ht="13.25" customHeight="1" x14ac:dyDescent="0.25">
      <c r="C14" s="5" t="s">
        <v>338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ht="13.25" customHeight="1" x14ac:dyDescent="0.25">
      <c r="B15" s="5" t="s">
        <v>6</v>
      </c>
      <c r="C15" s="5" t="s">
        <v>337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ht="13.25" customHeight="1" x14ac:dyDescent="0.25">
      <c r="C16" s="5" t="s">
        <v>338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ht="13.25" customHeight="1" x14ac:dyDescent="0.25">
      <c r="A17" s="5" t="s">
        <v>167</v>
      </c>
      <c r="B17" s="5" t="s">
        <v>207</v>
      </c>
      <c r="C17" s="5" t="s">
        <v>337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ht="13.25" customHeight="1" x14ac:dyDescent="0.25">
      <c r="C18" s="5" t="s">
        <v>338</v>
      </c>
      <c r="D18" s="90">
        <v>0</v>
      </c>
      <c r="E18" s="90">
        <v>0</v>
      </c>
      <c r="F18" s="90">
        <f>MIN(MAX(1-0.89/(1-frac_sam_6_11months+(frac_sam_6_11months*0.89)),0),1)</f>
        <v>0.10816767876975786</v>
      </c>
      <c r="G18" s="90">
        <f>MIN(MAX(1-0.89/(1-frac_sam_12_23months+(frac_sam_12_23months*0.89)),0),1)</f>
        <v>0.1079384743602152</v>
      </c>
      <c r="H18" s="90">
        <f>MIN(MAX(1-0.89/(1-frac_sam_24_59months+(frac_sam_24_59months*0.89)),0),1)</f>
        <v>0.10901422135337735</v>
      </c>
    </row>
    <row r="19" spans="1:8" ht="13.25" customHeight="1" x14ac:dyDescent="0.25">
      <c r="B19" s="5" t="s">
        <v>6</v>
      </c>
      <c r="C19" s="5" t="s">
        <v>337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ht="13.25" customHeight="1" x14ac:dyDescent="0.25">
      <c r="C20" s="5" t="s">
        <v>338</v>
      </c>
      <c r="D20" s="90">
        <v>0</v>
      </c>
      <c r="E20" s="90">
        <v>0</v>
      </c>
      <c r="F20" s="90">
        <f>MIN(MAX(1-0.89/(1-frac_mam_6_11months+(frac_mam_6_11months*0.89)),0),1)</f>
        <v>0.10296934462643992</v>
      </c>
      <c r="G20" s="90">
        <f>MIN(MAX(1-0.89/(1-frac_mam_12_23months+(frac_mam_12_23months*0.89)),0),1)</f>
        <v>0.1046997617089005</v>
      </c>
      <c r="H20" s="90">
        <f>MIN(MAX(1-0.89/(1-frac_mam_24_59months+(frac_mam_24_59months*0.89)),0),1)</f>
        <v>0.10721170520007317</v>
      </c>
    </row>
    <row r="21" spans="1:8" ht="13.25" customHeight="1" x14ac:dyDescent="0.25">
      <c r="A21" s="5" t="s">
        <v>173</v>
      </c>
      <c r="B21" s="5" t="s">
        <v>92</v>
      </c>
      <c r="C21" s="5" t="s">
        <v>337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ht="13.25" customHeight="1" x14ac:dyDescent="0.25">
      <c r="C22" s="5" t="s">
        <v>339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ht="13.25" customHeight="1" x14ac:dyDescent="0.25">
      <c r="A23" s="5" t="s">
        <v>171</v>
      </c>
      <c r="B23" s="5" t="s">
        <v>92</v>
      </c>
      <c r="C23" s="5" t="s">
        <v>337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ht="13.25" customHeight="1" x14ac:dyDescent="0.25">
      <c r="C24" s="5" t="s">
        <v>339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ht="13.25" customHeight="1" x14ac:dyDescent="0.25">
      <c r="A25" s="5" t="s">
        <v>172</v>
      </c>
      <c r="B25" s="5" t="s">
        <v>92</v>
      </c>
      <c r="C25" s="5" t="s">
        <v>337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ht="13.25" customHeight="1" x14ac:dyDescent="0.25">
      <c r="C26" s="5" t="s">
        <v>339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ht="13.25" customHeight="1" x14ac:dyDescent="0.25">
      <c r="A27" s="5" t="s">
        <v>200</v>
      </c>
      <c r="B27" s="5" t="s">
        <v>84</v>
      </c>
      <c r="C27" s="5" t="s">
        <v>337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ht="13.25" customHeight="1" x14ac:dyDescent="0.25">
      <c r="C28" s="5" t="s">
        <v>339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ht="13.25" customHeight="1" x14ac:dyDescent="0.25">
      <c r="C29" s="5" t="s">
        <v>338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ht="13.25" customHeight="1" x14ac:dyDescent="0.25">
      <c r="A30" s="5" t="s">
        <v>201</v>
      </c>
      <c r="B30" s="5" t="s">
        <v>84</v>
      </c>
      <c r="C30" s="5" t="s">
        <v>337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ht="13.25" customHeight="1" x14ac:dyDescent="0.25">
      <c r="C31" s="5" t="s">
        <v>339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ht="13.25" customHeight="1" x14ac:dyDescent="0.25">
      <c r="C32" s="5" t="s">
        <v>338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ht="13.25" customHeight="1" x14ac:dyDescent="0.25">
      <c r="A33" s="5" t="s">
        <v>199</v>
      </c>
      <c r="B33" s="5" t="s">
        <v>84</v>
      </c>
      <c r="C33" s="5" t="s">
        <v>337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ht="13.25" customHeight="1" x14ac:dyDescent="0.25">
      <c r="C34" s="5" t="s">
        <v>339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ht="13.25" customHeight="1" x14ac:dyDescent="0.25">
      <c r="C35" s="5" t="s">
        <v>338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ht="13.25" customHeight="1" x14ac:dyDescent="0.25">
      <c r="A36" s="5" t="s">
        <v>198</v>
      </c>
      <c r="B36" s="5" t="s">
        <v>84</v>
      </c>
      <c r="C36" s="5" t="s">
        <v>337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ht="13.25" customHeight="1" x14ac:dyDescent="0.25">
      <c r="C37" s="5" t="s">
        <v>339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ht="13.25" customHeight="1" x14ac:dyDescent="0.25">
      <c r="C38" s="5" t="s">
        <v>338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ht="13.25" customHeight="1" x14ac:dyDescent="0.25">
      <c r="A39" s="5" t="s">
        <v>197</v>
      </c>
      <c r="B39" s="5" t="s">
        <v>84</v>
      </c>
      <c r="C39" s="5" t="s">
        <v>337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ht="13.25" customHeight="1" x14ac:dyDescent="0.25">
      <c r="C40" s="5" t="s">
        <v>339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ht="13.25" customHeight="1" x14ac:dyDescent="0.25">
      <c r="C41" s="5" t="s">
        <v>338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ht="13.25" customHeight="1" x14ac:dyDescent="0.25">
      <c r="A42" s="5" t="s">
        <v>203</v>
      </c>
      <c r="B42" s="5" t="s">
        <v>84</v>
      </c>
      <c r="C42" s="5" t="s">
        <v>337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ht="13.25" customHeight="1" x14ac:dyDescent="0.25">
      <c r="C43" s="5" t="s">
        <v>339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ht="13.25" customHeight="1" x14ac:dyDescent="0.25">
      <c r="C44" s="5" t="s">
        <v>338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ht="13.25" customHeight="1" x14ac:dyDescent="0.25">
      <c r="B45" s="5" t="s">
        <v>102</v>
      </c>
      <c r="C45" s="5" t="s">
        <v>337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ht="13.25" customHeight="1" x14ac:dyDescent="0.25">
      <c r="C46" s="5" t="s">
        <v>339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ht="13.25" customHeight="1" x14ac:dyDescent="0.25">
      <c r="C47" s="5" t="s">
        <v>338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192</v>
      </c>
      <c r="B48" s="5" t="s">
        <v>84</v>
      </c>
      <c r="C48" s="5" t="s">
        <v>337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339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202</v>
      </c>
      <c r="B50" s="5" t="s">
        <v>84</v>
      </c>
      <c r="C50" s="5" t="s">
        <v>337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339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182</v>
      </c>
      <c r="B52" s="5" t="s">
        <v>96</v>
      </c>
      <c r="C52" s="5" t="s">
        <v>337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339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329</v>
      </c>
      <c r="B55" s="97"/>
      <c r="C55" s="97"/>
    </row>
    <row r="56" spans="1:8" ht="13" customHeight="1" x14ac:dyDescent="0.3">
      <c r="A56" s="4" t="s">
        <v>163</v>
      </c>
      <c r="B56" s="4" t="s">
        <v>340</v>
      </c>
      <c r="C56" s="82" t="s">
        <v>9</v>
      </c>
      <c r="D56" s="4" t="s">
        <v>78</v>
      </c>
      <c r="E56" s="4" t="s">
        <v>74</v>
      </c>
      <c r="F56" s="4" t="s">
        <v>77</v>
      </c>
      <c r="G56" s="4" t="s">
        <v>75</v>
      </c>
      <c r="H56" s="4" t="s">
        <v>76</v>
      </c>
    </row>
    <row r="57" spans="1:8" x14ac:dyDescent="0.25">
      <c r="A57" s="5" t="s">
        <v>196</v>
      </c>
      <c r="B57" s="5" t="s">
        <v>84</v>
      </c>
      <c r="C57" s="5" t="s">
        <v>337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339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338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193</v>
      </c>
      <c r="B60" s="5" t="s">
        <v>207</v>
      </c>
      <c r="C60" s="5" t="s">
        <v>337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338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6</v>
      </c>
      <c r="C62" s="5" t="s">
        <v>337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338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184</v>
      </c>
      <c r="B64" s="5" t="s">
        <v>207</v>
      </c>
      <c r="C64" s="5" t="s">
        <v>337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338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6</v>
      </c>
      <c r="C66" s="5" t="s">
        <v>337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338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204</v>
      </c>
      <c r="B68" s="5" t="s">
        <v>207</v>
      </c>
      <c r="C68" s="5" t="s">
        <v>337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338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6</v>
      </c>
      <c r="C70" s="5" t="s">
        <v>337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338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167</v>
      </c>
      <c r="B72" s="5" t="s">
        <v>207</v>
      </c>
      <c r="C72" s="5" t="s">
        <v>337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338</v>
      </c>
      <c r="D73" s="90">
        <f t="shared" si="0"/>
        <v>0</v>
      </c>
      <c r="E73" s="90">
        <f t="shared" si="0"/>
        <v>0</v>
      </c>
      <c r="F73" s="90">
        <f>MIN(MAX(1-0.99/(1-frac_sam_6_11months+(frac_sam_6_11months*0.99)),0),1)</f>
        <v>9.815055236386927E-3</v>
      </c>
      <c r="G73" s="90">
        <f>MIN(MAX(1-0.99/(1-frac_sam_12_23months+(frac_sam_12_23months*0.99)),0),1)</f>
        <v>9.7919691752200722E-3</v>
      </c>
      <c r="H73" s="90">
        <f>MIN(MAX(1-0.99/(1-frac_sam_24_59months+(frac_sam_24_59months*0.99)),0),1)</f>
        <v>9.9004147936203601E-3</v>
      </c>
    </row>
    <row r="74" spans="1:8" x14ac:dyDescent="0.25">
      <c r="B74" s="5" t="s">
        <v>6</v>
      </c>
      <c r="C74" s="5" t="s">
        <v>337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338</v>
      </c>
      <c r="D75" s="90">
        <f t="shared" si="0"/>
        <v>0</v>
      </c>
      <c r="E75" s="90">
        <f t="shared" si="0"/>
        <v>0</v>
      </c>
      <c r="F75" s="90">
        <f>MIN(MAX(1-0.99/(1-frac_mam_6_11months+(frac_mam_6_11months*0.99)),0),1)</f>
        <v>9.2941042165481935E-3</v>
      </c>
      <c r="G75" s="90">
        <f>MIN(MAX(1-0.99/(1-frac_mam_12_23months+(frac_mam_12_23months*0.99)),0),1)</f>
        <v>9.4669069757314928E-3</v>
      </c>
      <c r="H75" s="90">
        <f>MIN(MAX(1-0.99/(1-frac_mam_24_59months+(frac_mam_24_59months*0.99)),0),1)</f>
        <v>9.7188383823122448E-3</v>
      </c>
    </row>
    <row r="76" spans="1:8" x14ac:dyDescent="0.25">
      <c r="A76" s="5" t="s">
        <v>173</v>
      </c>
      <c r="B76" s="5" t="s">
        <v>92</v>
      </c>
      <c r="C76" s="5" t="s">
        <v>337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339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171</v>
      </c>
      <c r="B78" s="5" t="s">
        <v>92</v>
      </c>
      <c r="C78" s="5" t="s">
        <v>337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339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172</v>
      </c>
      <c r="B80" s="5" t="s">
        <v>92</v>
      </c>
      <c r="C80" s="5" t="s">
        <v>337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339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200</v>
      </c>
      <c r="B82" s="5" t="s">
        <v>84</v>
      </c>
      <c r="C82" s="5" t="s">
        <v>337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339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338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201</v>
      </c>
      <c r="B85" s="5" t="s">
        <v>84</v>
      </c>
      <c r="C85" s="5" t="s">
        <v>337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339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338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199</v>
      </c>
      <c r="B88" s="5" t="s">
        <v>84</v>
      </c>
      <c r="C88" s="5" t="s">
        <v>337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339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338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198</v>
      </c>
      <c r="B91" s="5" t="s">
        <v>84</v>
      </c>
      <c r="C91" s="5" t="s">
        <v>337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339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338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197</v>
      </c>
      <c r="B94" s="5" t="s">
        <v>84</v>
      </c>
      <c r="C94" s="5" t="s">
        <v>337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339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338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203</v>
      </c>
      <c r="B97" s="5" t="s">
        <v>84</v>
      </c>
      <c r="C97" s="5" t="s">
        <v>337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339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338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102</v>
      </c>
      <c r="C100" s="5" t="s">
        <v>337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339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338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192</v>
      </c>
      <c r="B103" s="5" t="s">
        <v>84</v>
      </c>
      <c r="C103" s="5" t="s">
        <v>337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339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202</v>
      </c>
      <c r="B105" s="5" t="s">
        <v>84</v>
      </c>
      <c r="C105" s="5" t="s">
        <v>337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339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182</v>
      </c>
      <c r="B107" s="5" t="s">
        <v>96</v>
      </c>
      <c r="C107" s="5" t="s">
        <v>337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339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336</v>
      </c>
      <c r="B110" s="97"/>
      <c r="C110" s="97"/>
    </row>
    <row r="111" spans="1:8" ht="13" customHeight="1" x14ac:dyDescent="0.3">
      <c r="A111" s="4" t="s">
        <v>163</v>
      </c>
      <c r="B111" s="4" t="s">
        <v>340</v>
      </c>
      <c r="C111" s="82" t="s">
        <v>9</v>
      </c>
      <c r="D111" s="4" t="s">
        <v>78</v>
      </c>
      <c r="E111" s="4" t="s">
        <v>74</v>
      </c>
      <c r="F111" s="4" t="s">
        <v>77</v>
      </c>
      <c r="G111" s="4" t="s">
        <v>75</v>
      </c>
      <c r="H111" s="4" t="s">
        <v>76</v>
      </c>
    </row>
    <row r="112" spans="1:8" x14ac:dyDescent="0.25">
      <c r="A112" s="5" t="s">
        <v>196</v>
      </c>
      <c r="B112" s="5" t="s">
        <v>84</v>
      </c>
      <c r="C112" s="5" t="s">
        <v>337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339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338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193</v>
      </c>
      <c r="B115" s="5" t="s">
        <v>207</v>
      </c>
      <c r="C115" s="5" t="s">
        <v>337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338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6</v>
      </c>
      <c r="C117" s="5" t="s">
        <v>337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338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184</v>
      </c>
      <c r="B119" s="5" t="s">
        <v>207</v>
      </c>
      <c r="C119" s="5" t="s">
        <v>337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338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6</v>
      </c>
      <c r="C121" s="5" t="s">
        <v>337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338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204</v>
      </c>
      <c r="B123" s="5" t="s">
        <v>207</v>
      </c>
      <c r="C123" s="5" t="s">
        <v>337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338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6</v>
      </c>
      <c r="C125" s="5" t="s">
        <v>337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338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167</v>
      </c>
      <c r="B127" s="5" t="s">
        <v>207</v>
      </c>
      <c r="C127" s="5" t="s">
        <v>337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338</v>
      </c>
      <c r="D128" s="90">
        <f t="shared" si="3"/>
        <v>0</v>
      </c>
      <c r="E128" s="90">
        <f t="shared" si="3"/>
        <v>0</v>
      </c>
      <c r="F128" s="90">
        <f>MIN(MAX(1-0.8/(1-frac_sam_6_11months+(frac_sam_6_11months*0.8)),0),1)</f>
        <v>0.19700034661480037</v>
      </c>
      <c r="G128" s="90">
        <f>MIN(MAX(1-0.8/(1-frac_sam_12_23months+(frac_sam_12_23months*0.8)),0),1)</f>
        <v>0.19662440857497387</v>
      </c>
      <c r="H128" s="90">
        <f>MIN(MAX(1-0.8/(1-frac_sam_24_59months+(frac_sam_24_59months*0.8)),0),1)</f>
        <v>0.19838746018265263</v>
      </c>
    </row>
    <row r="129" spans="1:8" x14ac:dyDescent="0.25">
      <c r="B129" s="5" t="s">
        <v>6</v>
      </c>
      <c r="C129" s="5" t="s">
        <v>337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338</v>
      </c>
      <c r="D130" s="90">
        <f t="shared" si="3"/>
        <v>0</v>
      </c>
      <c r="E130" s="90">
        <f t="shared" si="3"/>
        <v>0</v>
      </c>
      <c r="F130" s="90">
        <f>MIN(MAX(1-0.8/(1-frac_mam_6_11months+(frac_mam_6_11months*0.8)),0),1)</f>
        <v>0.18843490523618145</v>
      </c>
      <c r="G130" s="90">
        <f>MIN(MAX(1-0.8/(1-frac_mam_12_23months+(frac_mam_12_23months*0.8)),0),1)</f>
        <v>0.19129529666240297</v>
      </c>
      <c r="H130" s="90">
        <f>MIN(MAX(1-0.8/(1-frac_mam_24_59months+(frac_mam_24_59months*0.8)),0),1)</f>
        <v>0.19543132112248829</v>
      </c>
    </row>
    <row r="131" spans="1:8" x14ac:dyDescent="0.25">
      <c r="A131" s="5" t="s">
        <v>173</v>
      </c>
      <c r="B131" s="5" t="s">
        <v>92</v>
      </c>
      <c r="C131" s="5" t="s">
        <v>337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339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171</v>
      </c>
      <c r="B133" s="5" t="s">
        <v>92</v>
      </c>
      <c r="C133" s="5" t="s">
        <v>337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339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172</v>
      </c>
      <c r="B135" s="5" t="s">
        <v>92</v>
      </c>
      <c r="C135" s="5" t="s">
        <v>337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339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200</v>
      </c>
      <c r="B137" s="5" t="s">
        <v>84</v>
      </c>
      <c r="C137" s="5" t="s">
        <v>337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339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338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201</v>
      </c>
      <c r="B140" s="5" t="s">
        <v>84</v>
      </c>
      <c r="C140" s="5" t="s">
        <v>337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339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338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199</v>
      </c>
      <c r="B143" s="5" t="s">
        <v>84</v>
      </c>
      <c r="C143" s="5" t="s">
        <v>337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339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338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198</v>
      </c>
      <c r="B146" s="5" t="s">
        <v>84</v>
      </c>
      <c r="C146" s="5" t="s">
        <v>337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339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338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197</v>
      </c>
      <c r="B149" s="5" t="s">
        <v>84</v>
      </c>
      <c r="C149" s="5" t="s">
        <v>337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339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338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203</v>
      </c>
      <c r="B152" s="5" t="s">
        <v>84</v>
      </c>
      <c r="C152" s="5" t="s">
        <v>337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339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338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102</v>
      </c>
      <c r="C155" s="5" t="s">
        <v>337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339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338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192</v>
      </c>
      <c r="B158" s="5" t="s">
        <v>84</v>
      </c>
      <c r="C158" s="5" t="s">
        <v>337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339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202</v>
      </c>
      <c r="B160" s="5" t="s">
        <v>84</v>
      </c>
      <c r="C160" s="5" t="s">
        <v>337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339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182</v>
      </c>
      <c r="B162" s="5" t="s">
        <v>96</v>
      </c>
      <c r="C162" s="5" t="s">
        <v>337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339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4nlTVAK5p3SvMwpBxg2F1rmS1CVbTMC6fLLIWii+9874cXIDSssct6mfo0Lrlet2lvAtaQ056dCUwVsobz9aTw==" saltValue="X2ISVFdVxe+zRu0h/q1OU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11" sqref="D11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163</v>
      </c>
      <c r="B1" s="1" t="s">
        <v>340</v>
      </c>
      <c r="C1" s="1"/>
      <c r="D1" s="4" t="s">
        <v>113</v>
      </c>
      <c r="E1" s="4" t="s">
        <v>114</v>
      </c>
      <c r="F1" s="4" t="s">
        <v>115</v>
      </c>
      <c r="G1" s="4" t="s">
        <v>116</v>
      </c>
      <c r="H1" s="4"/>
    </row>
    <row r="2" spans="1:8" ht="13.25" customHeight="1" x14ac:dyDescent="0.25">
      <c r="A2" s="3" t="s">
        <v>166</v>
      </c>
      <c r="B2" s="8" t="s">
        <v>86</v>
      </c>
      <c r="C2" s="3" t="s">
        <v>337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ht="13.25" customHeight="1" x14ac:dyDescent="0.25">
      <c r="C3" s="8" t="s">
        <v>339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ht="13.25" customHeight="1" x14ac:dyDescent="0.25">
      <c r="A4" s="3" t="s">
        <v>189</v>
      </c>
      <c r="B4" s="8" t="s">
        <v>86</v>
      </c>
      <c r="C4" s="3" t="s">
        <v>337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ht="13.25" customHeight="1" x14ac:dyDescent="0.25">
      <c r="C5" s="8" t="s">
        <v>339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ht="13.25" customHeight="1" x14ac:dyDescent="0.25">
      <c r="A6" s="3" t="s">
        <v>188</v>
      </c>
      <c r="B6" s="8" t="s">
        <v>86</v>
      </c>
      <c r="C6" s="3" t="s">
        <v>337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ht="13.25" customHeight="1" x14ac:dyDescent="0.25">
      <c r="C7" s="8" t="s">
        <v>339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329</v>
      </c>
    </row>
    <row r="10" spans="1:8" ht="13" customHeight="1" x14ac:dyDescent="0.3">
      <c r="A10" s="1" t="s">
        <v>163</v>
      </c>
      <c r="B10" s="1" t="s">
        <v>340</v>
      </c>
      <c r="C10" s="1"/>
      <c r="D10" s="4" t="s">
        <v>113</v>
      </c>
      <c r="E10" s="4" t="s">
        <v>114</v>
      </c>
      <c r="F10" s="4" t="s">
        <v>115</v>
      </c>
      <c r="G10" s="4" t="s">
        <v>116</v>
      </c>
    </row>
    <row r="11" spans="1:8" ht="13.25" customHeight="1" x14ac:dyDescent="0.25">
      <c r="A11" s="3" t="s">
        <v>166</v>
      </c>
      <c r="B11" s="8" t="s">
        <v>86</v>
      </c>
      <c r="C11" s="3" t="s">
        <v>337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ht="13.25" customHeight="1" x14ac:dyDescent="0.25">
      <c r="C12" s="8" t="s">
        <v>339</v>
      </c>
      <c r="D12" s="90">
        <v>0</v>
      </c>
      <c r="E12" s="90">
        <v>0</v>
      </c>
      <c r="F12" s="90">
        <v>0</v>
      </c>
      <c r="G12" s="90">
        <v>0</v>
      </c>
    </row>
    <row r="13" spans="1:8" ht="13.25" customHeight="1" x14ac:dyDescent="0.25">
      <c r="A13" s="3" t="s">
        <v>189</v>
      </c>
      <c r="B13" s="8" t="s">
        <v>86</v>
      </c>
      <c r="C13" s="3" t="s">
        <v>337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ht="13.25" customHeight="1" x14ac:dyDescent="0.25">
      <c r="C14" s="8" t="s">
        <v>339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ht="13.25" customHeight="1" x14ac:dyDescent="0.25">
      <c r="A15" s="3" t="s">
        <v>188</v>
      </c>
      <c r="B15" s="8" t="s">
        <v>86</v>
      </c>
      <c r="C15" s="3" t="s">
        <v>337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ht="13.25" customHeight="1" x14ac:dyDescent="0.25">
      <c r="C16" s="8" t="s">
        <v>339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336</v>
      </c>
    </row>
    <row r="19" spans="1:7" ht="13" customHeight="1" x14ac:dyDescent="0.3">
      <c r="A19" s="1" t="s">
        <v>163</v>
      </c>
      <c r="B19" s="1" t="s">
        <v>340</v>
      </c>
      <c r="C19" s="1"/>
      <c r="D19" s="4" t="s">
        <v>113</v>
      </c>
      <c r="E19" s="4" t="s">
        <v>114</v>
      </c>
      <c r="F19" s="4" t="s">
        <v>115</v>
      </c>
      <c r="G19" s="4" t="s">
        <v>116</v>
      </c>
    </row>
    <row r="20" spans="1:7" ht="13.25" customHeight="1" x14ac:dyDescent="0.25">
      <c r="A20" s="3" t="s">
        <v>166</v>
      </c>
      <c r="B20" s="8" t="s">
        <v>86</v>
      </c>
      <c r="C20" s="3" t="s">
        <v>337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ht="13.25" customHeight="1" x14ac:dyDescent="0.25">
      <c r="C21" s="8" t="s">
        <v>339</v>
      </c>
      <c r="D21" s="90">
        <v>0</v>
      </c>
      <c r="E21" s="90">
        <v>0</v>
      </c>
      <c r="F21" s="90">
        <v>0</v>
      </c>
      <c r="G21" s="90">
        <v>0</v>
      </c>
    </row>
    <row r="22" spans="1:7" ht="13.25" customHeight="1" x14ac:dyDescent="0.25">
      <c r="A22" s="3" t="s">
        <v>189</v>
      </c>
      <c r="B22" s="8" t="s">
        <v>86</v>
      </c>
      <c r="C22" s="3" t="s">
        <v>337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ht="13.25" customHeight="1" x14ac:dyDescent="0.25">
      <c r="C23" s="8" t="s">
        <v>339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ht="13.25" customHeight="1" x14ac:dyDescent="0.25">
      <c r="A24" s="3" t="s">
        <v>188</v>
      </c>
      <c r="B24" s="8" t="s">
        <v>86</v>
      </c>
      <c r="C24" s="3" t="s">
        <v>337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ht="13.25" customHeight="1" x14ac:dyDescent="0.25">
      <c r="C25" s="8" t="s">
        <v>339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obleKaR611mm5+ad/82G6XTwEq8o0uZ/2zS78BrqQUJKALvhXrLYTaExogWokyzVBjuHv9bFVV8vr3bze1xsOg==" saltValue="6+ZDtiss91GX1bNkyxWDow==" spinCount="100000" sheet="1" objects="1" scenarios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Pérdida económica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Riesgos desenlace de nacimiento</vt:lpstr>
      <vt:lpstr>Riesgos relativos</vt:lpstr>
      <vt:lpstr>Razón de momios</vt:lpstr>
      <vt:lpstr>Resultados de nacimiento- prog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keywords>lang=es</cp:keywords>
  <cp:lastModifiedBy>Tharindu Wickramaarachchi</cp:lastModifiedBy>
  <dcterms:created xsi:type="dcterms:W3CDTF">2017-08-01T10:42:13Z</dcterms:created>
  <dcterms:modified xsi:type="dcterms:W3CDTF">2024-08-06T07:23:45Z</dcterms:modified>
</cp:coreProperties>
</file>