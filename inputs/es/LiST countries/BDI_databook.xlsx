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0321DAE-6B0C-4F8F-B3AF-8B09DBA78A8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A31" i="2"/>
  <c r="A37" i="2"/>
  <c r="I4" i="2"/>
  <c r="I8" i="2"/>
  <c r="I12" i="2"/>
  <c r="I38" i="2"/>
  <c r="A26" i="2"/>
  <c r="I39" i="2"/>
  <c r="A34" i="2"/>
  <c r="A40" i="2"/>
  <c r="I2" i="2"/>
  <c r="I6" i="2"/>
  <c r="A19" i="2"/>
  <c r="A35" i="2"/>
  <c r="A22" i="2"/>
  <c r="A36" i="2"/>
  <c r="I3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<sst xmlns="http://schemas.openxmlformats.org/spreadsheetml/2006/main" count="2169" uniqueCount="373">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</sst>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2101915.5</v>
      </c>
    </row>
    <row r="8" spans="1:3" ht="15" customHeight="1" x14ac:dyDescent="0.25">
      <c r="B8" s="5" t="s">
        <v>63</v>
      </c>
      <c r="C8" s="44">
        <v>0.71799999999999997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0.31014619999999998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3.6499999999999998E-2</v>
      </c>
    </row>
    <row r="24" spans="1:3" ht="15" customHeight="1" x14ac:dyDescent="0.25">
      <c r="B24" s="15" t="s">
        <v>65</v>
      </c>
      <c r="C24" s="45">
        <v>0.49450000000000011</v>
      </c>
    </row>
    <row r="25" spans="1:3" ht="15" customHeight="1" x14ac:dyDescent="0.25">
      <c r="B25" s="15" t="s">
        <v>66</v>
      </c>
      <c r="C25" s="45">
        <v>0.37509999999999999</v>
      </c>
    </row>
    <row r="26" spans="1:3" ht="15" customHeight="1" x14ac:dyDescent="0.25">
      <c r="B26" s="15" t="s">
        <v>67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0.19090989580981799</v>
      </c>
    </row>
    <row r="30" spans="1:3" ht="14.25" customHeight="1" x14ac:dyDescent="0.25">
      <c r="B30" s="25" t="s">
        <v>82</v>
      </c>
      <c r="C30" s="97">
        <v>4.81342613461836E-2</v>
      </c>
    </row>
    <row r="31" spans="1:3" ht="14.25" customHeight="1" x14ac:dyDescent="0.25">
      <c r="B31" s="25" t="s">
        <v>29</v>
      </c>
      <c r="C31" s="97">
        <v>9.7345412653664407E-2</v>
      </c>
    </row>
    <row r="32" spans="1:3" ht="14.25" customHeight="1" x14ac:dyDescent="0.25">
      <c r="B32" s="25" t="s">
        <v>30</v>
      </c>
      <c r="C32" s="97">
        <v>0.66361043019033406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20.44547</v>
      </c>
    </row>
    <row r="38" spans="1:5" ht="15" customHeight="1" x14ac:dyDescent="0.25">
      <c r="B38" s="11" t="s">
        <v>54</v>
      </c>
      <c r="C38" s="43">
        <v>37.628990000000002</v>
      </c>
      <c r="D38" s="12"/>
      <c r="E38" s="13"/>
    </row>
    <row r="39" spans="1:5" ht="15" customHeight="1" x14ac:dyDescent="0.25">
      <c r="B39" s="11" t="s">
        <v>80</v>
      </c>
      <c r="C39" s="43">
        <v>52.604759999999999</v>
      </c>
      <c r="D39" s="12"/>
      <c r="E39" s="12"/>
    </row>
    <row r="40" spans="1:5" ht="15" customHeight="1" x14ac:dyDescent="0.25">
      <c r="B40" s="11" t="s">
        <v>55</v>
      </c>
      <c r="C40" s="98">
        <v>4.9400000000000004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78</v>
      </c>
      <c r="C47" s="45">
        <v>7.3454400000000003E-2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3.718</v>
      </c>
      <c r="D51" s="12"/>
    </row>
    <row r="52" spans="1:4" ht="15" customHeight="1" x14ac:dyDescent="0.25">
      <c r="B52" s="11" t="s">
        <v>32</v>
      </c>
      <c r="C52" s="98">
        <v>3.718</v>
      </c>
    </row>
    <row r="53" spans="1:4" ht="15.75" customHeight="1" x14ac:dyDescent="0.25">
      <c r="B53" s="11" t="s">
        <v>35</v>
      </c>
      <c r="C53" s="98">
        <v>10.061999999999999</v>
      </c>
    </row>
    <row r="54" spans="1:4" ht="15.75" customHeight="1" x14ac:dyDescent="0.25">
      <c r="B54" s="11" t="s">
        <v>33</v>
      </c>
      <c r="C54" s="98">
        <v>9.5679999999999996</v>
      </c>
    </row>
    <row r="55" spans="1:4" ht="15.75" customHeight="1" x14ac:dyDescent="0.25">
      <c r="B55" s="11" t="s">
        <v>34</v>
      </c>
      <c r="C55" s="98">
        <v>4.0906666666666656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0.53929500000000008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gHDGgxw4rXtH9pdCk7y742lrXrKeJ/n/nU2IWiw6+MEc0/rspVaAqrSLbfKQHlKjdZbrXTedFJOxm/V/LQ4Lnw==" saltValue="668SQUq9e5puuJ8iwLQ/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1/rwyYh9ID8fxYKjclUew5/aCyuBChEy1bNJhMXnGegi5e597qvTDFI3OT4zWQkowSHQzTp4U8TVvh0BP/sJw==" saltValue="1Otq5A+BTnHH5k3q3XFK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1.14185011418501E-2</v>
      </c>
    </row>
    <row r="4" spans="1:8" ht="15.75" customHeight="1" x14ac:dyDescent="0.25">
      <c r="B4" s="19" t="s">
        <v>116</v>
      </c>
      <c r="C4" s="99">
        <v>5.5858105585810461E-2</v>
      </c>
    </row>
    <row r="5" spans="1:8" ht="15.75" customHeight="1" x14ac:dyDescent="0.25">
      <c r="B5" s="19" t="s">
        <v>114</v>
      </c>
      <c r="C5" s="99">
        <v>7.1107207110720647E-2</v>
      </c>
    </row>
    <row r="6" spans="1:8" ht="15.75" customHeight="1" x14ac:dyDescent="0.25">
      <c r="B6" s="19" t="s">
        <v>110</v>
      </c>
      <c r="C6" s="99">
        <v>0.24179002417900219</v>
      </c>
    </row>
    <row r="7" spans="1:8" ht="15.75" customHeight="1" x14ac:dyDescent="0.25">
      <c r="B7" s="19" t="s">
        <v>115</v>
      </c>
      <c r="C7" s="99">
        <v>0.42007884200788481</v>
      </c>
    </row>
    <row r="8" spans="1:8" ht="15.75" customHeight="1" x14ac:dyDescent="0.25">
      <c r="B8" s="19" t="s">
        <v>117</v>
      </c>
      <c r="C8" s="99">
        <v>1.6044001604400141E-3</v>
      </c>
    </row>
    <row r="9" spans="1:8" ht="15.75" customHeight="1" x14ac:dyDescent="0.25">
      <c r="B9" s="19" t="s">
        <v>111</v>
      </c>
      <c r="C9" s="99">
        <v>8.5042508504250727E-2</v>
      </c>
    </row>
    <row r="10" spans="1:8" ht="15.75" customHeight="1" x14ac:dyDescent="0.25">
      <c r="B10" s="19" t="s">
        <v>113</v>
      </c>
      <c r="C10" s="99">
        <v>0.113100411310041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121</v>
      </c>
      <c r="C15" s="99">
        <v>0.24864910415544891</v>
      </c>
      <c r="D15" s="99">
        <v>0.24864910415544891</v>
      </c>
      <c r="E15" s="99">
        <v>0.24864910415544891</v>
      </c>
      <c r="F15" s="99">
        <v>0.24864910415544891</v>
      </c>
    </row>
    <row r="16" spans="1:8" ht="15.75" customHeight="1" x14ac:dyDescent="0.25">
      <c r="B16" s="19" t="s">
        <v>2</v>
      </c>
      <c r="C16" s="99">
        <v>1.9270554285524401E-2</v>
      </c>
      <c r="D16" s="99">
        <v>1.9270554285524401E-2</v>
      </c>
      <c r="E16" s="99">
        <v>1.9270554285524401E-2</v>
      </c>
      <c r="F16" s="99">
        <v>1.9270554285524401E-2</v>
      </c>
    </row>
    <row r="17" spans="1:8" ht="15.75" customHeight="1" x14ac:dyDescent="0.25">
      <c r="B17" s="19" t="s">
        <v>109</v>
      </c>
      <c r="C17" s="99">
        <v>1.1879726080528199E-3</v>
      </c>
      <c r="D17" s="99">
        <v>1.1879726080528199E-3</v>
      </c>
      <c r="E17" s="99">
        <v>1.1879726080528199E-3</v>
      </c>
      <c r="F17" s="99">
        <v>1.1879726080528199E-3</v>
      </c>
    </row>
    <row r="18" spans="1:8" ht="15.75" customHeight="1" x14ac:dyDescent="0.25">
      <c r="B18" s="19" t="s">
        <v>3</v>
      </c>
      <c r="C18" s="99">
        <v>0.17630239161648681</v>
      </c>
      <c r="D18" s="99">
        <v>0.17630239161648681</v>
      </c>
      <c r="E18" s="99">
        <v>0.17630239161648681</v>
      </c>
      <c r="F18" s="99">
        <v>0.17630239161648681</v>
      </c>
    </row>
    <row r="19" spans="1:8" ht="15.75" customHeight="1" x14ac:dyDescent="0.25">
      <c r="B19" s="19" t="s">
        <v>120</v>
      </c>
      <c r="C19" s="99">
        <v>1.6172462173686161E-2</v>
      </c>
      <c r="D19" s="99">
        <v>1.6172462173686161E-2</v>
      </c>
      <c r="E19" s="99">
        <v>1.6172462173686161E-2</v>
      </c>
      <c r="F19" s="99">
        <v>1.6172462173686161E-2</v>
      </c>
    </row>
    <row r="20" spans="1:8" ht="15.75" customHeight="1" x14ac:dyDescent="0.25">
      <c r="B20" s="19" t="s">
        <v>98</v>
      </c>
      <c r="C20" s="99">
        <v>3.4070708389334563E-2</v>
      </c>
      <c r="D20" s="99">
        <v>3.4070708389334563E-2</v>
      </c>
      <c r="E20" s="99">
        <v>3.4070708389334563E-2</v>
      </c>
      <c r="F20" s="99">
        <v>3.4070708389334563E-2</v>
      </c>
    </row>
    <row r="21" spans="1:8" ht="15.75" customHeight="1" x14ac:dyDescent="0.25">
      <c r="B21" s="19" t="s">
        <v>107</v>
      </c>
      <c r="C21" s="99">
        <v>0.13487070575469109</v>
      </c>
      <c r="D21" s="99">
        <v>0.13487070575469109</v>
      </c>
      <c r="E21" s="99">
        <v>0.13487070575469109</v>
      </c>
      <c r="F21" s="99">
        <v>0.13487070575469109</v>
      </c>
    </row>
    <row r="22" spans="1:8" ht="15.75" customHeight="1" x14ac:dyDescent="0.25">
      <c r="B22" s="19" t="s">
        <v>118</v>
      </c>
      <c r="C22" s="99">
        <v>0.20320897633497401</v>
      </c>
      <c r="D22" s="99">
        <v>0.20320897633497401</v>
      </c>
      <c r="E22" s="99">
        <v>0.20320897633497401</v>
      </c>
      <c r="F22" s="99">
        <v>0.20320897633497401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8.6116069000000003E-2</v>
      </c>
    </row>
    <row r="27" spans="1:8" ht="15.75" customHeight="1" x14ac:dyDescent="0.25">
      <c r="B27" s="19" t="s">
        <v>108</v>
      </c>
      <c r="C27" s="99">
        <v>8.4963420000000005E-3</v>
      </c>
    </row>
    <row r="28" spans="1:8" ht="15.75" customHeight="1" x14ac:dyDescent="0.25">
      <c r="B28" s="19" t="s">
        <v>122</v>
      </c>
      <c r="C28" s="99">
        <v>0.155313541</v>
      </c>
    </row>
    <row r="29" spans="1:8" ht="15.75" customHeight="1" x14ac:dyDescent="0.25">
      <c r="B29" s="19" t="s">
        <v>105</v>
      </c>
      <c r="C29" s="99">
        <v>0.16740253699999999</v>
      </c>
    </row>
    <row r="30" spans="1:8" ht="15.75" customHeight="1" x14ac:dyDescent="0.25">
      <c r="B30" s="19" t="s">
        <v>4</v>
      </c>
      <c r="C30" s="99">
        <v>0.104102105</v>
      </c>
    </row>
    <row r="31" spans="1:8" ht="15.75" customHeight="1" x14ac:dyDescent="0.25">
      <c r="B31" s="19" t="s">
        <v>99</v>
      </c>
      <c r="C31" s="99">
        <v>0.108491529</v>
      </c>
    </row>
    <row r="32" spans="1:8" ht="15.75" customHeight="1" x14ac:dyDescent="0.25">
      <c r="B32" s="19" t="s">
        <v>104</v>
      </c>
      <c r="C32" s="99">
        <v>1.8703009999999999E-2</v>
      </c>
    </row>
    <row r="33" spans="2:3" ht="15.75" customHeight="1" x14ac:dyDescent="0.25">
      <c r="B33" s="19" t="s">
        <v>119</v>
      </c>
      <c r="C33" s="99">
        <v>8.4263411999999996E-2</v>
      </c>
    </row>
    <row r="34" spans="2:3" ht="15.75" customHeight="1" x14ac:dyDescent="0.25">
      <c r="B34" s="19" t="s">
        <v>106</v>
      </c>
      <c r="C34" s="99">
        <v>0.267111455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XhAoKDygplgRmjMdeH2Gb4dSG0aDfQDP1YxqE0r7nm/IJuXI92ZxPLT9gC3g41WEJRPfu9hxN+3FDP1+jqcnAg==" saltValue="gefF8ehUdBxM0EAlyEqI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129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125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126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ca1hqZzfBZ/xCuE7kFsHvU3VCFfQaAm/EAN5yzVS/ctAoJiiZ8YSXgZmlPczQ7P8C3SWk1SvGLTu7QBvOUC6g==" saltValue="itIfr6pNuwSA6cwMx29+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mRp5EzzvisyWKaimVW5oEEs8KQZ/Vb2aD0xjMItCTOjmv3qP2RusLLtHJc/HPbmfSKsqlrUGKA4G3kEnEQ8rlw==" saltValue="ZIU31KC+PXkLIWlhQ0RU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JCGL/IaD6Vf8zPX4Vx2oPKndbfTTHTYuEsKqhn9kZs5IfAqLc6KWOOllh8lI1zZjVe9aZxGl+8rKPrF//+i8g==" saltValue="ijf8UGwWneQPHexYDIPB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259.02503136351498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0.39593000000000006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0.79430999999999996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2.138854763711296E-2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94196.491729999994</v>
      </c>
      <c r="C22" s="107">
        <v>93082.269329999996</v>
      </c>
      <c r="D22" s="107">
        <v>92171.097160000005</v>
      </c>
      <c r="E22" s="107">
        <v>91505.709619999994</v>
      </c>
      <c r="F22" s="107">
        <v>90583.435500000007</v>
      </c>
      <c r="G22" s="107">
        <v>89531.146089999995</v>
      </c>
      <c r="H22" s="107">
        <v>88232.524439999994</v>
      </c>
      <c r="I22" s="107">
        <v>86495.281279999996</v>
      </c>
      <c r="J22" s="107">
        <v>83956.980439999999</v>
      </c>
      <c r="K22" s="107">
        <v>80518.794710000002</v>
      </c>
      <c r="L22" s="107">
        <v>75673.172730000006</v>
      </c>
      <c r="M22" s="107">
        <v>69202.52347</v>
      </c>
      <c r="N22" s="107">
        <v>60553.24699</v>
      </c>
      <c r="O22" s="107">
        <v>50189.293489999996</v>
      </c>
    </row>
  </sheetData>
  <sheetProtection algorithmName="SHA-512" hashValue="41jppLn2SZWvpu5qlJSpNZCgMZmKKWc+JQb1KBWSZw+iRzkkBbiMnjJcAj2yhnw1OU5ejEtS0MT8adiwikX3DQ==" saltValue="jVlazLz/P/QLvJtYgf+e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OxynxnhEMfC7OR8Vk7fUvltF53VYq+mZe7Rv74TTjg5lRnwWNITJh9rVcWKxOEslIDliUOtG74bQWxtnUQ9nQ==" saltValue="l83QH3Qz7J+WFCe8In4p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qf50keUZmHvF7zdvZ/yTqUIfGboC0WPppuHyRMkXnwQnwJYvTFx9DDy7ldGRnOs/ijd+B4o/FnSWRZtSfP05g==" saltValue="wHuazco9otapJIKot2yd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4.1399999999999997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1.44447E-2</v>
      </c>
      <c r="C10" s="96">
        <v>0.95</v>
      </c>
      <c r="D10" s="56">
        <v>14.128320781922749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14.128320781922749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14.128320781922749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14.128320781922749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1.52E-2</v>
      </c>
      <c r="C14" s="96">
        <v>0.95</v>
      </c>
      <c r="D14" s="56">
        <v>2.526857727737974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14.128320781922749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0.20699999999999999</v>
      </c>
      <c r="C16" s="96">
        <v>0.95</v>
      </c>
      <c r="D16" s="56">
        <v>1.3707011258955988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1.7000000000000001E-2</v>
      </c>
      <c r="C18" s="96">
        <v>0.95</v>
      </c>
      <c r="D18" s="56">
        <v>4.1359416581371553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0.80849019999999994</v>
      </c>
      <c r="C19" s="96">
        <v>0.95</v>
      </c>
      <c r="D19" s="56">
        <v>0.77483113726549069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4.1399999999999997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0.46131729999999999</v>
      </c>
      <c r="C23" s="96">
        <v>0.95</v>
      </c>
      <c r="D23" s="56">
        <v>4.6205668864219671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0.62554248831658099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0.02</v>
      </c>
      <c r="C26" s="96">
        <v>0.95</v>
      </c>
      <c r="D26" s="56">
        <v>2.7175639713408395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0.35550359999999998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0.18486040000000001</v>
      </c>
      <c r="C29" s="96">
        <v>0.95</v>
      </c>
      <c r="D29" s="56">
        <v>51.177416086436217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6.9099999999999995E-2</v>
      </c>
      <c r="C31" s="96">
        <v>0.95</v>
      </c>
      <c r="D31" s="56">
        <v>107.6179170931423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0.68700000000000006</v>
      </c>
      <c r="C32" s="96">
        <v>0.95</v>
      </c>
      <c r="D32" s="56">
        <v>2.2288792221084957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6.3035899999999992E-2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0.73656490000000008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1.6022E-3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0.38674399999999998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0.06</v>
      </c>
      <c r="C38" s="96">
        <v>0.95</v>
      </c>
      <c r="D38" s="56">
        <v>5.053715455475948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600ddvFuKFmvQ/IjCanPaylc+NNphaebNXbDHfsLhbEXwW8rG6a1YOFBezQUXLb6f+0xRY0SlOzkftEpHZGWHg==" saltValue="tdoKeF/BYRyhEFXeSwzL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DMt8U5MVG6iXSt4CPeQ5sa+1k5zb/7Ttx+dafeFrVC3QHcV7nDcE+ZwrXlXkS2+AsY6vJ7lQxsDCp4mEmzC8g==" saltValue="dfpEo5Ly9tGXqQWTZ7rb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dcEbcqoklwMIENvel1ukAV+0fDP0Aw2xsLaKCq7Iqug8BSK2KHcyy35RbBhp78oIBHtfqcWtbxmTnFHTGhoVQ==" saltValue="tY0AzDyObWV7LYcnqHQz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3.718</v>
      </c>
      <c r="C2" s="21">
        <f>'Entradas de población-año base'!C52</f>
        <v>3.718</v>
      </c>
      <c r="D2" s="21">
        <f>'Entradas de población-año base'!C53</f>
        <v>10.061999999999999</v>
      </c>
      <c r="E2" s="21">
        <f>'Entradas de población-año base'!C54</f>
        <v>9.5679999999999996</v>
      </c>
      <c r="F2" s="21">
        <f>'Entradas de población-año base'!C55</f>
        <v>4.0906666666666656</v>
      </c>
    </row>
    <row r="3" spans="1:6" ht="15.75" customHeight="1" x14ac:dyDescent="0.25">
      <c r="A3" s="3" t="s">
        <v>6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236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Pq8JlLznocIjLMt+RKn2hN82hT+348aVD1z9tMcZu0TNZ9QrdNJXmmY8Ca9MBUn1NuhJJGBuqqdsEGY2EsQ9jQ==" saltValue="NHO49Ttj4j7/hry9ttyr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WnMbWVyeyPC2SIaoJYDRlx9M2Qk3PGX6NhF6MtLEDNcYlQFHp6kIR9wIDuMRAjo5Gye3t7TajPyjCBgCzGIaQ==" saltValue="QN56dBmucWpeMWnABlQm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oDcAS8wKFehdOcTOlRnXNec85I1TnjmuAvAa9Bcmp3ifd60GZ1yQHFsfr7/zIkRxuulSgOOa3K/6oZ1XfSikg==" saltValue="en/g/35ZMg1mNs27VZbY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UEbvCZ9ZSDLhA+koyTR/8dWUx/RCOGC0BmVNPj3r+sUjb1W+0pO+ZTU6/vIb7r8DnzoKkhW4/UaHUWa31JIRw==" saltValue="NLObhbbcIPQpk1dJA5U7G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/k63Xg3TEcnBRifbw2xZvLmZKiTzoIlAoQry0P+M1gE5dMZetb3DTLW8yxMNg6BSmKRuvDcy0cK2npeTxmcNw==" saltValue="HsnQdg77c+qD6tyQplkD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7AV032ZZMzULDDTym3O2gjZ6DqR+Fggl/PZXCDGS2GfiuVlW27f9q8QV5U/8nsmAa8fyTQrgBA8RgDUz3tHKJg==" saltValue="K1qjib0lS3oBmnDNa3pY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S2j4kO0wgwLNIJqGmm1V2zmQGNoWDThgCw6uL6TEFVoKyNtoreeQXXblI8yZ616YrklCi6vbHCKsLoY7GuvpFA==" saltValue="caYiPqi/MS1oUaZ/VhM+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osjrmVz4+zOhChsLLaFnitPDwbeP3odJr6FMQNrZCvmN6LZeVUzXbaOVW3zmAPFp1N543Lx9pY29zBjxAg7tg==" saltValue="laHR4mBwWrsFCSb0Cdhxp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mfMXq/9aHRdypopz+a8kyJkjuPH1MkdvmmaLHJpMsIdXBUHgkGPPQWHKZ32MIlNq8gbq4LhDSeZbyfdLvskaQ==" saltValue="6v7bS0R0FjsGBtvXH6xX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MnEkdCZjdgUFNogl+iTSdoUOptvFQqnORuVS1Cptz0d6ulEPMSATRo0TMSxp9t7g2qhpGRHSzrzdoP4UQhX6Q==" saltValue="CqDCeDroLlVfsSc3Rjng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F69hcXeCf5Ijz73aw1K4O0B/eE2zPt6os7ZkcAbp4T1T/6vbEAxGICzKhkuywJfWFQnTijchvAzlFfI8c+Qxg==" saltValue="Y6zDK1GLRIM/NwM5tqa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TBteAc+mWAkn5KtydEziiHGQtgubCb4EGzYUc0/rHyEkuieRM9zzzI4nRdzX+J1qD1PgMBcQJOaI7KOhqkPhA==" saltValue="ODhiz9xvKyHqeh2PQB7d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BHmOxUL7sI+qDtiJkEsiDdPzScBp2mEgFH2MyVQPov0S2i37AxjNz1391J7RhaMrOJjwNW59Z9sHkmxrKXjUw==" saltValue="4Ff+31TCR5xG0DgEo/Bq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uuMSeojsQvhB2FkBF/c3I2FypP4Gm5g4C5REprDCAsIt6kyLgo9qbl7F00BK7Surp3Le/KOngjqAB6rnxJ/jg==" saltValue="Xgm/3SzuVEoxDlYVPm6f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OBNngYD70NbMx3auPMi6SzeKauj0HZ6vgwz6I4DPuQ0eJdaBopEUF86fNio7AsKzaRSUnyvXRO5n3bxCXCh1A==" saltValue="dDDd4NVfwnV5DNo2cRzE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dd+yYcuzkhh8l7N+H497NMh3WdCJkbj6yds6qWc0Edmh/PA+nIQERhbVz7yu4jm+H/m9VqDGdUVIQQm1IwKzg==" saltValue="HC4kHycqpEROgJfzAF2o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