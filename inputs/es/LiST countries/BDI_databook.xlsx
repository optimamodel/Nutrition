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1E858CA-D5A5-4DEF-AA80-AD14F7D0AE4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15" i="2" l="1"/>
  <c r="A17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33" i="2"/>
  <c r="A34" i="2"/>
  <c r="A25" i="2"/>
  <c r="A37" i="2"/>
  <c r="A28" i="2"/>
  <c r="A29" i="2"/>
  <c r="A39" i="2"/>
  <c r="A18" i="2"/>
  <c r="A20" i="2"/>
  <c r="A21" i="2"/>
  <c r="A23" i="2"/>
  <c r="A36" i="2"/>
  <c r="I4" i="2"/>
  <c r="A26" i="2"/>
  <c r="I38" i="2"/>
  <c r="A16" i="2"/>
  <c r="A24" i="2"/>
  <c r="A32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<sst xmlns="http://schemas.openxmlformats.org/spreadsheetml/2006/main" count="2101" uniqueCount="341">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</sst>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2134003.421875</v>
      </c>
    </row>
    <row r="8" spans="1:3" ht="15" customHeight="1" x14ac:dyDescent="0.25">
      <c r="B8" s="5" t="s">
        <v>44</v>
      </c>
      <c r="C8" s="44">
        <v>0.71799999999999997</v>
      </c>
    </row>
    <row r="9" spans="1:3" ht="15" customHeight="1" x14ac:dyDescent="0.25">
      <c r="B9" s="5" t="s">
        <v>43</v>
      </c>
      <c r="C9" s="45">
        <v>0.21</v>
      </c>
    </row>
    <row r="10" spans="1:3" ht="15" customHeight="1" x14ac:dyDescent="0.25">
      <c r="B10" s="5" t="s">
        <v>56</v>
      </c>
      <c r="C10" s="45">
        <v>0.31669290542602502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0.60699999999999998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3.6499999999999998E-2</v>
      </c>
    </row>
    <row r="24" spans="1:3" ht="15" customHeight="1" x14ac:dyDescent="0.25">
      <c r="B24" s="15" t="s">
        <v>46</v>
      </c>
      <c r="C24" s="45">
        <v>0.49450000000000011</v>
      </c>
    </row>
    <row r="25" spans="1:3" ht="15" customHeight="1" x14ac:dyDescent="0.25">
      <c r="B25" s="15" t="s">
        <v>47</v>
      </c>
      <c r="C25" s="45">
        <v>0.37509999999999999</v>
      </c>
    </row>
    <row r="26" spans="1:3" ht="15" customHeight="1" x14ac:dyDescent="0.25">
      <c r="B26" s="15" t="s">
        <v>48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0.19090989580981799</v>
      </c>
    </row>
    <row r="30" spans="1:3" ht="14.25" customHeight="1" x14ac:dyDescent="0.25">
      <c r="B30" s="25" t="s">
        <v>63</v>
      </c>
      <c r="C30" s="99">
        <v>4.81342613461836E-2</v>
      </c>
    </row>
    <row r="31" spans="1:3" ht="14.25" customHeight="1" x14ac:dyDescent="0.25">
      <c r="B31" s="25" t="s">
        <v>10</v>
      </c>
      <c r="C31" s="99">
        <v>9.7345412653664407E-2</v>
      </c>
    </row>
    <row r="32" spans="1:3" ht="14.25" customHeight="1" x14ac:dyDescent="0.25">
      <c r="B32" s="25" t="s">
        <v>11</v>
      </c>
      <c r="C32" s="99">
        <v>0.66361043019033406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20.44547</v>
      </c>
    </row>
    <row r="38" spans="1:5" ht="15" customHeight="1" x14ac:dyDescent="0.25">
      <c r="B38" s="11" t="s">
        <v>35</v>
      </c>
      <c r="C38" s="43">
        <v>37.628990000000002</v>
      </c>
      <c r="D38" s="12"/>
      <c r="E38" s="13"/>
    </row>
    <row r="39" spans="1:5" ht="15" customHeight="1" x14ac:dyDescent="0.25">
      <c r="B39" s="11" t="s">
        <v>61</v>
      </c>
      <c r="C39" s="43">
        <v>52.604759999999999</v>
      </c>
      <c r="D39" s="12"/>
      <c r="E39" s="12"/>
    </row>
    <row r="40" spans="1:5" ht="15" customHeight="1" x14ac:dyDescent="0.25">
      <c r="B40" s="11" t="s">
        <v>36</v>
      </c>
      <c r="C40" s="100">
        <v>4.9400000000000004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7.9351999999999999E-3</v>
      </c>
      <c r="D45" s="12"/>
    </row>
    <row r="46" spans="1:5" ht="15.75" customHeight="1" x14ac:dyDescent="0.25">
      <c r="B46" s="11" t="s">
        <v>51</v>
      </c>
      <c r="C46" s="45">
        <v>8.5262499999999991E-2</v>
      </c>
      <c r="D46" s="12"/>
    </row>
    <row r="47" spans="1:5" ht="15.75" customHeight="1" x14ac:dyDescent="0.25">
      <c r="B47" s="11" t="s">
        <v>59</v>
      </c>
      <c r="C47" s="45">
        <v>7.3454400000000003E-2</v>
      </c>
      <c r="D47" s="12"/>
      <c r="E47" s="13"/>
    </row>
    <row r="48" spans="1:5" ht="15" customHeight="1" x14ac:dyDescent="0.25">
      <c r="B48" s="11" t="s">
        <v>58</v>
      </c>
      <c r="C48" s="46">
        <v>0.83334790000000003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0.53929500000000008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0.15131361999999901</v>
      </c>
    </row>
    <row r="63" spans="1:4" ht="15.75" customHeight="1" x14ac:dyDescent="0.3">
      <c r="A63" s="4"/>
    </row>
  </sheetData>
  <sheetProtection algorithmName="SHA-512" hashValue="W9fX3k2ki6m1ibjli1p68jDbsVzefmlJKEafhxh32ZKiFbew4o+nXvj3Hory1C1OwyCj1JYCkwqX1jnbFtE8Dw==" saltValue="f82MyVgl3DeuVioCnYUt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447212</v>
      </c>
      <c r="C2" s="49">
        <v>964894.5</v>
      </c>
      <c r="D2" s="49">
        <v>1032594</v>
      </c>
      <c r="E2" s="49">
        <v>840886</v>
      </c>
      <c r="F2" s="49">
        <v>518006.5</v>
      </c>
      <c r="G2" s="17">
        <f t="shared" ref="G2:G13" si="0">C2+D2+E2+F2</f>
        <v>3356381</v>
      </c>
      <c r="H2" s="17">
        <f t="shared" ref="H2:H13" si="1">(B2 + stillbirth*B2/(1000-stillbirth))/(1-abortion)</f>
        <v>517637.4726286853</v>
      </c>
      <c r="I2" s="17">
        <f t="shared" ref="I2:I13" si="2">G2-H2</f>
        <v>2838743.5273713148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450531</v>
      </c>
      <c r="C3" s="50">
        <v>1013151.5</v>
      </c>
      <c r="D3" s="50">
        <v>1086891</v>
      </c>
      <c r="E3" s="50">
        <v>841254.5</v>
      </c>
      <c r="F3" s="50">
        <v>550476.5</v>
      </c>
      <c r="G3" s="17">
        <f t="shared" si="0"/>
        <v>3491773.5</v>
      </c>
      <c r="H3" s="17">
        <f t="shared" si="1"/>
        <v>521479.13781578816</v>
      </c>
      <c r="I3" s="17">
        <f t="shared" si="2"/>
        <v>2970294.3621842116</v>
      </c>
    </row>
    <row r="4" spans="1:9" ht="15.75" customHeight="1" x14ac:dyDescent="0.25">
      <c r="A4" s="5">
        <f t="shared" si="3"/>
        <v>2026</v>
      </c>
      <c r="B4" s="49">
        <v>457042</v>
      </c>
      <c r="C4" s="50">
        <v>1055770.5</v>
      </c>
      <c r="D4" s="50">
        <v>1139722</v>
      </c>
      <c r="E4" s="50">
        <v>850215</v>
      </c>
      <c r="F4" s="50">
        <v>581153.5</v>
      </c>
      <c r="G4" s="17">
        <f t="shared" si="0"/>
        <v>3626861</v>
      </c>
      <c r="H4" s="17">
        <f t="shared" si="1"/>
        <v>529015.4686483359</v>
      </c>
      <c r="I4" s="17">
        <f t="shared" si="2"/>
        <v>3097845.5313516641</v>
      </c>
    </row>
    <row r="5" spans="1:9" ht="15.75" customHeight="1" x14ac:dyDescent="0.25">
      <c r="A5" s="5">
        <f t="shared" si="3"/>
        <v>2027</v>
      </c>
      <c r="B5" s="49">
        <v>465221</v>
      </c>
      <c r="C5" s="50">
        <v>1093440</v>
      </c>
      <c r="D5" s="50">
        <v>1201088.5</v>
      </c>
      <c r="E5" s="50">
        <v>857419</v>
      </c>
      <c r="F5" s="50">
        <v>609749</v>
      </c>
      <c r="G5" s="17">
        <f t="shared" si="0"/>
        <v>3761696.5</v>
      </c>
      <c r="H5" s="17">
        <f t="shared" si="1"/>
        <v>538482.47062643582</v>
      </c>
      <c r="I5" s="17">
        <f t="shared" si="2"/>
        <v>3223214.0293735643</v>
      </c>
    </row>
    <row r="6" spans="1:9" ht="15.75" customHeight="1" x14ac:dyDescent="0.25">
      <c r="A6" s="5">
        <f t="shared" si="3"/>
        <v>2028</v>
      </c>
      <c r="B6" s="49">
        <v>471800</v>
      </c>
      <c r="C6" s="50">
        <v>1126277</v>
      </c>
      <c r="D6" s="50">
        <v>1270362</v>
      </c>
      <c r="E6" s="50">
        <v>863022.5</v>
      </c>
      <c r="F6" s="50">
        <v>635459.49999999988</v>
      </c>
      <c r="G6" s="17">
        <f t="shared" si="0"/>
        <v>3895121</v>
      </c>
      <c r="H6" s="17">
        <f t="shared" si="1"/>
        <v>546097.5098749894</v>
      </c>
      <c r="I6" s="17">
        <f t="shared" si="2"/>
        <v>3349023.4901250107</v>
      </c>
    </row>
    <row r="7" spans="1:9" ht="15.75" customHeight="1" x14ac:dyDescent="0.25">
      <c r="A7" s="5">
        <f t="shared" si="3"/>
        <v>2029</v>
      </c>
      <c r="B7" s="49">
        <v>479339</v>
      </c>
      <c r="C7" s="50">
        <v>1152998.5</v>
      </c>
      <c r="D7" s="50">
        <v>1343762.5</v>
      </c>
      <c r="E7" s="50">
        <v>871572.5</v>
      </c>
      <c r="F7" s="50">
        <v>658153.5</v>
      </c>
      <c r="G7" s="17">
        <f t="shared" si="0"/>
        <v>4026487</v>
      </c>
      <c r="H7" s="17">
        <f t="shared" si="1"/>
        <v>554823.72676127066</v>
      </c>
      <c r="I7" s="17">
        <f t="shared" si="2"/>
        <v>3471663.2732387292</v>
      </c>
    </row>
    <row r="8" spans="1:9" ht="15.75" customHeight="1" x14ac:dyDescent="0.25">
      <c r="A8" s="5">
        <f t="shared" si="3"/>
        <v>2030</v>
      </c>
      <c r="B8" s="49">
        <v>487080</v>
      </c>
      <c r="C8" s="50">
        <v>1168782.5</v>
      </c>
      <c r="D8" s="50">
        <v>1420824</v>
      </c>
      <c r="E8" s="50">
        <v>885159</v>
      </c>
      <c r="F8" s="50">
        <v>678109.5</v>
      </c>
      <c r="G8" s="17">
        <f t="shared" si="0"/>
        <v>4152875</v>
      </c>
      <c r="H8" s="17">
        <f t="shared" si="1"/>
        <v>563783.75394215726</v>
      </c>
      <c r="I8" s="17">
        <f t="shared" si="2"/>
        <v>3589091.2460578429</v>
      </c>
    </row>
    <row r="9" spans="1:9" ht="15.75" customHeight="1" x14ac:dyDescent="0.25">
      <c r="A9" s="5">
        <f t="shared" si="3"/>
        <v>2031</v>
      </c>
      <c r="B9" s="49">
        <v>494852</v>
      </c>
      <c r="C9" s="50">
        <v>1174794</v>
      </c>
      <c r="D9" s="50">
        <v>1498991</v>
      </c>
      <c r="E9" s="50">
        <v>903639.5</v>
      </c>
      <c r="F9" s="50">
        <v>693637.5</v>
      </c>
      <c r="G9" s="17">
        <f t="shared" si="0"/>
        <v>4271062</v>
      </c>
      <c r="H9" s="17">
        <f t="shared" si="1"/>
        <v>572779.66290092887</v>
      </c>
      <c r="I9" s="17">
        <f t="shared" si="2"/>
        <v>3698282.3370990711</v>
      </c>
    </row>
    <row r="10" spans="1:9" ht="15.75" customHeight="1" x14ac:dyDescent="0.25">
      <c r="A10" s="5">
        <f t="shared" si="3"/>
        <v>2032</v>
      </c>
      <c r="B10" s="49">
        <v>503018</v>
      </c>
      <c r="C10" s="50">
        <v>1177369.5</v>
      </c>
      <c r="D10" s="50">
        <v>1573289.5</v>
      </c>
      <c r="E10" s="50">
        <v>928132.5</v>
      </c>
      <c r="F10" s="50">
        <v>705335.5</v>
      </c>
      <c r="G10" s="17">
        <f t="shared" si="0"/>
        <v>4384127</v>
      </c>
      <c r="H10" s="17">
        <f t="shared" si="1"/>
        <v>582231.61768185114</v>
      </c>
      <c r="I10" s="17">
        <f t="shared" si="2"/>
        <v>3801895.3823181489</v>
      </c>
    </row>
    <row r="11" spans="1:9" ht="15.75" customHeight="1" x14ac:dyDescent="0.25">
      <c r="A11" s="5">
        <f t="shared" si="3"/>
        <v>2033</v>
      </c>
      <c r="B11" s="49">
        <v>513568.99999999988</v>
      </c>
      <c r="C11" s="50">
        <v>1178802.5</v>
      </c>
      <c r="D11" s="50">
        <v>1642928.5</v>
      </c>
      <c r="E11" s="50">
        <v>958049.5</v>
      </c>
      <c r="F11" s="50">
        <v>715210.5</v>
      </c>
      <c r="G11" s="17">
        <f t="shared" si="0"/>
        <v>4494991</v>
      </c>
      <c r="H11" s="17">
        <f t="shared" si="1"/>
        <v>594444.15440650354</v>
      </c>
      <c r="I11" s="17">
        <f t="shared" si="2"/>
        <v>3900546.8455934962</v>
      </c>
    </row>
    <row r="12" spans="1:9" ht="15.75" customHeight="1" x14ac:dyDescent="0.25">
      <c r="A12" s="5">
        <f t="shared" si="3"/>
        <v>2034</v>
      </c>
      <c r="B12" s="49">
        <v>521688.99999999988</v>
      </c>
      <c r="C12" s="50">
        <v>1180129</v>
      </c>
      <c r="D12" s="50">
        <v>1707555.5</v>
      </c>
      <c r="E12" s="50">
        <v>1002872</v>
      </c>
      <c r="F12" s="50">
        <v>724744.5</v>
      </c>
      <c r="G12" s="17">
        <f t="shared" si="0"/>
        <v>4615301</v>
      </c>
      <c r="H12" s="17">
        <f t="shared" si="1"/>
        <v>603842.86525895132</v>
      </c>
      <c r="I12" s="17">
        <f t="shared" si="2"/>
        <v>4011458.1347410488</v>
      </c>
    </row>
    <row r="13" spans="1:9" ht="15.75" customHeight="1" x14ac:dyDescent="0.25">
      <c r="A13" s="5">
        <f t="shared" si="3"/>
        <v>2035</v>
      </c>
      <c r="B13" s="49">
        <v>531655</v>
      </c>
      <c r="C13" s="50">
        <v>1181057.5</v>
      </c>
      <c r="D13" s="50">
        <v>1765712</v>
      </c>
      <c r="E13" s="50">
        <v>1056099</v>
      </c>
      <c r="F13" s="50">
        <v>725493.5</v>
      </c>
      <c r="G13" s="17">
        <f t="shared" si="0"/>
        <v>4728362</v>
      </c>
      <c r="H13" s="17">
        <f t="shared" si="1"/>
        <v>615378.27811061358</v>
      </c>
      <c r="I13" s="17">
        <f t="shared" si="2"/>
        <v>4112983.7218893864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4cNRcyQdSxlMmAP7RlKMLMboS9ieVEIvmWT+ZeczkoeA9YgQK5OTJdmn0mKHUtBwEltkV0cj4SEoayEXDJHzA==" saltValue="LuSB0XCoKbD71ONcuOjA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1.14185011418501E-2</v>
      </c>
    </row>
    <row r="4" spans="1:8" ht="15.75" customHeight="1" x14ac:dyDescent="0.25">
      <c r="B4" s="19" t="s">
        <v>97</v>
      </c>
      <c r="C4" s="101">
        <v>5.5858105585810461E-2</v>
      </c>
    </row>
    <row r="5" spans="1:8" ht="15.75" customHeight="1" x14ac:dyDescent="0.25">
      <c r="B5" s="19" t="s">
        <v>95</v>
      </c>
      <c r="C5" s="101">
        <v>7.1107207110720647E-2</v>
      </c>
    </row>
    <row r="6" spans="1:8" ht="15.75" customHeight="1" x14ac:dyDescent="0.25">
      <c r="B6" s="19" t="s">
        <v>91</v>
      </c>
      <c r="C6" s="101">
        <v>0.24179002417900219</v>
      </c>
    </row>
    <row r="7" spans="1:8" ht="15.75" customHeight="1" x14ac:dyDescent="0.25">
      <c r="B7" s="19" t="s">
        <v>96</v>
      </c>
      <c r="C7" s="101">
        <v>0.42007884200788481</v>
      </c>
    </row>
    <row r="8" spans="1:8" ht="15.75" customHeight="1" x14ac:dyDescent="0.25">
      <c r="B8" s="19" t="s">
        <v>98</v>
      </c>
      <c r="C8" s="101">
        <v>1.6044001604400141E-3</v>
      </c>
    </row>
    <row r="9" spans="1:8" ht="15.75" customHeight="1" x14ac:dyDescent="0.25">
      <c r="B9" s="19" t="s">
        <v>92</v>
      </c>
      <c r="C9" s="101">
        <v>8.5042508504250727E-2</v>
      </c>
    </row>
    <row r="10" spans="1:8" ht="15.75" customHeight="1" x14ac:dyDescent="0.25">
      <c r="B10" s="19" t="s">
        <v>94</v>
      </c>
      <c r="C10" s="101">
        <v>0.113100411310041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102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2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90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3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101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79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88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99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8.6116069000000003E-2</v>
      </c>
    </row>
    <row r="27" spans="1:8" ht="15.75" customHeight="1" x14ac:dyDescent="0.25">
      <c r="B27" s="19" t="s">
        <v>89</v>
      </c>
      <c r="C27" s="101">
        <v>8.4963420000000005E-3</v>
      </c>
    </row>
    <row r="28" spans="1:8" ht="15.75" customHeight="1" x14ac:dyDescent="0.25">
      <c r="B28" s="19" t="s">
        <v>103</v>
      </c>
      <c r="C28" s="101">
        <v>0.155313541</v>
      </c>
    </row>
    <row r="29" spans="1:8" ht="15.75" customHeight="1" x14ac:dyDescent="0.25">
      <c r="B29" s="19" t="s">
        <v>86</v>
      </c>
      <c r="C29" s="101">
        <v>0.16740253699999999</v>
      </c>
    </row>
    <row r="30" spans="1:8" ht="15.75" customHeight="1" x14ac:dyDescent="0.25">
      <c r="B30" s="19" t="s">
        <v>4</v>
      </c>
      <c r="C30" s="101">
        <v>0.104102105</v>
      </c>
    </row>
    <row r="31" spans="1:8" ht="15.75" customHeight="1" x14ac:dyDescent="0.25">
      <c r="B31" s="19" t="s">
        <v>80</v>
      </c>
      <c r="C31" s="101">
        <v>0.108491529</v>
      </c>
    </row>
    <row r="32" spans="1:8" ht="15.75" customHeight="1" x14ac:dyDescent="0.25">
      <c r="B32" s="19" t="s">
        <v>85</v>
      </c>
      <c r="C32" s="101">
        <v>1.8703009999999999E-2</v>
      </c>
    </row>
    <row r="33" spans="2:3" ht="15.75" customHeight="1" x14ac:dyDescent="0.25">
      <c r="B33" s="19" t="s">
        <v>100</v>
      </c>
      <c r="C33" s="101">
        <v>8.4263411999999996E-2</v>
      </c>
    </row>
    <row r="34" spans="2:3" ht="15.75" customHeight="1" x14ac:dyDescent="0.25">
      <c r="B34" s="19" t="s">
        <v>87</v>
      </c>
      <c r="C34" s="101">
        <v>0.267111455</v>
      </c>
    </row>
    <row r="35" spans="2:3" ht="15.75" customHeight="1" x14ac:dyDescent="0.25">
      <c r="B35" s="27" t="s">
        <v>60</v>
      </c>
      <c r="C35" s="48">
        <f>SUM(C26:C34)</f>
        <v>0.99999999999999989</v>
      </c>
    </row>
  </sheetData>
  <sheetProtection algorithmName="SHA-512" hashValue="kkta1MxYuct4/lGNND/58m6JT3jBVUSrWBTpI3JbhE3kaMLo9V+HH0xdlNqf4v2X3Wnxy3g6BPCyy2vcOhGhlw==" saltValue="gHJTU3c9n8Rj+PBF40agh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110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106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107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119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Ipnq/vRWoRbgFVFoVU7VkTxokruiU+1Njtv3k0eGIY23f2vlaER9ZZKFxeclduU6zrt62lTRSTMvL8UGHBtNQ==" saltValue="qr35A6Vf7A9USwndN0gh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125</v>
      </c>
      <c r="C5" s="52">
        <v>3.4746399999999997E-2</v>
      </c>
      <c r="D5" s="52">
        <v>2.2493200000000001E-2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q8TgR4JPBNmLgxb7DulATkvFySEoo++K3kUTSXwGc1uLDWFr10UcWJ0yG9nJgwNwH6dAFZG54p2EnIVr8t/bFg==" saltValue="jzytsV7kuPvidcr3CGbfc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WPcp6kfrVX2o4f6FD3N9LJ518DDAwJnwWEWvDu7ZuKlykdSlHr+zkCPNg1Za+i0amxATFFBchmnRWHSfK6G8A==" saltValue="Of/ywU9u1wvZcmJO9hMch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xLBjqF6yCttAiKhh1CKdzDPzW8Y9Ji0LSqclxqa7Bl8jIxLJE+BJ/EBrqS7y26QQ0Fo1f+bKg/jc1tZ8goVcsw==" saltValue="DmuU1k0V5XCIzXCzvW6x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+Vz83fHrzztsMb/SZDuiTkb7eXnmsSZvY+UHnhu9pOuViZhmEw2Mw6Z5oYjTv6b2okPhwYbfc9FGgnIBrAkrSg==" saltValue="pXnzWL2WZoj+Yjm/67LiW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TL+yaBwTQ+NQUMEoVn9HlQjm5yqvBJXGzqBszZSgLFqtFuEiXsV8+hNSaPE5q2eANzVDGRwvM32teqBfV+3+kg==" saltValue="IjqHoMTR/KT4T0264xzA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18.90295910129235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7.7469307070758147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7.9370542524598214E-2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0.39138418028773941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1.44447E-2</v>
      </c>
      <c r="C10" s="98">
        <v>0.95</v>
      </c>
      <c r="D10" s="56">
        <v>14.128320781922749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14.128320781922749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14.128320781922749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14.128320781922749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1.44447E-2</v>
      </c>
      <c r="C14" s="98">
        <v>0.95</v>
      </c>
      <c r="D14" s="56">
        <v>14.128320781922749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14.128320781922749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0.43771369999999998</v>
      </c>
      <c r="C16" s="98">
        <v>0.95</v>
      </c>
      <c r="D16" s="56">
        <v>1.370610817405721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1.7000000000000001E-2</v>
      </c>
      <c r="C18" s="98">
        <v>0.95</v>
      </c>
      <c r="D18" s="56">
        <v>7.7469307070758147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0.80849019999999994</v>
      </c>
      <c r="C19" s="98">
        <v>0.95</v>
      </c>
      <c r="D19" s="56">
        <v>7.7469307070758147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24.050195803135828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0.46131729999999999</v>
      </c>
      <c r="C23" s="98">
        <v>0.95</v>
      </c>
      <c r="D23" s="56">
        <v>4.6205668864219671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0.62554248831658099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0.02</v>
      </c>
      <c r="C26" s="98">
        <v>0.95</v>
      </c>
      <c r="D26" s="56">
        <v>2.717384924943516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0.35550359999999998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0.18486040000000001</v>
      </c>
      <c r="C29" s="98">
        <v>0.95</v>
      </c>
      <c r="D29" s="56">
        <v>51.177416086436217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6.9099999999999995E-2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0.81</v>
      </c>
      <c r="C32" s="98">
        <v>0.95</v>
      </c>
      <c r="D32" s="56">
        <v>2.228732372651042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6.3035899999999992E-2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0.73656490000000008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1.6022E-3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0.38674399999999998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0.06</v>
      </c>
      <c r="C38" s="98">
        <v>0.95</v>
      </c>
      <c r="D38" s="56">
        <v>5.0533824920002237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hPQeW3ie8Mi1SyQEih3NVFfT8IJB6N9dJuxODyiNlKHkNaaBPKwRe+8g7ngGThncTGaumsZ6fsLuPJpSL1PwPw==" saltValue="AujzTNz1aerMIK2X15O4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wa/u2kf17iSMHsc1YcpZUT7pD3f3fjvhlDXGjtorXa3xcch+2hdrub/fr0v3FZ/lLqu8uBZTm6KnLk50Z7qPdg==" saltValue="n7zTUx3p0IjgQW4n+r0S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6MCNolkF6BZxNH8Fl2MDy4ZHEQhCEG3ZzdkcOzk/e9h/c/jbu873T5iBBTkibZ+7r9nVUthoHjFphtRR3Vf4Jw==" saltValue="zm8SE8FBdaA/2bl6eispz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207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sheetProtection algorithmName="SHA-512" hashValue="WcCexBE2sDI/Q8SkwsVHMj+Ye1pBvsYnaYJ/LSnskdwzoY66LPvwM/z2i60TVV14tFWlEBXT/RwNOt8qCXJbig==" saltValue="A8iw4BrIVnAYkMKf6oWLo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0.71799999999999997</v>
      </c>
      <c r="E2" s="60">
        <f>food_insecure</f>
        <v>0.71799999999999997</v>
      </c>
      <c r="F2" s="60">
        <f>food_insecure</f>
        <v>0.71799999999999997</v>
      </c>
      <c r="G2" s="60">
        <f>food_insecure</f>
        <v>0.71799999999999997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0.71799999999999997</v>
      </c>
      <c r="I15" s="60">
        <f>food_insecure</f>
        <v>0.71799999999999997</v>
      </c>
      <c r="J15" s="60">
        <f>food_insecure</f>
        <v>0.71799999999999997</v>
      </c>
      <c r="K15" s="60">
        <f>food_insecure</f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0.60699999999999998</v>
      </c>
      <c r="M24" s="60">
        <f>famplan_unmet_need</f>
        <v>0.60699999999999998</v>
      </c>
      <c r="N24" s="60">
        <f>famplan_unmet_need</f>
        <v>0.60699999999999998</v>
      </c>
      <c r="O24" s="60">
        <f>famplan_unmet_need</f>
        <v>0.60699999999999998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0.43784952006111166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0.18764979431190498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5.7807780200958288E-2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0.31669290542602502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LdNNVpA+hp4q+o2BpaWzgnb4E2Up3YG2fxhSYp6IoJK5NjD3Uf5K6tmlxFIn7VMvcztUyZWMG/0QnVuWf9jMA==" saltValue="Sfqk9NlMptAs3wt7UEUU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2kZSlGm4H14lQBRDz3Hp0kgepUHDdOGjPzM0FkQQrIzJsIosZhfTKDKZqNw4mbCV5pxAOQdiXy61V/w+FKpugg==" saltValue="UNO2niU4PoR1ataoBZ7FO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8KnEdR1uZyl9i/V+H6Q18lwrJgzcGj2UzAXTfGQEBz5JZ+pAaCXB1ATgzOYYyarmAXPImBuUNlzyfdY8Xiunw==" saltValue="gnYev9veTvyongtFiah6s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iJ+Gd4vQdrY10AmM6I9Ckz5s0zGcTTjOkVoHmgycqlYRnqRDckjBkveZrILVC2VazDjAT7PwAa2Ud/SgLXlJg==" saltValue="mQ4u7AKfPDcrziPTQC/rP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DmVU/1IAASylYf0ss9MFaK+Y4G0GUZ4XARO6+fLjhVzJtlBV7qvptyJokxFuzHLt9rPHnghjoUlGK84D0YuRg==" saltValue="PTyT19ROYqBHlUsyLjC1S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rJYoVeavITVrESnJBIZyOD8yBO447NpYBO2YZPiYCpL7pRVmpgmmsnMHX+2Qtxdl9PyzdeAcTB0ydmI95Pye0A==" saltValue="DSHpVS7GSPgPq8+qqmv2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2I8g0pIOsPCuz7QhJ1eQNWEYKOlHNPtRm2xSuJAq+mKGZTjy3Aj2KG8TijjlEX59Kn2JpQ4O/I6uQqWP/Mbv/w==" saltValue="OQfg9PwqdTqoDwZoR+Oz1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ixe3z7KFr9/WNj2O1NR7763mqHDy21opMcZ5M/w2xU3pgFfJNO+GkQ8rfv9ZJ7TDny/mayjv3SiLyjGJdFShg==" saltValue="Q6rhR2VeMBhy2g23YK2q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7vuMSeb6AwXmswmsCB17CCIT/2laSYC+AIjqyMTqiW0+ZpIAp1OSgcUefrJJTRZ1h2gQhlNFsRycAlvCVccRA==" saltValue="XwPN+SV8TuCNbtFB18dx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AdrMEYI20yMKYXoc5fEjw0syMauMe45zRaVPYgUnvgNjgGpnBkbXgRrkV66E/bLqoBZwfNcjJhNz4NUlvVDnQ==" saltValue="R/BozRTxgnE15EOJW4dN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2OiXCfrfkZmPbHCP8TmiPDnV5nwVy5iunItIpoSeE19FEbIYIg9G6r8BuTnPisrdWODnvQ1l0SzeCtjsJ9HZSg==" saltValue="zEK8cQ4lm0iBxZ8FUkco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pA/jDUUmLrUMY7j0+oXq1thnuxarpU0DO7Wdr/Jt/x0HVbpNyi2vnRhmKA1QRYwCE0U8v+lP6T7JaHTuNqeuQ==" saltValue="jphF4ZLdKIji6YmrHD/Y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tZePJrtq6COiVp0uzBQvq4YEp5c3T/EscPtTknSG9faQjAzWEa6KJWmEiea0NscTJwhtKktfBAVqeiZsg+1nQ==" saltValue="DD3FWupBr9O4bxxg1iZE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0.10802066127621901</v>
      </c>
      <c r="G18" s="90">
        <f>MIN(MAX(1-0.89/(1-frac_sam_12_23months+(frac_sam_12_23months*0.89)),0),1)</f>
        <v>0.1091652272411604</v>
      </c>
      <c r="H18" s="90">
        <f>MIN(MAX(1-0.89/(1-frac_sam_24_59months+(frac_sam_24_59months*0.89)),0),1)</f>
        <v>0.10927592059788926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0.10208591092688191</v>
      </c>
      <c r="G20" s="90">
        <f>MIN(MAX(1-0.89/(1-frac_mam_12_23months+(frac_mam_12_23months*0.89)),0),1)</f>
        <v>0.10290782881824667</v>
      </c>
      <c r="H20" s="90">
        <f>MIN(MAX(1-0.89/(1-frac_mam_24_59months+(frac_mam_24_59months*0.89)),0),1)</f>
        <v>0.1074354934780708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9.8002460134284375E-3</v>
      </c>
      <c r="G73" s="90">
        <f>MIN(MAX(1-0.99/(1-frac_sam_12_23months+(frac_sam_12_23months*0.99)),0),1)</f>
        <v>9.9156566949625269E-3</v>
      </c>
      <c r="H73" s="90">
        <f>MIN(MAX(1-0.99/(1-frac_sam_24_59months+(frac_sam_24_59months*0.99)),0),1)</f>
        <v>9.9268326028562059E-3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9.2061164929010397E-3</v>
      </c>
      <c r="G75" s="90">
        <f>MIN(MAX(1-0.99/(1-frac_mam_12_23months+(frac_mam_12_23months*0.99)),0),1)</f>
        <v>9.2879722935511611E-3</v>
      </c>
      <c r="H75" s="90">
        <f>MIN(MAX(1-0.99/(1-frac_mam_24_59months+(frac_mam_24_59months*0.99)),0),1)</f>
        <v>9.7413454296848556E-3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0.19675922871937568</v>
      </c>
      <c r="G128" s="90">
        <f>MIN(MAX(1-0.8/(1-frac_sam_12_23months+(frac_sam_12_23months*0.8)),0),1)</f>
        <v>0.19863466579820022</v>
      </c>
      <c r="H128" s="90">
        <f>MIN(MAX(1-0.8/(1-frac_sam_24_59months+(frac_sam_24_59months*0.8)),0),1)</f>
        <v>0.19881583377864154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0.18697104844554957</v>
      </c>
      <c r="G130" s="90">
        <f>MIN(MAX(1-0.8/(1-frac_mam_12_23months+(frac_mam_12_23months*0.8)),0),1)</f>
        <v>0.18833305056885974</v>
      </c>
      <c r="H130" s="90">
        <f>MIN(MAX(1-0.8/(1-frac_mam_24_59months+(frac_mam_24_59months*0.8)),0),1)</f>
        <v>0.19579886937765145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We7r15kW3MYK0dIqRiVyIn4WGOR/FD15sdSTuZsE1fPxS8Cn7MGnE1amDRt8QnP3kdaFnOALOlgSrKCpFNYwA==" saltValue="gA5QsvIs4+ocxLJtLxfv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0vcC6qL73rv8BIo4tkEOeZQJcE3xmTJtfxGwqQ+xup31xlGg5e2XoBynDqcEFo/oZ8K8IaYIsIAd57Ee4gk5yg==" saltValue="rq8wBgpF6/J2iB0jMVt7k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2024-08-06T07:15:04Z</dcterms:modified>
</cp:coreProperties>
</file>