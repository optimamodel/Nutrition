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38194BAD-DCAB-46D6-84C6-55B3E8B06C61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6" i="2" l="1"/>
  <c r="I2" i="2"/>
  <c r="I6" i="2"/>
  <c r="I12" i="2"/>
  <c r="A35" i="2"/>
  <c r="I7" i="2"/>
  <c r="I13" i="2"/>
  <c r="A37" i="2"/>
  <c r="A22" i="2"/>
  <c r="I39" i="2"/>
  <c r="A19" i="2"/>
  <c r="A23" i="2"/>
  <c r="A40" i="2"/>
  <c r="A24" i="2"/>
  <c r="I4" i="2"/>
  <c r="A25" i="2"/>
  <c r="A26" i="2"/>
  <c r="I38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<sst xmlns="http://schemas.openxmlformats.org/spreadsheetml/2006/main" count="2169" uniqueCount="373">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</sst>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2101915.5</v>
      </c>
    </row>
    <row r="8" spans="1:3" ht="15" customHeight="1" x14ac:dyDescent="0.25">
      <c r="B8" s="5" t="s">
        <v>63</v>
      </c>
      <c r="C8" s="44">
        <v>0.71799999999999997</v>
      </c>
    </row>
    <row r="9" spans="1:3" ht="15" customHeight="1" x14ac:dyDescent="0.25">
      <c r="B9" s="5" t="s">
        <v>62</v>
      </c>
      <c r="C9" s="45">
        <v>0.21</v>
      </c>
    </row>
    <row r="10" spans="1:3" ht="15" customHeight="1" x14ac:dyDescent="0.25">
      <c r="B10" s="5" t="s">
        <v>75</v>
      </c>
      <c r="C10" s="45">
        <v>0.31014619999999998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0.29699999999999999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3.6499999999999998E-2</v>
      </c>
    </row>
    <row r="24" spans="1:3" ht="15" customHeight="1" x14ac:dyDescent="0.25">
      <c r="B24" s="15" t="s">
        <v>65</v>
      </c>
      <c r="C24" s="45">
        <v>0.49450000000000011</v>
      </c>
    </row>
    <row r="25" spans="1:3" ht="15" customHeight="1" x14ac:dyDescent="0.25">
      <c r="B25" s="15" t="s">
        <v>66</v>
      </c>
      <c r="C25" s="45">
        <v>0.37509999999999999</v>
      </c>
    </row>
    <row r="26" spans="1:3" ht="15" customHeight="1" x14ac:dyDescent="0.25">
      <c r="B26" s="15" t="s">
        <v>67</v>
      </c>
      <c r="C26" s="45">
        <v>9.3900000000000011E-2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0.19090989580981799</v>
      </c>
    </row>
    <row r="30" spans="1:3" ht="14.25" customHeight="1" x14ac:dyDescent="0.25">
      <c r="B30" s="25" t="s">
        <v>82</v>
      </c>
      <c r="C30" s="97">
        <v>4.81342613461836E-2</v>
      </c>
    </row>
    <row r="31" spans="1:3" ht="14.25" customHeight="1" x14ac:dyDescent="0.25">
      <c r="B31" s="25" t="s">
        <v>29</v>
      </c>
      <c r="C31" s="97">
        <v>9.7345412653664407E-2</v>
      </c>
    </row>
    <row r="32" spans="1:3" ht="14.25" customHeight="1" x14ac:dyDescent="0.25">
      <c r="B32" s="25" t="s">
        <v>30</v>
      </c>
      <c r="C32" s="97">
        <v>0.66361043019033406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20.44547</v>
      </c>
    </row>
    <row r="38" spans="1:5" ht="15" customHeight="1" x14ac:dyDescent="0.25">
      <c r="B38" s="11" t="s">
        <v>54</v>
      </c>
      <c r="C38" s="43">
        <v>37.628990000000002</v>
      </c>
      <c r="D38" s="12"/>
      <c r="E38" s="13"/>
    </row>
    <row r="39" spans="1:5" ht="15" customHeight="1" x14ac:dyDescent="0.25">
      <c r="B39" s="11" t="s">
        <v>80</v>
      </c>
      <c r="C39" s="43">
        <v>52.604759999999999</v>
      </c>
      <c r="D39" s="12"/>
      <c r="E39" s="12"/>
    </row>
    <row r="40" spans="1:5" ht="15" customHeight="1" x14ac:dyDescent="0.25">
      <c r="B40" s="11" t="s">
        <v>55</v>
      </c>
      <c r="C40" s="98">
        <v>4.9400000000000004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18.240600000000001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7.9351999999999999E-3</v>
      </c>
      <c r="D45" s="12"/>
    </row>
    <row r="46" spans="1:5" ht="15.75" customHeight="1" x14ac:dyDescent="0.25">
      <c r="B46" s="11" t="s">
        <v>70</v>
      </c>
      <c r="C46" s="45">
        <v>8.5262499999999991E-2</v>
      </c>
      <c r="D46" s="12"/>
    </row>
    <row r="47" spans="1:5" ht="15.75" customHeight="1" x14ac:dyDescent="0.25">
      <c r="B47" s="11" t="s">
        <v>78</v>
      </c>
      <c r="C47" s="45">
        <v>7.3454400000000003E-2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3.718</v>
      </c>
      <c r="D51" s="12"/>
    </row>
    <row r="52" spans="1:4" ht="15" customHeight="1" x14ac:dyDescent="0.25">
      <c r="B52" s="11" t="s">
        <v>32</v>
      </c>
      <c r="C52" s="98">
        <v>3.718</v>
      </c>
    </row>
    <row r="53" spans="1:4" ht="15.75" customHeight="1" x14ac:dyDescent="0.25">
      <c r="B53" s="11" t="s">
        <v>35</v>
      </c>
      <c r="C53" s="98">
        <v>10.061999999999999</v>
      </c>
    </row>
    <row r="54" spans="1:4" ht="15.75" customHeight="1" x14ac:dyDescent="0.25">
      <c r="B54" s="11" t="s">
        <v>33</v>
      </c>
      <c r="C54" s="98">
        <v>9.5679999999999996</v>
      </c>
    </row>
    <row r="55" spans="1:4" ht="15.75" customHeight="1" x14ac:dyDescent="0.25">
      <c r="B55" s="11" t="s">
        <v>34</v>
      </c>
      <c r="C55" s="98">
        <v>4.0906666666666656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0.53929500000000008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0.14776901549999999</v>
      </c>
    </row>
    <row r="63" spans="1:4" ht="15.75" customHeight="1" x14ac:dyDescent="0.3">
      <c r="A63" s="4"/>
    </row>
  </sheetData>
  <sheetProtection algorithmName="SHA-512" hashValue="TiDcawDjIL6Wi/FVIoKz0aomcuaKHA7ibmJuEXj6lF0bJHCxIzSlp67+SmV/1XNzqN0ctka1IL+SwBhI6mNIFg==" saltValue="FoQr8P4P8D9/L2EZB7h+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466545</v>
      </c>
      <c r="C2" s="49">
        <v>807550</v>
      </c>
      <c r="D2" s="49">
        <v>1063603.5</v>
      </c>
      <c r="E2" s="49">
        <v>861610.5</v>
      </c>
      <c r="F2" s="49">
        <v>610833</v>
      </c>
      <c r="G2" s="17">
        <f t="shared" ref="G2:G13" si="0">C2+D2+E2+F2</f>
        <v>3343597</v>
      </c>
      <c r="H2" s="17">
        <f t="shared" ref="H2:H13" si="1">(B2 + stillbirth*B2/(1000-stillbirth))/(1-abortion)</f>
        <v>540014.96978513547</v>
      </c>
      <c r="I2" s="17">
        <f t="shared" ref="I2:I13" si="2">G2-H2</f>
        <v>2803582.0302148648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468720</v>
      </c>
      <c r="C3" s="50">
        <v>849334.5</v>
      </c>
      <c r="D3" s="50">
        <v>1113741</v>
      </c>
      <c r="E3" s="50">
        <v>859901.00000000012</v>
      </c>
      <c r="F3" s="50">
        <v>644035.5</v>
      </c>
      <c r="G3" s="17">
        <f t="shared" si="0"/>
        <v>3467012</v>
      </c>
      <c r="H3" s="17">
        <f t="shared" si="1"/>
        <v>542532.48162061255</v>
      </c>
      <c r="I3" s="17">
        <f t="shared" si="2"/>
        <v>2924479.5183793874</v>
      </c>
    </row>
    <row r="4" spans="1:9" ht="15.75" customHeight="1" x14ac:dyDescent="0.25">
      <c r="A4" s="5">
        <f t="shared" si="3"/>
        <v>2026</v>
      </c>
      <c r="B4" s="49">
        <v>471624</v>
      </c>
      <c r="C4" s="50">
        <v>889645</v>
      </c>
      <c r="D4" s="50">
        <v>1161927.5</v>
      </c>
      <c r="E4" s="50">
        <v>866275</v>
      </c>
      <c r="F4" s="50">
        <v>674689.00000000012</v>
      </c>
      <c r="G4" s="17">
        <f t="shared" si="0"/>
        <v>3592536.5</v>
      </c>
      <c r="H4" s="17">
        <f t="shared" si="1"/>
        <v>545893.79397473927</v>
      </c>
      <c r="I4" s="17">
        <f t="shared" si="2"/>
        <v>3046642.7060252605</v>
      </c>
    </row>
    <row r="5" spans="1:9" ht="15.75" customHeight="1" x14ac:dyDescent="0.25">
      <c r="A5" s="5">
        <f t="shared" si="3"/>
        <v>2027</v>
      </c>
      <c r="B5" s="49">
        <v>475895</v>
      </c>
      <c r="C5" s="50">
        <v>925558</v>
      </c>
      <c r="D5" s="50">
        <v>1220233.5</v>
      </c>
      <c r="E5" s="50">
        <v>871204.5</v>
      </c>
      <c r="F5" s="50">
        <v>703112.5</v>
      </c>
      <c r="G5" s="17">
        <f t="shared" si="0"/>
        <v>3720108.5</v>
      </c>
      <c r="H5" s="17">
        <f t="shared" si="1"/>
        <v>550837.37698592211</v>
      </c>
      <c r="I5" s="17">
        <f t="shared" si="2"/>
        <v>3169271.123014078</v>
      </c>
    </row>
    <row r="6" spans="1:9" ht="15.75" customHeight="1" x14ac:dyDescent="0.25">
      <c r="A6" s="5">
        <f t="shared" si="3"/>
        <v>2028</v>
      </c>
      <c r="B6" s="49">
        <v>483052</v>
      </c>
      <c r="C6" s="50">
        <v>957384.5</v>
      </c>
      <c r="D6" s="50">
        <v>1289492</v>
      </c>
      <c r="E6" s="50">
        <v>875681.5</v>
      </c>
      <c r="F6" s="50">
        <v>729727</v>
      </c>
      <c r="G6" s="17">
        <f t="shared" si="0"/>
        <v>3852285</v>
      </c>
      <c r="H6" s="17">
        <f t="shared" si="1"/>
        <v>559121.4377705243</v>
      </c>
      <c r="I6" s="17">
        <f t="shared" si="2"/>
        <v>3293163.5622294759</v>
      </c>
    </row>
    <row r="7" spans="1:9" ht="15.75" customHeight="1" x14ac:dyDescent="0.25">
      <c r="A7" s="5">
        <f t="shared" si="3"/>
        <v>2029</v>
      </c>
      <c r="B7" s="49">
        <v>491466</v>
      </c>
      <c r="C7" s="50">
        <v>983896</v>
      </c>
      <c r="D7" s="50">
        <v>1363177</v>
      </c>
      <c r="E7" s="50">
        <v>882817.5</v>
      </c>
      <c r="F7" s="50">
        <v>753151.5</v>
      </c>
      <c r="G7" s="17">
        <f t="shared" si="0"/>
        <v>3983042</v>
      </c>
      <c r="H7" s="17">
        <f t="shared" si="1"/>
        <v>568860.44677452627</v>
      </c>
      <c r="I7" s="17">
        <f t="shared" si="2"/>
        <v>3414181.5532254735</v>
      </c>
    </row>
    <row r="8" spans="1:9" ht="15.75" customHeight="1" x14ac:dyDescent="0.25">
      <c r="A8" s="5">
        <f t="shared" si="3"/>
        <v>2030</v>
      </c>
      <c r="B8" s="49">
        <v>500614</v>
      </c>
      <c r="C8" s="50">
        <v>1002616.5</v>
      </c>
      <c r="D8" s="50">
        <v>1438882.5</v>
      </c>
      <c r="E8" s="50">
        <v>893730</v>
      </c>
      <c r="F8" s="50">
        <v>772833.5</v>
      </c>
      <c r="G8" s="17">
        <f t="shared" si="0"/>
        <v>4108062.5</v>
      </c>
      <c r="H8" s="17">
        <f t="shared" si="1"/>
        <v>579449.04368070781</v>
      </c>
      <c r="I8" s="17">
        <f t="shared" si="2"/>
        <v>3528613.4563192921</v>
      </c>
    </row>
    <row r="9" spans="1:9" ht="15.75" customHeight="1" x14ac:dyDescent="0.25">
      <c r="A9" s="5">
        <f t="shared" si="3"/>
        <v>2031</v>
      </c>
      <c r="B9" s="49">
        <v>509473</v>
      </c>
      <c r="C9" s="50">
        <v>1012768.5</v>
      </c>
      <c r="D9" s="50">
        <v>1516133</v>
      </c>
      <c r="E9" s="50">
        <v>909501</v>
      </c>
      <c r="F9" s="50">
        <v>787888.99999999988</v>
      </c>
      <c r="G9" s="17">
        <f t="shared" si="0"/>
        <v>4226291.5</v>
      </c>
      <c r="H9" s="17">
        <f t="shared" si="1"/>
        <v>589703.12981886487</v>
      </c>
      <c r="I9" s="17">
        <f t="shared" si="2"/>
        <v>3636588.3701811349</v>
      </c>
    </row>
    <row r="10" spans="1:9" ht="15.75" customHeight="1" x14ac:dyDescent="0.25">
      <c r="A10" s="5">
        <f t="shared" si="3"/>
        <v>2032</v>
      </c>
      <c r="B10" s="49">
        <v>518797</v>
      </c>
      <c r="C10" s="50">
        <v>1016476</v>
      </c>
      <c r="D10" s="50">
        <v>1590095</v>
      </c>
      <c r="E10" s="50">
        <v>931234.5</v>
      </c>
      <c r="F10" s="50">
        <v>798982.50000000012</v>
      </c>
      <c r="G10" s="17">
        <f t="shared" si="0"/>
        <v>4336788</v>
      </c>
      <c r="H10" s="17">
        <f t="shared" si="1"/>
        <v>600495.44262529642</v>
      </c>
      <c r="I10" s="17">
        <f t="shared" si="2"/>
        <v>3736292.5573747037</v>
      </c>
    </row>
    <row r="11" spans="1:9" ht="15.75" customHeight="1" x14ac:dyDescent="0.25">
      <c r="A11" s="5">
        <f t="shared" si="3"/>
        <v>2033</v>
      </c>
      <c r="B11" s="49">
        <v>528492</v>
      </c>
      <c r="C11" s="50">
        <v>1015897.5</v>
      </c>
      <c r="D11" s="50">
        <v>1659327</v>
      </c>
      <c r="E11" s="50">
        <v>957700</v>
      </c>
      <c r="F11" s="50">
        <v>809344</v>
      </c>
      <c r="G11" s="17">
        <f t="shared" si="0"/>
        <v>4442268.5</v>
      </c>
      <c r="H11" s="17">
        <f t="shared" si="1"/>
        <v>611717.17928964156</v>
      </c>
      <c r="I11" s="17">
        <f t="shared" si="2"/>
        <v>3830551.3207103582</v>
      </c>
    </row>
    <row r="12" spans="1:9" ht="15.75" customHeight="1" x14ac:dyDescent="0.25">
      <c r="A12" s="5">
        <f t="shared" si="3"/>
        <v>2034</v>
      </c>
      <c r="B12" s="49">
        <v>532619</v>
      </c>
      <c r="C12" s="50">
        <v>1013357.5</v>
      </c>
      <c r="D12" s="50">
        <v>1723731</v>
      </c>
      <c r="E12" s="50">
        <v>998540.00000000012</v>
      </c>
      <c r="F12" s="50">
        <v>809917.5</v>
      </c>
      <c r="G12" s="17">
        <f t="shared" si="0"/>
        <v>4545546</v>
      </c>
      <c r="H12" s="17">
        <f t="shared" si="1"/>
        <v>616494.08565516525</v>
      </c>
      <c r="I12" s="17">
        <f t="shared" si="2"/>
        <v>3929051.9143448346</v>
      </c>
    </row>
    <row r="13" spans="1:9" ht="15.75" customHeight="1" x14ac:dyDescent="0.25">
      <c r="A13" s="5">
        <f t="shared" si="3"/>
        <v>2035</v>
      </c>
      <c r="B13" s="49">
        <v>541535</v>
      </c>
      <c r="C13" s="50">
        <v>1011008.5</v>
      </c>
      <c r="D13" s="50">
        <v>1781709.5</v>
      </c>
      <c r="E13" s="50">
        <v>1047409.5</v>
      </c>
      <c r="F13" s="50">
        <v>808766.00000000012</v>
      </c>
      <c r="G13" s="17">
        <f t="shared" si="0"/>
        <v>4648893.5</v>
      </c>
      <c r="H13" s="17">
        <f t="shared" si="1"/>
        <v>626814.14796556241</v>
      </c>
      <c r="I13" s="17">
        <f t="shared" si="2"/>
        <v>4022079.3520344375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hyiYvO3pJ6+U8LG5n53zTo33SzJFpg3J9wItZWQwe/vseowY3WxVo//X6KYU0jcS4VWVJaw81qvtbqmUTcpzxw==" saltValue="+e4RdoNxy63p3OCduyVqw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1.14185011418501E-2</v>
      </c>
    </row>
    <row r="4" spans="1:8" ht="15.75" customHeight="1" x14ac:dyDescent="0.25">
      <c r="B4" s="19" t="s">
        <v>116</v>
      </c>
      <c r="C4" s="99">
        <v>5.5858105585810461E-2</v>
      </c>
    </row>
    <row r="5" spans="1:8" ht="15.75" customHeight="1" x14ac:dyDescent="0.25">
      <c r="B5" s="19" t="s">
        <v>114</v>
      </c>
      <c r="C5" s="99">
        <v>7.1107207110720647E-2</v>
      </c>
    </row>
    <row r="6" spans="1:8" ht="15.75" customHeight="1" x14ac:dyDescent="0.25">
      <c r="B6" s="19" t="s">
        <v>110</v>
      </c>
      <c r="C6" s="99">
        <v>0.24179002417900219</v>
      </c>
    </row>
    <row r="7" spans="1:8" ht="15.75" customHeight="1" x14ac:dyDescent="0.25">
      <c r="B7" s="19" t="s">
        <v>115</v>
      </c>
      <c r="C7" s="99">
        <v>0.42007884200788481</v>
      </c>
    </row>
    <row r="8" spans="1:8" ht="15.75" customHeight="1" x14ac:dyDescent="0.25">
      <c r="B8" s="19" t="s">
        <v>117</v>
      </c>
      <c r="C8" s="99">
        <v>1.6044001604400141E-3</v>
      </c>
    </row>
    <row r="9" spans="1:8" ht="15.75" customHeight="1" x14ac:dyDescent="0.25">
      <c r="B9" s="19" t="s">
        <v>111</v>
      </c>
      <c r="C9" s="99">
        <v>8.5042508504250727E-2</v>
      </c>
    </row>
    <row r="10" spans="1:8" ht="15.75" customHeight="1" x14ac:dyDescent="0.25">
      <c r="B10" s="19" t="s">
        <v>113</v>
      </c>
      <c r="C10" s="99">
        <v>0.113100411310041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0.16626712468180119</v>
      </c>
      <c r="D14" s="55">
        <v>0.16626712468180119</v>
      </c>
      <c r="E14" s="55">
        <v>0.16626712468180119</v>
      </c>
      <c r="F14" s="55">
        <v>0.16626712468180119</v>
      </c>
    </row>
    <row r="15" spans="1:8" ht="15.75" customHeight="1" x14ac:dyDescent="0.25">
      <c r="B15" s="19" t="s">
        <v>121</v>
      </c>
      <c r="C15" s="99">
        <v>0.24864910415544891</v>
      </c>
      <c r="D15" s="99">
        <v>0.24864910415544891</v>
      </c>
      <c r="E15" s="99">
        <v>0.24864910415544891</v>
      </c>
      <c r="F15" s="99">
        <v>0.24864910415544891</v>
      </c>
    </row>
    <row r="16" spans="1:8" ht="15.75" customHeight="1" x14ac:dyDescent="0.25">
      <c r="B16" s="19" t="s">
        <v>2</v>
      </c>
      <c r="C16" s="99">
        <v>1.9270554285524401E-2</v>
      </c>
      <c r="D16" s="99">
        <v>1.9270554285524401E-2</v>
      </c>
      <c r="E16" s="99">
        <v>1.9270554285524401E-2</v>
      </c>
      <c r="F16" s="99">
        <v>1.9270554285524401E-2</v>
      </c>
    </row>
    <row r="17" spans="1:8" ht="15.75" customHeight="1" x14ac:dyDescent="0.25">
      <c r="B17" s="19" t="s">
        <v>109</v>
      </c>
      <c r="C17" s="99">
        <v>1.1879726080528199E-3</v>
      </c>
      <c r="D17" s="99">
        <v>1.1879726080528199E-3</v>
      </c>
      <c r="E17" s="99">
        <v>1.1879726080528199E-3</v>
      </c>
      <c r="F17" s="99">
        <v>1.1879726080528199E-3</v>
      </c>
    </row>
    <row r="18" spans="1:8" ht="15.75" customHeight="1" x14ac:dyDescent="0.25">
      <c r="B18" s="19" t="s">
        <v>3</v>
      </c>
      <c r="C18" s="99">
        <v>0.17630239161648681</v>
      </c>
      <c r="D18" s="99">
        <v>0.17630239161648681</v>
      </c>
      <c r="E18" s="99">
        <v>0.17630239161648681</v>
      </c>
      <c r="F18" s="99">
        <v>0.17630239161648681</v>
      </c>
    </row>
    <row r="19" spans="1:8" ht="15.75" customHeight="1" x14ac:dyDescent="0.25">
      <c r="B19" s="19" t="s">
        <v>120</v>
      </c>
      <c r="C19" s="99">
        <v>1.6172462173686161E-2</v>
      </c>
      <c r="D19" s="99">
        <v>1.6172462173686161E-2</v>
      </c>
      <c r="E19" s="99">
        <v>1.6172462173686161E-2</v>
      </c>
      <c r="F19" s="99">
        <v>1.6172462173686161E-2</v>
      </c>
    </row>
    <row r="20" spans="1:8" ht="15.75" customHeight="1" x14ac:dyDescent="0.25">
      <c r="B20" s="19" t="s">
        <v>98</v>
      </c>
      <c r="C20" s="99">
        <v>3.4070708389334563E-2</v>
      </c>
      <c r="D20" s="99">
        <v>3.4070708389334563E-2</v>
      </c>
      <c r="E20" s="99">
        <v>3.4070708389334563E-2</v>
      </c>
      <c r="F20" s="99">
        <v>3.4070708389334563E-2</v>
      </c>
    </row>
    <row r="21" spans="1:8" ht="15.75" customHeight="1" x14ac:dyDescent="0.25">
      <c r="B21" s="19" t="s">
        <v>107</v>
      </c>
      <c r="C21" s="99">
        <v>0.13487070575469109</v>
      </c>
      <c r="D21" s="99">
        <v>0.13487070575469109</v>
      </c>
      <c r="E21" s="99">
        <v>0.13487070575469109</v>
      </c>
      <c r="F21" s="99">
        <v>0.13487070575469109</v>
      </c>
    </row>
    <row r="22" spans="1:8" ht="15.75" customHeight="1" x14ac:dyDescent="0.25">
      <c r="B22" s="19" t="s">
        <v>118</v>
      </c>
      <c r="C22" s="99">
        <v>0.20320897633497401</v>
      </c>
      <c r="D22" s="99">
        <v>0.20320897633497401</v>
      </c>
      <c r="E22" s="99">
        <v>0.20320897633497401</v>
      </c>
      <c r="F22" s="99">
        <v>0.20320897633497401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8.6116069000000003E-2</v>
      </c>
    </row>
    <row r="27" spans="1:8" ht="15.75" customHeight="1" x14ac:dyDescent="0.25">
      <c r="B27" s="19" t="s">
        <v>108</v>
      </c>
      <c r="C27" s="99">
        <v>8.4963420000000005E-3</v>
      </c>
    </row>
    <row r="28" spans="1:8" ht="15.75" customHeight="1" x14ac:dyDescent="0.25">
      <c r="B28" s="19" t="s">
        <v>122</v>
      </c>
      <c r="C28" s="99">
        <v>0.155313541</v>
      </c>
    </row>
    <row r="29" spans="1:8" ht="15.75" customHeight="1" x14ac:dyDescent="0.25">
      <c r="B29" s="19" t="s">
        <v>105</v>
      </c>
      <c r="C29" s="99">
        <v>0.16740253699999999</v>
      </c>
    </row>
    <row r="30" spans="1:8" ht="15.75" customHeight="1" x14ac:dyDescent="0.25">
      <c r="B30" s="19" t="s">
        <v>4</v>
      </c>
      <c r="C30" s="99">
        <v>0.104102105</v>
      </c>
    </row>
    <row r="31" spans="1:8" ht="15.75" customHeight="1" x14ac:dyDescent="0.25">
      <c r="B31" s="19" t="s">
        <v>99</v>
      </c>
      <c r="C31" s="99">
        <v>0.108491529</v>
      </c>
    </row>
    <row r="32" spans="1:8" ht="15.75" customHeight="1" x14ac:dyDescent="0.25">
      <c r="B32" s="19" t="s">
        <v>104</v>
      </c>
      <c r="C32" s="99">
        <v>1.8703009999999999E-2</v>
      </c>
    </row>
    <row r="33" spans="2:3" ht="15.75" customHeight="1" x14ac:dyDescent="0.25">
      <c r="B33" s="19" t="s">
        <v>119</v>
      </c>
      <c r="C33" s="99">
        <v>8.4263411999999996E-2</v>
      </c>
    </row>
    <row r="34" spans="2:3" ht="15.75" customHeight="1" x14ac:dyDescent="0.25">
      <c r="B34" s="19" t="s">
        <v>106</v>
      </c>
      <c r="C34" s="99">
        <v>0.267111455</v>
      </c>
    </row>
    <row r="35" spans="2:3" ht="15.75" customHeight="1" x14ac:dyDescent="0.25">
      <c r="B35" s="27" t="s">
        <v>79</v>
      </c>
      <c r="C35" s="48">
        <f>SUM(C26:C34)</f>
        <v>0.99999999999999989</v>
      </c>
    </row>
  </sheetData>
  <sheetProtection algorithmName="SHA-512" hashValue="KRNzGmT5LKq9o4EQr7wE4kpSAT3pJVP1Q9PHSRhbOVAvTaJWQOjdOXTvtu13EVui7o7WpMy05t7Jk3wu1QnY0A==" saltValue="+jEAX7EPe0polI0rlDjWJ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0.37068314429207949</v>
      </c>
      <c r="D2" s="52">
        <f>IFERROR(1-_xlfn.NORM.DIST(_xlfn.NORM.INV(SUM(D4:D5), 0, 1) + 1, 0, 1, TRUE), "")</f>
        <v>0.37068314429207949</v>
      </c>
      <c r="E2" s="52">
        <f>IFERROR(1-_xlfn.NORM.DIST(_xlfn.NORM.INV(SUM(E4:E5), 0, 1) + 1, 0, 1, TRUE), "")</f>
        <v>0.22454743610341898</v>
      </c>
      <c r="F2" s="52">
        <f>IFERROR(1-_xlfn.NORM.DIST(_xlfn.NORM.INV(SUM(F4:F5), 0, 1) + 1, 0, 1, TRUE), "")</f>
        <v>0.10913201875680079</v>
      </c>
      <c r="G2" s="52">
        <f>IFERROR(1-_xlfn.NORM.DIST(_xlfn.NORM.INV(SUM(G4:G5), 0, 1) + 1, 0, 1, TRUE), "")</f>
        <v>9.2399633526358271E-2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0.37787375570792053</v>
      </c>
      <c r="D3" s="52">
        <f>IFERROR(_xlfn.NORM.DIST(_xlfn.NORM.INV(SUM(D4:D5), 0, 1) + 1, 0, 1, TRUE) - SUM(D4:D5), "")</f>
        <v>0.37787375570792053</v>
      </c>
      <c r="E3" s="52">
        <f>IFERROR(_xlfn.NORM.DIST(_xlfn.NORM.INV(SUM(E4:E5), 0, 1) + 1, 0, 1, TRUE) - SUM(E4:E5), "")</f>
        <v>0.37147896389658097</v>
      </c>
      <c r="F3" s="52">
        <f>IFERROR(_xlfn.NORM.DIST(_xlfn.NORM.INV(SUM(F4:F5), 0, 1) + 1, 0, 1, TRUE) - SUM(F4:F5), "")</f>
        <v>0.29946428124319924</v>
      </c>
      <c r="G3" s="52">
        <f>IFERROR(_xlfn.NORM.DIST(_xlfn.NORM.INV(SUM(G4:G5), 0, 1) + 1, 0, 1, TRUE) - SUM(G4:G5), "")</f>
        <v>0.27976636647364173</v>
      </c>
    </row>
    <row r="4" spans="1:15" ht="15.75" customHeight="1" x14ac:dyDescent="0.25">
      <c r="B4" s="5" t="s">
        <v>129</v>
      </c>
      <c r="C4" s="45">
        <v>0.1870077</v>
      </c>
      <c r="D4" s="53">
        <v>0.1870077</v>
      </c>
      <c r="E4" s="53">
        <v>0.27485120000000002</v>
      </c>
      <c r="F4" s="53">
        <v>0.35327150000000002</v>
      </c>
      <c r="G4" s="53">
        <v>0.3201291</v>
      </c>
    </row>
    <row r="5" spans="1:15" ht="15.75" customHeight="1" x14ac:dyDescent="0.25">
      <c r="B5" s="5" t="s">
        <v>125</v>
      </c>
      <c r="C5" s="45">
        <v>6.443539999999999E-2</v>
      </c>
      <c r="D5" s="53">
        <v>6.443539999999999E-2</v>
      </c>
      <c r="E5" s="53">
        <v>0.1291224</v>
      </c>
      <c r="F5" s="53">
        <v>0.23813219999999999</v>
      </c>
      <c r="G5" s="53">
        <v>0.3077049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0.7683180305331555</v>
      </c>
      <c r="D8" s="52">
        <f>IFERROR(1-_xlfn.NORM.DIST(_xlfn.NORM.INV(SUM(D10:D11), 0, 1) + 1, 0, 1, TRUE), "")</f>
        <v>0.7683180305331555</v>
      </c>
      <c r="E8" s="52">
        <f>IFERROR(1-_xlfn.NORM.DIST(_xlfn.NORM.INV(SUM(E10:E11), 0, 1) + 1, 0, 1, TRUE), "")</f>
        <v>0.61020337300018146</v>
      </c>
      <c r="F8" s="52">
        <f>IFERROR(1-_xlfn.NORM.DIST(_xlfn.NORM.INV(SUM(F10:F11), 0, 1) + 1, 0, 1, TRUE), "")</f>
        <v>0.65632690328581123</v>
      </c>
      <c r="G8" s="52">
        <f>IFERROR(1-_xlfn.NORM.DIST(_xlfn.NORM.INV(SUM(G10:G11), 0, 1) + 1, 0, 1, TRUE), "")</f>
        <v>0.79716564724788808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0.19016246946684451</v>
      </c>
      <c r="D9" s="52">
        <f>IFERROR(_xlfn.NORM.DIST(_xlfn.NORM.INV(SUM(D10:D11), 0, 1) + 1, 0, 1, TRUE) - SUM(D10:D11), "")</f>
        <v>0.19016246946684451</v>
      </c>
      <c r="E9" s="52">
        <f>IFERROR(_xlfn.NORM.DIST(_xlfn.NORM.INV(SUM(E10:E11), 0, 1) + 1, 0, 1, TRUE) - SUM(E10:E11), "")</f>
        <v>0.28949752699981857</v>
      </c>
      <c r="F9" s="52">
        <f>IFERROR(_xlfn.NORM.DIST(_xlfn.NORM.INV(SUM(F10:F11), 0, 1) + 1, 0, 1, TRUE) - SUM(F10:F11), "")</f>
        <v>0.26328399671418878</v>
      </c>
      <c r="G9" s="52">
        <f>IFERROR(_xlfn.NORM.DIST(_xlfn.NORM.INV(SUM(G10:G11), 0, 1) + 1, 0, 1, TRUE) - SUM(G10:G11), "")</f>
        <v>0.16932435275211188</v>
      </c>
    </row>
    <row r="10" spans="1:15" ht="15.75" customHeight="1" x14ac:dyDescent="0.25">
      <c r="B10" s="5" t="s">
        <v>126</v>
      </c>
      <c r="C10" s="45">
        <v>3.2506300000000002E-2</v>
      </c>
      <c r="D10" s="53">
        <v>3.2506300000000002E-2</v>
      </c>
      <c r="E10" s="53">
        <v>8.0126000000000003E-2</v>
      </c>
      <c r="F10" s="53">
        <v>7.1870299999999998E-2</v>
      </c>
      <c r="G10" s="53">
        <v>2.6119900000000001E-2</v>
      </c>
    </row>
    <row r="11" spans="1:15" ht="15.75" customHeight="1" x14ac:dyDescent="0.25">
      <c r="B11" s="5" t="s">
        <v>138</v>
      </c>
      <c r="C11" s="45">
        <v>9.0132000000000007E-3</v>
      </c>
      <c r="D11" s="53">
        <v>9.0132000000000007E-3</v>
      </c>
      <c r="E11" s="53">
        <v>2.0173099999999999E-2</v>
      </c>
      <c r="F11" s="53">
        <v>8.5188E-3</v>
      </c>
      <c r="G11" s="53">
        <v>7.3900999999999993E-3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0.85983660949999996</v>
      </c>
      <c r="D14" s="54">
        <v>0.842952287568</v>
      </c>
      <c r="E14" s="54">
        <v>0.842952287568</v>
      </c>
      <c r="F14" s="54">
        <v>0.53347847495900003</v>
      </c>
      <c r="G14" s="54">
        <v>0.53347847495900003</v>
      </c>
      <c r="H14" s="45">
        <v>0.309</v>
      </c>
      <c r="I14" s="55">
        <v>0.309</v>
      </c>
      <c r="J14" s="55">
        <v>0.309</v>
      </c>
      <c r="K14" s="55">
        <v>0.309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0.46370558432030257</v>
      </c>
      <c r="D15" s="52">
        <f t="shared" si="0"/>
        <v>0.45459995392398461</v>
      </c>
      <c r="E15" s="52">
        <f t="shared" si="0"/>
        <v>0.45459995392398461</v>
      </c>
      <c r="F15" s="52">
        <f t="shared" si="0"/>
        <v>0.28770227415301397</v>
      </c>
      <c r="G15" s="52">
        <f t="shared" si="0"/>
        <v>0.28770227415301397</v>
      </c>
      <c r="H15" s="52">
        <f t="shared" si="0"/>
        <v>0.16664215500000001</v>
      </c>
      <c r="I15" s="52">
        <f t="shared" si="0"/>
        <v>0.16664215500000001</v>
      </c>
      <c r="J15" s="52">
        <f t="shared" si="0"/>
        <v>0.16664215500000001</v>
      </c>
      <c r="K15" s="52">
        <f t="shared" si="0"/>
        <v>0.16664215500000001</v>
      </c>
      <c r="L15" s="52">
        <f t="shared" si="0"/>
        <v>0.14129529000000002</v>
      </c>
      <c r="M15" s="52">
        <f t="shared" si="0"/>
        <v>0.14129529000000002</v>
      </c>
      <c r="N15" s="52">
        <f t="shared" si="0"/>
        <v>0.14129529000000002</v>
      </c>
      <c r="O15" s="52">
        <f t="shared" si="0"/>
        <v>0.14129529000000002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yEvTOnfX8zPqm04YLPJUKJAOWnMeBp//psj32Pc7+Ie79dRV+prHYfgGwt0dMBrsHHGrE57vC/UdFcPVKw4ZQ==" saltValue="DtNdp5xyD5kLSGNDoBZy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0.94560889999999997</v>
      </c>
      <c r="D2" s="53">
        <v>0.80849019999999994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7.6427999999999999E-3</v>
      </c>
      <c r="D3" s="53">
        <v>7.9234600000000002E-2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1.2001899999999999E-2</v>
      </c>
      <c r="D4" s="53">
        <v>8.9781999999999987E-2</v>
      </c>
      <c r="E4" s="53">
        <v>0.97984899999999997</v>
      </c>
      <c r="F4" s="53">
        <v>0.89437330000000004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3.4746400000000066E-2</v>
      </c>
      <c r="D5" s="52">
        <f t="shared" si="0"/>
        <v>2.2493199999999991E-2</v>
      </c>
      <c r="E5" s="52">
        <f>1-SUM(E2:E4)</f>
        <v>2.015100000000003E-2</v>
      </c>
      <c r="F5" s="52">
        <f>1-SUM(F2:F4)</f>
        <v>0.10562669999999996</v>
      </c>
      <c r="G5" s="52">
        <f>1-SUM(G2:G4)</f>
        <v>1</v>
      </c>
    </row>
  </sheetData>
  <sheetProtection algorithmName="SHA-512" hashValue="WKuGt3N2lf6+pS4CvZDtkZx7O+mzQZMUlS1hHeQkdeJE7zFO0KD8fNgpCNl0PtIZk8sCiDam9tkYDjfZjh9bIA==" saltValue="Vw0dqMhhG0XfGNi+55v3M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1u+WLO654eiqGswMBwQHRZut1Ox9aCxZ3jtELNTC8YESkU9q6uNS8BmG0d+3cGkZN+HK7N1+sf2w2gnkTV3qw==" saltValue="C6/xrIYl3AcZXz3H+3628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259.02503136351498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0.39593000000000006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0.79430999999999996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2.138854763711296E-2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94196.491729999994</v>
      </c>
      <c r="C22" s="107">
        <v>93082.269329999996</v>
      </c>
      <c r="D22" s="107">
        <v>92171.097160000005</v>
      </c>
      <c r="E22" s="107">
        <v>91505.709619999994</v>
      </c>
      <c r="F22" s="107">
        <v>90583.435500000007</v>
      </c>
      <c r="G22" s="107">
        <v>89531.146089999995</v>
      </c>
      <c r="H22" s="107">
        <v>88232.524439999994</v>
      </c>
      <c r="I22" s="107">
        <v>86495.281279999996</v>
      </c>
      <c r="J22" s="107">
        <v>83956.980439999999</v>
      </c>
      <c r="K22" s="107">
        <v>80518.794710000002</v>
      </c>
      <c r="L22" s="107">
        <v>75673.172730000006</v>
      </c>
      <c r="M22" s="107">
        <v>69202.52347</v>
      </c>
      <c r="N22" s="107">
        <v>60553.24699</v>
      </c>
      <c r="O22" s="107">
        <v>50189.293489999996</v>
      </c>
    </row>
  </sheetData>
  <sheetProtection algorithmName="SHA-512" hashValue="Ux4eOzIQLF6iKIv4ufuNpDjWhC25bsDLmb4yCufrO3hMwa9fzNX2z2JLS+Tl2dMmd29XHJ86FzUWMqBSxe8TFQ==" saltValue="4ZLQlCU9JA03lfuVVHykt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iv5YQIl8YkHIC57lZveMK6Guv9mbEEmcZP4Qn1S7b2DZPMitV7UN1J+lCrC2aXB8npOV0C9UfR+VsYWj7pd+bQ==" saltValue="ieArUllehy9I952D3lDAe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NXzHEbrMmxj3J05AxSSiLTUE+S5OfFZDKgH373XuutqKWbtR68ARLTbvwrEngTgfSWyMreP9MTc9KFCwZXlg7Q==" saltValue="ruCjfNLvHkmktyh6CVv7M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4.1399999999999997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1.44447E-2</v>
      </c>
      <c r="C10" s="96">
        <v>0.95</v>
      </c>
      <c r="D10" s="56">
        <v>14.128320781922749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14.128320781922749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14.128320781922749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14.128320781922749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1.52E-2</v>
      </c>
      <c r="C14" s="96">
        <v>0.95</v>
      </c>
      <c r="D14" s="56">
        <v>2.526857727737974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14.128320781922749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0.20699999999999999</v>
      </c>
      <c r="C16" s="96">
        <v>0.95</v>
      </c>
      <c r="D16" s="56">
        <v>1.3707011258955988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0.58636119533868591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1.7000000000000001E-2</v>
      </c>
      <c r="C18" s="96">
        <v>0.95</v>
      </c>
      <c r="D18" s="56">
        <v>4.1359416581371553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0.80849019999999994</v>
      </c>
      <c r="C19" s="96">
        <v>0.95</v>
      </c>
      <c r="D19" s="56">
        <v>0.77483113726549069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7.2638561333206297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4.1399999999999997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0.46131729999999999</v>
      </c>
      <c r="C23" s="96">
        <v>0.95</v>
      </c>
      <c r="D23" s="56">
        <v>4.6205668864219671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0.62554248831658099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0.02</v>
      </c>
      <c r="C26" s="96">
        <v>0.95</v>
      </c>
      <c r="D26" s="56">
        <v>2.7175639713408395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0.35550359999999998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0.18486040000000001</v>
      </c>
      <c r="C29" s="96">
        <v>0.95</v>
      </c>
      <c r="D29" s="56">
        <v>51.177416086436217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6.9099999999999995E-2</v>
      </c>
      <c r="C31" s="96">
        <v>0.95</v>
      </c>
      <c r="D31" s="56">
        <v>107.6179170931423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0.68700000000000006</v>
      </c>
      <c r="C32" s="96">
        <v>0.95</v>
      </c>
      <c r="D32" s="56">
        <v>2.2288792221084957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6.3035899999999992E-2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0.73656490000000008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1.6022E-3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0.38674399999999998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0.06</v>
      </c>
      <c r="C38" s="96">
        <v>0.95</v>
      </c>
      <c r="D38" s="56">
        <v>5.053715455475948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5.8497136845734818</v>
      </c>
      <c r="E39" s="56" t="s">
        <v>212</v>
      </c>
      <c r="F39" s="96">
        <v>1</v>
      </c>
      <c r="G39" s="96">
        <v>1</v>
      </c>
    </row>
  </sheetData>
  <sheetProtection algorithmName="SHA-512" hashValue="0fCvMR6rtKblAIQtZwtpG0+CYdfdAtcsqP1KG5aJrCsgFW9ljqfxsL7uArffJsudb6bqNgepDBXPUf9jZOYXdg==" saltValue="bKSom18VqHdmQXGDnDkK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5PZTuDSEuicJd/OwZRy5cPG23gA9TfDUOitK3fj1cEHM4F3zIUG124pApPi0XtinoLUOosVeHlUgLhPi+MwE+w==" saltValue="cV7F1bUOklTwiqcfMqQ++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BpC3DRXOGMItd252sr3XyXZqNfxFX3F8EWYdDfVLjlgHbAbPnQxP4yT6HYju7ashrqX8u+6+Ur2B1jObnmtoTA==" saltValue="h/B1eqo3zoSx2LuCBnVzy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3.718</v>
      </c>
      <c r="C2" s="21">
        <f>'Entradas de población-año base'!C52</f>
        <v>3.718</v>
      </c>
      <c r="D2" s="21">
        <f>'Entradas de población-año base'!C53</f>
        <v>10.061999999999999</v>
      </c>
      <c r="E2" s="21">
        <f>'Entradas de población-año base'!C54</f>
        <v>9.5679999999999996</v>
      </c>
      <c r="F2" s="21">
        <f>'Entradas de población-año base'!C55</f>
        <v>4.0906666666666656</v>
      </c>
    </row>
    <row r="3" spans="1:6" ht="15.75" customHeight="1" x14ac:dyDescent="0.25">
      <c r="A3" s="3" t="s">
        <v>6</v>
      </c>
      <c r="B3" s="21">
        <f>frac_mam_1month * 2.6</f>
        <v>8.4516380000000002E-2</v>
      </c>
      <c r="C3" s="21">
        <f>frac_mam_1_5months * 2.6</f>
        <v>8.4516380000000002E-2</v>
      </c>
      <c r="D3" s="21">
        <f>frac_mam_6_11months * 2.6</f>
        <v>0.2083276</v>
      </c>
      <c r="E3" s="21">
        <f>frac_mam_12_23months * 2.6</f>
        <v>0.18686278000000001</v>
      </c>
      <c r="F3" s="21">
        <f>frac_mam_24_59months * 2.6</f>
        <v>6.7911740000000012E-2</v>
      </c>
    </row>
    <row r="4" spans="1:6" ht="15.75" customHeight="1" x14ac:dyDescent="0.25">
      <c r="A4" s="3" t="s">
        <v>236</v>
      </c>
      <c r="B4" s="21">
        <f>frac_sam_1month * 2.6</f>
        <v>2.3434320000000002E-2</v>
      </c>
      <c r="C4" s="21">
        <f>frac_sam_1_5months * 2.6</f>
        <v>2.3434320000000002E-2</v>
      </c>
      <c r="D4" s="21">
        <f>frac_sam_6_11months * 2.6</f>
        <v>5.245006E-2</v>
      </c>
      <c r="E4" s="21">
        <f>frac_sam_12_23months * 2.6</f>
        <v>2.2148879999999999E-2</v>
      </c>
      <c r="F4" s="21">
        <f>frac_sam_24_59months * 2.6</f>
        <v>1.921426E-2</v>
      </c>
    </row>
  </sheetData>
  <sheetProtection algorithmName="SHA-512" hashValue="uKIJNBnzLkwzBZlQJLoPRh68nXRCu4lgGZYWlhqNn0AmBT5oyITqLGA/JQ0/mNjGpug/meUajYGYtfJYsm2Y1w==" saltValue="Z8ReyMnX08iyPzqiAwU4z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0.71799999999999997</v>
      </c>
      <c r="F2" s="60">
        <f>food_insecure</f>
        <v>0.71799999999999997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0.71799999999999997</v>
      </c>
      <c r="F5" s="60">
        <f>food_insecure</f>
        <v>0.71799999999999997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8.1120000000000012E-2</v>
      </c>
      <c r="D7" s="60">
        <f>diarrhoea_1_5mo*frac_diarrhea_severe</f>
        <v>8.1120000000000012E-2</v>
      </c>
      <c r="E7" s="60">
        <f>diarrhoea_6_11mo*frac_diarrhea_severe</f>
        <v>0.21953454545454545</v>
      </c>
      <c r="F7" s="60">
        <f>diarrhoea_12_23mo*frac_diarrhea_severe</f>
        <v>0.20875636363636366</v>
      </c>
      <c r="G7" s="60">
        <f>diarrhoea_24_59mo*frac_diarrhea_severe</f>
        <v>8.9250909090909075E-2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0.71799999999999997</v>
      </c>
      <c r="F8" s="60">
        <f>food_insecure</f>
        <v>0.71799999999999997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0.71799999999999997</v>
      </c>
      <c r="F9" s="60">
        <f>food_insecure</f>
        <v>0.71799999999999997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8.1120000000000012E-2</v>
      </c>
      <c r="D12" s="60">
        <f>diarrhoea_1_5mo*frac_diarrhea_severe</f>
        <v>8.1120000000000012E-2</v>
      </c>
      <c r="E12" s="60">
        <f>diarrhoea_6_11mo*frac_diarrhea_severe</f>
        <v>0.21953454545454545</v>
      </c>
      <c r="F12" s="60">
        <f>diarrhoea_12_23mo*frac_diarrhea_severe</f>
        <v>0.20875636363636366</v>
      </c>
      <c r="G12" s="60">
        <f>diarrhoea_24_59mo*frac_diarrhea_severe</f>
        <v>8.9250909090909075E-2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0.71799999999999997</v>
      </c>
      <c r="I15" s="60">
        <f t="shared" si="0"/>
        <v>0.71799999999999997</v>
      </c>
      <c r="J15" s="60">
        <f t="shared" si="0"/>
        <v>0.71799999999999997</v>
      </c>
      <c r="K15" s="60">
        <f t="shared" si="0"/>
        <v>0.71799999999999997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0.71799999999999997</v>
      </c>
      <c r="I16" s="60">
        <f t="shared" si="0"/>
        <v>0.71799999999999997</v>
      </c>
      <c r="J16" s="60">
        <f t="shared" si="0"/>
        <v>0.71799999999999997</v>
      </c>
      <c r="K16" s="60">
        <f t="shared" si="0"/>
        <v>0.71799999999999997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0.21</v>
      </c>
      <c r="I19" s="60">
        <f>frac_malaria_risk</f>
        <v>0.21</v>
      </c>
      <c r="J19" s="60">
        <f>frac_malaria_risk</f>
        <v>0.21</v>
      </c>
      <c r="K19" s="60">
        <f>frac_malaria_risk</f>
        <v>0.21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0.29699999999999999</v>
      </c>
      <c r="M24" s="60">
        <f>famplan_unmet_need</f>
        <v>0.29699999999999999</v>
      </c>
      <c r="N24" s="60">
        <f>famplan_unmet_need</f>
        <v>0.29699999999999999</v>
      </c>
      <c r="O24" s="60">
        <f>famplan_unmet_need</f>
        <v>0.29699999999999999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0.44204451796400002</v>
      </c>
      <c r="M25" s="60">
        <f>(1-food_insecure)*(0.49)+food_insecure*(0.7)</f>
        <v>0.64077999999999991</v>
      </c>
      <c r="N25" s="60">
        <f>(1-food_insecure)*(0.49)+food_insecure*(0.7)</f>
        <v>0.64077999999999991</v>
      </c>
      <c r="O25" s="60">
        <f>(1-food_insecure)*(0.49)+food_insecure*(0.7)</f>
        <v>0.64077999999999991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0.18944765055599999</v>
      </c>
      <c r="M26" s="60">
        <f>(1-food_insecure)*(0.21)+food_insecure*(0.3)</f>
        <v>0.27461999999999998</v>
      </c>
      <c r="N26" s="60">
        <f>(1-food_insecure)*(0.21)+food_insecure*(0.3)</f>
        <v>0.27461999999999998</v>
      </c>
      <c r="O26" s="60">
        <f>(1-food_insecure)*(0.21)+food_insecure*(0.3)</f>
        <v>0.27461999999999998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5.8361631480000009E-2</v>
      </c>
      <c r="M27" s="60">
        <f>(1-food_insecure)*(0.3)</f>
        <v>8.4600000000000009E-2</v>
      </c>
      <c r="N27" s="60">
        <f>(1-food_insecure)*(0.3)</f>
        <v>8.4600000000000009E-2</v>
      </c>
      <c r="O27" s="60">
        <f>(1-food_insecure)*(0.3)</f>
        <v>8.4600000000000009E-2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0.31014619999999998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0.21</v>
      </c>
      <c r="D34" s="60">
        <f t="shared" si="4"/>
        <v>0.21</v>
      </c>
      <c r="E34" s="60">
        <f t="shared" si="4"/>
        <v>0.21</v>
      </c>
      <c r="F34" s="60">
        <f t="shared" si="4"/>
        <v>0.21</v>
      </c>
      <c r="G34" s="60">
        <f t="shared" si="4"/>
        <v>0.21</v>
      </c>
      <c r="H34" s="60">
        <f t="shared" si="4"/>
        <v>0.21</v>
      </c>
      <c r="I34" s="60">
        <f t="shared" si="4"/>
        <v>0.21</v>
      </c>
      <c r="J34" s="60">
        <f t="shared" si="4"/>
        <v>0.21</v>
      </c>
      <c r="K34" s="60">
        <f t="shared" si="4"/>
        <v>0.21</v>
      </c>
      <c r="L34" s="60">
        <f t="shared" si="4"/>
        <v>0.21</v>
      </c>
      <c r="M34" s="60">
        <f t="shared" si="4"/>
        <v>0.21</v>
      </c>
      <c r="N34" s="60">
        <f t="shared" si="4"/>
        <v>0.21</v>
      </c>
      <c r="O34" s="60">
        <f t="shared" si="4"/>
        <v>0.21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+gllL+gsJe0pa9vkeNu7qXDFAo8cMDoU/l5Hx0fjbDYVe7IVf2/W3ifng/9bck2BpxUFVvDxDfXDWLeWqxKP7A==" saltValue="PqoQmjKSH3Kyc/Sq18ngF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t5vcwcSGmsm3OmxRdQgOo0DjpawYo67zfC8KlyMaJxrYNDNOWY7GMQhzQ7orLi16BZOWNQ75+6029PDb5q7Siw==" saltValue="O61MljhL3qaltakjK6cfI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3FF6ewDD1nRs8QREaPE+abPsfkojE7KVYDnsmvZ067By5rOOVD2mvmLupp3NRfvHCGGv6Mz3SHdvv8hSCh2gKg==" saltValue="vHSrcYrHOCtZhhs0pe70N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kOyk4B/9DWx4mYuLy1yj1YY38RceOlUoo+DFfbxiaPyVKVf1dJRSRaEhzTa0JSrt2f9H0aiMVi/JnO57J77Kw==" saltValue="TXPZHr0gdQhMWvt8AKSIS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kH+kXKMwS688FHGoxy2DUZzGMJVz+fVVcbQPrJ4jEsKJ6jGzp7C9CbvjOTPQI7d9SIEnakQQHrkxX5n7oXvJ4A==" saltValue="hC8HzAerOzk4rTSXT/p8+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Z5cA6DpBZXqVvwY5nY6ohOz7I3xg9I5or41mP0Z9ZHNsmGkDjHeu/9irabw9TWIeqIbxu0NAYC3Tu3JqtKoa0g==" saltValue="aZId2cPdig2zw7h/zwmEY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6nMZH+Uz7HHhLCbXyJ3K5w9gb+05jyGx9wV309Y5XMRySvKexVtmsW9yWvudypDMg+WQAUeQOpXyDj+AKg03aA==" saltValue="z8+3/ZnZiosbnVeH6oC5I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iiNJS7tN2DfbXWQKHbSjXmhYNX4yfP0LAdUxL3xzSnfrtlzZCtRcm6wL0dx7cUoTC23UoGabyDGkJWobsQGrTw==" saltValue="fqGwqiKhsCOJgd6AgBxi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PLrUFknmkrVv9wPyTJM+XdKPM88xx0eVUOvA1N/VYxXXPk7u+YWpRLuuZQOgm+a+vrmqJ2jmzQ7OEIez0+vl7g==" saltValue="GWofvW6CumQmeTHHI3V4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hHcz/08tryFtLcLEqZCS7fMNW8bdTlhNaK9cKIvgH9iI9HLEwyxed0w8QHxxJVGIugky9F/EYHOQ2Dthaaxbg==" saltValue="r8CIwivGjU8x75Bd+0mr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s9u7gh7iUCqnhaXmILU3tQxTka+5sKhPV6+4oUJBvxdxjB9dj+xSNZH/4RM0dvWW4jGcSpRZqyjRe7bZGWGnA==" saltValue="RaaIVkp0L+H3V055mhUl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w1IzAJaHJ9KTAPQ8U78fUbmNG8VLgY4gCxE6nVtsCL5VVb6SjA5DVWiGk/mFHhTcdXARK6/qRUwJq3NSIi5dVg==" saltValue="+4tbGitcUwNk1ppaAxYW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5rS6Zc6q4bdA1CKi/5WSACfQ4UqRplVkSzWX1msuPj7xR+AO636M4v/f7RPf37K4nTukQ/MHJ+wNyD/TUUMqcg==" saltValue="hdYLxrTSA3OIYVHQvGcg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xq53O0EwJNX1ro2tlr+p8eS1eVm5IBYWx8t1nFiM04XAwUw73VbkEYAxeaonqLTEPOb7zuSyHsQGYCbkI1YC0g==" saltValue="DUTDCHzzbYI2v2Ez+dj9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9IG+W8JAiDKuV/qnDGajmCIJFAqHgvl+xJXmwQpZyyWyxs3ODoohITTeSDjX8sR8aHYQF4/OAUGnxZJbhA3G8w==" saltValue="hl5aEB1xd5Is17pcbZshl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2026-04-29T01:24:50Z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