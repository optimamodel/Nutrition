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B2102D2-3163-4247-91C1-D2BF79C206D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A23" i="2"/>
  <c r="A24" i="2"/>
  <c r="A36" i="2"/>
  <c r="I4" i="2"/>
  <c r="I8" i="2"/>
  <c r="I12" i="2"/>
  <c r="A25" i="2"/>
  <c r="A34" i="2"/>
  <c r="A40" i="2"/>
  <c r="I2" i="2"/>
  <c r="I6" i="2"/>
  <c r="A19" i="2"/>
  <c r="A35" i="2"/>
  <c r="I3" i="2"/>
  <c r="I7" i="2"/>
  <c r="I11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<sst xmlns="http://schemas.openxmlformats.org/spreadsheetml/2006/main" count="2159" uniqueCount="372">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</sst>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2101915.5</v>
      </c>
    </row>
    <row r="8" spans="1:3" ht="15" customHeight="1" x14ac:dyDescent="0.25">
      <c r="B8" s="5" t="s">
        <v>63</v>
      </c>
      <c r="C8" s="44">
        <v>0.71799999999999997</v>
      </c>
    </row>
    <row r="9" spans="1:3" ht="15" customHeight="1" x14ac:dyDescent="0.25">
      <c r="B9" s="5" t="s">
        <v>62</v>
      </c>
      <c r="C9" s="45">
        <v>0.21</v>
      </c>
    </row>
    <row r="10" spans="1:3" ht="15" customHeight="1" x14ac:dyDescent="0.25">
      <c r="B10" s="5" t="s">
        <v>75</v>
      </c>
      <c r="C10" s="45">
        <v>0.31014619999999998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3.6499999999999998E-2</v>
      </c>
    </row>
    <row r="24" spans="1:3" ht="15" customHeight="1" x14ac:dyDescent="0.25">
      <c r="B24" s="15" t="s">
        <v>65</v>
      </c>
      <c r="C24" s="45">
        <v>0.49450000000000011</v>
      </c>
    </row>
    <row r="25" spans="1:3" ht="15" customHeight="1" x14ac:dyDescent="0.25">
      <c r="B25" s="15" t="s">
        <v>66</v>
      </c>
      <c r="C25" s="45">
        <v>0.37509999999999999</v>
      </c>
    </row>
    <row r="26" spans="1:3" ht="15" customHeight="1" x14ac:dyDescent="0.25">
      <c r="B26" s="15" t="s">
        <v>67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0.19090989580981799</v>
      </c>
    </row>
    <row r="30" spans="1:3" ht="14.25" customHeight="1" x14ac:dyDescent="0.25">
      <c r="B30" s="25" t="s">
        <v>82</v>
      </c>
      <c r="C30" s="99">
        <v>4.81342613461836E-2</v>
      </c>
    </row>
    <row r="31" spans="1:3" ht="14.25" customHeight="1" x14ac:dyDescent="0.25">
      <c r="B31" s="25" t="s">
        <v>29</v>
      </c>
      <c r="C31" s="99">
        <v>9.7345412653664407E-2</v>
      </c>
    </row>
    <row r="32" spans="1:3" ht="14.25" customHeight="1" x14ac:dyDescent="0.25">
      <c r="B32" s="25" t="s">
        <v>30</v>
      </c>
      <c r="C32" s="99">
        <v>0.66361043019033406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20.44547</v>
      </c>
    </row>
    <row r="38" spans="1:5" ht="15" customHeight="1" x14ac:dyDescent="0.25">
      <c r="B38" s="11" t="s">
        <v>54</v>
      </c>
      <c r="C38" s="43">
        <v>37.628990000000002</v>
      </c>
      <c r="D38" s="12"/>
      <c r="E38" s="13"/>
    </row>
    <row r="39" spans="1:5" ht="15" customHeight="1" x14ac:dyDescent="0.25">
      <c r="B39" s="11" t="s">
        <v>80</v>
      </c>
      <c r="C39" s="43">
        <v>52.604759999999999</v>
      </c>
      <c r="D39" s="12"/>
      <c r="E39" s="12"/>
    </row>
    <row r="40" spans="1:5" ht="15" customHeight="1" x14ac:dyDescent="0.25">
      <c r="B40" s="11" t="s">
        <v>55</v>
      </c>
      <c r="C40" s="100">
        <v>4.9400000000000004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7.9351999999999999E-3</v>
      </c>
      <c r="D45" s="12"/>
    </row>
    <row r="46" spans="1:5" ht="15.75" customHeight="1" x14ac:dyDescent="0.25">
      <c r="B46" s="11" t="s">
        <v>70</v>
      </c>
      <c r="C46" s="45">
        <v>8.5262499999999991E-2</v>
      </c>
      <c r="D46" s="12"/>
    </row>
    <row r="47" spans="1:5" ht="15.75" customHeight="1" x14ac:dyDescent="0.25">
      <c r="B47" s="11" t="s">
        <v>78</v>
      </c>
      <c r="C47" s="45">
        <v>7.3454400000000003E-2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3.718</v>
      </c>
      <c r="D51" s="12"/>
    </row>
    <row r="52" spans="1:4" ht="15" customHeight="1" x14ac:dyDescent="0.25">
      <c r="B52" s="11" t="s">
        <v>32</v>
      </c>
      <c r="C52" s="100">
        <v>3.718</v>
      </c>
    </row>
    <row r="53" spans="1:4" ht="15.75" customHeight="1" x14ac:dyDescent="0.25">
      <c r="B53" s="11" t="s">
        <v>35</v>
      </c>
      <c r="C53" s="100">
        <v>10.061999999999999</v>
      </c>
    </row>
    <row r="54" spans="1:4" ht="15.75" customHeight="1" x14ac:dyDescent="0.25">
      <c r="B54" s="11" t="s">
        <v>33</v>
      </c>
      <c r="C54" s="100">
        <v>9.5679999999999996</v>
      </c>
    </row>
    <row r="55" spans="1:4" ht="15.75" customHeight="1" x14ac:dyDescent="0.25">
      <c r="B55" s="11" t="s">
        <v>34</v>
      </c>
      <c r="C55" s="100">
        <v>4.0906666666666656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0.53929500000000008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gBQenCrhzg+yhbLKiEWkn5kSdvkVhnDGnIy81V5yH2FHt87pi4b68xh/XO7eFq1BSlvXXMMRwdw3MgHu6ocvBg==" saltValue="AMCtPRf+tuYYEkJoB3id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2202889.5</v>
      </c>
      <c r="C2" s="49">
        <v>541535</v>
      </c>
      <c r="D2" s="49">
        <v>1011008.5</v>
      </c>
      <c r="E2" s="49">
        <v>1781709.5</v>
      </c>
      <c r="F2" s="49">
        <v>1047409.5</v>
      </c>
      <c r="G2" s="17">
        <f t="shared" ref="G2:G13" si="0">C2+D2+E2+F2</f>
        <v>4381662.5</v>
      </c>
      <c r="H2" s="17">
        <f t="shared" ref="H2:H13" si="1">(B2 + stillbirth*B2/(1000-stillbirth))/(1-abortion)</f>
        <v>2549793.282068165</v>
      </c>
      <c r="I2" s="17">
        <f t="shared" ref="I2:I13" si="2">G2-H2</f>
        <v>1831869.217931835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466545</v>
      </c>
      <c r="C3" s="50">
        <v>807550</v>
      </c>
      <c r="D3" s="50">
        <v>1063603.5000000002</v>
      </c>
      <c r="E3" s="50">
        <v>861610.5</v>
      </c>
      <c r="F3" s="50">
        <v>610833</v>
      </c>
      <c r="G3" s="17">
        <f t="shared" si="0"/>
        <v>3343597</v>
      </c>
      <c r="H3" s="17">
        <f t="shared" si="1"/>
        <v>540014.96978513547</v>
      </c>
      <c r="I3" s="17">
        <f t="shared" si="2"/>
        <v>2803582.0302148648</v>
      </c>
    </row>
    <row r="4" spans="1:9" ht="15.75" customHeight="1" x14ac:dyDescent="0.25">
      <c r="A4" s="5">
        <f t="shared" si="3"/>
        <v>2026</v>
      </c>
      <c r="B4" s="49">
        <v>468720</v>
      </c>
      <c r="C4" s="50">
        <v>849334.5</v>
      </c>
      <c r="D4" s="50">
        <v>1113741</v>
      </c>
      <c r="E4" s="50">
        <v>859901.00000000012</v>
      </c>
      <c r="F4" s="50">
        <v>644035.5</v>
      </c>
      <c r="G4" s="17">
        <f t="shared" si="0"/>
        <v>3467012</v>
      </c>
      <c r="H4" s="17">
        <f t="shared" si="1"/>
        <v>542532.48162061255</v>
      </c>
      <c r="I4" s="17">
        <f t="shared" si="2"/>
        <v>2924479.5183793874</v>
      </c>
    </row>
    <row r="5" spans="1:9" ht="15.75" customHeight="1" x14ac:dyDescent="0.25">
      <c r="A5" s="5">
        <f t="shared" si="3"/>
        <v>2027</v>
      </c>
      <c r="B5" s="49">
        <v>471624</v>
      </c>
      <c r="C5" s="50">
        <v>889645</v>
      </c>
      <c r="D5" s="50">
        <v>1161927.5</v>
      </c>
      <c r="E5" s="50">
        <v>866275</v>
      </c>
      <c r="F5" s="50">
        <v>674689.00000000012</v>
      </c>
      <c r="G5" s="17">
        <f t="shared" si="0"/>
        <v>3592536.5</v>
      </c>
      <c r="H5" s="17">
        <f t="shared" si="1"/>
        <v>545893.79397473927</v>
      </c>
      <c r="I5" s="17">
        <f t="shared" si="2"/>
        <v>3046642.7060252605</v>
      </c>
    </row>
    <row r="6" spans="1:9" ht="15.75" customHeight="1" x14ac:dyDescent="0.25">
      <c r="A6" s="5">
        <f t="shared" si="3"/>
        <v>2028</v>
      </c>
      <c r="B6" s="49">
        <v>475895</v>
      </c>
      <c r="C6" s="50">
        <v>925558</v>
      </c>
      <c r="D6" s="50">
        <v>1220233.4999999998</v>
      </c>
      <c r="E6" s="50">
        <v>871204.5</v>
      </c>
      <c r="F6" s="50">
        <v>703112.5</v>
      </c>
      <c r="G6" s="17">
        <f t="shared" si="0"/>
        <v>3720108.5</v>
      </c>
      <c r="H6" s="17">
        <f t="shared" si="1"/>
        <v>550837.37698592211</v>
      </c>
      <c r="I6" s="17">
        <f t="shared" si="2"/>
        <v>3169271.123014078</v>
      </c>
    </row>
    <row r="7" spans="1:9" ht="15.75" customHeight="1" x14ac:dyDescent="0.25">
      <c r="A7" s="5">
        <f t="shared" si="3"/>
        <v>2029</v>
      </c>
      <c r="B7" s="49">
        <v>483052</v>
      </c>
      <c r="C7" s="50">
        <v>957384.5</v>
      </c>
      <c r="D7" s="50">
        <v>1289492</v>
      </c>
      <c r="E7" s="50">
        <v>875681.5</v>
      </c>
      <c r="F7" s="50">
        <v>729727</v>
      </c>
      <c r="G7" s="17">
        <f t="shared" si="0"/>
        <v>3852285</v>
      </c>
      <c r="H7" s="17">
        <f t="shared" si="1"/>
        <v>559121.4377705243</v>
      </c>
      <c r="I7" s="17">
        <f t="shared" si="2"/>
        <v>3293163.5622294759</v>
      </c>
    </row>
    <row r="8" spans="1:9" ht="15.75" customHeight="1" x14ac:dyDescent="0.25">
      <c r="A8" s="5">
        <f t="shared" si="3"/>
        <v>2030</v>
      </c>
      <c r="B8" s="49">
        <v>491466</v>
      </c>
      <c r="C8" s="50">
        <v>983896</v>
      </c>
      <c r="D8" s="50">
        <v>1363177</v>
      </c>
      <c r="E8" s="50">
        <v>882817.5</v>
      </c>
      <c r="F8" s="50">
        <v>753151.5</v>
      </c>
      <c r="G8" s="17">
        <f t="shared" si="0"/>
        <v>3983042</v>
      </c>
      <c r="H8" s="17">
        <f t="shared" si="1"/>
        <v>568860.44677452627</v>
      </c>
      <c r="I8" s="17">
        <f t="shared" si="2"/>
        <v>3414181.5532254735</v>
      </c>
    </row>
    <row r="9" spans="1:9" ht="15.75" customHeight="1" x14ac:dyDescent="0.25">
      <c r="A9" s="5">
        <f t="shared" si="3"/>
        <v>2031</v>
      </c>
      <c r="B9" s="49">
        <v>500614</v>
      </c>
      <c r="C9" s="50">
        <v>1002616.5</v>
      </c>
      <c r="D9" s="50">
        <v>1438882.5000000002</v>
      </c>
      <c r="E9" s="50">
        <v>893730</v>
      </c>
      <c r="F9" s="50">
        <v>772833.5</v>
      </c>
      <c r="G9" s="17">
        <f t="shared" si="0"/>
        <v>4108062.5</v>
      </c>
      <c r="H9" s="17">
        <f t="shared" si="1"/>
        <v>579449.04368070781</v>
      </c>
      <c r="I9" s="17">
        <f t="shared" si="2"/>
        <v>3528613.4563192921</v>
      </c>
    </row>
    <row r="10" spans="1:9" ht="15.75" customHeight="1" x14ac:dyDescent="0.25">
      <c r="A10" s="5">
        <f t="shared" si="3"/>
        <v>2032</v>
      </c>
      <c r="B10" s="49">
        <v>509473</v>
      </c>
      <c r="C10" s="50">
        <v>1012768.5</v>
      </c>
      <c r="D10" s="50">
        <v>1516133</v>
      </c>
      <c r="E10" s="50">
        <v>909501</v>
      </c>
      <c r="F10" s="50">
        <v>787888.99999999988</v>
      </c>
      <c r="G10" s="17">
        <f t="shared" si="0"/>
        <v>4226291.5</v>
      </c>
      <c r="H10" s="17">
        <f t="shared" si="1"/>
        <v>589703.12981886487</v>
      </c>
      <c r="I10" s="17">
        <f t="shared" si="2"/>
        <v>3636588.3701811349</v>
      </c>
    </row>
    <row r="11" spans="1:9" ht="15.75" customHeight="1" x14ac:dyDescent="0.25">
      <c r="A11" s="5">
        <f t="shared" si="3"/>
        <v>2033</v>
      </c>
      <c r="B11" s="49">
        <v>518797</v>
      </c>
      <c r="C11" s="50">
        <v>1016476</v>
      </c>
      <c r="D11" s="50">
        <v>1590095</v>
      </c>
      <c r="E11" s="50">
        <v>931234.5</v>
      </c>
      <c r="F11" s="50">
        <v>798982.50000000012</v>
      </c>
      <c r="G11" s="17">
        <f t="shared" si="0"/>
        <v>4336788</v>
      </c>
      <c r="H11" s="17">
        <f t="shared" si="1"/>
        <v>600495.44262529642</v>
      </c>
      <c r="I11" s="17">
        <f t="shared" si="2"/>
        <v>3736292.5573747037</v>
      </c>
    </row>
    <row r="12" spans="1:9" ht="15.75" customHeight="1" x14ac:dyDescent="0.25">
      <c r="A12" s="5">
        <f t="shared" si="3"/>
        <v>2034</v>
      </c>
      <c r="B12" s="49">
        <v>528492</v>
      </c>
      <c r="C12" s="50">
        <v>1015897.5</v>
      </c>
      <c r="D12" s="50">
        <v>1659327</v>
      </c>
      <c r="E12" s="50">
        <v>957700</v>
      </c>
      <c r="F12" s="50">
        <v>809344</v>
      </c>
      <c r="G12" s="17">
        <f t="shared" si="0"/>
        <v>4442268.5</v>
      </c>
      <c r="H12" s="17">
        <f t="shared" si="1"/>
        <v>611717.17928964156</v>
      </c>
      <c r="I12" s="17">
        <f t="shared" si="2"/>
        <v>3830551.3207103582</v>
      </c>
    </row>
    <row r="13" spans="1:9" ht="15.75" customHeight="1" x14ac:dyDescent="0.25">
      <c r="A13" s="5">
        <f t="shared" si="3"/>
        <v>2035</v>
      </c>
      <c r="B13" s="49">
        <v>532619</v>
      </c>
      <c r="C13" s="50">
        <v>1013357.5</v>
      </c>
      <c r="D13" s="50">
        <v>1723731</v>
      </c>
      <c r="E13" s="50">
        <v>998540.00000000012</v>
      </c>
      <c r="F13" s="50">
        <v>809917.5</v>
      </c>
      <c r="G13" s="17">
        <f t="shared" si="0"/>
        <v>4545546</v>
      </c>
      <c r="H13" s="17">
        <f t="shared" si="1"/>
        <v>616494.08565516525</v>
      </c>
      <c r="I13" s="17">
        <f t="shared" si="2"/>
        <v>3929051.9143448346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BZL8lwlrhnD9c6Ou5WZY0sLDMBnWkEgtvjOExn0T8lAT3kBOrIm4Id2mMAFrZPprqTxkw/LzACrhq9IdvhJzA==" saltValue="jvo9lV1ATosEVAf2ajX/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1.14185011418501E-2</v>
      </c>
    </row>
    <row r="4" spans="1:8" ht="15.75" customHeight="1" x14ac:dyDescent="0.25">
      <c r="B4" s="19" t="s">
        <v>116</v>
      </c>
      <c r="C4" s="101">
        <v>5.5858105585810461E-2</v>
      </c>
    </row>
    <row r="5" spans="1:8" ht="15.75" customHeight="1" x14ac:dyDescent="0.25">
      <c r="B5" s="19" t="s">
        <v>114</v>
      </c>
      <c r="C5" s="101">
        <v>7.1107207110720647E-2</v>
      </c>
    </row>
    <row r="6" spans="1:8" ht="15.75" customHeight="1" x14ac:dyDescent="0.25">
      <c r="B6" s="19" t="s">
        <v>110</v>
      </c>
      <c r="C6" s="101">
        <v>0.24179002417900219</v>
      </c>
    </row>
    <row r="7" spans="1:8" ht="15.75" customHeight="1" x14ac:dyDescent="0.25">
      <c r="B7" s="19" t="s">
        <v>115</v>
      </c>
      <c r="C7" s="101">
        <v>0.42007884200788481</v>
      </c>
    </row>
    <row r="8" spans="1:8" ht="15.75" customHeight="1" x14ac:dyDescent="0.25">
      <c r="B8" s="19" t="s">
        <v>117</v>
      </c>
      <c r="C8" s="101">
        <v>1.6044001604400141E-3</v>
      </c>
    </row>
    <row r="9" spans="1:8" ht="15.75" customHeight="1" x14ac:dyDescent="0.25">
      <c r="B9" s="19" t="s">
        <v>111</v>
      </c>
      <c r="C9" s="101">
        <v>8.5042508504250727E-2</v>
      </c>
    </row>
    <row r="10" spans="1:8" ht="15.75" customHeight="1" x14ac:dyDescent="0.25">
      <c r="B10" s="19" t="s">
        <v>113</v>
      </c>
      <c r="C10" s="101">
        <v>0.113100411310041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121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2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109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3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120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98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107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118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8.6116069000000003E-2</v>
      </c>
    </row>
    <row r="27" spans="1:8" ht="15.75" customHeight="1" x14ac:dyDescent="0.25">
      <c r="B27" s="19" t="s">
        <v>108</v>
      </c>
      <c r="C27" s="101">
        <v>8.4963420000000005E-3</v>
      </c>
    </row>
    <row r="28" spans="1:8" ht="15.75" customHeight="1" x14ac:dyDescent="0.25">
      <c r="B28" s="19" t="s">
        <v>122</v>
      </c>
      <c r="C28" s="101">
        <v>0.155313541</v>
      </c>
    </row>
    <row r="29" spans="1:8" ht="15.75" customHeight="1" x14ac:dyDescent="0.25">
      <c r="B29" s="19" t="s">
        <v>105</v>
      </c>
      <c r="C29" s="101">
        <v>0.16740253699999999</v>
      </c>
    </row>
    <row r="30" spans="1:8" ht="15.75" customHeight="1" x14ac:dyDescent="0.25">
      <c r="B30" s="19" t="s">
        <v>4</v>
      </c>
      <c r="C30" s="101">
        <v>0.104102105</v>
      </c>
    </row>
    <row r="31" spans="1:8" ht="15.75" customHeight="1" x14ac:dyDescent="0.25">
      <c r="B31" s="19" t="s">
        <v>99</v>
      </c>
      <c r="C31" s="101">
        <v>0.108491529</v>
      </c>
    </row>
    <row r="32" spans="1:8" ht="15.75" customHeight="1" x14ac:dyDescent="0.25">
      <c r="B32" s="19" t="s">
        <v>104</v>
      </c>
      <c r="C32" s="101">
        <v>1.8703009999999999E-2</v>
      </c>
    </row>
    <row r="33" spans="2:3" ht="15.75" customHeight="1" x14ac:dyDescent="0.25">
      <c r="B33" s="19" t="s">
        <v>119</v>
      </c>
      <c r="C33" s="101">
        <v>8.4263411999999996E-2</v>
      </c>
    </row>
    <row r="34" spans="2:3" ht="15.75" customHeight="1" x14ac:dyDescent="0.25">
      <c r="B34" s="19" t="s">
        <v>106</v>
      </c>
      <c r="C34" s="101">
        <v>0.267111455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/Xhfia8JUo1l3ZThuQ8oHDhVTvuHWjebXxPGIzylExRpFR4XUAM8FFBNukytD2KBQM6anMlFt8enRx8OkRwo7A==" saltValue="os9E6tZEpR0HB7y8DPX6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129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125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126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138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xpEL5POtNtloIrrc6GH6UygOJUJ0YhV1pGrIb1ZcBho6FrTsXJOiyqoF3W4TS+zze0U4QSBHFiICDTloHT+tA==" saltValue="SWKKQ37YOzCykIZv+Vds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4LTLo5u9vivWg35Lydk8HyKhQpVdufE2YEr3LfOWiU7R45muU4yb1LCMo9W1GuCcmsb2pyxtcwlaflF+bQ0NTw==" saltValue="/A1pX0zm6+Lglylhq+/s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7Pm+33Rez02aGxGhBw3BDJViDhlC4/OhHhsU5sOQ19ooWHdIWo+Cw6LLiF9fPgExe74lM1vWdEIxS8PIJDU6g==" saltValue="iVBnDOOAXxc2ID+CPwXJ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259.02503136351498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0.39593000000000006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0.79430999999999996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2.138854763711296E-2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94196.491729999994</v>
      </c>
      <c r="C22" s="109">
        <v>93082.269329999996</v>
      </c>
      <c r="D22" s="109">
        <v>92171.097160000005</v>
      </c>
      <c r="E22" s="109">
        <v>91505.709619999994</v>
      </c>
      <c r="F22" s="109">
        <v>90583.435500000007</v>
      </c>
      <c r="G22" s="109">
        <v>89531.146089999995</v>
      </c>
      <c r="H22" s="109">
        <v>88232.524439999994</v>
      </c>
      <c r="I22" s="109">
        <v>86495.281279999996</v>
      </c>
      <c r="J22" s="109">
        <v>83956.980439999999</v>
      </c>
      <c r="K22" s="109">
        <v>80518.794710000002</v>
      </c>
      <c r="L22" s="109">
        <v>75673.172730000006</v>
      </c>
      <c r="M22" s="109">
        <v>69202.52347</v>
      </c>
      <c r="N22" s="109">
        <v>60553.24699</v>
      </c>
      <c r="O22" s="109">
        <v>50189.293489999996</v>
      </c>
    </row>
  </sheetData>
  <sheetProtection algorithmName="SHA-512" hashValue="IuO43qauWMu9k6DRpS8HpkJw0ev/XM4mb98zcrv443WDS+0oGNxKP7EczEm/addrLZpy6kAOiywmdcd5xfxrZA==" saltValue="PvSdcU/rDTt+gPRHZVAqq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wR/0FnB8Yr0iS5Wyo9FC7sycn/X+z4KtXAxTEJ63EyRLmND8IN7pBSCBTmXC7O0s9xRvmmZcLuWIkVLd/pHmg==" saltValue="TbgSd/HrKgVvjbqdB1K4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Kn0SgFOfWAPfA4TyQFH7NGVQ94vEbVC47Gf8czBvAUcnx/dpynCsOHjhiwdNGWOfsF3t5kC15J2H8VruF6x/Q==" saltValue="bFAXdF9Rlx8C/YeoAIpy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4.1399999999999997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1.44447E-2</v>
      </c>
      <c r="C10" s="98">
        <v>0.95</v>
      </c>
      <c r="D10" s="56">
        <v>14.128320781922749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14.128320781922749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14.128320781922749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14.128320781922749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1.52E-2</v>
      </c>
      <c r="C14" s="98">
        <v>0.95</v>
      </c>
      <c r="D14" s="56">
        <v>2.526857727737974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14.128320781922749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0.20699999999999999</v>
      </c>
      <c r="C16" s="98">
        <v>0.95</v>
      </c>
      <c r="D16" s="56">
        <v>1.3707011258955988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1.7000000000000001E-2</v>
      </c>
      <c r="C18" s="98">
        <v>0.95</v>
      </c>
      <c r="D18" s="56">
        <v>4.1359416581371553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0.80849019999999994</v>
      </c>
      <c r="C19" s="98">
        <v>0.95</v>
      </c>
      <c r="D19" s="56">
        <v>0.77483113726549069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4.1399999999999997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0.46131729999999999</v>
      </c>
      <c r="C23" s="98">
        <v>0.95</v>
      </c>
      <c r="D23" s="56">
        <v>4.6205668864219671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0.62554248831658099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0.02</v>
      </c>
      <c r="C26" s="98">
        <v>0.95</v>
      </c>
      <c r="D26" s="56">
        <v>2.7175639713408395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0.35550359999999998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0.18486040000000001</v>
      </c>
      <c r="C29" s="98">
        <v>0.95</v>
      </c>
      <c r="D29" s="56">
        <v>51.177416086436217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6.9099999999999995E-2</v>
      </c>
      <c r="C31" s="98">
        <v>0.95</v>
      </c>
      <c r="D31" s="56">
        <v>107.6179170931423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0.68700000000000006</v>
      </c>
      <c r="C32" s="98">
        <v>0.95</v>
      </c>
      <c r="D32" s="56">
        <v>2.2288792221084957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6.3035899999999992E-2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0.73656490000000008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1.6022E-3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0.38674399999999998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0.06</v>
      </c>
      <c r="C38" s="98">
        <v>0.95</v>
      </c>
      <c r="D38" s="56">
        <v>5.053715455475948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NbnhPB9GGc/gOfi7+6o0wWzid3ZG0Fb6rH7eAwq1VjkDZDrV97ONJS0BuaSG2AsIjEVikbTHnos0nA8Zv0n5aQ==" saltValue="hz5viNtK12nKi+O6272l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bLHN6pExwpsGRDOXux1r3UEnsXj0KbQ3AFgSg7CtOJcAiUuTGNrru8vpT33qFcdwEaVMufzdZdlIUv7lbVJhw==" saltValue="eu9c3Wb8dqUnYU2mXEeK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h4lB/tpYUf3AEfe283PLebaAHY1rJzNKexo+k4Yll/FduFGMtMFsqiJxHAqZmU4S0cdP1tWqEc9r/3AuPr6ow==" saltValue="cWxusBu313pBuozYD3yBE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3.718</v>
      </c>
      <c r="C2" s="21">
        <f>'Entradas de población-año base'!C52</f>
        <v>3.718</v>
      </c>
      <c r="D2" s="21">
        <f>'Entradas de población-año base'!C53</f>
        <v>10.061999999999999</v>
      </c>
      <c r="E2" s="21">
        <f>'Entradas de población-año base'!C54</f>
        <v>9.5679999999999996</v>
      </c>
      <c r="F2" s="21">
        <f>'Entradas de población-año base'!C55</f>
        <v>4.0906666666666656</v>
      </c>
    </row>
    <row r="3" spans="1:6" ht="15.75" customHeight="1" x14ac:dyDescent="0.25">
      <c r="A3" s="3" t="s">
        <v>6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236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UgZKN7t5WQ/wGPioetCjYAJSVSX89I+F6/l970R7g5KL05zxvsm1lbuPYqLrQ0htndqQjiVkcCNeDTjWddFlUQ==" saltValue="KfDUQkwu20J2t8+Mz9G4Y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F2MiA/qDKYhk0yfmSmzrSjIwUIbYdE3o/m0W6opDxgq6tEE7FZFmR+4WqN1EZ2sCiJEXJ8BKCgybFmRsFdrRQ==" saltValue="AWuKidObHcHHKmtJHzom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//Y/2bRziaRHhWLVkUl3vz1BmDA69AeVijT4t08OMJJ8axY90Y/0zvZNZ15Pfr5J4qthIoVfblXH4fi0eIrjYw==" saltValue="F0zReqWyjJ+/uu4Sh5XH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OprmWAChkhE5NbQM6OSvRFQTpWbD2PKeXOpnYJsX+/ky2EcpZjWqnyO1S06SJdV48BxOvIrIjZhgS0HWutbNQ==" saltValue="L+XJsuwygY7ftwoB6ewO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UTqlD4DwgV3Cf2HF08Kyro6xBVjNBD5tV0WrWS/XUb+GBmRLZqeAGGGfJUm9NDM5af+FTRd0wsoSbXZ6+smyQ==" saltValue="LsBKP/zuq2aOrA0cX3Qol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I0AJlpDxScypFOlsblmAQOLVtWPtqQF+xPdp+EgGd903iok4QS1Zr68hEvVydTb0C/vwFiacSPf6U8nzMgVFiw==" saltValue="nUw5DGCYVr6QaHUKACm0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+zE/HOP3+XULS3Z3Eh4jXMpSEpZOG3H3zoCIBjY2ANkN6hamC0ANzed/oAJRRRpihMirb+DreQ6l2/dfMBKwfQ==" saltValue="byy8nIeTJf+LipYeYY1w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NFJag29Z2knzXtt6khch+enXFxxB7UfF2oOmx5gq09cN5aPnx+UQ5UjlWWaVXAh6HDn7bhSVMANL4ntW1ayCA==" saltValue="ltfiZP25WQD0ZRtoXdFaA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Dk0zkVfbbPul0l7kyFxxLfU5a+1AidZbjvZsm80KfYxZuruk78uPoQdWOlC5n3fMdR/IMbKXwbbHk3aBOxNHA==" saltValue="bjmY/9qzdTJZUjofE2QZ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1SfFz5BAzHPnaBvlkpiedHE7IK8rG/6QBnPmllz9a/bhRLINBwQVi2R38RIx2d+m0A1GyU94ehOLPM/3RErig==" saltValue="izp+IFAOp6y+LbUEamdt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M8JOBvAzutP739dAak6G9zBD9w+Y9+/sHYQ0ORK9YSczbs+LvTFKZQH1Fz7aQ39EnJG/TEeTOFVDuyKWKUjLA==" saltValue="0sRsAonT6QuEmBabTb2J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hOWGW9PBg0zx3Ujp3mBOkL+XNbPBs+7q0ca5EXanVZs51iNTpBs1kI9EDM7yRFu1yPf7t0rmRKC/Q37ljA3qg==" saltValue="hlfUKWP2Ub+bsD1ksJJW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gUiG3+kWKqo11xglERqguBFySvz14JUeNUKS9zW4Gj2WeG1eHFQhawhJtB/OUntKKe9rv2lL4SClsNawXVe1g==" saltValue="8gzGIhl/GG3LzKEXZ45T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TNbzcfjQkGWDUjM5y5DhjcNCsgYhU3SYlm6PsXuu4dAVYYw2pnCi8yiijKonCKghHR7LdAbagEsH1RvDHxFcw==" saltValue="KUt8F3qU6yIF2dov2hDb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WxErkgx16wuS8EP5haGo6K6urn+I6I4YOLTNK/ljq5TJBzrYvxQNtziRwTdsMM1B/hAQYwusXLeyN3XeUqkKA==" saltValue="rjIQAWGGcpoTHLBeL/xZ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MT9Fp3berjXKeLfvtH4MXDMzw+kCu+MnSxn1uTBEyTIDpE96cZcWU8I9ZAYxgWRpS/SmcPSuPzxyFRKhmGYUDQ==" saltValue="NQqsZZ/v4gk3mJQ09vVi9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