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3EFBBAD-07F1-4ED2-8588-FD8D0F2684B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<sst xmlns="http://schemas.openxmlformats.org/spreadsheetml/2006/main" count="2102" uniqueCount="341">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</sst>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2134003.421875</v>
      </c>
    </row>
    <row r="8" spans="1:3" ht="15" customHeight="1" x14ac:dyDescent="0.25">
      <c r="B8" s="5" t="s">
        <v>44</v>
      </c>
      <c r="C8" s="44">
        <v>0.71799999999999997</v>
      </c>
    </row>
    <row r="9" spans="1:3" ht="15" customHeight="1" x14ac:dyDescent="0.25">
      <c r="B9" s="5" t="s">
        <v>43</v>
      </c>
      <c r="C9" s="45">
        <v>0.21</v>
      </c>
    </row>
    <row r="10" spans="1:3" ht="15" customHeight="1" x14ac:dyDescent="0.25">
      <c r="B10" s="5" t="s">
        <v>56</v>
      </c>
      <c r="C10" s="45">
        <v>0.31669290542602502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0.60699999999999998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3.6499999999999998E-2</v>
      </c>
    </row>
    <row r="24" spans="1:3" ht="15" customHeight="1" x14ac:dyDescent="0.25">
      <c r="B24" s="15" t="s">
        <v>46</v>
      </c>
      <c r="C24" s="45">
        <v>0.49450000000000011</v>
      </c>
    </row>
    <row r="25" spans="1:3" ht="15" customHeight="1" x14ac:dyDescent="0.25">
      <c r="B25" s="15" t="s">
        <v>47</v>
      </c>
      <c r="C25" s="45">
        <v>0.37509999999999999</v>
      </c>
    </row>
    <row r="26" spans="1:3" ht="15" customHeight="1" x14ac:dyDescent="0.25">
      <c r="B26" s="15" t="s">
        <v>48</v>
      </c>
      <c r="C26" s="45">
        <v>9.3900000000000011E-2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0.19090989580981799</v>
      </c>
    </row>
    <row r="30" spans="1:3" ht="14.25" customHeight="1" x14ac:dyDescent="0.25">
      <c r="B30" s="25" t="s">
        <v>63</v>
      </c>
      <c r="C30" s="99">
        <v>4.81342613461836E-2</v>
      </c>
    </row>
    <row r="31" spans="1:3" ht="14.25" customHeight="1" x14ac:dyDescent="0.25">
      <c r="B31" s="25" t="s">
        <v>10</v>
      </c>
      <c r="C31" s="99">
        <v>9.7345412653664407E-2</v>
      </c>
    </row>
    <row r="32" spans="1:3" ht="14.25" customHeight="1" x14ac:dyDescent="0.25">
      <c r="B32" s="25" t="s">
        <v>11</v>
      </c>
      <c r="C32" s="99">
        <v>0.66361043019033406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20.44547</v>
      </c>
    </row>
    <row r="38" spans="1:5" ht="15" customHeight="1" x14ac:dyDescent="0.25">
      <c r="B38" s="11" t="s">
        <v>35</v>
      </c>
      <c r="C38" s="43">
        <v>37.628990000000002</v>
      </c>
      <c r="D38" s="12"/>
      <c r="E38" s="13"/>
    </row>
    <row r="39" spans="1:5" ht="15" customHeight="1" x14ac:dyDescent="0.25">
      <c r="B39" s="11" t="s">
        <v>61</v>
      </c>
      <c r="C39" s="43">
        <v>52.604759999999999</v>
      </c>
      <c r="D39" s="12"/>
      <c r="E39" s="12"/>
    </row>
    <row r="40" spans="1:5" ht="15" customHeight="1" x14ac:dyDescent="0.25">
      <c r="B40" s="11" t="s">
        <v>36</v>
      </c>
      <c r="C40" s="100">
        <v>4.9400000000000004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18.240600000000001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7.9351999999999999E-3</v>
      </c>
      <c r="D45" s="12"/>
    </row>
    <row r="46" spans="1:5" ht="15.75" customHeight="1" x14ac:dyDescent="0.25">
      <c r="B46" s="11" t="s">
        <v>51</v>
      </c>
      <c r="C46" s="45">
        <v>8.5262499999999991E-2</v>
      </c>
      <c r="D46" s="12"/>
    </row>
    <row r="47" spans="1:5" ht="15.75" customHeight="1" x14ac:dyDescent="0.25">
      <c r="B47" s="11" t="s">
        <v>59</v>
      </c>
      <c r="C47" s="45">
        <v>7.3454400000000003E-2</v>
      </c>
      <c r="D47" s="12"/>
      <c r="E47" s="13"/>
    </row>
    <row r="48" spans="1:5" ht="15" customHeight="1" x14ac:dyDescent="0.25">
      <c r="B48" s="11" t="s">
        <v>58</v>
      </c>
      <c r="C48" s="46">
        <v>0.83334790000000003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0.53929500000000008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0.15131361999999901</v>
      </c>
    </row>
    <row r="63" spans="1:4" ht="15.75" customHeight="1" x14ac:dyDescent="0.3">
      <c r="A63" s="4"/>
    </row>
  </sheetData>
  <sheetProtection algorithmName="SHA-512" hashValue="4EIgKbeUyct12w31/ZRpdAgbHRPzAsiborxLCbE7Vnw40mqGbf3KSBZNjB/ELfOKlaYqdLlQZIAIsVjxl/Nzdg==" saltValue="syQFprNL4IwmXWXU+E7M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447212</v>
      </c>
      <c r="C2" s="49">
        <v>964894.5</v>
      </c>
      <c r="D2" s="49">
        <v>1032594</v>
      </c>
      <c r="E2" s="49">
        <v>840886</v>
      </c>
      <c r="F2" s="49">
        <v>518006.5</v>
      </c>
      <c r="G2" s="17">
        <f t="shared" ref="G2:G13" si="0">C2+D2+E2+F2</f>
        <v>3356381</v>
      </c>
      <c r="H2" s="17">
        <f t="shared" ref="H2:H13" si="1">(B2 + stillbirth*B2/(1000-stillbirth))/(1-abortion)</f>
        <v>517637.4726286853</v>
      </c>
      <c r="I2" s="17">
        <f t="shared" ref="I2:I13" si="2">G2-H2</f>
        <v>2838743.5273713148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450531</v>
      </c>
      <c r="C3" s="50">
        <v>1013151.5</v>
      </c>
      <c r="D3" s="50">
        <v>1086891</v>
      </c>
      <c r="E3" s="50">
        <v>841254.5</v>
      </c>
      <c r="F3" s="50">
        <v>550476.5</v>
      </c>
      <c r="G3" s="17">
        <f t="shared" si="0"/>
        <v>3491773.5</v>
      </c>
      <c r="H3" s="17">
        <f t="shared" si="1"/>
        <v>521479.13781578816</v>
      </c>
      <c r="I3" s="17">
        <f t="shared" si="2"/>
        <v>2970294.3621842116</v>
      </c>
    </row>
    <row r="4" spans="1:9" ht="15.75" customHeight="1" x14ac:dyDescent="0.25">
      <c r="A4" s="5">
        <f t="shared" si="3"/>
        <v>2026</v>
      </c>
      <c r="B4" s="49">
        <v>457042</v>
      </c>
      <c r="C4" s="50">
        <v>1055770.5</v>
      </c>
      <c r="D4" s="50">
        <v>1139722</v>
      </c>
      <c r="E4" s="50">
        <v>850215</v>
      </c>
      <c r="F4" s="50">
        <v>581153.5</v>
      </c>
      <c r="G4" s="17">
        <f t="shared" si="0"/>
        <v>3626861</v>
      </c>
      <c r="H4" s="17">
        <f t="shared" si="1"/>
        <v>529015.4686483359</v>
      </c>
      <c r="I4" s="17">
        <f t="shared" si="2"/>
        <v>3097845.5313516641</v>
      </c>
    </row>
    <row r="5" spans="1:9" ht="15.75" customHeight="1" x14ac:dyDescent="0.25">
      <c r="A5" s="5">
        <f t="shared" si="3"/>
        <v>2027</v>
      </c>
      <c r="B5" s="49">
        <v>465221</v>
      </c>
      <c r="C5" s="50">
        <v>1093440</v>
      </c>
      <c r="D5" s="50">
        <v>1201088.5</v>
      </c>
      <c r="E5" s="50">
        <v>857419</v>
      </c>
      <c r="F5" s="50">
        <v>609749</v>
      </c>
      <c r="G5" s="17">
        <f t="shared" si="0"/>
        <v>3761696.5</v>
      </c>
      <c r="H5" s="17">
        <f t="shared" si="1"/>
        <v>538482.47062643582</v>
      </c>
      <c r="I5" s="17">
        <f t="shared" si="2"/>
        <v>3223214.0293735643</v>
      </c>
    </row>
    <row r="6" spans="1:9" ht="15.75" customHeight="1" x14ac:dyDescent="0.25">
      <c r="A6" s="5">
        <f t="shared" si="3"/>
        <v>2028</v>
      </c>
      <c r="B6" s="49">
        <v>471800</v>
      </c>
      <c r="C6" s="50">
        <v>1126277</v>
      </c>
      <c r="D6" s="50">
        <v>1270362</v>
      </c>
      <c r="E6" s="50">
        <v>863022.5</v>
      </c>
      <c r="F6" s="50">
        <v>635459.49999999988</v>
      </c>
      <c r="G6" s="17">
        <f t="shared" si="0"/>
        <v>3895121</v>
      </c>
      <c r="H6" s="17">
        <f t="shared" si="1"/>
        <v>546097.5098749894</v>
      </c>
      <c r="I6" s="17">
        <f t="shared" si="2"/>
        <v>3349023.4901250107</v>
      </c>
    </row>
    <row r="7" spans="1:9" ht="15.75" customHeight="1" x14ac:dyDescent="0.25">
      <c r="A7" s="5">
        <f t="shared" si="3"/>
        <v>2029</v>
      </c>
      <c r="B7" s="49">
        <v>479339</v>
      </c>
      <c r="C7" s="50">
        <v>1152998.5</v>
      </c>
      <c r="D7" s="50">
        <v>1343762.5</v>
      </c>
      <c r="E7" s="50">
        <v>871572.5</v>
      </c>
      <c r="F7" s="50">
        <v>658153.5</v>
      </c>
      <c r="G7" s="17">
        <f t="shared" si="0"/>
        <v>4026487</v>
      </c>
      <c r="H7" s="17">
        <f t="shared" si="1"/>
        <v>554823.72676127066</v>
      </c>
      <c r="I7" s="17">
        <f t="shared" si="2"/>
        <v>3471663.2732387292</v>
      </c>
    </row>
    <row r="8" spans="1:9" ht="15.75" customHeight="1" x14ac:dyDescent="0.25">
      <c r="A8" s="5">
        <f t="shared" si="3"/>
        <v>2030</v>
      </c>
      <c r="B8" s="49">
        <v>487080</v>
      </c>
      <c r="C8" s="50">
        <v>1168782.5</v>
      </c>
      <c r="D8" s="50">
        <v>1420824</v>
      </c>
      <c r="E8" s="50">
        <v>885159</v>
      </c>
      <c r="F8" s="50">
        <v>678109.5</v>
      </c>
      <c r="G8" s="17">
        <f t="shared" si="0"/>
        <v>4152875</v>
      </c>
      <c r="H8" s="17">
        <f t="shared" si="1"/>
        <v>563783.75394215726</v>
      </c>
      <c r="I8" s="17">
        <f t="shared" si="2"/>
        <v>3589091.2460578429</v>
      </c>
    </row>
    <row r="9" spans="1:9" ht="15.75" customHeight="1" x14ac:dyDescent="0.25">
      <c r="A9" s="5">
        <f t="shared" si="3"/>
        <v>2031</v>
      </c>
      <c r="B9" s="49">
        <v>494852</v>
      </c>
      <c r="C9" s="50">
        <v>1174794</v>
      </c>
      <c r="D9" s="50">
        <v>1498991</v>
      </c>
      <c r="E9" s="50">
        <v>903639.5</v>
      </c>
      <c r="F9" s="50">
        <v>693637.5</v>
      </c>
      <c r="G9" s="17">
        <f t="shared" si="0"/>
        <v>4271062</v>
      </c>
      <c r="H9" s="17">
        <f t="shared" si="1"/>
        <v>572779.66290092887</v>
      </c>
      <c r="I9" s="17">
        <f t="shared" si="2"/>
        <v>3698282.3370990711</v>
      </c>
    </row>
    <row r="10" spans="1:9" ht="15.75" customHeight="1" x14ac:dyDescent="0.25">
      <c r="A10" s="5">
        <f t="shared" si="3"/>
        <v>2032</v>
      </c>
      <c r="B10" s="49">
        <v>503018</v>
      </c>
      <c r="C10" s="50">
        <v>1177369.5</v>
      </c>
      <c r="D10" s="50">
        <v>1573289.5</v>
      </c>
      <c r="E10" s="50">
        <v>928132.5</v>
      </c>
      <c r="F10" s="50">
        <v>705335.5</v>
      </c>
      <c r="G10" s="17">
        <f t="shared" si="0"/>
        <v>4384127</v>
      </c>
      <c r="H10" s="17">
        <f t="shared" si="1"/>
        <v>582231.61768185114</v>
      </c>
      <c r="I10" s="17">
        <f t="shared" si="2"/>
        <v>3801895.3823181489</v>
      </c>
    </row>
    <row r="11" spans="1:9" ht="15.75" customHeight="1" x14ac:dyDescent="0.25">
      <c r="A11" s="5">
        <f t="shared" si="3"/>
        <v>2033</v>
      </c>
      <c r="B11" s="49">
        <v>513568.99999999988</v>
      </c>
      <c r="C11" s="50">
        <v>1178802.5</v>
      </c>
      <c r="D11" s="50">
        <v>1642928.5</v>
      </c>
      <c r="E11" s="50">
        <v>958049.5</v>
      </c>
      <c r="F11" s="50">
        <v>715210.5</v>
      </c>
      <c r="G11" s="17">
        <f t="shared" si="0"/>
        <v>4494991</v>
      </c>
      <c r="H11" s="17">
        <f t="shared" si="1"/>
        <v>594444.15440650354</v>
      </c>
      <c r="I11" s="17">
        <f t="shared" si="2"/>
        <v>3900546.8455934962</v>
      </c>
    </row>
    <row r="12" spans="1:9" ht="15.75" customHeight="1" x14ac:dyDescent="0.25">
      <c r="A12" s="5">
        <f t="shared" si="3"/>
        <v>2034</v>
      </c>
      <c r="B12" s="49">
        <v>521688.99999999988</v>
      </c>
      <c r="C12" s="50">
        <v>1180129</v>
      </c>
      <c r="D12" s="50">
        <v>1707555.5</v>
      </c>
      <c r="E12" s="50">
        <v>1002872</v>
      </c>
      <c r="F12" s="50">
        <v>724744.5</v>
      </c>
      <c r="G12" s="17">
        <f t="shared" si="0"/>
        <v>4615301</v>
      </c>
      <c r="H12" s="17">
        <f t="shared" si="1"/>
        <v>603842.86525895132</v>
      </c>
      <c r="I12" s="17">
        <f t="shared" si="2"/>
        <v>4011458.1347410488</v>
      </c>
    </row>
    <row r="13" spans="1:9" ht="15.75" customHeight="1" x14ac:dyDescent="0.25">
      <c r="A13" s="5">
        <f t="shared" si="3"/>
        <v>2035</v>
      </c>
      <c r="B13" s="49">
        <v>531655</v>
      </c>
      <c r="C13" s="50">
        <v>1181057.5</v>
      </c>
      <c r="D13" s="50">
        <v>1765712</v>
      </c>
      <c r="E13" s="50">
        <v>1056099</v>
      </c>
      <c r="F13" s="50">
        <v>725493.5</v>
      </c>
      <c r="G13" s="17">
        <f t="shared" si="0"/>
        <v>4728362</v>
      </c>
      <c r="H13" s="17">
        <f t="shared" si="1"/>
        <v>615378.27811061358</v>
      </c>
      <c r="I13" s="17">
        <f t="shared" si="2"/>
        <v>4112983.7218893864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IG7R9ueW4TMiv++HZcSCxSackqOEqpSgQBCCToNOZI0f5okm6e765Cl8AdGU/6ffQhKxea/O7u5+7kzmbVgqA==" saltValue="aYQG+slzwsGpU8XzPks4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1.14185011418501E-2</v>
      </c>
    </row>
    <row r="4" spans="1:8" ht="15.75" customHeight="1" x14ac:dyDescent="0.25">
      <c r="B4" s="19" t="s">
        <v>97</v>
      </c>
      <c r="C4" s="101">
        <v>5.5858105585810461E-2</v>
      </c>
    </row>
    <row r="5" spans="1:8" ht="15.75" customHeight="1" x14ac:dyDescent="0.25">
      <c r="B5" s="19" t="s">
        <v>95</v>
      </c>
      <c r="C5" s="101">
        <v>7.1107207110720647E-2</v>
      </c>
    </row>
    <row r="6" spans="1:8" ht="15.75" customHeight="1" x14ac:dyDescent="0.25">
      <c r="B6" s="19" t="s">
        <v>91</v>
      </c>
      <c r="C6" s="101">
        <v>0.24179002417900219</v>
      </c>
    </row>
    <row r="7" spans="1:8" ht="15.75" customHeight="1" x14ac:dyDescent="0.25">
      <c r="B7" s="19" t="s">
        <v>96</v>
      </c>
      <c r="C7" s="101">
        <v>0.42007884200788481</v>
      </c>
    </row>
    <row r="8" spans="1:8" ht="15.75" customHeight="1" x14ac:dyDescent="0.25">
      <c r="B8" s="19" t="s">
        <v>98</v>
      </c>
      <c r="C8" s="101">
        <v>1.6044001604400141E-3</v>
      </c>
    </row>
    <row r="9" spans="1:8" ht="15.75" customHeight="1" x14ac:dyDescent="0.25">
      <c r="B9" s="19" t="s">
        <v>92</v>
      </c>
      <c r="C9" s="101">
        <v>8.5042508504250727E-2</v>
      </c>
    </row>
    <row r="10" spans="1:8" ht="15.75" customHeight="1" x14ac:dyDescent="0.25">
      <c r="B10" s="19" t="s">
        <v>94</v>
      </c>
      <c r="C10" s="101">
        <v>0.113100411310041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0.16626712468180119</v>
      </c>
      <c r="D14" s="55">
        <v>0.16626712468180119</v>
      </c>
      <c r="E14" s="55">
        <v>0.16626712468180119</v>
      </c>
      <c r="F14" s="55">
        <v>0.16626712468180119</v>
      </c>
    </row>
    <row r="15" spans="1:8" ht="15.75" customHeight="1" x14ac:dyDescent="0.25">
      <c r="B15" s="19" t="s">
        <v>102</v>
      </c>
      <c r="C15" s="101">
        <v>0.24864910415544891</v>
      </c>
      <c r="D15" s="101">
        <v>0.24864910415544891</v>
      </c>
      <c r="E15" s="101">
        <v>0.24864910415544891</v>
      </c>
      <c r="F15" s="101">
        <v>0.24864910415544891</v>
      </c>
    </row>
    <row r="16" spans="1:8" ht="15.75" customHeight="1" x14ac:dyDescent="0.25">
      <c r="B16" s="19" t="s">
        <v>2</v>
      </c>
      <c r="C16" s="101">
        <v>1.9270554285524401E-2</v>
      </c>
      <c r="D16" s="101">
        <v>1.9270554285524401E-2</v>
      </c>
      <c r="E16" s="101">
        <v>1.9270554285524401E-2</v>
      </c>
      <c r="F16" s="101">
        <v>1.9270554285524401E-2</v>
      </c>
    </row>
    <row r="17" spans="1:8" ht="15.75" customHeight="1" x14ac:dyDescent="0.25">
      <c r="B17" s="19" t="s">
        <v>90</v>
      </c>
      <c r="C17" s="101">
        <v>1.1879726080528199E-3</v>
      </c>
      <c r="D17" s="101">
        <v>1.1879726080528199E-3</v>
      </c>
      <c r="E17" s="101">
        <v>1.1879726080528199E-3</v>
      </c>
      <c r="F17" s="101">
        <v>1.1879726080528199E-3</v>
      </c>
    </row>
    <row r="18" spans="1:8" ht="15.75" customHeight="1" x14ac:dyDescent="0.25">
      <c r="B18" s="19" t="s">
        <v>3</v>
      </c>
      <c r="C18" s="101">
        <v>0.17630239161648681</v>
      </c>
      <c r="D18" s="101">
        <v>0.17630239161648681</v>
      </c>
      <c r="E18" s="101">
        <v>0.17630239161648681</v>
      </c>
      <c r="F18" s="101">
        <v>0.17630239161648681</v>
      </c>
    </row>
    <row r="19" spans="1:8" ht="15.75" customHeight="1" x14ac:dyDescent="0.25">
      <c r="B19" s="19" t="s">
        <v>101</v>
      </c>
      <c r="C19" s="101">
        <v>1.6172462173686161E-2</v>
      </c>
      <c r="D19" s="101">
        <v>1.6172462173686161E-2</v>
      </c>
      <c r="E19" s="101">
        <v>1.6172462173686161E-2</v>
      </c>
      <c r="F19" s="101">
        <v>1.6172462173686161E-2</v>
      </c>
    </row>
    <row r="20" spans="1:8" ht="15.75" customHeight="1" x14ac:dyDescent="0.25">
      <c r="B20" s="19" t="s">
        <v>79</v>
      </c>
      <c r="C20" s="101">
        <v>3.4070708389334563E-2</v>
      </c>
      <c r="D20" s="101">
        <v>3.4070708389334563E-2</v>
      </c>
      <c r="E20" s="101">
        <v>3.4070708389334563E-2</v>
      </c>
      <c r="F20" s="101">
        <v>3.4070708389334563E-2</v>
      </c>
    </row>
    <row r="21" spans="1:8" ht="15.75" customHeight="1" x14ac:dyDescent="0.25">
      <c r="B21" s="19" t="s">
        <v>88</v>
      </c>
      <c r="C21" s="101">
        <v>0.13487070575469109</v>
      </c>
      <c r="D21" s="101">
        <v>0.13487070575469109</v>
      </c>
      <c r="E21" s="101">
        <v>0.13487070575469109</v>
      </c>
      <c r="F21" s="101">
        <v>0.13487070575469109</v>
      </c>
    </row>
    <row r="22" spans="1:8" ht="15.75" customHeight="1" x14ac:dyDescent="0.25">
      <c r="B22" s="19" t="s">
        <v>99</v>
      </c>
      <c r="C22" s="101">
        <v>0.20320897633497401</v>
      </c>
      <c r="D22" s="101">
        <v>0.20320897633497401</v>
      </c>
      <c r="E22" s="101">
        <v>0.20320897633497401</v>
      </c>
      <c r="F22" s="101">
        <v>0.20320897633497401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8.6116069000000003E-2</v>
      </c>
    </row>
    <row r="27" spans="1:8" ht="15.75" customHeight="1" x14ac:dyDescent="0.25">
      <c r="B27" s="19" t="s">
        <v>89</v>
      </c>
      <c r="C27" s="101">
        <v>8.4963420000000005E-3</v>
      </c>
    </row>
    <row r="28" spans="1:8" ht="15.75" customHeight="1" x14ac:dyDescent="0.25">
      <c r="B28" s="19" t="s">
        <v>103</v>
      </c>
      <c r="C28" s="101">
        <v>0.155313541</v>
      </c>
    </row>
    <row r="29" spans="1:8" ht="15.75" customHeight="1" x14ac:dyDescent="0.25">
      <c r="B29" s="19" t="s">
        <v>86</v>
      </c>
      <c r="C29" s="101">
        <v>0.16740253699999999</v>
      </c>
    </row>
    <row r="30" spans="1:8" ht="15.75" customHeight="1" x14ac:dyDescent="0.25">
      <c r="B30" s="19" t="s">
        <v>4</v>
      </c>
      <c r="C30" s="101">
        <v>0.104102105</v>
      </c>
    </row>
    <row r="31" spans="1:8" ht="15.75" customHeight="1" x14ac:dyDescent="0.25">
      <c r="B31" s="19" t="s">
        <v>80</v>
      </c>
      <c r="C31" s="101">
        <v>0.108491529</v>
      </c>
    </row>
    <row r="32" spans="1:8" ht="15.75" customHeight="1" x14ac:dyDescent="0.25">
      <c r="B32" s="19" t="s">
        <v>85</v>
      </c>
      <c r="C32" s="101">
        <v>1.8703009999999999E-2</v>
      </c>
    </row>
    <row r="33" spans="2:3" ht="15.75" customHeight="1" x14ac:dyDescent="0.25">
      <c r="B33" s="19" t="s">
        <v>100</v>
      </c>
      <c r="C33" s="101">
        <v>8.4263411999999996E-2</v>
      </c>
    </row>
    <row r="34" spans="2:3" ht="15.75" customHeight="1" x14ac:dyDescent="0.25">
      <c r="B34" s="19" t="s">
        <v>87</v>
      </c>
      <c r="C34" s="101">
        <v>0.267111455</v>
      </c>
    </row>
    <row r="35" spans="2:3" ht="15.75" customHeight="1" x14ac:dyDescent="0.25">
      <c r="B35" s="27" t="s">
        <v>60</v>
      </c>
      <c r="C35" s="48">
        <f>SUM(C26:C34)</f>
        <v>0.99999999999999989</v>
      </c>
    </row>
  </sheetData>
  <sheetProtection algorithmName="SHA-512" hashValue="9t6bEpmsPJWylsoOT7LEFlbv4K0X/2ZrcDlZXoKi0IjRByWKjVg+ru/MUCb+1vdmzFhtfIp2b+N8gs6x5xceGQ==" saltValue="I2HIL79oLrV0qyUNVDey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0.37068314429207949</v>
      </c>
      <c r="D2" s="52">
        <f>IFERROR(1-_xlfn.NORM.DIST(_xlfn.NORM.INV(SUM(D4:D5), 0, 1) + 1, 0, 1, TRUE), "")</f>
        <v>0.37068314429207949</v>
      </c>
      <c r="E2" s="52">
        <f>IFERROR(1-_xlfn.NORM.DIST(_xlfn.NORM.INV(SUM(E4:E5), 0, 1) + 1, 0, 1, TRUE), "")</f>
        <v>0.22454743610341898</v>
      </c>
      <c r="F2" s="52">
        <f>IFERROR(1-_xlfn.NORM.DIST(_xlfn.NORM.INV(SUM(F4:F5), 0, 1) + 1, 0, 1, TRUE), "")</f>
        <v>0.10913201875680079</v>
      </c>
      <c r="G2" s="52">
        <f>IFERROR(1-_xlfn.NORM.DIST(_xlfn.NORM.INV(SUM(G4:G5), 0, 1) + 1, 0, 1, TRUE), "")</f>
        <v>9.2399633526358271E-2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0.37787375570792053</v>
      </c>
      <c r="D3" s="52">
        <f>IFERROR(_xlfn.NORM.DIST(_xlfn.NORM.INV(SUM(D4:D5), 0, 1) + 1, 0, 1, TRUE) - SUM(D4:D5), "")</f>
        <v>0.37787375570792053</v>
      </c>
      <c r="E3" s="52">
        <f>IFERROR(_xlfn.NORM.DIST(_xlfn.NORM.INV(SUM(E4:E5), 0, 1) + 1, 0, 1, TRUE) - SUM(E4:E5), "")</f>
        <v>0.37147896389658097</v>
      </c>
      <c r="F3" s="52">
        <f>IFERROR(_xlfn.NORM.DIST(_xlfn.NORM.INV(SUM(F4:F5), 0, 1) + 1, 0, 1, TRUE) - SUM(F4:F5), "")</f>
        <v>0.29946428124319924</v>
      </c>
      <c r="G3" s="52">
        <f>IFERROR(_xlfn.NORM.DIST(_xlfn.NORM.INV(SUM(G4:G5), 0, 1) + 1, 0, 1, TRUE) - SUM(G4:G5), "")</f>
        <v>0.27976636647364173</v>
      </c>
    </row>
    <row r="4" spans="1:15" ht="15.75" customHeight="1" x14ac:dyDescent="0.25">
      <c r="B4" s="5" t="s">
        <v>110</v>
      </c>
      <c r="C4" s="45">
        <v>0.1870077</v>
      </c>
      <c r="D4" s="53">
        <v>0.1870077</v>
      </c>
      <c r="E4" s="53">
        <v>0.27485120000000002</v>
      </c>
      <c r="F4" s="53">
        <v>0.35327150000000002</v>
      </c>
      <c r="G4" s="53">
        <v>0.3201291</v>
      </c>
    </row>
    <row r="5" spans="1:15" ht="15.75" customHeight="1" x14ac:dyDescent="0.25">
      <c r="B5" s="5" t="s">
        <v>106</v>
      </c>
      <c r="C5" s="45">
        <v>6.443539999999999E-2</v>
      </c>
      <c r="D5" s="53">
        <v>6.443539999999999E-2</v>
      </c>
      <c r="E5" s="53">
        <v>0.1291224</v>
      </c>
      <c r="F5" s="53">
        <v>0.23813219999999999</v>
      </c>
      <c r="G5" s="53">
        <v>0.3077049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0.7683180305331555</v>
      </c>
      <c r="D8" s="52">
        <f>IFERROR(1-_xlfn.NORM.DIST(_xlfn.NORM.INV(SUM(D10:D11), 0, 1) + 1, 0, 1, TRUE), "")</f>
        <v>0.7683180305331555</v>
      </c>
      <c r="E8" s="52">
        <f>IFERROR(1-_xlfn.NORM.DIST(_xlfn.NORM.INV(SUM(E10:E11), 0, 1) + 1, 0, 1, TRUE), "")</f>
        <v>0.61020337300018146</v>
      </c>
      <c r="F8" s="52">
        <f>IFERROR(1-_xlfn.NORM.DIST(_xlfn.NORM.INV(SUM(F10:F11), 0, 1) + 1, 0, 1, TRUE), "")</f>
        <v>0.65632690328581123</v>
      </c>
      <c r="G8" s="52">
        <f>IFERROR(1-_xlfn.NORM.DIST(_xlfn.NORM.INV(SUM(G10:G11), 0, 1) + 1, 0, 1, TRUE), "")</f>
        <v>0.79716564724788808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0.19016246946684451</v>
      </c>
      <c r="D9" s="52">
        <f>IFERROR(_xlfn.NORM.DIST(_xlfn.NORM.INV(SUM(D10:D11), 0, 1) + 1, 0, 1, TRUE) - SUM(D10:D11), "")</f>
        <v>0.19016246946684451</v>
      </c>
      <c r="E9" s="52">
        <f>IFERROR(_xlfn.NORM.DIST(_xlfn.NORM.INV(SUM(E10:E11), 0, 1) + 1, 0, 1, TRUE) - SUM(E10:E11), "")</f>
        <v>0.28949752699981857</v>
      </c>
      <c r="F9" s="52">
        <f>IFERROR(_xlfn.NORM.DIST(_xlfn.NORM.INV(SUM(F10:F11), 0, 1) + 1, 0, 1, TRUE) - SUM(F10:F11), "")</f>
        <v>0.26328399671418878</v>
      </c>
      <c r="G9" s="52">
        <f>IFERROR(_xlfn.NORM.DIST(_xlfn.NORM.INV(SUM(G10:G11), 0, 1) + 1, 0, 1, TRUE) - SUM(G10:G11), "")</f>
        <v>0.16932435275211188</v>
      </c>
    </row>
    <row r="10" spans="1:15" ht="15.75" customHeight="1" x14ac:dyDescent="0.25">
      <c r="B10" s="5" t="s">
        <v>107</v>
      </c>
      <c r="C10" s="45">
        <v>3.2506300000000002E-2</v>
      </c>
      <c r="D10" s="53">
        <v>3.2506300000000002E-2</v>
      </c>
      <c r="E10" s="53">
        <v>8.0126000000000003E-2</v>
      </c>
      <c r="F10" s="53">
        <v>7.1870299999999998E-2</v>
      </c>
      <c r="G10" s="53">
        <v>2.6119900000000001E-2</v>
      </c>
    </row>
    <row r="11" spans="1:15" ht="15.75" customHeight="1" x14ac:dyDescent="0.25">
      <c r="B11" s="5" t="s">
        <v>119</v>
      </c>
      <c r="C11" s="45">
        <v>9.0132000000000007E-3</v>
      </c>
      <c r="D11" s="53">
        <v>9.0132000000000007E-3</v>
      </c>
      <c r="E11" s="53">
        <v>2.0173099999999999E-2</v>
      </c>
      <c r="F11" s="53">
        <v>8.5188E-3</v>
      </c>
      <c r="G11" s="53">
        <v>7.3900999999999993E-3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0.85983660949999996</v>
      </c>
      <c r="D14" s="54">
        <v>0.842952287568</v>
      </c>
      <c r="E14" s="54">
        <v>0.842952287568</v>
      </c>
      <c r="F14" s="54">
        <v>0.53347847495900003</v>
      </c>
      <c r="G14" s="54">
        <v>0.53347847495900003</v>
      </c>
      <c r="H14" s="45">
        <v>0.309</v>
      </c>
      <c r="I14" s="55">
        <v>0.309</v>
      </c>
      <c r="J14" s="55">
        <v>0.309</v>
      </c>
      <c r="K14" s="55">
        <v>0.309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0.46370558432030257</v>
      </c>
      <c r="D15" s="52">
        <f t="shared" si="0"/>
        <v>0.45459995392398461</v>
      </c>
      <c r="E15" s="52">
        <f t="shared" si="0"/>
        <v>0.45459995392398461</v>
      </c>
      <c r="F15" s="52">
        <f t="shared" si="0"/>
        <v>0.28770227415301397</v>
      </c>
      <c r="G15" s="52">
        <f t="shared" si="0"/>
        <v>0.28770227415301397</v>
      </c>
      <c r="H15" s="52">
        <f t="shared" si="0"/>
        <v>0.16664215500000001</v>
      </c>
      <c r="I15" s="52">
        <f t="shared" si="0"/>
        <v>0.16664215500000001</v>
      </c>
      <c r="J15" s="52">
        <f t="shared" si="0"/>
        <v>0.16664215500000001</v>
      </c>
      <c r="K15" s="52">
        <f t="shared" si="0"/>
        <v>0.16664215500000001</v>
      </c>
      <c r="L15" s="52">
        <f t="shared" si="0"/>
        <v>0.14129529000000002</v>
      </c>
      <c r="M15" s="52">
        <f t="shared" si="0"/>
        <v>0.14129529000000002</v>
      </c>
      <c r="N15" s="52">
        <f t="shared" si="0"/>
        <v>0.14129529000000002</v>
      </c>
      <c r="O15" s="52">
        <f t="shared" si="0"/>
        <v>0.14129529000000002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cpmiKzd6cdcbtYWUO//2XwcGTDNuUr/y/2y/76/r+6WG0ciI0jiYkxQUVz/1wWEMMb/d5zncYOkGm2I3VM1Dg==" saltValue="BqFr3tLTB8WtU+RalWUr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0.94560889999999997</v>
      </c>
      <c r="D2" s="53">
        <v>0.80849019999999994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7.6427999999999999E-3</v>
      </c>
      <c r="D3" s="53">
        <v>7.9234600000000002E-2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1.2001899999999999E-2</v>
      </c>
      <c r="D4" s="53">
        <v>8.9781999999999987E-2</v>
      </c>
      <c r="E4" s="53">
        <v>0.97984899999999997</v>
      </c>
      <c r="F4" s="53">
        <v>0.89437330000000004</v>
      </c>
      <c r="G4" s="53">
        <v>0</v>
      </c>
    </row>
    <row r="5" spans="1:7" x14ac:dyDescent="0.25">
      <c r="B5" s="3" t="s">
        <v>125</v>
      </c>
      <c r="C5" s="52">
        <v>3.4746399999999997E-2</v>
      </c>
      <c r="D5" s="52">
        <v>2.2493200000000001E-2</v>
      </c>
      <c r="E5" s="52">
        <f>1-SUM(E2:E4)</f>
        <v>2.015100000000003E-2</v>
      </c>
      <c r="F5" s="52">
        <f>1-SUM(F2:F4)</f>
        <v>0.10562669999999996</v>
      </c>
      <c r="G5" s="52">
        <f>1-SUM(G2:G4)</f>
        <v>1</v>
      </c>
    </row>
  </sheetData>
  <sheetProtection algorithmName="SHA-512" hashValue="sbe2vJcPq4Osv/7ozqwNvO8DmqW5oeiP8wNx8f7Hl/f/cVqbW75VbYm0FxikzNWXWDQ7Nh6+UG4MjY6kl3fLMA==" saltValue="+Q17l9VQGJZOtvvkMu5a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P+5gbHzSt9E6lQjzhbubZMbvFcCxjK7NmUqjuQ7zx4ajoz8uXvkoUV/+N9/+JyI28vqNEgPlaYD6qL2XWVbY2g==" saltValue="JUwXtgZuQxcf3J8gTmar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k3oHDNomggc55fAj1IBxJKZ+vfPcSkXtaSFclL60TlS161FIvz9EKlrTD6IQOJvmFWQpqmYrvbuK8y7TudelkA==" saltValue="8ZJsRPC5L3SNaeqU0K1u6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Hl70y/QAZPKXZ1cmNjDUnfWfMzU27a3CHcoG9uqBQLzrCXsdJzaBZa9cxPNyWr58OpZ/caDUIYKqDBC9Jgazgg==" saltValue="Ugmz3EmoPUFiq8yikTNv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00a7Dq1qZiQBFw9J+/uaSDfhUhkCh67Jc9CTeaJEvWKctB/k03cyHf9S/g73sglBOBFQ4ooJi2L/7h/IZtNB+w==" saltValue="zhWJtkZ+pnH8oE6ZkKlN7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33.419328454162319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0.59005040706397904</v>
      </c>
      <c r="C3" s="98">
        <v>0.95</v>
      </c>
      <c r="D3" s="56">
        <v>44.603258912802382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28.572744206474489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7.9370542524598214E-2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1.44447E-2</v>
      </c>
      <c r="C10" s="98">
        <v>0.95</v>
      </c>
      <c r="D10" s="56">
        <v>14.128320781922749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1.44447E-2</v>
      </c>
      <c r="C11" s="98">
        <v>0.95</v>
      </c>
      <c r="D11" s="56">
        <v>14.128320781922749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1.44447E-2</v>
      </c>
      <c r="C12" s="98">
        <v>0.95</v>
      </c>
      <c r="D12" s="56">
        <v>14.128320781922749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1.44447E-2</v>
      </c>
      <c r="C13" s="98">
        <v>0.95</v>
      </c>
      <c r="D13" s="56">
        <v>14.128320781922749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1.44447E-2</v>
      </c>
      <c r="C14" s="98">
        <v>0.95</v>
      </c>
      <c r="D14" s="56">
        <v>14.128320781922749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1.44447E-2</v>
      </c>
      <c r="C15" s="98">
        <v>0.95</v>
      </c>
      <c r="D15" s="56">
        <v>14.128320781922749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0.87</v>
      </c>
      <c r="C16" s="98">
        <v>0.95</v>
      </c>
      <c r="D16" s="56">
        <v>0.184606911982414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0.40889042949652699</v>
      </c>
      <c r="C18" s="98">
        <v>0.95</v>
      </c>
      <c r="D18" s="56">
        <v>0.77483113726549069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0.45690689999999989</v>
      </c>
      <c r="C19" s="98">
        <v>0.95</v>
      </c>
      <c r="D19" s="56">
        <v>0.77483113726549069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0.38674399999999998</v>
      </c>
      <c r="C21" s="98">
        <v>0.95</v>
      </c>
      <c r="D21" s="56">
        <v>0.73944140975850148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24.050195803135828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4.6205668864219671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0.78301978471355793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1.44447E-2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20.437528574582711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0.61549484716603098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57.479211577278647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0.81</v>
      </c>
      <c r="C31" s="98">
        <v>0.95</v>
      </c>
      <c r="D31" s="56">
        <v>0.64873348086651084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0.33149430053697698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0.81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0.18486040000000001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0.35550359999999998</v>
      </c>
      <c r="C38" s="98">
        <v>0.95</v>
      </c>
      <c r="D38" s="56">
        <v>4.0178537055808334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7p1G1LqsCd6fpnQd5kfT9mDvBGBu9e+Wn9cjodrBkQ96CBgZMoBxT8NzYdckt58kn7cS11qHtCUoDR2mdLyxQ==" saltValue="eB6bp0iNQDMqCNrsKzPN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BeuRbktF0AZHLUUnSrnlak0qgBGDI/Ptcf4ep4icjXI/C1v073hCPthHr1cNntP38wynRlhaAKJyhVU4THDoQ==" saltValue="KtpFkhlsE56rknKEjlpc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3PAISudkQXaur7X822Fk1782CJv+zk/Tix1shgwNSfMzVXlh31oa8NJmmqPd23kKrEoMFHGiWpU9LQxlgjRvQ==" saltValue="gv9j2Akq8NjXCPHXEeB5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8.4516380000000002E-2</v>
      </c>
      <c r="C3" s="21">
        <f>frac_mam_1_5months * 2.6</f>
        <v>8.4516380000000002E-2</v>
      </c>
      <c r="D3" s="21">
        <f>frac_mam_6_11months * 2.6</f>
        <v>0.2083276</v>
      </c>
      <c r="E3" s="21">
        <f>frac_mam_12_23months * 2.6</f>
        <v>0.18686278000000001</v>
      </c>
      <c r="F3" s="21">
        <f>frac_mam_24_59months * 2.6</f>
        <v>6.7911740000000012E-2</v>
      </c>
    </row>
    <row r="4" spans="1:6" ht="15.75" customHeight="1" x14ac:dyDescent="0.25">
      <c r="A4" s="3" t="s">
        <v>207</v>
      </c>
      <c r="B4" s="21">
        <f>frac_sam_1month * 2.6</f>
        <v>2.3434320000000002E-2</v>
      </c>
      <c r="C4" s="21">
        <f>frac_sam_1_5months * 2.6</f>
        <v>2.3434320000000002E-2</v>
      </c>
      <c r="D4" s="21">
        <f>frac_sam_6_11months * 2.6</f>
        <v>5.245006E-2</v>
      </c>
      <c r="E4" s="21">
        <f>frac_sam_12_23months * 2.6</f>
        <v>2.2148879999999999E-2</v>
      </c>
      <c r="F4" s="21">
        <f>frac_sam_24_59months * 2.6</f>
        <v>1.921426E-2</v>
      </c>
    </row>
  </sheetData>
  <sheetProtection algorithmName="SHA-512" hashValue="oveOgzoxYrhwqfxaMyU8AY9nJgEnHaUlxUwZ3icEYhxMxF5DK1oadAifG4ouu4zzBDwOV9dH6zc2t0unEkBb1A==" saltValue="5pQZGShbDNz3aM4eTQQ3J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0.71799999999999997</v>
      </c>
      <c r="E2" s="60">
        <f>food_insecure</f>
        <v>0.71799999999999997</v>
      </c>
      <c r="F2" s="60">
        <f>food_insecure</f>
        <v>0.71799999999999997</v>
      </c>
      <c r="G2" s="60">
        <f>food_insecure</f>
        <v>0.71799999999999997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0.71799999999999997</v>
      </c>
      <c r="F5" s="60">
        <f>food_insecure</f>
        <v>0.71799999999999997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0.71799999999999997</v>
      </c>
      <c r="F8" s="60">
        <f>food_insecure</f>
        <v>0.71799999999999997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0.71799999999999997</v>
      </c>
      <c r="F9" s="60">
        <f>food_insecure</f>
        <v>0.71799999999999997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0.71799999999999997</v>
      </c>
      <c r="I15" s="60">
        <f>food_insecure</f>
        <v>0.71799999999999997</v>
      </c>
      <c r="J15" s="60">
        <f>food_insecure</f>
        <v>0.71799999999999997</v>
      </c>
      <c r="K15" s="60">
        <f>food_insecure</f>
        <v>0.71799999999999997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0.60699999999999998</v>
      </c>
      <c r="M24" s="60">
        <f>famplan_unmet_need</f>
        <v>0.60699999999999998</v>
      </c>
      <c r="N24" s="60">
        <f>famplan_unmet_need</f>
        <v>0.60699999999999998</v>
      </c>
      <c r="O24" s="60">
        <f>famplan_unmet_need</f>
        <v>0.60699999999999998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0.43784952006111166</v>
      </c>
      <c r="M25" s="60">
        <f>(1-food_insecure)*(0.49)+food_insecure*(0.7)</f>
        <v>0.64077999999999991</v>
      </c>
      <c r="N25" s="60">
        <f>(1-food_insecure)*(0.49)+food_insecure*(0.7)</f>
        <v>0.64077999999999991</v>
      </c>
      <c r="O25" s="60">
        <f>(1-food_insecure)*(0.49)+food_insecure*(0.7)</f>
        <v>0.64077999999999991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0.18764979431190498</v>
      </c>
      <c r="M26" s="60">
        <f>(1-food_insecure)*(0.21)+food_insecure*(0.3)</f>
        <v>0.27461999999999998</v>
      </c>
      <c r="N26" s="60">
        <f>(1-food_insecure)*(0.21)+food_insecure*(0.3)</f>
        <v>0.27461999999999998</v>
      </c>
      <c r="O26" s="60">
        <f>(1-food_insecure)*(0.21)+food_insecure*(0.3)</f>
        <v>0.27461999999999998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5.7807780200958288E-2</v>
      </c>
      <c r="M27" s="60">
        <f>(1-food_insecure)*(0.3)</f>
        <v>8.4600000000000009E-2</v>
      </c>
      <c r="N27" s="60">
        <f>(1-food_insecure)*(0.3)</f>
        <v>8.4600000000000009E-2</v>
      </c>
      <c r="O27" s="60">
        <f>(1-food_insecure)*(0.3)</f>
        <v>8.4600000000000009E-2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0.31669290542602502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0.21</v>
      </c>
      <c r="D34" s="60">
        <f t="shared" si="3"/>
        <v>0.21</v>
      </c>
      <c r="E34" s="60">
        <f t="shared" si="3"/>
        <v>0.21</v>
      </c>
      <c r="F34" s="60">
        <f t="shared" si="3"/>
        <v>0.21</v>
      </c>
      <c r="G34" s="60">
        <f t="shared" si="3"/>
        <v>0.21</v>
      </c>
      <c r="H34" s="60">
        <f t="shared" si="3"/>
        <v>0.21</v>
      </c>
      <c r="I34" s="60">
        <f t="shared" si="3"/>
        <v>0.21</v>
      </c>
      <c r="J34" s="60">
        <f t="shared" si="3"/>
        <v>0.21</v>
      </c>
      <c r="K34" s="60">
        <f t="shared" si="3"/>
        <v>0.21</v>
      </c>
      <c r="L34" s="60">
        <f t="shared" si="3"/>
        <v>0.21</v>
      </c>
      <c r="M34" s="60">
        <f t="shared" si="3"/>
        <v>0.21</v>
      </c>
      <c r="N34" s="60">
        <f t="shared" si="3"/>
        <v>0.21</v>
      </c>
      <c r="O34" s="60">
        <f t="shared" si="3"/>
        <v>0.21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Imm/8Cq0YN9iRbhV2reM1/1GkX5G5WxIXSZZAvfHsOdaqU28B/AP+f6+aDTTkVGFfNwwqa11YK0KjDcWCLSRg==" saltValue="kTtS9aLYOaQkNVubXBa5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/zeoTRX7NPdqQ2VU73J39SxZZ+IgF0dmKZii0sAZD13rdCXeuKMoL+cDsLSAZqqC9u24QmshyjQlS8wlrNuWw==" saltValue="23XNMbDMauqx2sZBvlzY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M29ifsIShuJ7ocIZnwyOjbVc8JV+ss8MPbqo3Y/HuOmj6zqK1mIcChAHpWqJlkqBreyf5ImutmGirPjj3YxcA==" saltValue="DsnhwNJ4mvnBVgcdgrR1A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wpmO5UK9z5eQrrcerLErRu19rv/rFT+ZYeESUigFrXp23uvD/Bn+psRDnGCwF1WfsDb243oAV6KC4h+rZLaVig==" saltValue="Q686YvFZZi4e5/kpnt3a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daIrLkfHHmUX+tmWrMAuwk6aGEHzaTvFjlZAUXe6eba8s/GZyhcmneFEI8o9/J0P1VNHXqWUNC8ltihJDeIBDg==" saltValue="J9XVqHPoysGj6ZsS6/QhO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L5WsME+hUMcytFKgT47xhrVDa7d43RpoDfgrr7KHjNuo/a6mMhfAz4oDH+TpY8Sy+8P5mtah1bo4WcVDMI12lg==" saltValue="utBbmAnmF+/vbRk7+aXNW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aUAP+025vI5sebekkzmOLCXK/fVTf7IFcdJXzOxZXZ8nMBCo4ofsLorXw73eqVan2A+mdn8tefqI6iyqwRWCw==" saltValue="1IqwiI7EB/XlrW+4iWVUr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RPhl7n/cX9qODAilG6HsWfNodUm1bmeoxYySWVHqSySFnFYXIIWXT53Cifm3Q8akSGiWQGUhXP///QWIXilSQ==" saltValue="c8bw5pdDgmILiIM01WeD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uv238dbntUBPFcaS0VSmhoHbMfNWW+vdksfQ9Nwe6AG/nxTye9fnQtUargmGR0gv4S+6DZ99GrHYkDmvEmTHbQ==" saltValue="z0U7g4n4CJAHuUiZVojP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mrwSyvcfYdPBqAWefdTR1Os9SeeLa5Z9QIlIChHHrB14YSoQpH/bhB0OpepE4po89vSRoYVX0vtdMvAptXeNtA==" saltValue="Vpbkl5EMlp9lHZ5ugQq3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k7Top0Rd3szKsrPUOu4d9sgKqrXUuPabYR8M5X20pNK9FPvGmdMyT/UvNSYPWs+pkWW5RIqZocYYCkqGr9L/CA==" saltValue="Z0222kyvUs2Ym27Wp/4C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EjmHr51+h5cD0MePd8NzaTE+ocrYH00o6HtQbLUQk9fAQVKPf+qm4DRDoBVYJBdoKy8u09vKiy1jveVUI8hng==" saltValue="uewbkJUWokXuwnCdxqL9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WYubpOlJ3JPBZrZZ5Uayl0QjrpQjOLrEuQElRKdk3I8U+AGxWPvszpq79ChI1xxc2s3/xCmU3AfKo6cnhc6pA==" saltValue="8W3qW99dwBhMZAMOpvvE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FxVMThBv+zPh+4m/FTPuzuRKKzpFlgKp9vkS7O38wTLu6DG4AzjvYlm9BTp/vW++WDgLvUbOVI/nPnXuZJEhw==" saltValue="gkXwa4kxs3HtwzFL0SZd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7m9REAAY6A63e+6cyuwSY8HfSGTHz9KENlogXFYNBqGjroQUmv7erZLMIfKAjBxB28mq4cQm+v0aLRaW9TRndg==" saltValue="qMjBrVhzBaC/acsegaIv7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2024-05-16T23:18:44Z</dcterms:modified>
</cp:coreProperties>
</file>