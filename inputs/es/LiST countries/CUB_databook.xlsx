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13_ncr:1_{C693B06C-B75E-424E-922E-164878F2B9AD}" xr6:coauthVersionLast="47" xr6:coauthVersionMax="47" xr10:uidLastSave="{00000000-0000-0000-0000-000000000000}"/>
  <bookViews>
    <workbookView xWindow="20" yWindow="20" windowWidth="19180" windowHeight="10180" tabRatio="961" firstSheet="3" activeTab="6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H13" i="2"/>
  <c r="G13" i="2"/>
  <c r="H12" i="2"/>
  <c r="G12" i="2"/>
  <c r="H11" i="2"/>
  <c r="G11" i="2"/>
  <c r="I11" i="2" s="1"/>
  <c r="H10" i="2"/>
  <c r="G10" i="2"/>
  <c r="H9" i="2"/>
  <c r="G9" i="2"/>
  <c r="H8" i="2"/>
  <c r="G8" i="2"/>
  <c r="H7" i="2"/>
  <c r="G7" i="2"/>
  <c r="I7" i="2" s="1"/>
  <c r="H6" i="2"/>
  <c r="G6" i="2"/>
  <c r="I6" i="2" s="1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19" i="2" l="1"/>
  <c r="A22" i="2"/>
  <c r="A23" i="2"/>
  <c r="A24" i="2"/>
  <c r="A35" i="2"/>
  <c r="A36" i="2"/>
  <c r="I9" i="2"/>
  <c r="I13" i="2"/>
  <c r="A37" i="2"/>
  <c r="I4" i="2"/>
  <c r="I8" i="2"/>
  <c r="I12" i="2"/>
  <c r="A25" i="2"/>
  <c r="A26" i="2"/>
  <c r="I39" i="2"/>
  <c r="A31" i="2"/>
  <c r="A34" i="2"/>
  <c r="A40" i="2"/>
  <c r="I2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<sst xmlns="http://schemas.openxmlformats.org/spreadsheetml/2006/main" count="2159" uniqueCount="372">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</sst>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474743</v>
      </c>
    </row>
    <row r="8" spans="1:3" ht="15" customHeight="1" x14ac:dyDescent="0.25">
      <c r="B8" s="5" t="s">
        <v>63</v>
      </c>
      <c r="C8" s="44">
        <v>1.4999999999999999E-2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0.89261077880859407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0.11600000000000001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0.13220000000000001</v>
      </c>
    </row>
    <row r="24" spans="1:3" ht="15" customHeight="1" x14ac:dyDescent="0.25">
      <c r="B24" s="15" t="s">
        <v>65</v>
      </c>
      <c r="C24" s="45">
        <v>0.57689999999999997</v>
      </c>
    </row>
    <row r="25" spans="1:3" ht="15" customHeight="1" x14ac:dyDescent="0.25">
      <c r="B25" s="15" t="s">
        <v>66</v>
      </c>
      <c r="C25" s="45">
        <v>0.27529999999999999</v>
      </c>
    </row>
    <row r="26" spans="1:3" ht="15" customHeight="1" x14ac:dyDescent="0.25">
      <c r="B26" s="15" t="s">
        <v>67</v>
      </c>
      <c r="C26" s="45">
        <v>1.5599999999999999E-2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0.38027698235904311</v>
      </c>
    </row>
    <row r="30" spans="1:3" ht="14.25" customHeight="1" x14ac:dyDescent="0.25">
      <c r="B30" s="25" t="s">
        <v>82</v>
      </c>
      <c r="C30" s="99">
        <v>5.4660418264349912E-2</v>
      </c>
    </row>
    <row r="31" spans="1:3" ht="14.25" customHeight="1" x14ac:dyDescent="0.25">
      <c r="B31" s="25" t="s">
        <v>29</v>
      </c>
      <c r="C31" s="99">
        <v>6.1967733026657798E-2</v>
      </c>
    </row>
    <row r="32" spans="1:3" ht="14.25" customHeight="1" x14ac:dyDescent="0.25">
      <c r="B32" s="25" t="s">
        <v>30</v>
      </c>
      <c r="C32" s="99">
        <v>0.50309486634994893</v>
      </c>
    </row>
    <row r="33" spans="1:5" ht="13.25" customHeight="1" x14ac:dyDescent="0.25">
      <c r="B33" s="27" t="s">
        <v>79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2.3803999999999998</v>
      </c>
    </row>
    <row r="38" spans="1:5" ht="15" customHeight="1" x14ac:dyDescent="0.25">
      <c r="B38" s="11" t="s">
        <v>54</v>
      </c>
      <c r="C38" s="43">
        <v>3.9929299999999999</v>
      </c>
      <c r="D38" s="12"/>
      <c r="E38" s="13"/>
    </row>
    <row r="39" spans="1:5" ht="15" customHeight="1" x14ac:dyDescent="0.25">
      <c r="B39" s="11" t="s">
        <v>80</v>
      </c>
      <c r="C39" s="43">
        <v>5.0016400000000001</v>
      </c>
      <c r="D39" s="12"/>
      <c r="E39" s="12"/>
    </row>
    <row r="40" spans="1:5" ht="15" customHeight="1" x14ac:dyDescent="0.25">
      <c r="B40" s="11" t="s">
        <v>55</v>
      </c>
      <c r="C40" s="100">
        <v>0.39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6.9491399999999999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5.0914999999999997E-3</v>
      </c>
      <c r="D45" s="12"/>
    </row>
    <row r="46" spans="1:5" ht="15.75" customHeight="1" x14ac:dyDescent="0.25">
      <c r="B46" s="11" t="s">
        <v>70</v>
      </c>
      <c r="C46" s="45">
        <v>5.4706900000000003E-2</v>
      </c>
      <c r="D46" s="12"/>
    </row>
    <row r="47" spans="1:5" ht="15.75" customHeight="1" x14ac:dyDescent="0.25">
      <c r="B47" s="11" t="s">
        <v>78</v>
      </c>
      <c r="C47" s="45">
        <v>7.6159900000000003E-2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3.2</v>
      </c>
      <c r="D51" s="12"/>
    </row>
    <row r="52" spans="1:4" ht="15" customHeight="1" x14ac:dyDescent="0.25">
      <c r="B52" s="11" t="s">
        <v>32</v>
      </c>
      <c r="C52" s="100">
        <v>3.2</v>
      </c>
    </row>
    <row r="53" spans="1:4" ht="15.75" customHeight="1" x14ac:dyDescent="0.25">
      <c r="B53" s="11" t="s">
        <v>35</v>
      </c>
      <c r="C53" s="100">
        <v>3.2</v>
      </c>
    </row>
    <row r="54" spans="1:4" ht="15.75" customHeight="1" x14ac:dyDescent="0.25">
      <c r="B54" s="11" t="s">
        <v>33</v>
      </c>
      <c r="C54" s="100">
        <v>3.2</v>
      </c>
    </row>
    <row r="55" spans="1:4" ht="15.75" customHeight="1" x14ac:dyDescent="0.25">
      <c r="B55" s="11" t="s">
        <v>34</v>
      </c>
      <c r="C55" s="100">
        <v>3.2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1.9375E-2</v>
      </c>
    </row>
    <row r="59" spans="1:4" ht="15.75" customHeight="1" x14ac:dyDescent="0.25">
      <c r="B59" s="11" t="s">
        <v>59</v>
      </c>
      <c r="C59" s="45">
        <v>0.57630200000000009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5.26355739999999E-2</v>
      </c>
    </row>
    <row r="63" spans="1:4" ht="15.75" customHeight="1" x14ac:dyDescent="0.3">
      <c r="A63" s="4"/>
    </row>
  </sheetData>
  <sheetProtection algorithmName="SHA-512" hashValue="pD2oRJDMBWP17eBO/OmnHiwcUm5GExwomOtIs+FuVw0Z+J62lp9L/noRfiw/vQ68xq0E4+eDLszegVa99QrTTw==" saltValue="lUy2qVKc6TEyyK16EHOS/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94650</v>
      </c>
      <c r="C2" s="49">
        <v>283213.5</v>
      </c>
      <c r="D2" s="49">
        <v>648262.99999999988</v>
      </c>
      <c r="E2" s="49">
        <v>733647.5</v>
      </c>
      <c r="F2" s="49">
        <v>662831.5</v>
      </c>
      <c r="G2" s="17">
        <f t="shared" ref="G2:G13" si="0">C2+D2+E2+F2</f>
        <v>2327955.5</v>
      </c>
      <c r="H2" s="17">
        <f t="shared" ref="H2:H13" si="1">(B2 + stillbirth*B2/(1000-stillbirth))/(1-abortion)</f>
        <v>108309.47589312613</v>
      </c>
      <c r="I2" s="17">
        <f t="shared" ref="I2:I13" si="2">G2-H2</f>
        <v>2219646.0241068737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93499</v>
      </c>
      <c r="C3" s="50">
        <v>285518.5</v>
      </c>
      <c r="D3" s="50">
        <v>638312</v>
      </c>
      <c r="E3" s="50">
        <v>722959.00000000012</v>
      </c>
      <c r="F3" s="50">
        <v>650970.5</v>
      </c>
      <c r="G3" s="17">
        <f t="shared" si="0"/>
        <v>2297760</v>
      </c>
      <c r="H3" s="17">
        <f t="shared" si="1"/>
        <v>106992.36858458955</v>
      </c>
      <c r="I3" s="17">
        <f t="shared" si="2"/>
        <v>2190767.6314154104</v>
      </c>
    </row>
    <row r="4" spans="1:9" ht="15.75" customHeight="1" x14ac:dyDescent="0.25">
      <c r="A4" s="5">
        <f t="shared" si="3"/>
        <v>2026</v>
      </c>
      <c r="B4" s="49">
        <v>92314</v>
      </c>
      <c r="C4" s="50">
        <v>291682.5</v>
      </c>
      <c r="D4" s="50">
        <v>625598</v>
      </c>
      <c r="E4" s="50">
        <v>711052.5</v>
      </c>
      <c r="F4" s="50">
        <v>645445.5</v>
      </c>
      <c r="G4" s="17">
        <f t="shared" si="0"/>
        <v>2273778.5</v>
      </c>
      <c r="H4" s="17">
        <f t="shared" si="1"/>
        <v>105636.35454408925</v>
      </c>
      <c r="I4" s="17">
        <f t="shared" si="2"/>
        <v>2168142.1454559108</v>
      </c>
    </row>
    <row r="5" spans="1:9" ht="15.75" customHeight="1" x14ac:dyDescent="0.25">
      <c r="A5" s="5">
        <f t="shared" si="3"/>
        <v>2027</v>
      </c>
      <c r="B5" s="49">
        <v>91231</v>
      </c>
      <c r="C5" s="50">
        <v>297379</v>
      </c>
      <c r="D5" s="50">
        <v>612069.99999999988</v>
      </c>
      <c r="E5" s="50">
        <v>699502</v>
      </c>
      <c r="F5" s="50">
        <v>646451</v>
      </c>
      <c r="G5" s="17">
        <f t="shared" si="0"/>
        <v>2255402</v>
      </c>
      <c r="H5" s="17">
        <f t="shared" si="1"/>
        <v>104397.06069948009</v>
      </c>
      <c r="I5" s="17">
        <f t="shared" si="2"/>
        <v>2151004.9393005199</v>
      </c>
    </row>
    <row r="6" spans="1:9" ht="15.75" customHeight="1" x14ac:dyDescent="0.25">
      <c r="A6" s="5">
        <f t="shared" si="3"/>
        <v>2028</v>
      </c>
      <c r="B6" s="49">
        <v>90374</v>
      </c>
      <c r="C6" s="50">
        <v>299581</v>
      </c>
      <c r="D6" s="50">
        <v>599646.50000000012</v>
      </c>
      <c r="E6" s="50">
        <v>685757.49999999988</v>
      </c>
      <c r="F6" s="50">
        <v>658002.5</v>
      </c>
      <c r="G6" s="17">
        <f t="shared" si="0"/>
        <v>2242987.5</v>
      </c>
      <c r="H6" s="17">
        <f t="shared" si="1"/>
        <v>103416.3821908651</v>
      </c>
      <c r="I6" s="17">
        <f t="shared" si="2"/>
        <v>2139571.117809135</v>
      </c>
    </row>
    <row r="7" spans="1:9" ht="15.75" customHeight="1" x14ac:dyDescent="0.25">
      <c r="A7" s="5">
        <f t="shared" si="3"/>
        <v>2029</v>
      </c>
      <c r="B7" s="49">
        <v>89461</v>
      </c>
      <c r="C7" s="50">
        <v>298380.5</v>
      </c>
      <c r="D7" s="50">
        <v>589367.99999999988</v>
      </c>
      <c r="E7" s="50">
        <v>669342.00000000012</v>
      </c>
      <c r="F7" s="50">
        <v>676914</v>
      </c>
      <c r="G7" s="17">
        <f t="shared" si="0"/>
        <v>2234004.5</v>
      </c>
      <c r="H7" s="17">
        <f t="shared" si="1"/>
        <v>102371.62200607457</v>
      </c>
      <c r="I7" s="17">
        <f t="shared" si="2"/>
        <v>2131632.8779939255</v>
      </c>
    </row>
    <row r="8" spans="1:9" ht="15.75" customHeight="1" x14ac:dyDescent="0.25">
      <c r="A8" s="5">
        <f t="shared" si="3"/>
        <v>2030</v>
      </c>
      <c r="B8" s="49">
        <v>88613</v>
      </c>
      <c r="C8" s="50">
        <v>294865.5</v>
      </c>
      <c r="D8" s="50">
        <v>581161</v>
      </c>
      <c r="E8" s="50">
        <v>653030</v>
      </c>
      <c r="F8" s="50">
        <v>697559</v>
      </c>
      <c r="G8" s="17">
        <f t="shared" si="0"/>
        <v>2226615.5</v>
      </c>
      <c r="H8" s="17">
        <f t="shared" si="1"/>
        <v>101401.2423382735</v>
      </c>
      <c r="I8" s="17">
        <f t="shared" si="2"/>
        <v>2125214.2576617263</v>
      </c>
    </row>
    <row r="9" spans="1:9" ht="15.75" customHeight="1" x14ac:dyDescent="0.25">
      <c r="A9" s="5">
        <f t="shared" si="3"/>
        <v>2031</v>
      </c>
      <c r="B9" s="49">
        <v>87798</v>
      </c>
      <c r="C9" s="50">
        <v>288561.5</v>
      </c>
      <c r="D9" s="50">
        <v>575143.5</v>
      </c>
      <c r="E9" s="50">
        <v>639615</v>
      </c>
      <c r="F9" s="50">
        <v>715069.50000000012</v>
      </c>
      <c r="G9" s="17">
        <f t="shared" si="0"/>
        <v>2218389.5</v>
      </c>
      <c r="H9" s="17">
        <f t="shared" si="1"/>
        <v>100468.62508679017</v>
      </c>
      <c r="I9" s="17">
        <f t="shared" si="2"/>
        <v>2117920.87491321</v>
      </c>
    </row>
    <row r="10" spans="1:9" ht="15.75" customHeight="1" x14ac:dyDescent="0.25">
      <c r="A10" s="5">
        <f t="shared" si="3"/>
        <v>2032</v>
      </c>
      <c r="B10" s="49">
        <v>87028</v>
      </c>
      <c r="C10" s="50">
        <v>280972.5</v>
      </c>
      <c r="D10" s="50">
        <v>569472</v>
      </c>
      <c r="E10" s="50">
        <v>630364.49999999988</v>
      </c>
      <c r="F10" s="50">
        <v>722563</v>
      </c>
      <c r="G10" s="17">
        <f t="shared" si="0"/>
        <v>2203372</v>
      </c>
      <c r="H10" s="17">
        <f t="shared" si="1"/>
        <v>99587.502039376457</v>
      </c>
      <c r="I10" s="17">
        <f t="shared" si="2"/>
        <v>2103784.4979606234</v>
      </c>
    </row>
    <row r="11" spans="1:9" ht="15.75" customHeight="1" x14ac:dyDescent="0.25">
      <c r="A11" s="5">
        <f t="shared" si="3"/>
        <v>2033</v>
      </c>
      <c r="B11" s="49">
        <v>86152</v>
      </c>
      <c r="C11" s="50">
        <v>274823.5</v>
      </c>
      <c r="D11" s="50">
        <v>563856</v>
      </c>
      <c r="E11" s="50">
        <v>623774.5</v>
      </c>
      <c r="F11" s="50">
        <v>720156.99999999988</v>
      </c>
      <c r="G11" s="17">
        <f t="shared" si="0"/>
        <v>2182611</v>
      </c>
      <c r="H11" s="17">
        <f t="shared" si="1"/>
        <v>98585.081533487624</v>
      </c>
      <c r="I11" s="17">
        <f t="shared" si="2"/>
        <v>2084025.9184665123</v>
      </c>
    </row>
    <row r="12" spans="1:9" ht="15.75" customHeight="1" x14ac:dyDescent="0.25">
      <c r="A12" s="5">
        <f t="shared" si="3"/>
        <v>2034</v>
      </c>
      <c r="B12" s="49">
        <v>85328</v>
      </c>
      <c r="C12" s="50">
        <v>268435.5</v>
      </c>
      <c r="D12" s="50">
        <v>560288</v>
      </c>
      <c r="E12" s="50">
        <v>617217.5</v>
      </c>
      <c r="F12" s="50">
        <v>713112</v>
      </c>
      <c r="G12" s="17">
        <f t="shared" si="0"/>
        <v>2159053</v>
      </c>
      <c r="H12" s="17">
        <f t="shared" si="1"/>
        <v>97642.165441190358</v>
      </c>
      <c r="I12" s="17">
        <f t="shared" si="2"/>
        <v>2061410.8345588096</v>
      </c>
    </row>
    <row r="13" spans="1:9" ht="15.75" customHeight="1" x14ac:dyDescent="0.25">
      <c r="A13" s="5">
        <f t="shared" si="3"/>
        <v>2035</v>
      </c>
      <c r="B13" s="49">
        <v>84480</v>
      </c>
      <c r="C13" s="50">
        <v>260136.5</v>
      </c>
      <c r="D13" s="50">
        <v>559729.5</v>
      </c>
      <c r="E13" s="50">
        <v>608153.5</v>
      </c>
      <c r="F13" s="50">
        <v>702971</v>
      </c>
      <c r="G13" s="17">
        <f t="shared" si="0"/>
        <v>2130990.5</v>
      </c>
      <c r="H13" s="17">
        <f t="shared" si="1"/>
        <v>96671.785773389289</v>
      </c>
      <c r="I13" s="17">
        <f t="shared" si="2"/>
        <v>2034318.7142266107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t3UQ8XITcM3SE3XVL9xlRTxNC1FT/jasc+eW7Q+RrH2ODsMkD/MHsuMRn+o9xxDrxwHW0akk4mm0BOru11mhfw==" saltValue="BFs+fo+1Qb2V4/CBJA8Gw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101">
        <v>0.1140902</v>
      </c>
    </row>
    <row r="5" spans="1:8" ht="15.75" customHeight="1" x14ac:dyDescent="0.25">
      <c r="B5" s="19" t="s">
        <v>114</v>
      </c>
      <c r="C5" s="101">
        <v>0.1053632</v>
      </c>
    </row>
    <row r="6" spans="1:8" ht="15.75" customHeight="1" x14ac:dyDescent="0.25">
      <c r="B6" s="19" t="s">
        <v>110</v>
      </c>
      <c r="C6" s="101">
        <v>0.1239611999999998</v>
      </c>
    </row>
    <row r="7" spans="1:8" ht="15.75" customHeight="1" x14ac:dyDescent="0.25">
      <c r="B7" s="19" t="s">
        <v>115</v>
      </c>
      <c r="C7" s="101">
        <v>0.33435490000000018</v>
      </c>
    </row>
    <row r="8" spans="1:8" ht="15.75" customHeight="1" x14ac:dyDescent="0.25">
      <c r="B8" s="19" t="s">
        <v>117</v>
      </c>
      <c r="C8" s="101">
        <v>0</v>
      </c>
    </row>
    <row r="9" spans="1:8" ht="15.75" customHeight="1" x14ac:dyDescent="0.25">
      <c r="B9" s="19" t="s">
        <v>111</v>
      </c>
      <c r="C9" s="101">
        <v>0.18478</v>
      </c>
    </row>
    <row r="10" spans="1:8" ht="15.75" customHeight="1" x14ac:dyDescent="0.25">
      <c r="B10" s="19" t="s">
        <v>113</v>
      </c>
      <c r="C10" s="101">
        <v>0.13745049999999989</v>
      </c>
    </row>
    <row r="11" spans="1:8" ht="15.75" customHeight="1" x14ac:dyDescent="0.25">
      <c r="B11" s="27" t="s">
        <v>79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3.8033273814434908E-2</v>
      </c>
      <c r="D14" s="55">
        <v>3.8033273814434908E-2</v>
      </c>
      <c r="E14" s="55">
        <v>3.8033273814434908E-2</v>
      </c>
      <c r="F14" s="55">
        <v>3.8033273814434908E-2</v>
      </c>
    </row>
    <row r="15" spans="1:8" ht="15.75" customHeight="1" x14ac:dyDescent="0.25">
      <c r="B15" s="19" t="s">
        <v>121</v>
      </c>
      <c r="C15" s="101">
        <v>0.281737931796603</v>
      </c>
      <c r="D15" s="101">
        <v>0.281737931796603</v>
      </c>
      <c r="E15" s="101">
        <v>0.281737931796603</v>
      </c>
      <c r="F15" s="101">
        <v>0.281737931796603</v>
      </c>
    </row>
    <row r="16" spans="1:8" ht="15.75" customHeight="1" x14ac:dyDescent="0.25">
      <c r="B16" s="19" t="s">
        <v>2</v>
      </c>
      <c r="C16" s="101">
        <v>9.9135393561145146E-2</v>
      </c>
      <c r="D16" s="101">
        <v>9.9135393561145146E-2</v>
      </c>
      <c r="E16" s="101">
        <v>9.9135393561145146E-2</v>
      </c>
      <c r="F16" s="101">
        <v>9.9135393561145146E-2</v>
      </c>
    </row>
    <row r="17" spans="1:8" ht="15.75" customHeight="1" x14ac:dyDescent="0.25">
      <c r="B17" s="19" t="s">
        <v>109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120</v>
      </c>
      <c r="C19" s="101">
        <v>9.0770348326293812E-2</v>
      </c>
      <c r="D19" s="101">
        <v>9.0770348326293812E-2</v>
      </c>
      <c r="E19" s="101">
        <v>9.0770348326293812E-2</v>
      </c>
      <c r="F19" s="101">
        <v>9.0770348326293812E-2</v>
      </c>
    </row>
    <row r="20" spans="1:8" ht="15.75" customHeight="1" x14ac:dyDescent="0.25">
      <c r="B20" s="19" t="s">
        <v>98</v>
      </c>
      <c r="C20" s="101">
        <v>0.1381062373663336</v>
      </c>
      <c r="D20" s="101">
        <v>0.1381062373663336</v>
      </c>
      <c r="E20" s="101">
        <v>0.1381062373663336</v>
      </c>
      <c r="F20" s="101">
        <v>0.1381062373663336</v>
      </c>
    </row>
    <row r="21" spans="1:8" ht="15.75" customHeight="1" x14ac:dyDescent="0.25">
      <c r="B21" s="19" t="s">
        <v>107</v>
      </c>
      <c r="C21" s="101">
        <v>0.26144625539141192</v>
      </c>
      <c r="D21" s="101">
        <v>0.26144625539141192</v>
      </c>
      <c r="E21" s="101">
        <v>0.26144625539141192</v>
      </c>
      <c r="F21" s="101">
        <v>0.26144625539141192</v>
      </c>
    </row>
    <row r="22" spans="1:8" ht="15.75" customHeight="1" x14ac:dyDescent="0.25">
      <c r="B22" s="19" t="s">
        <v>118</v>
      </c>
      <c r="C22" s="101">
        <v>9.0770559743777526E-2</v>
      </c>
      <c r="D22" s="101">
        <v>9.0770559743777526E-2</v>
      </c>
      <c r="E22" s="101">
        <v>9.0770559743777526E-2</v>
      </c>
      <c r="F22" s="101">
        <v>9.0770559743777526E-2</v>
      </c>
    </row>
    <row r="23" spans="1:8" ht="15.75" customHeight="1" x14ac:dyDescent="0.25">
      <c r="B23" s="27" t="s">
        <v>79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2.9679839999999999E-2</v>
      </c>
    </row>
    <row r="27" spans="1:8" ht="15.75" customHeight="1" x14ac:dyDescent="0.25">
      <c r="B27" s="19" t="s">
        <v>108</v>
      </c>
      <c r="C27" s="101">
        <v>2.1739139000000001E-2</v>
      </c>
    </row>
    <row r="28" spans="1:8" ht="15.75" customHeight="1" x14ac:dyDescent="0.25">
      <c r="B28" s="19" t="s">
        <v>122</v>
      </c>
      <c r="C28" s="101">
        <v>0.105935959</v>
      </c>
    </row>
    <row r="29" spans="1:8" ht="15.75" customHeight="1" x14ac:dyDescent="0.25">
      <c r="B29" s="19" t="s">
        <v>105</v>
      </c>
      <c r="C29" s="101">
        <v>0.11928900100000001</v>
      </c>
    </row>
    <row r="30" spans="1:8" ht="15.75" customHeight="1" x14ac:dyDescent="0.25">
      <c r="B30" s="19" t="s">
        <v>4</v>
      </c>
      <c r="C30" s="101">
        <v>5.9336512000000001E-2</v>
      </c>
    </row>
    <row r="31" spans="1:8" ht="15.75" customHeight="1" x14ac:dyDescent="0.25">
      <c r="B31" s="19" t="s">
        <v>99</v>
      </c>
      <c r="C31" s="101">
        <v>0.21511585599999999</v>
      </c>
    </row>
    <row r="32" spans="1:8" ht="15.75" customHeight="1" x14ac:dyDescent="0.25">
      <c r="B32" s="19" t="s">
        <v>104</v>
      </c>
      <c r="C32" s="101">
        <v>9.6009434000000005E-2</v>
      </c>
    </row>
    <row r="33" spans="2:3" ht="15.75" customHeight="1" x14ac:dyDescent="0.25">
      <c r="B33" s="19" t="s">
        <v>119</v>
      </c>
      <c r="C33" s="101">
        <v>7.9330116000000006E-2</v>
      </c>
    </row>
    <row r="34" spans="2:3" ht="15.75" customHeight="1" x14ac:dyDescent="0.25">
      <c r="B34" s="19" t="s">
        <v>106</v>
      </c>
      <c r="C34" s="101">
        <v>0.27356414400000001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WngwiT3zJWBDzo8n8g94KMvUUoYKLpUbigNLJc6U5HltU6+IKcrTEjQF4wrcLyBB/LmfPcHLc94ux/G1OJYqqA==" saltValue="TzOtbond3FF2i0tu74hiJ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0.68485481924739933</v>
      </c>
      <c r="D2" s="52">
        <f>IFERROR(1-_xlfn.NORM.DIST(_xlfn.NORM.INV(SUM(D4:D5), 0, 1) + 1, 0, 1, TRUE), "")</f>
        <v>0.68485481924739933</v>
      </c>
      <c r="E2" s="52">
        <f>IFERROR(1-_xlfn.NORM.DIST(_xlfn.NORM.INV(SUM(E4:E5), 0, 1) + 1, 0, 1, TRUE), "")</f>
        <v>0.81455925434745047</v>
      </c>
      <c r="F2" s="52">
        <f>IFERROR(1-_xlfn.NORM.DIST(_xlfn.NORM.INV(SUM(F4:F5), 0, 1) + 1, 0, 1, TRUE), "")</f>
        <v>0.65889496102337786</v>
      </c>
      <c r="G2" s="52">
        <f>IFERROR(1-_xlfn.NORM.DIST(_xlfn.NORM.INV(SUM(G4:G5), 0, 1) + 1, 0, 1, TRUE), "")</f>
        <v>0.67024705976319832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0.24588428075260066</v>
      </c>
      <c r="D3" s="52">
        <f>IFERROR(_xlfn.NORM.DIST(_xlfn.NORM.INV(SUM(D4:D5), 0, 1) + 1, 0, 1, TRUE) - SUM(D4:D5), "")</f>
        <v>0.24588428075260066</v>
      </c>
      <c r="E3" s="52">
        <f>IFERROR(_xlfn.NORM.DIST(_xlfn.NORM.INV(SUM(E4:E5), 0, 1) + 1, 0, 1, TRUE) - SUM(E4:E5), "")</f>
        <v>0.15638284565254959</v>
      </c>
      <c r="F3" s="52">
        <f>IFERROR(_xlfn.NORM.DIST(_xlfn.NORM.INV(SUM(F4:F5), 0, 1) + 1, 0, 1, TRUE) - SUM(F4:F5), "")</f>
        <v>0.26175383897662213</v>
      </c>
      <c r="G3" s="52">
        <f>IFERROR(_xlfn.NORM.DIST(_xlfn.NORM.INV(SUM(G4:G5), 0, 1) + 1, 0, 1, TRUE) - SUM(G4:G5), "")</f>
        <v>0.25490344023680167</v>
      </c>
    </row>
    <row r="4" spans="1:15" ht="15.75" customHeight="1" x14ac:dyDescent="0.25">
      <c r="B4" s="5" t="s">
        <v>129</v>
      </c>
      <c r="C4" s="45">
        <v>6.6390299999999999E-2</v>
      </c>
      <c r="D4" s="53">
        <v>6.6390299999999999E-2</v>
      </c>
      <c r="E4" s="53">
        <v>2.9057900000000001E-2</v>
      </c>
      <c r="F4" s="53">
        <v>7.5866900000000001E-2</v>
      </c>
      <c r="G4" s="53">
        <v>7.2968000000000005E-2</v>
      </c>
    </row>
    <row r="5" spans="1:15" ht="15.75" customHeight="1" x14ac:dyDescent="0.25">
      <c r="B5" s="5" t="s">
        <v>125</v>
      </c>
      <c r="C5" s="45">
        <v>2.8706000000000001E-3</v>
      </c>
      <c r="D5" s="53">
        <v>2.8706000000000001E-3</v>
      </c>
      <c r="E5" s="53">
        <v>0</v>
      </c>
      <c r="F5" s="53">
        <v>3.4843000000000001E-3</v>
      </c>
      <c r="G5" s="53">
        <v>1.8814999999999999E-3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0.75896258203655209</v>
      </c>
      <c r="D8" s="52">
        <f>IFERROR(1-_xlfn.NORM.DIST(_xlfn.NORM.INV(SUM(D10:D11), 0, 1) + 1, 0, 1, TRUE), "")</f>
        <v>0.75896258203655209</v>
      </c>
      <c r="E8" s="52">
        <f>IFERROR(1-_xlfn.NORM.DIST(_xlfn.NORM.INV(SUM(E10:E11), 0, 1) + 1, 0, 1, TRUE), "")</f>
        <v>0.83791117953739236</v>
      </c>
      <c r="F8" s="52">
        <f>IFERROR(1-_xlfn.NORM.DIST(_xlfn.NORM.INV(SUM(F10:F11), 0, 1) + 1, 0, 1, TRUE), "")</f>
        <v>0.853063761053518</v>
      </c>
      <c r="G8" s="52">
        <f>IFERROR(1-_xlfn.NORM.DIST(_xlfn.NORM.INV(SUM(G10:G11), 0, 1) + 1, 0, 1, TRUE), "")</f>
        <v>0.86964864494147098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0.19675051796344789</v>
      </c>
      <c r="D9" s="52">
        <f>IFERROR(_xlfn.NORM.DIST(_xlfn.NORM.INV(SUM(D10:D11), 0, 1) + 1, 0, 1, TRUE) - SUM(D10:D11), "")</f>
        <v>0.19675051796344789</v>
      </c>
      <c r="E9" s="52">
        <f>IFERROR(_xlfn.NORM.DIST(_xlfn.NORM.INV(SUM(E10:E11), 0, 1) + 1, 0, 1, TRUE) - SUM(E10:E11), "")</f>
        <v>0.13856712046260766</v>
      </c>
      <c r="F9" s="52">
        <f>IFERROR(_xlfn.NORM.DIST(_xlfn.NORM.INV(SUM(F10:F11), 0, 1) + 1, 0, 1, TRUE) - SUM(F10:F11), "")</f>
        <v>0.12673763894648199</v>
      </c>
      <c r="G9" s="52">
        <f>IFERROR(_xlfn.NORM.DIST(_xlfn.NORM.INV(SUM(G10:G11), 0, 1) + 1, 0, 1, TRUE) - SUM(G10:G11), "")</f>
        <v>0.11354685505852902</v>
      </c>
    </row>
    <row r="10" spans="1:15" ht="15.75" customHeight="1" x14ac:dyDescent="0.25">
      <c r="B10" s="5" t="s">
        <v>126</v>
      </c>
      <c r="C10" s="45">
        <v>2.0957400000000001E-2</v>
      </c>
      <c r="D10" s="53">
        <v>2.0957400000000001E-2</v>
      </c>
      <c r="E10" s="53">
        <v>1.6555899999999998E-2</v>
      </c>
      <c r="F10" s="53">
        <v>1.7121999999999998E-2</v>
      </c>
      <c r="G10" s="53">
        <v>1.17929E-2</v>
      </c>
    </row>
    <row r="11" spans="1:15" ht="15.75" customHeight="1" x14ac:dyDescent="0.25">
      <c r="B11" s="5" t="s">
        <v>138</v>
      </c>
      <c r="C11" s="45">
        <v>2.33295E-2</v>
      </c>
      <c r="D11" s="53">
        <v>2.33295E-2</v>
      </c>
      <c r="E11" s="53">
        <v>6.9657999999999994E-3</v>
      </c>
      <c r="F11" s="53">
        <v>3.0766000000000001E-3</v>
      </c>
      <c r="G11" s="53">
        <v>5.0116000000000006E-3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0.34035478875000003</v>
      </c>
      <c r="D14" s="54">
        <v>0.31335189346999998</v>
      </c>
      <c r="E14" s="54">
        <v>0.31335189346999998</v>
      </c>
      <c r="F14" s="54">
        <v>0.19796945741300001</v>
      </c>
      <c r="G14" s="54">
        <v>0.19796945741300001</v>
      </c>
      <c r="H14" s="45">
        <v>0.28499999999999998</v>
      </c>
      <c r="I14" s="55">
        <v>0.28499999999999998</v>
      </c>
      <c r="J14" s="55">
        <v>0.28499999999999998</v>
      </c>
      <c r="K14" s="55">
        <v>0.28499999999999998</v>
      </c>
      <c r="L14" s="45">
        <v>0.25</v>
      </c>
      <c r="M14" s="55">
        <v>0.25</v>
      </c>
      <c r="N14" s="55">
        <v>0.25</v>
      </c>
      <c r="O14" s="55">
        <v>0.25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0.19614714546620254</v>
      </c>
      <c r="D15" s="52">
        <f t="shared" si="0"/>
        <v>0.18058532291054796</v>
      </c>
      <c r="E15" s="52">
        <f t="shared" si="0"/>
        <v>0.18058532291054796</v>
      </c>
      <c r="F15" s="52">
        <f t="shared" si="0"/>
        <v>0.11409019424602675</v>
      </c>
      <c r="G15" s="52">
        <f t="shared" si="0"/>
        <v>0.11409019424602675</v>
      </c>
      <c r="H15" s="52">
        <f t="shared" si="0"/>
        <v>0.16424607000000002</v>
      </c>
      <c r="I15" s="52">
        <f t="shared" si="0"/>
        <v>0.16424607000000002</v>
      </c>
      <c r="J15" s="52">
        <f t="shared" si="0"/>
        <v>0.16424607000000002</v>
      </c>
      <c r="K15" s="52">
        <f t="shared" si="0"/>
        <v>0.16424607000000002</v>
      </c>
      <c r="L15" s="52">
        <f t="shared" si="0"/>
        <v>0.14407550000000002</v>
      </c>
      <c r="M15" s="52">
        <f t="shared" si="0"/>
        <v>0.14407550000000002</v>
      </c>
      <c r="N15" s="52">
        <f t="shared" si="0"/>
        <v>0.14407550000000002</v>
      </c>
      <c r="O15" s="52">
        <f t="shared" si="0"/>
        <v>0.14407550000000002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68NHB0/d18H3zD384toXOuSkNZZ4iRJWjCDVCSE+RJ3K2lUqTIBu5SYapSFk0t4Qz/0kRxKtdcpcltmAdfVneQ==" saltValue="eUAkzZWdaap7Rg50iuTVA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0.85080100000000003</v>
      </c>
      <c r="D2" s="53">
        <v>0.36791390000000002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0.1190153</v>
      </c>
      <c r="D3" s="53">
        <v>0.13744600000000001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3.0183700000000001E-2</v>
      </c>
      <c r="D4" s="53">
        <v>0.3566627</v>
      </c>
      <c r="E4" s="53">
        <v>0.53054849999999998</v>
      </c>
      <c r="F4" s="53">
        <v>0.24713470000000001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0</v>
      </c>
      <c r="D5" s="52">
        <f t="shared" si="0"/>
        <v>0.13797740000000003</v>
      </c>
      <c r="E5" s="52">
        <f>1-SUM(E2:E4)</f>
        <v>0.46945150000000002</v>
      </c>
      <c r="F5" s="52">
        <f>1-SUM(F2:F4)</f>
        <v>0.75286529999999996</v>
      </c>
      <c r="G5" s="52">
        <f>1-SUM(G2:G4)</f>
        <v>1</v>
      </c>
    </row>
  </sheetData>
  <sheetProtection algorithmName="SHA-512" hashValue="nJWKzT/FSIe3hA98GYNpxic2BfbECOGiIKqHffzJaXCgnibRWYt/YLd025fLl3ylOWzlkXqgWYuohIOAIzf+7w==" saltValue="F5f91usDPqjyGO7Wtp5UY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4OWWhx5ZUBIullXjh1l39uyK1mGHPAbyjEPVK5nfJ/3Kuql27QFDAma/yIIjFkrv0ZOAjEF3JipvLHstIgL0yQ==" saltValue="yMlnNmgpXcliy4DDbeRtj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abSelected="1"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9499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0.41922999999999999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0.51119999999999999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1.0712240838871987E-2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99458.483229999998</v>
      </c>
      <c r="C22" s="109">
        <v>99367.002160000004</v>
      </c>
      <c r="D22" s="109">
        <v>99260.373470000006</v>
      </c>
      <c r="E22" s="109">
        <v>99067.585720000003</v>
      </c>
      <c r="F22" s="109">
        <v>98813.584170000002</v>
      </c>
      <c r="G22" s="109">
        <v>98472.610960000005</v>
      </c>
      <c r="H22" s="109">
        <v>98046.481</v>
      </c>
      <c r="I22" s="109">
        <v>97404.418040000004</v>
      </c>
      <c r="J22" s="109">
        <v>96507.249129999997</v>
      </c>
      <c r="K22" s="109">
        <v>95182.85626</v>
      </c>
      <c r="L22" s="109">
        <v>93093.032179999995</v>
      </c>
      <c r="M22" s="109">
        <v>89401.177710000004</v>
      </c>
      <c r="N22" s="109">
        <v>84152.425000000003</v>
      </c>
      <c r="O22" s="109">
        <v>76525.274690000006</v>
      </c>
    </row>
  </sheetData>
  <sheetProtection algorithmName="SHA-512" hashValue="XTwwaEdGf4zJ8tkJ/rX7AShdHbek5yf/TWzbGBcG+2Yeh81vLb+9CeCQbeNPd46UWi5TG1ge3+zwgXNLoinD4A==" saltValue="jpMbaqJk+/Zx6Dy4HNSHe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p7DuAzbpmpqfA9pk0ayEbCYpIL+lgZQ5csxQv5sccvJt/jx5QUABexHb8M5Qn8ILmalmyAgn6T9U6cTVCA5ugA==" saltValue="lRPHIHLYCDAe3vFTiw3Ok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OXOWbTDjpZFg7u+pcDcjdBHF2xHyqLEfy6QEGM7v3a/OYpbaz87ubYtrYwbAxtPzX1vkNrnubkyGAiKGthX6vQ==" saltValue="OWJzvQmQPgVhxZsUUBidy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19.75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19.75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21.195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0.48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0.79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0.32855565777368906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</v>
      </c>
      <c r="C10" s="98">
        <v>0.95</v>
      </c>
      <c r="D10" s="56">
        <v>13.57242575163446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13.57242575163446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13.57242575163446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13.57242575163446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</v>
      </c>
      <c r="C14" s="98">
        <v>0.95</v>
      </c>
      <c r="D14" s="56">
        <v>13.57242575163446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13.57242575163446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</v>
      </c>
      <c r="C16" s="98">
        <v>0.95</v>
      </c>
      <c r="D16" s="56">
        <v>2.5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0.50578611111111105</v>
      </c>
      <c r="C17" s="98">
        <v>0.95</v>
      </c>
      <c r="D17" s="56">
        <v>0.14000000000000001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0.36791390000000002</v>
      </c>
      <c r="C18" s="98">
        <v>0.95</v>
      </c>
      <c r="D18" s="56">
        <v>21.195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0.36791390000000002</v>
      </c>
      <c r="C19" s="98">
        <v>0.95</v>
      </c>
      <c r="D19" s="56">
        <v>18.465600261324941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7.48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21.195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</v>
      </c>
      <c r="C23" s="98">
        <v>0.95</v>
      </c>
      <c r="D23" s="56">
        <v>4.6294916046252768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0.918145914718136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</v>
      </c>
      <c r="C26" s="98">
        <v>0.95</v>
      </c>
      <c r="D26" s="56">
        <v>4.4421306161984946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9.2958524157825622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0.35173209999999999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0.47701749999999998</v>
      </c>
      <c r="C29" s="98">
        <v>0.95</v>
      </c>
      <c r="D29" s="56">
        <v>170.67126179613081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53.05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123.05968780269725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</v>
      </c>
      <c r="C32" s="98">
        <v>0.95</v>
      </c>
      <c r="D32" s="56">
        <v>1.5917274986535743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0.93379220000000007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0.87967550000000005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8.3532200000000001E-2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0.79862369999999994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0.16102330000000001</v>
      </c>
      <c r="C38" s="98">
        <v>0.95</v>
      </c>
      <c r="D38" s="56">
        <v>2.4500000000000002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3.43</v>
      </c>
      <c r="E39" s="56" t="s">
        <v>212</v>
      </c>
      <c r="F39" s="98">
        <v>1</v>
      </c>
      <c r="G39" s="98">
        <v>1</v>
      </c>
    </row>
  </sheetData>
  <sheetProtection algorithmName="SHA-512" hashValue="lnjfiXHoAL7QjVv0Frlf6hffSvNmdfPiifjQpJT2rzgMy2DNjb7wES5hw7VtgyyJ/Y+MWah2htGoNJKsRq99uA==" saltValue="MRtW/zhfqD5txwLYk+u6P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BaVH10cIkct0dB4qsKKNunSX7WkhOQ8Baj/0/6dTkNnZtyb1VEcddFwjVrFd0rA5Xcwtig+wcBSi4TIiQvp1dg==" saltValue="OQYPAF9vGF/MZ9Iuso9ca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vM08sjDi4KMQVcATo+tPXkzyJC7xVxIelYpRXV08yQYcNmT9F1PFOEuQe6AR8EMtOsnibyQ7MihOLRBmZ6lnuw==" saltValue="bSb94LCQD4fiif+Oj1BX7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5.4489240000000001E-2</v>
      </c>
      <c r="C3" s="21">
        <f>frac_mam_1_5months * 2.6</f>
        <v>5.4489240000000001E-2</v>
      </c>
      <c r="D3" s="21">
        <f>frac_mam_6_11months * 2.6</f>
        <v>4.3045339999999994E-2</v>
      </c>
      <c r="E3" s="21">
        <f>frac_mam_12_23months * 2.6</f>
        <v>4.45172E-2</v>
      </c>
      <c r="F3" s="21">
        <f>frac_mam_24_59months * 2.6</f>
        <v>3.0661540000000001E-2</v>
      </c>
    </row>
    <row r="4" spans="1:6" ht="15.75" customHeight="1" x14ac:dyDescent="0.25">
      <c r="A4" s="3" t="s">
        <v>236</v>
      </c>
      <c r="B4" s="21">
        <f>frac_sam_1month * 2.6</f>
        <v>6.0656700000000001E-2</v>
      </c>
      <c r="C4" s="21">
        <f>frac_sam_1_5months * 2.6</f>
        <v>6.0656700000000001E-2</v>
      </c>
      <c r="D4" s="21">
        <f>frac_sam_6_11months * 2.6</f>
        <v>1.8111079999999998E-2</v>
      </c>
      <c r="E4" s="21">
        <f>frac_sam_12_23months * 2.6</f>
        <v>7.99916E-3</v>
      </c>
      <c r="F4" s="21">
        <f>frac_sam_24_59months * 2.6</f>
        <v>1.3030160000000002E-2</v>
      </c>
    </row>
  </sheetData>
  <sheetProtection algorithmName="SHA-512" hashValue="+n92RdlZRGKqoDVLOzQPan+2UfHcDn7BYiijZvl8CfmFw8A1le/dfZ8cbkN1tGzsE74INgVTkP79S4cAsKVHjA==" saltValue="NRtwr4m9ph6j3CrOzXgPB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1.4999999999999999E-2</v>
      </c>
      <c r="F2" s="60">
        <f>food_insecure</f>
        <v>1.4999999999999999E-2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1.4999999999999999E-2</v>
      </c>
      <c r="I15" s="60">
        <f t="shared" si="0"/>
        <v>1.4999999999999999E-2</v>
      </c>
      <c r="J15" s="60">
        <f t="shared" si="0"/>
        <v>1.4999999999999999E-2</v>
      </c>
      <c r="K15" s="60">
        <f t="shared" si="0"/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1.4999999999999999E-2</v>
      </c>
      <c r="I16" s="60">
        <f t="shared" si="0"/>
        <v>1.4999999999999999E-2</v>
      </c>
      <c r="J16" s="60">
        <f t="shared" si="0"/>
        <v>1.4999999999999999E-2</v>
      </c>
      <c r="K16" s="60">
        <f t="shared" si="0"/>
        <v>1.4999999999999999E-2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0.11600000000000001</v>
      </c>
      <c r="M24" s="60">
        <f>famplan_unmet_need</f>
        <v>0.11600000000000001</v>
      </c>
      <c r="N24" s="60">
        <f>famplan_unmet_need</f>
        <v>0.11600000000000001</v>
      </c>
      <c r="O24" s="60">
        <f>famplan_unmet_need</f>
        <v>0.11600000000000001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5.2958994430541827E-2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2.2696711898803641E-2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3.1733514862060448E-2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0.89261077880859407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EH30Y8GFskn9MJEGm6+vWb1rKlJNnwKON6m7NLM8opAmsx6cPvgbbBgeJjJDnSVn2fstovkHUifFoOEtccVJ9g==" saltValue="rpHvnXaNahepFyNAFBctr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6Hga+nP/zbpcCgYtnU/h4hd7EXgG3ZSt/JC3akQBYL+zvuuzoGQi/NAfmSDmbkBLv8GGF//jczVFvd5xvf9iuA==" saltValue="gjdUee3c32ojZgb5DbajX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tPZxkej7IWRncJRPK/Quld7NkXGjBAE+vcTXi7nStm8fw0T/0YOmdM7uYlkLAFWcVW0Fqe69nZn+FbYPdTnUsA==" saltValue="fVHrCELMBALYtF+CTdpmB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FrHzLnvt1SvKakScxM57a+PQyEgTD39Nc0He/khkcnc61MZrOv9XxsS+u6CB+POF5PB9BHmQTHU1Bg61hZ0Xdg==" saltValue="Wauo2syDTnYonP1piRS3i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OEr4MT6Yu/o+YwYRgEFR+ZF9ulZjcmL4340Neyf5KrW0q+S/PAfLbGP1i/eQcH13ZVQ3P+rxjuabs+FPra0PGw==" saltValue="7JRgcqA3j0BNUbWv1xJzy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tOrdwGeXxDuU+h/4ez7bw2uzVj/mZRnZNMC92bVQZtvX158DHQ3x+I6AbdYEIks6T+rbkbIhGHXyiuN5rTPkwA==" saltValue="r9HvGL43ajXL7p5Rn7xfc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52XP8yRLw22u1tkAjRJ9fDVPtOWpZpW2u7lGefRef/Z0V4Vhi4mnHkgL6AIFo+R6iogjTjF/sK8WH1kJrpZYRg==" saltValue="M58wdNtkwD7R39Leqy0iEg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8VnxZdssISLDhI2M0T3+1fe3hdxs2yHB82G6udHXFwNSxQ/rCXL7dkZMgPSXtChsCeB/Js00Fd4UB2rWDTD9dw==" saltValue="VHZInJ4OUQU2ikWnVlW2X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WfWzvP1j8FoSf+yw30qp6moFNglsK7nLUaFsvnfo8efaeZ8O4R39ORtd4vLtMEKt3PpGuJxGhan1FFLDF8t/JA==" saltValue="thiwSjlIsc9tQXLg0VMtl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pdsKMPwWBfSzg7SLL0zvfn6ZLokhh/G82i0TVG54jizSArjWl4d4OvifHvnVX4/lsqjVUniFWAhldyYEg6DKaw==" saltValue="fR9IdZ7A8+G2i+ZoJw4Ak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inJLw4Cs9CZlO5Wl2AhHMBQd+cNBYDAk6VZEo841dTyfla9J1G4cYUayMSqy8PR8bF2GBrHHKuspUohzng6OtA==" saltValue="YYNBJPRH5D8Wq47cr0BuT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L1pEgUvwnQVnDHtEI/x4PIoq48+tdziKdxqvhKkDOlJ6GPyHBn6nTzLUIHplxS9zKv5KpxG5kFju578Z7ck3og==" saltValue="IFcanvGv5Rfg/oab5Pe+R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c5U7eJbU6qz2jSQIriUced2PdIygK3pJQrbFqVoRI1BhnSPnH0XV3niBJRYL778aheZJ1WX1DkFbAhmNZFvRBA==" saltValue="BsrFSV3U3bmjgGUQ9Fd4p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bbvfaAy+LxV8px1JBYaorhodUWz1cQK8LEHLWmMzlVmtJq+5DMl+dCyoEEHhEMMj9eOkSJtHrZtP41RSq/FUDg==" saltValue="pNdETbLK0ZsTOavsfwbST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zWz2gYNB1v2o+IdQBop0ks0eBTt5hgM1xK0oDftCg+IDLt6ROYun/+L4BznAHIddwjMl7sBvJpshCAuzaSGQ2g==" saltValue="3H5sXh92+jjXb+jyvp10q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2025-07-08T03:15:33Z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