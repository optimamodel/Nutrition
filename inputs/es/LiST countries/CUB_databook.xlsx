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C719711-9498-4E0C-AF24-A9BAB64DCF1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6" i="2" l="1"/>
  <c r="A39" i="2"/>
  <c r="A33" i="2"/>
  <c r="A18" i="2"/>
  <c r="I4" i="2"/>
  <c r="I8" i="2"/>
  <c r="I12" i="2"/>
  <c r="A23" i="2"/>
  <c r="A28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7" i="2"/>
  <c r="A34" i="2"/>
  <c r="A20" i="2"/>
  <c r="A36" i="2"/>
  <c r="A25" i="2"/>
  <c r="A16" i="2"/>
  <c r="A24" i="2"/>
  <c r="A32" i="2"/>
  <c r="A19" i="2"/>
  <c r="A27" i="2"/>
  <c r="A35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<sst xmlns="http://schemas.openxmlformats.org/spreadsheetml/2006/main" count="2101" uniqueCount="341">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</sst>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498418.4453125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0.89261077880859407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0.13220000000000001</v>
      </c>
    </row>
    <row r="24" spans="1:3" ht="15" customHeight="1" x14ac:dyDescent="0.25">
      <c r="B24" s="15" t="s">
        <v>46</v>
      </c>
      <c r="C24" s="45">
        <v>0.57689999999999997</v>
      </c>
    </row>
    <row r="25" spans="1:3" ht="15" customHeight="1" x14ac:dyDescent="0.25">
      <c r="B25" s="15" t="s">
        <v>47</v>
      </c>
      <c r="C25" s="45">
        <v>0.27529999999999999</v>
      </c>
    </row>
    <row r="26" spans="1:3" ht="15" customHeight="1" x14ac:dyDescent="0.25">
      <c r="B26" s="15" t="s">
        <v>48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2.3803999999999998</v>
      </c>
    </row>
    <row r="38" spans="1:5" ht="15" customHeight="1" x14ac:dyDescent="0.25">
      <c r="B38" s="11" t="s">
        <v>35</v>
      </c>
      <c r="C38" s="43">
        <v>3.9929299999999999</v>
      </c>
      <c r="D38" s="12"/>
      <c r="E38" s="13"/>
    </row>
    <row r="39" spans="1:5" ht="15" customHeight="1" x14ac:dyDescent="0.25">
      <c r="B39" s="11" t="s">
        <v>61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5.0914999999999997E-3</v>
      </c>
      <c r="D45" s="12"/>
    </row>
    <row r="46" spans="1:5" ht="15.75" customHeight="1" x14ac:dyDescent="0.25">
      <c r="B46" s="11" t="s">
        <v>51</v>
      </c>
      <c r="C46" s="45">
        <v>5.4706900000000003E-2</v>
      </c>
      <c r="D46" s="12"/>
    </row>
    <row r="47" spans="1:5" ht="15.75" customHeight="1" x14ac:dyDescent="0.25">
      <c r="B47" s="11" t="s">
        <v>59</v>
      </c>
      <c r="C47" s="45">
        <v>7.6159900000000003E-2</v>
      </c>
      <c r="D47" s="12"/>
      <c r="E47" s="13"/>
    </row>
    <row r="48" spans="1:5" ht="15" customHeight="1" x14ac:dyDescent="0.25">
      <c r="B48" s="11" t="s">
        <v>58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0.57630200000000009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AqG97nU4tpcw73LJ+wQhJUlwhUg5vJd5I6xKEjFS/wChIBKlTAMTDVDALgS2KVZlB+mSsw2nm4MzSa/v+WZORg==" saltValue="Sa8dfIFngkPuMFxq5Zp9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z4+FqhabLgSZ/LaoItqk1jptRxYIlpYPQN23qBGiLYZwDXs7dllxIVQD7Rkg2wg5M+XYHdWH94K+hGt/h+fGw==" saltValue="6e4vC8bAjSNbo+yb88dN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0.1140902</v>
      </c>
    </row>
    <row r="5" spans="1:8" ht="15.75" customHeight="1" x14ac:dyDescent="0.25">
      <c r="B5" s="19" t="s">
        <v>95</v>
      </c>
      <c r="C5" s="101">
        <v>0.1053632</v>
      </c>
    </row>
    <row r="6" spans="1:8" ht="15.75" customHeight="1" x14ac:dyDescent="0.25">
      <c r="B6" s="19" t="s">
        <v>91</v>
      </c>
      <c r="C6" s="101">
        <v>0.1239611999999998</v>
      </c>
    </row>
    <row r="7" spans="1:8" ht="15.75" customHeight="1" x14ac:dyDescent="0.25">
      <c r="B7" s="19" t="s">
        <v>96</v>
      </c>
      <c r="C7" s="101">
        <v>0.33435490000000018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0.18478</v>
      </c>
    </row>
    <row r="10" spans="1:8" ht="15.75" customHeight="1" x14ac:dyDescent="0.25">
      <c r="B10" s="19" t="s">
        <v>94</v>
      </c>
      <c r="C10" s="101">
        <v>0.13745049999999989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102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2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79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99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2.9679839999999999E-2</v>
      </c>
    </row>
    <row r="27" spans="1:8" ht="15.75" customHeight="1" x14ac:dyDescent="0.25">
      <c r="B27" s="19" t="s">
        <v>89</v>
      </c>
      <c r="C27" s="101">
        <v>2.1739139000000001E-2</v>
      </c>
    </row>
    <row r="28" spans="1:8" ht="15.75" customHeight="1" x14ac:dyDescent="0.25">
      <c r="B28" s="19" t="s">
        <v>103</v>
      </c>
      <c r="C28" s="101">
        <v>0.105935959</v>
      </c>
    </row>
    <row r="29" spans="1:8" ht="15.75" customHeight="1" x14ac:dyDescent="0.25">
      <c r="B29" s="19" t="s">
        <v>86</v>
      </c>
      <c r="C29" s="101">
        <v>0.11928900100000001</v>
      </c>
    </row>
    <row r="30" spans="1:8" ht="15.75" customHeight="1" x14ac:dyDescent="0.25">
      <c r="B30" s="19" t="s">
        <v>4</v>
      </c>
      <c r="C30" s="101">
        <v>5.9336512000000001E-2</v>
      </c>
    </row>
    <row r="31" spans="1:8" ht="15.75" customHeight="1" x14ac:dyDescent="0.25">
      <c r="B31" s="19" t="s">
        <v>80</v>
      </c>
      <c r="C31" s="101">
        <v>0.21511585599999999</v>
      </c>
    </row>
    <row r="32" spans="1:8" ht="15.75" customHeight="1" x14ac:dyDescent="0.25">
      <c r="B32" s="19" t="s">
        <v>85</v>
      </c>
      <c r="C32" s="101">
        <v>9.6009434000000005E-2</v>
      </c>
    </row>
    <row r="33" spans="2:3" ht="15.75" customHeight="1" x14ac:dyDescent="0.25">
      <c r="B33" s="19" t="s">
        <v>100</v>
      </c>
      <c r="C33" s="101">
        <v>7.9330116000000006E-2</v>
      </c>
    </row>
    <row r="34" spans="2:3" ht="15.75" customHeight="1" x14ac:dyDescent="0.25">
      <c r="B34" s="19" t="s">
        <v>87</v>
      </c>
      <c r="C34" s="101">
        <v>0.27356414400000001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A2NLK6oH2zHjXAn+q0sE/lmzlQrzJbxOsy19YNDWhmMlOxv80Y7m5rv1A7DeMEpDfc4leIK4qh6VeQG1LAeA2w==" saltValue="tynLUlb91lFr98mLIrLM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110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106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107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119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JQP8onFRSgaaInKdzDET4I72gsvEYsk/GtVRQUzMjOP9K2DwGkRnwPk7+parK5gKgEqmQqnfMSmQsj1mFYgmw==" saltValue="2IOb1NAvUuCPJRxW49x1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125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JUwyHRTsqFKY/RX1ghigvErFYliuK+vzVLfhALEFCskQJ5GosyvMZxrKh/uI00ItzjWaqMtR8IBBvz5xC+9ofQ==" saltValue="uQv0fHDH0nnBaTRXeEwg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EJbGoXE7uzrK1426qibOzPvPK/ezmIxQwlArksSP+eUVzjO0+3GmNLJZtYWU91+WxQXAeHyiRuZIlrwcj0FvA==" saltValue="eZ5GB/D6rM7/jkdLY/i+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2qmIuqfi2g7LGf9AV2Q5+6FixjnUFsTd2KO9BbWrNSonF2aYmYgvN4YWZi+6iFl0yyBBZhBz81mX0YKr6eibYA==" saltValue="G6rkeOWQhKiprdsH4HlA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3rHkuBE2r8DSJBZoJruEzu/CMYda4kWYONCsuRdu/KzoMSgYZ6es3l3Jbm3L0plbki5s4Du/LFudanbqYQKifQ==" saltValue="F1SzWZKGbAfxABUN/McV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2hDHDwrCbapWBSPGGv1sjsUFzwx+Kv3eqBNxQN3buOW39p37RSZfPJj5asJP4IQ2Dti0umzBK6ps25HqCNBGQ==" saltValue="eqR60APyyx7rkv30P6NJ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83.013851094978818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40.440126307838547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806.1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9.8831856591429368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13.57242575163446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13.57242575163446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13.57242575163446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13.57242575163446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13.57242575163446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13.57242575163446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1.27919155152981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0.50578611111111105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0.36791390000000002</v>
      </c>
      <c r="C18" s="98">
        <v>0.95</v>
      </c>
      <c r="D18" s="56">
        <v>18.465600261324941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0.36791390000000002</v>
      </c>
      <c r="C19" s="98">
        <v>0.95</v>
      </c>
      <c r="D19" s="56">
        <v>18.465600261324941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143.79383063706061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4.6294916046252768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0.918145914718136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19.135548002264301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0.35173209999999999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0.47701749999999998</v>
      </c>
      <c r="C29" s="98">
        <v>0.95</v>
      </c>
      <c r="D29" s="56">
        <v>170.67126179613081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1.646089855331895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2.8042389349532271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0.93379220000000007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0.87967550000000005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8.3532200000000001E-2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0.79862369999999994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0.16102330000000001</v>
      </c>
      <c r="C38" s="98">
        <v>0.95</v>
      </c>
      <c r="D38" s="56">
        <v>1.831778577435033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VnPioKL8UAcS2neRXcRA3LrANxW4+ahdw/1wldKWYjtz+TBeXC/Pawy1R5ci/maCIl6TdWjojJjWnWKg5YRmA==" saltValue="lzzACpfboi2Eea095Hml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iZZIkMpJGKt6etRbZsbJMFUGcwP9yzcelbUxCpgUArwLz0glR1fwVagstb+iHH2kgrp6OcLR/S2SlJyoEGKog==" saltValue="t0VwcOCuE2vvfftkAYCG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kZyN0VMpg5vFVBC9tiEpyb7av5d5E1N7Rt69QkeN4ilJeZHGFiB9fiCJ1sBpX/4aF0dw/fYdOg1GfKK2LjRVew==" saltValue="Aj5gSmtYDG9d6Q3lQLDe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207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OZ10r1E3JLm/Q8urgrTs5hbXgZLujx06d+JzifTMUXGpHSv3zavA68TMY62qrwCJJBmSEpq1+/ggSlzWjKy9Og==" saltValue="dFd0qRaSpeNbRTi4FpU/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lTkTM1PPSgaq0nTj69DYnLTavxsbgz/1/oeogjLrs1XQ8yc6JNtV10Qq5BncAM46L6u0+S50ouhUJfhH7reAg==" saltValue="TdXoUtROm4Kq8WK8TgLA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QYYycFzGymMUvUM3d0fuFSmgT0eVgAbOL8RsMRSLGh85zY34pdqHFBHTK1KIkx/5+zFUU6eGSWnJFmG+o4zIA==" saltValue="JXGpBwnCUb/ZFTnPCcaa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378K8LL7exWpsyI+nJIEaXjuH8HJHejCKa9uv/nnB5Mt1mgXlLfwiIeHqhhqsh/WYQxIk+KmAi6ZAKLww75IA==" saltValue="gCwbTxSpncRA71Dw/sA6W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DSwDYG7Jla7IYlUSFfdgtcg8SJabt6gJ34Pdvz87VIaBgeAyUNz5cQQaS0QXBav2fAab7ot2Dbh2IymfhuDJw==" saltValue="E6Cwkbj0VmNEUUFur9pY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IBF2kX4+hIKP+6zuUMItq0vHP+NhssRssFnfxnp9ZBKtt1cNQ0KrRq9+8QOEjmE+Y7w1pisDHXcdbUtDPQCNA==" saltValue="7JhMuWLRRYM0OfeA4QBU+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i8jtblxnmfu+CzBNRUCe2h4rNI1z8dv74CiHi7hWMcMAGOMCgnor+lp2i/Dtk/1RNwD20l/gOqXTD2NoUpY5Q==" saltValue="DReiQTUBFdmxiafRx6R/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eDdp+dOsn7RgzakgE9BW44cBFYhtCHIQpEg1R/91OK+uxTP7clPH0Eoqo9NlIdQ6xKoWryk40zoQDskWeWqrA==" saltValue="PiW182M3vCDhltp8M+IR1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bXdy9edvE1j6pbCJ6SQ4/Az/eXm46w+OMES7wcdYQq5949HoZ86Rn6DkGDZl8QnAckkhG5cPfJ9+hNtBbo50Q==" saltValue="+1g7nrBJc5NtmCi+4LS2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ZQ/eTw1GiEN5++MksYFIRsUHUiyq9ukhKAvzl5KWZBhi6DpekHkbySjPbGpEIOO0e4A7OlVl3UepJxEykaEAg==" saltValue="kiKOowU2+xvdBReHSEQ1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i8ky4VoSSHFfUhAmp5X1gWTRCtD6cWzhbnwY++3ETG9yf0yzpntxY5VA4YZfN9I1aXrZqDnyN4MYanNOVzUwg==" saltValue="P3c6XmFGPDImwyb2SY69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4z+2iB75ShTghaVI763y3hJOHSMR6X3NtD2Dj34gWc+PfuZ4oKi3bkknIuJS0xEVv9WhPCBK/7IOSUqSSo1Cg==" saltValue="bFer3zGqX4sfyHfHAUSx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6l8K+beRfFx9nPSkmplnXsJ7Q+BP1fNKqH2qM3VbtLivLlnmozRjB2mrmO4FFVxmZ5pPog4tRAYx6k/SOaHxQ==" saltValue="xRKjFs6n/5gTySr4vzQ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aIY+LcnrskFAByDSjqDXKSgVPgS+UBHwffRffNjBouy7HXR2gKmsuACrjNxZrhMqEieqMMalq5UadoSo4PD1Q==" saltValue="MLAsJWVb2TQs2YFg4fZ0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0.1093175252419063</v>
      </c>
      <c r="G18" s="90">
        <f>MIN(MAX(1-0.89/(1-frac_sam_12_23months+(frac_sam_12_23months*0.89)),0),1)</f>
        <v>0.10969869889187112</v>
      </c>
      <c r="H18" s="90">
        <f>MIN(MAX(1-0.89/(1-frac_sam_24_59months+(frac_sam_24_59months*0.89)),0),1)</f>
        <v>0.10950909373515794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0.10837622024512317</v>
      </c>
      <c r="G20" s="90">
        <f>MIN(MAX(1-0.89/(1-frac_mam_12_23months+(frac_mam_12_23months*0.89)),0),1)</f>
        <v>0.10832059317159126</v>
      </c>
      <c r="H20" s="90">
        <f>MIN(MAX(1-0.89/(1-frac_mam_24_59months+(frac_mam_24_59months*0.89)),0),1)</f>
        <v>0.10884397547301916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9.9310337759507261E-3</v>
      </c>
      <c r="G73" s="90">
        <f>MIN(MAX(1-0.99/(1-frac_sam_12_23months+(frac_sam_12_23months*0.99)),0),1)</f>
        <v>9.9695407228899136E-3</v>
      </c>
      <c r="H73" s="90">
        <f>MIN(MAX(1-0.99/(1-frac_sam_24_59months+(frac_sam_24_59months*0.99)),0),1)</f>
        <v>9.9503826733779999E-3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9.8360694498220713E-3</v>
      </c>
      <c r="G75" s="90">
        <f>MIN(MAX(1-0.99/(1-frac_mam_12_23months+(frac_mam_12_23months*0.99)),0),1)</f>
        <v>9.8304631719043911E-3</v>
      </c>
      <c r="H75" s="90">
        <f>MIN(MAX(1-0.99/(1-frac_mam_24_59months+(frac_mam_24_59months*0.99)),0),1)</f>
        <v>9.8832365201996231E-3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0.19888391711797204</v>
      </c>
      <c r="G128" s="90">
        <f>MIN(MAX(1-0.8/(1-frac_sam_12_23months+(frac_sam_12_23months*0.8)),0),1)</f>
        <v>0.199507440918546</v>
      </c>
      <c r="H128" s="90">
        <f>MIN(MAX(1-0.8/(1-frac_sam_24_59months+(frac_sam_24_59months*0.8)),0),1)</f>
        <v>0.19919733947730489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0.19734225573032915</v>
      </c>
      <c r="G130" s="90">
        <f>MIN(MAX(1-0.8/(1-frac_mam_12_23months+(frac_mam_12_23months*0.8)),0),1)</f>
        <v>0.19725106655230162</v>
      </c>
      <c r="H130" s="90">
        <f>MIN(MAX(1-0.8/(1-frac_mam_24_59months+(frac_mam_24_59months*0.8)),0),1)</f>
        <v>0.19810867515905661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Rjl1OQaSUFDgHzHa5Cp96BsZx7F7fwzcNlsbWEEDYQ6EArPZGndsMmL0spd3K6ZL5NnozRQfpqRauUZUwBItg==" saltValue="QuX6LY6AM2pHjYjvAZhU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iDKITq51Yvdu5WlOChujXp+g3qAglXJCb7b+BlxlS239xAXroe30U+b2BmwP2ha/M2Zp3UHOJnm/LEmEFSy6w==" saltValue="henDqu9xqzBFYHeTTVc9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2024-08-06T07:31:04Z</dcterms:modified>
</cp:coreProperties>
</file>